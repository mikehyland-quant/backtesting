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git-projects\backtesting\backtests\"/>
    </mc:Choice>
  </mc:AlternateContent>
  <xr:revisionPtr revIDLastSave="0" documentId="13_ncr:9_{8CF953F9-D932-489B-93E9-88A39931FDBD}" xr6:coauthVersionLast="47" xr6:coauthVersionMax="47" xr10:uidLastSave="{00000000-0000-0000-0000-000000000000}"/>
  <bookViews>
    <workbookView xWindow="29355" yWindow="2490" windowWidth="28395" windowHeight="14880" xr2:uid="{5121582A-D6B4-465D-A657-244B65F904B8}"/>
  </bookViews>
  <sheets>
    <sheet name="Sheet1" sheetId="1" r:id="rId1"/>
  </sheets>
  <externalReferences>
    <externalReference r:id="rId2"/>
  </externalReferences>
  <calcPr calcId="0"/>
</workbook>
</file>

<file path=xl/calcChain.xml><?xml version="1.0" encoding="utf-8"?>
<calcChain xmlns="http://schemas.openxmlformats.org/spreadsheetml/2006/main">
  <c r="AX176" i="1" l="1"/>
  <c r="AV176" i="1"/>
  <c r="AU176" i="1"/>
  <c r="AM176" i="1"/>
  <c r="AK176" i="1"/>
  <c r="AJ176" i="1"/>
  <c r="AX175" i="1"/>
  <c r="AV175" i="1"/>
  <c r="AU175" i="1"/>
  <c r="AY176" i="1" s="1"/>
  <c r="AM175" i="1"/>
  <c r="AK175" i="1"/>
  <c r="AJ175" i="1"/>
  <c r="AN176" i="1" s="1"/>
  <c r="AX174" i="1"/>
  <c r="AV174" i="1"/>
  <c r="AU174" i="1"/>
  <c r="AY175" i="1" s="1"/>
  <c r="AM174" i="1"/>
  <c r="AK174" i="1"/>
  <c r="AJ174" i="1"/>
  <c r="AN175" i="1" s="1"/>
  <c r="AX173" i="1"/>
  <c r="AV173" i="1"/>
  <c r="AU173" i="1"/>
  <c r="AM173" i="1"/>
  <c r="AK173" i="1"/>
  <c r="AJ173" i="1"/>
  <c r="AN174" i="1" s="1"/>
  <c r="AX172" i="1"/>
  <c r="AV172" i="1"/>
  <c r="AU172" i="1"/>
  <c r="AY173" i="1" s="1"/>
  <c r="AM172" i="1"/>
  <c r="AK172" i="1"/>
  <c r="AJ172" i="1"/>
  <c r="AN173" i="1" s="1"/>
  <c r="AX171" i="1"/>
  <c r="AV171" i="1"/>
  <c r="AU171" i="1"/>
  <c r="AY172" i="1" s="1"/>
  <c r="AM171" i="1"/>
  <c r="AK171" i="1"/>
  <c r="AJ171" i="1"/>
  <c r="AX170" i="1"/>
  <c r="AV170" i="1"/>
  <c r="AU170" i="1"/>
  <c r="AM170" i="1"/>
  <c r="AK170" i="1"/>
  <c r="AJ170" i="1"/>
  <c r="AX169" i="1"/>
  <c r="AV169" i="1"/>
  <c r="AU169" i="1"/>
  <c r="AY170" i="1" s="1"/>
  <c r="AM169" i="1"/>
  <c r="AK169" i="1"/>
  <c r="AJ169" i="1"/>
  <c r="AX168" i="1"/>
  <c r="AV168" i="1"/>
  <c r="AU168" i="1"/>
  <c r="AY169" i="1" s="1"/>
  <c r="AM168" i="1"/>
  <c r="AK168" i="1"/>
  <c r="AJ168" i="1"/>
  <c r="AN169" i="1" s="1"/>
  <c r="AX167" i="1"/>
  <c r="AV167" i="1"/>
  <c r="AU167" i="1"/>
  <c r="AM167" i="1"/>
  <c r="AK167" i="1"/>
  <c r="AJ167" i="1"/>
  <c r="AN168" i="1" s="1"/>
  <c r="AX166" i="1"/>
  <c r="AV166" i="1"/>
  <c r="AU166" i="1"/>
  <c r="AM166" i="1"/>
  <c r="AK166" i="1"/>
  <c r="AJ166" i="1"/>
  <c r="AX165" i="1"/>
  <c r="AV165" i="1"/>
  <c r="AU165" i="1"/>
  <c r="AY166" i="1" s="1"/>
  <c r="AM165" i="1"/>
  <c r="AK165" i="1"/>
  <c r="AJ165" i="1"/>
  <c r="AX164" i="1"/>
  <c r="AV164" i="1"/>
  <c r="AU164" i="1"/>
  <c r="AY165" i="1" s="1"/>
  <c r="AM164" i="1"/>
  <c r="AK164" i="1"/>
  <c r="AJ164" i="1"/>
  <c r="AX163" i="1"/>
  <c r="AV163" i="1"/>
  <c r="AU163" i="1"/>
  <c r="AY164" i="1" s="1"/>
  <c r="AM163" i="1"/>
  <c r="AK163" i="1"/>
  <c r="AJ163" i="1"/>
  <c r="AN164" i="1" s="1"/>
  <c r="AX162" i="1"/>
  <c r="AV162" i="1"/>
  <c r="AU162" i="1"/>
  <c r="AY163" i="1" s="1"/>
  <c r="AM162" i="1"/>
  <c r="AK162" i="1"/>
  <c r="AJ162" i="1"/>
  <c r="AX161" i="1"/>
  <c r="AV161" i="1"/>
  <c r="AU161" i="1"/>
  <c r="AY162" i="1" s="1"/>
  <c r="AM161" i="1"/>
  <c r="AK161" i="1"/>
  <c r="AJ161" i="1"/>
  <c r="AX160" i="1"/>
  <c r="AV160" i="1"/>
  <c r="AU160" i="1"/>
  <c r="AY161" i="1" s="1"/>
  <c r="AM160" i="1"/>
  <c r="AK160" i="1"/>
  <c r="AJ160" i="1"/>
  <c r="AX159" i="1"/>
  <c r="AV159" i="1"/>
  <c r="AU159" i="1"/>
  <c r="AY160" i="1" s="1"/>
  <c r="AM159" i="1"/>
  <c r="AK159" i="1"/>
  <c r="AJ159" i="1"/>
  <c r="AX158" i="1"/>
  <c r="AV158" i="1"/>
  <c r="AU158" i="1"/>
  <c r="AY159" i="1" s="1"/>
  <c r="AM158" i="1"/>
  <c r="AK158" i="1"/>
  <c r="AJ158" i="1"/>
  <c r="AX157" i="1"/>
  <c r="AV157" i="1"/>
  <c r="AU157" i="1"/>
  <c r="AM157" i="1"/>
  <c r="AK157" i="1"/>
  <c r="AJ157" i="1"/>
  <c r="AN158" i="1" s="1"/>
  <c r="AX156" i="1"/>
  <c r="AV156" i="1"/>
  <c r="AU156" i="1"/>
  <c r="AY157" i="1" s="1"/>
  <c r="AM156" i="1"/>
  <c r="AK156" i="1"/>
  <c r="AJ156" i="1"/>
  <c r="AN157" i="1" s="1"/>
  <c r="AX155" i="1"/>
  <c r="AV155" i="1"/>
  <c r="AU155" i="1"/>
  <c r="AY156" i="1" s="1"/>
  <c r="AM155" i="1"/>
  <c r="AK155" i="1"/>
  <c r="AJ155" i="1"/>
  <c r="AX154" i="1"/>
  <c r="AV154" i="1"/>
  <c r="AU154" i="1"/>
  <c r="AM154" i="1"/>
  <c r="AK154" i="1"/>
  <c r="AJ154" i="1"/>
  <c r="AN155" i="1" s="1"/>
  <c r="AX153" i="1"/>
  <c r="AV153" i="1"/>
  <c r="AU153" i="1"/>
  <c r="AY154" i="1" s="1"/>
  <c r="AM153" i="1"/>
  <c r="AK153" i="1"/>
  <c r="AJ153" i="1"/>
  <c r="AX152" i="1"/>
  <c r="AV152" i="1"/>
  <c r="AU152" i="1"/>
  <c r="AY153" i="1" s="1"/>
  <c r="AM152" i="1"/>
  <c r="AK152" i="1"/>
  <c r="AJ152" i="1"/>
  <c r="AN153" i="1" s="1"/>
  <c r="AX151" i="1"/>
  <c r="AV151" i="1"/>
  <c r="AU151" i="1"/>
  <c r="AM151" i="1"/>
  <c r="AK151" i="1"/>
  <c r="AJ151" i="1"/>
  <c r="AN152" i="1" s="1"/>
  <c r="AX150" i="1"/>
  <c r="AV150" i="1"/>
  <c r="AU150" i="1"/>
  <c r="AY151" i="1" s="1"/>
  <c r="AM150" i="1"/>
  <c r="AK150" i="1"/>
  <c r="AJ150" i="1"/>
  <c r="AN151" i="1" s="1"/>
  <c r="AX149" i="1"/>
  <c r="AV149" i="1"/>
  <c r="AU149" i="1"/>
  <c r="AY150" i="1" s="1"/>
  <c r="AM149" i="1"/>
  <c r="AK149" i="1"/>
  <c r="AJ149" i="1"/>
  <c r="AN150" i="1" s="1"/>
  <c r="AX148" i="1"/>
  <c r="AV148" i="1"/>
  <c r="AU148" i="1"/>
  <c r="AY149" i="1" s="1"/>
  <c r="AM148" i="1"/>
  <c r="AK148" i="1"/>
  <c r="AJ148" i="1"/>
  <c r="AN149" i="1" s="1"/>
  <c r="AX147" i="1"/>
  <c r="AV147" i="1"/>
  <c r="AU147" i="1"/>
  <c r="AY148" i="1" s="1"/>
  <c r="AM147" i="1"/>
  <c r="AK147" i="1"/>
  <c r="AJ147" i="1"/>
  <c r="AX146" i="1"/>
  <c r="AV146" i="1"/>
  <c r="AU146" i="1"/>
  <c r="AY147" i="1" s="1"/>
  <c r="AM146" i="1"/>
  <c r="AK146" i="1"/>
  <c r="AJ146" i="1"/>
  <c r="AN147" i="1" s="1"/>
  <c r="AX145" i="1"/>
  <c r="AV145" i="1"/>
  <c r="AU145" i="1"/>
  <c r="AM145" i="1"/>
  <c r="AK145" i="1"/>
  <c r="AJ145" i="1"/>
  <c r="AX144" i="1"/>
  <c r="AV144" i="1"/>
  <c r="AU144" i="1"/>
  <c r="AM144" i="1"/>
  <c r="AK144" i="1"/>
  <c r="AJ144" i="1"/>
  <c r="AN145" i="1" s="1"/>
  <c r="AX143" i="1"/>
  <c r="AV143" i="1"/>
  <c r="AU143" i="1"/>
  <c r="AY144" i="1" s="1"/>
  <c r="AM143" i="1"/>
  <c r="AK143" i="1"/>
  <c r="AJ143" i="1"/>
  <c r="AN144" i="1" s="1"/>
  <c r="AX142" i="1"/>
  <c r="AV142" i="1"/>
  <c r="AU142" i="1"/>
  <c r="AY143" i="1" s="1"/>
  <c r="AM142" i="1"/>
  <c r="AK142" i="1"/>
  <c r="AJ142" i="1"/>
  <c r="AX141" i="1"/>
  <c r="AV141" i="1"/>
  <c r="AU141" i="1"/>
  <c r="AY142" i="1" s="1"/>
  <c r="AM141" i="1"/>
  <c r="AK141" i="1"/>
  <c r="AJ141" i="1"/>
  <c r="AX140" i="1"/>
  <c r="AV140" i="1"/>
  <c r="AU140" i="1"/>
  <c r="AY141" i="1" s="1"/>
  <c r="AM140" i="1"/>
  <c r="AK140" i="1"/>
  <c r="AJ140" i="1"/>
  <c r="AN141" i="1" s="1"/>
  <c r="AX139" i="1"/>
  <c r="AV139" i="1"/>
  <c r="AU139" i="1"/>
  <c r="AY140" i="1" s="1"/>
  <c r="AM139" i="1"/>
  <c r="AK139" i="1"/>
  <c r="AJ139" i="1"/>
  <c r="AX138" i="1"/>
  <c r="AV138" i="1"/>
  <c r="AU138" i="1"/>
  <c r="AY139" i="1" s="1"/>
  <c r="AM138" i="1"/>
  <c r="AK138" i="1"/>
  <c r="AJ138" i="1"/>
  <c r="AN139" i="1" s="1"/>
  <c r="AX137" i="1"/>
  <c r="AV137" i="1"/>
  <c r="AU137" i="1"/>
  <c r="AY138" i="1" s="1"/>
  <c r="AM137" i="1"/>
  <c r="AK137" i="1"/>
  <c r="AJ137" i="1"/>
  <c r="AX136" i="1"/>
  <c r="AV136" i="1"/>
  <c r="AU136" i="1"/>
  <c r="AM136" i="1"/>
  <c r="AK136" i="1"/>
  <c r="AJ136" i="1"/>
  <c r="AN137" i="1" s="1"/>
  <c r="AX135" i="1"/>
  <c r="AV135" i="1"/>
  <c r="AU135" i="1"/>
  <c r="AY136" i="1" s="1"/>
  <c r="AM135" i="1"/>
  <c r="AK135" i="1"/>
  <c r="AJ135" i="1"/>
  <c r="AN136" i="1" s="1"/>
  <c r="AX134" i="1"/>
  <c r="AV134" i="1"/>
  <c r="AU134" i="1"/>
  <c r="AY135" i="1" s="1"/>
  <c r="AM134" i="1"/>
  <c r="AK134" i="1"/>
  <c r="AJ134" i="1"/>
  <c r="AX133" i="1"/>
  <c r="AV133" i="1"/>
  <c r="AU133" i="1"/>
  <c r="AY134" i="1" s="1"/>
  <c r="AM133" i="1"/>
  <c r="AK133" i="1"/>
  <c r="AJ133" i="1"/>
  <c r="AX132" i="1"/>
  <c r="AV132" i="1"/>
  <c r="AU132" i="1"/>
  <c r="AY133" i="1" s="1"/>
  <c r="AM132" i="1"/>
  <c r="AK132" i="1"/>
  <c r="AJ132" i="1"/>
  <c r="AX131" i="1"/>
  <c r="AV131" i="1"/>
  <c r="AU131" i="1"/>
  <c r="AM131" i="1"/>
  <c r="AK131" i="1"/>
  <c r="AJ131" i="1"/>
  <c r="AN132" i="1" s="1"/>
  <c r="AX130" i="1"/>
  <c r="AV130" i="1"/>
  <c r="AU130" i="1"/>
  <c r="AY131" i="1" s="1"/>
  <c r="AM130" i="1"/>
  <c r="AK130" i="1"/>
  <c r="AJ130" i="1"/>
  <c r="AX129" i="1"/>
  <c r="AV129" i="1"/>
  <c r="AU129" i="1"/>
  <c r="AY130" i="1" s="1"/>
  <c r="AM129" i="1"/>
  <c r="AK129" i="1"/>
  <c r="AJ129" i="1"/>
  <c r="AN130" i="1" s="1"/>
  <c r="AX128" i="1"/>
  <c r="AV128" i="1"/>
  <c r="AU128" i="1"/>
  <c r="AY129" i="1" s="1"/>
  <c r="AM128" i="1"/>
  <c r="AK128" i="1"/>
  <c r="AJ128" i="1"/>
  <c r="AN129" i="1" s="1"/>
  <c r="AX127" i="1"/>
  <c r="AV127" i="1"/>
  <c r="AU127" i="1"/>
  <c r="AY128" i="1" s="1"/>
  <c r="AM127" i="1"/>
  <c r="AK127" i="1"/>
  <c r="AJ127" i="1"/>
  <c r="AX126" i="1"/>
  <c r="AV126" i="1"/>
  <c r="AU126" i="1"/>
  <c r="AY127" i="1" s="1"/>
  <c r="AM126" i="1"/>
  <c r="AK126" i="1"/>
  <c r="AJ126" i="1"/>
  <c r="AX125" i="1"/>
  <c r="AV125" i="1"/>
  <c r="AU125" i="1"/>
  <c r="AY126" i="1" s="1"/>
  <c r="AM125" i="1"/>
  <c r="AK125" i="1"/>
  <c r="AJ125" i="1"/>
  <c r="AN126" i="1" s="1"/>
  <c r="AX124" i="1"/>
  <c r="AV124" i="1"/>
  <c r="AU124" i="1"/>
  <c r="AM124" i="1"/>
  <c r="AK124" i="1"/>
  <c r="AJ124" i="1"/>
  <c r="AN125" i="1" s="1"/>
  <c r="AX123" i="1"/>
  <c r="AV123" i="1"/>
  <c r="AU123" i="1"/>
  <c r="AY124" i="1" s="1"/>
  <c r="AM123" i="1"/>
  <c r="AK123" i="1"/>
  <c r="AJ123" i="1"/>
  <c r="AN124" i="1" s="1"/>
  <c r="AX122" i="1"/>
  <c r="AV122" i="1"/>
  <c r="AU122" i="1"/>
  <c r="AY123" i="1" s="1"/>
  <c r="AM122" i="1"/>
  <c r="AK122" i="1"/>
  <c r="AJ122" i="1"/>
  <c r="AX121" i="1"/>
  <c r="AV121" i="1"/>
  <c r="AU121" i="1"/>
  <c r="AY122" i="1" s="1"/>
  <c r="AM121" i="1"/>
  <c r="AK121" i="1"/>
  <c r="AJ121" i="1"/>
  <c r="AN122" i="1" s="1"/>
  <c r="AX120" i="1"/>
  <c r="AV120" i="1"/>
  <c r="AU120" i="1"/>
  <c r="AY121" i="1" s="1"/>
  <c r="AM120" i="1"/>
  <c r="AK120" i="1"/>
  <c r="AJ120" i="1"/>
  <c r="AN121" i="1" s="1"/>
  <c r="AX119" i="1"/>
  <c r="AV119" i="1"/>
  <c r="AU119" i="1"/>
  <c r="AY120" i="1" s="1"/>
  <c r="AM119" i="1"/>
  <c r="AK119" i="1"/>
  <c r="AJ119" i="1"/>
  <c r="AX118" i="1"/>
  <c r="AV118" i="1"/>
  <c r="AU118" i="1"/>
  <c r="AY119" i="1" s="1"/>
  <c r="AM118" i="1"/>
  <c r="AK118" i="1"/>
  <c r="AJ118" i="1"/>
  <c r="AN119" i="1" s="1"/>
  <c r="AX117" i="1"/>
  <c r="AV117" i="1"/>
  <c r="AU117" i="1"/>
  <c r="AM117" i="1"/>
  <c r="AK117" i="1"/>
  <c r="AJ117" i="1"/>
  <c r="AN118" i="1" s="1"/>
  <c r="AX116" i="1"/>
  <c r="AV116" i="1"/>
  <c r="AU116" i="1"/>
  <c r="AY117" i="1" s="1"/>
  <c r="AM116" i="1"/>
  <c r="AK116" i="1"/>
  <c r="AJ116" i="1"/>
  <c r="AN117" i="1" s="1"/>
  <c r="AX115" i="1"/>
  <c r="AV115" i="1"/>
  <c r="AU115" i="1"/>
  <c r="AM115" i="1"/>
  <c r="AK115" i="1"/>
  <c r="AJ115" i="1"/>
  <c r="AN116" i="1" s="1"/>
  <c r="AX114" i="1"/>
  <c r="AV114" i="1"/>
  <c r="AU114" i="1"/>
  <c r="AY115" i="1" s="1"/>
  <c r="AM114" i="1"/>
  <c r="AK114" i="1"/>
  <c r="AJ114" i="1"/>
  <c r="AN115" i="1" s="1"/>
  <c r="AX113" i="1"/>
  <c r="AV113" i="1"/>
  <c r="AU113" i="1"/>
  <c r="AY114" i="1" s="1"/>
  <c r="AM113" i="1"/>
  <c r="AK113" i="1"/>
  <c r="AJ113" i="1"/>
  <c r="AX112" i="1"/>
  <c r="AV112" i="1"/>
  <c r="AU112" i="1"/>
  <c r="AY113" i="1" s="1"/>
  <c r="AM112" i="1"/>
  <c r="AK112" i="1"/>
  <c r="AJ112" i="1"/>
  <c r="AN113" i="1" s="1"/>
  <c r="AX111" i="1"/>
  <c r="AV111" i="1"/>
  <c r="AU111" i="1"/>
  <c r="AY112" i="1" s="1"/>
  <c r="AM111" i="1"/>
  <c r="AK111" i="1"/>
  <c r="AJ111" i="1"/>
  <c r="AX110" i="1"/>
  <c r="AV110" i="1"/>
  <c r="AU110" i="1"/>
  <c r="AY111" i="1" s="1"/>
  <c r="AM110" i="1"/>
  <c r="AK110" i="1"/>
  <c r="AJ110" i="1"/>
  <c r="AN111" i="1" s="1"/>
  <c r="AX109" i="1"/>
  <c r="AV109" i="1"/>
  <c r="AU109" i="1"/>
  <c r="AM109" i="1"/>
  <c r="AK109" i="1"/>
  <c r="AJ109" i="1"/>
  <c r="AN110" i="1" s="1"/>
  <c r="AX108" i="1"/>
  <c r="AV108" i="1"/>
  <c r="AU108" i="1"/>
  <c r="AY109" i="1" s="1"/>
  <c r="AM108" i="1"/>
  <c r="AK108" i="1"/>
  <c r="AJ108" i="1"/>
  <c r="AN109" i="1" s="1"/>
  <c r="AX107" i="1"/>
  <c r="AV107" i="1"/>
  <c r="AU107" i="1"/>
  <c r="AY108" i="1" s="1"/>
  <c r="AM107" i="1"/>
  <c r="AK107" i="1"/>
  <c r="AJ107" i="1"/>
  <c r="AN108" i="1" s="1"/>
  <c r="AX106" i="1"/>
  <c r="AV106" i="1"/>
  <c r="AU106" i="1"/>
  <c r="AM106" i="1"/>
  <c r="AK106" i="1"/>
  <c r="AJ106" i="1"/>
  <c r="AN107" i="1" s="1"/>
  <c r="AX105" i="1"/>
  <c r="AV105" i="1"/>
  <c r="AU105" i="1"/>
  <c r="AY106" i="1" s="1"/>
  <c r="AM105" i="1"/>
  <c r="AK105" i="1"/>
  <c r="AJ105" i="1"/>
  <c r="AX104" i="1"/>
  <c r="AV104" i="1"/>
  <c r="AU104" i="1"/>
  <c r="AM104" i="1"/>
  <c r="AK104" i="1"/>
  <c r="AJ104" i="1"/>
  <c r="AN105" i="1" s="1"/>
  <c r="AX103" i="1"/>
  <c r="AV103" i="1"/>
  <c r="AU103" i="1"/>
  <c r="AY104" i="1" s="1"/>
  <c r="AM103" i="1"/>
  <c r="AK103" i="1"/>
  <c r="AJ103" i="1"/>
  <c r="AN104" i="1" s="1"/>
  <c r="AX102" i="1"/>
  <c r="AV102" i="1"/>
  <c r="AU102" i="1"/>
  <c r="AY103" i="1" s="1"/>
  <c r="AM102" i="1"/>
  <c r="AK102" i="1"/>
  <c r="AJ102" i="1"/>
  <c r="AX101" i="1"/>
  <c r="AV101" i="1"/>
  <c r="AU101" i="1"/>
  <c r="AM101" i="1"/>
  <c r="AK101" i="1"/>
  <c r="AJ101" i="1"/>
  <c r="AN102" i="1" s="1"/>
  <c r="AX100" i="1"/>
  <c r="AV100" i="1"/>
  <c r="AU100" i="1"/>
  <c r="AM100" i="1"/>
  <c r="AK100" i="1"/>
  <c r="AJ100" i="1"/>
  <c r="AN101" i="1" s="1"/>
  <c r="AX99" i="1"/>
  <c r="AV99" i="1"/>
  <c r="AU99" i="1"/>
  <c r="AY100" i="1" s="1"/>
  <c r="AM99" i="1"/>
  <c r="AK99" i="1"/>
  <c r="AJ99" i="1"/>
  <c r="AN100" i="1" s="1"/>
  <c r="AX98" i="1"/>
  <c r="AV98" i="1"/>
  <c r="AU98" i="1"/>
  <c r="AY99" i="1" s="1"/>
  <c r="AM98" i="1"/>
  <c r="AK98" i="1"/>
  <c r="AJ98" i="1"/>
  <c r="AX97" i="1"/>
  <c r="AV97" i="1"/>
  <c r="AU97" i="1"/>
  <c r="AY98" i="1" s="1"/>
  <c r="AM97" i="1"/>
  <c r="AK97" i="1"/>
  <c r="AJ97" i="1"/>
  <c r="AN98" i="1" s="1"/>
  <c r="AX96" i="1"/>
  <c r="AV96" i="1"/>
  <c r="AU96" i="1"/>
  <c r="AY97" i="1" s="1"/>
  <c r="AM96" i="1"/>
  <c r="AK96" i="1"/>
  <c r="AJ96" i="1"/>
  <c r="AN97" i="1" s="1"/>
  <c r="AX95" i="1"/>
  <c r="AV95" i="1"/>
  <c r="AU95" i="1"/>
  <c r="AY96" i="1" s="1"/>
  <c r="AM95" i="1"/>
  <c r="AK95" i="1"/>
  <c r="AJ95" i="1"/>
  <c r="AX94" i="1"/>
  <c r="AV94" i="1"/>
  <c r="AU94" i="1"/>
  <c r="AY95" i="1" s="1"/>
  <c r="AM94" i="1"/>
  <c r="AK94" i="1"/>
  <c r="AJ94" i="1"/>
  <c r="AX93" i="1"/>
  <c r="AV93" i="1"/>
  <c r="AU93" i="1"/>
  <c r="AY94" i="1" s="1"/>
  <c r="AM93" i="1"/>
  <c r="AK93" i="1"/>
  <c r="AJ93" i="1"/>
  <c r="AX92" i="1"/>
  <c r="AV92" i="1"/>
  <c r="AU92" i="1"/>
  <c r="AY93" i="1" s="1"/>
  <c r="AM92" i="1"/>
  <c r="AK92" i="1"/>
  <c r="AJ92" i="1"/>
  <c r="AN93" i="1" s="1"/>
  <c r="AX91" i="1"/>
  <c r="AV91" i="1"/>
  <c r="AU91" i="1"/>
  <c r="AY92" i="1" s="1"/>
  <c r="AM91" i="1"/>
  <c r="AK91" i="1"/>
  <c r="AJ91" i="1"/>
  <c r="AX90" i="1"/>
  <c r="AV90" i="1"/>
  <c r="AU90" i="1"/>
  <c r="AY91" i="1" s="1"/>
  <c r="AM90" i="1"/>
  <c r="AK90" i="1"/>
  <c r="AJ90" i="1"/>
  <c r="AX89" i="1"/>
  <c r="AV89" i="1"/>
  <c r="AU89" i="1"/>
  <c r="AY90" i="1" s="1"/>
  <c r="AM89" i="1"/>
  <c r="AK89" i="1"/>
  <c r="AJ89" i="1"/>
  <c r="AX88" i="1"/>
  <c r="AV88" i="1"/>
  <c r="AU88" i="1"/>
  <c r="AY89" i="1" s="1"/>
  <c r="AM88" i="1"/>
  <c r="AK88" i="1"/>
  <c r="AJ88" i="1"/>
  <c r="AN89" i="1" s="1"/>
  <c r="AX87" i="1"/>
  <c r="AV87" i="1"/>
  <c r="AU87" i="1"/>
  <c r="AY88" i="1" s="1"/>
  <c r="AM87" i="1"/>
  <c r="AK87" i="1"/>
  <c r="AJ87" i="1"/>
  <c r="AN88" i="1" s="1"/>
  <c r="AX86" i="1"/>
  <c r="AV86" i="1"/>
  <c r="AU86" i="1"/>
  <c r="AY87" i="1" s="1"/>
  <c r="AM86" i="1"/>
  <c r="AK86" i="1"/>
  <c r="AJ86" i="1"/>
  <c r="AN87" i="1" s="1"/>
  <c r="AX85" i="1"/>
  <c r="AV85" i="1"/>
  <c r="AU85" i="1"/>
  <c r="AM85" i="1"/>
  <c r="AK85" i="1"/>
  <c r="AJ85" i="1"/>
  <c r="AN86" i="1" s="1"/>
  <c r="AX84" i="1"/>
  <c r="AV84" i="1"/>
  <c r="AU84" i="1"/>
  <c r="AY85" i="1" s="1"/>
  <c r="AM84" i="1"/>
  <c r="AK84" i="1"/>
  <c r="AJ84" i="1"/>
  <c r="AX83" i="1"/>
  <c r="AV83" i="1"/>
  <c r="AU83" i="1"/>
  <c r="AY84" i="1" s="1"/>
  <c r="AM83" i="1"/>
  <c r="AK83" i="1"/>
  <c r="AJ83" i="1"/>
  <c r="AN84" i="1" s="1"/>
  <c r="AX82" i="1"/>
  <c r="AV82" i="1"/>
  <c r="AU82" i="1"/>
  <c r="AY83" i="1" s="1"/>
  <c r="AM82" i="1"/>
  <c r="AK82" i="1"/>
  <c r="AJ82" i="1"/>
  <c r="AX81" i="1"/>
  <c r="AV81" i="1"/>
  <c r="AU81" i="1"/>
  <c r="AY82" i="1" s="1"/>
  <c r="AM81" i="1"/>
  <c r="AK81" i="1"/>
  <c r="AJ81" i="1"/>
  <c r="AX80" i="1"/>
  <c r="AV80" i="1"/>
  <c r="AU80" i="1"/>
  <c r="AY81" i="1" s="1"/>
  <c r="AM80" i="1"/>
  <c r="AK80" i="1"/>
  <c r="AJ80" i="1"/>
  <c r="AN81" i="1" s="1"/>
  <c r="AX79" i="1"/>
  <c r="AV79" i="1"/>
  <c r="AU79" i="1"/>
  <c r="AY80" i="1" s="1"/>
  <c r="AM79" i="1"/>
  <c r="AK79" i="1"/>
  <c r="AJ79" i="1"/>
  <c r="AX78" i="1"/>
  <c r="AV78" i="1"/>
  <c r="AU78" i="1"/>
  <c r="AY79" i="1" s="1"/>
  <c r="AM78" i="1"/>
  <c r="AK78" i="1"/>
  <c r="AJ78" i="1"/>
  <c r="AN79" i="1" s="1"/>
  <c r="AX77" i="1"/>
  <c r="AV77" i="1"/>
  <c r="AU77" i="1"/>
  <c r="AM77" i="1"/>
  <c r="AK77" i="1"/>
  <c r="AJ77" i="1"/>
  <c r="AN78" i="1" s="1"/>
  <c r="AX76" i="1"/>
  <c r="AV76" i="1"/>
  <c r="AU76" i="1"/>
  <c r="AY77" i="1" s="1"/>
  <c r="AM76" i="1"/>
  <c r="AK76" i="1"/>
  <c r="AJ76" i="1"/>
  <c r="AN77" i="1" s="1"/>
  <c r="AX75" i="1"/>
  <c r="AV75" i="1"/>
  <c r="AU75" i="1"/>
  <c r="AY76" i="1" s="1"/>
  <c r="AM75" i="1"/>
  <c r="AK75" i="1"/>
  <c r="AJ75" i="1"/>
  <c r="AN76" i="1" s="1"/>
  <c r="AX74" i="1"/>
  <c r="AV74" i="1"/>
  <c r="AU74" i="1"/>
  <c r="AY75" i="1" s="1"/>
  <c r="AM74" i="1"/>
  <c r="AK74" i="1"/>
  <c r="AJ74" i="1"/>
  <c r="AN75" i="1" s="1"/>
  <c r="AX73" i="1"/>
  <c r="AV73" i="1"/>
  <c r="AU73" i="1"/>
  <c r="AY74" i="1" s="1"/>
  <c r="AM73" i="1"/>
  <c r="AK73" i="1"/>
  <c r="AJ73" i="1"/>
  <c r="AX72" i="1"/>
  <c r="AV72" i="1"/>
  <c r="AU72" i="1"/>
  <c r="AM72" i="1"/>
  <c r="AK72" i="1"/>
  <c r="AJ72" i="1"/>
  <c r="AN73" i="1" s="1"/>
  <c r="AX71" i="1"/>
  <c r="AV71" i="1"/>
  <c r="AU71" i="1"/>
  <c r="AM71" i="1"/>
  <c r="AK71" i="1"/>
  <c r="AJ71" i="1"/>
  <c r="AN72" i="1" s="1"/>
  <c r="AX70" i="1"/>
  <c r="AV70" i="1"/>
  <c r="AU70" i="1"/>
  <c r="AY71" i="1" s="1"/>
  <c r="AM70" i="1"/>
  <c r="AK70" i="1"/>
  <c r="AJ70" i="1"/>
  <c r="AX69" i="1"/>
  <c r="AV69" i="1"/>
  <c r="AU69" i="1"/>
  <c r="AM69" i="1"/>
  <c r="AK69" i="1"/>
  <c r="AJ69" i="1"/>
  <c r="AN70" i="1" s="1"/>
  <c r="AX68" i="1"/>
  <c r="AV68" i="1"/>
  <c r="AU68" i="1"/>
  <c r="AY69" i="1" s="1"/>
  <c r="AM68" i="1"/>
  <c r="AK68" i="1"/>
  <c r="AJ68" i="1"/>
  <c r="AN69" i="1" s="1"/>
  <c r="AX67" i="1"/>
  <c r="AV67" i="1"/>
  <c r="AU67" i="1"/>
  <c r="AY68" i="1" s="1"/>
  <c r="AM67" i="1"/>
  <c r="AK67" i="1"/>
  <c r="AJ67" i="1"/>
  <c r="AN68" i="1" s="1"/>
  <c r="AX66" i="1"/>
  <c r="AV66" i="1"/>
  <c r="AU66" i="1"/>
  <c r="AY67" i="1" s="1"/>
  <c r="AM66" i="1"/>
  <c r="AK66" i="1"/>
  <c r="AJ66" i="1"/>
  <c r="AN67" i="1" s="1"/>
  <c r="AX65" i="1"/>
  <c r="AV65" i="1"/>
  <c r="AU65" i="1"/>
  <c r="AM65" i="1"/>
  <c r="AK65" i="1"/>
  <c r="AJ65" i="1"/>
  <c r="AN66" i="1" s="1"/>
  <c r="AX64" i="1"/>
  <c r="AV64" i="1"/>
  <c r="AU64" i="1"/>
  <c r="AM64" i="1"/>
  <c r="AK64" i="1"/>
  <c r="AJ64" i="1"/>
  <c r="AN65" i="1" s="1"/>
  <c r="AX63" i="1"/>
  <c r="AV63" i="1"/>
  <c r="AU63" i="1"/>
  <c r="AY64" i="1" s="1"/>
  <c r="AM63" i="1"/>
  <c r="AK63" i="1"/>
  <c r="AJ63" i="1"/>
  <c r="AN64" i="1" s="1"/>
  <c r="AX62" i="1"/>
  <c r="AV62" i="1"/>
  <c r="AU62" i="1"/>
  <c r="AY63" i="1" s="1"/>
  <c r="AM62" i="1"/>
  <c r="AK62" i="1"/>
  <c r="AJ62" i="1"/>
  <c r="AN63" i="1" s="1"/>
  <c r="AX61" i="1"/>
  <c r="AV61" i="1"/>
  <c r="AU61" i="1"/>
  <c r="AY62" i="1" s="1"/>
  <c r="AM61" i="1"/>
  <c r="AK61" i="1"/>
  <c r="AJ61" i="1"/>
  <c r="AX60" i="1"/>
  <c r="AV60" i="1"/>
  <c r="AU60" i="1"/>
  <c r="AY61" i="1" s="1"/>
  <c r="AM60" i="1"/>
  <c r="AK60" i="1"/>
  <c r="AJ60" i="1"/>
  <c r="AN61" i="1" s="1"/>
  <c r="AX59" i="1"/>
  <c r="AV59" i="1"/>
  <c r="AU59" i="1"/>
  <c r="AM59" i="1"/>
  <c r="AK59" i="1"/>
  <c r="AJ59" i="1"/>
  <c r="AN60" i="1" s="1"/>
  <c r="AX58" i="1"/>
  <c r="AV58" i="1"/>
  <c r="AU58" i="1"/>
  <c r="AY59" i="1" s="1"/>
  <c r="AM58" i="1"/>
  <c r="AK58" i="1"/>
  <c r="AJ58" i="1"/>
  <c r="AX57" i="1"/>
  <c r="AV57" i="1"/>
  <c r="AU57" i="1"/>
  <c r="AM57" i="1"/>
  <c r="AK57" i="1"/>
  <c r="AJ57" i="1"/>
  <c r="AX56" i="1"/>
  <c r="AV56" i="1"/>
  <c r="AU56" i="1"/>
  <c r="AY57" i="1" s="1"/>
  <c r="AM56" i="1"/>
  <c r="AK56" i="1"/>
  <c r="AJ56" i="1"/>
  <c r="AN57" i="1" s="1"/>
  <c r="AX55" i="1"/>
  <c r="AV55" i="1"/>
  <c r="AU55" i="1"/>
  <c r="AY56" i="1" s="1"/>
  <c r="AM55" i="1"/>
  <c r="AK55" i="1"/>
  <c r="AJ55" i="1"/>
  <c r="AN56" i="1" s="1"/>
  <c r="AX54" i="1"/>
  <c r="AV54" i="1"/>
  <c r="AU54" i="1"/>
  <c r="AY55" i="1" s="1"/>
  <c r="AM54" i="1"/>
  <c r="AK54" i="1"/>
  <c r="AJ54" i="1"/>
  <c r="AX53" i="1"/>
  <c r="AV53" i="1"/>
  <c r="AU53" i="1"/>
  <c r="AM53" i="1"/>
  <c r="AK53" i="1"/>
  <c r="AJ53" i="1"/>
  <c r="AN54" i="1" s="1"/>
  <c r="AX52" i="1"/>
  <c r="AV52" i="1"/>
  <c r="AU52" i="1"/>
  <c r="AY53" i="1" s="1"/>
  <c r="AM52" i="1"/>
  <c r="AK52" i="1"/>
  <c r="AJ52" i="1"/>
  <c r="AN53" i="1" s="1"/>
  <c r="AX51" i="1"/>
  <c r="AV51" i="1"/>
  <c r="AU51" i="1"/>
  <c r="AM51" i="1"/>
  <c r="AK51" i="1"/>
  <c r="AJ51" i="1"/>
  <c r="AX50" i="1"/>
  <c r="AV50" i="1"/>
  <c r="AU50" i="1"/>
  <c r="AY51" i="1" s="1"/>
  <c r="AM50" i="1"/>
  <c r="AK50" i="1"/>
  <c r="AJ50" i="1"/>
  <c r="AN51" i="1" s="1"/>
  <c r="AX49" i="1"/>
  <c r="AV49" i="1"/>
  <c r="AU49" i="1"/>
  <c r="AY50" i="1" s="1"/>
  <c r="AM49" i="1"/>
  <c r="AK49" i="1"/>
  <c r="AJ49" i="1"/>
  <c r="AX48" i="1"/>
  <c r="AV48" i="1"/>
  <c r="AU48" i="1"/>
  <c r="AY49" i="1" s="1"/>
  <c r="AM48" i="1"/>
  <c r="AK48" i="1"/>
  <c r="AJ48" i="1"/>
  <c r="AX47" i="1"/>
  <c r="AV47" i="1"/>
  <c r="AU47" i="1"/>
  <c r="AY48" i="1" s="1"/>
  <c r="AM47" i="1"/>
  <c r="AK47" i="1"/>
  <c r="AJ47" i="1"/>
  <c r="AX46" i="1"/>
  <c r="AV46" i="1"/>
  <c r="AU46" i="1"/>
  <c r="AY47" i="1" s="1"/>
  <c r="AM46" i="1"/>
  <c r="AK46" i="1"/>
  <c r="AJ46" i="1"/>
  <c r="AX45" i="1"/>
  <c r="AV45" i="1"/>
  <c r="AU45" i="1"/>
  <c r="AY46" i="1" s="1"/>
  <c r="AM45" i="1"/>
  <c r="AK45" i="1"/>
  <c r="AJ45" i="1"/>
  <c r="AN46" i="1" s="1"/>
  <c r="AX44" i="1"/>
  <c r="AV44" i="1"/>
  <c r="AU44" i="1"/>
  <c r="AY45" i="1" s="1"/>
  <c r="AM44" i="1"/>
  <c r="AK44" i="1"/>
  <c r="AJ44" i="1"/>
  <c r="AX43" i="1"/>
  <c r="AV43" i="1"/>
  <c r="AU43" i="1"/>
  <c r="AY44" i="1" s="1"/>
  <c r="AM43" i="1"/>
  <c r="AK43" i="1"/>
  <c r="AJ43" i="1"/>
  <c r="AN44" i="1" s="1"/>
  <c r="AX42" i="1"/>
  <c r="AV42" i="1"/>
  <c r="AU42" i="1"/>
  <c r="AY43" i="1" s="1"/>
  <c r="AM42" i="1"/>
  <c r="AK42" i="1"/>
  <c r="AJ42" i="1"/>
  <c r="AN43" i="1" s="1"/>
  <c r="AX41" i="1"/>
  <c r="AV41" i="1"/>
  <c r="AU41" i="1"/>
  <c r="AY42" i="1" s="1"/>
  <c r="AM41" i="1"/>
  <c r="AK41" i="1"/>
  <c r="AJ41" i="1"/>
  <c r="AX40" i="1"/>
  <c r="AV40" i="1"/>
  <c r="AU40" i="1"/>
  <c r="AY41" i="1" s="1"/>
  <c r="AM40" i="1"/>
  <c r="AK40" i="1"/>
  <c r="AJ40" i="1"/>
  <c r="AN41" i="1" s="1"/>
  <c r="AX39" i="1"/>
  <c r="AV39" i="1"/>
  <c r="AU39" i="1"/>
  <c r="AY40" i="1" s="1"/>
  <c r="AM39" i="1"/>
  <c r="AK39" i="1"/>
  <c r="AJ39" i="1"/>
  <c r="AX38" i="1"/>
  <c r="AV38" i="1"/>
  <c r="AU38" i="1"/>
  <c r="AY39" i="1" s="1"/>
  <c r="AM38" i="1"/>
  <c r="AK38" i="1"/>
  <c r="AJ38" i="1"/>
  <c r="AN39" i="1" s="1"/>
  <c r="AX37" i="1"/>
  <c r="AV37" i="1"/>
  <c r="AU37" i="1"/>
  <c r="AY38" i="1" s="1"/>
  <c r="AM37" i="1"/>
  <c r="AK37" i="1"/>
  <c r="AJ37" i="1"/>
  <c r="AX36" i="1"/>
  <c r="AV36" i="1"/>
  <c r="AU36" i="1"/>
  <c r="AY37" i="1" s="1"/>
  <c r="AM36" i="1"/>
  <c r="AK36" i="1"/>
  <c r="AJ36" i="1"/>
  <c r="AN37" i="1" s="1"/>
  <c r="AX35" i="1"/>
  <c r="AV35" i="1"/>
  <c r="AU35" i="1"/>
  <c r="AY36" i="1" s="1"/>
  <c r="AM35" i="1"/>
  <c r="AK35" i="1"/>
  <c r="AJ35" i="1"/>
  <c r="AX34" i="1"/>
  <c r="AV34" i="1"/>
  <c r="AU34" i="1"/>
  <c r="AY35" i="1" s="1"/>
  <c r="AM34" i="1"/>
  <c r="AK34" i="1"/>
  <c r="AJ34" i="1"/>
  <c r="AN35" i="1" s="1"/>
  <c r="AX33" i="1"/>
  <c r="AV33" i="1"/>
  <c r="AU33" i="1"/>
  <c r="AY34" i="1" s="1"/>
  <c r="AM33" i="1"/>
  <c r="AK33" i="1"/>
  <c r="AJ33" i="1"/>
  <c r="AX32" i="1"/>
  <c r="AV32" i="1"/>
  <c r="AU32" i="1"/>
  <c r="AY33" i="1" s="1"/>
  <c r="AM32" i="1"/>
  <c r="AK32" i="1"/>
  <c r="AJ32" i="1"/>
  <c r="AN33" i="1" s="1"/>
  <c r="AX31" i="1"/>
  <c r="AV31" i="1"/>
  <c r="AU31" i="1"/>
  <c r="AY32" i="1" s="1"/>
  <c r="AM31" i="1"/>
  <c r="AK31" i="1"/>
  <c r="AJ31" i="1"/>
  <c r="AN32" i="1" s="1"/>
  <c r="AX30" i="1"/>
  <c r="AV30" i="1"/>
  <c r="AU30" i="1"/>
  <c r="AY31" i="1" s="1"/>
  <c r="AM30" i="1"/>
  <c r="AK30" i="1"/>
  <c r="AJ30" i="1"/>
  <c r="AX29" i="1"/>
  <c r="AV29" i="1"/>
  <c r="AU29" i="1"/>
  <c r="AY30" i="1" s="1"/>
  <c r="AM29" i="1"/>
  <c r="AK29" i="1"/>
  <c r="AJ29" i="1"/>
  <c r="AN30" i="1" s="1"/>
  <c r="AX28" i="1"/>
  <c r="AV28" i="1"/>
  <c r="AU28" i="1"/>
  <c r="AM28" i="1"/>
  <c r="AK28" i="1"/>
  <c r="AJ28" i="1"/>
  <c r="AN29" i="1" s="1"/>
  <c r="AX27" i="1"/>
  <c r="AV27" i="1"/>
  <c r="AU27" i="1"/>
  <c r="AM27" i="1"/>
  <c r="AK27" i="1"/>
  <c r="AJ27" i="1"/>
  <c r="AN28" i="1" s="1"/>
  <c r="AX26" i="1"/>
  <c r="AV26" i="1"/>
  <c r="AU26" i="1"/>
  <c r="AM26" i="1"/>
  <c r="AK26" i="1"/>
  <c r="AJ26" i="1"/>
  <c r="AX25" i="1"/>
  <c r="AV25" i="1"/>
  <c r="AU25" i="1"/>
  <c r="AM25" i="1"/>
  <c r="AK25" i="1"/>
  <c r="AJ25" i="1"/>
  <c r="AN26" i="1" s="1"/>
  <c r="AX24" i="1"/>
  <c r="AV24" i="1"/>
  <c r="AU24" i="1"/>
  <c r="AY25" i="1" s="1"/>
  <c r="AM24" i="1"/>
  <c r="AK24" i="1"/>
  <c r="AJ24" i="1"/>
  <c r="AX23" i="1"/>
  <c r="AV23" i="1"/>
  <c r="AU23" i="1"/>
  <c r="AM23" i="1"/>
  <c r="AK23" i="1"/>
  <c r="AJ23" i="1"/>
  <c r="AN24" i="1" s="1"/>
  <c r="AX22" i="1"/>
  <c r="AW22" i="1"/>
  <c r="AV22" i="1"/>
  <c r="AU22" i="1"/>
  <c r="AY23" i="1" s="1"/>
  <c r="AM22" i="1"/>
  <c r="AL22" i="1"/>
  <c r="AK22" i="1"/>
  <c r="AJ22" i="1"/>
  <c r="AN23" i="1" s="1"/>
  <c r="AX21" i="1"/>
  <c r="AY22" i="1" s="1"/>
  <c r="AM21" i="1"/>
  <c r="AN22" i="1" s="1"/>
  <c r="BA20" i="1"/>
  <c r="AZ20" i="1"/>
  <c r="AP20" i="1"/>
  <c r="AO20" i="1"/>
  <c r="AT3" i="1"/>
  <c r="AT4" i="1" s="1"/>
  <c r="AT5" i="1" s="1"/>
  <c r="AT6" i="1" s="1"/>
  <c r="AT7" i="1" s="1"/>
  <c r="AT8" i="1" s="1"/>
  <c r="AT9" i="1" s="1"/>
  <c r="AI3" i="1"/>
  <c r="AI4" i="1" s="1"/>
  <c r="AI5" i="1" s="1"/>
  <c r="AI6" i="1" s="1"/>
  <c r="AI7" i="1" s="1"/>
  <c r="AI8" i="1" s="1"/>
  <c r="AI9" i="1" s="1"/>
  <c r="AV1" i="1"/>
  <c r="AW1" i="1" s="1"/>
  <c r="AX1" i="1" s="1"/>
  <c r="AY1" i="1" s="1"/>
  <c r="AZ1" i="1" s="1"/>
  <c r="BA1" i="1" s="1"/>
  <c r="BB1" i="1" s="1"/>
  <c r="AK1" i="1"/>
  <c r="AL1" i="1" s="1"/>
  <c r="AM1" i="1" s="1"/>
  <c r="AN1" i="1" s="1"/>
  <c r="AO1" i="1" s="1"/>
  <c r="AP1" i="1" s="1"/>
  <c r="AQ1" i="1" s="1"/>
  <c r="AY167" i="1" l="1"/>
  <c r="AY118" i="1"/>
  <c r="AY101" i="1"/>
  <c r="AN52" i="1"/>
  <c r="AN134" i="1"/>
  <c r="AN58" i="1"/>
  <c r="AN171" i="1"/>
  <c r="AN27" i="1"/>
  <c r="AN48" i="1"/>
  <c r="AY146" i="1"/>
  <c r="AN138" i="1"/>
  <c r="BA176" i="1"/>
  <c r="AZ176" i="1"/>
  <c r="BB176" i="1" s="1"/>
  <c r="AW176" i="1"/>
  <c r="AO176" i="1"/>
  <c r="AP176" i="1"/>
  <c r="AL176" i="1"/>
  <c r="BA175" i="1"/>
  <c r="AZ175" i="1"/>
  <c r="BB175" i="1" s="1"/>
  <c r="AW175" i="1"/>
  <c r="AP175" i="1"/>
  <c r="AL175" i="1"/>
  <c r="AO175" i="1"/>
  <c r="AQ175" i="1" s="1"/>
  <c r="BE175" i="1" s="1"/>
  <c r="AO174" i="1"/>
  <c r="AL174" i="1"/>
  <c r="AP174" i="1"/>
  <c r="BA173" i="1"/>
  <c r="AW173" i="1"/>
  <c r="AY174" i="1" s="1"/>
  <c r="AZ173" i="1"/>
  <c r="BB173" i="1" s="1"/>
  <c r="AP173" i="1"/>
  <c r="AO173" i="1"/>
  <c r="AQ173" i="1" s="1"/>
  <c r="BE173" i="1" s="1"/>
  <c r="AL173" i="1"/>
  <c r="BA172" i="1"/>
  <c r="AW172" i="1"/>
  <c r="AZ172" i="1"/>
  <c r="BB172" i="1" s="1"/>
  <c r="AO171" i="1"/>
  <c r="AP171" i="1"/>
  <c r="AL171" i="1"/>
  <c r="AN172" i="1" s="1"/>
  <c r="AZ170" i="1"/>
  <c r="BA170" i="1"/>
  <c r="AW170" i="1"/>
  <c r="AY171" i="1" s="1"/>
  <c r="BA169" i="1"/>
  <c r="AZ169" i="1"/>
  <c r="BB169" i="1" s="1"/>
  <c r="AW169" i="1"/>
  <c r="AO169" i="1"/>
  <c r="AP169" i="1"/>
  <c r="AL169" i="1"/>
  <c r="AN170" i="1" s="1"/>
  <c r="AP168" i="1"/>
  <c r="AL168" i="1"/>
  <c r="AO168" i="1"/>
  <c r="AQ168" i="1" s="1"/>
  <c r="BA167" i="1"/>
  <c r="AZ167" i="1"/>
  <c r="BB167" i="1" s="1"/>
  <c r="AW167" i="1"/>
  <c r="AY168" i="1" s="1"/>
  <c r="BA166" i="1"/>
  <c r="AZ166" i="1"/>
  <c r="BB166" i="1" s="1"/>
  <c r="AW166" i="1"/>
  <c r="AZ165" i="1"/>
  <c r="AW165" i="1"/>
  <c r="BA165" i="1"/>
  <c r="BA164" i="1"/>
  <c r="AZ164" i="1"/>
  <c r="BB164" i="1" s="1"/>
  <c r="AW164" i="1"/>
  <c r="AP164" i="1"/>
  <c r="AL164" i="1"/>
  <c r="AN165" i="1" s="1"/>
  <c r="AO164" i="1"/>
  <c r="AQ164" i="1" s="1"/>
  <c r="AZ163" i="1"/>
  <c r="BA163" i="1"/>
  <c r="AW163" i="1"/>
  <c r="BA162" i="1"/>
  <c r="AZ162" i="1"/>
  <c r="BB162" i="1" s="1"/>
  <c r="AW162" i="1"/>
  <c r="BA161" i="1"/>
  <c r="AZ161" i="1"/>
  <c r="AW161" i="1"/>
  <c r="AZ160" i="1"/>
  <c r="BA160" i="1"/>
  <c r="AW160" i="1"/>
  <c r="AZ159" i="1"/>
  <c r="BB159" i="1" s="1"/>
  <c r="BA159" i="1"/>
  <c r="AW159" i="1"/>
  <c r="AP158" i="1"/>
  <c r="AL158" i="1"/>
  <c r="AN159" i="1" s="1"/>
  <c r="AO158" i="1"/>
  <c r="AQ158" i="1" s="1"/>
  <c r="AW157" i="1"/>
  <c r="AY158" i="1" s="1"/>
  <c r="BA157" i="1"/>
  <c r="AZ157" i="1"/>
  <c r="BB157" i="1" s="1"/>
  <c r="AO157" i="1"/>
  <c r="AP157" i="1"/>
  <c r="AL157" i="1"/>
  <c r="AZ156" i="1"/>
  <c r="AW156" i="1"/>
  <c r="BA156" i="1"/>
  <c r="AL155" i="1"/>
  <c r="AN156" i="1" s="1"/>
  <c r="AP155" i="1"/>
  <c r="AO155" i="1"/>
  <c r="AQ155" i="1" s="1"/>
  <c r="BA154" i="1"/>
  <c r="AW154" i="1"/>
  <c r="AY155" i="1" s="1"/>
  <c r="AZ154" i="1"/>
  <c r="BB154" i="1" s="1"/>
  <c r="AW153" i="1"/>
  <c r="AZ153" i="1"/>
  <c r="BA153" i="1"/>
  <c r="AO153" i="1"/>
  <c r="AQ153" i="1" s="1"/>
  <c r="AP153" i="1"/>
  <c r="AL153" i="1"/>
  <c r="AN154" i="1" s="1"/>
  <c r="AL152" i="1"/>
  <c r="AP152" i="1"/>
  <c r="AO152" i="1"/>
  <c r="AQ152" i="1" s="1"/>
  <c r="AW151" i="1"/>
  <c r="AY152" i="1" s="1"/>
  <c r="BA151" i="1"/>
  <c r="AZ151" i="1"/>
  <c r="BB151" i="1" s="1"/>
  <c r="AO151" i="1"/>
  <c r="AL151" i="1"/>
  <c r="AP151" i="1"/>
  <c r="AW150" i="1"/>
  <c r="AZ150" i="1"/>
  <c r="BA150" i="1"/>
  <c r="AP150" i="1"/>
  <c r="AL150" i="1"/>
  <c r="AO150" i="1"/>
  <c r="AQ150" i="1" s="1"/>
  <c r="AZ149" i="1"/>
  <c r="AW149" i="1"/>
  <c r="BA149" i="1"/>
  <c r="AP149" i="1"/>
  <c r="AL149" i="1"/>
  <c r="AO149" i="1"/>
  <c r="AQ149" i="1" s="1"/>
  <c r="AZ148" i="1"/>
  <c r="AW148" i="1"/>
  <c r="BA148" i="1"/>
  <c r="BA147" i="1"/>
  <c r="AW147" i="1"/>
  <c r="AZ147" i="1"/>
  <c r="BB147" i="1" s="1"/>
  <c r="AL147" i="1"/>
  <c r="AN148" i="1" s="1"/>
  <c r="AP147" i="1"/>
  <c r="AO147" i="1"/>
  <c r="AQ147" i="1" s="1"/>
  <c r="BE147" i="1" s="1"/>
  <c r="AW146" i="1"/>
  <c r="BA146" i="1"/>
  <c r="AZ146" i="1"/>
  <c r="BB146" i="1" s="1"/>
  <c r="AO145" i="1"/>
  <c r="AL145" i="1"/>
  <c r="AN146" i="1" s="1"/>
  <c r="AP145" i="1"/>
  <c r="AZ144" i="1"/>
  <c r="AW144" i="1"/>
  <c r="AY145" i="1" s="1"/>
  <c r="BA144" i="1"/>
  <c r="AL144" i="1"/>
  <c r="AO144" i="1"/>
  <c r="AP144" i="1"/>
  <c r="AW143" i="1"/>
  <c r="AZ143" i="1"/>
  <c r="BA143" i="1"/>
  <c r="BA142" i="1"/>
  <c r="AZ142" i="1"/>
  <c r="BB142" i="1" s="1"/>
  <c r="AW142" i="1"/>
  <c r="AZ141" i="1"/>
  <c r="AW141" i="1"/>
  <c r="BA141" i="1"/>
  <c r="AL141" i="1"/>
  <c r="AN142" i="1" s="1"/>
  <c r="AP141" i="1"/>
  <c r="AO141" i="1"/>
  <c r="AQ141" i="1" s="1"/>
  <c r="AW140" i="1"/>
  <c r="BA140" i="1"/>
  <c r="AZ140" i="1"/>
  <c r="BB140" i="1" s="1"/>
  <c r="BA139" i="1"/>
  <c r="AW139" i="1"/>
  <c r="AZ139" i="1"/>
  <c r="BB139" i="1" s="1"/>
  <c r="AL139" i="1"/>
  <c r="AN140" i="1" s="1"/>
  <c r="AO139" i="1"/>
  <c r="AP139" i="1"/>
  <c r="BA138" i="1"/>
  <c r="AW138" i="1"/>
  <c r="AZ138" i="1"/>
  <c r="BB138" i="1" s="1"/>
  <c r="AP138" i="1"/>
  <c r="AL138" i="1"/>
  <c r="AO138" i="1"/>
  <c r="AQ138" i="1" s="1"/>
  <c r="AP137" i="1"/>
  <c r="AL137" i="1"/>
  <c r="AO137" i="1"/>
  <c r="AQ137" i="1" s="1"/>
  <c r="BA136" i="1"/>
  <c r="AW136" i="1"/>
  <c r="AY137" i="1" s="1"/>
  <c r="AZ136" i="1"/>
  <c r="BB136" i="1" s="1"/>
  <c r="AL136" i="1"/>
  <c r="AO136" i="1"/>
  <c r="AP136" i="1"/>
  <c r="BA135" i="1"/>
  <c r="AZ135" i="1"/>
  <c r="BB135" i="1" s="1"/>
  <c r="AW135" i="1"/>
  <c r="AW134" i="1"/>
  <c r="BA134" i="1"/>
  <c r="AZ134" i="1"/>
  <c r="BB134" i="1" s="1"/>
  <c r="BA133" i="1"/>
  <c r="AW133" i="1"/>
  <c r="AZ133" i="1"/>
  <c r="BB133" i="1" s="1"/>
  <c r="AL132" i="1"/>
  <c r="AN133" i="1" s="1"/>
  <c r="AP132" i="1"/>
  <c r="AO132" i="1"/>
  <c r="AQ132" i="1" s="1"/>
  <c r="AW131" i="1"/>
  <c r="AY132" i="1" s="1"/>
  <c r="BA131" i="1"/>
  <c r="AZ131" i="1"/>
  <c r="BB131" i="1" s="1"/>
  <c r="AW130" i="1"/>
  <c r="AZ130" i="1"/>
  <c r="BB130" i="1" s="1"/>
  <c r="BA130" i="1"/>
  <c r="AP130" i="1"/>
  <c r="AL130" i="1"/>
  <c r="AN131" i="1" s="1"/>
  <c r="AO130" i="1"/>
  <c r="AQ130" i="1" s="1"/>
  <c r="AW129" i="1"/>
  <c r="AZ129" i="1"/>
  <c r="BA129" i="1"/>
  <c r="AP129" i="1"/>
  <c r="AO129" i="1"/>
  <c r="AQ129" i="1" s="1"/>
  <c r="AL129" i="1"/>
  <c r="AW128" i="1"/>
  <c r="BA128" i="1"/>
  <c r="AZ128" i="1"/>
  <c r="BB128" i="1" s="1"/>
  <c r="BA127" i="1"/>
  <c r="AZ127" i="1"/>
  <c r="BB127" i="1" s="1"/>
  <c r="AW127" i="1"/>
  <c r="BA126" i="1"/>
  <c r="AZ126" i="1"/>
  <c r="AW126" i="1"/>
  <c r="AO126" i="1"/>
  <c r="AL126" i="1"/>
  <c r="AN127" i="1" s="1"/>
  <c r="AP126" i="1"/>
  <c r="AP125" i="1"/>
  <c r="AL125" i="1"/>
  <c r="AO125" i="1"/>
  <c r="AQ125" i="1" s="1"/>
  <c r="BA124" i="1"/>
  <c r="AZ124" i="1"/>
  <c r="BB124" i="1" s="1"/>
  <c r="AW124" i="1"/>
  <c r="AY125" i="1" s="1"/>
  <c r="AL124" i="1"/>
  <c r="AO124" i="1"/>
  <c r="AP124" i="1"/>
  <c r="BA123" i="1"/>
  <c r="AW123" i="1"/>
  <c r="AZ123" i="1"/>
  <c r="BB123" i="1" s="1"/>
  <c r="AW122" i="1"/>
  <c r="BA122" i="1"/>
  <c r="AZ122" i="1"/>
  <c r="BB122" i="1" s="1"/>
  <c r="AO122" i="1"/>
  <c r="AP122" i="1"/>
  <c r="AL122" i="1"/>
  <c r="AN123" i="1" s="1"/>
  <c r="BA121" i="1"/>
  <c r="AZ121" i="1"/>
  <c r="BB121" i="1" s="1"/>
  <c r="AW121" i="1"/>
  <c r="AP121" i="1"/>
  <c r="AL121" i="1"/>
  <c r="AO121" i="1"/>
  <c r="AQ121" i="1" s="1"/>
  <c r="BE121" i="1" s="1"/>
  <c r="AW120" i="1"/>
  <c r="BA120" i="1"/>
  <c r="AZ120" i="1"/>
  <c r="BB120" i="1" s="1"/>
  <c r="BA119" i="1"/>
  <c r="AW119" i="1"/>
  <c r="AZ119" i="1"/>
  <c r="BB119" i="1" s="1"/>
  <c r="AO119" i="1"/>
  <c r="AP119" i="1"/>
  <c r="AL119" i="1"/>
  <c r="AN120" i="1" s="1"/>
  <c r="BA118" i="1"/>
  <c r="AW118" i="1"/>
  <c r="AZ118" i="1"/>
  <c r="BB118" i="1" s="1"/>
  <c r="AO118" i="1"/>
  <c r="AL118" i="1"/>
  <c r="AP118" i="1"/>
  <c r="AZ117" i="1"/>
  <c r="AW117" i="1"/>
  <c r="BA117" i="1"/>
  <c r="AL117" i="1"/>
  <c r="AO117" i="1"/>
  <c r="AP117" i="1"/>
  <c r="AP116" i="1"/>
  <c r="AL116" i="1"/>
  <c r="AO116" i="1"/>
  <c r="AQ116" i="1" s="1"/>
  <c r="AW115" i="1"/>
  <c r="AY116" i="1" s="1"/>
  <c r="AZ115" i="1"/>
  <c r="BB115" i="1" s="1"/>
  <c r="BA115" i="1"/>
  <c r="AL115" i="1"/>
  <c r="AO115" i="1"/>
  <c r="AP115" i="1"/>
  <c r="AW114" i="1"/>
  <c r="AZ114" i="1"/>
  <c r="BA114" i="1"/>
  <c r="AW113" i="1"/>
  <c r="BA113" i="1"/>
  <c r="AZ113" i="1"/>
  <c r="BB113" i="1" s="1"/>
  <c r="AL113" i="1"/>
  <c r="AN114" i="1" s="1"/>
  <c r="AO113" i="1"/>
  <c r="AP113" i="1"/>
  <c r="BA112" i="1"/>
  <c r="AZ112" i="1"/>
  <c r="BB112" i="1" s="1"/>
  <c r="AW112" i="1"/>
  <c r="AW111" i="1"/>
  <c r="BA111" i="1"/>
  <c r="AZ111" i="1"/>
  <c r="BB111" i="1" s="1"/>
  <c r="AO111" i="1"/>
  <c r="AP111" i="1"/>
  <c r="AL111" i="1"/>
  <c r="AN112" i="1" s="1"/>
  <c r="AP110" i="1"/>
  <c r="AL110" i="1"/>
  <c r="AO110" i="1"/>
  <c r="AQ110" i="1" s="1"/>
  <c r="AZ109" i="1"/>
  <c r="AW109" i="1"/>
  <c r="AY110" i="1" s="1"/>
  <c r="BA109" i="1"/>
  <c r="AP109" i="1"/>
  <c r="AO109" i="1"/>
  <c r="AQ109" i="1" s="1"/>
  <c r="AL109" i="1"/>
  <c r="BA108" i="1"/>
  <c r="AZ108" i="1"/>
  <c r="BB108" i="1" s="1"/>
  <c r="AW108" i="1"/>
  <c r="AP108" i="1"/>
  <c r="AO108" i="1"/>
  <c r="AQ108" i="1" s="1"/>
  <c r="AL108" i="1"/>
  <c r="AL107" i="1"/>
  <c r="AO107" i="1"/>
  <c r="AP107" i="1"/>
  <c r="AW106" i="1"/>
  <c r="AY107" i="1" s="1"/>
  <c r="BA106" i="1"/>
  <c r="AZ106" i="1"/>
  <c r="BB106" i="1" s="1"/>
  <c r="AL105" i="1"/>
  <c r="AN106" i="1" s="1"/>
  <c r="AP105" i="1"/>
  <c r="AO105" i="1"/>
  <c r="AQ105" i="1" s="1"/>
  <c r="BA104" i="1"/>
  <c r="AW104" i="1"/>
  <c r="AY105" i="1" s="1"/>
  <c r="AZ104" i="1"/>
  <c r="BB104" i="1" s="1"/>
  <c r="AL104" i="1"/>
  <c r="AO104" i="1"/>
  <c r="AP104" i="1"/>
  <c r="AW103" i="1"/>
  <c r="AZ103" i="1"/>
  <c r="BA103" i="1"/>
  <c r="AL102" i="1"/>
  <c r="AN103" i="1" s="1"/>
  <c r="AO102" i="1"/>
  <c r="AP102" i="1"/>
  <c r="AZ101" i="1"/>
  <c r="AW101" i="1"/>
  <c r="AY102" i="1" s="1"/>
  <c r="BA101" i="1"/>
  <c r="AL101" i="1"/>
  <c r="AO101" i="1"/>
  <c r="AP101" i="1"/>
  <c r="AZ100" i="1"/>
  <c r="AW100" i="1"/>
  <c r="BA100" i="1"/>
  <c r="AP100" i="1"/>
  <c r="AL100" i="1"/>
  <c r="AO100" i="1"/>
  <c r="AQ100" i="1" s="1"/>
  <c r="AW99" i="1"/>
  <c r="AZ99" i="1"/>
  <c r="BA99" i="1"/>
  <c r="AW98" i="1"/>
  <c r="AZ98" i="1"/>
  <c r="BA98" i="1"/>
  <c r="AP98" i="1"/>
  <c r="AL98" i="1"/>
  <c r="AN99" i="1" s="1"/>
  <c r="AO98" i="1"/>
  <c r="AQ98" i="1" s="1"/>
  <c r="AZ97" i="1"/>
  <c r="BA97" i="1"/>
  <c r="AW97" i="1"/>
  <c r="AL97" i="1"/>
  <c r="AP97" i="1"/>
  <c r="AO97" i="1"/>
  <c r="AQ97" i="1" s="1"/>
  <c r="BA96" i="1"/>
  <c r="AW96" i="1"/>
  <c r="AZ96" i="1"/>
  <c r="BB96" i="1" s="1"/>
  <c r="BA95" i="1"/>
  <c r="AW95" i="1"/>
  <c r="AZ95" i="1"/>
  <c r="BB95" i="1" s="1"/>
  <c r="AW94" i="1"/>
  <c r="AZ94" i="1"/>
  <c r="BA94" i="1"/>
  <c r="AZ93" i="1"/>
  <c r="BA93" i="1"/>
  <c r="AW93" i="1"/>
  <c r="AP93" i="1"/>
  <c r="AL93" i="1"/>
  <c r="AN94" i="1" s="1"/>
  <c r="AO93" i="1"/>
  <c r="AQ93" i="1" s="1"/>
  <c r="BA92" i="1"/>
  <c r="AW92" i="1"/>
  <c r="AZ92" i="1"/>
  <c r="BB92" i="1" s="1"/>
  <c r="BA91" i="1"/>
  <c r="AW91" i="1"/>
  <c r="AZ91" i="1"/>
  <c r="BB91" i="1" s="1"/>
  <c r="AW90" i="1"/>
  <c r="BA90" i="1"/>
  <c r="AZ90" i="1"/>
  <c r="BB90" i="1" s="1"/>
  <c r="AZ89" i="1"/>
  <c r="AW89" i="1"/>
  <c r="BA89" i="1"/>
  <c r="AL89" i="1"/>
  <c r="AN90" i="1" s="1"/>
  <c r="AO89" i="1"/>
  <c r="AP89" i="1"/>
  <c r="AW88" i="1"/>
  <c r="AZ88" i="1"/>
  <c r="BA88" i="1"/>
  <c r="AL88" i="1"/>
  <c r="AP88" i="1"/>
  <c r="AO88" i="1"/>
  <c r="AZ87" i="1"/>
  <c r="BA87" i="1"/>
  <c r="AW87" i="1"/>
  <c r="AL87" i="1"/>
  <c r="AP87" i="1"/>
  <c r="AO87" i="1"/>
  <c r="AQ87" i="1" s="1"/>
  <c r="AP86" i="1"/>
  <c r="AL86" i="1"/>
  <c r="AO86" i="1"/>
  <c r="AQ86" i="1" s="1"/>
  <c r="AW85" i="1"/>
  <c r="AY86" i="1" s="1"/>
  <c r="AZ85" i="1"/>
  <c r="BA85" i="1"/>
  <c r="AZ84" i="1"/>
  <c r="AW84" i="1"/>
  <c r="BA84" i="1"/>
  <c r="AO84" i="1"/>
  <c r="AP84" i="1"/>
  <c r="AL84" i="1"/>
  <c r="AN85" i="1" s="1"/>
  <c r="BA83" i="1"/>
  <c r="AW83" i="1"/>
  <c r="AZ83" i="1"/>
  <c r="BB83" i="1" s="1"/>
  <c r="AW82" i="1"/>
  <c r="BA82" i="1"/>
  <c r="AZ82" i="1"/>
  <c r="BB82" i="1" s="1"/>
  <c r="AW81" i="1"/>
  <c r="AZ81" i="1"/>
  <c r="BA81" i="1"/>
  <c r="AL81" i="1"/>
  <c r="AN82" i="1" s="1"/>
  <c r="AO81" i="1"/>
  <c r="AP81" i="1"/>
  <c r="AZ80" i="1"/>
  <c r="AW80" i="1"/>
  <c r="BA80" i="1"/>
  <c r="BA79" i="1"/>
  <c r="AZ79" i="1"/>
  <c r="BB79" i="1" s="1"/>
  <c r="AW79" i="1"/>
  <c r="AO79" i="1"/>
  <c r="AL79" i="1"/>
  <c r="AN80" i="1" s="1"/>
  <c r="AP79" i="1"/>
  <c r="AL78" i="1"/>
  <c r="AO78" i="1"/>
  <c r="AP78" i="1"/>
  <c r="AW77" i="1"/>
  <c r="AY78" i="1" s="1"/>
  <c r="BA77" i="1"/>
  <c r="AZ77" i="1"/>
  <c r="BB77" i="1" s="1"/>
  <c r="AO77" i="1"/>
  <c r="AL77" i="1"/>
  <c r="AP77" i="1"/>
  <c r="AW76" i="1"/>
  <c r="AZ76" i="1"/>
  <c r="BA76" i="1"/>
  <c r="AL76" i="1"/>
  <c r="AP76" i="1"/>
  <c r="AO76" i="1"/>
  <c r="AQ76" i="1" s="1"/>
  <c r="AW75" i="1"/>
  <c r="BA75" i="1"/>
  <c r="AZ75" i="1"/>
  <c r="BB75" i="1" s="1"/>
  <c r="AP75" i="1"/>
  <c r="AO75" i="1"/>
  <c r="AQ75" i="1" s="1"/>
  <c r="BE75" i="1" s="1"/>
  <c r="AL75" i="1"/>
  <c r="AW74" i="1"/>
  <c r="BA74" i="1"/>
  <c r="AZ74" i="1"/>
  <c r="BB74" i="1" s="1"/>
  <c r="AO73" i="1"/>
  <c r="AP73" i="1"/>
  <c r="AL73" i="1"/>
  <c r="AN74" i="1" s="1"/>
  <c r="AO72" i="1"/>
  <c r="AP72" i="1"/>
  <c r="AL72" i="1"/>
  <c r="AW71" i="1"/>
  <c r="AY72" i="1" s="1"/>
  <c r="AZ71" i="1"/>
  <c r="BA71" i="1"/>
  <c r="AO70" i="1"/>
  <c r="AP70" i="1"/>
  <c r="AL70" i="1"/>
  <c r="AN71" i="1" s="1"/>
  <c r="AW69" i="1"/>
  <c r="AY70" i="1" s="1"/>
  <c r="AZ69" i="1"/>
  <c r="BA69" i="1"/>
  <c r="AP69" i="1"/>
  <c r="AL69" i="1"/>
  <c r="AO69" i="1"/>
  <c r="AQ69" i="1" s="1"/>
  <c r="AZ68" i="1"/>
  <c r="BA68" i="1"/>
  <c r="AW68" i="1"/>
  <c r="AL68" i="1"/>
  <c r="AO68" i="1"/>
  <c r="AP68" i="1"/>
  <c r="AZ67" i="1"/>
  <c r="BA67" i="1"/>
  <c r="AW67" i="1"/>
  <c r="AO67" i="1"/>
  <c r="AL67" i="1"/>
  <c r="AP67" i="1"/>
  <c r="AL66" i="1"/>
  <c r="AO66" i="1"/>
  <c r="AP66" i="1"/>
  <c r="AL65" i="1"/>
  <c r="AP65" i="1"/>
  <c r="AO65" i="1"/>
  <c r="AQ65" i="1" s="1"/>
  <c r="AZ64" i="1"/>
  <c r="AW64" i="1"/>
  <c r="AY65" i="1" s="1"/>
  <c r="BA64" i="1"/>
  <c r="AL64" i="1"/>
  <c r="AO64" i="1"/>
  <c r="AP64" i="1"/>
  <c r="AZ63" i="1"/>
  <c r="AW63" i="1"/>
  <c r="BA63" i="1"/>
  <c r="AL63" i="1"/>
  <c r="AO63" i="1"/>
  <c r="AP63" i="1"/>
  <c r="AZ62" i="1"/>
  <c r="AW62" i="1"/>
  <c r="BA62" i="1"/>
  <c r="AZ61" i="1"/>
  <c r="AW61" i="1"/>
  <c r="BA61" i="1"/>
  <c r="AL61" i="1"/>
  <c r="AN62" i="1" s="1"/>
  <c r="AP61" i="1"/>
  <c r="AO61" i="1"/>
  <c r="AQ61" i="1" s="1"/>
  <c r="AP60" i="1"/>
  <c r="AO60" i="1"/>
  <c r="AQ60" i="1" s="1"/>
  <c r="AL60" i="1"/>
  <c r="AW59" i="1"/>
  <c r="AY60" i="1" s="1"/>
  <c r="BA59" i="1"/>
  <c r="AZ59" i="1"/>
  <c r="BB59" i="1" s="1"/>
  <c r="AZ57" i="1"/>
  <c r="AW57" i="1"/>
  <c r="AY58" i="1" s="1"/>
  <c r="BA57" i="1"/>
  <c r="AP57" i="1"/>
  <c r="AL57" i="1"/>
  <c r="AO57" i="1"/>
  <c r="AQ57" i="1" s="1"/>
  <c r="AW56" i="1"/>
  <c r="AZ56" i="1"/>
  <c r="BA56" i="1"/>
  <c r="AL56" i="1"/>
  <c r="AP56" i="1"/>
  <c r="AO56" i="1"/>
  <c r="AQ56" i="1" s="1"/>
  <c r="AZ55" i="1"/>
  <c r="BA55" i="1"/>
  <c r="AW55" i="1"/>
  <c r="AP54" i="1"/>
  <c r="AL54" i="1"/>
  <c r="AN55" i="1" s="1"/>
  <c r="AO54" i="1"/>
  <c r="AQ54" i="1" s="1"/>
  <c r="AZ53" i="1"/>
  <c r="BA53" i="1"/>
  <c r="AW53" i="1"/>
  <c r="AY54" i="1" s="1"/>
  <c r="AO53" i="1"/>
  <c r="AL53" i="1"/>
  <c r="AP53" i="1"/>
  <c r="AZ51" i="1"/>
  <c r="AW51" i="1"/>
  <c r="AY52" i="1" s="1"/>
  <c r="BA51" i="1"/>
  <c r="AL51" i="1"/>
  <c r="AO51" i="1"/>
  <c r="AP51" i="1"/>
  <c r="BA50" i="1"/>
  <c r="AW50" i="1"/>
  <c r="AZ50" i="1"/>
  <c r="BB50" i="1" s="1"/>
  <c r="AW49" i="1"/>
  <c r="AZ49" i="1"/>
  <c r="BA49" i="1"/>
  <c r="AW48" i="1"/>
  <c r="BA48" i="1"/>
  <c r="AZ48" i="1"/>
  <c r="BB48" i="1" s="1"/>
  <c r="AW47" i="1"/>
  <c r="BA47" i="1"/>
  <c r="AZ47" i="1"/>
  <c r="BB47" i="1" s="1"/>
  <c r="AW46" i="1"/>
  <c r="BA46" i="1"/>
  <c r="AZ46" i="1"/>
  <c r="BB46" i="1" s="1"/>
  <c r="AO46" i="1"/>
  <c r="AP46" i="1"/>
  <c r="AL46" i="1"/>
  <c r="AN47" i="1" s="1"/>
  <c r="AW45" i="1"/>
  <c r="AZ45" i="1"/>
  <c r="BB45" i="1" s="1"/>
  <c r="BA45" i="1"/>
  <c r="AZ44" i="1"/>
  <c r="BB44" i="1" s="1"/>
  <c r="BA44" i="1"/>
  <c r="AW44" i="1"/>
  <c r="AL44" i="1"/>
  <c r="AN45" i="1" s="1"/>
  <c r="AO44" i="1"/>
  <c r="AP44" i="1"/>
  <c r="BA43" i="1"/>
  <c r="AZ43" i="1"/>
  <c r="BB43" i="1" s="1"/>
  <c r="AW43" i="1"/>
  <c r="AL43" i="1"/>
  <c r="AP43" i="1"/>
  <c r="AO43" i="1"/>
  <c r="AQ43" i="1" s="1"/>
  <c r="BE43" i="1" s="1"/>
  <c r="AW42" i="1"/>
  <c r="AZ42" i="1"/>
  <c r="BA42" i="1"/>
  <c r="AW41" i="1"/>
  <c r="AZ41" i="1"/>
  <c r="BA41" i="1"/>
  <c r="AP41" i="1"/>
  <c r="AL41" i="1"/>
  <c r="AN42" i="1" s="1"/>
  <c r="AO41" i="1"/>
  <c r="AQ41" i="1" s="1"/>
  <c r="AZ40" i="1"/>
  <c r="AW40" i="1"/>
  <c r="BA40" i="1"/>
  <c r="AW39" i="1"/>
  <c r="AZ39" i="1"/>
  <c r="BA39" i="1"/>
  <c r="AL39" i="1"/>
  <c r="AN40" i="1" s="1"/>
  <c r="AO39" i="1"/>
  <c r="AP39" i="1"/>
  <c r="BA38" i="1"/>
  <c r="AW38" i="1"/>
  <c r="AZ38" i="1"/>
  <c r="BB38" i="1" s="1"/>
  <c r="AZ37" i="1"/>
  <c r="BA37" i="1"/>
  <c r="AW37" i="1"/>
  <c r="AO37" i="1"/>
  <c r="AL37" i="1"/>
  <c r="AN38" i="1" s="1"/>
  <c r="AP37" i="1"/>
  <c r="AZ36" i="1"/>
  <c r="AW36" i="1"/>
  <c r="BA36" i="1"/>
  <c r="AW35" i="1"/>
  <c r="AZ35" i="1"/>
  <c r="BA35" i="1"/>
  <c r="AP35" i="1"/>
  <c r="AO35" i="1"/>
  <c r="AQ35" i="1" s="1"/>
  <c r="AL35" i="1"/>
  <c r="AN36" i="1" s="1"/>
  <c r="AW34" i="1"/>
  <c r="AZ34" i="1"/>
  <c r="BA34" i="1"/>
  <c r="BA33" i="1"/>
  <c r="AZ33" i="1"/>
  <c r="BB33" i="1" s="1"/>
  <c r="AW33" i="1"/>
  <c r="AL33" i="1"/>
  <c r="AN34" i="1" s="1"/>
  <c r="AP33" i="1"/>
  <c r="AO33" i="1"/>
  <c r="AQ33" i="1" s="1"/>
  <c r="BE33" i="1" s="1"/>
  <c r="AZ32" i="1"/>
  <c r="AW32" i="1"/>
  <c r="BA32" i="1"/>
  <c r="AL32" i="1"/>
  <c r="AO32" i="1"/>
  <c r="AP32" i="1"/>
  <c r="AW31" i="1"/>
  <c r="BA31" i="1"/>
  <c r="AZ31" i="1"/>
  <c r="BB31" i="1" s="1"/>
  <c r="AZ30" i="1"/>
  <c r="AW30" i="1"/>
  <c r="BA30" i="1"/>
  <c r="AP30" i="1"/>
  <c r="AL30" i="1"/>
  <c r="AN31" i="1" s="1"/>
  <c r="AO30" i="1"/>
  <c r="AQ30" i="1" s="1"/>
  <c r="AL29" i="1"/>
  <c r="AP29" i="1"/>
  <c r="AO29" i="1"/>
  <c r="AQ29" i="1" s="1"/>
  <c r="AL28" i="1"/>
  <c r="AP28" i="1"/>
  <c r="AO28" i="1"/>
  <c r="AQ28" i="1" s="1"/>
  <c r="AL27" i="1"/>
  <c r="AO27" i="1"/>
  <c r="AP27" i="1"/>
  <c r="AL26" i="1"/>
  <c r="AP26" i="1"/>
  <c r="AO26" i="1"/>
  <c r="AQ26" i="1" s="1"/>
  <c r="AW25" i="1"/>
  <c r="AY26" i="1" s="1"/>
  <c r="AZ25" i="1"/>
  <c r="BA25" i="1"/>
  <c r="AP24" i="1"/>
  <c r="AL24" i="1"/>
  <c r="AN25" i="1" s="1"/>
  <c r="AO24" i="1"/>
  <c r="AQ24" i="1" s="1"/>
  <c r="AZ23" i="1"/>
  <c r="AW23" i="1"/>
  <c r="AY24" i="1" s="1"/>
  <c r="BA23" i="1"/>
  <c r="AL23" i="1"/>
  <c r="AP23" i="1"/>
  <c r="AO23" i="1"/>
  <c r="AQ23" i="1" s="1"/>
  <c r="BA22" i="1"/>
  <c r="AZ22" i="1"/>
  <c r="BB22" i="1" s="1"/>
  <c r="AP22" i="1"/>
  <c r="AO22" i="1"/>
  <c r="AQ22" i="1" s="1"/>
  <c r="BB114" i="1" l="1"/>
  <c r="BE138" i="1"/>
  <c r="BE130" i="1"/>
  <c r="BE108" i="1"/>
  <c r="BB42" i="1"/>
  <c r="BB32" i="1"/>
  <c r="BB160" i="1"/>
  <c r="AQ136" i="1"/>
  <c r="BE136" i="1" s="1"/>
  <c r="AQ46" i="1"/>
  <c r="BE46" i="1" s="1"/>
  <c r="AQ27" i="1"/>
  <c r="AQ169" i="1"/>
  <c r="BE169" i="1" s="1"/>
  <c r="AP52" i="1"/>
  <c r="AL52" i="1"/>
  <c r="AO52" i="1"/>
  <c r="AQ52" i="1" s="1"/>
  <c r="AO134" i="1"/>
  <c r="AL134" i="1"/>
  <c r="AN135" i="1" s="1"/>
  <c r="AP134" i="1"/>
  <c r="AL58" i="1"/>
  <c r="AN59" i="1" s="1"/>
  <c r="AP58" i="1"/>
  <c r="AO58" i="1"/>
  <c r="AQ58" i="1" s="1"/>
  <c r="AL48" i="1"/>
  <c r="AN49" i="1" s="1"/>
  <c r="AO48" i="1"/>
  <c r="AP48" i="1"/>
  <c r="BB153" i="1"/>
  <c r="BE153" i="1" s="1"/>
  <c r="BB36" i="1"/>
  <c r="BB161" i="1"/>
  <c r="BB156" i="1"/>
  <c r="AQ144" i="1"/>
  <c r="AQ139" i="1"/>
  <c r="BE139" i="1" s="1"/>
  <c r="AQ171" i="1"/>
  <c r="BB163" i="1"/>
  <c r="AQ39" i="1"/>
  <c r="AQ107" i="1"/>
  <c r="AQ101" i="1"/>
  <c r="BB100" i="1"/>
  <c r="BE100" i="1" s="1"/>
  <c r="BB99" i="1"/>
  <c r="BB98" i="1"/>
  <c r="BE98" i="1" s="1"/>
  <c r="AQ89" i="1"/>
  <c r="BB81" i="1"/>
  <c r="BB76" i="1"/>
  <c r="BE76" i="1" s="1"/>
  <c r="AQ73" i="1"/>
  <c r="AQ72" i="1"/>
  <c r="BB69" i="1"/>
  <c r="BE69" i="1" s="1"/>
  <c r="BB68" i="1"/>
  <c r="BB67" i="1"/>
  <c r="AQ66" i="1"/>
  <c r="AQ64" i="1"/>
  <c r="AQ63" i="1"/>
  <c r="BB62" i="1"/>
  <c r="BB55" i="1"/>
  <c r="BB53" i="1"/>
  <c r="BB49" i="1"/>
  <c r="AQ48" i="1"/>
  <c r="BE48" i="1" s="1"/>
  <c r="BB34" i="1"/>
  <c r="BB25" i="1"/>
  <c r="BB150" i="1"/>
  <c r="BE150" i="1" s="1"/>
  <c r="AZ174" i="1"/>
  <c r="AW174" i="1"/>
  <c r="BA174" i="1"/>
  <c r="AO172" i="1"/>
  <c r="AL172" i="1"/>
  <c r="AP172" i="1"/>
  <c r="AW171" i="1"/>
  <c r="BA171" i="1"/>
  <c r="AZ171" i="1"/>
  <c r="BB171" i="1" s="1"/>
  <c r="BE171" i="1" s="1"/>
  <c r="AP170" i="1"/>
  <c r="AO170" i="1"/>
  <c r="AQ170" i="1" s="1"/>
  <c r="AL170" i="1"/>
  <c r="AW168" i="1"/>
  <c r="AZ168" i="1"/>
  <c r="BA168" i="1"/>
  <c r="AL165" i="1"/>
  <c r="AN166" i="1" s="1"/>
  <c r="AO165" i="1"/>
  <c r="AP165" i="1"/>
  <c r="AP159" i="1"/>
  <c r="AL159" i="1"/>
  <c r="AN160" i="1" s="1"/>
  <c r="AO159" i="1"/>
  <c r="AQ159" i="1" s="1"/>
  <c r="BE159" i="1" s="1"/>
  <c r="AW158" i="1"/>
  <c r="AZ158" i="1"/>
  <c r="BA158" i="1"/>
  <c r="AL156" i="1"/>
  <c r="AO156" i="1"/>
  <c r="AP156" i="1"/>
  <c r="AZ155" i="1"/>
  <c r="AW155" i="1"/>
  <c r="BA155" i="1"/>
  <c r="AP154" i="1"/>
  <c r="AL154" i="1"/>
  <c r="AO154" i="1"/>
  <c r="AQ154" i="1" s="1"/>
  <c r="BE154" i="1" s="1"/>
  <c r="AW152" i="1"/>
  <c r="BA152" i="1"/>
  <c r="AZ152" i="1"/>
  <c r="BB152" i="1" s="1"/>
  <c r="BE152" i="1" s="1"/>
  <c r="AO148" i="1"/>
  <c r="AL148" i="1"/>
  <c r="AP148" i="1"/>
  <c r="AP146" i="1"/>
  <c r="AO146" i="1"/>
  <c r="AQ146" i="1" s="1"/>
  <c r="BE146" i="1" s="1"/>
  <c r="AL146" i="1"/>
  <c r="BA145" i="1"/>
  <c r="AZ145" i="1"/>
  <c r="BB145" i="1" s="1"/>
  <c r="AW145" i="1"/>
  <c r="AO142" i="1"/>
  <c r="AP142" i="1"/>
  <c r="AL142" i="1"/>
  <c r="AN143" i="1" s="1"/>
  <c r="AP140" i="1"/>
  <c r="AO140" i="1"/>
  <c r="AQ140" i="1" s="1"/>
  <c r="BE140" i="1" s="1"/>
  <c r="AL140" i="1"/>
  <c r="BA137" i="1"/>
  <c r="AW137" i="1"/>
  <c r="AZ137" i="1"/>
  <c r="BB137" i="1" s="1"/>
  <c r="BE137" i="1" s="1"/>
  <c r="AL135" i="1"/>
  <c r="AO135" i="1"/>
  <c r="AP135" i="1"/>
  <c r="AP133" i="1"/>
  <c r="AL133" i="1"/>
  <c r="AO133" i="1"/>
  <c r="AQ133" i="1" s="1"/>
  <c r="BE133" i="1" s="1"/>
  <c r="AZ132" i="1"/>
  <c r="BA132" i="1"/>
  <c r="AW132" i="1"/>
  <c r="AO131" i="1"/>
  <c r="AL131" i="1"/>
  <c r="AP131" i="1"/>
  <c r="AP127" i="1"/>
  <c r="AO127" i="1"/>
  <c r="AQ127" i="1" s="1"/>
  <c r="BE127" i="1" s="1"/>
  <c r="AL127" i="1"/>
  <c r="AN128" i="1" s="1"/>
  <c r="AW125" i="1"/>
  <c r="BA125" i="1"/>
  <c r="AZ125" i="1"/>
  <c r="BB125" i="1" s="1"/>
  <c r="BE125" i="1" s="1"/>
  <c r="AL123" i="1"/>
  <c r="AO123" i="1"/>
  <c r="AP123" i="1"/>
  <c r="AP120" i="1"/>
  <c r="AO120" i="1"/>
  <c r="AQ120" i="1" s="1"/>
  <c r="BE120" i="1" s="1"/>
  <c r="AL120" i="1"/>
  <c r="AW116" i="1"/>
  <c r="AZ116" i="1"/>
  <c r="BA116" i="1"/>
  <c r="AO114" i="1"/>
  <c r="AL114" i="1"/>
  <c r="AP114" i="1"/>
  <c r="AP112" i="1"/>
  <c r="AL112" i="1"/>
  <c r="AO112" i="1"/>
  <c r="AQ112" i="1" s="1"/>
  <c r="BE112" i="1" s="1"/>
  <c r="AW110" i="1"/>
  <c r="AZ110" i="1"/>
  <c r="BA110" i="1"/>
  <c r="AZ107" i="1"/>
  <c r="AW107" i="1"/>
  <c r="BA107" i="1"/>
  <c r="AP106" i="1"/>
  <c r="AL106" i="1"/>
  <c r="AO106" i="1"/>
  <c r="AQ106" i="1" s="1"/>
  <c r="BE106" i="1" s="1"/>
  <c r="BA105" i="1"/>
  <c r="AZ105" i="1"/>
  <c r="BB105" i="1" s="1"/>
  <c r="BE105" i="1" s="1"/>
  <c r="AW105" i="1"/>
  <c r="AO103" i="1"/>
  <c r="AP103" i="1"/>
  <c r="AL103" i="1"/>
  <c r="AZ102" i="1"/>
  <c r="BA102" i="1"/>
  <c r="AW102" i="1"/>
  <c r="AL99" i="1"/>
  <c r="AP99" i="1"/>
  <c r="AO99" i="1"/>
  <c r="AQ99" i="1" s="1"/>
  <c r="BE99" i="1" s="1"/>
  <c r="AP94" i="1"/>
  <c r="AO94" i="1"/>
  <c r="AQ94" i="1" s="1"/>
  <c r="AL94" i="1"/>
  <c r="AN95" i="1" s="1"/>
  <c r="AP90" i="1"/>
  <c r="AL90" i="1"/>
  <c r="AN91" i="1" s="1"/>
  <c r="AO90" i="1"/>
  <c r="AQ90" i="1" s="1"/>
  <c r="BE90" i="1" s="1"/>
  <c r="BA86" i="1"/>
  <c r="AW86" i="1"/>
  <c r="AZ86" i="1"/>
  <c r="BB86" i="1" s="1"/>
  <c r="BE86" i="1" s="1"/>
  <c r="AP85" i="1"/>
  <c r="AL85" i="1"/>
  <c r="AO85" i="1"/>
  <c r="AQ85" i="1" s="1"/>
  <c r="AO82" i="1"/>
  <c r="AL82" i="1"/>
  <c r="AN83" i="1" s="1"/>
  <c r="AP82" i="1"/>
  <c r="AO80" i="1"/>
  <c r="AL80" i="1"/>
  <c r="AP80" i="1"/>
  <c r="BA78" i="1"/>
  <c r="AZ78" i="1"/>
  <c r="BB78" i="1" s="1"/>
  <c r="AW78" i="1"/>
  <c r="AP74" i="1"/>
  <c r="AO74" i="1"/>
  <c r="AQ74" i="1" s="1"/>
  <c r="BE74" i="1" s="1"/>
  <c r="AL74" i="1"/>
  <c r="AZ72" i="1"/>
  <c r="AW72" i="1"/>
  <c r="AY73" i="1" s="1"/>
  <c r="BA72" i="1"/>
  <c r="AP71" i="1"/>
  <c r="AL71" i="1"/>
  <c r="AO71" i="1"/>
  <c r="AQ71" i="1" s="1"/>
  <c r="AZ70" i="1"/>
  <c r="AW70" i="1"/>
  <c r="BA70" i="1"/>
  <c r="BA65" i="1"/>
  <c r="AZ65" i="1"/>
  <c r="BB65" i="1" s="1"/>
  <c r="BE65" i="1" s="1"/>
  <c r="AW65" i="1"/>
  <c r="AY66" i="1" s="1"/>
  <c r="AO62" i="1"/>
  <c r="AL62" i="1"/>
  <c r="AP62" i="1"/>
  <c r="AZ60" i="1"/>
  <c r="AW60" i="1"/>
  <c r="BA60" i="1"/>
  <c r="AP59" i="1"/>
  <c r="AL59" i="1"/>
  <c r="AO59" i="1"/>
  <c r="AQ59" i="1" s="1"/>
  <c r="BE59" i="1" s="1"/>
  <c r="AZ58" i="1"/>
  <c r="AW58" i="1"/>
  <c r="BA58" i="1"/>
  <c r="AP55" i="1"/>
  <c r="AO55" i="1"/>
  <c r="AQ55" i="1" s="1"/>
  <c r="BE55" i="1" s="1"/>
  <c r="AL55" i="1"/>
  <c r="BA54" i="1"/>
  <c r="AZ54" i="1"/>
  <c r="BB54" i="1" s="1"/>
  <c r="BE54" i="1" s="1"/>
  <c r="AW54" i="1"/>
  <c r="AZ52" i="1"/>
  <c r="BA52" i="1"/>
  <c r="AW52" i="1"/>
  <c r="AO49" i="1"/>
  <c r="AP49" i="1"/>
  <c r="AL49" i="1"/>
  <c r="AN50" i="1" s="1"/>
  <c r="AO47" i="1"/>
  <c r="AL47" i="1"/>
  <c r="AP47" i="1"/>
  <c r="AO45" i="1"/>
  <c r="AP45" i="1"/>
  <c r="AL45" i="1"/>
  <c r="AO42" i="1"/>
  <c r="AP42" i="1"/>
  <c r="AL42" i="1"/>
  <c r="AP40" i="1"/>
  <c r="AO40" i="1"/>
  <c r="AQ40" i="1" s="1"/>
  <c r="AL40" i="1"/>
  <c r="AP38" i="1"/>
  <c r="AO38" i="1"/>
  <c r="AQ38" i="1" s="1"/>
  <c r="BE38" i="1" s="1"/>
  <c r="AL38" i="1"/>
  <c r="AO36" i="1"/>
  <c r="AP36" i="1"/>
  <c r="AL36" i="1"/>
  <c r="AO34" i="1"/>
  <c r="AL34" i="1"/>
  <c r="AP34" i="1"/>
  <c r="AP31" i="1"/>
  <c r="AO31" i="1"/>
  <c r="AQ31" i="1" s="1"/>
  <c r="BE31" i="1" s="1"/>
  <c r="AL31" i="1"/>
  <c r="AW26" i="1"/>
  <c r="AY27" i="1" s="1"/>
  <c r="BA26" i="1"/>
  <c r="AZ26" i="1"/>
  <c r="BB26" i="1" s="1"/>
  <c r="BE26" i="1" s="1"/>
  <c r="AP25" i="1"/>
  <c r="AO25" i="1"/>
  <c r="AQ25" i="1" s="1"/>
  <c r="BE25" i="1" s="1"/>
  <c r="AL25" i="1"/>
  <c r="BA24" i="1"/>
  <c r="AW24" i="1"/>
  <c r="AZ24" i="1"/>
  <c r="BB24" i="1" s="1"/>
  <c r="BE24" i="1" s="1"/>
  <c r="BC22" i="1"/>
  <c r="AR22" i="1"/>
  <c r="AR23" i="1" s="1"/>
  <c r="AR24" i="1" s="1"/>
  <c r="AR25" i="1" s="1"/>
  <c r="AR26" i="1" s="1"/>
  <c r="AR27" i="1" s="1"/>
  <c r="AR28" i="1" s="1"/>
  <c r="AR29" i="1" s="1"/>
  <c r="AR30" i="1" s="1"/>
  <c r="AR31" i="1" s="1"/>
  <c r="BE22" i="1"/>
  <c r="AQ145" i="1"/>
  <c r="BE145" i="1" s="1"/>
  <c r="AQ124" i="1"/>
  <c r="BE124" i="1" s="1"/>
  <c r="AQ111" i="1"/>
  <c r="BE111" i="1" s="1"/>
  <c r="BB103" i="1"/>
  <c r="BB94" i="1"/>
  <c r="AQ51" i="1"/>
  <c r="BB39" i="1"/>
  <c r="BE39" i="1" s="1"/>
  <c r="BB37" i="1"/>
  <c r="BB35" i="1"/>
  <c r="BE35" i="1" s="1"/>
  <c r="BB170" i="1"/>
  <c r="BB148" i="1"/>
  <c r="AQ119" i="1"/>
  <c r="BE119" i="1" s="1"/>
  <c r="AQ113" i="1"/>
  <c r="BE113" i="1" s="1"/>
  <c r="AQ104" i="1"/>
  <c r="BE104" i="1" s="1"/>
  <c r="BB97" i="1"/>
  <c r="BE97" i="1" s="1"/>
  <c r="BB93" i="1"/>
  <c r="BE93" i="1" s="1"/>
  <c r="BB88" i="1"/>
  <c r="AQ77" i="1"/>
  <c r="BE77" i="1" s="1"/>
  <c r="AQ68" i="1"/>
  <c r="BE68" i="1" s="1"/>
  <c r="BB56" i="1"/>
  <c r="BE56" i="1" s="1"/>
  <c r="AQ53" i="1"/>
  <c r="BE53" i="1" s="1"/>
  <c r="AQ32" i="1"/>
  <c r="AQ176" i="1"/>
  <c r="BE176" i="1" s="1"/>
  <c r="AQ174" i="1"/>
  <c r="BB165" i="1"/>
  <c r="BE164" i="1"/>
  <c r="BB144" i="1"/>
  <c r="BE144" i="1" s="1"/>
  <c r="BB143" i="1"/>
  <c r="BB126" i="1"/>
  <c r="AQ117" i="1"/>
  <c r="BB101" i="1"/>
  <c r="BE101" i="1" s="1"/>
  <c r="BB87" i="1"/>
  <c r="BE87" i="1" s="1"/>
  <c r="AQ79" i="1"/>
  <c r="BE79" i="1" s="1"/>
  <c r="BB64" i="1"/>
  <c r="BE64" i="1" s="1"/>
  <c r="BB63" i="1"/>
  <c r="BE63" i="1" s="1"/>
  <c r="BB61" i="1"/>
  <c r="BE61" i="1" s="1"/>
  <c r="BB51" i="1"/>
  <c r="AQ44" i="1"/>
  <c r="BE44" i="1" s="1"/>
  <c r="BB41" i="1"/>
  <c r="BE41" i="1" s="1"/>
  <c r="AQ126" i="1"/>
  <c r="BE126" i="1" s="1"/>
  <c r="AQ122" i="1"/>
  <c r="BE122" i="1" s="1"/>
  <c r="BB117" i="1"/>
  <c r="AQ115" i="1"/>
  <c r="BE115" i="1" s="1"/>
  <c r="BB85" i="1"/>
  <c r="BB57" i="1"/>
  <c r="BE57" i="1" s="1"/>
  <c r="BB40" i="1"/>
  <c r="BB23" i="1"/>
  <c r="BB149" i="1"/>
  <c r="BE149" i="1" s="1"/>
  <c r="AQ118" i="1"/>
  <c r="BE118" i="1" s="1"/>
  <c r="BB109" i="1"/>
  <c r="BE109" i="1" s="1"/>
  <c r="BB89" i="1"/>
  <c r="BE89" i="1" s="1"/>
  <c r="AQ88" i="1"/>
  <c r="BE88" i="1" s="1"/>
  <c r="AQ81" i="1"/>
  <c r="BE81" i="1" s="1"/>
  <c r="AQ78" i="1"/>
  <c r="BE78" i="1" s="1"/>
  <c r="BB71" i="1"/>
  <c r="AQ67" i="1"/>
  <c r="BE67" i="1" s="1"/>
  <c r="AQ37" i="1"/>
  <c r="BE37" i="1" s="1"/>
  <c r="BB129" i="1"/>
  <c r="BE129" i="1" s="1"/>
  <c r="BB84" i="1"/>
  <c r="BB30" i="1"/>
  <c r="BE30" i="1" s="1"/>
  <c r="AQ157" i="1"/>
  <c r="BE157" i="1" s="1"/>
  <c r="AQ151" i="1"/>
  <c r="BE151" i="1" s="1"/>
  <c r="BB141" i="1"/>
  <c r="BE141" i="1" s="1"/>
  <c r="AQ134" i="1"/>
  <c r="BE134" i="1" s="1"/>
  <c r="AQ102" i="1"/>
  <c r="AQ84" i="1"/>
  <c r="BE84" i="1" s="1"/>
  <c r="BB80" i="1"/>
  <c r="AQ70" i="1"/>
  <c r="AL166" i="1" l="1"/>
  <c r="AN167" i="1" s="1"/>
  <c r="AP166" i="1"/>
  <c r="AO166" i="1"/>
  <c r="AP160" i="1"/>
  <c r="AL160" i="1"/>
  <c r="AN161" i="1" s="1"/>
  <c r="AO160" i="1"/>
  <c r="AQ160" i="1" s="1"/>
  <c r="BE160" i="1" s="1"/>
  <c r="AO143" i="1"/>
  <c r="AP143" i="1"/>
  <c r="AL143" i="1"/>
  <c r="AO128" i="1"/>
  <c r="AP128" i="1"/>
  <c r="AL128" i="1"/>
  <c r="AO95" i="1"/>
  <c r="AP95" i="1"/>
  <c r="AL95" i="1"/>
  <c r="AN96" i="1" s="1"/>
  <c r="AL91" i="1"/>
  <c r="AN92" i="1" s="1"/>
  <c r="AO91" i="1"/>
  <c r="AP91" i="1"/>
  <c r="AP83" i="1"/>
  <c r="AL83" i="1"/>
  <c r="AO83" i="1"/>
  <c r="AQ83" i="1" s="1"/>
  <c r="BE83" i="1" s="1"/>
  <c r="BA73" i="1"/>
  <c r="AZ73" i="1"/>
  <c r="AW73" i="1"/>
  <c r="AW66" i="1"/>
  <c r="BA66" i="1"/>
  <c r="AZ66" i="1"/>
  <c r="BB66" i="1" s="1"/>
  <c r="BE66" i="1" s="1"/>
  <c r="AO50" i="1"/>
  <c r="AL50" i="1"/>
  <c r="AP50" i="1"/>
  <c r="AZ27" i="1"/>
  <c r="AW27" i="1"/>
  <c r="AY28" i="1" s="1"/>
  <c r="BA27" i="1"/>
  <c r="BF22" i="1"/>
  <c r="BB174" i="1"/>
  <c r="BE174" i="1" s="1"/>
  <c r="AQ172" i="1"/>
  <c r="BE172" i="1" s="1"/>
  <c r="BE170" i="1"/>
  <c r="BB168" i="1"/>
  <c r="BE168" i="1" s="1"/>
  <c r="AQ165" i="1"/>
  <c r="BE165" i="1" s="1"/>
  <c r="BB158" i="1"/>
  <c r="BE158" i="1" s="1"/>
  <c r="AQ156" i="1"/>
  <c r="BE156" i="1" s="1"/>
  <c r="BB155" i="1"/>
  <c r="BE155" i="1" s="1"/>
  <c r="AQ148" i="1"/>
  <c r="BE148" i="1" s="1"/>
  <c r="AQ142" i="1"/>
  <c r="BE142" i="1" s="1"/>
  <c r="AQ135" i="1"/>
  <c r="BE135" i="1" s="1"/>
  <c r="BB132" i="1"/>
  <c r="BE132" i="1" s="1"/>
  <c r="AQ131" i="1"/>
  <c r="BE131" i="1" s="1"/>
  <c r="AQ123" i="1"/>
  <c r="BE123" i="1" s="1"/>
  <c r="BB116" i="1"/>
  <c r="BE116" i="1" s="1"/>
  <c r="AQ114" i="1"/>
  <c r="BE114" i="1" s="1"/>
  <c r="BB110" i="1"/>
  <c r="BE110" i="1" s="1"/>
  <c r="BB107" i="1"/>
  <c r="BE107" i="1" s="1"/>
  <c r="AQ103" i="1"/>
  <c r="BE103" i="1" s="1"/>
  <c r="BB102" i="1"/>
  <c r="BE102" i="1" s="1"/>
  <c r="BE94" i="1"/>
  <c r="BE85" i="1"/>
  <c r="AQ82" i="1"/>
  <c r="BE82" i="1" s="1"/>
  <c r="AQ80" i="1"/>
  <c r="BE80" i="1" s="1"/>
  <c r="BB72" i="1"/>
  <c r="BE72" i="1" s="1"/>
  <c r="BE71" i="1"/>
  <c r="BB70" i="1"/>
  <c r="BE70" i="1" s="1"/>
  <c r="AQ62" i="1"/>
  <c r="BE62" i="1" s="1"/>
  <c r="BB60" i="1"/>
  <c r="BE60" i="1" s="1"/>
  <c r="BB58" i="1"/>
  <c r="BE58" i="1" s="1"/>
  <c r="BB52" i="1"/>
  <c r="BE52" i="1" s="1"/>
  <c r="AQ49" i="1"/>
  <c r="BE49" i="1" s="1"/>
  <c r="AQ47" i="1"/>
  <c r="BE47" i="1" s="1"/>
  <c r="AQ45" i="1"/>
  <c r="BE45" i="1" s="1"/>
  <c r="AQ42" i="1"/>
  <c r="BE42" i="1" s="1"/>
  <c r="BE40" i="1"/>
  <c r="AQ36" i="1"/>
  <c r="BE36" i="1" s="1"/>
  <c r="AQ34" i="1"/>
  <c r="BE34" i="1" s="1"/>
  <c r="BC23" i="1"/>
  <c r="BC24" i="1" s="1"/>
  <c r="BC25" i="1" s="1"/>
  <c r="BC26" i="1" s="1"/>
  <c r="BE51" i="1"/>
  <c r="BE117" i="1"/>
  <c r="AR32" i="1"/>
  <c r="AR33" i="1" s="1"/>
  <c r="AR34" i="1" s="1"/>
  <c r="AR35" i="1" s="1"/>
  <c r="AR36" i="1" s="1"/>
  <c r="AR37" i="1" s="1"/>
  <c r="AR38" i="1" s="1"/>
  <c r="AR39" i="1" s="1"/>
  <c r="AR40" i="1" s="1"/>
  <c r="AR41" i="1" s="1"/>
  <c r="AR42" i="1" s="1"/>
  <c r="AR43" i="1" s="1"/>
  <c r="AR44" i="1" s="1"/>
  <c r="AR45" i="1" s="1"/>
  <c r="AR46" i="1" s="1"/>
  <c r="AR47" i="1" s="1"/>
  <c r="AR48" i="1" s="1"/>
  <c r="AR49" i="1" s="1"/>
  <c r="BE32" i="1"/>
  <c r="BE23" i="1"/>
  <c r="BB73" i="1" l="1"/>
  <c r="BE73" i="1" s="1"/>
  <c r="AQ166" i="1"/>
  <c r="BE166" i="1" s="1"/>
  <c r="BF23" i="1"/>
  <c r="BF24" i="1" s="1"/>
  <c r="BF25" i="1" s="1"/>
  <c r="BF26" i="1" s="1"/>
  <c r="AL167" i="1"/>
  <c r="AP167" i="1"/>
  <c r="AO167" i="1"/>
  <c r="AO161" i="1"/>
  <c r="AP161" i="1"/>
  <c r="AL161" i="1"/>
  <c r="AN162" i="1" s="1"/>
  <c r="AL96" i="1"/>
  <c r="AO96" i="1"/>
  <c r="AP96" i="1"/>
  <c r="AO92" i="1"/>
  <c r="AP92" i="1"/>
  <c r="AL92" i="1"/>
  <c r="AZ28" i="1"/>
  <c r="AW28" i="1"/>
  <c r="AY29" i="1" s="1"/>
  <c r="BA28" i="1"/>
  <c r="AQ143" i="1"/>
  <c r="BE143" i="1" s="1"/>
  <c r="AQ128" i="1"/>
  <c r="BE128" i="1" s="1"/>
  <c r="AQ95" i="1"/>
  <c r="BE95" i="1" s="1"/>
  <c r="AQ91" i="1"/>
  <c r="BE91" i="1" s="1"/>
  <c r="AQ50" i="1"/>
  <c r="BB27" i="1"/>
  <c r="AQ167" i="1" l="1"/>
  <c r="BE167" i="1" s="1"/>
  <c r="AL162" i="1"/>
  <c r="AN163" i="1" s="1"/>
  <c r="AP162" i="1"/>
  <c r="AO162" i="1"/>
  <c r="AQ162" i="1" s="1"/>
  <c r="BE162" i="1" s="1"/>
  <c r="AW29" i="1"/>
  <c r="BA29" i="1"/>
  <c r="AZ29" i="1"/>
  <c r="BB29" i="1" s="1"/>
  <c r="BE29" i="1" s="1"/>
  <c r="AR50" i="1"/>
  <c r="AR51" i="1" s="1"/>
  <c r="AR52" i="1" s="1"/>
  <c r="AR53" i="1" s="1"/>
  <c r="AR54" i="1" s="1"/>
  <c r="AR55" i="1" s="1"/>
  <c r="AR56" i="1" s="1"/>
  <c r="AR57" i="1" s="1"/>
  <c r="AR58" i="1" s="1"/>
  <c r="AR59" i="1" s="1"/>
  <c r="AR60" i="1" s="1"/>
  <c r="AR61" i="1" s="1"/>
  <c r="AR62" i="1" s="1"/>
  <c r="AR63" i="1" s="1"/>
  <c r="AR64" i="1" s="1"/>
  <c r="AR65" i="1" s="1"/>
  <c r="AR66" i="1" s="1"/>
  <c r="AR67" i="1" s="1"/>
  <c r="AR68" i="1" s="1"/>
  <c r="AR69" i="1" s="1"/>
  <c r="AR70" i="1" s="1"/>
  <c r="AR71" i="1" s="1"/>
  <c r="AR72" i="1" s="1"/>
  <c r="AR73" i="1" s="1"/>
  <c r="AR74" i="1" s="1"/>
  <c r="AR75" i="1" s="1"/>
  <c r="AR76" i="1" s="1"/>
  <c r="AR77" i="1" s="1"/>
  <c r="AR78" i="1" s="1"/>
  <c r="AR79" i="1" s="1"/>
  <c r="AR80" i="1" s="1"/>
  <c r="AR81" i="1" s="1"/>
  <c r="AR82" i="1" s="1"/>
  <c r="AR83" i="1" s="1"/>
  <c r="AR84" i="1" s="1"/>
  <c r="AR85" i="1" s="1"/>
  <c r="AR86" i="1" s="1"/>
  <c r="AR87" i="1" s="1"/>
  <c r="AR88" i="1" s="1"/>
  <c r="AR89" i="1" s="1"/>
  <c r="AR90" i="1" s="1"/>
  <c r="AR91" i="1" s="1"/>
  <c r="BE50" i="1"/>
  <c r="BC27" i="1"/>
  <c r="BE27" i="1"/>
  <c r="AQ161" i="1"/>
  <c r="BE161" i="1" s="1"/>
  <c r="AQ96" i="1"/>
  <c r="BE96" i="1" s="1"/>
  <c r="AQ92" i="1"/>
  <c r="BB28" i="1"/>
  <c r="AL163" i="1" l="1"/>
  <c r="AP163" i="1"/>
  <c r="AO163" i="1"/>
  <c r="AQ163" i="1" s="1"/>
  <c r="AQ19" i="1" s="1"/>
  <c r="BF27" i="1"/>
  <c r="AR92" i="1"/>
  <c r="AR93" i="1" s="1"/>
  <c r="AR94" i="1" s="1"/>
  <c r="AR95" i="1" s="1"/>
  <c r="AR96" i="1" s="1"/>
  <c r="AR97" i="1" s="1"/>
  <c r="AR98" i="1" s="1"/>
  <c r="AR99" i="1" s="1"/>
  <c r="AR100" i="1" s="1"/>
  <c r="AR101" i="1" s="1"/>
  <c r="AR102" i="1" s="1"/>
  <c r="AR103" i="1" s="1"/>
  <c r="AR104" i="1" s="1"/>
  <c r="AR105" i="1" s="1"/>
  <c r="AR106" i="1" s="1"/>
  <c r="AR107" i="1" s="1"/>
  <c r="AR108" i="1" s="1"/>
  <c r="AR109" i="1" s="1"/>
  <c r="AR110" i="1" s="1"/>
  <c r="AR111" i="1" s="1"/>
  <c r="AR112" i="1" s="1"/>
  <c r="AR113" i="1" s="1"/>
  <c r="AR114" i="1" s="1"/>
  <c r="AR115" i="1" s="1"/>
  <c r="AR116" i="1" s="1"/>
  <c r="AR117" i="1" s="1"/>
  <c r="AR118" i="1" s="1"/>
  <c r="AR119" i="1" s="1"/>
  <c r="AR120" i="1" s="1"/>
  <c r="AR121" i="1" s="1"/>
  <c r="AR122" i="1" s="1"/>
  <c r="AR123" i="1" s="1"/>
  <c r="AR124" i="1" s="1"/>
  <c r="AR125" i="1" s="1"/>
  <c r="AR126" i="1" s="1"/>
  <c r="AR127" i="1" s="1"/>
  <c r="AR128" i="1" s="1"/>
  <c r="AR129" i="1" s="1"/>
  <c r="AR130" i="1" s="1"/>
  <c r="AR131" i="1" s="1"/>
  <c r="AR132" i="1" s="1"/>
  <c r="AR133" i="1" s="1"/>
  <c r="AR134" i="1" s="1"/>
  <c r="AR135" i="1" s="1"/>
  <c r="AR136" i="1" s="1"/>
  <c r="AR137" i="1" s="1"/>
  <c r="AR138" i="1" s="1"/>
  <c r="AR139" i="1" s="1"/>
  <c r="AR140" i="1" s="1"/>
  <c r="AR141" i="1" s="1"/>
  <c r="AR142" i="1" s="1"/>
  <c r="AR143" i="1" s="1"/>
  <c r="AR144" i="1" s="1"/>
  <c r="AR145" i="1" s="1"/>
  <c r="AR146" i="1" s="1"/>
  <c r="AR147" i="1" s="1"/>
  <c r="AR148" i="1" s="1"/>
  <c r="AR149" i="1" s="1"/>
  <c r="AR150" i="1" s="1"/>
  <c r="AR151" i="1" s="1"/>
  <c r="AR152" i="1" s="1"/>
  <c r="AR153" i="1" s="1"/>
  <c r="AR154" i="1" s="1"/>
  <c r="AR155" i="1" s="1"/>
  <c r="AR156" i="1" s="1"/>
  <c r="AR157" i="1" s="1"/>
  <c r="AR158" i="1" s="1"/>
  <c r="AR159" i="1" s="1"/>
  <c r="AR160" i="1" s="1"/>
  <c r="AR161" i="1" s="1"/>
  <c r="AR162" i="1" s="1"/>
  <c r="AR163" i="1" s="1"/>
  <c r="AR164" i="1" s="1"/>
  <c r="AR165" i="1" s="1"/>
  <c r="AR166" i="1" s="1"/>
  <c r="AR167" i="1" s="1"/>
  <c r="AR168" i="1" s="1"/>
  <c r="AR169" i="1" s="1"/>
  <c r="AR170" i="1" s="1"/>
  <c r="AR171" i="1" s="1"/>
  <c r="AR172" i="1" s="1"/>
  <c r="AR173" i="1" s="1"/>
  <c r="AR174" i="1" s="1"/>
  <c r="AR175" i="1" s="1"/>
  <c r="AR176" i="1" s="1"/>
  <c r="AR19" i="1" s="1"/>
  <c r="BC28" i="1"/>
  <c r="BC29" i="1" s="1"/>
  <c r="BC30" i="1" s="1"/>
  <c r="BC31" i="1" s="1"/>
  <c r="BC32" i="1" s="1"/>
  <c r="BC33" i="1" s="1"/>
  <c r="BC34" i="1" s="1"/>
  <c r="BC35" i="1" s="1"/>
  <c r="BC36" i="1" s="1"/>
  <c r="BC37" i="1" s="1"/>
  <c r="BC38" i="1" s="1"/>
  <c r="BC39" i="1" s="1"/>
  <c r="BC40" i="1" s="1"/>
  <c r="BC41" i="1" s="1"/>
  <c r="BC42" i="1" s="1"/>
  <c r="BC43" i="1" s="1"/>
  <c r="BC44" i="1" s="1"/>
  <c r="BC45" i="1" s="1"/>
  <c r="BC46" i="1" s="1"/>
  <c r="BC47" i="1" s="1"/>
  <c r="BC48" i="1" s="1"/>
  <c r="BC49" i="1" s="1"/>
  <c r="BC50" i="1" s="1"/>
  <c r="BC51" i="1" s="1"/>
  <c r="BC52" i="1" s="1"/>
  <c r="BC53" i="1" s="1"/>
  <c r="BC54" i="1" s="1"/>
  <c r="BC55" i="1" s="1"/>
  <c r="BC56" i="1" s="1"/>
  <c r="BC57" i="1" s="1"/>
  <c r="BC58" i="1" s="1"/>
  <c r="BC59" i="1" s="1"/>
  <c r="BC60" i="1" s="1"/>
  <c r="BC61" i="1" s="1"/>
  <c r="BC62" i="1" s="1"/>
  <c r="BC63" i="1" s="1"/>
  <c r="BC64" i="1" s="1"/>
  <c r="BC65" i="1" s="1"/>
  <c r="BC66" i="1" s="1"/>
  <c r="BC67" i="1" s="1"/>
  <c r="BC68" i="1" s="1"/>
  <c r="BC69" i="1" s="1"/>
  <c r="BC70" i="1" s="1"/>
  <c r="BC71" i="1" s="1"/>
  <c r="BC72" i="1" s="1"/>
  <c r="BC73" i="1" s="1"/>
  <c r="BC74" i="1" s="1"/>
  <c r="BC75" i="1" s="1"/>
  <c r="BC76" i="1" s="1"/>
  <c r="BC77" i="1" s="1"/>
  <c r="BC78" i="1" s="1"/>
  <c r="BC79" i="1" s="1"/>
  <c r="BC80" i="1" s="1"/>
  <c r="BC81" i="1" s="1"/>
  <c r="BC82" i="1" s="1"/>
  <c r="BC83" i="1" s="1"/>
  <c r="BC84" i="1" s="1"/>
  <c r="BC85" i="1" s="1"/>
  <c r="BC86" i="1" s="1"/>
  <c r="BC87" i="1" s="1"/>
  <c r="BC88" i="1" s="1"/>
  <c r="BC89" i="1" s="1"/>
  <c r="BC90" i="1" s="1"/>
  <c r="BC91" i="1" s="1"/>
  <c r="BC92" i="1" s="1"/>
  <c r="BC93" i="1" s="1"/>
  <c r="BC94" i="1" s="1"/>
  <c r="BC95" i="1" s="1"/>
  <c r="BC96" i="1" s="1"/>
  <c r="BC97" i="1" s="1"/>
  <c r="BC98" i="1" s="1"/>
  <c r="BC99" i="1" s="1"/>
  <c r="BC100" i="1" s="1"/>
  <c r="BC101" i="1" s="1"/>
  <c r="BC102" i="1" s="1"/>
  <c r="BC103" i="1" s="1"/>
  <c r="BC104" i="1" s="1"/>
  <c r="BC105" i="1" s="1"/>
  <c r="BC106" i="1" s="1"/>
  <c r="BC107" i="1" s="1"/>
  <c r="BC108" i="1" s="1"/>
  <c r="BC109" i="1" s="1"/>
  <c r="BC110" i="1" s="1"/>
  <c r="BC111" i="1" s="1"/>
  <c r="BC112" i="1" s="1"/>
  <c r="BC113" i="1" s="1"/>
  <c r="BC114" i="1" s="1"/>
  <c r="BC115" i="1" s="1"/>
  <c r="BC116" i="1" s="1"/>
  <c r="BC117" i="1" s="1"/>
  <c r="BC118" i="1" s="1"/>
  <c r="BC119" i="1" s="1"/>
  <c r="BC120" i="1" s="1"/>
  <c r="BC121" i="1" s="1"/>
  <c r="BC122" i="1" s="1"/>
  <c r="BC123" i="1" s="1"/>
  <c r="BC124" i="1" s="1"/>
  <c r="BC125" i="1" s="1"/>
  <c r="BC126" i="1" s="1"/>
  <c r="BC127" i="1" s="1"/>
  <c r="BC128" i="1" s="1"/>
  <c r="BC129" i="1" s="1"/>
  <c r="BC130" i="1" s="1"/>
  <c r="BC131" i="1" s="1"/>
  <c r="BC132" i="1" s="1"/>
  <c r="BC133" i="1" s="1"/>
  <c r="BC134" i="1" s="1"/>
  <c r="BC135" i="1" s="1"/>
  <c r="BC136" i="1" s="1"/>
  <c r="BC137" i="1" s="1"/>
  <c r="BC138" i="1" s="1"/>
  <c r="BC139" i="1" s="1"/>
  <c r="BC140" i="1" s="1"/>
  <c r="BC141" i="1" s="1"/>
  <c r="BC142" i="1" s="1"/>
  <c r="BC143" i="1" s="1"/>
  <c r="BC144" i="1" s="1"/>
  <c r="BC145" i="1" s="1"/>
  <c r="BC146" i="1" s="1"/>
  <c r="BC147" i="1" s="1"/>
  <c r="BC148" i="1" s="1"/>
  <c r="BC149" i="1" s="1"/>
  <c r="BC150" i="1" s="1"/>
  <c r="BC151" i="1" s="1"/>
  <c r="BC152" i="1" s="1"/>
  <c r="BC153" i="1" s="1"/>
  <c r="BC154" i="1" s="1"/>
  <c r="BC155" i="1" s="1"/>
  <c r="BC156" i="1" s="1"/>
  <c r="BC157" i="1" s="1"/>
  <c r="BC158" i="1" s="1"/>
  <c r="BC159" i="1" s="1"/>
  <c r="BC160" i="1" s="1"/>
  <c r="BC161" i="1" s="1"/>
  <c r="BC162" i="1" s="1"/>
  <c r="BC163" i="1" s="1"/>
  <c r="BC164" i="1" s="1"/>
  <c r="BC165" i="1" s="1"/>
  <c r="BC166" i="1" s="1"/>
  <c r="BC167" i="1" s="1"/>
  <c r="BC168" i="1" s="1"/>
  <c r="BC169" i="1" s="1"/>
  <c r="BC170" i="1" s="1"/>
  <c r="BC171" i="1" s="1"/>
  <c r="BC172" i="1" s="1"/>
  <c r="BC173" i="1" s="1"/>
  <c r="BC174" i="1" s="1"/>
  <c r="BC175" i="1" s="1"/>
  <c r="BC176" i="1" s="1"/>
  <c r="BC19" i="1" s="1"/>
  <c r="BE92" i="1"/>
  <c r="AQ14" i="1"/>
  <c r="BE28" i="1"/>
  <c r="BB15" i="1"/>
  <c r="BB19" i="1"/>
  <c r="BB14" i="1"/>
  <c r="BB16" i="1" s="1"/>
  <c r="AT1" i="1" s="1"/>
  <c r="BF28" i="1" l="1"/>
  <c r="BF29" i="1" s="1"/>
  <c r="BF30" i="1" s="1"/>
  <c r="BF31" i="1" s="1"/>
  <c r="BF32" i="1" s="1"/>
  <c r="BF33" i="1" s="1"/>
  <c r="BF34" i="1" s="1"/>
  <c r="BF35" i="1" s="1"/>
  <c r="BF36" i="1" s="1"/>
  <c r="BF37" i="1" s="1"/>
  <c r="BF38" i="1" s="1"/>
  <c r="BF39" i="1" s="1"/>
  <c r="BF40" i="1" s="1"/>
  <c r="BF41" i="1" s="1"/>
  <c r="BF42" i="1" s="1"/>
  <c r="BF43" i="1" s="1"/>
  <c r="BF44" i="1" s="1"/>
  <c r="BF45" i="1" s="1"/>
  <c r="BF46" i="1" s="1"/>
  <c r="BF47" i="1" s="1"/>
  <c r="BF48" i="1" s="1"/>
  <c r="BF49" i="1" s="1"/>
  <c r="BF50" i="1" s="1"/>
  <c r="BF51" i="1" s="1"/>
  <c r="BF52" i="1" s="1"/>
  <c r="BF53" i="1" s="1"/>
  <c r="BF54" i="1" s="1"/>
  <c r="BF55" i="1" s="1"/>
  <c r="BF56" i="1" s="1"/>
  <c r="BF57" i="1" s="1"/>
  <c r="BF58" i="1" s="1"/>
  <c r="BF59" i="1" s="1"/>
  <c r="BF60" i="1" s="1"/>
  <c r="BF61" i="1" s="1"/>
  <c r="BF62" i="1" s="1"/>
  <c r="BF63" i="1" s="1"/>
  <c r="BF64" i="1" s="1"/>
  <c r="BF65" i="1" s="1"/>
  <c r="BF66" i="1" s="1"/>
  <c r="BF67" i="1" s="1"/>
  <c r="BF68" i="1" s="1"/>
  <c r="BF69" i="1" s="1"/>
  <c r="BF70" i="1" s="1"/>
  <c r="BF71" i="1" s="1"/>
  <c r="BF72" i="1" s="1"/>
  <c r="BF73" i="1" s="1"/>
  <c r="BF74" i="1" s="1"/>
  <c r="BF75" i="1" s="1"/>
  <c r="BF76" i="1" s="1"/>
  <c r="BF77" i="1" s="1"/>
  <c r="BF78" i="1" s="1"/>
  <c r="BF79" i="1" s="1"/>
  <c r="BF80" i="1" s="1"/>
  <c r="BF81" i="1" s="1"/>
  <c r="BF82" i="1" s="1"/>
  <c r="BF83" i="1" s="1"/>
  <c r="BF84" i="1" s="1"/>
  <c r="BF85" i="1" s="1"/>
  <c r="BF86" i="1" s="1"/>
  <c r="BF87" i="1" s="1"/>
  <c r="BF88" i="1" s="1"/>
  <c r="BF89" i="1" s="1"/>
  <c r="BF90" i="1" s="1"/>
  <c r="BF91" i="1" s="1"/>
  <c r="BF92" i="1" s="1"/>
  <c r="BF93" i="1" s="1"/>
  <c r="BF94" i="1" s="1"/>
  <c r="BF95" i="1" s="1"/>
  <c r="BF96" i="1" s="1"/>
  <c r="BF97" i="1" s="1"/>
  <c r="BF98" i="1" s="1"/>
  <c r="BF99" i="1" s="1"/>
  <c r="BF100" i="1" s="1"/>
  <c r="BF101" i="1" s="1"/>
  <c r="BF102" i="1" s="1"/>
  <c r="BF103" i="1" s="1"/>
  <c r="BF104" i="1" s="1"/>
  <c r="BF105" i="1" s="1"/>
  <c r="BF106" i="1" s="1"/>
  <c r="BF107" i="1" s="1"/>
  <c r="BF108" i="1" s="1"/>
  <c r="BF109" i="1" s="1"/>
  <c r="BF110" i="1" s="1"/>
  <c r="BF111" i="1" s="1"/>
  <c r="BF112" i="1" s="1"/>
  <c r="BF113" i="1" s="1"/>
  <c r="BF114" i="1" s="1"/>
  <c r="BF115" i="1" s="1"/>
  <c r="BF116" i="1" s="1"/>
  <c r="BF117" i="1" s="1"/>
  <c r="BF118" i="1" s="1"/>
  <c r="BF119" i="1" s="1"/>
  <c r="BF120" i="1" s="1"/>
  <c r="BF121" i="1" s="1"/>
  <c r="BF122" i="1" s="1"/>
  <c r="BF123" i="1" s="1"/>
  <c r="BF124" i="1" s="1"/>
  <c r="BF125" i="1" s="1"/>
  <c r="BF126" i="1" s="1"/>
  <c r="BF127" i="1" s="1"/>
  <c r="BF128" i="1" s="1"/>
  <c r="BF129" i="1" s="1"/>
  <c r="BF130" i="1" s="1"/>
  <c r="BF131" i="1" s="1"/>
  <c r="BF132" i="1" s="1"/>
  <c r="BF133" i="1" s="1"/>
  <c r="BF134" i="1" s="1"/>
  <c r="BF135" i="1" s="1"/>
  <c r="BF136" i="1" s="1"/>
  <c r="BF137" i="1" s="1"/>
  <c r="BF138" i="1" s="1"/>
  <c r="BF139" i="1" s="1"/>
  <c r="BF140" i="1" s="1"/>
  <c r="BF141" i="1" s="1"/>
  <c r="BF142" i="1" s="1"/>
  <c r="BF143" i="1" s="1"/>
  <c r="BF144" i="1" s="1"/>
  <c r="BF145" i="1" s="1"/>
  <c r="BF146" i="1" s="1"/>
  <c r="BF147" i="1" s="1"/>
  <c r="BF148" i="1" s="1"/>
  <c r="BF149" i="1" s="1"/>
  <c r="BF150" i="1" s="1"/>
  <c r="BF151" i="1" s="1"/>
  <c r="BF152" i="1" s="1"/>
  <c r="BF153" i="1" s="1"/>
  <c r="BF154" i="1" s="1"/>
  <c r="BF155" i="1" s="1"/>
  <c r="BF156" i="1" s="1"/>
  <c r="BF157" i="1" s="1"/>
  <c r="BF158" i="1" s="1"/>
  <c r="BF159" i="1" s="1"/>
  <c r="BF160" i="1" s="1"/>
  <c r="BF161" i="1" s="1"/>
  <c r="BF162" i="1" s="1"/>
  <c r="AQ15" i="1"/>
  <c r="AQ16" i="1" s="1"/>
  <c r="AI1" i="1" s="1"/>
  <c r="BE163" i="1"/>
  <c r="BF163" i="1" l="1"/>
  <c r="BF164" i="1" s="1"/>
  <c r="BF165" i="1" s="1"/>
  <c r="BF166" i="1" s="1"/>
  <c r="BF167" i="1" s="1"/>
  <c r="BF168" i="1" s="1"/>
  <c r="BF169" i="1" s="1"/>
  <c r="BF170" i="1" s="1"/>
  <c r="BF171" i="1" s="1"/>
  <c r="BF172" i="1" s="1"/>
  <c r="BF173" i="1" s="1"/>
  <c r="BF174" i="1" s="1"/>
  <c r="BF175" i="1" s="1"/>
  <c r="BF176" i="1" s="1"/>
  <c r="BF18" i="1" s="1"/>
  <c r="BE14" i="1"/>
  <c r="BE15" i="1"/>
  <c r="BE18" i="1"/>
  <c r="BE16" i="1" l="1"/>
</calcChain>
</file>

<file path=xl/sharedStrings.xml><?xml version="1.0" encoding="utf-8"?>
<sst xmlns="http://schemas.openxmlformats.org/spreadsheetml/2006/main" count="74" uniqueCount="53">
  <si>
    <t>date</t>
  </si>
  <si>
    <t>BSJW</t>
  </si>
  <si>
    <t>IBHL</t>
  </si>
  <si>
    <t>BSJW log rtn</t>
  </si>
  <si>
    <t>IBHL log rtn</t>
  </si>
  <si>
    <t>BSJW div</t>
  </si>
  <si>
    <t>BSJW div cumsum</t>
  </si>
  <si>
    <t>IBHL div</t>
  </si>
  <si>
    <t>IBHL div cumsum</t>
  </si>
  <si>
    <t>BSJW div adjustment</t>
  </si>
  <si>
    <t>IBHL div adjustment</t>
  </si>
  <si>
    <t>BSJW*</t>
  </si>
  <si>
    <t>IBHL*</t>
  </si>
  <si>
    <t>IBHL/BSJW</t>
  </si>
  <si>
    <t>IBHL/BSJW avg</t>
  </si>
  <si>
    <t>IBHL/BSJW 10 dma</t>
  </si>
  <si>
    <t>IBHL/BSJW 20 dma</t>
  </si>
  <si>
    <t>BSJW x avg</t>
  </si>
  <si>
    <t>BSJW x 10 dma</t>
  </si>
  <si>
    <t>BSJW x 20 dma</t>
  </si>
  <si>
    <t>log diff BSJW x avg / IBHL</t>
  </si>
  <si>
    <t>log diff BSJW x 10 dma / IBHL</t>
  </si>
  <si>
    <t>log diff BSJW x 20 dma / IBHL</t>
  </si>
  <si>
    <t>IBHL*/BSJW*</t>
  </si>
  <si>
    <t>IBHL*/BSJW* avg</t>
  </si>
  <si>
    <t>IBHL*/BSJW* 10 dma</t>
  </si>
  <si>
    <t>IBHL*/BSJW* 20 dma</t>
  </si>
  <si>
    <t>BSJW* x avg</t>
  </si>
  <si>
    <t>BSJW* x 10 dma</t>
  </si>
  <si>
    <t>BSJW* x 20 dma</t>
  </si>
  <si>
    <t>log diff BSJW* x avg / IBHL*</t>
  </si>
  <si>
    <t>log diff BSJW* x 10 dma / IBHL*</t>
  </si>
  <si>
    <t>log diff BSJW* x 20 dma / IBHL*</t>
  </si>
  <si>
    <t>enter</t>
  </si>
  <si>
    <t>exit</t>
  </si>
  <si>
    <t>row</t>
  </si>
  <si>
    <t>col</t>
  </si>
  <si>
    <t>AI21</t>
  </si>
  <si>
    <t>AI22</t>
  </si>
  <si>
    <t>AT21</t>
  </si>
  <si>
    <t>AT22</t>
  </si>
  <si>
    <t>avg</t>
  </si>
  <si>
    <t>st dev</t>
  </si>
  <si>
    <t>sharpe</t>
  </si>
  <si>
    <t>grand</t>
  </si>
  <si>
    <t>signal</t>
  </si>
  <si>
    <t>under</t>
  </si>
  <si>
    <t>over</t>
  </si>
  <si>
    <t>yday</t>
  </si>
  <si>
    <t>ex-date</t>
  </si>
  <si>
    <t>position</t>
  </si>
  <si>
    <t>sum</t>
  </si>
  <si>
    <t>cumsum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</si>
</sst>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%"/>
    <numFmt numFmtId="165" formatCode="_(* #,##0.0000_);_(* \(#,##0.0000\);_(* &quot;-&quot;??_);_(@_)"/>
    <numFmt numFmtId="166" formatCode="_(&quot;$&quot;* #,##0.0000_);_(&quot;$&quot;* \(#,##0.0000\);_(&quot;$&quot;* &quot;-&quot;??_);_(@_)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70C0"/>
      <name val="Aptos Narrow"/>
      <family val="2"/>
      <scheme val="minor"/>
    </font>
    <font>
      <b/>
      <sz val="11"/>
      <color rgb="FFC0000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5">
    <xf numFmtId="0" fontId="0" fillId="0" borderId="0" xfId="0"/>
    <xf numFmtId="14" fontId="0" fillId="0" borderId="0" xfId="0" applyNumberFormat="1"/>
    <xf numFmtId="164" fontId="18" fillId="33" borderId="0" xfId="3" applyNumberFormat="1" applyFont="1" applyFill="1" applyAlignment="1">
      <alignment horizontal="right"/>
    </xf>
    <xf numFmtId="43" fontId="16" fillId="0" borderId="0" xfId="1" applyFont="1"/>
    <xf numFmtId="10" fontId="16" fillId="0" borderId="0" xfId="3" applyNumberFormat="1" applyFont="1"/>
    <xf numFmtId="0" fontId="19" fillId="0" borderId="0" xfId="0" applyFont="1" applyAlignment="1">
      <alignment horizontal="left"/>
    </xf>
    <xf numFmtId="10" fontId="16" fillId="0" borderId="0" xfId="3" applyNumberFormat="1" applyFont="1" applyBorder="1"/>
    <xf numFmtId="0" fontId="18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164" fontId="0" fillId="33" borderId="0" xfId="3" applyNumberFormat="1" applyFont="1" applyFill="1"/>
    <xf numFmtId="43" fontId="0" fillId="0" borderId="0" xfId="1" applyFont="1"/>
    <xf numFmtId="43" fontId="0" fillId="0" borderId="0" xfId="1" applyFont="1" applyBorder="1"/>
    <xf numFmtId="44" fontId="0" fillId="0" borderId="0" xfId="2" applyFont="1"/>
    <xf numFmtId="0" fontId="19" fillId="0" borderId="0" xfId="0" applyFont="1" applyAlignment="1">
      <alignment horizontal="center"/>
    </xf>
    <xf numFmtId="44" fontId="20" fillId="0" borderId="0" xfId="2" applyFont="1"/>
    <xf numFmtId="164" fontId="0" fillId="0" borderId="0" xfId="3" applyNumberFormat="1" applyFont="1"/>
    <xf numFmtId="164" fontId="0" fillId="0" borderId="0" xfId="3" applyNumberFormat="1" applyFont="1" applyAlignment="1">
      <alignment horizontal="center"/>
    </xf>
    <xf numFmtId="10" fontId="16" fillId="0" borderId="10" xfId="3" applyNumberFormat="1" applyFont="1" applyBorder="1"/>
    <xf numFmtId="0" fontId="16" fillId="0" borderId="11" xfId="0" applyFont="1" applyBorder="1" applyAlignment="1">
      <alignment horizontal="center"/>
    </xf>
    <xf numFmtId="0" fontId="16" fillId="0" borderId="12" xfId="0" applyFont="1" applyBorder="1" applyAlignment="1">
      <alignment horizontal="center"/>
    </xf>
    <xf numFmtId="10" fontId="16" fillId="0" borderId="0" xfId="0" applyNumberFormat="1" applyFont="1"/>
    <xf numFmtId="164" fontId="16" fillId="0" borderId="0" xfId="3" applyNumberFormat="1" applyFont="1"/>
    <xf numFmtId="164" fontId="16" fillId="33" borderId="0" xfId="3" applyNumberFormat="1" applyFont="1" applyFill="1"/>
    <xf numFmtId="165" fontId="16" fillId="0" borderId="0" xfId="1" applyNumberFormat="1" applyFont="1"/>
    <xf numFmtId="10" fontId="18" fillId="0" borderId="0" xfId="0" applyNumberFormat="1" applyFont="1" applyAlignment="1">
      <alignment horizontal="right"/>
    </xf>
    <xf numFmtId="44" fontId="18" fillId="0" borderId="0" xfId="2" applyFont="1" applyAlignment="1">
      <alignment horizontal="right"/>
    </xf>
    <xf numFmtId="10" fontId="18" fillId="34" borderId="0" xfId="2" applyNumberFormat="1" applyFont="1" applyFill="1" applyAlignment="1">
      <alignment horizontal="right"/>
    </xf>
    <xf numFmtId="0" fontId="21" fillId="0" borderId="0" xfId="0" applyFont="1"/>
    <xf numFmtId="10" fontId="0" fillId="0" borderId="0" xfId="3" applyNumberFormat="1" applyFont="1"/>
    <xf numFmtId="10" fontId="0" fillId="0" borderId="0" xfId="0" applyNumberFormat="1"/>
    <xf numFmtId="166" fontId="18" fillId="0" borderId="0" xfId="2" applyNumberFormat="1" applyFont="1" applyAlignment="1">
      <alignment horizontal="right"/>
    </xf>
    <xf numFmtId="164" fontId="18" fillId="0" borderId="0" xfId="3" applyNumberFormat="1" applyFont="1" applyAlignment="1">
      <alignment horizontal="right"/>
    </xf>
    <xf numFmtId="165" fontId="18" fillId="0" borderId="0" xfId="1" applyNumberFormat="1" applyFont="1" applyAlignment="1">
      <alignment horizontal="right"/>
    </xf>
    <xf numFmtId="166" fontId="0" fillId="0" borderId="0" xfId="2" applyNumberFormat="1" applyFont="1"/>
    <xf numFmtId="165" fontId="0" fillId="0" borderId="0" xfId="1" applyNumberFormat="1" applyFont="1"/>
  </cellXfs>
  <cellStyles count="45">
    <cellStyle name="20% - Accent1" xfId="22" builtinId="30" customBuiltin="1"/>
    <cellStyle name="20% - Accent2" xfId="26" builtinId="34" customBuiltin="1"/>
    <cellStyle name="20% - Accent3" xfId="30" builtinId="38" customBuiltin="1"/>
    <cellStyle name="20% - Accent4" xfId="34" builtinId="42" customBuiltin="1"/>
    <cellStyle name="20% - Accent5" xfId="38" builtinId="46" customBuiltin="1"/>
    <cellStyle name="20% - Accent6" xfId="42" builtinId="50" customBuiltin="1"/>
    <cellStyle name="40% - Accent1" xfId="23" builtinId="31" customBuiltin="1"/>
    <cellStyle name="40% - Accent2" xfId="27" builtinId="35" customBuiltin="1"/>
    <cellStyle name="40% - Accent3" xfId="31" builtinId="39" customBuiltin="1"/>
    <cellStyle name="40% - Accent4" xfId="35" builtinId="43" customBuiltin="1"/>
    <cellStyle name="40% - Accent5" xfId="39" builtinId="47" customBuiltin="1"/>
    <cellStyle name="40% - Accent6" xfId="43" builtinId="51" customBuiltin="1"/>
    <cellStyle name="60% - Accent1" xfId="24" builtinId="32" customBuiltin="1"/>
    <cellStyle name="60% - Accent2" xfId="28" builtinId="36" customBuiltin="1"/>
    <cellStyle name="60% - Accent3" xfId="32" builtinId="40" customBuiltin="1"/>
    <cellStyle name="60% - Accent4" xfId="36" builtinId="44" customBuiltin="1"/>
    <cellStyle name="60% - Accent5" xfId="40" builtinId="48" customBuiltin="1"/>
    <cellStyle name="60% - Accent6" xfId="44" builtinId="52" customBuiltin="1"/>
    <cellStyle name="Accent1" xfId="21" builtinId="29" customBuiltin="1"/>
    <cellStyle name="Accent2" xfId="25" builtinId="33" customBuiltin="1"/>
    <cellStyle name="Accent3" xfId="29" builtinId="37" customBuiltin="1"/>
    <cellStyle name="Accent4" xfId="33" builtinId="41" customBuiltin="1"/>
    <cellStyle name="Accent5" xfId="37" builtinId="45" customBuiltin="1"/>
    <cellStyle name="Accent6" xfId="41" builtinId="49" customBuiltin="1"/>
    <cellStyle name="Bad" xfId="10" builtinId="27" customBuiltin="1"/>
    <cellStyle name="Calculation" xfId="14" builtinId="22" customBuiltin="1"/>
    <cellStyle name="Check Cell" xfId="16" builtinId="23" customBuiltin="1"/>
    <cellStyle name="Comma" xfId="1" builtinId="3"/>
    <cellStyle name="Currency" xfId="2" builtinId="4"/>
    <cellStyle name="Explanatory Text" xfId="19" builtinId="53" customBuiltin="1"/>
    <cellStyle name="Good" xfId="9" builtinId="26" customBuiltin="1"/>
    <cellStyle name="Heading 1" xfId="5" builtinId="16" customBuiltin="1"/>
    <cellStyle name="Heading 2" xfId="6" builtinId="17" customBuiltin="1"/>
    <cellStyle name="Heading 3" xfId="7" builtinId="18" customBuiltin="1"/>
    <cellStyle name="Heading 4" xfId="8" builtinId="19" customBuiltin="1"/>
    <cellStyle name="Input" xfId="12" builtinId="20" customBuiltin="1"/>
    <cellStyle name="Linked Cell" xfId="15" builtinId="24" customBuiltin="1"/>
    <cellStyle name="Neutral" xfId="11" builtinId="28" customBuiltin="1"/>
    <cellStyle name="Normal" xfId="0" builtinId="0"/>
    <cellStyle name="Note" xfId="18" builtinId="10" customBuiltin="1"/>
    <cellStyle name="Output" xfId="13" builtinId="21" customBuiltin="1"/>
    <cellStyle name="Percent" xfId="3" builtinId="5"/>
    <cellStyle name="Title" xfId="4" builtinId="15" customBuiltin="1"/>
    <cellStyle name="Total" xfId="20" builtinId="25" customBuiltin="1"/>
    <cellStyle name="Warning Text" xfId="17" builtinId="11" customBuiltin="1"/>
  </cellStyles>
  <dxfs count="5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Sheet1!$O$1</c:f>
              <c:strCache>
                <c:ptCount val="1"/>
                <c:pt idx="0">
                  <c:v> IBHL/BSJW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Sheet1!$O$2:$O$176</c:f>
              <c:numCache>
                <c:formatCode>_(* #,##0.0000_);_(* \(#,##0.0000\);_(* "-"??_);_(@_)</c:formatCode>
                <c:ptCount val="175"/>
                <c:pt idx="0">
                  <c:v>1.0011576279691501</c:v>
                </c:pt>
                <c:pt idx="1">
                  <c:v>1.0011576279691501</c:v>
                </c:pt>
                <c:pt idx="2">
                  <c:v>1.0011576279691501</c:v>
                </c:pt>
                <c:pt idx="3">
                  <c:v>1.0011576279691501</c:v>
                </c:pt>
                <c:pt idx="4">
                  <c:v>1.0011576279691501</c:v>
                </c:pt>
                <c:pt idx="5">
                  <c:v>1.0011576279691501</c:v>
                </c:pt>
                <c:pt idx="6">
                  <c:v>1.0011576279691501</c:v>
                </c:pt>
                <c:pt idx="7">
                  <c:v>1.0011576279691501</c:v>
                </c:pt>
                <c:pt idx="8">
                  <c:v>1.0011576279691501</c:v>
                </c:pt>
                <c:pt idx="9">
                  <c:v>1.0011576279691501</c:v>
                </c:pt>
                <c:pt idx="10">
                  <c:v>1.0011576279691501</c:v>
                </c:pt>
                <c:pt idx="11">
                  <c:v>1.0011576279691501</c:v>
                </c:pt>
                <c:pt idx="12">
                  <c:v>1.0011576279691501</c:v>
                </c:pt>
                <c:pt idx="13">
                  <c:v>1.0011576279691501</c:v>
                </c:pt>
                <c:pt idx="14">
                  <c:v>1.0011576279691501</c:v>
                </c:pt>
                <c:pt idx="15">
                  <c:v>1.0011576279691501</c:v>
                </c:pt>
                <c:pt idx="16">
                  <c:v>1.0011576279691501</c:v>
                </c:pt>
                <c:pt idx="17">
                  <c:v>1.0011576279691501</c:v>
                </c:pt>
                <c:pt idx="18">
                  <c:v>1.0011576279691501</c:v>
                </c:pt>
                <c:pt idx="19">
                  <c:v>1.0011576279691501</c:v>
                </c:pt>
                <c:pt idx="20">
                  <c:v>1.0011576279691501</c:v>
                </c:pt>
                <c:pt idx="21">
                  <c:v>1.0011576279691501</c:v>
                </c:pt>
                <c:pt idx="22">
                  <c:v>1.0011576279691501</c:v>
                </c:pt>
                <c:pt idx="23">
                  <c:v>1.0011576279691501</c:v>
                </c:pt>
                <c:pt idx="24">
                  <c:v>1.0011576279691501</c:v>
                </c:pt>
                <c:pt idx="25">
                  <c:v>1.0011576279691501</c:v>
                </c:pt>
                <c:pt idx="26">
                  <c:v>1.0011576279691501</c:v>
                </c:pt>
                <c:pt idx="27">
                  <c:v>1.0011576279691501</c:v>
                </c:pt>
                <c:pt idx="28">
                  <c:v>1.0011576279691501</c:v>
                </c:pt>
                <c:pt idx="29">
                  <c:v>1.0011576279691501</c:v>
                </c:pt>
                <c:pt idx="30">
                  <c:v>1.0011576279691501</c:v>
                </c:pt>
                <c:pt idx="31">
                  <c:v>1.0011576279691501</c:v>
                </c:pt>
                <c:pt idx="32">
                  <c:v>1.0011576279691501</c:v>
                </c:pt>
                <c:pt idx="33">
                  <c:v>1.0011576279691501</c:v>
                </c:pt>
                <c:pt idx="34">
                  <c:v>1.0011576279691501</c:v>
                </c:pt>
                <c:pt idx="35">
                  <c:v>1.0011576279691501</c:v>
                </c:pt>
                <c:pt idx="36">
                  <c:v>1.0011576279691501</c:v>
                </c:pt>
                <c:pt idx="37">
                  <c:v>1.0011576279691501</c:v>
                </c:pt>
                <c:pt idx="38">
                  <c:v>1.0011576279691501</c:v>
                </c:pt>
                <c:pt idx="39">
                  <c:v>1.0011576279691501</c:v>
                </c:pt>
                <c:pt idx="40">
                  <c:v>1.0011576279691501</c:v>
                </c:pt>
                <c:pt idx="41">
                  <c:v>1.0011576279691501</c:v>
                </c:pt>
                <c:pt idx="42">
                  <c:v>1.0011576279691501</c:v>
                </c:pt>
                <c:pt idx="43">
                  <c:v>1.0011576279691501</c:v>
                </c:pt>
                <c:pt idx="44">
                  <c:v>1.0011576279691501</c:v>
                </c:pt>
                <c:pt idx="45">
                  <c:v>1.0011576279691501</c:v>
                </c:pt>
                <c:pt idx="46">
                  <c:v>1.0011576279691501</c:v>
                </c:pt>
                <c:pt idx="47">
                  <c:v>1.0011576279691501</c:v>
                </c:pt>
                <c:pt idx="48">
                  <c:v>1.0011576279691501</c:v>
                </c:pt>
                <c:pt idx="49">
                  <c:v>1.0011576279691501</c:v>
                </c:pt>
                <c:pt idx="50">
                  <c:v>1.0011576279691501</c:v>
                </c:pt>
                <c:pt idx="51">
                  <c:v>1.0011576279691501</c:v>
                </c:pt>
                <c:pt idx="52">
                  <c:v>1.0011576279691501</c:v>
                </c:pt>
                <c:pt idx="53">
                  <c:v>1.0011576279691501</c:v>
                </c:pt>
                <c:pt idx="54">
                  <c:v>1.0011576279691501</c:v>
                </c:pt>
                <c:pt idx="55">
                  <c:v>1.0011576279691501</c:v>
                </c:pt>
                <c:pt idx="56">
                  <c:v>1.0011576279691501</c:v>
                </c:pt>
                <c:pt idx="57">
                  <c:v>1.0011576279691501</c:v>
                </c:pt>
                <c:pt idx="58">
                  <c:v>1.0011576279691501</c:v>
                </c:pt>
                <c:pt idx="59">
                  <c:v>1.0011576279691501</c:v>
                </c:pt>
                <c:pt idx="60">
                  <c:v>1.0011576279691501</c:v>
                </c:pt>
                <c:pt idx="61">
                  <c:v>1.0011576279691501</c:v>
                </c:pt>
                <c:pt idx="62">
                  <c:v>1.0011576279691501</c:v>
                </c:pt>
                <c:pt idx="63">
                  <c:v>1.0011576279691501</c:v>
                </c:pt>
                <c:pt idx="64">
                  <c:v>1.0011576279691501</c:v>
                </c:pt>
                <c:pt idx="65">
                  <c:v>1.0011576279691501</c:v>
                </c:pt>
                <c:pt idx="66">
                  <c:v>1.0011576279691501</c:v>
                </c:pt>
                <c:pt idx="67">
                  <c:v>1.0011576279691501</c:v>
                </c:pt>
                <c:pt idx="68">
                  <c:v>1.0011576279691501</c:v>
                </c:pt>
                <c:pt idx="69">
                  <c:v>1.0011576279691501</c:v>
                </c:pt>
                <c:pt idx="70">
                  <c:v>1.0011576279691501</c:v>
                </c:pt>
                <c:pt idx="71">
                  <c:v>1.0011576279691501</c:v>
                </c:pt>
                <c:pt idx="72">
                  <c:v>1.0011576279691501</c:v>
                </c:pt>
                <c:pt idx="73">
                  <c:v>1.0011576279691501</c:v>
                </c:pt>
                <c:pt idx="74">
                  <c:v>1.0011576279691501</c:v>
                </c:pt>
                <c:pt idx="75">
                  <c:v>1.0011576279691501</c:v>
                </c:pt>
                <c:pt idx="76">
                  <c:v>1.0011576279691501</c:v>
                </c:pt>
                <c:pt idx="77">
                  <c:v>1.0011576279691501</c:v>
                </c:pt>
                <c:pt idx="78">
                  <c:v>1.0011576279691501</c:v>
                </c:pt>
                <c:pt idx="79">
                  <c:v>1.0011576279691501</c:v>
                </c:pt>
                <c:pt idx="80">
                  <c:v>1.0011576279691501</c:v>
                </c:pt>
                <c:pt idx="81">
                  <c:v>1.0011576279691501</c:v>
                </c:pt>
                <c:pt idx="82">
                  <c:v>1.0011576279691501</c:v>
                </c:pt>
                <c:pt idx="83">
                  <c:v>1.0011576279691501</c:v>
                </c:pt>
                <c:pt idx="84">
                  <c:v>1.0011576279691501</c:v>
                </c:pt>
                <c:pt idx="85">
                  <c:v>1.0011576279691501</c:v>
                </c:pt>
                <c:pt idx="86">
                  <c:v>1.0011576279691501</c:v>
                </c:pt>
                <c:pt idx="87">
                  <c:v>1.0011576279691501</c:v>
                </c:pt>
                <c:pt idx="88">
                  <c:v>1.0011576279691501</c:v>
                </c:pt>
                <c:pt idx="89">
                  <c:v>1.0011576279691501</c:v>
                </c:pt>
                <c:pt idx="90">
                  <c:v>1.0011576279691501</c:v>
                </c:pt>
                <c:pt idx="91">
                  <c:v>1.0011576279691501</c:v>
                </c:pt>
                <c:pt idx="92">
                  <c:v>1.0011576279691501</c:v>
                </c:pt>
                <c:pt idx="93">
                  <c:v>1.0011576279691501</c:v>
                </c:pt>
                <c:pt idx="94">
                  <c:v>1.0011576279691501</c:v>
                </c:pt>
                <c:pt idx="95">
                  <c:v>1.0011576279691501</c:v>
                </c:pt>
                <c:pt idx="96">
                  <c:v>1.0011576279691501</c:v>
                </c:pt>
                <c:pt idx="97">
                  <c:v>1.0011576279691501</c:v>
                </c:pt>
                <c:pt idx="98">
                  <c:v>1.0011576279691501</c:v>
                </c:pt>
                <c:pt idx="99">
                  <c:v>1.0011576279691501</c:v>
                </c:pt>
                <c:pt idx="100">
                  <c:v>1.0011576279691501</c:v>
                </c:pt>
                <c:pt idx="101">
                  <c:v>1.0011576279691501</c:v>
                </c:pt>
                <c:pt idx="102">
                  <c:v>1.0011576279691501</c:v>
                </c:pt>
                <c:pt idx="103">
                  <c:v>1.0011576279691501</c:v>
                </c:pt>
                <c:pt idx="104">
                  <c:v>1.0011576279691501</c:v>
                </c:pt>
                <c:pt idx="105">
                  <c:v>1.0011576279691501</c:v>
                </c:pt>
                <c:pt idx="106">
                  <c:v>1.0011576279691501</c:v>
                </c:pt>
                <c:pt idx="107">
                  <c:v>1.0011576279691501</c:v>
                </c:pt>
                <c:pt idx="108">
                  <c:v>1.0011576279691501</c:v>
                </c:pt>
                <c:pt idx="109">
                  <c:v>1.0011576279691501</c:v>
                </c:pt>
                <c:pt idx="110">
                  <c:v>1.0011576279691501</c:v>
                </c:pt>
                <c:pt idx="111">
                  <c:v>1.0011576279691501</c:v>
                </c:pt>
                <c:pt idx="112">
                  <c:v>1.0011576279691501</c:v>
                </c:pt>
                <c:pt idx="113">
                  <c:v>1.0011576279691501</c:v>
                </c:pt>
                <c:pt idx="114">
                  <c:v>1.0011576279691501</c:v>
                </c:pt>
                <c:pt idx="115">
                  <c:v>1.0011576279691501</c:v>
                </c:pt>
                <c:pt idx="116">
                  <c:v>1.0011576279691501</c:v>
                </c:pt>
                <c:pt idx="117">
                  <c:v>1.0011576279691501</c:v>
                </c:pt>
                <c:pt idx="118">
                  <c:v>1.0011576279691501</c:v>
                </c:pt>
                <c:pt idx="119">
                  <c:v>1.0011576279691501</c:v>
                </c:pt>
                <c:pt idx="120">
                  <c:v>1.0011576279691501</c:v>
                </c:pt>
                <c:pt idx="121">
                  <c:v>1.0011576279691501</c:v>
                </c:pt>
                <c:pt idx="122">
                  <c:v>1.0011576279691501</c:v>
                </c:pt>
                <c:pt idx="123">
                  <c:v>1.0011576279691501</c:v>
                </c:pt>
                <c:pt idx="124">
                  <c:v>1.0011576279691501</c:v>
                </c:pt>
                <c:pt idx="125">
                  <c:v>1.0011576279691501</c:v>
                </c:pt>
                <c:pt idx="126">
                  <c:v>1.0011576279691501</c:v>
                </c:pt>
                <c:pt idx="127">
                  <c:v>1.0011576279691501</c:v>
                </c:pt>
                <c:pt idx="128">
                  <c:v>1.0011576279691501</c:v>
                </c:pt>
                <c:pt idx="129">
                  <c:v>1.0011576279691501</c:v>
                </c:pt>
                <c:pt idx="130">
                  <c:v>1.0011576279691501</c:v>
                </c:pt>
                <c:pt idx="131">
                  <c:v>1.0011576279691501</c:v>
                </c:pt>
                <c:pt idx="132">
                  <c:v>1.0011576279691501</c:v>
                </c:pt>
                <c:pt idx="133">
                  <c:v>1.0011576279691501</c:v>
                </c:pt>
                <c:pt idx="134">
                  <c:v>1.0011576279691501</c:v>
                </c:pt>
                <c:pt idx="135">
                  <c:v>1.0011576279691501</c:v>
                </c:pt>
                <c:pt idx="136">
                  <c:v>1.0011576279691501</c:v>
                </c:pt>
                <c:pt idx="137">
                  <c:v>1.0011576279691501</c:v>
                </c:pt>
                <c:pt idx="138">
                  <c:v>1.0011576279691501</c:v>
                </c:pt>
                <c:pt idx="139">
                  <c:v>1.0011576279691501</c:v>
                </c:pt>
                <c:pt idx="140">
                  <c:v>1.0011576279691501</c:v>
                </c:pt>
                <c:pt idx="141">
                  <c:v>1.0011576279691501</c:v>
                </c:pt>
                <c:pt idx="142">
                  <c:v>1.0011576279691501</c:v>
                </c:pt>
                <c:pt idx="143">
                  <c:v>1.0011576279691501</c:v>
                </c:pt>
                <c:pt idx="144">
                  <c:v>1.0011576279691501</c:v>
                </c:pt>
                <c:pt idx="145">
                  <c:v>1.0011576279691501</c:v>
                </c:pt>
                <c:pt idx="146">
                  <c:v>1.0011576279691501</c:v>
                </c:pt>
                <c:pt idx="147">
                  <c:v>1.0011576279691501</c:v>
                </c:pt>
                <c:pt idx="148">
                  <c:v>1.0011576279691501</c:v>
                </c:pt>
                <c:pt idx="149">
                  <c:v>1.0011576279691501</c:v>
                </c:pt>
                <c:pt idx="150">
                  <c:v>1.0011576279691501</c:v>
                </c:pt>
                <c:pt idx="151">
                  <c:v>1.0011576279691501</c:v>
                </c:pt>
                <c:pt idx="152">
                  <c:v>1.0011576279691501</c:v>
                </c:pt>
                <c:pt idx="153">
                  <c:v>1.0011576279691501</c:v>
                </c:pt>
                <c:pt idx="154">
                  <c:v>1.0011576279691501</c:v>
                </c:pt>
                <c:pt idx="155">
                  <c:v>1.0011576279691501</c:v>
                </c:pt>
                <c:pt idx="156">
                  <c:v>1.0011576279691501</c:v>
                </c:pt>
                <c:pt idx="157">
                  <c:v>1.0011576279691501</c:v>
                </c:pt>
                <c:pt idx="158">
                  <c:v>1.0011576279691501</c:v>
                </c:pt>
                <c:pt idx="159">
                  <c:v>1.0011576279691501</c:v>
                </c:pt>
                <c:pt idx="160">
                  <c:v>1.0011576279691501</c:v>
                </c:pt>
                <c:pt idx="161">
                  <c:v>1.0011576279691501</c:v>
                </c:pt>
                <c:pt idx="162">
                  <c:v>1.0011576279691501</c:v>
                </c:pt>
                <c:pt idx="163">
                  <c:v>1.0011576279691501</c:v>
                </c:pt>
                <c:pt idx="164">
                  <c:v>1.0011576279691501</c:v>
                </c:pt>
                <c:pt idx="165">
                  <c:v>1.0011576279691501</c:v>
                </c:pt>
                <c:pt idx="166">
                  <c:v>1.0011576279691501</c:v>
                </c:pt>
                <c:pt idx="167">
                  <c:v>1.0011576279691501</c:v>
                </c:pt>
                <c:pt idx="168">
                  <c:v>1.0011576279691501</c:v>
                </c:pt>
                <c:pt idx="169">
                  <c:v>1.0011576279691501</c:v>
                </c:pt>
                <c:pt idx="170">
                  <c:v>1.0011576279691501</c:v>
                </c:pt>
                <c:pt idx="171">
                  <c:v>1.0011576279691501</c:v>
                </c:pt>
                <c:pt idx="172">
                  <c:v>1.0011576279691501</c:v>
                </c:pt>
                <c:pt idx="173">
                  <c:v>1.0011576279691501</c:v>
                </c:pt>
                <c:pt idx="174">
                  <c:v>1.0011576279691501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EC-4DE6-A19C-1938A334059C}"/>
            </c:ext>
          </c:extLst>
        </c:ser>
        <c:ser>
          <c:idx val="1"/>
          <c:order val="1"/>
          <c:tx>
            <c:strRef>
              <c:f>Sheet1!$P$1</c:f>
              <c:strCache>
                <c:ptCount val="1"/>
                <c:pt idx="0">
                  <c:v> IBHL/BSJW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Sheet1!$P$2:$P$176</c:f>
              <c:numCache>
                <c:formatCode>_(* #,##0.0000_);_(* \(#,##0.0000\);_(* "-"??_);_(@_)</c:formatCode>
                <c:ptCount val="175"/>
                <c:pt idx="9">
                  <c:v>0.996755572824368</c:v>
                </c:pt>
                <c:pt idx="10">
                  <c:v>0.99656432903747505</c:v>
                </c:pt>
                <c:pt idx="11">
                  <c:v>0.99722338532179899</c:v>
                </c:pt>
                <c:pt idx="12">
                  <c:v>0.99788120763833499</c:v>
                </c:pt>
                <c:pt idx="13">
                  <c:v>0.99846176396798503</c:v>
                </c:pt>
                <c:pt idx="14">
                  <c:v>0.999003621535825</c:v>
                </c:pt>
                <c:pt idx="15">
                  <c:v>0.999737813059002</c:v>
                </c:pt>
                <c:pt idx="16">
                  <c:v>1.0002406111223601</c:v>
                </c:pt>
                <c:pt idx="17">
                  <c:v>1.0008210059010401</c:v>
                </c:pt>
                <c:pt idx="18">
                  <c:v>1.0015178466341099</c:v>
                </c:pt>
                <c:pt idx="19">
                  <c:v>1.0020204525255101</c:v>
                </c:pt>
                <c:pt idx="20">
                  <c:v>1.00228924575017</c:v>
                </c:pt>
                <c:pt idx="21">
                  <c:v>1.00166788502749</c:v>
                </c:pt>
                <c:pt idx="22">
                  <c:v>1.00120222672454</c:v>
                </c:pt>
                <c:pt idx="23">
                  <c:v>1.00065895862313</c:v>
                </c:pt>
                <c:pt idx="24">
                  <c:v>1.00015511239764</c:v>
                </c:pt>
                <c:pt idx="25">
                  <c:v>0.99965188039667496</c:v>
                </c:pt>
                <c:pt idx="26">
                  <c:v>0.99918718411424501</c:v>
                </c:pt>
                <c:pt idx="27">
                  <c:v>0.99856752258944104</c:v>
                </c:pt>
                <c:pt idx="28">
                  <c:v>0.99798567549705297</c:v>
                </c:pt>
                <c:pt idx="29">
                  <c:v>0.99752064918220396</c:v>
                </c:pt>
                <c:pt idx="30">
                  <c:v>0.99759825871252195</c:v>
                </c:pt>
                <c:pt idx="31">
                  <c:v>0.99775377742259796</c:v>
                </c:pt>
                <c:pt idx="32">
                  <c:v>0.99779318381587601</c:v>
                </c:pt>
                <c:pt idx="33">
                  <c:v>0.99791063428095095</c:v>
                </c:pt>
                <c:pt idx="34">
                  <c:v>0.99860959103538305</c:v>
                </c:pt>
                <c:pt idx="35">
                  <c:v>0.99923023306611003</c:v>
                </c:pt>
                <c:pt idx="36">
                  <c:v>0.99988993338726295</c:v>
                </c:pt>
                <c:pt idx="37">
                  <c:v>1.00062706628785</c:v>
                </c:pt>
                <c:pt idx="38">
                  <c:v>1.0013273397199001</c:v>
                </c:pt>
                <c:pt idx="39">
                  <c:v>1.0014427586571299</c:v>
                </c:pt>
                <c:pt idx="40">
                  <c:v>1.0013248591785799</c:v>
                </c:pt>
                <c:pt idx="41">
                  <c:v>1.0014015350994501</c:v>
                </c:pt>
                <c:pt idx="42">
                  <c:v>1.0014000804448899</c:v>
                </c:pt>
                <c:pt idx="43">
                  <c:v>1.00135772985807</c:v>
                </c:pt>
                <c:pt idx="44">
                  <c:v>1.0008124179686599</c:v>
                </c:pt>
                <c:pt idx="45">
                  <c:v>1.0003054968805101</c:v>
                </c:pt>
                <c:pt idx="46">
                  <c:v>0.99979867708297099</c:v>
                </c:pt>
                <c:pt idx="47">
                  <c:v>0.99933030131513201</c:v>
                </c:pt>
                <c:pt idx="48">
                  <c:v>0.99882367621770496</c:v>
                </c:pt>
                <c:pt idx="49">
                  <c:v>0.99878221944044798</c:v>
                </c:pt>
                <c:pt idx="50">
                  <c:v>0.99874110846129005</c:v>
                </c:pt>
                <c:pt idx="51">
                  <c:v>0.99862101332468001</c:v>
                </c:pt>
                <c:pt idx="52">
                  <c:v>0.99865940821378996</c:v>
                </c:pt>
                <c:pt idx="53">
                  <c:v>0.99873664138260998</c:v>
                </c:pt>
                <c:pt idx="54">
                  <c:v>0.99913276660643802</c:v>
                </c:pt>
                <c:pt idx="55">
                  <c:v>0.999649341581752</c:v>
                </c:pt>
                <c:pt idx="56">
                  <c:v>1.0002456370894399</c:v>
                </c:pt>
                <c:pt idx="57">
                  <c:v>1.00068649879931</c:v>
                </c:pt>
                <c:pt idx="58">
                  <c:v>1.00125101492835</c:v>
                </c:pt>
                <c:pt idx="59">
                  <c:v>1.0018517307297199</c:v>
                </c:pt>
                <c:pt idx="60">
                  <c:v>1.00236622894407</c:v>
                </c:pt>
                <c:pt idx="61">
                  <c:v>1.00232670343843</c:v>
                </c:pt>
                <c:pt idx="62">
                  <c:v>1.0022080325523599</c:v>
                </c:pt>
                <c:pt idx="63">
                  <c:v>1.0021304111184599</c:v>
                </c:pt>
                <c:pt idx="64">
                  <c:v>1.00153653987223</c:v>
                </c:pt>
                <c:pt idx="65">
                  <c:v>1.00094190203512</c:v>
                </c:pt>
                <c:pt idx="66">
                  <c:v>1.00034611502348</c:v>
                </c:pt>
                <c:pt idx="67">
                  <c:v>0.99982722948906599</c:v>
                </c:pt>
                <c:pt idx="68">
                  <c:v>0.99914515850109997</c:v>
                </c:pt>
                <c:pt idx="69">
                  <c:v>0.99850777465523799</c:v>
                </c:pt>
                <c:pt idx="70">
                  <c:v>0.99799549276078603</c:v>
                </c:pt>
                <c:pt idx="71">
                  <c:v>0.99811574563114303</c:v>
                </c:pt>
                <c:pt idx="72">
                  <c:v>0.99815770652229796</c:v>
                </c:pt>
                <c:pt idx="73">
                  <c:v>0.99874725589115798</c:v>
                </c:pt>
                <c:pt idx="74">
                  <c:v>0.999298313773609</c:v>
                </c:pt>
                <c:pt idx="75">
                  <c:v>0.99988673505999703</c:v>
                </c:pt>
                <c:pt idx="76">
                  <c:v>1.0003976349038399</c:v>
                </c:pt>
                <c:pt idx="77">
                  <c:v>1.00102644220799</c:v>
                </c:pt>
                <c:pt idx="78">
                  <c:v>1.00153692437537</c:v>
                </c:pt>
                <c:pt idx="79">
                  <c:v>1.0021250900224501</c:v>
                </c:pt>
                <c:pt idx="80">
                  <c:v>1.00279364117226</c:v>
                </c:pt>
                <c:pt idx="81">
                  <c:v>1.00338289566633</c:v>
                </c:pt>
                <c:pt idx="82">
                  <c:v>1.00342088769213</c:v>
                </c:pt>
                <c:pt idx="83">
                  <c:v>1.0027921703626601</c:v>
                </c:pt>
                <c:pt idx="84">
                  <c:v>1.0023988409911</c:v>
                </c:pt>
                <c:pt idx="85">
                  <c:v>1.0018884825665</c:v>
                </c:pt>
                <c:pt idx="86">
                  <c:v>1.00145569043259</c:v>
                </c:pt>
                <c:pt idx="87">
                  <c:v>1.0009449003647299</c:v>
                </c:pt>
                <c:pt idx="88">
                  <c:v>1.00047332578927</c:v>
                </c:pt>
                <c:pt idx="89">
                  <c:v>1.0000014418218099</c:v>
                </c:pt>
                <c:pt idx="90">
                  <c:v>0.99944906391879196</c:v>
                </c:pt>
                <c:pt idx="91">
                  <c:v>0.99889828485323595</c:v>
                </c:pt>
                <c:pt idx="92">
                  <c:v>0.99893690882561004</c:v>
                </c:pt>
                <c:pt idx="93">
                  <c:v>0.99969124373184803</c:v>
                </c:pt>
                <c:pt idx="94">
                  <c:v>1.00028784580329</c:v>
                </c:pt>
                <c:pt idx="95">
                  <c:v>1.0010002641039399</c:v>
                </c:pt>
                <c:pt idx="96">
                  <c:v>1.0015952207627301</c:v>
                </c:pt>
                <c:pt idx="97">
                  <c:v>1.00199093370402</c:v>
                </c:pt>
                <c:pt idx="98">
                  <c:v>1.0025038486378199</c:v>
                </c:pt>
                <c:pt idx="99">
                  <c:v>1.0029775955520299</c:v>
                </c:pt>
                <c:pt idx="100">
                  <c:v>1.00360913390831</c:v>
                </c:pt>
                <c:pt idx="101">
                  <c:v>1.00431869551293</c:v>
                </c:pt>
                <c:pt idx="102">
                  <c:v>1.00427965353227</c:v>
                </c:pt>
                <c:pt idx="103">
                  <c:v>1.0037617252454101</c:v>
                </c:pt>
                <c:pt idx="104">
                  <c:v>1.00324361454738</c:v>
                </c:pt>
                <c:pt idx="105">
                  <c:v>1.0026486112600701</c:v>
                </c:pt>
                <c:pt idx="106">
                  <c:v>1.00189503590253</c:v>
                </c:pt>
                <c:pt idx="107">
                  <c:v>1.00141988241172</c:v>
                </c:pt>
                <c:pt idx="108">
                  <c:v>1.00078798628642</c:v>
                </c:pt>
                <c:pt idx="109">
                  <c:v>1.00035342192733</c:v>
                </c:pt>
                <c:pt idx="110">
                  <c:v>0.99976122263752198</c:v>
                </c:pt>
                <c:pt idx="111">
                  <c:v>0.99909117091153499</c:v>
                </c:pt>
                <c:pt idx="112">
                  <c:v>0.99913080446079205</c:v>
                </c:pt>
                <c:pt idx="113">
                  <c:v>0.99901283356028103</c:v>
                </c:pt>
                <c:pt idx="114">
                  <c:v>0.99913133257689801</c:v>
                </c:pt>
                <c:pt idx="115">
                  <c:v>0.99909207113903498</c:v>
                </c:pt>
                <c:pt idx="116">
                  <c:v>0.99988462126206201</c:v>
                </c:pt>
                <c:pt idx="117">
                  <c:v>1.00051859872088</c:v>
                </c:pt>
                <c:pt idx="118">
                  <c:v>1.00135064430864</c:v>
                </c:pt>
                <c:pt idx="119">
                  <c:v>1.0020249327422199</c:v>
                </c:pt>
                <c:pt idx="120">
                  <c:v>1.00269823423302</c:v>
                </c:pt>
                <c:pt idx="121">
                  <c:v>1.00325186032422</c:v>
                </c:pt>
                <c:pt idx="122">
                  <c:v>1.0037652592851201</c:v>
                </c:pt>
                <c:pt idx="123">
                  <c:v>1.0039623441096801</c:v>
                </c:pt>
                <c:pt idx="124">
                  <c:v>1.0040017606328699</c:v>
                </c:pt>
                <c:pt idx="125">
                  <c:v>1.0041593030701299</c:v>
                </c:pt>
                <c:pt idx="126">
                  <c:v>1.00356477274908</c:v>
                </c:pt>
                <c:pt idx="127">
                  <c:v>1.0027335573713201</c:v>
                </c:pt>
                <c:pt idx="128">
                  <c:v>1.00217806684032</c:v>
                </c:pt>
                <c:pt idx="129">
                  <c:v>1.0014644091165401</c:v>
                </c:pt>
                <c:pt idx="130">
                  <c:v>1.00090945141125</c:v>
                </c:pt>
                <c:pt idx="131">
                  <c:v>1.0000394796796199</c:v>
                </c:pt>
                <c:pt idx="132">
                  <c:v>0.99968356142424097</c:v>
                </c:pt>
                <c:pt idx="133">
                  <c:v>0.99960444750019095</c:v>
                </c:pt>
                <c:pt idx="134">
                  <c:v>0.99944671869546498</c:v>
                </c:pt>
                <c:pt idx="135">
                  <c:v>0.99992278039413596</c:v>
                </c:pt>
                <c:pt idx="136">
                  <c:v>1.0002403667379201</c:v>
                </c:pt>
                <c:pt idx="137">
                  <c:v>1.0011134255681799</c:v>
                </c:pt>
                <c:pt idx="138">
                  <c:v>1.00175334881017</c:v>
                </c:pt>
                <c:pt idx="139">
                  <c:v>1.0023914431830301</c:v>
                </c:pt>
                <c:pt idx="140">
                  <c:v>1.0029107528028101</c:v>
                </c:pt>
                <c:pt idx="141">
                  <c:v>1.0039435051352299</c:v>
                </c:pt>
                <c:pt idx="142">
                  <c:v>1.0043037625384099</c:v>
                </c:pt>
                <c:pt idx="143">
                  <c:v>1.0048606440022101</c:v>
                </c:pt>
                <c:pt idx="144">
                  <c:v>1.0053373769687199</c:v>
                </c:pt>
                <c:pt idx="145">
                  <c:v>1.0048221330729901</c:v>
                </c:pt>
                <c:pt idx="146">
                  <c:v>1.0045045467292</c:v>
                </c:pt>
                <c:pt idx="147">
                  <c:v>1.00378959046861</c:v>
                </c:pt>
                <c:pt idx="148">
                  <c:v>1.0032684472317499</c:v>
                </c:pt>
                <c:pt idx="149">
                  <c:v>1.00266984732967</c:v>
                </c:pt>
                <c:pt idx="150">
                  <c:v>1.00230882817289</c:v>
                </c:pt>
                <c:pt idx="151">
                  <c:v>1.0017109209898101</c:v>
                </c:pt>
                <c:pt idx="152">
                  <c:v>1.00127179923332</c:v>
                </c:pt>
                <c:pt idx="153">
                  <c:v>1.0007936889392699</c:v>
                </c:pt>
                <c:pt idx="154">
                  <c:v>1.00063291232942</c:v>
                </c:pt>
                <c:pt idx="155">
                  <c:v>1.00059326125884</c:v>
                </c:pt>
                <c:pt idx="156">
                  <c:v>1.00071183833394</c:v>
                </c:pt>
                <c:pt idx="157">
                  <c:v>1.0009485558837801</c:v>
                </c:pt>
                <c:pt idx="158">
                  <c:v>1.00082990066378</c:v>
                </c:pt>
                <c:pt idx="159">
                  <c:v>1.00098778503195</c:v>
                </c:pt>
                <c:pt idx="160">
                  <c:v>1.00146425753432</c:v>
                </c:pt>
                <c:pt idx="161">
                  <c:v>1.00185963945843</c:v>
                </c:pt>
                <c:pt idx="162">
                  <c:v>1.00253237392618</c:v>
                </c:pt>
                <c:pt idx="163">
                  <c:v>1.00316647404356</c:v>
                </c:pt>
                <c:pt idx="164">
                  <c:v>1.00360365547448</c:v>
                </c:pt>
                <c:pt idx="165">
                  <c:v>1.0041974797025</c:v>
                </c:pt>
                <c:pt idx="166">
                  <c:v>1.00431747121588</c:v>
                </c:pt>
                <c:pt idx="167">
                  <c:v>1.0043577963738901</c:v>
                </c:pt>
                <c:pt idx="168">
                  <c:v>1.00431841178938</c:v>
                </c:pt>
                <c:pt idx="169">
                  <c:v>1.0043191167709</c:v>
                </c:pt>
                <c:pt idx="170">
                  <c:v>1.00396274621363</c:v>
                </c:pt>
                <c:pt idx="171">
                  <c:v>1.0035677416214299</c:v>
                </c:pt>
                <c:pt idx="172">
                  <c:v>1.0028151668343199</c:v>
                </c:pt>
                <c:pt idx="173">
                  <c:v>1.0023426801625801</c:v>
                </c:pt>
                <c:pt idx="174">
                  <c:v>1.00202993558186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EC-4DE6-A19C-1938A334059C}"/>
            </c:ext>
          </c:extLst>
        </c:ser>
        <c:ser>
          <c:idx val="2"/>
          <c:order val="2"/>
          <c:tx>
            <c:strRef>
              <c:f>Sheet1!$Q$1</c:f>
              <c:strCache>
                <c:ptCount val="1"/>
                <c:pt idx="0">
                  <c:v> IBHL/BSJW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Sheet1!$Q$2:$Q$176</c:f>
              <c:numCache>
                <c:formatCode>_(* #,##0.0000_);_(* \(#,##0.0000\);_(* "-"??_);_(@_)</c:formatCode>
                <c:ptCount val="175"/>
                <c:pt idx="19">
                  <c:v>0.99938801267493904</c:v>
                </c:pt>
                <c:pt idx="20">
                  <c:v>0.99942678739382296</c:v>
                </c:pt>
                <c:pt idx="21">
                  <c:v>0.99944563517464802</c:v>
                </c:pt>
                <c:pt idx="22">
                  <c:v>0.99954171718144003</c:v>
                </c:pt>
                <c:pt idx="23">
                  <c:v>0.99956036129556203</c:v>
                </c:pt>
                <c:pt idx="24">
                  <c:v>0.99957936696673499</c:v>
                </c:pt>
                <c:pt idx="25">
                  <c:v>0.99969484672783804</c:v>
                </c:pt>
                <c:pt idx="26">
                  <c:v>0.99971389761830498</c:v>
                </c:pt>
                <c:pt idx="27">
                  <c:v>0.99969426424524199</c:v>
                </c:pt>
                <c:pt idx="28">
                  <c:v>0.99975176106558405</c:v>
                </c:pt>
                <c:pt idx="29">
                  <c:v>0.99977055085385702</c:v>
                </c:pt>
                <c:pt idx="30">
                  <c:v>0.99994375223134602</c:v>
                </c:pt>
                <c:pt idx="31">
                  <c:v>0.999710831225048</c:v>
                </c:pt>
                <c:pt idx="32">
                  <c:v>0.99949770527021098</c:v>
                </c:pt>
                <c:pt idx="33">
                  <c:v>0.99928479645204404</c:v>
                </c:pt>
                <c:pt idx="34">
                  <c:v>0.99938235171651302</c:v>
                </c:pt>
                <c:pt idx="35">
                  <c:v>0.99944105673139205</c:v>
                </c:pt>
                <c:pt idx="36">
                  <c:v>0.99953855875075404</c:v>
                </c:pt>
                <c:pt idx="37">
                  <c:v>0.99959729443864798</c:v>
                </c:pt>
                <c:pt idx="38">
                  <c:v>0.99965650760848002</c:v>
                </c:pt>
                <c:pt idx="39">
                  <c:v>0.99948170391966695</c:v>
                </c:pt>
                <c:pt idx="40">
                  <c:v>0.999461558945554</c:v>
                </c:pt>
                <c:pt idx="41">
                  <c:v>0.99957765626102402</c:v>
                </c:pt>
                <c:pt idx="42">
                  <c:v>0.99959663213038696</c:v>
                </c:pt>
                <c:pt idx="43">
                  <c:v>0.99963418206951105</c:v>
                </c:pt>
                <c:pt idx="44">
                  <c:v>0.99971100450202499</c:v>
                </c:pt>
                <c:pt idx="45">
                  <c:v>0.99976786497331105</c:v>
                </c:pt>
                <c:pt idx="46">
                  <c:v>0.99984430523511703</c:v>
                </c:pt>
                <c:pt idx="47">
                  <c:v>0.99997868380149402</c:v>
                </c:pt>
                <c:pt idx="48">
                  <c:v>1.0000755079688</c:v>
                </c:pt>
                <c:pt idx="49">
                  <c:v>1.00011248904878</c:v>
                </c:pt>
                <c:pt idx="50">
                  <c:v>1.00003298381993</c:v>
                </c:pt>
                <c:pt idx="51">
                  <c:v>1.0000112742120599</c:v>
                </c:pt>
                <c:pt idx="52">
                  <c:v>1.00002974432934</c:v>
                </c:pt>
                <c:pt idx="53">
                  <c:v>1.0000471856203399</c:v>
                </c:pt>
                <c:pt idx="54">
                  <c:v>0.99997259228755297</c:v>
                </c:pt>
                <c:pt idx="55">
                  <c:v>0.99997741923113204</c:v>
                </c:pt>
                <c:pt idx="56">
                  <c:v>1.0000221570862</c:v>
                </c:pt>
                <c:pt idx="57">
                  <c:v>1.00000840005722</c:v>
                </c:pt>
                <c:pt idx="58">
                  <c:v>1.00003734557302</c:v>
                </c:pt>
                <c:pt idx="59">
                  <c:v>1.00031697508508</c:v>
                </c:pt>
                <c:pt idx="60">
                  <c:v>1.0005536687026799</c:v>
                </c:pt>
                <c:pt idx="61">
                  <c:v>1.00047385838155</c:v>
                </c:pt>
                <c:pt idx="62">
                  <c:v>1.00043372038307</c:v>
                </c:pt>
                <c:pt idx="63">
                  <c:v>1.0004335262505299</c:v>
                </c:pt>
                <c:pt idx="64">
                  <c:v>1.00033465323933</c:v>
                </c:pt>
                <c:pt idx="65">
                  <c:v>1.00029562180844</c:v>
                </c:pt>
                <c:pt idx="66">
                  <c:v>1.00029587605646</c:v>
                </c:pt>
                <c:pt idx="67">
                  <c:v>1.00025686414419</c:v>
                </c:pt>
                <c:pt idx="68">
                  <c:v>1.00019808671472</c:v>
                </c:pt>
                <c:pt idx="69">
                  <c:v>1.0001797526924801</c:v>
                </c:pt>
                <c:pt idx="70">
                  <c:v>1.0001808608524301</c:v>
                </c:pt>
                <c:pt idx="71">
                  <c:v>1.0002212245347899</c:v>
                </c:pt>
                <c:pt idx="72">
                  <c:v>1.00018286953733</c:v>
                </c:pt>
                <c:pt idx="73">
                  <c:v>1.00043883350481</c:v>
                </c:pt>
                <c:pt idx="74">
                  <c:v>1.00041742682292</c:v>
                </c:pt>
                <c:pt idx="75">
                  <c:v>1.00041431854756</c:v>
                </c:pt>
                <c:pt idx="76">
                  <c:v>1.0003718749636601</c:v>
                </c:pt>
                <c:pt idx="77">
                  <c:v>1.00042683584853</c:v>
                </c:pt>
                <c:pt idx="78">
                  <c:v>1.0003410414382301</c:v>
                </c:pt>
                <c:pt idx="79">
                  <c:v>1.00031643233884</c:v>
                </c:pt>
                <c:pt idx="80">
                  <c:v>1.00039456696652</c:v>
                </c:pt>
                <c:pt idx="81">
                  <c:v>1.0007493206487299</c:v>
                </c:pt>
                <c:pt idx="82">
                  <c:v>1.0007892971072101</c:v>
                </c:pt>
                <c:pt idx="83">
                  <c:v>1.00076971312691</c:v>
                </c:pt>
                <c:pt idx="84">
                  <c:v>1.0008485773823499</c:v>
                </c:pt>
                <c:pt idx="85">
                  <c:v>1.0008876088132499</c:v>
                </c:pt>
                <c:pt idx="86">
                  <c:v>1.0009266626682101</c:v>
                </c:pt>
                <c:pt idx="87">
                  <c:v>1.0009856712863601</c:v>
                </c:pt>
                <c:pt idx="88">
                  <c:v>1.00100512508232</c:v>
                </c:pt>
                <c:pt idx="89">
                  <c:v>1.0010632659221299</c:v>
                </c:pt>
                <c:pt idx="90">
                  <c:v>1.00112135254553</c:v>
                </c:pt>
                <c:pt idx="91">
                  <c:v>1.0011405902597801</c:v>
                </c:pt>
                <c:pt idx="92">
                  <c:v>1.0011788982588701</c:v>
                </c:pt>
                <c:pt idx="93">
                  <c:v>1.0012417070472499</c:v>
                </c:pt>
                <c:pt idx="94">
                  <c:v>1.0013433433972001</c:v>
                </c:pt>
                <c:pt idx="95">
                  <c:v>1.0014443733352201</c:v>
                </c:pt>
                <c:pt idx="96">
                  <c:v>1.00152545559766</c:v>
                </c:pt>
                <c:pt idx="97">
                  <c:v>1.0014679170343701</c:v>
                </c:pt>
                <c:pt idx="98">
                  <c:v>1.0014885872135499</c:v>
                </c:pt>
                <c:pt idx="99">
                  <c:v>1.0014895186869199</c:v>
                </c:pt>
                <c:pt idx="100">
                  <c:v>1.0015290989135499</c:v>
                </c:pt>
                <c:pt idx="101">
                  <c:v>1.00160849018308</c:v>
                </c:pt>
                <c:pt idx="102">
                  <c:v>1.00160828117894</c:v>
                </c:pt>
                <c:pt idx="103">
                  <c:v>1.00172648448863</c:v>
                </c:pt>
                <c:pt idx="104">
                  <c:v>1.00176573017533</c:v>
                </c:pt>
                <c:pt idx="105">
                  <c:v>1.00182443768201</c:v>
                </c:pt>
                <c:pt idx="106">
                  <c:v>1.00174512833263</c:v>
                </c:pt>
                <c:pt idx="107">
                  <c:v>1.00170540805787</c:v>
                </c:pt>
                <c:pt idx="108">
                  <c:v>1.00164591746212</c:v>
                </c:pt>
                <c:pt idx="109">
                  <c:v>1.00166550873968</c:v>
                </c:pt>
                <c:pt idx="110">
                  <c:v>1.0016851782729099</c:v>
                </c:pt>
                <c:pt idx="111">
                  <c:v>1.0017049332122301</c:v>
                </c:pt>
                <c:pt idx="112">
                  <c:v>1.00170522899653</c:v>
                </c:pt>
                <c:pt idx="113">
                  <c:v>1.00138727940284</c:v>
                </c:pt>
                <c:pt idx="114">
                  <c:v>1.00118747356214</c:v>
                </c:pt>
                <c:pt idx="115">
                  <c:v>1.0008703411995501</c:v>
                </c:pt>
                <c:pt idx="116">
                  <c:v>1.00088982858229</c:v>
                </c:pt>
                <c:pt idx="117">
                  <c:v>1.0009692405663</c:v>
                </c:pt>
                <c:pt idx="118">
                  <c:v>1.0010693152975301</c:v>
                </c:pt>
                <c:pt idx="119">
                  <c:v>1.0011891773347801</c:v>
                </c:pt>
                <c:pt idx="120">
                  <c:v>1.00122972843527</c:v>
                </c:pt>
                <c:pt idx="121">
                  <c:v>1.00117151561788</c:v>
                </c:pt>
                <c:pt idx="122">
                  <c:v>1.00144803187295</c:v>
                </c:pt>
                <c:pt idx="123">
                  <c:v>1.0014875888349799</c:v>
                </c:pt>
                <c:pt idx="124">
                  <c:v>1.00156654660488</c:v>
                </c:pt>
                <c:pt idx="125">
                  <c:v>1.0016256871045801</c:v>
                </c:pt>
                <c:pt idx="126">
                  <c:v>1.00172469700557</c:v>
                </c:pt>
                <c:pt idx="127">
                  <c:v>1.0016260780460999</c:v>
                </c:pt>
                <c:pt idx="128">
                  <c:v>1.00176435557448</c:v>
                </c:pt>
                <c:pt idx="129">
                  <c:v>1.00174467092938</c:v>
                </c:pt>
                <c:pt idx="130">
                  <c:v>1.0018038428221301</c:v>
                </c:pt>
                <c:pt idx="131">
                  <c:v>1.0016456700019201</c:v>
                </c:pt>
                <c:pt idx="132">
                  <c:v>1.0017244103546801</c:v>
                </c:pt>
                <c:pt idx="133">
                  <c:v>1.00178339580493</c:v>
                </c:pt>
                <c:pt idx="134">
                  <c:v>1.0017242396641699</c:v>
                </c:pt>
                <c:pt idx="135">
                  <c:v>1.0020410417321299</c:v>
                </c:pt>
                <c:pt idx="136">
                  <c:v>1.0019025697435</c:v>
                </c:pt>
                <c:pt idx="137">
                  <c:v>1.0019234914697499</c:v>
                </c:pt>
                <c:pt idx="138">
                  <c:v>1.00196570782524</c:v>
                </c:pt>
                <c:pt idx="139">
                  <c:v>1.00192792614979</c:v>
                </c:pt>
                <c:pt idx="140">
                  <c:v>1.00191010210703</c:v>
                </c:pt>
                <c:pt idx="141">
                  <c:v>1.00199149240743</c:v>
                </c:pt>
                <c:pt idx="142">
                  <c:v>1.0019936619813199</c:v>
                </c:pt>
                <c:pt idx="143">
                  <c:v>1.0022325457512</c:v>
                </c:pt>
                <c:pt idx="144">
                  <c:v>1.00239204783209</c:v>
                </c:pt>
                <c:pt idx="145">
                  <c:v>1.0023724567335599</c:v>
                </c:pt>
                <c:pt idx="146">
                  <c:v>1.0023724567335599</c:v>
                </c:pt>
                <c:pt idx="147">
                  <c:v>1.00245150801839</c:v>
                </c:pt>
                <c:pt idx="148">
                  <c:v>1.0025108980209601</c:v>
                </c:pt>
                <c:pt idx="149">
                  <c:v>1.0025306452563501</c:v>
                </c:pt>
                <c:pt idx="150">
                  <c:v>1.0026097904878499</c:v>
                </c:pt>
                <c:pt idx="151">
                  <c:v>1.00282721306252</c:v>
                </c:pt>
                <c:pt idx="152">
                  <c:v>1.0027877808858701</c:v>
                </c:pt>
                <c:pt idx="153">
                  <c:v>1.00282716647074</c:v>
                </c:pt>
                <c:pt idx="154">
                  <c:v>1.0029851446490701</c:v>
                </c:pt>
                <c:pt idx="155">
                  <c:v>1.0027076971659199</c:v>
                </c:pt>
                <c:pt idx="156">
                  <c:v>1.00260819253157</c:v>
                </c:pt>
                <c:pt idx="157">
                  <c:v>1.0023690731761901</c:v>
                </c:pt>
                <c:pt idx="158">
                  <c:v>1.0020491739477699</c:v>
                </c:pt>
                <c:pt idx="159">
                  <c:v>1.00182881618081</c:v>
                </c:pt>
                <c:pt idx="160">
                  <c:v>1.0018865428535999</c:v>
                </c:pt>
                <c:pt idx="161">
                  <c:v>1.0017852802241201</c:v>
                </c:pt>
                <c:pt idx="162">
                  <c:v>1.0019020865797501</c:v>
                </c:pt>
                <c:pt idx="163">
                  <c:v>1.0019800814914099</c:v>
                </c:pt>
                <c:pt idx="164">
                  <c:v>1.00211828390195</c:v>
                </c:pt>
                <c:pt idx="165">
                  <c:v>1.0023953704806701</c:v>
                </c:pt>
                <c:pt idx="166">
                  <c:v>1.00251465477491</c:v>
                </c:pt>
                <c:pt idx="167">
                  <c:v>1.00265317612883</c:v>
                </c:pt>
                <c:pt idx="168">
                  <c:v>1.00257415622658</c:v>
                </c:pt>
                <c:pt idx="169">
                  <c:v>1.00265345090143</c:v>
                </c:pt>
                <c:pt idx="170">
                  <c:v>1.0027135018739699</c:v>
                </c:pt>
                <c:pt idx="171">
                  <c:v>1.0027136905399301</c:v>
                </c:pt>
                <c:pt idx="172">
                  <c:v>1.00267377038025</c:v>
                </c:pt>
                <c:pt idx="173">
                  <c:v>1.0027545771030699</c:v>
                </c:pt>
                <c:pt idx="174">
                  <c:v>1.0028167955281699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EC-4DE6-A19C-1938A33405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86993888"/>
        <c:axId val="254732912"/>
      </c:lineChart>
      <c:catAx>
        <c:axId val="1686993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4732912"/>
        <c:crosses val="autoZero"/>
        <c:auto val="1"/>
        <c:lblAlgn val="ctr"/>
        <c:lblOffset val="100"/>
        <c:noMultiLvlLbl val="0"/>
      </c:catAx>
      <c:valAx>
        <c:axId val="254732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8699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Sheet1!$AF$1</c:f>
              <c:strCache>
                <c:ptCount val="1"/>
                <c:pt idx="0">
                  <c:v>log diff BSJW* x 10 dma / IBHL*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Sheet1!$AF$2:$AF$176</c:f>
              <c:numCache>
                <c:formatCode>0.0000%</c:formatCode>
                <c:ptCount val="175"/>
                <c:pt idx="10">
                  <c:v>9.9822895629703493E-4</c:v>
                </c:pt>
                <c:pt idx="11">
                  <c:v>-1.15649083958939E-3</c:v>
                </c:pt>
                <c:pt idx="12">
                  <c:v>-1.0434992841085299E-3</c:v>
                </c:pt>
                <c:pt idx="13">
                  <c:v>-5.3743270496019895E-4</c:v>
                </c:pt>
                <c:pt idx="14">
                  <c:v>-1.0508512244573199E-4</c:v>
                </c:pt>
                <c:pt idx="15">
                  <c:v>-1.0192725184193601E-4</c:v>
                </c:pt>
                <c:pt idx="16">
                  <c:v>4.8113427206565601E-4</c:v>
                </c:pt>
                <c:pt idx="17">
                  <c:v>-3.2338728252844998E-4</c:v>
                </c:pt>
                <c:pt idx="18">
                  <c:v>-1.4405519133454099E-3</c:v>
                </c:pt>
                <c:pt idx="19">
                  <c:v>2.62407006226072E-4</c:v>
                </c:pt>
                <c:pt idx="20">
                  <c:v>-7.6170887080839798E-4</c:v>
                </c:pt>
                <c:pt idx="21">
                  <c:v>1.00382929994985E-3</c:v>
                </c:pt>
                <c:pt idx="22">
                  <c:v>-6.7081058416818896E-4</c:v>
                </c:pt>
                <c:pt idx="23">
                  <c:v>5.1182700178572702E-4</c:v>
                </c:pt>
                <c:pt idx="24">
                  <c:v>4.4539243910389199E-4</c:v>
                </c:pt>
                <c:pt idx="25">
                  <c:v>4.2261513317474602E-4</c:v>
                </c:pt>
                <c:pt idx="26">
                  <c:v>4.1025174854164299E-4</c:v>
                </c:pt>
                <c:pt idx="27">
                  <c:v>1.2019000659730401E-3</c:v>
                </c:pt>
                <c:pt idx="28">
                  <c:v>-4.6962520632272398E-4</c:v>
                </c:pt>
                <c:pt idx="29">
                  <c:v>-1.7736267525720001E-4</c:v>
                </c:pt>
                <c:pt idx="30">
                  <c:v>-1.6989984928245899E-3</c:v>
                </c:pt>
                <c:pt idx="31">
                  <c:v>-8.5346989155485505E-4</c:v>
                </c:pt>
                <c:pt idx="32">
                  <c:v>-1.0829128548166501E-3</c:v>
                </c:pt>
                <c:pt idx="33">
                  <c:v>-6.6104226084390098E-4</c:v>
                </c:pt>
                <c:pt idx="34">
                  <c:v>-1.5032824756599701E-3</c:v>
                </c:pt>
                <c:pt idx="35">
                  <c:v>-5.1967670067953398E-4</c:v>
                </c:pt>
                <c:pt idx="36">
                  <c:v>-7.7126199895410105E-4</c:v>
                </c:pt>
                <c:pt idx="37">
                  <c:v>-5.96500950531191E-4</c:v>
                </c:pt>
                <c:pt idx="38">
                  <c:v>-1.50219126623539E-3</c:v>
                </c:pt>
                <c:pt idx="39">
                  <c:v>-1.2017424988747E-4</c:v>
                </c:pt>
                <c:pt idx="40">
                  <c:v>7.9201294291549799E-4</c:v>
                </c:pt>
                <c:pt idx="41">
                  <c:v>-4.7087762240432298E-4</c:v>
                </c:pt>
                <c:pt idx="42">
                  <c:v>1.6851882533177599E-5</c:v>
                </c:pt>
                <c:pt idx="43">
                  <c:v>8.2229183548644203E-4</c:v>
                </c:pt>
                <c:pt idx="44">
                  <c:v>9.7727034428249E-6</c:v>
                </c:pt>
                <c:pt idx="45">
                  <c:v>3.6026612334996298E-4</c:v>
                </c:pt>
                <c:pt idx="46">
                  <c:v>-2.6471916307693599E-5</c:v>
                </c:pt>
                <c:pt idx="47">
                  <c:v>-4.1083112235196098E-4</c:v>
                </c:pt>
                <c:pt idx="48">
                  <c:v>-1.15925899921658E-3</c:v>
                </c:pt>
                <c:pt idx="49">
                  <c:v>4.0701181066947598E-4</c:v>
                </c:pt>
                <c:pt idx="50">
                  <c:v>1.1384654836845501E-3</c:v>
                </c:pt>
                <c:pt idx="51">
                  <c:v>7.1806219343985105E-4</c:v>
                </c:pt>
                <c:pt idx="52">
                  <c:v>-5.8156969534201898E-4</c:v>
                </c:pt>
                <c:pt idx="53">
                  <c:v>-1.3985442238609899E-4</c:v>
                </c:pt>
                <c:pt idx="54">
                  <c:v>1.0652167239965601E-3</c:v>
                </c:pt>
                <c:pt idx="55">
                  <c:v>1.71327689049257E-4</c:v>
                </c:pt>
                <c:pt idx="56">
                  <c:v>-1.01127921134986E-3</c:v>
                </c:pt>
                <c:pt idx="57">
                  <c:v>2.6367801794638103E-4</c:v>
                </c:pt>
                <c:pt idx="58">
                  <c:v>-1.7922536638648599E-3</c:v>
                </c:pt>
                <c:pt idx="59">
                  <c:v>-5.6044670216254602E-4</c:v>
                </c:pt>
                <c:pt idx="60">
                  <c:v>1.074681689625E-3</c:v>
                </c:pt>
                <c:pt idx="61">
                  <c:v>1.33510393610079E-3</c:v>
                </c:pt>
                <c:pt idx="62">
                  <c:v>8.80817799436337E-4</c:v>
                </c:pt>
                <c:pt idx="63">
                  <c:v>7.3500730182496897E-4</c:v>
                </c:pt>
                <c:pt idx="64">
                  <c:v>1.8018127416643899E-3</c:v>
                </c:pt>
                <c:pt idx="65">
                  <c:v>9.0402827611044101E-4</c:v>
                </c:pt>
                <c:pt idx="66">
                  <c:v>-3.54425531853699E-4</c:v>
                </c:pt>
                <c:pt idx="67">
                  <c:v>-6.2048410278842597E-5</c:v>
                </c:pt>
                <c:pt idx="68">
                  <c:v>-4.78318799307594E-4</c:v>
                </c:pt>
                <c:pt idx="69">
                  <c:v>1.03457818023278E-4</c:v>
                </c:pt>
                <c:pt idx="70">
                  <c:v>3.5256915067313402E-4</c:v>
                </c:pt>
                <c:pt idx="71">
                  <c:v>-8.2216645310779297E-4</c:v>
                </c:pt>
                <c:pt idx="72">
                  <c:v>-3.2563648244253999E-4</c:v>
                </c:pt>
                <c:pt idx="73">
                  <c:v>-3.5704931646625898E-4</c:v>
                </c:pt>
                <c:pt idx="74">
                  <c:v>1.24023524627991E-3</c:v>
                </c:pt>
                <c:pt idx="75">
                  <c:v>9.0309430745026906E-5</c:v>
                </c:pt>
                <c:pt idx="76">
                  <c:v>-2.4525630878575799E-4</c:v>
                </c:pt>
                <c:pt idx="77">
                  <c:v>-1.04936098075528E-3</c:v>
                </c:pt>
                <c:pt idx="78">
                  <c:v>-1.9215358838226999E-4</c:v>
                </c:pt>
                <c:pt idx="79">
                  <c:v>-2.2178493676307601E-4</c:v>
                </c:pt>
                <c:pt idx="80">
                  <c:v>-5.5475834538438096E-4</c:v>
                </c:pt>
                <c:pt idx="81">
                  <c:v>-8.2441520823948403E-4</c:v>
                </c:pt>
                <c:pt idx="82">
                  <c:v>-1.5321781058452399E-4</c:v>
                </c:pt>
                <c:pt idx="83">
                  <c:v>1.03482295459817E-3</c:v>
                </c:pt>
                <c:pt idx="84">
                  <c:v>1.5676361301149199E-4</c:v>
                </c:pt>
                <c:pt idx="85">
                  <c:v>2.7790763234751699E-4</c:v>
                </c:pt>
                <c:pt idx="86">
                  <c:v>-8.5659268190658999E-4</c:v>
                </c:pt>
                <c:pt idx="87">
                  <c:v>-7.6849143399571605E-4</c:v>
                </c:pt>
                <c:pt idx="88">
                  <c:v>-3.67024021415045E-4</c:v>
                </c:pt>
                <c:pt idx="89">
                  <c:v>-3.1124466064630298E-4</c:v>
                </c:pt>
                <c:pt idx="90">
                  <c:v>1.2657580855196301E-4</c:v>
                </c:pt>
                <c:pt idx="91">
                  <c:v>-2.8053454459014E-4</c:v>
                </c:pt>
                <c:pt idx="92">
                  <c:v>-2.99311316675286E-4</c:v>
                </c:pt>
                <c:pt idx="93">
                  <c:v>-6.4994094266821703E-4</c:v>
                </c:pt>
                <c:pt idx="94">
                  <c:v>3.2366148337283199E-4</c:v>
                </c:pt>
                <c:pt idx="95">
                  <c:v>-8.1136457449732695E-4</c:v>
                </c:pt>
                <c:pt idx="96">
                  <c:v>-6.5792259843591597E-4</c:v>
                </c:pt>
                <c:pt idx="97">
                  <c:v>1.3114125765552201E-3</c:v>
                </c:pt>
                <c:pt idx="98">
                  <c:v>3.7745985171019301E-4</c:v>
                </c:pt>
                <c:pt idx="99">
                  <c:v>7.2543861371857695E-4</c:v>
                </c:pt>
                <c:pt idx="100">
                  <c:v>-5.0736204312756697E-4</c:v>
                </c:pt>
                <c:pt idx="101">
                  <c:v>-1.58461662532035E-3</c:v>
                </c:pt>
                <c:pt idx="102">
                  <c:v>8.2062125850252104E-4</c:v>
                </c:pt>
                <c:pt idx="103">
                  <c:v>-4.0348543608436098E-4</c:v>
                </c:pt>
                <c:pt idx="104">
                  <c:v>3.7633776209593998E-4</c:v>
                </c:pt>
                <c:pt idx="105">
                  <c:v>-3.1042611759581001E-6</c:v>
                </c:pt>
                <c:pt idx="106">
                  <c:v>1.47804821990058E-3</c:v>
                </c:pt>
                <c:pt idx="107">
                  <c:v>4.7668510290014101E-4</c:v>
                </c:pt>
                <c:pt idx="108">
                  <c:v>1.2906689435433201E-3</c:v>
                </c:pt>
                <c:pt idx="109">
                  <c:v>-3.5989536315426197E-4</c:v>
                </c:pt>
                <c:pt idx="110">
                  <c:v>9.8417112452852304E-5</c:v>
                </c:pt>
                <c:pt idx="111">
                  <c:v>-3.56897136478048E-4</c:v>
                </c:pt>
                <c:pt idx="112">
                  <c:v>-1.2420805264254099E-4</c:v>
                </c:pt>
                <c:pt idx="113">
                  <c:v>2.99344202230638E-4</c:v>
                </c:pt>
                <c:pt idx="114">
                  <c:v>-1.3472619311847901E-3</c:v>
                </c:pt>
                <c:pt idx="115">
                  <c:v>-8.24980723904372E-5</c:v>
                </c:pt>
                <c:pt idx="116">
                  <c:v>-1.3480587970934701E-3</c:v>
                </c:pt>
                <c:pt idx="117">
                  <c:v>-3.3934474654644402E-4</c:v>
                </c:pt>
                <c:pt idx="118">
                  <c:v>-1.40682183624784E-3</c:v>
                </c:pt>
                <c:pt idx="119">
                  <c:v>-1.1290590443775101E-3</c:v>
                </c:pt>
                <c:pt idx="120">
                  <c:v>-6.2128277416169495E-4</c:v>
                </c:pt>
                <c:pt idx="121">
                  <c:v>2.6782344043841701E-4</c:v>
                </c:pt>
                <c:pt idx="122">
                  <c:v>1.04196429870234E-3</c:v>
                </c:pt>
                <c:pt idx="123">
                  <c:v>-6.3022829358076E-4</c:v>
                </c:pt>
                <c:pt idx="124">
                  <c:v>-4.5948261481777199E-4</c:v>
                </c:pt>
                <c:pt idx="125">
                  <c:v>-4.4118177264524001E-4</c:v>
                </c:pt>
                <c:pt idx="126">
                  <c:v>4.5768761169575402E-4</c:v>
                </c:pt>
                <c:pt idx="127">
                  <c:v>3.4643912702359901E-3</c:v>
                </c:pt>
                <c:pt idx="128">
                  <c:v>-6.6754951947121098E-4</c:v>
                </c:pt>
                <c:pt idx="129">
                  <c:v>8.38156526779261E-4</c:v>
                </c:pt>
                <c:pt idx="130">
                  <c:v>-4.9073177586198696E-4</c:v>
                </c:pt>
                <c:pt idx="131">
                  <c:v>3.32152656212062E-3</c:v>
                </c:pt>
                <c:pt idx="132">
                  <c:v>-1.23794180452509E-3</c:v>
                </c:pt>
                <c:pt idx="133">
                  <c:v>-3.0867151205659401E-4</c:v>
                </c:pt>
                <c:pt idx="134">
                  <c:v>3.7889794469205402E-4</c:v>
                </c:pt>
                <c:pt idx="135">
                  <c:v>-6.1487063387971196E-4</c:v>
                </c:pt>
                <c:pt idx="136">
                  <c:v>1.618938157349E-3</c:v>
                </c:pt>
                <c:pt idx="137">
                  <c:v>-9.0179180635747199E-4</c:v>
                </c:pt>
                <c:pt idx="138">
                  <c:v>-2.1233987337326101E-3</c:v>
                </c:pt>
                <c:pt idx="139">
                  <c:v>-4.9904281004394696E-4</c:v>
                </c:pt>
                <c:pt idx="140">
                  <c:v>-4.1579663917642502E-4</c:v>
                </c:pt>
                <c:pt idx="141">
                  <c:v>-1.6015949557196499E-3</c:v>
                </c:pt>
                <c:pt idx="142">
                  <c:v>1.1770252572172301E-3</c:v>
                </c:pt>
                <c:pt idx="143">
                  <c:v>-1.6820056026593699E-4</c:v>
                </c:pt>
                <c:pt idx="144">
                  <c:v>1.3764260369044201E-3</c:v>
                </c:pt>
                <c:pt idx="145">
                  <c:v>-1.53313329931149E-4</c:v>
                </c:pt>
                <c:pt idx="146">
                  <c:v>2.1503282221540599E-4</c:v>
                </c:pt>
                <c:pt idx="147">
                  <c:v>1.92332584665338E-3</c:v>
                </c:pt>
                <c:pt idx="148">
                  <c:v>-1.70346647399935E-3</c:v>
                </c:pt>
                <c:pt idx="149">
                  <c:v>5.7461039062961798E-4</c:v>
                </c:pt>
                <c:pt idx="150">
                  <c:v>-1.79521850979275E-3</c:v>
                </c:pt>
                <c:pt idx="151">
                  <c:v>-5.0524633938151204E-4</c:v>
                </c:pt>
                <c:pt idx="152">
                  <c:v>1.71347023436378E-4</c:v>
                </c:pt>
                <c:pt idx="153">
                  <c:v>-5.2273868701385598E-4</c:v>
                </c:pt>
                <c:pt idx="154">
                  <c:v>-2.0128653447563502E-3</c:v>
                </c:pt>
                <c:pt idx="155">
                  <c:v>6.0993155018468804E-4</c:v>
                </c:pt>
                <c:pt idx="156">
                  <c:v>-5.7065675449075395E-4</c:v>
                </c:pt>
                <c:pt idx="157">
                  <c:v>-7.7079312365724498E-5</c:v>
                </c:pt>
                <c:pt idx="158">
                  <c:v>1.5338536566599301E-4</c:v>
                </c:pt>
                <c:pt idx="159">
                  <c:v>-3.4299120651323502E-4</c:v>
                </c:pt>
                <c:pt idx="160">
                  <c:v>-1.5271438677795699E-4</c:v>
                </c:pt>
                <c:pt idx="161">
                  <c:v>1.6640174136514001E-3</c:v>
                </c:pt>
                <c:pt idx="162">
                  <c:v>-3.88955095490595E-4</c:v>
                </c:pt>
                <c:pt idx="163">
                  <c:v>-6.5769041220592797E-4</c:v>
                </c:pt>
                <c:pt idx="164">
                  <c:v>-2.0490678813992299E-4</c:v>
                </c:pt>
                <c:pt idx="165">
                  <c:v>4.3576382664455401E-4</c:v>
                </c:pt>
                <c:pt idx="166">
                  <c:v>-1.3961794543864499E-3</c:v>
                </c:pt>
                <c:pt idx="167">
                  <c:v>-1.4608243440006501E-4</c:v>
                </c:pt>
                <c:pt idx="168">
                  <c:v>6.4501021848567704E-4</c:v>
                </c:pt>
                <c:pt idx="169">
                  <c:v>-1.60908178917759E-4</c:v>
                </c:pt>
                <c:pt idx="170">
                  <c:v>-2.0716738946501799E-3</c:v>
                </c:pt>
                <c:pt idx="171">
                  <c:v>4.0081390154664401E-4</c:v>
                </c:pt>
                <c:pt idx="172">
                  <c:v>2.0855244590232301E-3</c:v>
                </c:pt>
                <c:pt idx="173">
                  <c:v>-1.1753383947475399E-3</c:v>
                </c:pt>
                <c:pt idx="174">
                  <c:v>-2.2571969965080301E-3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73-4231-8B69-DF6607A9F758}"/>
            </c:ext>
          </c:extLst>
        </c:ser>
        <c:ser>
          <c:idx val="2"/>
          <c:order val="1"/>
          <c:tx>
            <c:strRef>
              <c:f>Sheet1!$AG$1</c:f>
              <c:strCache>
                <c:ptCount val="1"/>
                <c:pt idx="0">
                  <c:v>log diff BSJW* x 20 dma / IBHL*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Sheet1!$AG$2:$AG$176</c:f>
              <c:numCache>
                <c:formatCode>0.0000%</c:formatCode>
                <c:ptCount val="175"/>
                <c:pt idx="20">
                  <c:v>-9.7461525334883602E-4</c:v>
                </c:pt>
                <c:pt idx="21">
                  <c:v>5.8580361732765696E-4</c:v>
                </c:pt>
                <c:pt idx="22">
                  <c:v>-9.6266965933365796E-4</c:v>
                </c:pt>
                <c:pt idx="23">
                  <c:v>2.69629257489583E-4</c:v>
                </c:pt>
                <c:pt idx="24">
                  <c:v>2.5310217071259099E-4</c:v>
                </c:pt>
                <c:pt idx="25">
                  <c:v>2.4078145616340501E-4</c:v>
                </c:pt>
                <c:pt idx="26">
                  <c:v>3.3517742552952398E-4</c:v>
                </c:pt>
                <c:pt idx="27">
                  <c:v>1.0986749672016801E-3</c:v>
                </c:pt>
                <c:pt idx="28">
                  <c:v>-4.8566030936905702E-4</c:v>
                </c:pt>
                <c:pt idx="29">
                  <c:v>-6.7147202888271206E-5</c:v>
                </c:pt>
                <c:pt idx="30">
                  <c:v>-1.6171629912075599E-3</c:v>
                </c:pt>
                <c:pt idx="31">
                  <c:v>-7.0111499682468299E-4</c:v>
                </c:pt>
                <c:pt idx="32">
                  <c:v>-1.07438658931513E-3</c:v>
                </c:pt>
                <c:pt idx="33">
                  <c:v>-6.6172403805348596E-4</c:v>
                </c:pt>
                <c:pt idx="34">
                  <c:v>-1.59090754761127E-3</c:v>
                </c:pt>
                <c:pt idx="35">
                  <c:v>-7.21807492352093E-4</c:v>
                </c:pt>
                <c:pt idx="36">
                  <c:v>-1.04872897505156E-3</c:v>
                </c:pt>
                <c:pt idx="37">
                  <c:v>-9.4970835528138695E-4</c:v>
                </c:pt>
                <c:pt idx="38">
                  <c:v>-2.0463721036538302E-3</c:v>
                </c:pt>
                <c:pt idx="39">
                  <c:v>-8.1734597366011003E-4</c:v>
                </c:pt>
                <c:pt idx="40">
                  <c:v>3.9008989749463197E-5</c:v>
                </c:pt>
                <c:pt idx="41">
                  <c:v>-1.1360039224136899E-3</c:v>
                </c:pt>
                <c:pt idx="42">
                  <c:v>-6.1806622578890495E-4</c:v>
                </c:pt>
                <c:pt idx="43">
                  <c:v>1.9861344355814401E-4</c:v>
                </c:pt>
                <c:pt idx="44">
                  <c:v>-5.4346339231343597E-4</c:v>
                </c:pt>
                <c:pt idx="45">
                  <c:v>-6.6481570412774404E-5</c:v>
                </c:pt>
                <c:pt idx="46">
                  <c:v>-3.84618894668736E-4</c:v>
                </c:pt>
                <c:pt idx="47">
                  <c:v>-6.8077707473101199E-4</c:v>
                </c:pt>
                <c:pt idx="48">
                  <c:v>-1.32179749085871E-3</c:v>
                </c:pt>
                <c:pt idx="49">
                  <c:v>3.5145094565993301E-4</c:v>
                </c:pt>
                <c:pt idx="50">
                  <c:v>1.170543868512E-3</c:v>
                </c:pt>
                <c:pt idx="51">
                  <c:v>7.2144228156920402E-4</c:v>
                </c:pt>
                <c:pt idx="52">
                  <c:v>-4.7099935574755202E-4</c:v>
                </c:pt>
                <c:pt idx="53">
                  <c:v>-3.9634087345642302E-5</c:v>
                </c:pt>
                <c:pt idx="54">
                  <c:v>1.11558690328595E-3</c:v>
                </c:pt>
                <c:pt idx="55">
                  <c:v>2.5916655935522503E-4</c:v>
                </c:pt>
                <c:pt idx="56">
                  <c:v>-9.2541662278730402E-4</c:v>
                </c:pt>
                <c:pt idx="57">
                  <c:v>3.0744201451639698E-4</c:v>
                </c:pt>
                <c:pt idx="58">
                  <c:v>-1.6926594061571099E-3</c:v>
                </c:pt>
                <c:pt idx="59">
                  <c:v>-4.8347145591491001E-4</c:v>
                </c:pt>
                <c:pt idx="60">
                  <c:v>1.09017444223728E-3</c:v>
                </c:pt>
                <c:pt idx="61">
                  <c:v>1.3284467697316799E-3</c:v>
                </c:pt>
                <c:pt idx="62">
                  <c:v>8.4453598375216598E-4</c:v>
                </c:pt>
                <c:pt idx="63">
                  <c:v>7.8708094058990903E-4</c:v>
                </c:pt>
                <c:pt idx="64">
                  <c:v>1.9409105479852599E-3</c:v>
                </c:pt>
                <c:pt idx="65">
                  <c:v>1.03601638759877E-3</c:v>
                </c:pt>
                <c:pt idx="66">
                  <c:v>-1.71950942208686E-4</c:v>
                </c:pt>
                <c:pt idx="67">
                  <c:v>2.12259881492493E-4</c:v>
                </c:pt>
                <c:pt idx="68">
                  <c:v>-2.30982421434705E-4</c:v>
                </c:pt>
                <c:pt idx="69">
                  <c:v>4.6311344431157502E-4</c:v>
                </c:pt>
                <c:pt idx="70">
                  <c:v>8.2215041889857198E-4</c:v>
                </c:pt>
                <c:pt idx="71">
                  <c:v>-3.40102163417812E-4</c:v>
                </c:pt>
                <c:pt idx="72">
                  <c:v>6.6553840632093704E-5</c:v>
                </c:pt>
                <c:pt idx="73">
                  <c:v>-5.54867982395827E-5</c:v>
                </c:pt>
                <c:pt idx="74">
                  <c:v>1.46838435393401E-3</c:v>
                </c:pt>
                <c:pt idx="75">
                  <c:v>2.62512059631435E-4</c:v>
                </c:pt>
                <c:pt idx="76">
                  <c:v>-1.4633783886816801E-4</c:v>
                </c:pt>
                <c:pt idx="77">
                  <c:v>-9.8622455482715791E-4</c:v>
                </c:pt>
                <c:pt idx="78">
                  <c:v>-1.8323890052464301E-4</c:v>
                </c:pt>
                <c:pt idx="79">
                  <c:v>-2.88223539587482E-4</c:v>
                </c:pt>
                <c:pt idx="80">
                  <c:v>-7.1329191240843495E-4</c:v>
                </c:pt>
                <c:pt idx="81">
                  <c:v>-1.05498743410949E-3</c:v>
                </c:pt>
                <c:pt idx="82">
                  <c:v>-3.47304704090367E-4</c:v>
                </c:pt>
                <c:pt idx="83">
                  <c:v>8.5105744002556005E-4</c:v>
                </c:pt>
                <c:pt idx="84">
                  <c:v>4.8631570464941503E-5</c:v>
                </c:pt>
                <c:pt idx="85">
                  <c:v>1.1011279752404501E-4</c:v>
                </c:pt>
                <c:pt idx="86">
                  <c:v>-1.00832941891835E-3</c:v>
                </c:pt>
                <c:pt idx="87">
                  <c:v>-9.8133102056726903E-4</c:v>
                </c:pt>
                <c:pt idx="88">
                  <c:v>-5.4404134879209697E-4</c:v>
                </c:pt>
                <c:pt idx="89">
                  <c:v>-5.2990776946195296E-4</c:v>
                </c:pt>
                <c:pt idx="90">
                  <c:v>-9.5523269763681499E-5</c:v>
                </c:pt>
                <c:pt idx="91">
                  <c:v>-4.2957907758070702E-4</c:v>
                </c:pt>
                <c:pt idx="92">
                  <c:v>-4.1288141018738198E-4</c:v>
                </c:pt>
                <c:pt idx="93">
                  <c:v>-7.7138418318437399E-4</c:v>
                </c:pt>
                <c:pt idx="94">
                  <c:v>5.4712070585934803E-5</c:v>
                </c:pt>
                <c:pt idx="95">
                  <c:v>-1.03393850648684E-3</c:v>
                </c:pt>
                <c:pt idx="96">
                  <c:v>-9.4980136191597604E-4</c:v>
                </c:pt>
                <c:pt idx="97">
                  <c:v>1.0460170190993801E-3</c:v>
                </c:pt>
                <c:pt idx="98">
                  <c:v>1.9670969389482801E-4</c:v>
                </c:pt>
                <c:pt idx="99">
                  <c:v>5.9027443799842996E-4</c:v>
                </c:pt>
                <c:pt idx="100">
                  <c:v>-5.7788542498868095E-4</c:v>
                </c:pt>
                <c:pt idx="101">
                  <c:v>-1.7057421594971901E-3</c:v>
                </c:pt>
                <c:pt idx="102">
                  <c:v>6.0984285177454801E-4</c:v>
                </c:pt>
                <c:pt idx="103">
                  <c:v>-5.6070828798129196E-4</c:v>
                </c:pt>
                <c:pt idx="104">
                  <c:v>3.1204636388625702E-4</c:v>
                </c:pt>
                <c:pt idx="105">
                  <c:v>-5.26465684037734E-5</c:v>
                </c:pt>
                <c:pt idx="106">
                  <c:v>1.5407002426812901E-3</c:v>
                </c:pt>
                <c:pt idx="107">
                  <c:v>6.7165846710569104E-4</c:v>
                </c:pt>
                <c:pt idx="108">
                  <c:v>1.3859863950084E-3</c:v>
                </c:pt>
                <c:pt idx="109">
                  <c:v>-2.2856414876754199E-4</c:v>
                </c:pt>
                <c:pt idx="110">
                  <c:v>1.50305229075465E-4</c:v>
                </c:pt>
                <c:pt idx="111">
                  <c:v>-2.3076179708626801E-4</c:v>
                </c:pt>
                <c:pt idx="112">
                  <c:v>1.5341745647247E-4</c:v>
                </c:pt>
                <c:pt idx="113">
                  <c:v>5.2257375477826097E-4</c:v>
                </c:pt>
                <c:pt idx="114">
                  <c:v>-1.0631338714201599E-3</c:v>
                </c:pt>
                <c:pt idx="115">
                  <c:v>1.47597696706505E-4</c:v>
                </c:pt>
                <c:pt idx="116">
                  <c:v>-1.1343964818623701E-3</c:v>
                </c:pt>
                <c:pt idx="117">
                  <c:v>-3.58687011958986E-4</c:v>
                </c:pt>
                <c:pt idx="118">
                  <c:v>-1.44666874602045E-3</c:v>
                </c:pt>
                <c:pt idx="119">
                  <c:v>-1.3628760449048501E-3</c:v>
                </c:pt>
                <c:pt idx="120">
                  <c:v>-8.7583445800144496E-4</c:v>
                </c:pt>
                <c:pt idx="121">
                  <c:v>-8.3626913678471506E-5</c:v>
                </c:pt>
                <c:pt idx="122">
                  <c:v>6.1254501599068397E-4</c:v>
                </c:pt>
                <c:pt idx="123">
                  <c:v>-1.02483685207383E-3</c:v>
                </c:pt>
                <c:pt idx="124">
                  <c:v>-9.9742556282370509E-4</c:v>
                </c:pt>
                <c:pt idx="125">
                  <c:v>-9.3076039644365404E-4</c:v>
                </c:pt>
                <c:pt idx="126">
                  <c:v>-1.1777236586680199E-4</c:v>
                </c:pt>
                <c:pt idx="127">
                  <c:v>3.0415214980926701E-3</c:v>
                </c:pt>
                <c:pt idx="128">
                  <c:v>-9.0013215464414796E-4</c:v>
                </c:pt>
                <c:pt idx="129">
                  <c:v>7.5810651274243503E-4</c:v>
                </c:pt>
                <c:pt idx="130">
                  <c:v>-4.1854246319639697E-4</c:v>
                </c:pt>
                <c:pt idx="131">
                  <c:v>3.4689192309193002E-3</c:v>
                </c:pt>
                <c:pt idx="132">
                  <c:v>-9.1941952542774004E-4</c:v>
                </c:pt>
                <c:pt idx="133">
                  <c:v>-8.7695221661844295E-5</c:v>
                </c:pt>
                <c:pt idx="134">
                  <c:v>7.2403041074533495E-4</c:v>
                </c:pt>
                <c:pt idx="135">
                  <c:v>-1.8382005249078799E-4</c:v>
                </c:pt>
                <c:pt idx="136">
                  <c:v>2.1513673992029701E-3</c:v>
                </c:pt>
                <c:pt idx="137">
                  <c:v>-2.9079186036713202E-4</c:v>
                </c:pt>
                <c:pt idx="138">
                  <c:v>-1.81725567793374E-3</c:v>
                </c:pt>
                <c:pt idx="139">
                  <c:v>-2.4888207758866999E-4</c:v>
                </c:pt>
                <c:pt idx="140">
                  <c:v>-2.9787842556315E-4</c:v>
                </c:pt>
                <c:pt idx="141">
                  <c:v>-1.48188457488945E-3</c:v>
                </c:pt>
                <c:pt idx="142">
                  <c:v>8.9563435536061298E-4</c:v>
                </c:pt>
                <c:pt idx="143">
                  <c:v>-2.7485910195506599E-4</c:v>
                </c:pt>
                <c:pt idx="144">
                  <c:v>1.2279286405827801E-3</c:v>
                </c:pt>
                <c:pt idx="145">
                  <c:v>-3.4327447611995202E-4</c:v>
                </c:pt>
                <c:pt idx="146">
                  <c:v>-5.2868713502552303E-6</c:v>
                </c:pt>
                <c:pt idx="147">
                  <c:v>1.4997079055161901E-3</c:v>
                </c:pt>
                <c:pt idx="148">
                  <c:v>-1.8712597599998999E-3</c:v>
                </c:pt>
                <c:pt idx="149">
                  <c:v>4.5328653957367102E-4</c:v>
                </c:pt>
                <c:pt idx="150">
                  <c:v>-1.83315570294058E-3</c:v>
                </c:pt>
                <c:pt idx="151">
                  <c:v>-6.3156058449411595E-4</c:v>
                </c:pt>
                <c:pt idx="152">
                  <c:v>3.2122007811577702E-4</c:v>
                </c:pt>
                <c:pt idx="153">
                  <c:v>-5.00745252511465E-4</c:v>
                </c:pt>
                <c:pt idx="154">
                  <c:v>-2.0027618115507299E-3</c:v>
                </c:pt>
                <c:pt idx="155">
                  <c:v>4.1658163658347199E-4</c:v>
                </c:pt>
                <c:pt idx="156">
                  <c:v>-7.4927236313785197E-4</c:v>
                </c:pt>
                <c:pt idx="157">
                  <c:v>-2.20728527518021E-4</c:v>
                </c:pt>
                <c:pt idx="158">
                  <c:v>-2.0326429515421201E-4</c:v>
                </c:pt>
                <c:pt idx="159">
                  <c:v>-6.4668316149015903E-4</c:v>
                </c:pt>
                <c:pt idx="160">
                  <c:v>-5.7412439583646698E-4</c:v>
                </c:pt>
                <c:pt idx="161">
                  <c:v>1.35540253330155E-3</c:v>
                </c:pt>
                <c:pt idx="162">
                  <c:v>-6.6227229564734405E-4</c:v>
                </c:pt>
                <c:pt idx="163">
                  <c:v>-9.51062340095212E-4</c:v>
                </c:pt>
                <c:pt idx="164">
                  <c:v>-5.1883791176790702E-4</c:v>
                </c:pt>
                <c:pt idx="165">
                  <c:v>3.49318670317169E-4</c:v>
                </c:pt>
                <c:pt idx="166">
                  <c:v>-1.51878103637708E-3</c:v>
                </c:pt>
                <c:pt idx="167">
                  <c:v>-2.6512040265326699E-4</c:v>
                </c:pt>
                <c:pt idx="168">
                  <c:v>6.2486227790922299E-4</c:v>
                </c:pt>
                <c:pt idx="169">
                  <c:v>-2.1569580502999101E-4</c:v>
                </c:pt>
                <c:pt idx="170">
                  <c:v>-2.0466206402507199E-3</c:v>
                </c:pt>
                <c:pt idx="171">
                  <c:v>2.9233343997947498E-4</c:v>
                </c:pt>
                <c:pt idx="172">
                  <c:v>1.82561885724071E-3</c:v>
                </c:pt>
                <c:pt idx="173">
                  <c:v>-1.2823023251287799E-3</c:v>
                </c:pt>
                <c:pt idx="174">
                  <c:v>-2.3646700277406901E-3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373-4231-8B69-DF6607A9F7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644688"/>
        <c:axId val="205301072"/>
      </c:lineChart>
      <c:catAx>
        <c:axId val="16796446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01072"/>
        <c:crosses val="autoZero"/>
        <c:auto val="1"/>
        <c:lblAlgn val="ctr"/>
        <c:lblOffset val="100"/>
        <c:noMultiLvlLbl val="0"/>
      </c:catAx>
      <c:valAx>
        <c:axId val="20530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644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Sheet1!$Y$1</c:f>
              <c:strCache>
                <c:ptCount val="1"/>
                <c:pt idx="0">
                  <c:v> IBHL*/BSJW* avg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Sheet1!$Y$2:$Y$176</c:f>
              <c:numCache>
                <c:formatCode>_(* #,##0.0000_);_(* \(#,##0.0000\);_(* "-"??_);_(@_)</c:formatCode>
                <c:ptCount val="175"/>
                <c:pt idx="0">
                  <c:v>0.99838446436414396</c:v>
                </c:pt>
                <c:pt idx="1">
                  <c:v>0.99838446436414396</c:v>
                </c:pt>
                <c:pt idx="2">
                  <c:v>0.99838446436414396</c:v>
                </c:pt>
                <c:pt idx="3">
                  <c:v>0.99838446436414396</c:v>
                </c:pt>
                <c:pt idx="4">
                  <c:v>0.99838446436414396</c:v>
                </c:pt>
                <c:pt idx="5">
                  <c:v>0.99838446436414396</c:v>
                </c:pt>
                <c:pt idx="6">
                  <c:v>0.99838446436414396</c:v>
                </c:pt>
                <c:pt idx="7">
                  <c:v>0.99838446436414396</c:v>
                </c:pt>
                <c:pt idx="8">
                  <c:v>0.99838446436414396</c:v>
                </c:pt>
                <c:pt idx="9">
                  <c:v>0.99838446436414396</c:v>
                </c:pt>
                <c:pt idx="10">
                  <c:v>0.99838446436414396</c:v>
                </c:pt>
                <c:pt idx="11">
                  <c:v>0.99838446436414396</c:v>
                </c:pt>
                <c:pt idx="12">
                  <c:v>0.99838446436414396</c:v>
                </c:pt>
                <c:pt idx="13">
                  <c:v>0.99838446436414396</c:v>
                </c:pt>
                <c:pt idx="14">
                  <c:v>0.99838446436414396</c:v>
                </c:pt>
                <c:pt idx="15">
                  <c:v>0.99838446436414396</c:v>
                </c:pt>
                <c:pt idx="16">
                  <c:v>0.99838446436414396</c:v>
                </c:pt>
                <c:pt idx="17">
                  <c:v>0.99838446436414396</c:v>
                </c:pt>
                <c:pt idx="18">
                  <c:v>0.99838446436414396</c:v>
                </c:pt>
                <c:pt idx="19">
                  <c:v>0.99838446436414396</c:v>
                </c:pt>
                <c:pt idx="20">
                  <c:v>0.99838446436414396</c:v>
                </c:pt>
                <c:pt idx="21">
                  <c:v>0.99838446436414396</c:v>
                </c:pt>
                <c:pt idx="22">
                  <c:v>0.99838446436414396</c:v>
                </c:pt>
                <c:pt idx="23">
                  <c:v>0.99838446436414396</c:v>
                </c:pt>
                <c:pt idx="24">
                  <c:v>0.99838446436414396</c:v>
                </c:pt>
                <c:pt idx="25">
                  <c:v>0.99838446436414396</c:v>
                </c:pt>
                <c:pt idx="26">
                  <c:v>0.99838446436414396</c:v>
                </c:pt>
                <c:pt idx="27">
                  <c:v>0.99838446436414396</c:v>
                </c:pt>
                <c:pt idx="28">
                  <c:v>0.99838446436414396</c:v>
                </c:pt>
                <c:pt idx="29">
                  <c:v>0.99838446436414396</c:v>
                </c:pt>
                <c:pt idx="30">
                  <c:v>0.99838446436414396</c:v>
                </c:pt>
                <c:pt idx="31">
                  <c:v>0.99838446436414396</c:v>
                </c:pt>
                <c:pt idx="32">
                  <c:v>0.99838446436414396</c:v>
                </c:pt>
                <c:pt idx="33">
                  <c:v>0.99838446436414396</c:v>
                </c:pt>
                <c:pt idx="34">
                  <c:v>0.99838446436414396</c:v>
                </c:pt>
                <c:pt idx="35">
                  <c:v>0.99838446436414396</c:v>
                </c:pt>
                <c:pt idx="36">
                  <c:v>0.99838446436414396</c:v>
                </c:pt>
                <c:pt idx="37">
                  <c:v>0.99838446436414396</c:v>
                </c:pt>
                <c:pt idx="38">
                  <c:v>0.99838446436414396</c:v>
                </c:pt>
                <c:pt idx="39">
                  <c:v>0.99838446436414396</c:v>
                </c:pt>
                <c:pt idx="40">
                  <c:v>0.99838446436414396</c:v>
                </c:pt>
                <c:pt idx="41">
                  <c:v>0.99838446436414396</c:v>
                </c:pt>
                <c:pt idx="42">
                  <c:v>0.99838446436414396</c:v>
                </c:pt>
                <c:pt idx="43">
                  <c:v>0.99838446436414396</c:v>
                </c:pt>
                <c:pt idx="44">
                  <c:v>0.99838446436414396</c:v>
                </c:pt>
                <c:pt idx="45">
                  <c:v>0.99838446436414396</c:v>
                </c:pt>
                <c:pt idx="46">
                  <c:v>0.99838446436414396</c:v>
                </c:pt>
                <c:pt idx="47">
                  <c:v>0.99838446436414396</c:v>
                </c:pt>
                <c:pt idx="48">
                  <c:v>0.99838446436414396</c:v>
                </c:pt>
                <c:pt idx="49">
                  <c:v>0.99838446436414396</c:v>
                </c:pt>
                <c:pt idx="50">
                  <c:v>0.99838446436414396</c:v>
                </c:pt>
                <c:pt idx="51">
                  <c:v>0.99838446436414396</c:v>
                </c:pt>
                <c:pt idx="52">
                  <c:v>0.99838446436414396</c:v>
                </c:pt>
                <c:pt idx="53">
                  <c:v>0.99838446436414396</c:v>
                </c:pt>
                <c:pt idx="54">
                  <c:v>0.99838446436414396</c:v>
                </c:pt>
                <c:pt idx="55">
                  <c:v>0.99838446436414396</c:v>
                </c:pt>
                <c:pt idx="56">
                  <c:v>0.99838446436414396</c:v>
                </c:pt>
                <c:pt idx="57">
                  <c:v>0.99838446436414396</c:v>
                </c:pt>
                <c:pt idx="58">
                  <c:v>0.99838446436414396</c:v>
                </c:pt>
                <c:pt idx="59">
                  <c:v>0.99838446436414396</c:v>
                </c:pt>
                <c:pt idx="60">
                  <c:v>0.99838446436414396</c:v>
                </c:pt>
                <c:pt idx="61">
                  <c:v>0.99838446436414396</c:v>
                </c:pt>
                <c:pt idx="62">
                  <c:v>0.99838446436414396</c:v>
                </c:pt>
                <c:pt idx="63">
                  <c:v>0.99838446436414396</c:v>
                </c:pt>
                <c:pt idx="64">
                  <c:v>0.99838446436414396</c:v>
                </c:pt>
                <c:pt idx="65">
                  <c:v>0.99838446436414396</c:v>
                </c:pt>
                <c:pt idx="66">
                  <c:v>0.99838446436414396</c:v>
                </c:pt>
                <c:pt idx="67">
                  <c:v>0.99838446436414396</c:v>
                </c:pt>
                <c:pt idx="68">
                  <c:v>0.99838446436414396</c:v>
                </c:pt>
                <c:pt idx="69">
                  <c:v>0.99838446436414396</c:v>
                </c:pt>
                <c:pt idx="70">
                  <c:v>0.99838446436414396</c:v>
                </c:pt>
                <c:pt idx="71">
                  <c:v>0.99838446436414396</c:v>
                </c:pt>
                <c:pt idx="72">
                  <c:v>0.99838446436414396</c:v>
                </c:pt>
                <c:pt idx="73">
                  <c:v>0.99838446436414396</c:v>
                </c:pt>
                <c:pt idx="74">
                  <c:v>0.99838446436414396</c:v>
                </c:pt>
                <c:pt idx="75">
                  <c:v>0.99838446436414396</c:v>
                </c:pt>
                <c:pt idx="76">
                  <c:v>0.99838446436414396</c:v>
                </c:pt>
                <c:pt idx="77">
                  <c:v>0.99838446436414396</c:v>
                </c:pt>
                <c:pt idx="78">
                  <c:v>0.99838446436414396</c:v>
                </c:pt>
                <c:pt idx="79">
                  <c:v>0.99838446436414396</c:v>
                </c:pt>
                <c:pt idx="80">
                  <c:v>0.99838446436414396</c:v>
                </c:pt>
                <c:pt idx="81">
                  <c:v>0.99838446436414396</c:v>
                </c:pt>
                <c:pt idx="82">
                  <c:v>0.99838446436414396</c:v>
                </c:pt>
                <c:pt idx="83">
                  <c:v>0.99838446436414396</c:v>
                </c:pt>
                <c:pt idx="84">
                  <c:v>0.99838446436414396</c:v>
                </c:pt>
                <c:pt idx="85">
                  <c:v>0.99838446436414396</c:v>
                </c:pt>
                <c:pt idx="86">
                  <c:v>0.99838446436414396</c:v>
                </c:pt>
                <c:pt idx="87">
                  <c:v>0.99838446436414396</c:v>
                </c:pt>
                <c:pt idx="88">
                  <c:v>0.99838446436414396</c:v>
                </c:pt>
                <c:pt idx="89">
                  <c:v>0.99838446436414396</c:v>
                </c:pt>
                <c:pt idx="90">
                  <c:v>0.99838446436414396</c:v>
                </c:pt>
                <c:pt idx="91">
                  <c:v>0.99838446436414396</c:v>
                </c:pt>
                <c:pt idx="92">
                  <c:v>0.99838446436414396</c:v>
                </c:pt>
                <c:pt idx="93">
                  <c:v>0.99838446436414396</c:v>
                </c:pt>
                <c:pt idx="94">
                  <c:v>0.99838446436414396</c:v>
                </c:pt>
                <c:pt idx="95">
                  <c:v>0.99838446436414396</c:v>
                </c:pt>
                <c:pt idx="96">
                  <c:v>0.99838446436414396</c:v>
                </c:pt>
                <c:pt idx="97">
                  <c:v>0.99838446436414396</c:v>
                </c:pt>
                <c:pt idx="98">
                  <c:v>0.99838446436414396</c:v>
                </c:pt>
                <c:pt idx="99">
                  <c:v>0.99838446436414396</c:v>
                </c:pt>
                <c:pt idx="100">
                  <c:v>0.99838446436414396</c:v>
                </c:pt>
                <c:pt idx="101">
                  <c:v>0.99838446436414396</c:v>
                </c:pt>
                <c:pt idx="102">
                  <c:v>0.99838446436414396</c:v>
                </c:pt>
                <c:pt idx="103">
                  <c:v>0.99838446436414396</c:v>
                </c:pt>
                <c:pt idx="104">
                  <c:v>0.99838446436414396</c:v>
                </c:pt>
                <c:pt idx="105">
                  <c:v>0.99838446436414396</c:v>
                </c:pt>
                <c:pt idx="106">
                  <c:v>0.99838446436414396</c:v>
                </c:pt>
                <c:pt idx="107">
                  <c:v>0.99838446436414396</c:v>
                </c:pt>
                <c:pt idx="108">
                  <c:v>0.99838446436414396</c:v>
                </c:pt>
                <c:pt idx="109">
                  <c:v>0.99838446436414396</c:v>
                </c:pt>
                <c:pt idx="110">
                  <c:v>0.99838446436414396</c:v>
                </c:pt>
                <c:pt idx="111">
                  <c:v>0.99838446436414396</c:v>
                </c:pt>
                <c:pt idx="112">
                  <c:v>0.99838446436414396</c:v>
                </c:pt>
                <c:pt idx="113">
                  <c:v>0.99838446436414396</c:v>
                </c:pt>
                <c:pt idx="114">
                  <c:v>0.99838446436414396</c:v>
                </c:pt>
                <c:pt idx="115">
                  <c:v>0.99838446436414396</c:v>
                </c:pt>
                <c:pt idx="116">
                  <c:v>0.99838446436414396</c:v>
                </c:pt>
                <c:pt idx="117">
                  <c:v>0.99838446436414396</c:v>
                </c:pt>
                <c:pt idx="118">
                  <c:v>0.99838446436414396</c:v>
                </c:pt>
                <c:pt idx="119">
                  <c:v>0.99838446436414396</c:v>
                </c:pt>
                <c:pt idx="120">
                  <c:v>0.99838446436414396</c:v>
                </c:pt>
                <c:pt idx="121">
                  <c:v>0.99838446436414396</c:v>
                </c:pt>
                <c:pt idx="122">
                  <c:v>0.99838446436414396</c:v>
                </c:pt>
                <c:pt idx="123">
                  <c:v>0.99838446436414396</c:v>
                </c:pt>
                <c:pt idx="124">
                  <c:v>0.99838446436414396</c:v>
                </c:pt>
                <c:pt idx="125">
                  <c:v>0.99838446436414396</c:v>
                </c:pt>
                <c:pt idx="126">
                  <c:v>0.99838446436414396</c:v>
                </c:pt>
                <c:pt idx="127">
                  <c:v>0.99838446436414396</c:v>
                </c:pt>
                <c:pt idx="128">
                  <c:v>0.99838446436414396</c:v>
                </c:pt>
                <c:pt idx="129">
                  <c:v>0.99838446436414396</c:v>
                </c:pt>
                <c:pt idx="130">
                  <c:v>0.99838446436414396</c:v>
                </c:pt>
                <c:pt idx="131">
                  <c:v>0.99838446436414396</c:v>
                </c:pt>
                <c:pt idx="132">
                  <c:v>0.99838446436414396</c:v>
                </c:pt>
                <c:pt idx="133">
                  <c:v>0.99838446436414396</c:v>
                </c:pt>
                <c:pt idx="134">
                  <c:v>0.99838446436414396</c:v>
                </c:pt>
                <c:pt idx="135">
                  <c:v>0.99838446436414396</c:v>
                </c:pt>
                <c:pt idx="136">
                  <c:v>0.99838446436414396</c:v>
                </c:pt>
                <c:pt idx="137">
                  <c:v>0.99838446436414396</c:v>
                </c:pt>
                <c:pt idx="138">
                  <c:v>0.99838446436414396</c:v>
                </c:pt>
                <c:pt idx="139">
                  <c:v>0.99838446436414396</c:v>
                </c:pt>
                <c:pt idx="140">
                  <c:v>0.99838446436414396</c:v>
                </c:pt>
                <c:pt idx="141">
                  <c:v>0.99838446436414396</c:v>
                </c:pt>
                <c:pt idx="142">
                  <c:v>0.99838446436414396</c:v>
                </c:pt>
                <c:pt idx="143">
                  <c:v>0.99838446436414396</c:v>
                </c:pt>
                <c:pt idx="144">
                  <c:v>0.99838446436414396</c:v>
                </c:pt>
                <c:pt idx="145">
                  <c:v>0.99838446436414396</c:v>
                </c:pt>
                <c:pt idx="146">
                  <c:v>0.99838446436414396</c:v>
                </c:pt>
                <c:pt idx="147">
                  <c:v>0.99838446436414396</c:v>
                </c:pt>
                <c:pt idx="148">
                  <c:v>0.99838446436414396</c:v>
                </c:pt>
                <c:pt idx="149">
                  <c:v>0.99838446436414396</c:v>
                </c:pt>
                <c:pt idx="150">
                  <c:v>0.99838446436414396</c:v>
                </c:pt>
                <c:pt idx="151">
                  <c:v>0.99838446436414396</c:v>
                </c:pt>
                <c:pt idx="152">
                  <c:v>0.99838446436414396</c:v>
                </c:pt>
                <c:pt idx="153">
                  <c:v>0.99838446436414396</c:v>
                </c:pt>
                <c:pt idx="154">
                  <c:v>0.99838446436414396</c:v>
                </c:pt>
                <c:pt idx="155">
                  <c:v>0.99838446436414396</c:v>
                </c:pt>
                <c:pt idx="156">
                  <c:v>0.99838446436414396</c:v>
                </c:pt>
                <c:pt idx="157">
                  <c:v>0.99838446436414396</c:v>
                </c:pt>
                <c:pt idx="158">
                  <c:v>0.99838446436414396</c:v>
                </c:pt>
                <c:pt idx="159">
                  <c:v>0.99838446436414396</c:v>
                </c:pt>
                <c:pt idx="160">
                  <c:v>0.99838446436414396</c:v>
                </c:pt>
                <c:pt idx="161">
                  <c:v>0.99838446436414396</c:v>
                </c:pt>
                <c:pt idx="162">
                  <c:v>0.99838446436414396</c:v>
                </c:pt>
                <c:pt idx="163">
                  <c:v>0.99838446436414396</c:v>
                </c:pt>
                <c:pt idx="164">
                  <c:v>0.99838446436414396</c:v>
                </c:pt>
                <c:pt idx="165">
                  <c:v>0.99838446436414396</c:v>
                </c:pt>
                <c:pt idx="166">
                  <c:v>0.99838446436414396</c:v>
                </c:pt>
                <c:pt idx="167">
                  <c:v>0.99838446436414396</c:v>
                </c:pt>
                <c:pt idx="168">
                  <c:v>0.99838446436414396</c:v>
                </c:pt>
                <c:pt idx="169">
                  <c:v>0.99838446436414396</c:v>
                </c:pt>
                <c:pt idx="170">
                  <c:v>0.99838446436414396</c:v>
                </c:pt>
                <c:pt idx="171">
                  <c:v>0.99838446436414396</c:v>
                </c:pt>
                <c:pt idx="172">
                  <c:v>0.99838446436414396</c:v>
                </c:pt>
                <c:pt idx="173">
                  <c:v>0.99838446436414396</c:v>
                </c:pt>
                <c:pt idx="174">
                  <c:v>0.99838446436414396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51-4C40-B08C-BEF765F985DA}"/>
            </c:ext>
          </c:extLst>
        </c:ser>
        <c:ser>
          <c:idx val="1"/>
          <c:order val="1"/>
          <c:tx>
            <c:strRef>
              <c:f>Sheet1!$Z$1</c:f>
              <c:strCache>
                <c:ptCount val="1"/>
                <c:pt idx="0">
                  <c:v> IBHL*/BSJW* 10 dma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Sheet1!$Z$2:$Z$176</c:f>
              <c:numCache>
                <c:formatCode>_(* #,##0.0000_);_(* \(#,##0.0000\);_(* "-"??_);_(@_)</c:formatCode>
                <c:ptCount val="175"/>
                <c:pt idx="9">
                  <c:v>0.996755572824368</c:v>
                </c:pt>
                <c:pt idx="10">
                  <c:v>0.99656432903747505</c:v>
                </c:pt>
                <c:pt idx="11">
                  <c:v>0.99668397367519601</c:v>
                </c:pt>
                <c:pt idx="12">
                  <c:v>0.99680405379236403</c:v>
                </c:pt>
                <c:pt idx="13">
                  <c:v>0.99684728357980801</c:v>
                </c:pt>
                <c:pt idx="14">
                  <c:v>0.99685160688091601</c:v>
                </c:pt>
                <c:pt idx="15">
                  <c:v>0.99704847193120305</c:v>
                </c:pt>
                <c:pt idx="16">
                  <c:v>0.99701435885749401</c:v>
                </c:pt>
                <c:pt idx="17">
                  <c:v>0.99705680322967805</c:v>
                </c:pt>
                <c:pt idx="18">
                  <c:v>0.99721486024031603</c:v>
                </c:pt>
                <c:pt idx="19">
                  <c:v>0.99718013965882102</c:v>
                </c:pt>
                <c:pt idx="20">
                  <c:v>0.99739803075627598</c:v>
                </c:pt>
                <c:pt idx="21">
                  <c:v>0.99726601100595802</c:v>
                </c:pt>
                <c:pt idx="22">
                  <c:v>0.99728707665724303</c:v>
                </c:pt>
                <c:pt idx="23">
                  <c:v>0.99723076225086105</c:v>
                </c:pt>
                <c:pt idx="24">
                  <c:v>0.99721422817128902</c:v>
                </c:pt>
                <c:pt idx="25">
                  <c:v>0.99719819426966905</c:v>
                </c:pt>
                <c:pt idx="26">
                  <c:v>0.99722022454440995</c:v>
                </c:pt>
                <c:pt idx="27">
                  <c:v>0.997088779815965</c:v>
                </c:pt>
                <c:pt idx="28">
                  <c:v>0.99699507956163602</c:v>
                </c:pt>
                <c:pt idx="29">
                  <c:v>0.99701695021708403</c:v>
                </c:pt>
                <c:pt idx="30">
                  <c:v>0.99709418325188603</c:v>
                </c:pt>
                <c:pt idx="31">
                  <c:v>0.99724900531387894</c:v>
                </c:pt>
                <c:pt idx="32">
                  <c:v>0.99728843651383503</c:v>
                </c:pt>
                <c:pt idx="33">
                  <c:v>0.99740555005902898</c:v>
                </c:pt>
                <c:pt idx="34">
                  <c:v>0.99761748583891796</c:v>
                </c:pt>
                <c:pt idx="35">
                  <c:v>0.99775180381373396</c:v>
                </c:pt>
                <c:pt idx="36">
                  <c:v>0.99792504909590996</c:v>
                </c:pt>
                <c:pt idx="37">
                  <c:v>0.99817485953918395</c:v>
                </c:pt>
                <c:pt idx="38">
                  <c:v>0.99838668834713495</c:v>
                </c:pt>
                <c:pt idx="39">
                  <c:v>0.99852016344408301</c:v>
                </c:pt>
                <c:pt idx="40">
                  <c:v>0.99842189497665301</c:v>
                </c:pt>
                <c:pt idx="41">
                  <c:v>0.99851655536097494</c:v>
                </c:pt>
                <c:pt idx="42">
                  <c:v>0.99853357581994096</c:v>
                </c:pt>
                <c:pt idx="43">
                  <c:v>0.99851006812455101</c:v>
                </c:pt>
                <c:pt idx="44">
                  <c:v>0.99846949313689104</c:v>
                </c:pt>
                <c:pt idx="45">
                  <c:v>0.99846687154249003</c:v>
                </c:pt>
                <c:pt idx="46">
                  <c:v>0.99846403899541103</c:v>
                </c:pt>
                <c:pt idx="47">
                  <c:v>0.998499422341521</c:v>
                </c:pt>
                <c:pt idx="48">
                  <c:v>0.99849764005000297</c:v>
                </c:pt>
                <c:pt idx="49">
                  <c:v>0.99845610469831803</c:v>
                </c:pt>
                <c:pt idx="50">
                  <c:v>0.99841514550288302</c:v>
                </c:pt>
                <c:pt idx="51">
                  <c:v>0.99829577934888403</c:v>
                </c:pt>
                <c:pt idx="52">
                  <c:v>0.99833345916471095</c:v>
                </c:pt>
                <c:pt idx="53">
                  <c:v>0.99840948546181496</c:v>
                </c:pt>
                <c:pt idx="54">
                  <c:v>0.99829410738090896</c:v>
                </c:pt>
                <c:pt idx="55">
                  <c:v>0.99829543172262603</c:v>
                </c:pt>
                <c:pt idx="56">
                  <c:v>0.99837665117853003</c:v>
                </c:pt>
                <c:pt idx="57">
                  <c:v>0.998300562432064</c:v>
                </c:pt>
                <c:pt idx="58">
                  <c:v>0.99834393859344905</c:v>
                </c:pt>
                <c:pt idx="59">
                  <c:v>0.99842516775041801</c:v>
                </c:pt>
                <c:pt idx="60">
                  <c:v>0.99842843886708499</c:v>
                </c:pt>
                <c:pt idx="61">
                  <c:v>0.99836822325840002</c:v>
                </c:pt>
                <c:pt idx="62">
                  <c:v>0.99822949357369495</c:v>
                </c:pt>
                <c:pt idx="63">
                  <c:v>0.99813179026397703</c:v>
                </c:pt>
                <c:pt idx="64">
                  <c:v>0.99803063363650801</c:v>
                </c:pt>
                <c:pt idx="65">
                  <c:v>0.99793120431850901</c:v>
                </c:pt>
                <c:pt idx="66">
                  <c:v>0.99782915047048004</c:v>
                </c:pt>
                <c:pt idx="67">
                  <c:v>0.99780691349031203</c:v>
                </c:pt>
                <c:pt idx="68">
                  <c:v>0.99762620577718097</c:v>
                </c:pt>
                <c:pt idx="69">
                  <c:v>0.99748814426764898</c:v>
                </c:pt>
                <c:pt idx="70">
                  <c:v>0.99746652105267697</c:v>
                </c:pt>
                <c:pt idx="71">
                  <c:v>0.99758558297229805</c:v>
                </c:pt>
                <c:pt idx="72">
                  <c:v>0.99762770859224703</c:v>
                </c:pt>
                <c:pt idx="73">
                  <c:v>0.99767650032240196</c:v>
                </c:pt>
                <c:pt idx="74">
                  <c:v>0.99768699540282602</c:v>
                </c:pt>
                <c:pt idx="75">
                  <c:v>0.99773380595255801</c:v>
                </c:pt>
                <c:pt idx="76">
                  <c:v>0.99770316366956202</c:v>
                </c:pt>
                <c:pt idx="77">
                  <c:v>0.99778912345384896</c:v>
                </c:pt>
                <c:pt idx="78">
                  <c:v>0.99775878077178504</c:v>
                </c:pt>
                <c:pt idx="79">
                  <c:v>0.99780449020131001</c:v>
                </c:pt>
                <c:pt idx="80">
                  <c:v>0.99792665634424604</c:v>
                </c:pt>
                <c:pt idx="81">
                  <c:v>0.99797293231383799</c:v>
                </c:pt>
                <c:pt idx="82">
                  <c:v>0.99799446882648202</c:v>
                </c:pt>
                <c:pt idx="83">
                  <c:v>0.99789229691954295</c:v>
                </c:pt>
                <c:pt idx="84">
                  <c:v>0.99802189314240397</c:v>
                </c:pt>
                <c:pt idx="85">
                  <c:v>0.99803666062749097</c:v>
                </c:pt>
                <c:pt idx="86">
                  <c:v>0.99812800075893604</c:v>
                </c:pt>
                <c:pt idx="87">
                  <c:v>0.99814246920324601</c:v>
                </c:pt>
                <c:pt idx="88">
                  <c:v>0.99819527000988995</c:v>
                </c:pt>
                <c:pt idx="89">
                  <c:v>0.99824786082302297</c:v>
                </c:pt>
                <c:pt idx="90">
                  <c:v>0.99822419388812</c:v>
                </c:pt>
                <c:pt idx="91">
                  <c:v>0.99819965069472705</c:v>
                </c:pt>
                <c:pt idx="92">
                  <c:v>0.99823691235549905</c:v>
                </c:pt>
                <c:pt idx="93">
                  <c:v>0.99842927864224695</c:v>
                </c:pt>
                <c:pt idx="94">
                  <c:v>0.99846630882752596</c:v>
                </c:pt>
                <c:pt idx="95">
                  <c:v>0.99861952722574898</c:v>
                </c:pt>
                <c:pt idx="96">
                  <c:v>0.99865800922301096</c:v>
                </c:pt>
                <c:pt idx="97">
                  <c:v>0.99850339587625403</c:v>
                </c:pt>
                <c:pt idx="98">
                  <c:v>0.99846516521147899</c:v>
                </c:pt>
                <c:pt idx="99">
                  <c:v>0.99838867534919995</c:v>
                </c:pt>
                <c:pt idx="100">
                  <c:v>0.99846605870925798</c:v>
                </c:pt>
                <c:pt idx="101">
                  <c:v>0.99862058164183898</c:v>
                </c:pt>
                <c:pt idx="102">
                  <c:v>0.99855087770710305</c:v>
                </c:pt>
                <c:pt idx="103">
                  <c:v>0.99855767185274602</c:v>
                </c:pt>
                <c:pt idx="104">
                  <c:v>0.99856524882933695</c:v>
                </c:pt>
                <c:pt idx="105">
                  <c:v>0.99849440791751898</c:v>
                </c:pt>
                <c:pt idx="106">
                  <c:v>0.99826869965823894</c:v>
                </c:pt>
                <c:pt idx="107">
                  <c:v>0.99831307349001697</c:v>
                </c:pt>
                <c:pt idx="108">
                  <c:v>0.99820295758058597</c:v>
                </c:pt>
                <c:pt idx="109">
                  <c:v>0.99828507439666903</c:v>
                </c:pt>
                <c:pt idx="110">
                  <c:v>0.99821422264736004</c:v>
                </c:pt>
                <c:pt idx="111">
                  <c:v>0.99806632736330603</c:v>
                </c:pt>
                <c:pt idx="112">
                  <c:v>0.99810521480539505</c:v>
                </c:pt>
                <c:pt idx="113">
                  <c:v>0.99799047708275301</c:v>
                </c:pt>
                <c:pt idx="114">
                  <c:v>0.99810587610309798</c:v>
                </c:pt>
                <c:pt idx="115">
                  <c:v>0.99806786337000397</c:v>
                </c:pt>
                <c:pt idx="116">
                  <c:v>0.99830731833497999</c:v>
                </c:pt>
                <c:pt idx="117">
                  <c:v>0.99839263762751296</c:v>
                </c:pt>
                <c:pt idx="118">
                  <c:v>0.99866991499525004</c:v>
                </c:pt>
                <c:pt idx="119">
                  <c:v>0.99879349881764201</c:v>
                </c:pt>
                <c:pt idx="120">
                  <c:v>0.99891623820962905</c:v>
                </c:pt>
                <c:pt idx="121">
                  <c:v>0.99892405769183001</c:v>
                </c:pt>
                <c:pt idx="122">
                  <c:v>0.99889340305398799</c:v>
                </c:pt>
                <c:pt idx="123">
                  <c:v>0.99906506803842599</c:v>
                </c:pt>
                <c:pt idx="124">
                  <c:v>0.99908389691314203</c:v>
                </c:pt>
                <c:pt idx="125">
                  <c:v>0.99921755195845197</c:v>
                </c:pt>
                <c:pt idx="126">
                  <c:v>0.999152162187249</c:v>
                </c:pt>
                <c:pt idx="127">
                  <c:v>0.99885721728635402</c:v>
                </c:pt>
                <c:pt idx="128">
                  <c:v>0.99882982127734099</c:v>
                </c:pt>
                <c:pt idx="129">
                  <c:v>0.99864930999869295</c:v>
                </c:pt>
                <c:pt idx="130">
                  <c:v>0.99862183743842303</c:v>
                </c:pt>
                <c:pt idx="131">
                  <c:v>0.99828800245884897</c:v>
                </c:pt>
                <c:pt idx="132">
                  <c:v>0.99845208581933897</c:v>
                </c:pt>
                <c:pt idx="133">
                  <c:v>0.99837580529433401</c:v>
                </c:pt>
                <c:pt idx="134">
                  <c:v>0.99822314208053498</c:v>
                </c:pt>
                <c:pt idx="135">
                  <c:v>0.998154375795413</c:v>
                </c:pt>
                <c:pt idx="136">
                  <c:v>0.99793231637951696</c:v>
                </c:pt>
                <c:pt idx="137">
                  <c:v>0.99824591160999598</c:v>
                </c:pt>
                <c:pt idx="138">
                  <c:v>0.99833027273171404</c:v>
                </c:pt>
                <c:pt idx="139">
                  <c:v>0.99841383376404902</c:v>
                </c:pt>
                <c:pt idx="140">
                  <c:v>0.998382789562547</c:v>
                </c:pt>
                <c:pt idx="141">
                  <c:v>0.99885005801376803</c:v>
                </c:pt>
                <c:pt idx="142">
                  <c:v>0.99866510678673504</c:v>
                </c:pt>
                <c:pt idx="143">
                  <c:v>0.99867238377075995</c:v>
                </c:pt>
                <c:pt idx="144">
                  <c:v>0.998602497397994</c:v>
                </c:pt>
                <c:pt idx="145">
                  <c:v>0.99859434732763497</c:v>
                </c:pt>
                <c:pt idx="146">
                  <c:v>0.99877833801830096</c:v>
                </c:pt>
                <c:pt idx="147">
                  <c:v>0.99858099386953203</c:v>
                </c:pt>
                <c:pt idx="148">
                  <c:v>0.99857255937076606</c:v>
                </c:pt>
                <c:pt idx="149">
                  <c:v>0.99848959211203403</c:v>
                </c:pt>
                <c:pt idx="150">
                  <c:v>0.99863505729651803</c:v>
                </c:pt>
                <c:pt idx="151">
                  <c:v>0.99855072388878496</c:v>
                </c:pt>
                <c:pt idx="152">
                  <c:v>0.99862118008465395</c:v>
                </c:pt>
                <c:pt idx="153">
                  <c:v>0.99865220383741105</c:v>
                </c:pt>
                <c:pt idx="154">
                  <c:v>0.99898876883830301</c:v>
                </c:pt>
                <c:pt idx="155">
                  <c:v>0.99895117200265005</c:v>
                </c:pt>
                <c:pt idx="156">
                  <c:v>0.999065347309531</c:v>
                </c:pt>
                <c:pt idx="157">
                  <c:v>0.99929366226692096</c:v>
                </c:pt>
                <c:pt idx="158">
                  <c:v>0.99917935268895897</c:v>
                </c:pt>
                <c:pt idx="159">
                  <c:v>0.99933167140665002</c:v>
                </c:pt>
                <c:pt idx="160">
                  <c:v>0.99925173004064305</c:v>
                </c:pt>
                <c:pt idx="161">
                  <c:v>0.99909678993538598</c:v>
                </c:pt>
                <c:pt idx="162">
                  <c:v>0.99920737288088102</c:v>
                </c:pt>
                <c:pt idx="163">
                  <c:v>0.99927951524805203</c:v>
                </c:pt>
                <c:pt idx="164">
                  <c:v>0.99916150671730697</c:v>
                </c:pt>
                <c:pt idx="165">
                  <c:v>0.99919616304481595</c:v>
                </c:pt>
                <c:pt idx="166">
                  <c:v>0.99930324320540798</c:v>
                </c:pt>
                <c:pt idx="167">
                  <c:v>0.99933393090256695</c:v>
                </c:pt>
                <c:pt idx="168">
                  <c:v>0.999288847016922</c:v>
                </c:pt>
                <c:pt idx="169">
                  <c:v>0.99928160026713397</c:v>
                </c:pt>
                <c:pt idx="170">
                  <c:v>0.99946856390157901</c:v>
                </c:pt>
                <c:pt idx="171">
                  <c:v>0.99961633418600704</c:v>
                </c:pt>
                <c:pt idx="172">
                  <c:v>0.99942116547855997</c:v>
                </c:pt>
                <c:pt idx="173">
                  <c:v>0.99949434107692403</c:v>
                </c:pt>
                <c:pt idx="174">
                  <c:v>0.99972120601850101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51-4C40-B08C-BEF765F985DA}"/>
            </c:ext>
          </c:extLst>
        </c:ser>
        <c:ser>
          <c:idx val="2"/>
          <c:order val="2"/>
          <c:tx>
            <c:strRef>
              <c:f>Sheet1!$AA$1</c:f>
              <c:strCache>
                <c:ptCount val="1"/>
                <c:pt idx="0">
                  <c:v> IBHL*/BSJW* 20 dma 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Sheet1!$AA$2:$AA$176</c:f>
              <c:numCache>
                <c:formatCode>_(* #,##0.0000_);_(* \(#,##0.0000\);_(* "-"??_);_(@_)</c:formatCode>
                <c:ptCount val="175"/>
                <c:pt idx="19">
                  <c:v>0.99696785624159501</c:v>
                </c:pt>
                <c:pt idx="20">
                  <c:v>0.99698117989687596</c:v>
                </c:pt>
                <c:pt idx="21">
                  <c:v>0.99697499234057696</c:v>
                </c:pt>
                <c:pt idx="22">
                  <c:v>0.99704556522480403</c:v>
                </c:pt>
                <c:pt idx="23">
                  <c:v>0.99703902291533397</c:v>
                </c:pt>
                <c:pt idx="24">
                  <c:v>0.99703291752610301</c:v>
                </c:pt>
                <c:pt idx="25">
                  <c:v>0.99712333310043599</c:v>
                </c:pt>
                <c:pt idx="26">
                  <c:v>0.99711729170095198</c:v>
                </c:pt>
                <c:pt idx="27">
                  <c:v>0.99707279152282102</c:v>
                </c:pt>
                <c:pt idx="28">
                  <c:v>0.99710496990097597</c:v>
                </c:pt>
                <c:pt idx="29">
                  <c:v>0.99709854493795302</c:v>
                </c:pt>
                <c:pt idx="30">
                  <c:v>0.99724610700408101</c:v>
                </c:pt>
                <c:pt idx="31">
                  <c:v>0.99725750815991798</c:v>
                </c:pt>
                <c:pt idx="32">
                  <c:v>0.99728775658553903</c:v>
                </c:pt>
                <c:pt idx="33">
                  <c:v>0.99731815615494501</c:v>
                </c:pt>
                <c:pt idx="34">
                  <c:v>0.99741585700510405</c:v>
                </c:pt>
                <c:pt idx="35">
                  <c:v>0.997474999041701</c:v>
                </c:pt>
                <c:pt idx="36">
                  <c:v>0.99757263682015995</c:v>
                </c:pt>
                <c:pt idx="37">
                  <c:v>0.99763181967757397</c:v>
                </c:pt>
                <c:pt idx="38">
                  <c:v>0.99769088395438599</c:v>
                </c:pt>
                <c:pt idx="39">
                  <c:v>0.99776855683058396</c:v>
                </c:pt>
                <c:pt idx="40">
                  <c:v>0.99775803911426897</c:v>
                </c:pt>
                <c:pt idx="41">
                  <c:v>0.99788278033742706</c:v>
                </c:pt>
                <c:pt idx="42">
                  <c:v>0.99791100616688799</c:v>
                </c:pt>
                <c:pt idx="43">
                  <c:v>0.99795780909178999</c:v>
                </c:pt>
                <c:pt idx="44">
                  <c:v>0.998043489487904</c:v>
                </c:pt>
                <c:pt idx="45">
                  <c:v>0.99810933767811205</c:v>
                </c:pt>
                <c:pt idx="46">
                  <c:v>0.99819454404566099</c:v>
                </c:pt>
                <c:pt idx="47">
                  <c:v>0.99833714094035297</c:v>
                </c:pt>
                <c:pt idx="48">
                  <c:v>0.99844216419856902</c:v>
                </c:pt>
                <c:pt idx="49">
                  <c:v>0.99848813407120096</c:v>
                </c:pt>
                <c:pt idx="50">
                  <c:v>0.99841852023976796</c:v>
                </c:pt>
                <c:pt idx="51">
                  <c:v>0.99840616735492904</c:v>
                </c:pt>
                <c:pt idx="52">
                  <c:v>0.99843351749232601</c:v>
                </c:pt>
                <c:pt idx="53">
                  <c:v>0.99845977679318298</c:v>
                </c:pt>
                <c:pt idx="54">
                  <c:v>0.9983818002589</c:v>
                </c:pt>
                <c:pt idx="55">
                  <c:v>0.99838115163255803</c:v>
                </c:pt>
                <c:pt idx="56">
                  <c:v>0.99842034508696997</c:v>
                </c:pt>
                <c:pt idx="57">
                  <c:v>0.998399992386793</c:v>
                </c:pt>
                <c:pt idx="58">
                  <c:v>0.99842078932172595</c:v>
                </c:pt>
                <c:pt idx="59">
                  <c:v>0.99844063622436796</c:v>
                </c:pt>
                <c:pt idx="60">
                  <c:v>0.99842179218498395</c:v>
                </c:pt>
                <c:pt idx="61">
                  <c:v>0.99833200130364197</c:v>
                </c:pt>
                <c:pt idx="62">
                  <c:v>0.99828147636920295</c:v>
                </c:pt>
                <c:pt idx="63">
                  <c:v>0.99827063786289605</c:v>
                </c:pt>
                <c:pt idx="64">
                  <c:v>0.99816237050870904</c:v>
                </c:pt>
                <c:pt idx="65">
                  <c:v>0.99811331802056702</c:v>
                </c:pt>
                <c:pt idx="66">
                  <c:v>0.99810290082450503</c:v>
                </c:pt>
                <c:pt idx="67">
                  <c:v>0.99805373796118801</c:v>
                </c:pt>
                <c:pt idx="68">
                  <c:v>0.99798507218531496</c:v>
                </c:pt>
                <c:pt idx="69">
                  <c:v>0.99795665600903405</c:v>
                </c:pt>
                <c:pt idx="70">
                  <c:v>0.99794747995988098</c:v>
                </c:pt>
                <c:pt idx="71">
                  <c:v>0.99797690311534903</c:v>
                </c:pt>
                <c:pt idx="72">
                  <c:v>0.99792860108297099</c:v>
                </c:pt>
                <c:pt idx="73">
                  <c:v>0.99790414529318905</c:v>
                </c:pt>
                <c:pt idx="74">
                  <c:v>0.99785881451966696</c:v>
                </c:pt>
                <c:pt idx="75">
                  <c:v>0.99783250513553401</c:v>
                </c:pt>
                <c:pt idx="76">
                  <c:v>0.99776615707002103</c:v>
                </c:pt>
                <c:pt idx="77">
                  <c:v>0.99779801847208005</c:v>
                </c:pt>
                <c:pt idx="78">
                  <c:v>0.99769249327448295</c:v>
                </c:pt>
                <c:pt idx="79">
                  <c:v>0.99764631723448005</c:v>
                </c:pt>
                <c:pt idx="80">
                  <c:v>0.99769658869846201</c:v>
                </c:pt>
                <c:pt idx="81">
                  <c:v>0.99777925764306796</c:v>
                </c:pt>
                <c:pt idx="82">
                  <c:v>0.99781108870936497</c:v>
                </c:pt>
                <c:pt idx="83">
                  <c:v>0.99778439862097301</c:v>
                </c:pt>
                <c:pt idx="84">
                  <c:v>0.99785444427261505</c:v>
                </c:pt>
                <c:pt idx="85">
                  <c:v>0.99788523329002499</c:v>
                </c:pt>
                <c:pt idx="86">
                  <c:v>0.99791558221424903</c:v>
                </c:pt>
                <c:pt idx="87">
                  <c:v>0.99796579632854798</c:v>
                </c:pt>
                <c:pt idx="88">
                  <c:v>0.99797702539083699</c:v>
                </c:pt>
                <c:pt idx="89">
                  <c:v>0.99802617551216599</c:v>
                </c:pt>
                <c:pt idx="90">
                  <c:v>0.99807542511618297</c:v>
                </c:pt>
                <c:pt idx="91">
                  <c:v>0.99808629150428296</c:v>
                </c:pt>
                <c:pt idx="92">
                  <c:v>0.99811569059099103</c:v>
                </c:pt>
                <c:pt idx="93">
                  <c:v>0.99816078778089501</c:v>
                </c:pt>
                <c:pt idx="94">
                  <c:v>0.99824410098496497</c:v>
                </c:pt>
                <c:pt idx="95">
                  <c:v>0.99832809392662003</c:v>
                </c:pt>
                <c:pt idx="96">
                  <c:v>0.99839300499097305</c:v>
                </c:pt>
                <c:pt idx="97">
                  <c:v>0.99832293253975002</c:v>
                </c:pt>
                <c:pt idx="98">
                  <c:v>0.99833021761068497</c:v>
                </c:pt>
                <c:pt idx="99">
                  <c:v>0.99831826808611102</c:v>
                </c:pt>
                <c:pt idx="100">
                  <c:v>0.99834512629868899</c:v>
                </c:pt>
                <c:pt idx="101">
                  <c:v>0.99841011616828301</c:v>
                </c:pt>
                <c:pt idx="102">
                  <c:v>0.99839389503130105</c:v>
                </c:pt>
                <c:pt idx="103">
                  <c:v>0.99849347524749699</c:v>
                </c:pt>
                <c:pt idx="104">
                  <c:v>0.99851577882843101</c:v>
                </c:pt>
                <c:pt idx="105">
                  <c:v>0.99855696757163404</c:v>
                </c:pt>
                <c:pt idx="106">
                  <c:v>0.99846335444062495</c:v>
                </c:pt>
                <c:pt idx="107">
                  <c:v>0.998408234683136</c:v>
                </c:pt>
                <c:pt idx="108">
                  <c:v>0.99833406139603298</c:v>
                </c:pt>
                <c:pt idx="109">
                  <c:v>0.99833687487293499</c:v>
                </c:pt>
                <c:pt idx="110">
                  <c:v>0.99834014067830901</c:v>
                </c:pt>
                <c:pt idx="111">
                  <c:v>0.998343454502573</c:v>
                </c:pt>
                <c:pt idx="112">
                  <c:v>0.99832804625624905</c:v>
                </c:pt>
                <c:pt idx="113">
                  <c:v>0.99827407446774996</c:v>
                </c:pt>
                <c:pt idx="114">
                  <c:v>0.99833556246621702</c:v>
                </c:pt>
                <c:pt idx="115">
                  <c:v>0.99828113564376098</c:v>
                </c:pt>
                <c:pt idx="116">
                  <c:v>0.99828800899660997</c:v>
                </c:pt>
                <c:pt idx="117">
                  <c:v>0.99835285555876496</c:v>
                </c:pt>
                <c:pt idx="118">
                  <c:v>0.99843643628791801</c:v>
                </c:pt>
                <c:pt idx="119">
                  <c:v>0.99853928660715496</c:v>
                </c:pt>
                <c:pt idx="120">
                  <c:v>0.99856523042849499</c:v>
                </c:pt>
                <c:pt idx="121">
                  <c:v>0.99849519252756802</c:v>
                </c:pt>
                <c:pt idx="122">
                  <c:v>0.99849930892969196</c:v>
                </c:pt>
                <c:pt idx="123">
                  <c:v>0.99852777256059</c:v>
                </c:pt>
                <c:pt idx="124">
                  <c:v>0.99859488650812001</c:v>
                </c:pt>
                <c:pt idx="125">
                  <c:v>0.99864270766422802</c:v>
                </c:pt>
                <c:pt idx="126">
                  <c:v>0.99872974026111405</c:v>
                </c:pt>
                <c:pt idx="127">
                  <c:v>0.99862492745693299</c:v>
                </c:pt>
                <c:pt idx="128">
                  <c:v>0.99874986813629596</c:v>
                </c:pt>
                <c:pt idx="129">
                  <c:v>0.99872140440816703</c:v>
                </c:pt>
                <c:pt idx="130">
                  <c:v>0.99876903782402604</c:v>
                </c:pt>
                <c:pt idx="131">
                  <c:v>0.99860603007533999</c:v>
                </c:pt>
                <c:pt idx="132">
                  <c:v>0.99867274443666298</c:v>
                </c:pt>
                <c:pt idx="133">
                  <c:v>0.99872043666638</c:v>
                </c:pt>
                <c:pt idx="134">
                  <c:v>0.998653519496839</c:v>
                </c:pt>
                <c:pt idx="135">
                  <c:v>0.99868596387693198</c:v>
                </c:pt>
                <c:pt idx="136">
                  <c:v>0.99854223928338304</c:v>
                </c:pt>
                <c:pt idx="137">
                  <c:v>0.99855156444817506</c:v>
                </c:pt>
                <c:pt idx="138">
                  <c:v>0.99858004700452796</c:v>
                </c:pt>
                <c:pt idx="139">
                  <c:v>0.99853157188137098</c:v>
                </c:pt>
                <c:pt idx="140">
                  <c:v>0.99850231350048502</c:v>
                </c:pt>
                <c:pt idx="141">
                  <c:v>0.99856903023630905</c:v>
                </c:pt>
                <c:pt idx="142">
                  <c:v>0.998558596303037</c:v>
                </c:pt>
                <c:pt idx="143">
                  <c:v>0.99852409453254698</c:v>
                </c:pt>
                <c:pt idx="144">
                  <c:v>0.99841281973926499</c:v>
                </c:pt>
                <c:pt idx="145">
                  <c:v>0.99837436156152404</c:v>
                </c:pt>
                <c:pt idx="146">
                  <c:v>0.99835532719890896</c:v>
                </c:pt>
                <c:pt idx="147">
                  <c:v>0.99841345273976401</c:v>
                </c:pt>
                <c:pt idx="148">
                  <c:v>0.99845141605123999</c:v>
                </c:pt>
                <c:pt idx="149">
                  <c:v>0.99845171293804102</c:v>
                </c:pt>
                <c:pt idx="150">
                  <c:v>0.99850892342953301</c:v>
                </c:pt>
                <c:pt idx="151">
                  <c:v>0.99870039095127705</c:v>
                </c:pt>
                <c:pt idx="152">
                  <c:v>0.99864314343569405</c:v>
                </c:pt>
                <c:pt idx="153">
                  <c:v>0.998662293804086</c:v>
                </c:pt>
                <c:pt idx="154">
                  <c:v>0.99879563311814901</c:v>
                </c:pt>
                <c:pt idx="155">
                  <c:v>0.99877275966514301</c:v>
                </c:pt>
                <c:pt idx="156">
                  <c:v>0.99892184266391604</c:v>
                </c:pt>
                <c:pt idx="157">
                  <c:v>0.99893732806822599</c:v>
                </c:pt>
                <c:pt idx="158">
                  <c:v>0.99887595602986201</c:v>
                </c:pt>
                <c:pt idx="159">
                  <c:v>0.99891063175934203</c:v>
                </c:pt>
                <c:pt idx="160">
                  <c:v>0.99894339366858098</c:v>
                </c:pt>
                <c:pt idx="161">
                  <c:v>0.99882375691208602</c:v>
                </c:pt>
                <c:pt idx="162">
                  <c:v>0.99891427648276698</c:v>
                </c:pt>
                <c:pt idx="163">
                  <c:v>0.99896585954273198</c:v>
                </c:pt>
                <c:pt idx="164">
                  <c:v>0.99907513777780499</c:v>
                </c:pt>
                <c:pt idx="165">
                  <c:v>0.99907366752373306</c:v>
                </c:pt>
                <c:pt idx="166">
                  <c:v>0.99918429525746999</c:v>
                </c:pt>
                <c:pt idx="167">
                  <c:v>0.99931379658474395</c:v>
                </c:pt>
                <c:pt idx="168">
                  <c:v>0.99923409985293998</c:v>
                </c:pt>
                <c:pt idx="169">
                  <c:v>0.99930663583689205</c:v>
                </c:pt>
                <c:pt idx="170">
                  <c:v>0.99936014697111097</c:v>
                </c:pt>
                <c:pt idx="171">
                  <c:v>0.99935656206069701</c:v>
                </c:pt>
                <c:pt idx="172">
                  <c:v>0.99931426917972099</c:v>
                </c:pt>
                <c:pt idx="173">
                  <c:v>0.99938692816248798</c:v>
                </c:pt>
                <c:pt idx="174">
                  <c:v>0.99944135636790399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51-4C40-B08C-BEF765F985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79547712"/>
        <c:axId val="205325072"/>
      </c:lineChart>
      <c:catAx>
        <c:axId val="16795477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325072"/>
        <c:crosses val="autoZero"/>
        <c:auto val="1"/>
        <c:lblAlgn val="ctr"/>
        <c:lblOffset val="100"/>
        <c:noMultiLvlLbl val="0"/>
      </c:catAx>
      <c:valAx>
        <c:axId val="205325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00_);_(* \(#,##0.00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795477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Sheet1!$U$1</c:f>
              <c:strCache>
                <c:ptCount val="1"/>
                <c:pt idx="0">
                  <c:v>log diff BSJW x avg / IBHL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Sheet1!$U$2:$U$176</c:f>
              <c:numCache>
                <c:formatCode>0.0000%</c:formatCode>
                <c:ptCount val="175"/>
                <c:pt idx="1">
                  <c:v>4.6419571214601002E-3</c:v>
                </c:pt>
                <c:pt idx="2">
                  <c:v>4.6392602704380297E-3</c:v>
                </c:pt>
                <c:pt idx="3">
                  <c:v>4.2541347392479603E-3</c:v>
                </c:pt>
                <c:pt idx="4">
                  <c:v>4.2529361396916399E-3</c:v>
                </c:pt>
                <c:pt idx="5">
                  <c:v>6.1850100253843399E-3</c:v>
                </c:pt>
                <c:pt idx="6">
                  <c:v>4.2517384674874096E-3</c:v>
                </c:pt>
                <c:pt idx="7">
                  <c:v>4.2493459008332603E-3</c:v>
                </c:pt>
                <c:pt idx="8">
                  <c:v>4.2481510042364596E-3</c:v>
                </c:pt>
                <c:pt idx="9">
                  <c:v>3.8601846414252302E-3</c:v>
                </c:pt>
                <c:pt idx="10">
                  <c:v>5.4048891320602E-3</c:v>
                </c:pt>
                <c:pt idx="11">
                  <c:v>-1.9498401808916001E-3</c:v>
                </c:pt>
                <c:pt idx="12">
                  <c:v>-1.9402178701207601E-3</c:v>
                </c:pt>
                <c:pt idx="13">
                  <c:v>-1.55254583580245E-3</c:v>
                </c:pt>
                <c:pt idx="14">
                  <c:v>-1.16772296879609E-3</c:v>
                </c:pt>
                <c:pt idx="15">
                  <c:v>-1.16682262662108E-3</c:v>
                </c:pt>
                <c:pt idx="16">
                  <c:v>-7.7915059230277003E-4</c:v>
                </c:pt>
                <c:pt idx="17">
                  <c:v>-1.5556958155637801E-3</c:v>
                </c:pt>
                <c:pt idx="18">
                  <c:v>-2.7175136729947901E-3</c:v>
                </c:pt>
                <c:pt idx="19">
                  <c:v>-1.16682262662108E-3</c:v>
                </c:pt>
                <c:pt idx="20">
                  <c:v>2.709151218072E-3</c:v>
                </c:pt>
                <c:pt idx="21">
                  <c:v>4.2637570500188302E-3</c:v>
                </c:pt>
                <c:pt idx="22">
                  <c:v>2.7127736064242302E-3</c:v>
                </c:pt>
                <c:pt idx="23">
                  <c:v>3.88016571949505E-3</c:v>
                </c:pt>
                <c:pt idx="24">
                  <c:v>3.8717167433149498E-3</c:v>
                </c:pt>
                <c:pt idx="25">
                  <c:v>3.86646270492965E-3</c:v>
                </c:pt>
                <c:pt idx="26">
                  <c:v>3.8696126846909E-3</c:v>
                </c:pt>
                <c:pt idx="27">
                  <c:v>4.6433071140014196E-3</c:v>
                </c:pt>
                <c:pt idx="28">
                  <c:v>3.09531918878647E-3</c:v>
                </c:pt>
                <c:pt idx="29">
                  <c:v>3.4834426169071198E-3</c:v>
                </c:pt>
                <c:pt idx="30">
                  <c:v>1.9321522718327201E-3</c:v>
                </c:pt>
                <c:pt idx="31">
                  <c:v>2.7049463597786801E-3</c:v>
                </c:pt>
                <c:pt idx="32">
                  <c:v>2.3181739705053299E-3</c:v>
                </c:pt>
                <c:pt idx="33">
                  <c:v>2.7031512435717101E-3</c:v>
                </c:pt>
                <c:pt idx="34">
                  <c:v>-3.1124057061346702E-3</c:v>
                </c:pt>
                <c:pt idx="35">
                  <c:v>-2.3375122152099401E-3</c:v>
                </c:pt>
                <c:pt idx="36">
                  <c:v>-2.7235276145141899E-3</c:v>
                </c:pt>
                <c:pt idx="37">
                  <c:v>-2.7265415918340898E-3</c:v>
                </c:pt>
                <c:pt idx="38">
                  <c:v>-3.89650227119932E-3</c:v>
                </c:pt>
                <c:pt idx="39">
                  <c:v>2.3272335827539199E-3</c:v>
                </c:pt>
                <c:pt idx="40">
                  <c:v>3.11275800186795E-3</c:v>
                </c:pt>
                <c:pt idx="41">
                  <c:v>1.9372940184447E-3</c:v>
                </c:pt>
                <c:pt idx="42">
                  <c:v>2.3327375235757501E-3</c:v>
                </c:pt>
                <c:pt idx="43">
                  <c:v>3.1274024218622301E-3</c:v>
                </c:pt>
                <c:pt idx="44">
                  <c:v>2.3322768852368199E-3</c:v>
                </c:pt>
                <c:pt idx="45">
                  <c:v>2.72681746968363E-3</c:v>
                </c:pt>
                <c:pt idx="46">
                  <c:v>2.3378284792845401E-3</c:v>
                </c:pt>
                <c:pt idx="47">
                  <c:v>1.9499798877015001E-3</c:v>
                </c:pt>
                <c:pt idx="48">
                  <c:v>1.1569584345636401E-3</c:v>
                </c:pt>
                <c:pt idx="49">
                  <c:v>2.7423729561038899E-3</c:v>
                </c:pt>
                <c:pt idx="50">
                  <c:v>3.5247574887214898E-3</c:v>
                </c:pt>
                <c:pt idx="51">
                  <c:v>3.1399057430572101E-3</c:v>
                </c:pt>
                <c:pt idx="52">
                  <c:v>1.9484107908753301E-3</c:v>
                </c:pt>
                <c:pt idx="53">
                  <c:v>2.3538466684097001E-3</c:v>
                </c:pt>
                <c:pt idx="54">
                  <c:v>-1.6257903299572601E-3</c:v>
                </c:pt>
                <c:pt idx="55">
                  <c:v>-2.4337096961648702E-3</c:v>
                </c:pt>
                <c:pt idx="56">
                  <c:v>-3.6144223869339302E-3</c:v>
                </c:pt>
                <c:pt idx="57">
                  <c:v>-2.4524298833672699E-3</c:v>
                </c:pt>
                <c:pt idx="58">
                  <c:v>-4.4723286463902896E-3</c:v>
                </c:pt>
                <c:pt idx="59">
                  <c:v>-3.2562884475547402E-3</c:v>
                </c:pt>
                <c:pt idx="60">
                  <c:v>-1.61916867060412E-3</c:v>
                </c:pt>
                <c:pt idx="61">
                  <c:v>3.5360237914135399E-3</c:v>
                </c:pt>
                <c:pt idx="62">
                  <c:v>3.1367650602540202E-3</c:v>
                </c:pt>
                <c:pt idx="63">
                  <c:v>3.13129273828137E-3</c:v>
                </c:pt>
                <c:pt idx="64">
                  <c:v>4.3140249873305598E-3</c:v>
                </c:pt>
                <c:pt idx="65">
                  <c:v>3.50897833499428E-3</c:v>
                </c:pt>
                <c:pt idx="66">
                  <c:v>2.3327375235757501E-3</c:v>
                </c:pt>
                <c:pt idx="67">
                  <c:v>2.7311421520048798E-3</c:v>
                </c:pt>
                <c:pt idx="68">
                  <c:v>2.33319852312867E-3</c:v>
                </c:pt>
                <c:pt idx="69">
                  <c:v>3.1097026598468102E-3</c:v>
                </c:pt>
                <c:pt idx="70">
                  <c:v>3.5025419962840701E-3</c:v>
                </c:pt>
                <c:pt idx="71">
                  <c:v>2.3313566905051098E-3</c:v>
                </c:pt>
                <c:pt idx="72">
                  <c:v>2.7164129416331999E-3</c:v>
                </c:pt>
                <c:pt idx="73">
                  <c:v>-2.7584733491097602E-3</c:v>
                </c:pt>
                <c:pt idx="74">
                  <c:v>-1.19875525789541E-3</c:v>
                </c:pt>
                <c:pt idx="75">
                  <c:v>-2.3717650858894202E-3</c:v>
                </c:pt>
                <c:pt idx="76">
                  <c:v>-2.7692342807174399E-3</c:v>
                </c:pt>
                <c:pt idx="77">
                  <c:v>-3.5470878719998599E-3</c:v>
                </c:pt>
                <c:pt idx="78">
                  <c:v>-2.7646152186180601E-3</c:v>
                </c:pt>
                <c:pt idx="79">
                  <c:v>-2.76615369790816E-3</c:v>
                </c:pt>
                <c:pt idx="80">
                  <c:v>-3.17631602377397E-3</c:v>
                </c:pt>
                <c:pt idx="81">
                  <c:v>-3.5507787811215E-3</c:v>
                </c:pt>
                <c:pt idx="82">
                  <c:v>2.3359721297957501E-3</c:v>
                </c:pt>
                <c:pt idx="83">
                  <c:v>3.5238234448297201E-3</c:v>
                </c:pt>
                <c:pt idx="84">
                  <c:v>2.7330028900293202E-3</c:v>
                </c:pt>
                <c:pt idx="85">
                  <c:v>2.72681746968363E-3</c:v>
                </c:pt>
                <c:pt idx="86">
                  <c:v>1.55104710961461E-3</c:v>
                </c:pt>
                <c:pt idx="87">
                  <c:v>1.5498085672923799E-3</c:v>
                </c:pt>
                <c:pt idx="88">
                  <c:v>1.94374053651928E-3</c:v>
                </c:pt>
                <c:pt idx="89">
                  <c:v>1.9452911517800499E-3</c:v>
                </c:pt>
                <c:pt idx="90">
                  <c:v>2.3387588478638701E-3</c:v>
                </c:pt>
                <c:pt idx="91">
                  <c:v>1.94622445817208E-3</c:v>
                </c:pt>
                <c:pt idx="92">
                  <c:v>1.9493515029661301E-3</c:v>
                </c:pt>
                <c:pt idx="93">
                  <c:v>-4.00895808066441E-3</c:v>
                </c:pt>
                <c:pt idx="94">
                  <c:v>-3.2246458668022098E-3</c:v>
                </c:pt>
                <c:pt idx="95">
                  <c:v>-4.3832219410518203E-3</c:v>
                </c:pt>
                <c:pt idx="96">
                  <c:v>-4.3832219410518203E-3</c:v>
                </c:pt>
                <c:pt idx="97">
                  <c:v>-2.4010607370606001E-3</c:v>
                </c:pt>
                <c:pt idx="98">
                  <c:v>-3.17631602377397E-3</c:v>
                </c:pt>
                <c:pt idx="99">
                  <c:v>-2.7847100507690501E-3</c:v>
                </c:pt>
                <c:pt idx="100">
                  <c:v>-3.9641872859927001E-3</c:v>
                </c:pt>
                <c:pt idx="101">
                  <c:v>-5.1298992076383703E-3</c:v>
                </c:pt>
                <c:pt idx="102">
                  <c:v>2.3401571527610801E-3</c:v>
                </c:pt>
                <c:pt idx="103">
                  <c:v>1.1569584345636401E-3</c:v>
                </c:pt>
                <c:pt idx="104">
                  <c:v>1.9471599770644399E-3</c:v>
                </c:pt>
                <c:pt idx="105">
                  <c:v>1.5515135787628699E-3</c:v>
                </c:pt>
                <c:pt idx="106">
                  <c:v>3.13911963855493E-3</c:v>
                </c:pt>
                <c:pt idx="107">
                  <c:v>2.3448421616541299E-3</c:v>
                </c:pt>
                <c:pt idx="108">
                  <c:v>3.13519844666935E-3</c:v>
                </c:pt>
                <c:pt idx="109">
                  <c:v>1.55323345460969E-3</c:v>
                </c:pt>
                <c:pt idx="110">
                  <c:v>1.9449805399601699E-3</c:v>
                </c:pt>
                <c:pt idx="111">
                  <c:v>1.55089186490911E-3</c:v>
                </c:pt>
                <c:pt idx="112">
                  <c:v>1.94343114517692E-3</c:v>
                </c:pt>
                <c:pt idx="113">
                  <c:v>2.3373638441010298E-3</c:v>
                </c:pt>
                <c:pt idx="114">
                  <c:v>7.6193571562087402E-4</c:v>
                </c:pt>
                <c:pt idx="115">
                  <c:v>1.9443600500494199E-3</c:v>
                </c:pt>
                <c:pt idx="116">
                  <c:v>-4.7707411987115301E-3</c:v>
                </c:pt>
                <c:pt idx="117">
                  <c:v>-3.9824084814950797E-3</c:v>
                </c:pt>
                <c:pt idx="118">
                  <c:v>-5.1671733149044096E-3</c:v>
                </c:pt>
                <c:pt idx="119">
                  <c:v>-5.16967397679841E-3</c:v>
                </c:pt>
                <c:pt idx="120">
                  <c:v>-4.7707411987115301E-3</c:v>
                </c:pt>
                <c:pt idx="121">
                  <c:v>-3.9722696188523596E-3</c:v>
                </c:pt>
                <c:pt idx="122">
                  <c:v>-3.1814431640345199E-3</c:v>
                </c:pt>
                <c:pt idx="123">
                  <c:v>3.66131979745861E-4</c:v>
                </c:pt>
                <c:pt idx="124">
                  <c:v>3.6800375853149401E-4</c:v>
                </c:pt>
                <c:pt idx="125">
                  <c:v>3.6893632916696202E-4</c:v>
                </c:pt>
                <c:pt idx="126">
                  <c:v>1.1569584345636401E-3</c:v>
                </c:pt>
                <c:pt idx="127">
                  <c:v>4.3215180375266197E-3</c:v>
                </c:pt>
                <c:pt idx="128">
                  <c:v>3.6800375853149401E-4</c:v>
                </c:pt>
                <c:pt idx="129">
                  <c:v>1.9471599770644399E-3</c:v>
                </c:pt>
                <c:pt idx="130">
                  <c:v>7.6131055600986398E-4</c:v>
                </c:pt>
                <c:pt idx="131">
                  <c:v>4.7206129682097796E-3</c:v>
                </c:pt>
                <c:pt idx="132">
                  <c:v>3.6862571734721199E-4</c:v>
                </c:pt>
                <c:pt idx="133">
                  <c:v>1.1569584345636401E-3</c:v>
                </c:pt>
                <c:pt idx="134">
                  <c:v>1.9452911517800499E-3</c:v>
                </c:pt>
                <c:pt idx="135">
                  <c:v>-4.3766525236605298E-3</c:v>
                </c:pt>
                <c:pt idx="136">
                  <c:v>-2.0138726010203402E-3</c:v>
                </c:pt>
                <c:pt idx="137">
                  <c:v>-4.39861141003844E-3</c:v>
                </c:pt>
                <c:pt idx="138">
                  <c:v>-6.0058258703121099E-3</c:v>
                </c:pt>
                <c:pt idx="139">
                  <c:v>-4.4185239497397102E-3</c:v>
                </c:pt>
                <c:pt idx="140">
                  <c:v>-4.4163043990814096E-3</c:v>
                </c:pt>
                <c:pt idx="141">
                  <c:v>-5.5904376745995197E-3</c:v>
                </c:pt>
                <c:pt idx="142">
                  <c:v>-3.2246458668022098E-3</c:v>
                </c:pt>
                <c:pt idx="143">
                  <c:v>-4.3964076819916703E-3</c:v>
                </c:pt>
                <c:pt idx="144">
                  <c:v>-2.8144526629019701E-3</c:v>
                </c:pt>
                <c:pt idx="145">
                  <c:v>7.60526318370754E-4</c:v>
                </c:pt>
                <c:pt idx="146">
                  <c:v>1.1569584345636401E-3</c:v>
                </c:pt>
                <c:pt idx="147">
                  <c:v>2.7367375940821302E-3</c:v>
                </c:pt>
                <c:pt idx="148">
                  <c:v>-8.1815577655557797E-4</c:v>
                </c:pt>
                <c:pt idx="149">
                  <c:v>1.55198115350651E-3</c:v>
                </c:pt>
                <c:pt idx="150">
                  <c:v>-8.1971744130893305E-4</c:v>
                </c:pt>
                <c:pt idx="151">
                  <c:v>3.66131979745861E-4</c:v>
                </c:pt>
                <c:pt idx="152">
                  <c:v>1.1569584345636401E-3</c:v>
                </c:pt>
                <c:pt idx="153">
                  <c:v>3.6955681907791801E-4</c:v>
                </c:pt>
                <c:pt idx="154">
                  <c:v>-1.2117754009869999E-3</c:v>
                </c:pt>
                <c:pt idx="155">
                  <c:v>1.1569584345636401E-3</c:v>
                </c:pt>
                <c:pt idx="156">
                  <c:v>-2.81098455456124E-5</c:v>
                </c:pt>
                <c:pt idx="157">
                  <c:v>3.6862571734721199E-4</c:v>
                </c:pt>
                <c:pt idx="158">
                  <c:v>3.6675689206271703E-4</c:v>
                </c:pt>
                <c:pt idx="159">
                  <c:v>-2.6240283633804001E-5</c:v>
                </c:pt>
                <c:pt idx="160">
                  <c:v>-5.5637626518494597E-3</c:v>
                </c:pt>
                <c:pt idx="161">
                  <c:v>-3.57677821563533E-3</c:v>
                </c:pt>
                <c:pt idx="162">
                  <c:v>-5.5478586372549104E-3</c:v>
                </c:pt>
                <c:pt idx="163">
                  <c:v>-5.9464652780958204E-3</c:v>
                </c:pt>
                <c:pt idx="164">
                  <c:v>-5.5637626518494597E-3</c:v>
                </c:pt>
                <c:pt idx="165">
                  <c:v>-4.7637219751639603E-3</c:v>
                </c:pt>
                <c:pt idx="166">
                  <c:v>-1.22588621951661E-3</c:v>
                </c:pt>
                <c:pt idx="167">
                  <c:v>-3.4226935589382003E-5</c:v>
                </c:pt>
                <c:pt idx="168">
                  <c:v>7.6036909761875195E-4</c:v>
                </c:pt>
                <c:pt idx="169">
                  <c:v>-3.3281737690922103E-5</c:v>
                </c:pt>
                <c:pt idx="170">
                  <c:v>-2.0176474062089198E-3</c:v>
                </c:pt>
                <c:pt idx="171">
                  <c:v>3.62361650602249E-4</c:v>
                </c:pt>
                <c:pt idx="172">
                  <c:v>1.9556805217547002E-3</c:v>
                </c:pt>
                <c:pt idx="173">
                  <c:v>-1.2440031029744001E-3</c:v>
                </c:pt>
                <c:pt idx="174">
                  <c:v>-2.4524298833672699E-3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BC-4761-B5E6-CEF747E62F5E}"/>
            </c:ext>
          </c:extLst>
        </c:ser>
        <c:ser>
          <c:idx val="1"/>
          <c:order val="1"/>
          <c:tx>
            <c:strRef>
              <c:f>Sheet1!$V$1</c:f>
              <c:strCache>
                <c:ptCount val="1"/>
                <c:pt idx="0">
                  <c:v>log diff BSJW x 10 dma / IBHL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Sheet1!$V$2:$V$176</c:f>
              <c:numCache>
                <c:formatCode>0.0000%</c:formatCode>
                <c:ptCount val="175"/>
                <c:pt idx="10">
                  <c:v>9.9822895629703493E-4</c:v>
                </c:pt>
                <c:pt idx="11">
                  <c:v>-6.5483850484205196E-3</c:v>
                </c:pt>
                <c:pt idx="12">
                  <c:v>-5.8776529278322803E-3</c:v>
                </c:pt>
                <c:pt idx="13">
                  <c:v>-4.8305444482319802E-3</c:v>
                </c:pt>
                <c:pt idx="14">
                  <c:v>-3.8641017350631202E-3</c:v>
                </c:pt>
                <c:pt idx="15">
                  <c:v>-3.3206562403523899E-3</c:v>
                </c:pt>
                <c:pt idx="16">
                  <c:v>-2.1983303448692201E-3</c:v>
                </c:pt>
                <c:pt idx="17">
                  <c:v>-2.4720720699761799E-3</c:v>
                </c:pt>
                <c:pt idx="18">
                  <c:v>-3.0538030475067098E-3</c:v>
                </c:pt>
                <c:pt idx="19">
                  <c:v>-8.0708519196186299E-4</c:v>
                </c:pt>
                <c:pt idx="20">
                  <c:v>3.5706069399718699E-3</c:v>
                </c:pt>
                <c:pt idx="21">
                  <c:v>5.3934280347618701E-3</c:v>
                </c:pt>
                <c:pt idx="22">
                  <c:v>3.2223108237902699E-3</c:v>
                </c:pt>
                <c:pt idx="23">
                  <c:v>3.9247119136198404E-3</c:v>
                </c:pt>
                <c:pt idx="24">
                  <c:v>3.3734999139884E-3</c:v>
                </c:pt>
                <c:pt idx="25">
                  <c:v>2.8646046393256E-3</c:v>
                </c:pt>
                <c:pt idx="26">
                  <c:v>2.3644740391070198E-3</c:v>
                </c:pt>
                <c:pt idx="27">
                  <c:v>2.6732022797409201E-3</c:v>
                </c:pt>
                <c:pt idx="28">
                  <c:v>5.04856367033647E-4</c:v>
                </c:pt>
                <c:pt idx="29">
                  <c:v>3.1012819929658998E-4</c:v>
                </c:pt>
                <c:pt idx="30">
                  <c:v>-1.70723566057061E-3</c:v>
                </c:pt>
                <c:pt idx="31">
                  <c:v>-8.5664216924061102E-4</c:v>
                </c:pt>
                <c:pt idx="32">
                  <c:v>-1.08753358355302E-3</c:v>
                </c:pt>
                <c:pt idx="33">
                  <c:v>-6.6306198231702595E-4</c:v>
                </c:pt>
                <c:pt idx="34">
                  <c:v>-6.3609156294133998E-3</c:v>
                </c:pt>
                <c:pt idx="35">
                  <c:v>-4.8858471298662502E-3</c:v>
                </c:pt>
                <c:pt idx="36">
                  <c:v>-4.6505494056613998E-3</c:v>
                </c:pt>
                <c:pt idx="37">
                  <c:v>-3.9935726969085698E-3</c:v>
                </c:pt>
                <c:pt idx="38">
                  <c:v>-4.4265909418198498E-3</c:v>
                </c:pt>
                <c:pt idx="39">
                  <c:v>2.4967347314737501E-3</c:v>
                </c:pt>
                <c:pt idx="40">
                  <c:v>3.3975184481407298E-3</c:v>
                </c:pt>
                <c:pt idx="41">
                  <c:v>2.1043179109301001E-3</c:v>
                </c:pt>
                <c:pt idx="42">
                  <c:v>2.5763329548611799E-3</c:v>
                </c:pt>
                <c:pt idx="43">
                  <c:v>3.3695452334350298E-3</c:v>
                </c:pt>
                <c:pt idx="44">
                  <c:v>2.53212742700648E-3</c:v>
                </c:pt>
                <c:pt idx="45">
                  <c:v>2.3819471709392599E-3</c:v>
                </c:pt>
                <c:pt idx="46">
                  <c:v>1.4863202705633299E-3</c:v>
                </c:pt>
                <c:pt idx="47">
                  <c:v>5.9167826793052195E-4</c:v>
                </c:pt>
                <c:pt idx="48">
                  <c:v>-6.6992303320103004E-4</c:v>
                </c:pt>
                <c:pt idx="49">
                  <c:v>4.0839832737128798E-4</c:v>
                </c:pt>
                <c:pt idx="50">
                  <c:v>1.1492763973248699E-3</c:v>
                </c:pt>
                <c:pt idx="51">
                  <c:v>7.2326270016850999E-4</c:v>
                </c:pt>
                <c:pt idx="52">
                  <c:v>-5.8848599613443798E-4</c:v>
                </c:pt>
                <c:pt idx="53">
                  <c:v>-1.4460294943805001E-4</c:v>
                </c:pt>
                <c:pt idx="54">
                  <c:v>-4.0469060921839899E-3</c:v>
                </c:pt>
                <c:pt idx="55">
                  <c:v>-4.4582777887244903E-3</c:v>
                </c:pt>
                <c:pt idx="56">
                  <c:v>-5.1221007347844504E-3</c:v>
                </c:pt>
                <c:pt idx="57">
                  <c:v>-3.3637813923378802E-3</c:v>
                </c:pt>
                <c:pt idx="58">
                  <c:v>-4.9430238141478303E-3</c:v>
                </c:pt>
                <c:pt idx="59">
                  <c:v>-3.1630138209263999E-3</c:v>
                </c:pt>
                <c:pt idx="60">
                  <c:v>-9.2610871525458497E-4</c:v>
                </c:pt>
                <c:pt idx="61">
                  <c:v>4.7424991896022799E-3</c:v>
                </c:pt>
                <c:pt idx="62">
                  <c:v>4.3038074809451498E-3</c:v>
                </c:pt>
                <c:pt idx="63">
                  <c:v>4.1799327346250898E-3</c:v>
                </c:pt>
                <c:pt idx="64">
                  <c:v>5.2852115633897304E-3</c:v>
                </c:pt>
                <c:pt idx="65">
                  <c:v>3.8873805031198901E-3</c:v>
                </c:pt>
                <c:pt idx="66">
                  <c:v>2.1172378127686299E-3</c:v>
                </c:pt>
                <c:pt idx="67">
                  <c:v>1.9202388569370299E-3</c:v>
                </c:pt>
                <c:pt idx="68">
                  <c:v>1.0034546510878099E-3</c:v>
                </c:pt>
                <c:pt idx="69">
                  <c:v>1.09753714102937E-3</c:v>
                </c:pt>
                <c:pt idx="70">
                  <c:v>8.5224373988031102E-4</c:v>
                </c:pt>
                <c:pt idx="71">
                  <c:v>-8.3212069668734203E-4</c:v>
                </c:pt>
                <c:pt idx="72">
                  <c:v>-3.2657730216771201E-4</c:v>
                </c:pt>
                <c:pt idx="73">
                  <c:v>-5.75942437116371E-3</c:v>
                </c:pt>
                <c:pt idx="74">
                  <c:v>-3.6092431411570199E-3</c:v>
                </c:pt>
                <c:pt idx="75">
                  <c:v>-4.2306560438462697E-3</c:v>
                </c:pt>
                <c:pt idx="76">
                  <c:v>-4.0394640702412603E-3</c:v>
                </c:pt>
                <c:pt idx="77">
                  <c:v>-4.3064904385280703E-3</c:v>
                </c:pt>
                <c:pt idx="78">
                  <c:v>-2.8956578767857701E-3</c:v>
                </c:pt>
                <c:pt idx="79">
                  <c:v>-2.3873676166137302E-3</c:v>
                </c:pt>
                <c:pt idx="80">
                  <c:v>-2.2104392458000902E-3</c:v>
                </c:pt>
                <c:pt idx="81">
                  <c:v>-1.9179910065174699E-3</c:v>
                </c:pt>
                <c:pt idx="82">
                  <c:v>4.5562002419662299E-3</c:v>
                </c:pt>
                <c:pt idx="83">
                  <c:v>5.7819147762400401E-3</c:v>
                </c:pt>
                <c:pt idx="84">
                  <c:v>4.3643239514268998E-3</c:v>
                </c:pt>
                <c:pt idx="85">
                  <c:v>3.9658274002395098E-3</c:v>
                </c:pt>
                <c:pt idx="86">
                  <c:v>2.28079030019086E-3</c:v>
                </c:pt>
                <c:pt idx="87">
                  <c:v>1.84748207510337E-3</c:v>
                </c:pt>
                <c:pt idx="88">
                  <c:v>1.7312363293553899E-3</c:v>
                </c:pt>
                <c:pt idx="89">
                  <c:v>1.2615465231794001E-3</c:v>
                </c:pt>
                <c:pt idx="90">
                  <c:v>1.18324223407218E-3</c:v>
                </c:pt>
                <c:pt idx="91">
                  <c:v>2.3817812135317401E-4</c:v>
                </c:pt>
                <c:pt idx="92">
                  <c:v>-3.0992941260699303E-4</c:v>
                </c:pt>
                <c:pt idx="93">
                  <c:v>-6.2295731718484699E-3</c:v>
                </c:pt>
                <c:pt idx="94">
                  <c:v>-4.6904082445474501E-3</c:v>
                </c:pt>
                <c:pt idx="95">
                  <c:v>-5.2523759919744601E-3</c:v>
                </c:pt>
                <c:pt idx="96">
                  <c:v>-4.54041620245708E-3</c:v>
                </c:pt>
                <c:pt idx="97">
                  <c:v>-1.96406942201084E-3</c:v>
                </c:pt>
                <c:pt idx="98">
                  <c:v>-2.3443200361780402E-3</c:v>
                </c:pt>
                <c:pt idx="99">
                  <c:v>-1.44094925388713E-3</c:v>
                </c:pt>
                <c:pt idx="100">
                  <c:v>-2.1479744259043001E-3</c:v>
                </c:pt>
                <c:pt idx="101">
                  <c:v>-2.6842210292914999E-3</c:v>
                </c:pt>
                <c:pt idx="102">
                  <c:v>5.4925954285195396E-3</c:v>
                </c:pt>
                <c:pt idx="103">
                  <c:v>4.2705218594192903E-3</c:v>
                </c:pt>
                <c:pt idx="104">
                  <c:v>4.5448691931255997E-3</c:v>
                </c:pt>
                <c:pt idx="105">
                  <c:v>3.6329205217089499E-3</c:v>
                </c:pt>
                <c:pt idx="106">
                  <c:v>4.6272710744436297E-3</c:v>
                </c:pt>
                <c:pt idx="107">
                  <c:v>3.0811263143309402E-3</c:v>
                </c:pt>
                <c:pt idx="108">
                  <c:v>3.3971153439735099E-3</c:v>
                </c:pt>
                <c:pt idx="109">
                  <c:v>1.1839510082744199E-3</c:v>
                </c:pt>
                <c:pt idx="110">
                  <c:v>1.14138159391568E-3</c:v>
                </c:pt>
                <c:pt idx="111">
                  <c:v>1.5512755601503099E-4</c:v>
                </c:pt>
                <c:pt idx="112">
                  <c:v>-1.2276961340008E-4</c:v>
                </c:pt>
                <c:pt idx="113">
                  <c:v>3.1083190085160497E-4</c:v>
                </c:pt>
                <c:pt idx="114">
                  <c:v>-1.3826767283528401E-3</c:v>
                </c:pt>
                <c:pt idx="115">
                  <c:v>-8.1643317798239104E-5</c:v>
                </c:pt>
                <c:pt idx="116">
                  <c:v>-6.8360409112970298E-3</c:v>
                </c:pt>
                <c:pt idx="117">
                  <c:v>-5.2547523106350399E-3</c:v>
                </c:pt>
                <c:pt idx="118">
                  <c:v>-5.8056674544259999E-3</c:v>
                </c:pt>
                <c:pt idx="119">
                  <c:v>-4.9768994022715797E-3</c:v>
                </c:pt>
                <c:pt idx="120">
                  <c:v>-3.9048143039086499E-3</c:v>
                </c:pt>
                <c:pt idx="121">
                  <c:v>-2.4346275194704801E-3</c:v>
                </c:pt>
                <c:pt idx="122">
                  <c:v>-1.09181713767055E-3</c:v>
                </c:pt>
                <c:pt idx="123">
                  <c:v>2.9673619850483302E-3</c:v>
                </c:pt>
                <c:pt idx="124">
                  <c:v>3.16556002329449E-3</c:v>
                </c:pt>
                <c:pt idx="125">
                  <c:v>3.2057527810086298E-3</c:v>
                </c:pt>
                <c:pt idx="126">
                  <c:v>4.1506770795884896E-3</c:v>
                </c:pt>
                <c:pt idx="127">
                  <c:v>6.72299360932797E-3</c:v>
                </c:pt>
                <c:pt idx="128">
                  <c:v>1.94087332209766E-3</c:v>
                </c:pt>
                <c:pt idx="129">
                  <c:v>2.9658998338600801E-3</c:v>
                </c:pt>
                <c:pt idx="130">
                  <c:v>1.0676900366199699E-3</c:v>
                </c:pt>
                <c:pt idx="131">
                  <c:v>4.4726926445275402E-3</c:v>
                </c:pt>
                <c:pt idx="132">
                  <c:v>-7.4885381689367798E-4</c:v>
                </c:pt>
                <c:pt idx="133">
                  <c:v>-3.1648865300911198E-4</c:v>
                </c:pt>
                <c:pt idx="134">
                  <c:v>3.92701965881673E-4</c:v>
                </c:pt>
                <c:pt idx="135">
                  <c:v>-6.0870453793400404E-3</c:v>
                </c:pt>
                <c:pt idx="136">
                  <c:v>-3.2480536230346498E-3</c:v>
                </c:pt>
                <c:pt idx="137">
                  <c:v>-5.31523199013421E-3</c:v>
                </c:pt>
                <c:pt idx="138">
                  <c:v>-6.04997813521341E-3</c:v>
                </c:pt>
                <c:pt idx="139">
                  <c:v>-3.8236688957785699E-3</c:v>
                </c:pt>
                <c:pt idx="140">
                  <c:v>-3.1846746001333499E-3</c:v>
                </c:pt>
                <c:pt idx="141">
                  <c:v>-3.8408713447606901E-3</c:v>
                </c:pt>
                <c:pt idx="142">
                  <c:v>-4.4585440065221602E-4</c:v>
                </c:pt>
                <c:pt idx="143">
                  <c:v>-1.2588382776482199E-3</c:v>
                </c:pt>
                <c:pt idx="144">
                  <c:v>8.7745811465144504E-4</c:v>
                </c:pt>
                <c:pt idx="145">
                  <c:v>4.9267515370626201E-3</c:v>
                </c:pt>
                <c:pt idx="146">
                  <c:v>4.8105438309520498E-3</c:v>
                </c:pt>
                <c:pt idx="147">
                  <c:v>6.0742107827101597E-3</c:v>
                </c:pt>
                <c:pt idx="148">
                  <c:v>1.80731384889393E-3</c:v>
                </c:pt>
                <c:pt idx="149">
                  <c:v>3.6581401872560399E-3</c:v>
                </c:pt>
                <c:pt idx="150">
                  <c:v>6.8961374237610899E-4</c:v>
                </c:pt>
                <c:pt idx="151">
                  <c:v>1.5153404697662799E-3</c:v>
                </c:pt>
                <c:pt idx="152">
                  <c:v>1.70945903179139E-3</c:v>
                </c:pt>
                <c:pt idx="153">
                  <c:v>4.8358956624525802E-4</c:v>
                </c:pt>
                <c:pt idx="154">
                  <c:v>-1.5753597007786399E-3</c:v>
                </c:pt>
                <c:pt idx="155">
                  <c:v>6.3271212488975903E-4</c:v>
                </c:pt>
                <c:pt idx="156">
                  <c:v>-5.9198293115065703E-4</c:v>
                </c:pt>
                <c:pt idx="157">
                  <c:v>-7.6747620006999696E-5</c:v>
                </c:pt>
                <c:pt idx="158">
                  <c:v>1.5790474644197401E-4</c:v>
                </c:pt>
                <c:pt idx="159">
                  <c:v>-3.5364223155863402E-4</c:v>
                </c:pt>
                <c:pt idx="160">
                  <c:v>-5.7334235930633099E-3</c:v>
                </c:pt>
                <c:pt idx="161">
                  <c:v>-3.2705500956053601E-3</c:v>
                </c:pt>
                <c:pt idx="162">
                  <c:v>-4.8469046021216702E-3</c:v>
                </c:pt>
                <c:pt idx="163">
                  <c:v>-4.5742508422858402E-3</c:v>
                </c:pt>
                <c:pt idx="164">
                  <c:v>-3.5592497639114302E-3</c:v>
                </c:pt>
                <c:pt idx="165">
                  <c:v>-2.3235025442524802E-3</c:v>
                </c:pt>
                <c:pt idx="166">
                  <c:v>1.80585020472539E-3</c:v>
                </c:pt>
                <c:pt idx="167">
                  <c:v>3.11699230699912E-3</c:v>
                </c:pt>
                <c:pt idx="168">
                  <c:v>3.9517393378987499E-3</c:v>
                </c:pt>
                <c:pt idx="169">
                  <c:v>3.1188740345182899E-3</c:v>
                </c:pt>
                <c:pt idx="170">
                  <c:v>1.1352103159684599E-3</c:v>
                </c:pt>
                <c:pt idx="171">
                  <c:v>3.1603184322491701E-3</c:v>
                </c:pt>
                <c:pt idx="172">
                  <c:v>4.3601144157634801E-3</c:v>
                </c:pt>
                <c:pt idx="173">
                  <c:v>4.1025013585459702E-4</c:v>
                </c:pt>
                <c:pt idx="174">
                  <c:v>-1.2694479523771599E-3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BC-4761-B5E6-CEF747E62F5E}"/>
            </c:ext>
          </c:extLst>
        </c:ser>
        <c:ser>
          <c:idx val="2"/>
          <c:order val="2"/>
          <c:tx>
            <c:strRef>
              <c:f>Sheet1!$W$1</c:f>
              <c:strCache>
                <c:ptCount val="1"/>
                <c:pt idx="0">
                  <c:v>log diff BSJW x 20 dma / IBHL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Sheet1!$W$2:$W$176</c:f>
              <c:numCache>
                <c:formatCode>0.0000%</c:formatCode>
                <c:ptCount val="175"/>
                <c:pt idx="20">
                  <c:v>9.40018117767567E-4</c:v>
                </c:pt>
                <c:pt idx="21">
                  <c:v>2.5334216601247302E-3</c:v>
                </c:pt>
                <c:pt idx="22">
                  <c:v>1.00129662951656E-3</c:v>
                </c:pt>
                <c:pt idx="23">
                  <c:v>2.2648194227068898E-3</c:v>
                </c:pt>
                <c:pt idx="24">
                  <c:v>2.2750229348844301E-3</c:v>
                </c:pt>
                <c:pt idx="25">
                  <c:v>2.2887827462110401E-3</c:v>
                </c:pt>
                <c:pt idx="26">
                  <c:v>2.4074544092321602E-3</c:v>
                </c:pt>
                <c:pt idx="27">
                  <c:v>3.20020536264867E-3</c:v>
                </c:pt>
                <c:pt idx="28">
                  <c:v>1.63257825276093E-3</c:v>
                </c:pt>
                <c:pt idx="29">
                  <c:v>2.0782144315437201E-3</c:v>
                </c:pt>
                <c:pt idx="30">
                  <c:v>5.4571836364399897E-4</c:v>
                </c:pt>
                <c:pt idx="31">
                  <c:v>1.4917385745961301E-3</c:v>
                </c:pt>
                <c:pt idx="32">
                  <c:v>8.7200494363796096E-4</c:v>
                </c:pt>
                <c:pt idx="33">
                  <c:v>1.04377188696265E-3</c:v>
                </c:pt>
                <c:pt idx="34">
                  <c:v>-4.9848235687223698E-3</c:v>
                </c:pt>
                <c:pt idx="35">
                  <c:v>-4.1123097565392902E-3</c:v>
                </c:pt>
                <c:pt idx="36">
                  <c:v>-4.4395855847066202E-3</c:v>
                </c:pt>
                <c:pt idx="37">
                  <c:v>-4.34504777241941E-3</c:v>
                </c:pt>
                <c:pt idx="38">
                  <c:v>-5.4562473747746401E-3</c:v>
                </c:pt>
                <c:pt idx="39">
                  <c:v>8.2672374964682402E-4</c:v>
                </c:pt>
                <c:pt idx="40">
                  <c:v>1.4373691251297199E-3</c:v>
                </c:pt>
                <c:pt idx="41">
                  <c:v>2.4174951799472001E-4</c:v>
                </c:pt>
                <c:pt idx="42">
                  <c:v>7.53346137800297E-4</c:v>
                </c:pt>
                <c:pt idx="43">
                  <c:v>1.5669947429830899E-3</c:v>
                </c:pt>
                <c:pt idx="44">
                  <c:v>8.09433592482596E-4</c:v>
                </c:pt>
                <c:pt idx="45">
                  <c:v>1.2808217698995401E-3</c:v>
                </c:pt>
                <c:pt idx="46">
                  <c:v>9.4870807052670301E-4</c:v>
                </c:pt>
                <c:pt idx="47">
                  <c:v>6.3731456656712399E-4</c:v>
                </c:pt>
                <c:pt idx="48">
                  <c:v>-2.1316425698704701E-5</c:v>
                </c:pt>
                <c:pt idx="49">
                  <c:v>1.66091963976396E-3</c:v>
                </c:pt>
                <c:pt idx="50">
                  <c:v>2.4802817765285502E-3</c:v>
                </c:pt>
                <c:pt idx="51">
                  <c:v>2.0159305844778099E-3</c:v>
                </c:pt>
                <c:pt idx="52">
                  <c:v>8.0272650482383597E-4</c:v>
                </c:pt>
                <c:pt idx="53">
                  <c:v>1.22663212083623E-3</c:v>
                </c:pt>
                <c:pt idx="54">
                  <c:v>-2.73556425738578E-3</c:v>
                </c:pt>
                <c:pt idx="55">
                  <c:v>-3.6180762187735999E-3</c:v>
                </c:pt>
                <c:pt idx="56">
                  <c:v>-4.7939618453144203E-3</c:v>
                </c:pt>
                <c:pt idx="57">
                  <c:v>-3.5872314771882101E-3</c:v>
                </c:pt>
                <c:pt idx="58">
                  <c:v>-5.6208870590087803E-3</c:v>
                </c:pt>
                <c:pt idx="59">
                  <c:v>-4.3759020064194796E-3</c:v>
                </c:pt>
                <c:pt idx="60">
                  <c:v>-2.4592022460700799E-3</c:v>
                </c:pt>
                <c:pt idx="61">
                  <c:v>2.9325808415710201E-3</c:v>
                </c:pt>
                <c:pt idx="62">
                  <c:v>2.4535527718213602E-3</c:v>
                </c:pt>
                <c:pt idx="63">
                  <c:v>2.4079606572960498E-3</c:v>
                </c:pt>
                <c:pt idx="64">
                  <c:v>3.5904988579514101E-3</c:v>
                </c:pt>
                <c:pt idx="65">
                  <c:v>2.68661715586288E-3</c:v>
                </c:pt>
                <c:pt idx="66">
                  <c:v>1.4713572099361899E-3</c:v>
                </c:pt>
                <c:pt idx="67">
                  <c:v>1.87001601121611E-3</c:v>
                </c:pt>
                <c:pt idx="68">
                  <c:v>1.43307124881123E-3</c:v>
                </c:pt>
                <c:pt idx="69">
                  <c:v>2.1508113234253402E-3</c:v>
                </c:pt>
                <c:pt idx="70">
                  <c:v>2.52532010062254E-3</c:v>
                </c:pt>
                <c:pt idx="71">
                  <c:v>1.355242755022E-3</c:v>
                </c:pt>
                <c:pt idx="72">
                  <c:v>1.78065457532128E-3</c:v>
                </c:pt>
                <c:pt idx="73">
                  <c:v>-3.73257896493816E-3</c:v>
                </c:pt>
                <c:pt idx="74">
                  <c:v>-1.916976446909E-3</c:v>
                </c:pt>
                <c:pt idx="75">
                  <c:v>-3.1113837958690201E-3</c:v>
                </c:pt>
                <c:pt idx="76">
                  <c:v>-3.51195997394707E-3</c:v>
                </c:pt>
                <c:pt idx="77">
                  <c:v>-4.3322404712570397E-3</c:v>
                </c:pt>
                <c:pt idx="78">
                  <c:v>-3.4948288731581302E-3</c:v>
                </c:pt>
                <c:pt idx="79">
                  <c:v>-3.58212883564561E-3</c:v>
                </c:pt>
                <c:pt idx="80">
                  <c:v>-4.0168921736448704E-3</c:v>
                </c:pt>
                <c:pt idx="81">
                  <c:v>-4.3132480702342199E-3</c:v>
                </c:pt>
                <c:pt idx="82">
                  <c:v>1.9280537434168299E-3</c:v>
                </c:pt>
                <c:pt idx="83">
                  <c:v>3.1558507863334098E-3</c:v>
                </c:pt>
                <c:pt idx="84">
                  <c:v>2.3454615051504298E-3</c:v>
                </c:pt>
                <c:pt idx="85">
                  <c:v>2.4180765792426E-3</c:v>
                </c:pt>
                <c:pt idx="86">
                  <c:v>1.28130379654732E-3</c:v>
                </c:pt>
                <c:pt idx="87">
                  <c:v>1.3190837141554999E-3</c:v>
                </c:pt>
                <c:pt idx="88">
                  <c:v>1.7719679333515999E-3</c:v>
                </c:pt>
                <c:pt idx="89">
                  <c:v>1.79295299955909E-3</c:v>
                </c:pt>
                <c:pt idx="90">
                  <c:v>2.2445014685895498E-3</c:v>
                </c:pt>
                <c:pt idx="91">
                  <c:v>1.9099903229861401E-3</c:v>
                </c:pt>
                <c:pt idx="92">
                  <c:v>1.9323333493088E-3</c:v>
                </c:pt>
                <c:pt idx="93">
                  <c:v>-3.9877126112446799E-3</c:v>
                </c:pt>
                <c:pt idx="94">
                  <c:v>-3.1406675347267999E-3</c:v>
                </c:pt>
                <c:pt idx="95">
                  <c:v>-4.1977384569164998E-3</c:v>
                </c:pt>
                <c:pt idx="96">
                  <c:v>-4.0968491442142704E-3</c:v>
                </c:pt>
                <c:pt idx="97">
                  <c:v>-2.03372589944872E-3</c:v>
                </c:pt>
                <c:pt idx="98">
                  <c:v>-2.8664337609821699E-3</c:v>
                </c:pt>
                <c:pt idx="99">
                  <c:v>-2.4541881194348599E-3</c:v>
                </c:pt>
                <c:pt idx="100">
                  <c:v>-3.6327352662423101E-3</c:v>
                </c:pt>
                <c:pt idx="101">
                  <c:v>-4.7589266100063199E-3</c:v>
                </c:pt>
                <c:pt idx="102">
                  <c:v>2.7903966664623099E-3</c:v>
                </c:pt>
                <c:pt idx="103">
                  <c:v>1.60698927973799E-3</c:v>
                </c:pt>
                <c:pt idx="104">
                  <c:v>2.5151973699767799E-3</c:v>
                </c:pt>
                <c:pt idx="105">
                  <c:v>2.15872825065218E-3</c:v>
                </c:pt>
                <c:pt idx="106">
                  <c:v>3.8049366210662901E-3</c:v>
                </c:pt>
                <c:pt idx="107">
                  <c:v>2.9314910925428701E-3</c:v>
                </c:pt>
                <c:pt idx="108">
                  <c:v>3.68219551288986E-3</c:v>
                </c:pt>
                <c:pt idx="109">
                  <c:v>2.0408394444824999E-3</c:v>
                </c:pt>
                <c:pt idx="110">
                  <c:v>2.4521454234744302E-3</c:v>
                </c:pt>
                <c:pt idx="111">
                  <c:v>2.0776933835491402E-3</c:v>
                </c:pt>
                <c:pt idx="112">
                  <c:v>2.4899541740759602E-3</c:v>
                </c:pt>
                <c:pt idx="113">
                  <c:v>2.8841821538177601E-3</c:v>
                </c:pt>
                <c:pt idx="114">
                  <c:v>9.9129530087107708E-4</c:v>
                </c:pt>
                <c:pt idx="115">
                  <c:v>1.9741706885488901E-3</c:v>
                </c:pt>
                <c:pt idx="116">
                  <c:v>-5.0577369610070796E-3</c:v>
                </c:pt>
                <c:pt idx="117">
                  <c:v>-4.2499339965153E-3</c:v>
                </c:pt>
                <c:pt idx="118">
                  <c:v>-5.3553605935122003E-3</c:v>
                </c:pt>
                <c:pt idx="119">
                  <c:v>-5.2578884241913596E-3</c:v>
                </c:pt>
                <c:pt idx="120">
                  <c:v>-4.7392288098058403E-3</c:v>
                </c:pt>
                <c:pt idx="121">
                  <c:v>-3.9002551148495999E-3</c:v>
                </c:pt>
                <c:pt idx="122">
                  <c:v>-3.1675716696612502E-3</c:v>
                </c:pt>
                <c:pt idx="123">
                  <c:v>6.5615803096495402E-4</c:v>
                </c:pt>
                <c:pt idx="124">
                  <c:v>6.9752879476193302E-4</c:v>
                </c:pt>
                <c:pt idx="125">
                  <c:v>7.7729874532615002E-4</c:v>
                </c:pt>
                <c:pt idx="126">
                  <c:v>1.6243671057146599E-3</c:v>
                </c:pt>
                <c:pt idx="127">
                  <c:v>4.8877710265323501E-3</c:v>
                </c:pt>
                <c:pt idx="128">
                  <c:v>8.3580273660749599E-4</c:v>
                </c:pt>
                <c:pt idx="129">
                  <c:v>2.5530024700540599E-3</c:v>
                </c:pt>
                <c:pt idx="130">
                  <c:v>1.3475028803794299E-3</c:v>
                </c:pt>
                <c:pt idx="131">
                  <c:v>5.3658723851522502E-3</c:v>
                </c:pt>
                <c:pt idx="132">
                  <c:v>8.5598465361768998E-4</c:v>
                </c:pt>
                <c:pt idx="133">
                  <c:v>1.7229252661692901E-3</c:v>
                </c:pt>
                <c:pt idx="134">
                  <c:v>2.5701401600274698E-3</c:v>
                </c:pt>
                <c:pt idx="135">
                  <c:v>-3.8108560887455301E-3</c:v>
                </c:pt>
                <c:pt idx="136">
                  <c:v>-1.1318693992300099E-3</c:v>
                </c:pt>
                <c:pt idx="137">
                  <c:v>-3.6548076945579701E-3</c:v>
                </c:pt>
                <c:pt idx="138">
                  <c:v>-5.2411403760660603E-3</c:v>
                </c:pt>
                <c:pt idx="139">
                  <c:v>-3.61170403457118E-3</c:v>
                </c:pt>
                <c:pt idx="140">
                  <c:v>-3.6471927482868501E-3</c:v>
                </c:pt>
                <c:pt idx="141">
                  <c:v>-4.8391159274877903E-3</c:v>
                </c:pt>
                <c:pt idx="142">
                  <c:v>-2.3920922860845898E-3</c:v>
                </c:pt>
                <c:pt idx="143">
                  <c:v>-3.5616888418246399E-3</c:v>
                </c:pt>
                <c:pt idx="144">
                  <c:v>-1.74135377353111E-3</c:v>
                </c:pt>
                <c:pt idx="145">
                  <c:v>1.99275932366445E-3</c:v>
                </c:pt>
                <c:pt idx="146">
                  <c:v>2.3696469013482998E-3</c:v>
                </c:pt>
                <c:pt idx="147">
                  <c:v>3.9494260608666804E-3</c:v>
                </c:pt>
                <c:pt idx="148">
                  <c:v>4.7339376358386401E-4</c:v>
                </c:pt>
                <c:pt idx="149">
                  <c:v>2.9027737022995501E-3</c:v>
                </c:pt>
                <c:pt idx="150">
                  <c:v>5.50772689764796E-4</c:v>
                </c:pt>
                <c:pt idx="151">
                  <c:v>1.81556444336676E-3</c:v>
                </c:pt>
                <c:pt idx="152">
                  <c:v>2.82322401250368E-3</c:v>
                </c:pt>
                <c:pt idx="153">
                  <c:v>1.99650061613766E-3</c:v>
                </c:pt>
                <c:pt idx="154">
                  <c:v>4.5444371652536E-4</c:v>
                </c:pt>
                <c:pt idx="155">
                  <c:v>2.98069795194632E-3</c:v>
                </c:pt>
                <c:pt idx="156">
                  <c:v>1.51896967770413E-3</c:v>
                </c:pt>
                <c:pt idx="157">
                  <c:v>1.8164643828973699E-3</c:v>
                </c:pt>
                <c:pt idx="158">
                  <c:v>1.5760698041286799E-3</c:v>
                </c:pt>
                <c:pt idx="159">
                  <c:v>8.6387853647746098E-4</c:v>
                </c:pt>
                <c:pt idx="160">
                  <c:v>-4.8935751538358996E-3</c:v>
                </c:pt>
                <c:pt idx="161">
                  <c:v>-2.8489710836248701E-3</c:v>
                </c:pt>
                <c:pt idx="162">
                  <c:v>-4.9211285662713903E-3</c:v>
                </c:pt>
                <c:pt idx="163">
                  <c:v>-5.2031438089749499E-3</c:v>
                </c:pt>
                <c:pt idx="164">
                  <c:v>-4.7425973724037904E-3</c:v>
                </c:pt>
                <c:pt idx="165">
                  <c:v>-3.8046369078066798E-3</c:v>
                </c:pt>
                <c:pt idx="166">
                  <c:v>9.6614998996745706E-6</c:v>
                </c:pt>
                <c:pt idx="167">
                  <c:v>1.3203129509292001E-3</c:v>
                </c:pt>
                <c:pt idx="168">
                  <c:v>2.2530733332861499E-3</c:v>
                </c:pt>
                <c:pt idx="169">
                  <c:v>1.38060858892847E-3</c:v>
                </c:pt>
                <c:pt idx="170">
                  <c:v>-5.2466912507812902E-4</c:v>
                </c:pt>
                <c:pt idx="171">
                  <c:v>1.91523019020524E-3</c:v>
                </c:pt>
                <c:pt idx="172">
                  <c:v>3.5087372167355202E-3</c:v>
                </c:pt>
                <c:pt idx="173">
                  <c:v>2.6924067758088102E-4</c:v>
                </c:pt>
                <c:pt idx="174">
                  <c:v>-8.5859810976650895E-4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BC-4761-B5E6-CEF747E62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69287584"/>
        <c:axId val="205412432"/>
      </c:lineChart>
      <c:catAx>
        <c:axId val="166928758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412432"/>
        <c:crosses val="autoZero"/>
        <c:auto val="1"/>
        <c:lblAlgn val="ctr"/>
        <c:lblOffset val="100"/>
        <c:noMultiLvlLbl val="0"/>
      </c:catAx>
      <c:valAx>
        <c:axId val="205412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2875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Sheet1!$AR$22:$AR$176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7.727940879458902E-4</c:v>
                </c:pt>
                <c:pt idx="12">
                  <c:v>3.8602169867268818E-4</c:v>
                </c:pt>
                <c:pt idx="13">
                  <c:v>7.7099897173904834E-4</c:v>
                </c:pt>
                <c:pt idx="14">
                  <c:v>7.7099897173904834E-4</c:v>
                </c:pt>
                <c:pt idx="15">
                  <c:v>1.5458924626637353E-3</c:v>
                </c:pt>
                <c:pt idx="16">
                  <c:v>1.1598770633593635E-3</c:v>
                </c:pt>
                <c:pt idx="17">
                  <c:v>1.1568630860395914E-3</c:v>
                </c:pt>
                <c:pt idx="18">
                  <c:v>-1.3097593325763629E-5</c:v>
                </c:pt>
                <c:pt idx="19">
                  <c:v>-1.3097593325763629E-5</c:v>
                </c:pt>
                <c:pt idx="20">
                  <c:v>-1.3097593325763629E-5</c:v>
                </c:pt>
                <c:pt idx="21">
                  <c:v>-1.3097593325763629E-5</c:v>
                </c:pt>
                <c:pt idx="22">
                  <c:v>3.8234591180511587E-4</c:v>
                </c:pt>
                <c:pt idx="23">
                  <c:v>1.1770108100917359E-3</c:v>
                </c:pt>
                <c:pt idx="24">
                  <c:v>1.1770108100917359E-3</c:v>
                </c:pt>
                <c:pt idx="25">
                  <c:v>1.1770108100917359E-3</c:v>
                </c:pt>
                <c:pt idx="26">
                  <c:v>1.1770108100917359E-3</c:v>
                </c:pt>
                <c:pt idx="27">
                  <c:v>1.1770108100917359E-3</c:v>
                </c:pt>
                <c:pt idx="28">
                  <c:v>1.1770108100917359E-3</c:v>
                </c:pt>
                <c:pt idx="29">
                  <c:v>2.7624253316321456E-3</c:v>
                </c:pt>
                <c:pt idx="30">
                  <c:v>2.7624253316321456E-3</c:v>
                </c:pt>
                <c:pt idx="31">
                  <c:v>2.7624253316321456E-3</c:v>
                </c:pt>
                <c:pt idx="32">
                  <c:v>2.7624253316321456E-3</c:v>
                </c:pt>
                <c:pt idx="33">
                  <c:v>2.7624253316321456E-3</c:v>
                </c:pt>
                <c:pt idx="34">
                  <c:v>2.7624253316321456E-3</c:v>
                </c:pt>
                <c:pt idx="35">
                  <c:v>2.7624253316321456E-3</c:v>
                </c:pt>
                <c:pt idx="36">
                  <c:v>2.7624253316321456E-3</c:v>
                </c:pt>
                <c:pt idx="37">
                  <c:v>2.7624253316321456E-3</c:v>
                </c:pt>
                <c:pt idx="38">
                  <c:v>2.7624253316321456E-3</c:v>
                </c:pt>
                <c:pt idx="39">
                  <c:v>3.9784655304678559E-3</c:v>
                </c:pt>
                <c:pt idx="40">
                  <c:v>5.6155853074185552E-3</c:v>
                </c:pt>
                <c:pt idx="41">
                  <c:v>5.6155853074185552E-3</c:v>
                </c:pt>
                <c:pt idx="42">
                  <c:v>5.6155853074185552E-3</c:v>
                </c:pt>
                <c:pt idx="43">
                  <c:v>5.6155853074185552E-3</c:v>
                </c:pt>
                <c:pt idx="44">
                  <c:v>5.6155853074185552E-3</c:v>
                </c:pt>
                <c:pt idx="45">
                  <c:v>5.6155853074185552E-3</c:v>
                </c:pt>
                <c:pt idx="46">
                  <c:v>5.6155853074185552E-3</c:v>
                </c:pt>
                <c:pt idx="47">
                  <c:v>5.6155853074185552E-3</c:v>
                </c:pt>
                <c:pt idx="48">
                  <c:v>5.6155853074185552E-3</c:v>
                </c:pt>
                <c:pt idx="49">
                  <c:v>5.6155853074185552E-3</c:v>
                </c:pt>
                <c:pt idx="50">
                  <c:v>5.6155853074185552E-3</c:v>
                </c:pt>
                <c:pt idx="51">
                  <c:v>5.6155853074185552E-3</c:v>
                </c:pt>
                <c:pt idx="52">
                  <c:v>5.6155853074185552E-3</c:v>
                </c:pt>
                <c:pt idx="53">
                  <c:v>5.6155853074185552E-3</c:v>
                </c:pt>
                <c:pt idx="54">
                  <c:v>5.6155853074185552E-3</c:v>
                </c:pt>
                <c:pt idx="55">
                  <c:v>5.6155853074185552E-3</c:v>
                </c:pt>
                <c:pt idx="56">
                  <c:v>5.6155853074185552E-3</c:v>
                </c:pt>
                <c:pt idx="57">
                  <c:v>5.6155853074185552E-3</c:v>
                </c:pt>
                <c:pt idx="58">
                  <c:v>5.6155853074185552E-3</c:v>
                </c:pt>
                <c:pt idx="59">
                  <c:v>5.6155853074185552E-3</c:v>
                </c:pt>
                <c:pt idx="60">
                  <c:v>5.6155853074185552E-3</c:v>
                </c:pt>
                <c:pt idx="61">
                  <c:v>5.6155853074185552E-3</c:v>
                </c:pt>
                <c:pt idx="62">
                  <c:v>5.6155853074185552E-3</c:v>
                </c:pt>
                <c:pt idx="63">
                  <c:v>5.6155853074185552E-3</c:v>
                </c:pt>
                <c:pt idx="64">
                  <c:v>5.6155853074185552E-3</c:v>
                </c:pt>
                <c:pt idx="65">
                  <c:v>5.6155853074185552E-3</c:v>
                </c:pt>
                <c:pt idx="66">
                  <c:v>5.6155853074185552E-3</c:v>
                </c:pt>
                <c:pt idx="67">
                  <c:v>5.614346765096135E-3</c:v>
                </c:pt>
                <c:pt idx="68">
                  <c:v>6.0082787343228652E-3</c:v>
                </c:pt>
                <c:pt idx="69">
                  <c:v>6.0098293495837252E-3</c:v>
                </c:pt>
                <c:pt idx="70">
                  <c:v>6.4032970456674712E-3</c:v>
                </c:pt>
                <c:pt idx="71">
                  <c:v>6.4032970456674712E-3</c:v>
                </c:pt>
                <c:pt idx="72">
                  <c:v>6.4032970456674712E-3</c:v>
                </c:pt>
                <c:pt idx="73">
                  <c:v>6.4032970456674712E-3</c:v>
                </c:pt>
                <c:pt idx="74">
                  <c:v>6.4032970456674712E-3</c:v>
                </c:pt>
                <c:pt idx="75">
                  <c:v>6.4032970456674712E-3</c:v>
                </c:pt>
                <c:pt idx="76">
                  <c:v>6.4032970456674712E-3</c:v>
                </c:pt>
                <c:pt idx="77">
                  <c:v>8.3854582496586706E-3</c:v>
                </c:pt>
                <c:pt idx="78">
                  <c:v>8.3854582496586706E-3</c:v>
                </c:pt>
                <c:pt idx="79">
                  <c:v>8.3854582496586706E-3</c:v>
                </c:pt>
                <c:pt idx="80">
                  <c:v>8.3854582496586706E-3</c:v>
                </c:pt>
                <c:pt idx="81">
                  <c:v>8.3854582496586706E-3</c:v>
                </c:pt>
                <c:pt idx="82">
                  <c:v>8.3854582496586706E-3</c:v>
                </c:pt>
                <c:pt idx="83">
                  <c:v>8.3854582496586706E-3</c:v>
                </c:pt>
                <c:pt idx="84">
                  <c:v>8.3854582496586706E-3</c:v>
                </c:pt>
                <c:pt idx="85">
                  <c:v>8.3854582496586706E-3</c:v>
                </c:pt>
                <c:pt idx="86">
                  <c:v>8.3854582496586706E-3</c:v>
                </c:pt>
                <c:pt idx="87">
                  <c:v>8.3854582496586706E-3</c:v>
                </c:pt>
                <c:pt idx="88">
                  <c:v>8.3854582496586706E-3</c:v>
                </c:pt>
                <c:pt idx="89">
                  <c:v>8.3854582496586706E-3</c:v>
                </c:pt>
                <c:pt idx="90">
                  <c:v>8.3854582496586706E-3</c:v>
                </c:pt>
                <c:pt idx="91">
                  <c:v>8.3854582496586706E-3</c:v>
                </c:pt>
                <c:pt idx="92">
                  <c:v>8.3854582496586706E-3</c:v>
                </c:pt>
                <c:pt idx="93">
                  <c:v>8.3854582496586706E-3</c:v>
                </c:pt>
                <c:pt idx="94">
                  <c:v>8.3854582496586706E-3</c:v>
                </c:pt>
                <c:pt idx="95">
                  <c:v>9.5678825840869505E-3</c:v>
                </c:pt>
                <c:pt idx="96">
                  <c:v>9.5678825840869505E-3</c:v>
                </c:pt>
                <c:pt idx="97">
                  <c:v>1.035621530130338E-2</c:v>
                </c:pt>
                <c:pt idx="98">
                  <c:v>9.171450467893992E-3</c:v>
                </c:pt>
                <c:pt idx="99">
                  <c:v>9.1689498060001026E-3</c:v>
                </c:pt>
                <c:pt idx="100">
                  <c:v>9.5678825840870198E-3</c:v>
                </c:pt>
                <c:pt idx="101">
                  <c:v>1.036635416394613E-2</c:v>
                </c:pt>
                <c:pt idx="102">
                  <c:v>1.036635416394613E-2</c:v>
                </c:pt>
                <c:pt idx="103">
                  <c:v>1.036635416394613E-2</c:v>
                </c:pt>
                <c:pt idx="104">
                  <c:v>1.036822594273174E-2</c:v>
                </c:pt>
                <c:pt idx="105">
                  <c:v>1.0369158513367361E-2</c:v>
                </c:pt>
                <c:pt idx="106">
                  <c:v>1.1157180618763869E-2</c:v>
                </c:pt>
                <c:pt idx="107">
                  <c:v>1.1157180618763869E-2</c:v>
                </c:pt>
                <c:pt idx="108">
                  <c:v>1.1157180618763869E-2</c:v>
                </c:pt>
                <c:pt idx="109">
                  <c:v>1.1157180618763869E-2</c:v>
                </c:pt>
                <c:pt idx="110">
                  <c:v>1.1157180618763869E-2</c:v>
                </c:pt>
                <c:pt idx="111">
                  <c:v>1.1157180618763869E-2</c:v>
                </c:pt>
                <c:pt idx="112">
                  <c:v>1.1157180618763869E-2</c:v>
                </c:pt>
                <c:pt idx="113">
                  <c:v>1.1157180618763869E-2</c:v>
                </c:pt>
                <c:pt idx="114">
                  <c:v>1.1157180618763869E-2</c:v>
                </c:pt>
                <c:pt idx="115">
                  <c:v>1.1157180618763869E-2</c:v>
                </c:pt>
                <c:pt idx="116">
                  <c:v>1.1157180618763869E-2</c:v>
                </c:pt>
                <c:pt idx="117">
                  <c:v>1.1157180618763869E-2</c:v>
                </c:pt>
                <c:pt idx="118">
                  <c:v>1.1157180618763869E-2</c:v>
                </c:pt>
                <c:pt idx="119">
                  <c:v>1.2744482539336249E-2</c:v>
                </c:pt>
                <c:pt idx="120">
                  <c:v>1.2746702089994602E-2</c:v>
                </c:pt>
                <c:pt idx="121">
                  <c:v>1.1572568814476502E-2</c:v>
                </c:pt>
                <c:pt idx="122">
                  <c:v>1.3938360622273601E-2</c:v>
                </c:pt>
                <c:pt idx="123">
                  <c:v>1.3938360622273601E-2</c:v>
                </c:pt>
                <c:pt idx="124">
                  <c:v>1.3938360622273601E-2</c:v>
                </c:pt>
                <c:pt idx="125">
                  <c:v>1.3938360622273601E-2</c:v>
                </c:pt>
                <c:pt idx="126">
                  <c:v>1.3938360622273601E-2</c:v>
                </c:pt>
                <c:pt idx="127">
                  <c:v>1.3938360622273601E-2</c:v>
                </c:pt>
                <c:pt idx="128">
                  <c:v>1.3938360622273601E-2</c:v>
                </c:pt>
                <c:pt idx="129">
                  <c:v>1.6308497552335762E-2</c:v>
                </c:pt>
                <c:pt idx="130">
                  <c:v>1.6308497552335762E-2</c:v>
                </c:pt>
                <c:pt idx="131">
                  <c:v>1.7494346973390647E-2</c:v>
                </c:pt>
                <c:pt idx="132">
                  <c:v>1.8285173428208533E-2</c:v>
                </c:pt>
                <c:pt idx="133">
                  <c:v>1.8285173428208533E-2</c:v>
                </c:pt>
                <c:pt idx="134">
                  <c:v>1.8285173428208533E-2</c:v>
                </c:pt>
                <c:pt idx="135">
                  <c:v>2.0653907263759135E-2</c:v>
                </c:pt>
                <c:pt idx="136">
                  <c:v>2.0653907263759135E-2</c:v>
                </c:pt>
                <c:pt idx="137">
                  <c:v>2.0653907263759135E-2</c:v>
                </c:pt>
                <c:pt idx="138">
                  <c:v>2.0653907263759135E-2</c:v>
                </c:pt>
                <c:pt idx="139">
                  <c:v>2.0653907263759135E-2</c:v>
                </c:pt>
                <c:pt idx="140">
                  <c:v>2.0653907263759135E-2</c:v>
                </c:pt>
                <c:pt idx="141">
                  <c:v>2.0653907263759135E-2</c:v>
                </c:pt>
                <c:pt idx="142">
                  <c:v>2.0653907263759135E-2</c:v>
                </c:pt>
                <c:pt idx="143">
                  <c:v>2.0653907263759135E-2</c:v>
                </c:pt>
                <c:pt idx="144">
                  <c:v>2.0653907263759135E-2</c:v>
                </c:pt>
                <c:pt idx="145">
                  <c:v>2.0653907263759135E-2</c:v>
                </c:pt>
                <c:pt idx="146">
                  <c:v>2.0653907263759135E-2</c:v>
                </c:pt>
                <c:pt idx="147">
                  <c:v>2.184556654768639E-2</c:v>
                </c:pt>
                <c:pt idx="148">
                  <c:v>2.2640162580894397E-2</c:v>
                </c:pt>
                <c:pt idx="149">
                  <c:v>2.2640162580894397E-2</c:v>
                </c:pt>
                <c:pt idx="150">
                  <c:v>2.2640162580894397E-2</c:v>
                </c:pt>
                <c:pt idx="151">
                  <c:v>2.5020171637705625E-2</c:v>
                </c:pt>
                <c:pt idx="152">
                  <c:v>2.5020171637705625E-2</c:v>
                </c:pt>
                <c:pt idx="153">
                  <c:v>2.5020171637705625E-2</c:v>
                </c:pt>
                <c:pt idx="154">
                  <c:v>2.3811744857312685E-2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70-40D7-A948-40D3A5540C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Sheet1!$BC$22:$BC$176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1.54798792521498E-3</c:v>
                </c:pt>
                <c:pt idx="9">
                  <c:v>1.54798792521498E-3</c:v>
                </c:pt>
                <c:pt idx="10">
                  <c:v>1.54798792521498E-3</c:v>
                </c:pt>
                <c:pt idx="11">
                  <c:v>1.54798792521498E-3</c:v>
                </c:pt>
                <c:pt idx="12">
                  <c:v>1.54798792521498E-3</c:v>
                </c:pt>
                <c:pt idx="13">
                  <c:v>1.54798792521498E-3</c:v>
                </c:pt>
                <c:pt idx="14">
                  <c:v>1.54798792521498E-3</c:v>
                </c:pt>
                <c:pt idx="15">
                  <c:v>1.54798792521498E-3</c:v>
                </c:pt>
                <c:pt idx="16">
                  <c:v>1.54798792521498E-3</c:v>
                </c:pt>
                <c:pt idx="17">
                  <c:v>1.54798792521498E-3</c:v>
                </c:pt>
                <c:pt idx="18">
                  <c:v>1.54798792521498E-3</c:v>
                </c:pt>
                <c:pt idx="19">
                  <c:v>1.54798792521498E-3</c:v>
                </c:pt>
                <c:pt idx="20">
                  <c:v>1.54798792521498E-3</c:v>
                </c:pt>
                <c:pt idx="21">
                  <c:v>1.54798792521498E-3</c:v>
                </c:pt>
                <c:pt idx="22">
                  <c:v>1.54798792521498E-3</c:v>
                </c:pt>
                <c:pt idx="23">
                  <c:v>1.54798792521498E-3</c:v>
                </c:pt>
                <c:pt idx="24">
                  <c:v>1.54798792521498E-3</c:v>
                </c:pt>
                <c:pt idx="25">
                  <c:v>1.54798792521498E-3</c:v>
                </c:pt>
                <c:pt idx="26">
                  <c:v>1.54798792521498E-3</c:v>
                </c:pt>
                <c:pt idx="27">
                  <c:v>1.54798792521498E-3</c:v>
                </c:pt>
                <c:pt idx="28">
                  <c:v>1.54798792521498E-3</c:v>
                </c:pt>
                <c:pt idx="29">
                  <c:v>1.54798792521498E-3</c:v>
                </c:pt>
                <c:pt idx="30">
                  <c:v>1.54798792521498E-3</c:v>
                </c:pt>
                <c:pt idx="31">
                  <c:v>1.9328396708794601E-3</c:v>
                </c:pt>
                <c:pt idx="32">
                  <c:v>3.1243346230612201E-3</c:v>
                </c:pt>
                <c:pt idx="33">
                  <c:v>3.1243346230612201E-3</c:v>
                </c:pt>
                <c:pt idx="34">
                  <c:v>3.1243346230612201E-3</c:v>
                </c:pt>
                <c:pt idx="35">
                  <c:v>3.9322539892688501E-3</c:v>
                </c:pt>
                <c:pt idx="36">
                  <c:v>5.1129666800380797E-3</c:v>
                </c:pt>
                <c:pt idx="37">
                  <c:v>5.1129666800380797E-3</c:v>
                </c:pt>
                <c:pt idx="38">
                  <c:v>5.1129666800380797E-3</c:v>
                </c:pt>
                <c:pt idx="39">
                  <c:v>5.1129666800380797E-3</c:v>
                </c:pt>
                <c:pt idx="40">
                  <c:v>5.1129666800380797E-3</c:v>
                </c:pt>
                <c:pt idx="41">
                  <c:v>5.1129666800380797E-3</c:v>
                </c:pt>
                <c:pt idx="42">
                  <c:v>5.5122254111977095E-3</c:v>
                </c:pt>
                <c:pt idx="43">
                  <c:v>5.5176977331702695E-3</c:v>
                </c:pt>
                <c:pt idx="44">
                  <c:v>4.3349654841208793E-3</c:v>
                </c:pt>
                <c:pt idx="45">
                  <c:v>5.1400121364572494E-3</c:v>
                </c:pt>
                <c:pt idx="46">
                  <c:v>6.3162529478759197E-3</c:v>
                </c:pt>
                <c:pt idx="47">
                  <c:v>6.3162529478759197E-3</c:v>
                </c:pt>
                <c:pt idx="48">
                  <c:v>6.3162529478759197E-3</c:v>
                </c:pt>
                <c:pt idx="49">
                  <c:v>6.3162529478759197E-3</c:v>
                </c:pt>
                <c:pt idx="50">
                  <c:v>6.3162529478759197E-3</c:v>
                </c:pt>
                <c:pt idx="51">
                  <c:v>6.3162529478759197E-3</c:v>
                </c:pt>
                <c:pt idx="52">
                  <c:v>6.3162529478759197E-3</c:v>
                </c:pt>
                <c:pt idx="53">
                  <c:v>6.3162529478759197E-3</c:v>
                </c:pt>
                <c:pt idx="54">
                  <c:v>6.3162529478759197E-3</c:v>
                </c:pt>
                <c:pt idx="55">
                  <c:v>7.489262775869851E-3</c:v>
                </c:pt>
                <c:pt idx="56">
                  <c:v>7.8867319706979414E-3</c:v>
                </c:pt>
                <c:pt idx="57">
                  <c:v>7.8867319706979414E-3</c:v>
                </c:pt>
                <c:pt idx="58">
                  <c:v>7.8867319706979414E-3</c:v>
                </c:pt>
                <c:pt idx="59">
                  <c:v>7.8867319706979414E-3</c:v>
                </c:pt>
                <c:pt idx="60">
                  <c:v>7.8867319706979414E-3</c:v>
                </c:pt>
                <c:pt idx="61">
                  <c:v>7.8867319706979414E-3</c:v>
                </c:pt>
                <c:pt idx="62">
                  <c:v>7.8867319706979414E-3</c:v>
                </c:pt>
                <c:pt idx="63">
                  <c:v>7.8867319706979414E-3</c:v>
                </c:pt>
                <c:pt idx="64">
                  <c:v>7.8867319706979414E-3</c:v>
                </c:pt>
                <c:pt idx="65">
                  <c:v>7.8867319706979414E-3</c:v>
                </c:pt>
                <c:pt idx="66">
                  <c:v>7.8867319706979414E-3</c:v>
                </c:pt>
                <c:pt idx="67">
                  <c:v>7.8867319706979414E-3</c:v>
                </c:pt>
                <c:pt idx="68">
                  <c:v>7.8867319706979414E-3</c:v>
                </c:pt>
                <c:pt idx="69">
                  <c:v>7.8867319706979414E-3</c:v>
                </c:pt>
                <c:pt idx="70">
                  <c:v>7.8867319706979414E-3</c:v>
                </c:pt>
                <c:pt idx="71">
                  <c:v>7.8867319706979414E-3</c:v>
                </c:pt>
                <c:pt idx="72">
                  <c:v>7.8867319706979414E-3</c:v>
                </c:pt>
                <c:pt idx="73">
                  <c:v>7.8867319706979414E-3</c:v>
                </c:pt>
                <c:pt idx="74">
                  <c:v>7.8867319706979414E-3</c:v>
                </c:pt>
                <c:pt idx="75">
                  <c:v>7.8867319706979414E-3</c:v>
                </c:pt>
                <c:pt idx="76">
                  <c:v>7.8867319706979414E-3</c:v>
                </c:pt>
                <c:pt idx="77">
                  <c:v>7.8867319706979414E-3</c:v>
                </c:pt>
                <c:pt idx="78">
                  <c:v>8.6619872574113521E-3</c:v>
                </c:pt>
                <c:pt idx="79">
                  <c:v>8.6619872574113521E-3</c:v>
                </c:pt>
                <c:pt idx="80">
                  <c:v>8.6619872574113521E-3</c:v>
                </c:pt>
                <c:pt idx="81">
                  <c:v>8.6619872574113521E-3</c:v>
                </c:pt>
                <c:pt idx="82">
                  <c:v>8.6619872574113521E-3</c:v>
                </c:pt>
                <c:pt idx="83">
                  <c:v>8.6619872574113521E-3</c:v>
                </c:pt>
                <c:pt idx="84">
                  <c:v>8.6619872574113521E-3</c:v>
                </c:pt>
                <c:pt idx="85">
                  <c:v>8.6619872574113521E-3</c:v>
                </c:pt>
                <c:pt idx="86">
                  <c:v>8.6619872574113521E-3</c:v>
                </c:pt>
                <c:pt idx="87">
                  <c:v>9.4562647343120962E-3</c:v>
                </c:pt>
                <c:pt idx="88">
                  <c:v>8.6659084492967976E-3</c:v>
                </c:pt>
                <c:pt idx="89">
                  <c:v>1.0247873441356583E-2</c:v>
                </c:pt>
                <c:pt idx="90">
                  <c:v>1.0247873441356583E-2</c:v>
                </c:pt>
                <c:pt idx="91">
                  <c:v>1.0247873441356583E-2</c:v>
                </c:pt>
                <c:pt idx="92">
                  <c:v>1.0247873441356583E-2</c:v>
                </c:pt>
                <c:pt idx="93">
                  <c:v>1.0247873441356583E-2</c:v>
                </c:pt>
                <c:pt idx="94">
                  <c:v>1.0247873441356583E-2</c:v>
                </c:pt>
                <c:pt idx="95">
                  <c:v>1.0247873441356583E-2</c:v>
                </c:pt>
                <c:pt idx="96">
                  <c:v>1.0247873441356583E-2</c:v>
                </c:pt>
                <c:pt idx="97">
                  <c:v>1.0247873441356583E-2</c:v>
                </c:pt>
                <c:pt idx="98">
                  <c:v>1.0247873441356583E-2</c:v>
                </c:pt>
                <c:pt idx="99">
                  <c:v>1.0247873441356583E-2</c:v>
                </c:pt>
                <c:pt idx="100">
                  <c:v>1.0247873441356583E-2</c:v>
                </c:pt>
                <c:pt idx="101">
                  <c:v>1.0247873441356583E-2</c:v>
                </c:pt>
                <c:pt idx="102">
                  <c:v>1.0247873441356583E-2</c:v>
                </c:pt>
                <c:pt idx="103">
                  <c:v>1.0247873441356583E-2</c:v>
                </c:pt>
                <c:pt idx="104">
                  <c:v>1.0247873441356583E-2</c:v>
                </c:pt>
                <c:pt idx="105">
                  <c:v>1.0247873441356583E-2</c:v>
                </c:pt>
                <c:pt idx="106">
                  <c:v>1.0247873441356583E-2</c:v>
                </c:pt>
                <c:pt idx="107">
                  <c:v>1.0247873441356583E-2</c:v>
                </c:pt>
                <c:pt idx="108">
                  <c:v>1.420138772035185E-2</c:v>
                </c:pt>
                <c:pt idx="109">
                  <c:v>1.420138772035185E-2</c:v>
                </c:pt>
                <c:pt idx="110">
                  <c:v>1.420138772035185E-2</c:v>
                </c:pt>
                <c:pt idx="111">
                  <c:v>1.420138772035185E-2</c:v>
                </c:pt>
                <c:pt idx="112">
                  <c:v>1.855337497121436E-2</c:v>
                </c:pt>
                <c:pt idx="113">
                  <c:v>1.855337497121436E-2</c:v>
                </c:pt>
                <c:pt idx="114">
                  <c:v>1.855337497121436E-2</c:v>
                </c:pt>
                <c:pt idx="115">
                  <c:v>1.855337497121436E-2</c:v>
                </c:pt>
                <c:pt idx="116">
                  <c:v>1.855337497121436E-2</c:v>
                </c:pt>
                <c:pt idx="117">
                  <c:v>2.0938113780232481E-2</c:v>
                </c:pt>
                <c:pt idx="118">
                  <c:v>2.0938113780232481E-2</c:v>
                </c:pt>
                <c:pt idx="119">
                  <c:v>2.0938113780232481E-2</c:v>
                </c:pt>
                <c:pt idx="120">
                  <c:v>2.0938113780232481E-2</c:v>
                </c:pt>
                <c:pt idx="121">
                  <c:v>2.0938113780232481E-2</c:v>
                </c:pt>
                <c:pt idx="122">
                  <c:v>2.0938113780232481E-2</c:v>
                </c:pt>
                <c:pt idx="123">
                  <c:v>2.0938113780232481E-2</c:v>
                </c:pt>
                <c:pt idx="124">
                  <c:v>2.0938113780232481E-2</c:v>
                </c:pt>
                <c:pt idx="125">
                  <c:v>2.0938113780232481E-2</c:v>
                </c:pt>
                <c:pt idx="126">
                  <c:v>2.0938113780232481E-2</c:v>
                </c:pt>
                <c:pt idx="127">
                  <c:v>2.0938113780232481E-2</c:v>
                </c:pt>
                <c:pt idx="128">
                  <c:v>2.449300715087014E-2</c:v>
                </c:pt>
                <c:pt idx="129">
                  <c:v>2.449300715087014E-2</c:v>
                </c:pt>
                <c:pt idx="130">
                  <c:v>2.449300715087014E-2</c:v>
                </c:pt>
                <c:pt idx="131">
                  <c:v>2.449300715087014E-2</c:v>
                </c:pt>
                <c:pt idx="132">
                  <c:v>2.449300715087014E-2</c:v>
                </c:pt>
                <c:pt idx="133">
                  <c:v>2.449300715087014E-2</c:v>
                </c:pt>
                <c:pt idx="134">
                  <c:v>2.449300715087014E-2</c:v>
                </c:pt>
                <c:pt idx="135">
                  <c:v>2.449300715087014E-2</c:v>
                </c:pt>
                <c:pt idx="136">
                  <c:v>2.449300715087014E-2</c:v>
                </c:pt>
                <c:pt idx="137">
                  <c:v>2.449300715087014E-2</c:v>
                </c:pt>
                <c:pt idx="138">
                  <c:v>2.449300715087014E-2</c:v>
                </c:pt>
                <c:pt idx="139">
                  <c:v>2.449300715087014E-2</c:v>
                </c:pt>
                <c:pt idx="140">
                  <c:v>2.449300715087014E-2</c:v>
                </c:pt>
                <c:pt idx="141">
                  <c:v>2.449300715087014E-2</c:v>
                </c:pt>
                <c:pt idx="142">
                  <c:v>2.6464087572489782E-2</c:v>
                </c:pt>
                <c:pt idx="143">
                  <c:v>2.6464087572489782E-2</c:v>
                </c:pt>
                <c:pt idx="144">
                  <c:v>2.6464087572489782E-2</c:v>
                </c:pt>
                <c:pt idx="145">
                  <c:v>2.6464087572489782E-2</c:v>
                </c:pt>
                <c:pt idx="146">
                  <c:v>2.6464087572489782E-2</c:v>
                </c:pt>
                <c:pt idx="147">
                  <c:v>2.6464087572489782E-2</c:v>
                </c:pt>
                <c:pt idx="148">
                  <c:v>2.6464087572489782E-2</c:v>
                </c:pt>
                <c:pt idx="149">
                  <c:v>2.6464087572489782E-2</c:v>
                </c:pt>
                <c:pt idx="150">
                  <c:v>2.6464087572489782E-2</c:v>
                </c:pt>
                <c:pt idx="151">
                  <c:v>2.6464087572489782E-2</c:v>
                </c:pt>
                <c:pt idx="152">
                  <c:v>2.6464087572489782E-2</c:v>
                </c:pt>
                <c:pt idx="153">
                  <c:v>2.966377119721884E-2</c:v>
                </c:pt>
                <c:pt idx="154">
                  <c:v>2.966377119721884E-2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17-4D25-97E0-6BFC19D0FD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Sheet1!$BF$22:$BF$176</c:f>
              <c:numCache>
                <c:formatCode>0.00%</c:formatCode>
                <c:ptCount val="15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1.54798792521498E-3</c:v>
                </c:pt>
                <c:pt idx="9">
                  <c:v>1.54798792521498E-3</c:v>
                </c:pt>
                <c:pt idx="10">
                  <c:v>1.54798792521498E-3</c:v>
                </c:pt>
                <c:pt idx="11">
                  <c:v>2.3207820131608704E-3</c:v>
                </c:pt>
                <c:pt idx="12">
                  <c:v>1.9340096238876683E-3</c:v>
                </c:pt>
                <c:pt idx="13">
                  <c:v>2.3189868969540287E-3</c:v>
                </c:pt>
                <c:pt idx="14">
                  <c:v>2.3189868969540287E-3</c:v>
                </c:pt>
                <c:pt idx="15">
                  <c:v>3.0938803878787155E-3</c:v>
                </c:pt>
                <c:pt idx="16">
                  <c:v>2.7078649885743434E-3</c:v>
                </c:pt>
                <c:pt idx="17">
                  <c:v>2.7048510112545714E-3</c:v>
                </c:pt>
                <c:pt idx="18">
                  <c:v>1.5348903318892163E-3</c:v>
                </c:pt>
                <c:pt idx="19">
                  <c:v>1.5348903318892163E-3</c:v>
                </c:pt>
                <c:pt idx="20">
                  <c:v>1.5348903318892163E-3</c:v>
                </c:pt>
                <c:pt idx="21">
                  <c:v>1.5348903318892163E-3</c:v>
                </c:pt>
                <c:pt idx="22">
                  <c:v>1.9303338370200958E-3</c:v>
                </c:pt>
                <c:pt idx="23">
                  <c:v>2.7249987353067159E-3</c:v>
                </c:pt>
                <c:pt idx="24">
                  <c:v>2.7249987353067159E-3</c:v>
                </c:pt>
                <c:pt idx="25">
                  <c:v>2.7249987353067159E-3</c:v>
                </c:pt>
                <c:pt idx="26">
                  <c:v>2.7249987353067159E-3</c:v>
                </c:pt>
                <c:pt idx="27">
                  <c:v>2.7249987353067159E-3</c:v>
                </c:pt>
                <c:pt idx="28">
                  <c:v>2.7249987353067159E-3</c:v>
                </c:pt>
                <c:pt idx="29">
                  <c:v>4.310413256847126E-3</c:v>
                </c:pt>
                <c:pt idx="30">
                  <c:v>4.310413256847126E-3</c:v>
                </c:pt>
                <c:pt idx="31">
                  <c:v>4.6952650025116061E-3</c:v>
                </c:pt>
                <c:pt idx="32">
                  <c:v>5.8867599546933661E-3</c:v>
                </c:pt>
                <c:pt idx="33">
                  <c:v>5.8867599546933661E-3</c:v>
                </c:pt>
                <c:pt idx="34">
                  <c:v>5.8867599546933661E-3</c:v>
                </c:pt>
                <c:pt idx="35">
                  <c:v>6.6946793209009961E-3</c:v>
                </c:pt>
                <c:pt idx="36">
                  <c:v>7.8753920116702257E-3</c:v>
                </c:pt>
                <c:pt idx="37">
                  <c:v>7.8753920116702257E-3</c:v>
                </c:pt>
                <c:pt idx="38">
                  <c:v>7.8753920116702257E-3</c:v>
                </c:pt>
                <c:pt idx="39">
                  <c:v>9.0914322105059356E-3</c:v>
                </c:pt>
                <c:pt idx="40">
                  <c:v>1.0728551987456635E-2</c:v>
                </c:pt>
                <c:pt idx="41">
                  <c:v>1.0728551987456635E-2</c:v>
                </c:pt>
                <c:pt idx="42">
                  <c:v>1.1127810718616266E-2</c:v>
                </c:pt>
                <c:pt idx="43">
                  <c:v>1.1133283040588825E-2</c:v>
                </c:pt>
                <c:pt idx="44">
                  <c:v>9.9505507915394354E-3</c:v>
                </c:pt>
                <c:pt idx="45">
                  <c:v>1.0755597443875806E-2</c:v>
                </c:pt>
                <c:pt idx="46">
                  <c:v>1.1931838255294477E-2</c:v>
                </c:pt>
                <c:pt idx="47">
                  <c:v>1.1931838255294477E-2</c:v>
                </c:pt>
                <c:pt idx="48">
                  <c:v>1.1931838255294477E-2</c:v>
                </c:pt>
                <c:pt idx="49">
                  <c:v>1.1931838255294477E-2</c:v>
                </c:pt>
                <c:pt idx="50">
                  <c:v>1.1931838255294477E-2</c:v>
                </c:pt>
                <c:pt idx="51">
                  <c:v>1.1931838255294477E-2</c:v>
                </c:pt>
                <c:pt idx="52">
                  <c:v>1.1931838255294477E-2</c:v>
                </c:pt>
                <c:pt idx="53">
                  <c:v>1.1931838255294477E-2</c:v>
                </c:pt>
                <c:pt idx="54">
                  <c:v>1.1931838255294477E-2</c:v>
                </c:pt>
                <c:pt idx="55">
                  <c:v>1.3104848083288408E-2</c:v>
                </c:pt>
                <c:pt idx="56">
                  <c:v>1.3502317278116498E-2</c:v>
                </c:pt>
                <c:pt idx="57">
                  <c:v>1.3502317278116498E-2</c:v>
                </c:pt>
                <c:pt idx="58">
                  <c:v>1.3502317278116498E-2</c:v>
                </c:pt>
                <c:pt idx="59">
                  <c:v>1.3502317278116498E-2</c:v>
                </c:pt>
                <c:pt idx="60">
                  <c:v>1.3502317278116498E-2</c:v>
                </c:pt>
                <c:pt idx="61">
                  <c:v>1.3502317278116498E-2</c:v>
                </c:pt>
                <c:pt idx="62">
                  <c:v>1.3502317278116498E-2</c:v>
                </c:pt>
                <c:pt idx="63">
                  <c:v>1.3502317278116498E-2</c:v>
                </c:pt>
                <c:pt idx="64">
                  <c:v>1.3502317278116498E-2</c:v>
                </c:pt>
                <c:pt idx="65">
                  <c:v>1.3502317278116498E-2</c:v>
                </c:pt>
                <c:pt idx="66">
                  <c:v>1.3502317278116498E-2</c:v>
                </c:pt>
                <c:pt idx="67">
                  <c:v>1.3501078735794078E-2</c:v>
                </c:pt>
                <c:pt idx="68">
                  <c:v>1.3895010705020808E-2</c:v>
                </c:pt>
                <c:pt idx="69">
                  <c:v>1.3896561320281667E-2</c:v>
                </c:pt>
                <c:pt idx="70">
                  <c:v>1.4290029016365413E-2</c:v>
                </c:pt>
                <c:pt idx="71">
                  <c:v>1.4290029016365413E-2</c:v>
                </c:pt>
                <c:pt idx="72">
                  <c:v>1.4290029016365413E-2</c:v>
                </c:pt>
                <c:pt idx="73">
                  <c:v>1.4290029016365413E-2</c:v>
                </c:pt>
                <c:pt idx="74">
                  <c:v>1.4290029016365413E-2</c:v>
                </c:pt>
                <c:pt idx="75">
                  <c:v>1.4290029016365413E-2</c:v>
                </c:pt>
                <c:pt idx="76">
                  <c:v>1.4290029016365413E-2</c:v>
                </c:pt>
                <c:pt idx="77">
                  <c:v>1.6272190220356614E-2</c:v>
                </c:pt>
                <c:pt idx="78">
                  <c:v>1.7047445507070023E-2</c:v>
                </c:pt>
                <c:pt idx="79">
                  <c:v>1.7047445507070023E-2</c:v>
                </c:pt>
                <c:pt idx="80">
                  <c:v>1.7047445507070023E-2</c:v>
                </c:pt>
                <c:pt idx="81">
                  <c:v>1.7047445507070023E-2</c:v>
                </c:pt>
                <c:pt idx="82">
                  <c:v>1.7047445507070023E-2</c:v>
                </c:pt>
                <c:pt idx="83">
                  <c:v>1.7047445507070023E-2</c:v>
                </c:pt>
                <c:pt idx="84">
                  <c:v>1.7047445507070023E-2</c:v>
                </c:pt>
                <c:pt idx="85">
                  <c:v>1.7047445507070023E-2</c:v>
                </c:pt>
                <c:pt idx="86">
                  <c:v>1.7047445507070023E-2</c:v>
                </c:pt>
                <c:pt idx="87">
                  <c:v>1.7841722983970767E-2</c:v>
                </c:pt>
                <c:pt idx="88">
                  <c:v>1.7051366698955468E-2</c:v>
                </c:pt>
                <c:pt idx="89">
                  <c:v>1.8633331691015255E-2</c:v>
                </c:pt>
                <c:pt idx="90">
                  <c:v>1.8633331691015255E-2</c:v>
                </c:pt>
                <c:pt idx="91">
                  <c:v>1.8633331691015255E-2</c:v>
                </c:pt>
                <c:pt idx="92">
                  <c:v>1.8633331691015255E-2</c:v>
                </c:pt>
                <c:pt idx="93">
                  <c:v>1.8633331691015255E-2</c:v>
                </c:pt>
                <c:pt idx="94">
                  <c:v>1.8633331691015255E-2</c:v>
                </c:pt>
                <c:pt idx="95">
                  <c:v>1.9815756025443533E-2</c:v>
                </c:pt>
                <c:pt idx="96">
                  <c:v>1.9815756025443533E-2</c:v>
                </c:pt>
                <c:pt idx="97">
                  <c:v>2.0604088742659961E-2</c:v>
                </c:pt>
                <c:pt idx="98">
                  <c:v>1.9419323909250573E-2</c:v>
                </c:pt>
                <c:pt idx="99">
                  <c:v>1.9416823247356683E-2</c:v>
                </c:pt>
                <c:pt idx="100">
                  <c:v>1.9815756025443599E-2</c:v>
                </c:pt>
                <c:pt idx="101">
                  <c:v>2.061422760530271E-2</c:v>
                </c:pt>
                <c:pt idx="102">
                  <c:v>2.061422760530271E-2</c:v>
                </c:pt>
                <c:pt idx="103">
                  <c:v>2.061422760530271E-2</c:v>
                </c:pt>
                <c:pt idx="104">
                  <c:v>2.0616099384088319E-2</c:v>
                </c:pt>
                <c:pt idx="105">
                  <c:v>2.061703195472394E-2</c:v>
                </c:pt>
                <c:pt idx="106">
                  <c:v>2.1405054060120447E-2</c:v>
                </c:pt>
                <c:pt idx="107">
                  <c:v>2.1405054060120447E-2</c:v>
                </c:pt>
                <c:pt idx="108">
                  <c:v>2.5358568339115716E-2</c:v>
                </c:pt>
                <c:pt idx="109">
                  <c:v>2.5358568339115716E-2</c:v>
                </c:pt>
                <c:pt idx="110">
                  <c:v>2.5358568339115716E-2</c:v>
                </c:pt>
                <c:pt idx="111">
                  <c:v>2.5358568339115716E-2</c:v>
                </c:pt>
                <c:pt idx="112">
                  <c:v>2.9710555589978226E-2</c:v>
                </c:pt>
                <c:pt idx="113">
                  <c:v>2.9710555589978226E-2</c:v>
                </c:pt>
                <c:pt idx="114">
                  <c:v>2.9710555589978226E-2</c:v>
                </c:pt>
                <c:pt idx="115">
                  <c:v>2.9710555589978226E-2</c:v>
                </c:pt>
                <c:pt idx="116">
                  <c:v>2.9710555589978226E-2</c:v>
                </c:pt>
                <c:pt idx="117">
                  <c:v>3.2095294398996346E-2</c:v>
                </c:pt>
                <c:pt idx="118">
                  <c:v>3.2095294398996346E-2</c:v>
                </c:pt>
                <c:pt idx="119">
                  <c:v>3.3682596319568728E-2</c:v>
                </c:pt>
                <c:pt idx="120">
                  <c:v>3.3684815870227085E-2</c:v>
                </c:pt>
                <c:pt idx="121">
                  <c:v>3.2510682594708983E-2</c:v>
                </c:pt>
                <c:pt idx="122">
                  <c:v>3.4876474402506082E-2</c:v>
                </c:pt>
                <c:pt idx="123">
                  <c:v>3.4876474402506082E-2</c:v>
                </c:pt>
                <c:pt idx="124">
                  <c:v>3.4876474402506082E-2</c:v>
                </c:pt>
                <c:pt idx="125">
                  <c:v>3.4876474402506082E-2</c:v>
                </c:pt>
                <c:pt idx="126">
                  <c:v>3.4876474402506082E-2</c:v>
                </c:pt>
                <c:pt idx="127">
                  <c:v>3.4876474402506082E-2</c:v>
                </c:pt>
                <c:pt idx="128">
                  <c:v>3.8431367773143744E-2</c:v>
                </c:pt>
                <c:pt idx="129">
                  <c:v>4.0801504703205906E-2</c:v>
                </c:pt>
                <c:pt idx="130">
                  <c:v>4.0801504703205906E-2</c:v>
                </c:pt>
                <c:pt idx="131">
                  <c:v>4.1987354124260787E-2</c:v>
                </c:pt>
                <c:pt idx="132">
                  <c:v>4.2778180579078673E-2</c:v>
                </c:pt>
                <c:pt idx="133">
                  <c:v>4.2778180579078673E-2</c:v>
                </c:pt>
                <c:pt idx="134">
                  <c:v>4.2778180579078673E-2</c:v>
                </c:pt>
                <c:pt idx="135">
                  <c:v>4.5146914414629272E-2</c:v>
                </c:pt>
                <c:pt idx="136">
                  <c:v>4.5146914414629272E-2</c:v>
                </c:pt>
                <c:pt idx="137">
                  <c:v>4.5146914414629272E-2</c:v>
                </c:pt>
                <c:pt idx="138">
                  <c:v>4.5146914414629272E-2</c:v>
                </c:pt>
                <c:pt idx="139">
                  <c:v>4.5146914414629272E-2</c:v>
                </c:pt>
                <c:pt idx="140">
                  <c:v>4.5146914414629272E-2</c:v>
                </c:pt>
                <c:pt idx="141">
                  <c:v>4.5146914414629272E-2</c:v>
                </c:pt>
                <c:pt idx="142">
                  <c:v>4.7117994836248914E-2</c:v>
                </c:pt>
                <c:pt idx="143">
                  <c:v>4.7117994836248914E-2</c:v>
                </c:pt>
                <c:pt idx="144">
                  <c:v>4.7117994836248914E-2</c:v>
                </c:pt>
                <c:pt idx="145">
                  <c:v>4.7117994836248914E-2</c:v>
                </c:pt>
                <c:pt idx="146">
                  <c:v>4.7117994836248914E-2</c:v>
                </c:pt>
                <c:pt idx="147">
                  <c:v>4.8309654120176168E-2</c:v>
                </c:pt>
                <c:pt idx="148">
                  <c:v>4.9104250153384175E-2</c:v>
                </c:pt>
                <c:pt idx="149">
                  <c:v>4.9104250153384175E-2</c:v>
                </c:pt>
                <c:pt idx="150">
                  <c:v>4.9104250153384175E-2</c:v>
                </c:pt>
                <c:pt idx="151">
                  <c:v>5.1484259210195407E-2</c:v>
                </c:pt>
                <c:pt idx="152">
                  <c:v>5.1484259210195407E-2</c:v>
                </c:pt>
                <c:pt idx="153">
                  <c:v>5.4683942834924469E-2</c:v>
                </c:pt>
                <c:pt idx="154">
                  <c:v>5.3475516054531526E-2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0E-4CBB-B1D8-41A20EADC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88199296"/>
        <c:axId val="1284373136"/>
      </c:lineChart>
      <c:catAx>
        <c:axId val="128819929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4373136"/>
        <c:crosses val="autoZero"/>
        <c:auto val="1"/>
        <c:lblAlgn val="ctr"/>
        <c:lblOffset val="100"/>
        <c:noMultiLvlLbl val="0"/>
      </c:catAx>
      <c:valAx>
        <c:axId val="1284373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81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60</xdr:col>
      <xdr:colOff>9524</xdr:colOff>
      <xdr:row>1</xdr:row>
      <xdr:rowOff>0</xdr:rowOff>
    </xdr:from>
    <xdr:to>
      <xdr:col>67</xdr:col>
      <xdr:colOff>342899</xdr:colOff>
      <xdr:row>15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149FD2-8812-4168-B025-214D7944542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68</xdr:col>
      <xdr:colOff>0</xdr:colOff>
      <xdr:row>18</xdr:row>
      <xdr:rowOff>0</xdr:rowOff>
    </xdr:from>
    <xdr:to>
      <xdr:col>75</xdr:col>
      <xdr:colOff>304800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7ABC2F3-1F10-4E0D-9A92-B32222594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68</xdr:col>
      <xdr:colOff>0</xdr:colOff>
      <xdr:row>1</xdr:row>
      <xdr:rowOff>0</xdr:rowOff>
    </xdr:from>
    <xdr:to>
      <xdr:col>75</xdr:col>
      <xdr:colOff>304800</xdr:colOff>
      <xdr:row>15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4AFC5A4-5859-438A-9602-6AD03E92F2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60</xdr:col>
      <xdr:colOff>9524</xdr:colOff>
      <xdr:row>18</xdr:row>
      <xdr:rowOff>114300</xdr:rowOff>
    </xdr:from>
    <xdr:to>
      <xdr:col>67</xdr:col>
      <xdr:colOff>342899</xdr:colOff>
      <xdr:row>33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608909E-DF32-4A79-BE1E-13ED4980AB9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76</xdr:col>
      <xdr:colOff>0</xdr:colOff>
      <xdr:row>1</xdr:row>
      <xdr:rowOff>0</xdr:rowOff>
    </xdr:from>
    <xdr:to>
      <xdr:col>85</xdr:col>
      <xdr:colOff>304800</xdr:colOff>
      <xdr:row>15</xdr:row>
      <xdr:rowOff>38100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36200EDE-6C1A-41AA-8559-5D06EA50F8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75</xdr:col>
      <xdr:colOff>609599</xdr:colOff>
      <xdr:row>18</xdr:row>
      <xdr:rowOff>0</xdr:rowOff>
    </xdr:from>
    <xdr:to>
      <xdr:col>85</xdr:col>
      <xdr:colOff>304799</xdr:colOff>
      <xdr:row>32</xdr:row>
      <xdr:rowOff>76200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9107E9A-DB4F-42FE-A117-A5534F66EC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76</xdr:col>
      <xdr:colOff>0</xdr:colOff>
      <xdr:row>35</xdr:row>
      <xdr:rowOff>0</xdr:rowOff>
    </xdr:from>
    <xdr:to>
      <xdr:col>85</xdr:col>
      <xdr:colOff>304800</xdr:colOff>
      <xdr:row>49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BE6F5450-6243-4CE4-9A55-F9F616C12E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icha\git-projects\backtesting\backtests\BSCS_IBDT_2.xlsx" TargetMode="External"/><Relationship Id="rId1" Type="http://schemas.openxmlformats.org/officeDocument/2006/relationships/externalLinkPath" Target="BSCS_IBDT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O1" t="str">
            <v>IBDT/BSCS avg</v>
          </cell>
          <cell r="P1" t="str">
            <v>IBDT/BSCS 10 dma</v>
          </cell>
          <cell r="Q1" t="str">
            <v>IBDT/BSCS 20 dma</v>
          </cell>
          <cell r="U1" t="str">
            <v>log diff BSCS x avg / IBDT</v>
          </cell>
          <cell r="V1" t="str">
            <v>log diff BSCS x 10 dma / IBDT</v>
          </cell>
          <cell r="W1" t="str">
            <v>log diff BSCS x 20 dma / IBDT</v>
          </cell>
          <cell r="Y1" t="str">
            <v>IBDT*/BSCS* avg</v>
          </cell>
          <cell r="Z1" t="str">
            <v>IBDT*/BSCS* 10 dma</v>
          </cell>
          <cell r="AA1" t="str">
            <v>IBDT*/BSCS* 20 dma</v>
          </cell>
          <cell r="AF1" t="str">
            <v>log diff BSCS* x 10 dma / IBDT*</v>
          </cell>
          <cell r="AG1" t="str">
            <v>log diff BSCS* x 20 dma / IBDT*</v>
          </cell>
        </row>
        <row r="2">
          <cell r="O2">
            <v>1.2371344131525399</v>
          </cell>
          <cell r="Y2">
            <v>1.2358474847357901</v>
          </cell>
        </row>
        <row r="3">
          <cell r="O3">
            <v>1.2371344131525399</v>
          </cell>
          <cell r="U3">
            <v>1.5579376968590901E-3</v>
          </cell>
          <cell r="Y3">
            <v>1.2358474847357901</v>
          </cell>
        </row>
        <row r="4">
          <cell r="O4">
            <v>1.2371344131525399</v>
          </cell>
          <cell r="U4">
            <v>1.1653959842618899E-3</v>
          </cell>
          <cell r="Y4">
            <v>1.2358474847357901</v>
          </cell>
        </row>
        <row r="5">
          <cell r="O5">
            <v>1.2371344131525399</v>
          </cell>
          <cell r="U5">
            <v>1.9506335589641701E-3</v>
          </cell>
          <cell r="Y5">
            <v>1.2358474847357901</v>
          </cell>
        </row>
        <row r="6">
          <cell r="O6">
            <v>1.2371344131525399</v>
          </cell>
          <cell r="U6">
            <v>1.37308089841439E-3</v>
          </cell>
          <cell r="Y6">
            <v>1.2358474847357901</v>
          </cell>
        </row>
        <row r="7">
          <cell r="O7">
            <v>1.2371344131525399</v>
          </cell>
          <cell r="U7">
            <v>1.2805306671871599E-3</v>
          </cell>
          <cell r="Y7">
            <v>1.2358474847357901</v>
          </cell>
        </row>
        <row r="8">
          <cell r="O8">
            <v>1.2371344131525399</v>
          </cell>
          <cell r="U8">
            <v>8.8752614257695103E-4</v>
          </cell>
          <cell r="Y8">
            <v>1.2358474847357901</v>
          </cell>
        </row>
        <row r="9">
          <cell r="O9">
            <v>1.2371344131525399</v>
          </cell>
          <cell r="U9">
            <v>1.0728540104126801E-3</v>
          </cell>
          <cell r="Y9">
            <v>1.2358474847357901</v>
          </cell>
        </row>
        <row r="10">
          <cell r="O10">
            <v>1.2371344131525399</v>
          </cell>
          <cell r="U10">
            <v>1.5579376968590901E-3</v>
          </cell>
          <cell r="Y10">
            <v>1.2358474847357901</v>
          </cell>
        </row>
        <row r="11">
          <cell r="O11">
            <v>1.2371344131525399</v>
          </cell>
          <cell r="P11">
            <v>1.23550266146885</v>
          </cell>
          <cell r="U11">
            <v>8.8752614257695103E-4</v>
          </cell>
          <cell r="Y11">
            <v>1.2358474847357901</v>
          </cell>
          <cell r="Z11">
            <v>1.23550266146885</v>
          </cell>
        </row>
        <row r="12">
          <cell r="O12">
            <v>1.2371344131525399</v>
          </cell>
          <cell r="P12">
            <v>1.23550266146885</v>
          </cell>
          <cell r="U12">
            <v>1.4655498725178501E-3</v>
          </cell>
          <cell r="V12">
            <v>1.45702380690385E-4</v>
          </cell>
          <cell r="Y12">
            <v>1.2358474847357901</v>
          </cell>
          <cell r="Z12">
            <v>1.23550266146885</v>
          </cell>
          <cell r="AF12">
            <v>1.45702380690385E-4</v>
          </cell>
        </row>
        <row r="13">
          <cell r="O13">
            <v>1.2371344131525399</v>
          </cell>
          <cell r="P13">
            <v>1.23594673730024</v>
          </cell>
          <cell r="U13">
            <v>-2.0307638662788799E-3</v>
          </cell>
          <cell r="V13">
            <v>-3.3506113581065E-3</v>
          </cell>
          <cell r="Y13">
            <v>1.2358474847357901</v>
          </cell>
          <cell r="Z13">
            <v>1.2354978560362699</v>
          </cell>
          <cell r="AF13">
            <v>2.7699477791069303E-4</v>
          </cell>
        </row>
        <row r="14">
          <cell r="O14">
            <v>1.2371344131525399</v>
          </cell>
          <cell r="P14">
            <v>1.23647670555787</v>
          </cell>
          <cell r="U14">
            <v>-3.1142657882012401E-3</v>
          </cell>
          <cell r="V14">
            <v>-4.0747485797849601E-3</v>
          </cell>
          <cell r="Y14">
            <v>1.2358474847357901</v>
          </cell>
          <cell r="Z14">
            <v>1.2355786743877899</v>
          </cell>
          <cell r="AF14">
            <v>-8.1215952695356305E-4</v>
          </cell>
        </row>
        <row r="15">
          <cell r="O15">
            <v>1.2371344131525399</v>
          </cell>
          <cell r="P15">
            <v>1.2370432780632501</v>
          </cell>
          <cell r="U15">
            <v>-2.62752934636979E-3</v>
          </cell>
          <cell r="V15">
            <v>-3.1593086589650201E-3</v>
          </cell>
          <cell r="Y15">
            <v>1.2358474847357901</v>
          </cell>
          <cell r="Z15">
            <v>1.23569653321928</v>
          </cell>
          <cell r="AF15">
            <v>-2.6177284072075502E-4</v>
          </cell>
        </row>
        <row r="16">
          <cell r="O16">
            <v>1.2371344131525399</v>
          </cell>
          <cell r="P16">
            <v>1.2375989071459701</v>
          </cell>
          <cell r="U16">
            <v>-3.1142657882012401E-3</v>
          </cell>
          <cell r="V16">
            <v>-3.18793478106207E-3</v>
          </cell>
          <cell r="Y16">
            <v>1.2358474847357901</v>
          </cell>
          <cell r="Z16">
            <v>1.2358030123958901</v>
          </cell>
          <cell r="AF16">
            <v>-6.5136506716179305E-4</v>
          </cell>
        </row>
        <row r="17">
          <cell r="O17">
            <v>1.2371344131525399</v>
          </cell>
          <cell r="P17">
            <v>1.23813137454032</v>
          </cell>
          <cell r="U17">
            <v>-3.0197631227262402E-3</v>
          </cell>
          <cell r="V17">
            <v>-2.6443739888115398E-3</v>
          </cell>
          <cell r="Y17">
            <v>1.2358474847357901</v>
          </cell>
          <cell r="Z17">
            <v>1.23588659008117</v>
          </cell>
          <cell r="AF17">
            <v>-4.7245796360962202E-4</v>
          </cell>
        </row>
        <row r="18">
          <cell r="O18">
            <v>1.2371344131525399</v>
          </cell>
          <cell r="P18">
            <v>1.23854324006401</v>
          </cell>
          <cell r="U18">
            <v>-2.43908038944373E-3</v>
          </cell>
          <cell r="V18">
            <v>-1.6335414880059599E-3</v>
          </cell>
          <cell r="Y18">
            <v>1.2358474847357901</v>
          </cell>
          <cell r="Z18">
            <v>1.2358502611037001</v>
          </cell>
          <cell r="AF18">
            <v>1.7233546126199599E-4</v>
          </cell>
        </row>
        <row r="19">
          <cell r="O19">
            <v>1.2371344131525399</v>
          </cell>
          <cell r="P19">
            <v>1.2389177504420801</v>
          </cell>
          <cell r="U19">
            <v>-1.95305364840602E-3</v>
          </cell>
          <cell r="V19">
            <v>-8.1491915685314299E-4</v>
          </cell>
          <cell r="Y19">
            <v>1.2358474847357901</v>
          </cell>
          <cell r="Z19">
            <v>1.23577701165166</v>
          </cell>
          <cell r="AF19">
            <v>6.2721061216547403E-4</v>
          </cell>
        </row>
        <row r="20">
          <cell r="O20">
            <v>1.2371344131525399</v>
          </cell>
          <cell r="P20">
            <v>1.2393405588736599</v>
          </cell>
          <cell r="U20">
            <v>-1.8591893374804299E-3</v>
          </cell>
          <cell r="V20">
            <v>-4.1872081736928101E-4</v>
          </cell>
          <cell r="Y20">
            <v>1.2358474847357901</v>
          </cell>
          <cell r="Z20">
            <v>1.23575231893903</v>
          </cell>
          <cell r="AF20">
            <v>6.6004829366683899E-4</v>
          </cell>
        </row>
        <row r="21">
          <cell r="O21">
            <v>1.2371344131525399</v>
          </cell>
          <cell r="P21">
            <v>1.23971745028574</v>
          </cell>
          <cell r="Q21">
            <v>1.23761005587729</v>
          </cell>
          <cell r="U21">
            <v>-2.1570267094470599E-3</v>
          </cell>
          <cell r="V21">
            <v>-3.7534401154702002E-4</v>
          </cell>
          <cell r="Y21">
            <v>1.2358474847357901</v>
          </cell>
          <cell r="Z21">
            <v>1.2356817924185699</v>
          </cell>
          <cell r="AA21">
            <v>1.2355922269437101</v>
          </cell>
          <cell r="AF21">
            <v>3.40476512893816E-4</v>
          </cell>
        </row>
        <row r="22">
          <cell r="O22">
            <v>1.2371344131525399</v>
          </cell>
          <cell r="P22">
            <v>1.23974030824193</v>
          </cell>
          <cell r="Q22">
            <v>1.2376214848553899</v>
          </cell>
          <cell r="U22">
            <v>1.2805306671871599E-3</v>
          </cell>
          <cell r="V22">
            <v>3.3662735472956801E-3</v>
          </cell>
          <cell r="W22">
            <v>1.6649281163499099E-3</v>
          </cell>
          <cell r="Y22">
            <v>1.2358474847357901</v>
          </cell>
          <cell r="Z22">
            <v>1.23571102127698</v>
          </cell>
          <cell r="AA22">
            <v>1.23560684137291</v>
          </cell>
          <cell r="AF22">
            <v>5.4097049536139297E-5</v>
          </cell>
          <cell r="AG22">
            <v>-1.83882145029226E-5</v>
          </cell>
          <cell r="AR22">
            <v>0</v>
          </cell>
          <cell r="BC22">
            <v>0</v>
          </cell>
          <cell r="BF22">
            <v>0</v>
          </cell>
        </row>
        <row r="23">
          <cell r="O23">
            <v>1.2371344131525399</v>
          </cell>
          <cell r="P23">
            <v>1.2393419483552099</v>
          </cell>
          <cell r="Q23">
            <v>1.2376443428277299</v>
          </cell>
          <cell r="U23">
            <v>1.18789907128589E-3</v>
          </cell>
          <cell r="V23">
            <v>3.2920798183878499E-3</v>
          </cell>
          <cell r="W23">
            <v>1.58153119437977E-3</v>
          </cell>
          <cell r="Y23">
            <v>1.2358474847357901</v>
          </cell>
          <cell r="Z23">
            <v>1.23576787529623</v>
          </cell>
          <cell r="AA23">
            <v>1.2356328656662501</v>
          </cell>
          <cell r="AF23">
            <v>-1.4566400194726E-5</v>
          </cell>
          <cell r="AG23">
            <v>-9.8877613821869495E-5</v>
          </cell>
          <cell r="AR23">
            <v>0</v>
          </cell>
          <cell r="BC23">
            <v>0</v>
          </cell>
          <cell r="BF23">
            <v>0</v>
          </cell>
        </row>
        <row r="24">
          <cell r="O24">
            <v>1.2371344131525399</v>
          </cell>
          <cell r="P24">
            <v>1.2388463210642899</v>
          </cell>
          <cell r="Q24">
            <v>1.23766151331108</v>
          </cell>
          <cell r="U24">
            <v>8.8752614257695103E-4</v>
          </cell>
          <cell r="V24">
            <v>2.6703299857194201E-3</v>
          </cell>
          <cell r="W24">
            <v>1.29962737075664E-3</v>
          </cell>
          <cell r="Y24">
            <v>1.2358474847357901</v>
          </cell>
          <cell r="Z24">
            <v>1.2357275934605301</v>
          </cell>
          <cell r="AA24">
            <v>1.2356531339241601</v>
          </cell>
          <cell r="AF24">
            <v>-2.6780676574755802E-4</v>
          </cell>
          <cell r="AG24">
            <v>-3.77064344153697E-4</v>
          </cell>
          <cell r="AR24">
            <v>0</v>
          </cell>
          <cell r="BC24">
            <v>0</v>
          </cell>
          <cell r="BF24">
            <v>0</v>
          </cell>
        </row>
        <row r="25">
          <cell r="O25">
            <v>1.2371344131525399</v>
          </cell>
          <cell r="P25">
            <v>1.2383767417693901</v>
          </cell>
          <cell r="Q25">
            <v>1.2377100099163201</v>
          </cell>
          <cell r="U25">
            <v>1.1653959842618899E-3</v>
          </cell>
          <cell r="V25">
            <v>2.5482081854054199E-3</v>
          </cell>
          <cell r="W25">
            <v>1.59137063604929E-3</v>
          </cell>
          <cell r="Y25">
            <v>1.2358474847357901</v>
          </cell>
          <cell r="Z25">
            <v>1.23571303821626</v>
          </cell>
          <cell r="AA25">
            <v>1.2357047857177701</v>
          </cell>
          <cell r="AF25">
            <v>-2.34771978753548E-5</v>
          </cell>
          <cell r="AG25">
            <v>-8.3734636618434301E-5</v>
          </cell>
          <cell r="AR25">
            <v>0</v>
          </cell>
          <cell r="BC25">
            <v>0</v>
          </cell>
          <cell r="BF25">
            <v>0</v>
          </cell>
        </row>
        <row r="26">
          <cell r="O26">
            <v>1.2371344131525399</v>
          </cell>
          <cell r="P26">
            <v>1.2378353487177001</v>
          </cell>
          <cell r="Q26">
            <v>1.23771712793184</v>
          </cell>
          <cell r="U26">
            <v>1.2578567945471201E-3</v>
          </cell>
          <cell r="V26">
            <v>2.2615515011308799E-3</v>
          </cell>
          <cell r="W26">
            <v>1.7230147404689799E-3</v>
          </cell>
          <cell r="Y26">
            <v>1.2358474847357901</v>
          </cell>
          <cell r="Z26">
            <v>1.23562714356938</v>
          </cell>
          <cell r="AA26">
            <v>1.23571507798264</v>
          </cell>
          <cell r="AF26">
            <v>5.6891618532355801E-5</v>
          </cell>
          <cell r="AG26">
            <v>5.02132670107245E-5</v>
          </cell>
          <cell r="AR26">
            <v>0</v>
          </cell>
          <cell r="BC26">
            <v>0</v>
          </cell>
          <cell r="BF26">
            <v>0</v>
          </cell>
        </row>
        <row r="27">
          <cell r="O27">
            <v>1.2371344131525399</v>
          </cell>
          <cell r="P27">
            <v>1.23735415592569</v>
          </cell>
          <cell r="Q27">
            <v>1.237742765233</v>
          </cell>
          <cell r="U27">
            <v>8.6562301819050795E-4</v>
          </cell>
          <cell r="V27">
            <v>1.4320425314316499E-3</v>
          </cell>
          <cell r="W27">
            <v>1.3365319033442E-3</v>
          </cell>
          <cell r="Y27">
            <v>1.2358474847357901</v>
          </cell>
          <cell r="Z27">
            <v>1.2356010143101199</v>
          </cell>
          <cell r="AA27">
            <v>1.2357438021956499</v>
          </cell>
          <cell r="AF27">
            <v>-4.0342153108595402E-4</v>
          </cell>
          <cell r="AG27">
            <v>-3.3225824781026898E-4</v>
          </cell>
          <cell r="AR27">
            <v>0</v>
          </cell>
          <cell r="BC27">
            <v>0</v>
          </cell>
          <cell r="BF27">
            <v>0</v>
          </cell>
        </row>
        <row r="28">
          <cell r="O28">
            <v>1.2371344131525399</v>
          </cell>
          <cell r="P28">
            <v>1.2368366613053099</v>
          </cell>
          <cell r="Q28">
            <v>1.2376899506846599</v>
          </cell>
          <cell r="U28">
            <v>1.74247032474855E-3</v>
          </cell>
          <cell r="V28">
            <v>1.9200769433207301E-3</v>
          </cell>
          <cell r="W28">
            <v>2.2340923721216998E-3</v>
          </cell>
          <cell r="Y28">
            <v>1.2358474847357901</v>
          </cell>
          <cell r="Z28">
            <v>1.23553827524096</v>
          </cell>
          <cell r="AA28">
            <v>1.23569426817233</v>
          </cell>
          <cell r="AF28">
            <v>4.4909985836431398E-4</v>
          </cell>
          <cell r="AG28">
            <v>5.6465466458250398E-4</v>
          </cell>
          <cell r="AR28">
            <v>0</v>
          </cell>
          <cell r="BC28">
            <v>0</v>
          </cell>
          <cell r="BF28">
            <v>0</v>
          </cell>
        </row>
        <row r="29">
          <cell r="O29">
            <v>1.2371344131525399</v>
          </cell>
          <cell r="P29">
            <v>1.2364392902524699</v>
          </cell>
          <cell r="Q29">
            <v>1.23767852034728</v>
          </cell>
          <cell r="U29">
            <v>1.2578567945471201E-3</v>
          </cell>
          <cell r="V29">
            <v>1.01714917129458E-3</v>
          </cell>
          <cell r="W29">
            <v>1.70680787937577E-3</v>
          </cell>
          <cell r="Y29">
            <v>1.2358474847357901</v>
          </cell>
          <cell r="Z29">
            <v>1.2355950125169299</v>
          </cell>
          <cell r="AA29">
            <v>1.2356860120842901</v>
          </cell>
          <cell r="AF29">
            <v>-8.4545211173387897E-5</v>
          </cell>
          <cell r="AG29">
            <v>4.1701856908027703E-5</v>
          </cell>
          <cell r="AR29">
            <v>0</v>
          </cell>
          <cell r="BC29">
            <v>0</v>
          </cell>
          <cell r="BF29">
            <v>0</v>
          </cell>
        </row>
        <row r="30">
          <cell r="O30">
            <v>1.2371344131525399</v>
          </cell>
          <cell r="P30">
            <v>1.2360421399085399</v>
          </cell>
          <cell r="Q30">
            <v>1.2376913493910999</v>
          </cell>
          <cell r="U30">
            <v>1.3502365483922601E-3</v>
          </cell>
          <cell r="V30">
            <v>7.8819716592796497E-4</v>
          </cell>
          <cell r="W30">
            <v>1.7899523718691601E-3</v>
          </cell>
          <cell r="Y30">
            <v>1.2358474847357901</v>
          </cell>
          <cell r="Z30">
            <v>1.2356517498611801</v>
          </cell>
          <cell r="AA30">
            <v>1.2357020344001</v>
          </cell>
          <cell r="AF30">
            <v>5.3441914206455599E-5</v>
          </cell>
          <cell r="AG30">
            <v>1.27087579351125E-4</v>
          </cell>
          <cell r="AR30">
            <v>0</v>
          </cell>
          <cell r="BC30">
            <v>0</v>
          </cell>
          <cell r="BF30">
            <v>0</v>
          </cell>
        </row>
        <row r="31">
          <cell r="O31">
            <v>1.2371344131525399</v>
          </cell>
          <cell r="P31">
            <v>1.2356336774229899</v>
          </cell>
          <cell r="Q31">
            <v>1.2376755638543699</v>
          </cell>
          <cell r="U31">
            <v>1.1429805375105799E-3</v>
          </cell>
          <cell r="V31">
            <v>2.59684669561714E-4</v>
          </cell>
          <cell r="W31">
            <v>1.59306171606809E-3</v>
          </cell>
          <cell r="Y31">
            <v>1.2358474847357901</v>
          </cell>
          <cell r="Z31">
            <v>1.2356969935443001</v>
          </cell>
          <cell r="AA31">
            <v>1.2356893929814401</v>
          </cell>
          <cell r="AF31">
            <v>-1.07089883378466E-4</v>
          </cell>
          <cell r="AG31">
            <v>-6.6395961487713506E-5</v>
          </cell>
          <cell r="AR31">
            <v>0</v>
          </cell>
          <cell r="BC31">
            <v>0</v>
          </cell>
          <cell r="BF31">
            <v>0</v>
          </cell>
        </row>
        <row r="32">
          <cell r="O32">
            <v>1.2371344131525399</v>
          </cell>
          <cell r="P32">
            <v>1.2356022709046399</v>
          </cell>
          <cell r="Q32">
            <v>1.23767128957328</v>
          </cell>
          <cell r="U32">
            <v>1.5347533143141099E-3</v>
          </cell>
          <cell r="V32">
            <v>3.2094283243088199E-4</v>
          </cell>
          <cell r="W32">
            <v>1.9720803943581301E-3</v>
          </cell>
          <cell r="Y32">
            <v>1.2358474847357901</v>
          </cell>
          <cell r="Z32">
            <v>1.23566567852885</v>
          </cell>
          <cell r="AA32">
            <v>1.2356883499029201</v>
          </cell>
          <cell r="AF32">
            <v>3.1986759044605901E-4</v>
          </cell>
          <cell r="AG32">
            <v>3.1371674094331198E-4</v>
          </cell>
          <cell r="AR32">
            <v>0</v>
          </cell>
          <cell r="BC32">
            <v>0</v>
          </cell>
          <cell r="BF32">
            <v>0</v>
          </cell>
        </row>
        <row r="33">
          <cell r="O33">
            <v>1.2371344131525399</v>
          </cell>
          <cell r="P33">
            <v>1.23555941874787</v>
          </cell>
          <cell r="Q33">
            <v>1.23745068355154</v>
          </cell>
          <cell r="U33">
            <v>1.5347533143141099E-3</v>
          </cell>
          <cell r="V33">
            <v>2.9552517178215701E-4</v>
          </cell>
          <cell r="W33">
            <v>1.9686269138235999E-3</v>
          </cell>
          <cell r="Y33">
            <v>1.2358474847357901</v>
          </cell>
          <cell r="Z33">
            <v>1.2356229561352301</v>
          </cell>
          <cell r="AA33">
            <v>1.2356954157157301</v>
          </cell>
          <cell r="AF33">
            <v>2.9452528370888198E-4</v>
          </cell>
          <cell r="AG33">
            <v>3.1287261379823702E-4</v>
          </cell>
          <cell r="AR33">
            <v>0</v>
          </cell>
          <cell r="BC33">
            <v>0</v>
          </cell>
          <cell r="BF33">
            <v>0</v>
          </cell>
        </row>
        <row r="34">
          <cell r="O34">
            <v>1.2371344131525399</v>
          </cell>
          <cell r="P34">
            <v>1.23553926274464</v>
          </cell>
          <cell r="Q34">
            <v>1.2371927919044601</v>
          </cell>
          <cell r="U34">
            <v>1.0506090298632901E-3</v>
          </cell>
          <cell r="V34">
            <v>-2.23300903787572E-4</v>
          </cell>
          <cell r="W34">
            <v>1.30622392154356E-3</v>
          </cell>
          <cell r="Y34">
            <v>1.2358474847357901</v>
          </cell>
          <cell r="Z34">
            <v>1.2356028547581801</v>
          </cell>
          <cell r="AA34">
            <v>1.23566522410936</v>
          </cell>
          <cell r="AF34">
            <v>-2.2245146186229399E-4</v>
          </cell>
          <cell r="AG34">
            <v>-1.6381103628962599E-4</v>
          </cell>
          <cell r="AR34">
            <v>0</v>
          </cell>
          <cell r="BC34">
            <v>0</v>
          </cell>
          <cell r="BF34">
            <v>0</v>
          </cell>
        </row>
        <row r="35">
          <cell r="O35">
            <v>1.2371344131525399</v>
          </cell>
          <cell r="P35">
            <v>1.2355420326378701</v>
          </cell>
          <cell r="Q35">
            <v>1.23695938720363</v>
          </cell>
          <cell r="U35">
            <v>1.1429805375105799E-3</v>
          </cell>
          <cell r="V35">
            <v>-1.47242790164321E-4</v>
          </cell>
          <cell r="W35">
            <v>1.1901681138462899E-3</v>
          </cell>
          <cell r="Y35">
            <v>1.2358474847357901</v>
          </cell>
          <cell r="Z35">
            <v>1.23560560251081</v>
          </cell>
          <cell r="AA35">
            <v>1.23565932036354</v>
          </cell>
          <cell r="AF35">
            <v>-1.46660960280617E-4</v>
          </cell>
          <cell r="AG35">
            <v>-9.6185375116831099E-5</v>
          </cell>
          <cell r="AR35">
            <v>0</v>
          </cell>
          <cell r="BC35">
            <v>0</v>
          </cell>
          <cell r="BF35">
            <v>0</v>
          </cell>
        </row>
        <row r="36">
          <cell r="O36">
            <v>1.2371344131525399</v>
          </cell>
          <cell r="P36">
            <v>1.2360734710552601</v>
          </cell>
          <cell r="Q36">
            <v>1.23695440988648</v>
          </cell>
          <cell r="U36">
            <v>-3.03404751060481E-3</v>
          </cell>
          <cell r="V36">
            <v>-4.3220289911680204E-3</v>
          </cell>
          <cell r="W36">
            <v>-3.17553442527002E-3</v>
          </cell>
          <cell r="Y36">
            <v>1.2358474847357901</v>
          </cell>
          <cell r="Z36">
            <v>1.2357005685881</v>
          </cell>
          <cell r="AA36">
            <v>1.2356638560787401</v>
          </cell>
          <cell r="AF36">
            <v>-7.9831535745572199E-4</v>
          </cell>
          <cell r="AG36">
            <v>-7.5484138407730795E-4</v>
          </cell>
          <cell r="AR36">
            <v>0</v>
          </cell>
          <cell r="BC36">
            <v>0</v>
          </cell>
          <cell r="BF36">
            <v>0</v>
          </cell>
        </row>
        <row r="37">
          <cell r="O37">
            <v>1.2371344131525399</v>
          </cell>
          <cell r="P37">
            <v>1.23651955074051</v>
          </cell>
          <cell r="Q37">
            <v>1.2369368533331</v>
          </cell>
          <cell r="U37">
            <v>-2.7367527480784502E-3</v>
          </cell>
          <cell r="V37">
            <v>-3.5947009772838798E-3</v>
          </cell>
          <cell r="W37">
            <v>-2.8822635031489599E-3</v>
          </cell>
          <cell r="Y37">
            <v>1.2358474847357901</v>
          </cell>
          <cell r="Z37">
            <v>1.2357104050985901</v>
          </cell>
          <cell r="AA37">
            <v>1.2356557097043499</v>
          </cell>
          <cell r="AF37">
            <v>-4.2357217378522199E-4</v>
          </cell>
          <cell r="AG37">
            <v>-4.53282490075833E-4</v>
          </cell>
          <cell r="AR37">
            <v>0</v>
          </cell>
          <cell r="BC37">
            <v>0</v>
          </cell>
          <cell r="BF37">
            <v>0</v>
          </cell>
        </row>
        <row r="38">
          <cell r="O38">
            <v>1.2371344131525399</v>
          </cell>
          <cell r="P38">
            <v>1.2371225577240299</v>
          </cell>
          <cell r="Q38">
            <v>1.2369796095146699</v>
          </cell>
          <cell r="U38">
            <v>-3.1283720990791502E-3</v>
          </cell>
          <cell r="V38">
            <v>-3.6255009891072998E-3</v>
          </cell>
          <cell r="W38">
            <v>-3.2880763263071901E-3</v>
          </cell>
          <cell r="Y38">
            <v>1.2358474847357901</v>
          </cell>
          <cell r="Z38">
            <v>1.23587643652955</v>
          </cell>
          <cell r="AA38">
            <v>1.23570735588526</v>
          </cell>
          <cell r="AF38">
            <v>-8.0580253304792199E-4</v>
          </cell>
          <cell r="AG38">
            <v>-8.5006582039564703E-4</v>
          </cell>
          <cell r="AR38">
            <v>0</v>
          </cell>
          <cell r="BC38">
            <v>0</v>
          </cell>
          <cell r="BF38">
            <v>0</v>
          </cell>
        </row>
        <row r="39">
          <cell r="O39">
            <v>1.2371344131525399</v>
          </cell>
          <cell r="P39">
            <v>1.2377142922365501</v>
          </cell>
          <cell r="Q39">
            <v>1.23707679124451</v>
          </cell>
          <cell r="U39">
            <v>-3.5198381443994099E-3</v>
          </cell>
          <cell r="V39">
            <v>-3.5294211656007801E-3</v>
          </cell>
          <cell r="W39">
            <v>-3.6449767893034402E-3</v>
          </cell>
          <cell r="Y39">
            <v>1.2358474847357901</v>
          </cell>
          <cell r="Z39">
            <v>1.23603106288945</v>
          </cell>
          <cell r="AA39">
            <v>1.23581303770319</v>
          </cell>
          <cell r="AF39">
            <v>-1.06148884968357E-3</v>
          </cell>
          <cell r="AG39">
            <v>-1.19830852383646E-3</v>
          </cell>
          <cell r="AR39">
            <v>0</v>
          </cell>
          <cell r="BC39">
            <v>0</v>
          </cell>
          <cell r="BF39">
            <v>0</v>
          </cell>
        </row>
        <row r="40">
          <cell r="O40">
            <v>1.2371344131525399</v>
          </cell>
          <cell r="P40">
            <v>1.2380766069908</v>
          </cell>
          <cell r="Q40">
            <v>1.23705937344967</v>
          </cell>
          <cell r="U40">
            <v>-1.5780899614889301E-3</v>
          </cell>
          <cell r="V40">
            <v>-1.1094721479150999E-3</v>
          </cell>
          <cell r="W40">
            <v>-1.6246679641579E-3</v>
          </cell>
          <cell r="Y40">
            <v>1.2358474847357901</v>
          </cell>
          <cell r="Z40">
            <v>1.2359587685342599</v>
          </cell>
          <cell r="AA40">
            <v>1.23580525919772</v>
          </cell>
          <cell r="AF40">
            <v>9.9158687753188291E-4</v>
          </cell>
          <cell r="AG40">
            <v>8.1517997001476596E-4</v>
          </cell>
          <cell r="AR40">
            <v>1.9417481829103801E-3</v>
          </cell>
          <cell r="BC40">
            <v>0</v>
          </cell>
          <cell r="BF40">
            <v>1.9417481829103801E-3</v>
          </cell>
        </row>
        <row r="41">
          <cell r="O41">
            <v>1.2371344131525399</v>
          </cell>
          <cell r="P41">
            <v>1.2380110435329399</v>
          </cell>
          <cell r="Q41">
            <v>1.23682236047797</v>
          </cell>
          <cell r="U41">
            <v>1.6736897050803499E-3</v>
          </cell>
          <cell r="V41">
            <v>2.43499359076628E-3</v>
          </cell>
          <cell r="W41">
            <v>1.6130318024544499E-3</v>
          </cell>
          <cell r="Y41">
            <v>1.2358474847357901</v>
          </cell>
          <cell r="Z41">
            <v>1.23590951048824</v>
          </cell>
          <cell r="AA41">
            <v>1.2358032520162701</v>
          </cell>
          <cell r="AF41">
            <v>5.4002321817783999E-4</v>
          </cell>
          <cell r="AG41">
            <v>4.1581286879433898E-4</v>
          </cell>
          <cell r="AR41">
            <v>1.9417481829103801E-3</v>
          </cell>
          <cell r="BC41">
            <v>0</v>
          </cell>
          <cell r="BF41">
            <v>1.9417481829103801E-3</v>
          </cell>
        </row>
        <row r="42">
          <cell r="O42">
            <v>1.2371344131525399</v>
          </cell>
          <cell r="P42">
            <v>1.23810248655462</v>
          </cell>
          <cell r="Q42">
            <v>1.2368523787296299</v>
          </cell>
          <cell r="U42">
            <v>7.9474003339268103E-4</v>
          </cell>
          <cell r="V42">
            <v>1.50308661939729E-3</v>
          </cell>
          <cell r="W42">
            <v>5.4246992135660501E-4</v>
          </cell>
          <cell r="Y42">
            <v>1.2358474847357901</v>
          </cell>
          <cell r="Z42">
            <v>1.23601632421716</v>
          </cell>
          <cell r="AA42">
            <v>1.2358410013730099</v>
          </cell>
          <cell r="AF42">
            <v>-3.7246933409692097E-4</v>
          </cell>
          <cell r="AG42">
            <v>-4.5844896218953798E-4</v>
          </cell>
          <cell r="AR42">
            <v>1.9417481829103801E-3</v>
          </cell>
          <cell r="BC42">
            <v>0</v>
          </cell>
          <cell r="BF42">
            <v>1.9417481829103801E-3</v>
          </cell>
        </row>
        <row r="43">
          <cell r="O43">
            <v>1.2371344131525399</v>
          </cell>
          <cell r="P43">
            <v>1.23821690152217</v>
          </cell>
          <cell r="Q43">
            <v>1.2368881601350199</v>
          </cell>
          <cell r="U43">
            <v>6.08922925066956E-4</v>
          </cell>
          <cell r="V43">
            <v>1.3911296314693599E-3</v>
          </cell>
          <cell r="W43">
            <v>3.8092298177118102E-4</v>
          </cell>
          <cell r="Y43">
            <v>1.2358474847357901</v>
          </cell>
          <cell r="Z43">
            <v>1.2361459676470701</v>
          </cell>
          <cell r="AA43">
            <v>1.23588446189115</v>
          </cell>
          <cell r="AF43">
            <v>-4.7068187343918299E-4</v>
          </cell>
          <cell r="AG43">
            <v>-6.1253702230305298E-4</v>
          </cell>
          <cell r="AR43">
            <v>1.9417481829103801E-3</v>
          </cell>
          <cell r="BC43">
            <v>0</v>
          </cell>
          <cell r="BF43">
            <v>1.9417481829103801E-3</v>
          </cell>
        </row>
        <row r="44">
          <cell r="O44">
            <v>1.2371344131525399</v>
          </cell>
          <cell r="P44">
            <v>1.2381742224443399</v>
          </cell>
          <cell r="Q44">
            <v>1.2368567425944901</v>
          </cell>
          <cell r="U44">
            <v>1.3960146618839701E-3</v>
          </cell>
          <cell r="V44">
            <v>2.2706286467513801E-3</v>
          </cell>
          <cell r="W44">
            <v>1.1969437067600099E-3</v>
          </cell>
          <cell r="Y44">
            <v>1.2358474847357901</v>
          </cell>
          <cell r="Z44">
            <v>1.2361194209031601</v>
          </cell>
          <cell r="AA44">
            <v>1.2358611378306701</v>
          </cell>
          <cell r="AF44">
            <v>4.1555688055631599E-4</v>
          </cell>
          <cell r="AG44">
            <v>2.0398524796525001E-4</v>
          </cell>
          <cell r="AR44">
            <v>1.9417481829103801E-3</v>
          </cell>
          <cell r="BC44">
            <v>0</v>
          </cell>
          <cell r="BF44">
            <v>1.9417481829103801E-3</v>
          </cell>
        </row>
        <row r="45">
          <cell r="O45">
            <v>1.2371344131525399</v>
          </cell>
          <cell r="P45">
            <v>1.23813151417033</v>
          </cell>
          <cell r="Q45">
            <v>1.2368367734040999</v>
          </cell>
          <cell r="U45">
            <v>1.4886544322037299E-3</v>
          </cell>
          <cell r="V45">
            <v>2.3287996472375E-3</v>
          </cell>
          <cell r="W45">
            <v>1.2641826845418099E-3</v>
          </cell>
          <cell r="Y45">
            <v>1.2358474847357901</v>
          </cell>
          <cell r="Z45">
            <v>1.2360928774287601</v>
          </cell>
          <cell r="AA45">
            <v>1.23584923996979</v>
          </cell>
          <cell r="AF45">
            <v>4.8613340114294002E-4</v>
          </cell>
          <cell r="AG45">
            <v>2.77164869802665E-4</v>
          </cell>
          <cell r="AR45">
            <v>1.9417481829103801E-3</v>
          </cell>
          <cell r="BC45">
            <v>0</v>
          </cell>
          <cell r="BF45">
            <v>1.9417481829103801E-3</v>
          </cell>
        </row>
        <row r="46">
          <cell r="O46">
            <v>1.2371344131525399</v>
          </cell>
          <cell r="P46">
            <v>1.23766879114045</v>
          </cell>
          <cell r="Q46">
            <v>1.23687113109785</v>
          </cell>
          <cell r="U46">
            <v>7.0187233024821504E-4</v>
          </cell>
          <cell r="V46">
            <v>1.5075240064680599E-3</v>
          </cell>
          <cell r="W46">
            <v>4.6125534045101101E-4</v>
          </cell>
          <cell r="Y46">
            <v>1.2358474847357901</v>
          </cell>
          <cell r="Z46">
            <v>1.2360820403042301</v>
          </cell>
          <cell r="AA46">
            <v>1.2358913044461699</v>
          </cell>
          <cell r="AF46">
            <v>-3.1639105135781699E-4</v>
          </cell>
          <cell r="AG46">
            <v>-5.1351335292738399E-4</v>
          </cell>
          <cell r="AR46">
            <v>1.9417481829103801E-3</v>
          </cell>
          <cell r="BC46">
            <v>0</v>
          </cell>
          <cell r="BF46">
            <v>1.9417481829103801E-3</v>
          </cell>
        </row>
        <row r="47">
          <cell r="O47">
            <v>1.2371344131525399</v>
          </cell>
          <cell r="P47">
            <v>1.23716862444186</v>
          </cell>
          <cell r="Q47">
            <v>1.2368440875911799</v>
          </cell>
          <cell r="U47">
            <v>1.30329332506713E-3</v>
          </cell>
          <cell r="V47">
            <v>1.7351482663285299E-3</v>
          </cell>
          <cell r="W47">
            <v>1.09045463010795E-3</v>
          </cell>
          <cell r="Y47">
            <v>1.2358474847357901</v>
          </cell>
          <cell r="Z47">
            <v>1.23603425479204</v>
          </cell>
          <cell r="AA47">
            <v>1.23587232994531</v>
          </cell>
          <cell r="AF47">
            <v>2.7170787026942498E-4</v>
          </cell>
          <cell r="AG47">
            <v>1.1738916869671201E-4</v>
          </cell>
          <cell r="AR47">
            <v>1.9417481829103801E-3</v>
          </cell>
          <cell r="BC47">
            <v>0</v>
          </cell>
          <cell r="BF47">
            <v>1.9417481829103801E-3</v>
          </cell>
        </row>
        <row r="48">
          <cell r="O48">
            <v>1.2371344131525399</v>
          </cell>
          <cell r="P48">
            <v>1.23671455690553</v>
          </cell>
          <cell r="Q48">
            <v>1.2369185573147801</v>
          </cell>
          <cell r="U48">
            <v>5.3719061467470404E-4</v>
          </cell>
          <cell r="V48">
            <v>5.6484388818371298E-4</v>
          </cell>
          <cell r="W48">
            <v>3.0248723095486601E-4</v>
          </cell>
          <cell r="Y48">
            <v>1.2358474847357901</v>
          </cell>
          <cell r="Z48">
            <v>1.23603228191449</v>
          </cell>
          <cell r="AA48">
            <v>1.2359543592220199</v>
          </cell>
          <cell r="AF48">
            <v>-5.2780834890259502E-4</v>
          </cell>
          <cell r="AG48">
            <v>-6.5882045749689395E-4</v>
          </cell>
          <cell r="AR48">
            <v>1.9417481829103801E-3</v>
          </cell>
          <cell r="BC48">
            <v>0</v>
          </cell>
          <cell r="BF48">
            <v>1.9417481829103801E-3</v>
          </cell>
        </row>
        <row r="49">
          <cell r="O49">
            <v>1.2371344131525399</v>
          </cell>
          <cell r="P49">
            <v>1.2361230593094299</v>
          </cell>
          <cell r="Q49">
            <v>1.23691867577299</v>
          </cell>
          <cell r="U49">
            <v>1.2559393442344599E-3</v>
          </cell>
          <cell r="V49">
            <v>9.1650370679568398E-4</v>
          </cell>
          <cell r="W49">
            <v>1.08144361525774E-3</v>
          </cell>
          <cell r="Y49">
            <v>1.2358474847357901</v>
          </cell>
          <cell r="Z49">
            <v>1.23589391145059</v>
          </cell>
          <cell r="AA49">
            <v>1.2359624871700201</v>
          </cell>
          <cell r="AF49">
            <v>1.8365644724749699E-4</v>
          </cell>
          <cell r="AG49">
            <v>1.20611856959575E-4</v>
          </cell>
          <cell r="AR49">
            <v>1.9417481829103801E-3</v>
          </cell>
          <cell r="BC49">
            <v>0</v>
          </cell>
          <cell r="BF49">
            <v>1.9417481829103801E-3</v>
          </cell>
        </row>
        <row r="50">
          <cell r="O50">
            <v>1.2371344131525399</v>
          </cell>
          <cell r="P50">
            <v>1.2357839150788601</v>
          </cell>
          <cell r="Q50">
            <v>1.2369302610348301</v>
          </cell>
          <cell r="U50">
            <v>1.1627091881183901E-3</v>
          </cell>
          <cell r="V50">
            <v>3.4487771626814598E-4</v>
          </cell>
          <cell r="W50">
            <v>9.8830922793655802E-4</v>
          </cell>
          <cell r="Y50">
            <v>1.2358474847357901</v>
          </cell>
          <cell r="Z50">
            <v>1.23600528577854</v>
          </cell>
          <cell r="AA50">
            <v>1.2359820271563999</v>
          </cell>
          <cell r="AF50">
            <v>-2.0931994850008698E-5</v>
          </cell>
          <cell r="AG50">
            <v>3.45532020106705E-5</v>
          </cell>
          <cell r="AR50">
            <v>1.9417481829103801E-3</v>
          </cell>
          <cell r="BC50">
            <v>0</v>
          </cell>
          <cell r="BF50">
            <v>1.9417481829103801E-3</v>
          </cell>
        </row>
        <row r="51">
          <cell r="O51">
            <v>1.2371344131525399</v>
          </cell>
          <cell r="P51">
            <v>1.2358843966211599</v>
          </cell>
          <cell r="Q51">
            <v>1.23694772007705</v>
          </cell>
          <cell r="U51">
            <v>8.6044794101740102E-4</v>
          </cell>
          <cell r="V51">
            <v>-2.3178239471081599E-4</v>
          </cell>
          <cell r="W51">
            <v>6.9541416457365602E-4</v>
          </cell>
          <cell r="Y51">
            <v>1.2358474847357901</v>
          </cell>
          <cell r="Z51">
            <v>1.2361051919536901</v>
          </cell>
          <cell r="AA51">
            <v>1.2360073512209699</v>
          </cell>
          <cell r="AF51">
            <v>-2.3078003601031101E-4</v>
          </cell>
          <cell r="AG51">
            <v>-2.49597788041422E-4</v>
          </cell>
          <cell r="AR51">
            <v>1.9417481829103801E-3</v>
          </cell>
          <cell r="BC51">
            <v>0</v>
          </cell>
          <cell r="BF51">
            <v>1.9417481829103801E-3</v>
          </cell>
        </row>
        <row r="52">
          <cell r="O52">
            <v>1.2371344131525399</v>
          </cell>
          <cell r="P52">
            <v>1.2359020487713099</v>
          </cell>
          <cell r="Q52">
            <v>1.2370022676629699</v>
          </cell>
          <cell r="U52">
            <v>6.5195099474222196E-4</v>
          </cell>
          <cell r="V52">
            <v>-3.58972685167853E-4</v>
          </cell>
          <cell r="W52">
            <v>5.0103193402503601E-4</v>
          </cell>
          <cell r="Y52">
            <v>1.2358474847357901</v>
          </cell>
          <cell r="Z52">
            <v>1.23612282395499</v>
          </cell>
          <cell r="AA52">
            <v>1.2360695740860701</v>
          </cell>
          <cell r="AF52">
            <v>-3.5675281839515698E-4</v>
          </cell>
          <cell r="AG52">
            <v>-4.3590838357830799E-4</v>
          </cell>
          <cell r="AR52">
            <v>1.9417481829103801E-3</v>
          </cell>
          <cell r="BC52">
            <v>0</v>
          </cell>
          <cell r="BF52">
            <v>1.9417481829103801E-3</v>
          </cell>
        </row>
        <row r="53">
          <cell r="O53">
            <v>1.2371344131525399</v>
          </cell>
          <cell r="P53">
            <v>1.2357846988716801</v>
          </cell>
          <cell r="Q53">
            <v>1.2370008001969299</v>
          </cell>
          <cell r="U53">
            <v>1.5585136658762099E-3</v>
          </cell>
          <cell r="V53">
            <v>5.6187289473354001E-4</v>
          </cell>
          <cell r="W53">
            <v>1.45169217074732E-3</v>
          </cell>
          <cell r="Y53">
            <v>1.2358474847357901</v>
          </cell>
          <cell r="Z53">
            <v>1.23600642871874</v>
          </cell>
          <cell r="AA53">
            <v>1.2360761981829</v>
          </cell>
          <cell r="AF53">
            <v>5.57174829033794E-4</v>
          </cell>
          <cell r="AG53">
            <v>5.1409576369311103E-4</v>
          </cell>
          <cell r="AR53">
            <v>1.9417481829103801E-3</v>
          </cell>
          <cell r="BC53">
            <v>0</v>
          </cell>
          <cell r="BF53">
            <v>1.9417481829103801E-3</v>
          </cell>
        </row>
        <row r="54">
          <cell r="O54">
            <v>1.2371344131525399</v>
          </cell>
          <cell r="P54">
            <v>1.2357904964800199</v>
          </cell>
          <cell r="Q54">
            <v>1.23698235946218</v>
          </cell>
          <cell r="U54">
            <v>1.3490870907348501E-3</v>
          </cell>
          <cell r="V54">
            <v>2.5749100227162803E-4</v>
          </cell>
          <cell r="W54">
            <v>1.2410792866154E-3</v>
          </cell>
          <cell r="Y54">
            <v>1.2358474847357901</v>
          </cell>
          <cell r="Z54">
            <v>1.23601228263164</v>
          </cell>
          <cell r="AA54">
            <v>1.2360658517673999</v>
          </cell>
          <cell r="AF54">
            <v>2.5529354352463402E-4</v>
          </cell>
          <cell r="AG54">
            <v>3.1173944336998998E-4</v>
          </cell>
          <cell r="AR54">
            <v>1.9417481829103801E-3</v>
          </cell>
          <cell r="BC54">
            <v>0</v>
          </cell>
          <cell r="BF54">
            <v>1.9417481829103801E-3</v>
          </cell>
        </row>
        <row r="55">
          <cell r="O55">
            <v>1.2371344131525399</v>
          </cell>
          <cell r="P55">
            <v>1.23576745102286</v>
          </cell>
          <cell r="Q55">
            <v>1.2369494825965901</v>
          </cell>
          <cell r="U55">
            <v>1.6752302991566101E-3</v>
          </cell>
          <cell r="V55">
            <v>5.8832563853648096E-4</v>
          </cell>
          <cell r="W55">
            <v>1.55231476644476E-3</v>
          </cell>
          <cell r="Y55">
            <v>1.2358474847357901</v>
          </cell>
          <cell r="Z55">
            <v>1.23598956589827</v>
          </cell>
          <cell r="AA55">
            <v>1.2360412216635199</v>
          </cell>
          <cell r="AF55">
            <v>5.8333742037937201E-4</v>
          </cell>
          <cell r="AG55">
            <v>6.2667677525411302E-4</v>
          </cell>
          <cell r="AR55">
            <v>1.9417481829103801E-3</v>
          </cell>
          <cell r="BC55">
            <v>0</v>
          </cell>
          <cell r="BF55">
            <v>1.9417481829103801E-3</v>
          </cell>
        </row>
        <row r="56">
          <cell r="O56">
            <v>1.2371344131525399</v>
          </cell>
          <cell r="P56">
            <v>1.2360858544448601</v>
          </cell>
          <cell r="Q56">
            <v>1.2368773227926499</v>
          </cell>
          <cell r="U56">
            <v>-1.87034102835576E-3</v>
          </cell>
          <cell r="V56">
            <v>-2.9758942156578598E-3</v>
          </cell>
          <cell r="W56">
            <v>-2.01983519596263E-3</v>
          </cell>
          <cell r="Y56">
            <v>1.2358474847357901</v>
          </cell>
          <cell r="Z56">
            <v>1.23586857827701</v>
          </cell>
          <cell r="AA56">
            <v>1.2359753092906201</v>
          </cell>
          <cell r="AF56">
            <v>5.7898644880603105E-4</v>
          </cell>
          <cell r="AG56">
            <v>6.2077861863832004E-4</v>
          </cell>
          <cell r="AR56">
            <v>1.9417481829103801E-3</v>
          </cell>
          <cell r="BC56">
            <v>0</v>
          </cell>
          <cell r="BF56">
            <v>1.9417481829103801E-3</v>
          </cell>
        </row>
        <row r="57">
          <cell r="O57">
            <v>1.2371344131525399</v>
          </cell>
          <cell r="P57">
            <v>1.2365021088246599</v>
          </cell>
          <cell r="Q57">
            <v>1.2368353666332601</v>
          </cell>
          <cell r="U57">
            <v>-2.0600978912796802E-3</v>
          </cell>
          <cell r="V57">
            <v>-2.9080278425601602E-3</v>
          </cell>
          <cell r="W57">
            <v>-2.2679306651318802E-3</v>
          </cell>
          <cell r="Y57">
            <v>1.2358474847357901</v>
          </cell>
          <cell r="Z57">
            <v>1.2358442346479599</v>
          </cell>
          <cell r="AA57">
            <v>1.2359392447199999</v>
          </cell>
          <cell r="AF57">
            <v>2.96015293834172E-4</v>
          </cell>
          <cell r="AG57">
            <v>3.8237270031174199E-4</v>
          </cell>
          <cell r="AR57">
            <v>1.9417481829103801E-3</v>
          </cell>
          <cell r="BC57">
            <v>0</v>
          </cell>
          <cell r="BF57">
            <v>1.9417481829103801E-3</v>
          </cell>
        </row>
        <row r="58">
          <cell r="O58">
            <v>1.2371344131525399</v>
          </cell>
          <cell r="P58">
            <v>1.23686099837816</v>
          </cell>
          <cell r="Q58">
            <v>1.2367877776418501</v>
          </cell>
          <cell r="U58">
            <v>-2.3611385842199199E-3</v>
          </cell>
          <cell r="V58">
            <v>-2.87237322684633E-3</v>
          </cell>
          <cell r="W58">
            <v>-2.6028929687561199E-3</v>
          </cell>
          <cell r="Y58">
            <v>1.2358474847357901</v>
          </cell>
          <cell r="Z58">
            <v>1.23576296238988</v>
          </cell>
          <cell r="AA58">
            <v>1.23589762215219</v>
          </cell>
          <cell r="AF58">
            <v>-2.4160488434059798E-5</v>
          </cell>
          <cell r="AG58">
            <v>5.2715235414712402E-5</v>
          </cell>
          <cell r="AR58">
            <v>1.9417481829103801E-3</v>
          </cell>
          <cell r="BC58">
            <v>0</v>
          </cell>
          <cell r="BF58">
            <v>1.9417481829103801E-3</v>
          </cell>
        </row>
        <row r="59">
          <cell r="O59">
            <v>1.2371344131525399</v>
          </cell>
          <cell r="P59">
            <v>1.2373185841418199</v>
          </cell>
          <cell r="Q59">
            <v>1.23672082172562</v>
          </cell>
          <cell r="U59">
            <v>-2.4406237076858598E-3</v>
          </cell>
          <cell r="V59">
            <v>-2.6616546556159802E-3</v>
          </cell>
          <cell r="W59">
            <v>-2.7208552479113901E-3</v>
          </cell>
          <cell r="Y59">
            <v>1.2358474847357901</v>
          </cell>
          <cell r="Z59">
            <v>1.2357785747866199</v>
          </cell>
          <cell r="AA59">
            <v>1.2358362431186101</v>
          </cell>
          <cell r="AF59">
            <v>-1.6058346988636501E-4</v>
          </cell>
          <cell r="AG59">
            <v>-5.1620480970137399E-5</v>
          </cell>
          <cell r="AR59">
            <v>1.9417481829103801E-3</v>
          </cell>
          <cell r="BC59">
            <v>0</v>
          </cell>
          <cell r="BF59">
            <v>1.9417481829103801E-3</v>
          </cell>
        </row>
        <row r="60">
          <cell r="O60">
            <v>1.2371344131525399</v>
          </cell>
          <cell r="P60">
            <v>1.2378393641337899</v>
          </cell>
          <cell r="Q60">
            <v>1.23681163960632</v>
          </cell>
          <cell r="U60">
            <v>-3.0428989531877202E-3</v>
          </cell>
          <cell r="V60">
            <v>-2.8940410118018802E-3</v>
          </cell>
          <cell r="W60">
            <v>-3.3772689073717698E-3</v>
          </cell>
          <cell r="Y60">
            <v>1.2358474847357901</v>
          </cell>
          <cell r="Z60">
            <v>1.23585706196526</v>
          </cell>
          <cell r="AA60">
            <v>1.2359311738719001</v>
          </cell>
          <cell r="AF60">
            <v>-7.4910800521177997E-4</v>
          </cell>
          <cell r="AG60">
            <v>-7.02443507509388E-4</v>
          </cell>
          <cell r="AR60">
            <v>1.9417481829103801E-3</v>
          </cell>
          <cell r="BC60">
            <v>0</v>
          </cell>
          <cell r="BF60">
            <v>1.9417481829103801E-3</v>
          </cell>
        </row>
        <row r="61">
          <cell r="O61">
            <v>1.2371344131525399</v>
          </cell>
          <cell r="P61">
            <v>1.23827550559845</v>
          </cell>
          <cell r="Q61">
            <v>1.2370799511098101</v>
          </cell>
          <cell r="U61">
            <v>-2.6617933846673301E-3</v>
          </cell>
          <cell r="V61">
            <v>-2.0921299750745101E-3</v>
          </cell>
          <cell r="W61">
            <v>-2.9227316114222301E-3</v>
          </cell>
          <cell r="Y61">
            <v>1.2358474847357901</v>
          </cell>
          <cell r="Z61">
            <v>1.23585250859284</v>
          </cell>
          <cell r="AA61">
            <v>1.23597885027326</v>
          </cell>
          <cell r="AF61">
            <v>-3.1387729075718098E-4</v>
          </cell>
          <cell r="AG61">
            <v>-2.53911064211961E-4</v>
          </cell>
          <cell r="AR61">
            <v>1.9417481829103801E-3</v>
          </cell>
          <cell r="BC61">
            <v>0</v>
          </cell>
          <cell r="BF61">
            <v>1.9417481829103801E-3</v>
          </cell>
        </row>
        <row r="62">
          <cell r="O62">
            <v>1.2371344131525399</v>
          </cell>
          <cell r="P62">
            <v>1.2386270298581199</v>
          </cell>
          <cell r="Q62">
            <v>1.2372645393147099</v>
          </cell>
          <cell r="U62">
            <v>-2.1873070846425298E-3</v>
          </cell>
          <cell r="V62">
            <v>-1.2653648090682301E-3</v>
          </cell>
          <cell r="W62">
            <v>-2.2313307905326299E-3</v>
          </cell>
          <cell r="Y62">
            <v>1.2358474847357901</v>
          </cell>
          <cell r="Z62">
            <v>1.23576518369736</v>
          </cell>
          <cell r="AA62">
            <v>1.23594400382617</v>
          </cell>
          <cell r="AF62">
            <v>1.45256774982269E-4</v>
          </cell>
          <cell r="AG62">
            <v>2.4748193697170901E-4</v>
          </cell>
          <cell r="AR62">
            <v>1.9417481829103801E-3</v>
          </cell>
          <cell r="BC62">
            <v>0</v>
          </cell>
          <cell r="BF62">
            <v>1.9417481829103801E-3</v>
          </cell>
        </row>
        <row r="63">
          <cell r="O63">
            <v>1.2371344131525399</v>
          </cell>
          <cell r="P63">
            <v>1.23869900321338</v>
          </cell>
          <cell r="Q63">
            <v>1.23724185104253</v>
          </cell>
          <cell r="U63">
            <v>9.7600120757245705E-4</v>
          </cell>
          <cell r="V63">
            <v>2.1817853033196302E-3</v>
          </cell>
          <cell r="W63">
            <v>1.0811792041638001E-3</v>
          </cell>
          <cell r="Y63">
            <v>1.2358474847357901</v>
          </cell>
          <cell r="Z63">
            <v>1.2358543254196399</v>
          </cell>
          <cell r="AA63">
            <v>1.2359303770691901</v>
          </cell>
          <cell r="AF63">
            <v>-4.5347265281709499E-4</v>
          </cell>
          <cell r="AG63">
            <v>-3.08779150820202E-4</v>
          </cell>
          <cell r="AR63">
            <v>1.9417481829103801E-3</v>
          </cell>
          <cell r="BC63">
            <v>0</v>
          </cell>
          <cell r="BF63">
            <v>1.9417481829103801E-3</v>
          </cell>
        </row>
        <row r="64">
          <cell r="O64">
            <v>1.2371344131525399</v>
          </cell>
          <cell r="P64">
            <v>1.23867313196999</v>
          </cell>
          <cell r="Q64">
            <v>1.2372318142250101</v>
          </cell>
          <cell r="U64">
            <v>1.5585136658762099E-3</v>
          </cell>
          <cell r="V64">
            <v>2.82240344034099E-3</v>
          </cell>
          <cell r="W64">
            <v>1.6453540479227E-3</v>
          </cell>
          <cell r="Y64">
            <v>1.2358474847357901</v>
          </cell>
          <cell r="Z64">
            <v>1.23584655643675</v>
          </cell>
          <cell r="AA64">
            <v>1.2359294195341901</v>
          </cell>
          <cell r="AF64">
            <v>1.95099236340642E-4</v>
          </cell>
          <cell r="AG64">
            <v>2.5663505658715701E-4</v>
          </cell>
          <cell r="AR64">
            <v>1.9417481829103801E-3</v>
          </cell>
          <cell r="BC64">
            <v>0</v>
          </cell>
          <cell r="BF64">
            <v>1.9417481829103801E-3</v>
          </cell>
        </row>
        <row r="65">
          <cell r="O65">
            <v>1.2371344131525399</v>
          </cell>
          <cell r="P65">
            <v>1.2387105737877599</v>
          </cell>
          <cell r="Q65">
            <v>1.2372390124053101</v>
          </cell>
          <cell r="U65">
            <v>1.37211925592883E-3</v>
          </cell>
          <cell r="V65">
            <v>2.61512299311416E-3</v>
          </cell>
          <cell r="W65">
            <v>1.45084735320068E-3</v>
          </cell>
          <cell r="Y65">
            <v>1.2358474847357901</v>
          </cell>
          <cell r="Z65">
            <v>1.23590155163427</v>
          </cell>
          <cell r="AA65">
            <v>1.23594555876627</v>
          </cell>
          <cell r="AF65">
            <v>4.1459849421008499E-6</v>
          </cell>
          <cell r="AG65">
            <v>7.1193402085981204E-5</v>
          </cell>
          <cell r="AR65">
            <v>1.9417481829103801E-3</v>
          </cell>
          <cell r="BC65">
            <v>0</v>
          </cell>
          <cell r="BF65">
            <v>1.9417481829103801E-3</v>
          </cell>
        </row>
        <row r="66">
          <cell r="O66">
            <v>1.2371344131525399</v>
          </cell>
          <cell r="P66">
            <v>1.2382863120229</v>
          </cell>
          <cell r="Q66">
            <v>1.2371860832338799</v>
          </cell>
          <cell r="U66">
            <v>1.5585136658762099E-3</v>
          </cell>
          <cell r="V66">
            <v>2.83174430548273E-3</v>
          </cell>
          <cell r="W66">
            <v>1.64305971842369E-3</v>
          </cell>
          <cell r="Y66">
            <v>1.2358474847357901</v>
          </cell>
          <cell r="Z66">
            <v>1.2359354599229999</v>
          </cell>
          <cell r="AA66">
            <v>1.2359020191000101</v>
          </cell>
          <cell r="AF66">
            <v>2.3331192155920399E-4</v>
          </cell>
          <cell r="AG66">
            <v>2.6891859951253298E-4</v>
          </cell>
          <cell r="AR66">
            <v>1.9417481829103801E-3</v>
          </cell>
          <cell r="BC66">
            <v>0</v>
          </cell>
          <cell r="BF66">
            <v>1.9417481829103801E-3</v>
          </cell>
        </row>
        <row r="67">
          <cell r="O67">
            <v>1.2371344131525399</v>
          </cell>
          <cell r="P67">
            <v>1.2378759084754201</v>
          </cell>
          <cell r="Q67">
            <v>1.2371890086500399</v>
          </cell>
          <cell r="U67">
            <v>1.2559393442344599E-3</v>
          </cell>
          <cell r="V67">
            <v>2.1866085769750398E-3</v>
          </cell>
          <cell r="W67">
            <v>1.2977044117945299E-3</v>
          </cell>
          <cell r="Y67">
            <v>1.2358474847357901</v>
          </cell>
          <cell r="Z67">
            <v>1.2359834665398599</v>
          </cell>
          <cell r="AA67">
            <v>1.23591385059391</v>
          </cell>
          <cell r="AF67">
            <v>-3.8352936616807402E-5</v>
          </cell>
          <cell r="AG67">
            <v>-6.5410397538538599E-5</v>
          </cell>
          <cell r="AR67">
            <v>1.9417481829103801E-3</v>
          </cell>
          <cell r="BC67">
            <v>0</v>
          </cell>
          <cell r="BF67">
            <v>1.9417481829103801E-3</v>
          </cell>
        </row>
        <row r="68">
          <cell r="O68">
            <v>1.2371344131525399</v>
          </cell>
          <cell r="P68">
            <v>1.23746552307719</v>
          </cell>
          <cell r="Q68">
            <v>1.2371632607276799</v>
          </cell>
          <cell r="U68">
            <v>9.5375203913398499E-4</v>
          </cell>
          <cell r="V68">
            <v>1.5529376979432101E-3</v>
          </cell>
          <cell r="W68">
            <v>9.9788167637320695E-4</v>
          </cell>
          <cell r="Y68">
            <v>1.2358474847357901</v>
          </cell>
          <cell r="Z68">
            <v>1.2360312704956</v>
          </cell>
          <cell r="AA68">
            <v>1.2358971164427399</v>
          </cell>
          <cell r="AF68">
            <v>-2.98233483625919E-4</v>
          </cell>
          <cell r="AG68">
            <v>-3.5455940419286001E-4</v>
          </cell>
          <cell r="AR68">
            <v>1.9417481829103801E-3</v>
          </cell>
          <cell r="BC68">
            <v>0</v>
          </cell>
          <cell r="BF68">
            <v>1.9417481829103801E-3</v>
          </cell>
        </row>
        <row r="69">
          <cell r="O69">
            <v>1.2371344131525399</v>
          </cell>
          <cell r="P69">
            <v>1.23705681316887</v>
          </cell>
          <cell r="Q69">
            <v>1.2371876986553401</v>
          </cell>
          <cell r="U69">
            <v>8.6044794101740102E-4</v>
          </cell>
          <cell r="V69">
            <v>1.1280547745771399E-3</v>
          </cell>
          <cell r="W69">
            <v>8.8376572969202805E-4</v>
          </cell>
          <cell r="Y69">
            <v>1.2358474847357901</v>
          </cell>
          <cell r="Z69">
            <v>1.2360817707446301</v>
          </cell>
          <cell r="AA69">
            <v>1.23593017276563</v>
          </cell>
          <cell r="AF69">
            <v>-3.5199501196764402E-4</v>
          </cell>
          <cell r="AG69">
            <v>-4.6053703422009601E-4</v>
          </cell>
          <cell r="AR69">
            <v>1.9417481829103801E-3</v>
          </cell>
          <cell r="BC69">
            <v>0</v>
          </cell>
          <cell r="BF69">
            <v>1.9417481829103801E-3</v>
          </cell>
        </row>
        <row r="70">
          <cell r="O70">
            <v>1.2371344131525399</v>
          </cell>
          <cell r="P70">
            <v>1.23655033540031</v>
          </cell>
          <cell r="Q70">
            <v>1.23719484976705</v>
          </cell>
          <cell r="U70">
            <v>1.0469737136851601E-3</v>
          </cell>
          <cell r="V70">
            <v>9.8424615821239591E-4</v>
          </cell>
          <cell r="W70">
            <v>1.0900445026946299E-3</v>
          </cell>
          <cell r="Y70">
            <v>1.2358474847357901</v>
          </cell>
          <cell r="Z70">
            <v>1.23603510070539</v>
          </cell>
          <cell r="AA70">
            <v>1.23594608133533</v>
          </cell>
          <cell r="AF70">
            <v>-1.26344577873718E-4</v>
          </cell>
          <cell r="AG70">
            <v>-2.4899607200895899E-4</v>
          </cell>
          <cell r="AR70">
            <v>1.9417481829103801E-3</v>
          </cell>
          <cell r="BC70">
            <v>0</v>
          </cell>
          <cell r="BF70">
            <v>1.9417481829103801E-3</v>
          </cell>
        </row>
        <row r="71">
          <cell r="O71">
            <v>1.2371344131525399</v>
          </cell>
          <cell r="P71">
            <v>1.2360193509344299</v>
          </cell>
          <cell r="Q71">
            <v>1.2371474282664401</v>
          </cell>
          <cell r="U71">
            <v>1.62803696779766E-3</v>
          </cell>
          <cell r="V71">
            <v>1.15580398545881E-3</v>
          </cell>
          <cell r="W71">
            <v>1.6768878749299501E-3</v>
          </cell>
          <cell r="Y71">
            <v>1.2358474847357901</v>
          </cell>
          <cell r="Z71">
            <v>1.23596332717541</v>
          </cell>
          <cell r="AA71">
            <v>1.2359079178841299</v>
          </cell>
          <cell r="AF71">
            <v>4.1091877552360299E-4</v>
          </cell>
          <cell r="AG71">
            <v>3.3889608315776099E-4</v>
          </cell>
          <cell r="AR71">
            <v>1.9417481829103801E-3</v>
          </cell>
          <cell r="BC71">
            <v>0</v>
          </cell>
          <cell r="BF71">
            <v>1.9417481829103801E-3</v>
          </cell>
        </row>
        <row r="72">
          <cell r="O72">
            <v>1.2371344131525399</v>
          </cell>
          <cell r="P72">
            <v>1.2355472092967099</v>
          </cell>
          <cell r="Q72">
            <v>1.23708711957741</v>
          </cell>
          <cell r="U72">
            <v>1.62803696779766E-3</v>
          </cell>
          <cell r="V72">
            <v>7.2630387714860405E-4</v>
          </cell>
          <cell r="W72">
            <v>1.6385572841829199E-3</v>
          </cell>
          <cell r="Y72">
            <v>1.2358474847357901</v>
          </cell>
          <cell r="Z72">
            <v>1.2359487561089599</v>
          </cell>
          <cell r="AA72">
            <v>1.2358569699031601</v>
          </cell>
          <cell r="AF72">
            <v>3.5284953956577902E-4</v>
          </cell>
          <cell r="AG72">
            <v>3.0801768078059802E-4</v>
          </cell>
          <cell r="AR72">
            <v>1.9417481829103801E-3</v>
          </cell>
          <cell r="BC72">
            <v>0</v>
          </cell>
          <cell r="BF72">
            <v>1.9417481829103801E-3</v>
          </cell>
        </row>
        <row r="73">
          <cell r="O73">
            <v>1.2371344131525399</v>
          </cell>
          <cell r="P73">
            <v>1.23541786817951</v>
          </cell>
          <cell r="Q73">
            <v>1.23705843569644</v>
          </cell>
          <cell r="U73">
            <v>2.02305968674058E-3</v>
          </cell>
          <cell r="V73">
            <v>7.3926798512289596E-4</v>
          </cell>
          <cell r="W73">
            <v>1.9848306320614799E-3</v>
          </cell>
          <cell r="Y73">
            <v>1.2358474847357901</v>
          </cell>
          <cell r="Z73">
            <v>1.2358206531801099</v>
          </cell>
          <cell r="AA73">
            <v>1.23583748929988</v>
          </cell>
          <cell r="AF73">
            <v>7.3176151485414005E-4</v>
          </cell>
          <cell r="AG73">
            <v>6.5749499392121996E-4</v>
          </cell>
          <cell r="AR73">
            <v>1.9417481829103801E-3</v>
          </cell>
          <cell r="BC73">
            <v>0</v>
          </cell>
          <cell r="BF73">
            <v>1.9417481829103801E-3</v>
          </cell>
        </row>
        <row r="74">
          <cell r="O74">
            <v>1.2371344131525399</v>
          </cell>
          <cell r="P74">
            <v>1.23537492309467</v>
          </cell>
          <cell r="Q74">
            <v>1.2370240275323301</v>
          </cell>
          <cell r="U74">
            <v>1.9062490930606499E-3</v>
          </cell>
          <cell r="V74">
            <v>5.1776864574035804E-4</v>
          </cell>
          <cell r="W74">
            <v>1.84483313984932E-3</v>
          </cell>
          <cell r="Y74">
            <v>1.2358474847357901</v>
          </cell>
          <cell r="Z74">
            <v>1.2357780069082001</v>
          </cell>
          <cell r="AA74">
            <v>1.2358122816724699</v>
          </cell>
          <cell r="AF74">
            <v>5.1305488047134003E-4</v>
          </cell>
          <cell r="AG74">
            <v>5.26678220588862E-4</v>
          </cell>
          <cell r="AR74">
            <v>1.9417481829103801E-3</v>
          </cell>
          <cell r="BC74">
            <v>0</v>
          </cell>
          <cell r="BF74">
            <v>1.9417481829103801E-3</v>
          </cell>
        </row>
        <row r="75">
          <cell r="O75">
            <v>1.2371344131525399</v>
          </cell>
          <cell r="P75">
            <v>1.2357314082244999</v>
          </cell>
          <cell r="Q75">
            <v>1.23722099100613</v>
          </cell>
          <cell r="U75">
            <v>-1.5092214143010601E-3</v>
          </cell>
          <cell r="V75">
            <v>-2.9324640521151699E-3</v>
          </cell>
          <cell r="W75">
            <v>-1.5984522561621299E-3</v>
          </cell>
          <cell r="Y75">
            <v>1.2358474847357901</v>
          </cell>
          <cell r="Z75">
            <v>1.2356931974796499</v>
          </cell>
          <cell r="AA75">
            <v>1.2357973745569599</v>
          </cell>
          <cell r="AF75">
            <v>6.3516081761535201E-4</v>
          </cell>
          <cell r="AG75">
            <v>6.6289580624719297E-4</v>
          </cell>
          <cell r="AR75">
            <v>1.9417481829103801E-3</v>
          </cell>
          <cell r="BC75">
            <v>0</v>
          </cell>
          <cell r="BF75">
            <v>1.9417481829103801E-3</v>
          </cell>
        </row>
        <row r="76">
          <cell r="O76">
            <v>1.2371344131525399</v>
          </cell>
          <cell r="P76">
            <v>1.23604811970996</v>
          </cell>
          <cell r="Q76">
            <v>1.23716721586643</v>
          </cell>
          <cell r="U76">
            <v>-1.00223880453326E-3</v>
          </cell>
          <cell r="V76">
            <v>-2.1369587448162699E-3</v>
          </cell>
          <cell r="W76">
            <v>-9.3225867679715905E-4</v>
          </cell>
          <cell r="Y76">
            <v>1.2358474847357901</v>
          </cell>
          <cell r="Z76">
            <v>1.2355687163812299</v>
          </cell>
          <cell r="AA76">
            <v>1.23575208815212</v>
          </cell>
          <cell r="AF76">
            <v>1.07266464605068E-3</v>
          </cell>
          <cell r="AG76">
            <v>1.1569676804628901E-3</v>
          </cell>
          <cell r="AR76">
            <v>1.9417481829103801E-3</v>
          </cell>
          <cell r="BC76">
            <v>0</v>
          </cell>
          <cell r="BF76">
            <v>1.9417481829103801E-3</v>
          </cell>
        </row>
        <row r="77">
          <cell r="O77">
            <v>1.2371344131525399</v>
          </cell>
          <cell r="P77">
            <v>1.2364742942017899</v>
          </cell>
          <cell r="Q77">
            <v>1.2371751013386001</v>
          </cell>
          <cell r="U77">
            <v>-2.1873070846425298E-3</v>
          </cell>
          <cell r="V77">
            <v>-3.0657651021993798E-3</v>
          </cell>
          <cell r="W77">
            <v>-2.1607923594303999E-3</v>
          </cell>
          <cell r="Y77">
            <v>1.2358474847357901</v>
          </cell>
          <cell r="Z77">
            <v>1.2355520381310201</v>
          </cell>
          <cell r="AA77">
            <v>1.23576775233544</v>
          </cell>
          <cell r="AF77">
            <v>-2.00182265665813E-4</v>
          </cell>
          <cell r="AG77">
            <v>-5.1782453800778198E-5</v>
          </cell>
          <cell r="AR77">
            <v>1.9417481829103801E-3</v>
          </cell>
          <cell r="BC77">
            <v>1.18506828010929E-3</v>
          </cell>
          <cell r="BF77">
            <v>3.1268164630196701E-3</v>
          </cell>
        </row>
        <row r="78">
          <cell r="O78">
            <v>1.2371344131525399</v>
          </cell>
          <cell r="P78">
            <v>1.2368631253434801</v>
          </cell>
          <cell r="Q78">
            <v>1.2371643242103301</v>
          </cell>
          <cell r="U78">
            <v>-2.1873070846425298E-3</v>
          </cell>
          <cell r="V78">
            <v>-2.7210365823281701E-3</v>
          </cell>
          <cell r="W78">
            <v>-2.1544185669952099E-3</v>
          </cell>
          <cell r="Y78">
            <v>1.2358474847357901</v>
          </cell>
          <cell r="Z78">
            <v>1.23549843282282</v>
          </cell>
          <cell r="AA78">
            <v>1.2357648516592099</v>
          </cell>
          <cell r="AF78">
            <v>-2.13680796785352E-4</v>
          </cell>
          <cell r="AG78">
            <v>-3.9106704192788297E-5</v>
          </cell>
          <cell r="AR78">
            <v>1.9417481829103801E-3</v>
          </cell>
          <cell r="BC78">
            <v>1.18506828010929E-3</v>
          </cell>
          <cell r="BF78">
            <v>3.1268164630196701E-3</v>
          </cell>
        </row>
        <row r="79">
          <cell r="O79">
            <v>1.2371344131525399</v>
          </cell>
          <cell r="P79">
            <v>1.2372658671714101</v>
          </cell>
          <cell r="Q79">
            <v>1.23716134017014</v>
          </cell>
          <cell r="U79">
            <v>-2.3924989808038698E-3</v>
          </cell>
          <cell r="V79">
            <v>-2.6118102823953402E-3</v>
          </cell>
          <cell r="W79">
            <v>-2.3683215786613099E-3</v>
          </cell>
          <cell r="Y79">
            <v>1.2358474847357901</v>
          </cell>
          <cell r="Z79">
            <v>1.2354588703585201</v>
          </cell>
          <cell r="AA79">
            <v>1.23577032055158</v>
          </cell>
          <cell r="AF79">
            <v>-4.6316037267489399E-4</v>
          </cell>
          <cell r="AG79">
            <v>-2.4754689345121001E-4</v>
          </cell>
          <cell r="AR79">
            <v>1.9417481829103801E-3</v>
          </cell>
          <cell r="BC79">
            <v>1.18506828010929E-3</v>
          </cell>
          <cell r="BF79">
            <v>3.1268164630196701E-3</v>
          </cell>
        </row>
        <row r="80">
          <cell r="O80">
            <v>1.2371344131525399</v>
          </cell>
          <cell r="P80">
            <v>1.2377034092151999</v>
          </cell>
          <cell r="Q80">
            <v>1.23712687230775</v>
          </cell>
          <cell r="U80">
            <v>-2.4872166022779198E-3</v>
          </cell>
          <cell r="V80">
            <v>-2.3809653865480701E-3</v>
          </cell>
          <cell r="W80">
            <v>-2.4654512029212098E-3</v>
          </cell>
          <cell r="Y80">
            <v>1.2358474847357901</v>
          </cell>
          <cell r="Z80">
            <v>1.2354535411541701</v>
          </cell>
          <cell r="AA80">
            <v>1.23574432092978</v>
          </cell>
          <cell r="AF80">
            <v>-5.8729379866289799E-4</v>
          </cell>
          <cell r="AG80">
            <v>-3.3523284385483001E-4</v>
          </cell>
          <cell r="AR80">
            <v>1.9417481829103801E-3</v>
          </cell>
          <cell r="BC80">
            <v>1.18506828010929E-3</v>
          </cell>
          <cell r="BF80">
            <v>3.1268164630196701E-3</v>
          </cell>
        </row>
        <row r="81">
          <cell r="O81">
            <v>1.2371344131525399</v>
          </cell>
          <cell r="P81">
            <v>1.2381266032268701</v>
          </cell>
          <cell r="Q81">
            <v>1.2370729770806499</v>
          </cell>
          <cell r="U81">
            <v>-1.7924403470341999E-3</v>
          </cell>
          <cell r="V81">
            <v>-1.3326154101923799E-3</v>
          </cell>
          <cell r="W81">
            <v>-1.7985357782911401E-3</v>
          </cell>
          <cell r="Y81">
            <v>1.2358474847357901</v>
          </cell>
          <cell r="Z81">
            <v>1.23543416444885</v>
          </cell>
          <cell r="AA81">
            <v>1.23569874581213</v>
          </cell>
          <cell r="AF81">
            <v>9.7145717718108895E-5</v>
          </cell>
          <cell r="AG81">
            <v>3.3248080068758098E-4</v>
          </cell>
          <cell r="AR81">
            <v>1.9417481829103801E-3</v>
          </cell>
          <cell r="BC81">
            <v>1.18506828010929E-3</v>
          </cell>
          <cell r="BF81">
            <v>3.1268164630196701E-3</v>
          </cell>
        </row>
        <row r="82">
          <cell r="O82">
            <v>1.2371344131525399</v>
          </cell>
          <cell r="P82">
            <v>1.2385967523913399</v>
          </cell>
          <cell r="Q82">
            <v>1.23707198084402</v>
          </cell>
          <cell r="U82">
            <v>-2.1712365928822199E-3</v>
          </cell>
          <cell r="V82">
            <v>-1.3695513395644201E-3</v>
          </cell>
          <cell r="W82">
            <v>-2.2208978073348499E-3</v>
          </cell>
          <cell r="Y82">
            <v>1.2358474847357901</v>
          </cell>
          <cell r="Z82">
            <v>1.2354602998687001</v>
          </cell>
          <cell r="AA82">
            <v>1.2357045279888299</v>
          </cell>
          <cell r="AF82">
            <v>-2.8689017119491402E-4</v>
          </cell>
          <cell r="AG82">
            <v>-7.2752466827798596E-5</v>
          </cell>
          <cell r="AR82">
            <v>1.9417481829103801E-3</v>
          </cell>
          <cell r="BC82">
            <v>1.18506828010929E-3</v>
          </cell>
          <cell r="BF82">
            <v>3.1268164630196701E-3</v>
          </cell>
        </row>
        <row r="83">
          <cell r="O83">
            <v>1.2371344131525399</v>
          </cell>
          <cell r="P83">
            <v>1.239080448433</v>
          </cell>
          <cell r="Q83">
            <v>1.2372491583062499</v>
          </cell>
          <cell r="U83">
            <v>-1.8870137211024699E-3</v>
          </cell>
          <cell r="V83">
            <v>-7.0567430169088396E-4</v>
          </cell>
          <cell r="W83">
            <v>-1.9374802534675201E-3</v>
          </cell>
          <cell r="Y83">
            <v>1.2358474847357901</v>
          </cell>
          <cell r="Z83">
            <v>1.23550054749644</v>
          </cell>
          <cell r="AA83">
            <v>1.23566060033828</v>
          </cell>
          <cell r="AF83">
            <v>1.0649032952050299E-5</v>
          </cell>
          <cell r="AG83">
            <v>2.0831138082325E-4</v>
          </cell>
          <cell r="AR83">
            <v>1.9417481829103801E-3</v>
          </cell>
          <cell r="BC83">
            <v>1.18506828010929E-3</v>
          </cell>
          <cell r="BF83">
            <v>3.1268164630196701E-3</v>
          </cell>
        </row>
        <row r="84">
          <cell r="O84">
            <v>1.2371344131525399</v>
          </cell>
          <cell r="P84">
            <v>1.23904852399497</v>
          </cell>
          <cell r="Q84">
            <v>1.2372117235448199</v>
          </cell>
          <cell r="U84">
            <v>2.1648263921678801E-3</v>
          </cell>
          <cell r="V84">
            <v>3.7366089634519898E-3</v>
          </cell>
          <cell r="W84">
            <v>2.2575728483924299E-3</v>
          </cell>
          <cell r="Y84">
            <v>1.2358474847357901</v>
          </cell>
          <cell r="Z84">
            <v>1.2354845569069299</v>
          </cell>
          <cell r="AA84">
            <v>1.2356312819075601</v>
          </cell>
          <cell r="AF84">
            <v>3.8346582212881001E-4</v>
          </cell>
          <cell r="AG84">
            <v>5.1300236992042603E-4</v>
          </cell>
          <cell r="AR84">
            <v>1.9417481829103801E-3</v>
          </cell>
          <cell r="BC84">
            <v>1.18506828010929E-3</v>
          </cell>
          <cell r="BF84">
            <v>3.1268164630196701E-3</v>
          </cell>
        </row>
        <row r="85">
          <cell r="O85">
            <v>1.2371344131525399</v>
          </cell>
          <cell r="P85">
            <v>1.2386661141303299</v>
          </cell>
          <cell r="Q85">
            <v>1.23719876117742</v>
          </cell>
          <cell r="U85">
            <v>1.58198372133548E-3</v>
          </cell>
          <cell r="V85">
            <v>3.12800133980008E-3</v>
          </cell>
          <cell r="W85">
            <v>1.64447327456468E-3</v>
          </cell>
          <cell r="Y85">
            <v>1.2358474847357901</v>
          </cell>
          <cell r="Z85">
            <v>1.235558915963</v>
          </cell>
          <cell r="AA85">
            <v>1.23562605672133</v>
          </cell>
          <cell r="AF85">
            <v>-2.0424880314119699E-4</v>
          </cell>
          <cell r="AG85">
            <v>-8.5496781480890195E-5</v>
          </cell>
          <cell r="AR85">
            <v>1.9417481829103801E-3</v>
          </cell>
          <cell r="BC85">
            <v>1.18506828010929E-3</v>
          </cell>
          <cell r="BF85">
            <v>3.1268164630196701E-3</v>
          </cell>
        </row>
        <row r="86">
          <cell r="O86">
            <v>1.2371344131525399</v>
          </cell>
          <cell r="P86">
            <v>1.23839549922968</v>
          </cell>
          <cell r="Q86">
            <v>1.23722180946982</v>
          </cell>
          <cell r="U86">
            <v>1.1853943843906901E-3</v>
          </cell>
          <cell r="V86">
            <v>2.42273249490097E-3</v>
          </cell>
          <cell r="W86">
            <v>1.23740680176371E-3</v>
          </cell>
          <cell r="Y86">
            <v>1.2358474847357901</v>
          </cell>
          <cell r="Z86">
            <v>1.23574406831168</v>
          </cell>
          <cell r="AA86">
            <v>1.2356563923464501</v>
          </cell>
          <cell r="AF86">
            <v>-5.3486278137639999E-4</v>
          </cell>
          <cell r="AG86">
            <v>-4.8052386374629498E-4</v>
          </cell>
          <cell r="AR86">
            <v>1.9417481829103801E-3</v>
          </cell>
          <cell r="BC86">
            <v>1.18506828010929E-3</v>
          </cell>
          <cell r="BF86">
            <v>3.1268164630196701E-3</v>
          </cell>
        </row>
        <row r="87">
          <cell r="O87">
            <v>1.2371344131525399</v>
          </cell>
          <cell r="P87">
            <v>1.2378830451106</v>
          </cell>
          <cell r="Q87">
            <v>1.2371786696561899</v>
          </cell>
          <cell r="U87">
            <v>1.95447486685242E-3</v>
          </cell>
          <cell r="V87">
            <v>2.97331627120739E-3</v>
          </cell>
          <cell r="W87">
            <v>2.0251165283212201E-3</v>
          </cell>
          <cell r="Y87">
            <v>1.2358474847357901</v>
          </cell>
          <cell r="Z87">
            <v>1.23569069492527</v>
          </cell>
          <cell r="AA87">
            <v>1.2356213665281499</v>
          </cell>
          <cell r="AF87">
            <v>3.7370875035766901E-4</v>
          </cell>
          <cell r="AG87">
            <v>3.0275629513410699E-4</v>
          </cell>
          <cell r="AR87">
            <v>1.9417481829103801E-3</v>
          </cell>
          <cell r="BC87">
            <v>1.18506828010929E-3</v>
          </cell>
          <cell r="BF87">
            <v>3.1268164630196701E-3</v>
          </cell>
        </row>
        <row r="88">
          <cell r="O88">
            <v>1.2371344131525399</v>
          </cell>
          <cell r="P88">
            <v>1.2374425164762399</v>
          </cell>
          <cell r="Q88">
            <v>1.2371528209098599</v>
          </cell>
          <cell r="U88">
            <v>1.37211925592883E-3</v>
          </cell>
          <cell r="V88">
            <v>1.9770701247728301E-3</v>
          </cell>
          <cell r="W88">
            <v>1.4078920156213399E-3</v>
          </cell>
          <cell r="Y88">
            <v>1.2358474847357901</v>
          </cell>
          <cell r="Z88">
            <v>1.2357082839501099</v>
          </cell>
          <cell r="AA88">
            <v>1.2356033583864601</v>
          </cell>
          <cell r="AF88">
            <v>-2.4378162548337E-4</v>
          </cell>
          <cell r="AG88">
            <v>-2.9988817570398901E-4</v>
          </cell>
          <cell r="AR88">
            <v>1.9417481829103801E-3</v>
          </cell>
          <cell r="BC88">
            <v>1.18506828010929E-3</v>
          </cell>
          <cell r="BF88">
            <v>3.1268164630196701E-3</v>
          </cell>
        </row>
        <row r="89">
          <cell r="O89">
            <v>1.2371344131525399</v>
          </cell>
          <cell r="P89">
            <v>1.2370024186767301</v>
          </cell>
          <cell r="Q89">
            <v>1.2371341429240701</v>
          </cell>
          <cell r="U89">
            <v>1.1627091881183901E-3</v>
          </cell>
          <cell r="V89">
            <v>1.4117241381896501E-3</v>
          </cell>
          <cell r="W89">
            <v>1.1775884285431101E-3</v>
          </cell>
          <cell r="Y89">
            <v>1.2358474847357901</v>
          </cell>
          <cell r="Z89">
            <v>1.23572585601607</v>
          </cell>
          <cell r="AA89">
            <v>1.23559236318729</v>
          </cell>
          <cell r="AF89">
            <v>-4.3547397633847401E-4</v>
          </cell>
          <cell r="AG89">
            <v>-5.2038885466595302E-4</v>
          </cell>
          <cell r="AR89">
            <v>1.9417481829103801E-3</v>
          </cell>
          <cell r="BC89">
            <v>1.18506828010929E-3</v>
          </cell>
          <cell r="BF89">
            <v>3.1268164630196701E-3</v>
          </cell>
        </row>
        <row r="90">
          <cell r="O90">
            <v>1.2371344131525399</v>
          </cell>
          <cell r="P90">
            <v>1.23652470038325</v>
          </cell>
          <cell r="Q90">
            <v>1.2371140547992201</v>
          </cell>
          <cell r="U90">
            <v>1.37211925592883E-3</v>
          </cell>
          <cell r="V90">
            <v>1.26541984121537E-3</v>
          </cell>
          <cell r="W90">
            <v>1.3719008249333E-3</v>
          </cell>
          <cell r="Y90">
            <v>1.2358474847357901</v>
          </cell>
          <cell r="Z90">
            <v>1.23570658696965</v>
          </cell>
          <cell r="AA90">
            <v>1.2355800640619099</v>
          </cell>
          <cell r="AF90">
            <v>-2.1532742517262399E-4</v>
          </cell>
          <cell r="AG90">
            <v>-3.2336112788786402E-4</v>
          </cell>
          <cell r="AR90">
            <v>1.9417481829103801E-3</v>
          </cell>
          <cell r="BC90">
            <v>1.18506828010929E-3</v>
          </cell>
          <cell r="BF90">
            <v>3.1268164630196701E-3</v>
          </cell>
        </row>
        <row r="91">
          <cell r="O91">
            <v>1.2371344131525399</v>
          </cell>
          <cell r="P91">
            <v>1.23620518582091</v>
          </cell>
          <cell r="Q91">
            <v>1.2371658945238899</v>
          </cell>
          <cell r="U91">
            <v>7.8896226819771299E-4</v>
          </cell>
          <cell r="V91">
            <v>2.9599799651978698E-4</v>
          </cell>
          <cell r="W91">
            <v>7.7250607668481004E-4</v>
          </cell>
          <cell r="Y91">
            <v>1.2358474847357901</v>
          </cell>
          <cell r="Z91">
            <v>1.23584353072246</v>
          </cell>
          <cell r="AA91">
            <v>1.2356388475856499</v>
          </cell>
          <cell r="AF91">
            <v>-8.0599799822679205E-4</v>
          </cell>
          <cell r="AG91">
            <v>-9.0839235850890805E-4</v>
          </cell>
          <cell r="AR91">
            <v>1.9417481829103801E-3</v>
          </cell>
          <cell r="BC91">
            <v>1.18506828010929E-3</v>
          </cell>
          <cell r="BF91">
            <v>3.1268164630196701E-3</v>
          </cell>
        </row>
        <row r="92">
          <cell r="O92">
            <v>1.2371344131525399</v>
          </cell>
          <cell r="P92">
            <v>1.2356572838045501</v>
          </cell>
          <cell r="Q92">
            <v>1.2371270180979399</v>
          </cell>
          <cell r="U92">
            <v>2.2577507819479098E-3</v>
          </cell>
          <cell r="V92">
            <v>1.5063558859635499E-3</v>
          </cell>
          <cell r="W92">
            <v>2.2831974678280799E-3</v>
          </cell>
          <cell r="Y92">
            <v>1.2358474847357901</v>
          </cell>
          <cell r="Z92">
            <v>1.23575601660878</v>
          </cell>
          <cell r="AA92">
            <v>1.2356081582387399</v>
          </cell>
          <cell r="AF92">
            <v>7.5282407306006399E-4</v>
          </cell>
          <cell r="AG92">
            <v>5.8718814615953802E-4</v>
          </cell>
          <cell r="AR92">
            <v>1.9417481829103801E-3</v>
          </cell>
          <cell r="BC92">
            <v>1.18506828010929E-3</v>
          </cell>
          <cell r="BF92">
            <v>3.1268164630196701E-3</v>
          </cell>
        </row>
        <row r="93">
          <cell r="O93">
            <v>1.2371344131525399</v>
          </cell>
          <cell r="P93">
            <v>1.2352655110327599</v>
          </cell>
          <cell r="Q93">
            <v>1.2371729797328801</v>
          </cell>
          <cell r="U93">
            <v>1.2787981829638299E-3</v>
          </cell>
          <cell r="V93">
            <v>8.4092194989267497E-5</v>
          </cell>
          <cell r="W93">
            <v>1.27282059748853E-3</v>
          </cell>
          <cell r="Y93">
            <v>1.2358474847357901</v>
          </cell>
          <cell r="Z93">
            <v>1.2358218926344</v>
          </cell>
          <cell r="AA93">
            <v>1.23566122006542</v>
          </cell>
          <cell r="AF93">
            <v>-2.8309601612703302E-4</v>
          </cell>
          <cell r="AG93">
            <v>-4.0275330639560301E-4</v>
          </cell>
          <cell r="AR93">
            <v>1.9417481829103801E-3</v>
          </cell>
          <cell r="BC93">
            <v>1.18506828010929E-3</v>
          </cell>
          <cell r="BF93">
            <v>3.1268164630196701E-3</v>
          </cell>
        </row>
        <row r="94">
          <cell r="O94">
            <v>1.2371344131525399</v>
          </cell>
          <cell r="P94">
            <v>1.23528848595963</v>
          </cell>
          <cell r="Q94">
            <v>1.2371685049773</v>
          </cell>
          <cell r="U94">
            <v>1.97873040378654E-3</v>
          </cell>
          <cell r="V94">
            <v>4.6691796805606599E-4</v>
          </cell>
          <cell r="W94">
            <v>2.00990404086331E-3</v>
          </cell>
          <cell r="Y94">
            <v>1.2358474847357901</v>
          </cell>
          <cell r="Z94">
            <v>1.2358445970891401</v>
          </cell>
          <cell r="AA94">
            <v>1.2356645769980299</v>
          </cell>
          <cell r="AF94">
            <v>4.5970423640137798E-4</v>
          </cell>
          <cell r="AG94">
            <v>3.2968306135762899E-4</v>
          </cell>
          <cell r="AR94">
            <v>1.9417481829103801E-3</v>
          </cell>
          <cell r="BC94">
            <v>1.18506828010929E-3</v>
          </cell>
          <cell r="BF94">
            <v>3.1268164630196701E-3</v>
          </cell>
        </row>
        <row r="95">
          <cell r="O95">
            <v>1.2371344131525399</v>
          </cell>
          <cell r="P95">
            <v>1.23571357208733</v>
          </cell>
          <cell r="Q95">
            <v>1.23718984310883</v>
          </cell>
          <cell r="U95">
            <v>-1.85360248000396E-3</v>
          </cell>
          <cell r="V95">
            <v>-3.3468159076568602E-3</v>
          </cell>
          <cell r="W95">
            <v>-1.82604576937382E-3</v>
          </cell>
          <cell r="Y95">
            <v>1.2358474847357901</v>
          </cell>
          <cell r="Z95">
            <v>1.23580843653164</v>
          </cell>
          <cell r="AA95">
            <v>1.23568367624732</v>
          </cell>
          <cell r="AF95">
            <v>3.7979116664597798E-4</v>
          </cell>
          <cell r="AG95">
            <v>2.34114918861427E-4</v>
          </cell>
          <cell r="AR95">
            <v>1.9417481829103801E-3</v>
          </cell>
          <cell r="BC95">
            <v>1.18506828010929E-3</v>
          </cell>
          <cell r="BF95">
            <v>3.1268164630196701E-3</v>
          </cell>
        </row>
        <row r="96">
          <cell r="O96">
            <v>1.2371344131525399</v>
          </cell>
          <cell r="P96">
            <v>1.2361624411379299</v>
          </cell>
          <cell r="Q96">
            <v>1.2372789701838001</v>
          </cell>
          <cell r="U96">
            <v>-2.4406237076858598E-3</v>
          </cell>
          <cell r="V96">
            <v>-3.5897774203701499E-3</v>
          </cell>
          <cell r="W96">
            <v>-2.3958195910389899E-3</v>
          </cell>
          <cell r="Y96">
            <v>1.2358474847357901</v>
          </cell>
          <cell r="Z96">
            <v>1.2357950619565099</v>
          </cell>
          <cell r="AA96">
            <v>1.2357695651340901</v>
          </cell>
          <cell r="AF96">
            <v>-2.2473848199138901E-4</v>
          </cell>
          <cell r="AG96">
            <v>-3.2569796616619599E-4</v>
          </cell>
          <cell r="AR96">
            <v>1.9417481829103801E-3</v>
          </cell>
          <cell r="BC96">
            <v>1.18506828010929E-3</v>
          </cell>
          <cell r="BF96">
            <v>3.1268164630196701E-3</v>
          </cell>
        </row>
        <row r="97">
          <cell r="O97">
            <v>1.2371344131525399</v>
          </cell>
          <cell r="P97">
            <v>1.2367318564324501</v>
          </cell>
          <cell r="Q97">
            <v>1.23730745077152</v>
          </cell>
          <cell r="U97">
            <v>-2.6466239331418501E-3</v>
          </cell>
          <cell r="V97">
            <v>-3.4325967636649299E-3</v>
          </cell>
          <cell r="W97">
            <v>-2.5297824769782901E-3</v>
          </cell>
          <cell r="Y97">
            <v>1.2358474847357901</v>
          </cell>
          <cell r="Z97">
            <v>1.23590093505756</v>
          </cell>
          <cell r="AA97">
            <v>1.2357958149914201</v>
          </cell>
          <cell r="AF97">
            <v>-4.4173561040362799E-4</v>
          </cell>
          <cell r="AG97">
            <v>-4.6236774127001801E-4</v>
          </cell>
          <cell r="AR97">
            <v>1.9417481829103801E-3</v>
          </cell>
          <cell r="BC97">
            <v>1.18506828010929E-3</v>
          </cell>
          <cell r="BF97">
            <v>3.1268164630196701E-3</v>
          </cell>
        </row>
        <row r="98">
          <cell r="O98">
            <v>1.2371344131525399</v>
          </cell>
          <cell r="P98">
            <v>1.2372293462422399</v>
          </cell>
          <cell r="Q98">
            <v>1.23733593135924</v>
          </cell>
          <cell r="U98">
            <v>-2.6466239331418501E-3</v>
          </cell>
          <cell r="V98">
            <v>-2.9720713743352002E-3</v>
          </cell>
          <cell r="W98">
            <v>-2.5067640141936401E-3</v>
          </cell>
          <cell r="Y98">
            <v>1.2358474847357901</v>
          </cell>
          <cell r="Z98">
            <v>1.2359358457473799</v>
          </cell>
          <cell r="AA98">
            <v>1.2358220648487399</v>
          </cell>
          <cell r="AF98">
            <v>-3.56067226228313E-4</v>
          </cell>
          <cell r="AG98">
            <v>-4.4112625800810801E-4</v>
          </cell>
          <cell r="AR98">
            <v>1.9417481829103801E-3</v>
          </cell>
          <cell r="BC98">
            <v>1.18506828010929E-3</v>
          </cell>
          <cell r="BF98">
            <v>3.1268164630196701E-3</v>
          </cell>
        </row>
        <row r="99">
          <cell r="O99">
            <v>1.2371344131525399</v>
          </cell>
          <cell r="P99">
            <v>1.2376517978173001</v>
          </cell>
          <cell r="Q99">
            <v>1.2373271082470101</v>
          </cell>
          <cell r="U99">
            <v>-2.2501918169489099E-3</v>
          </cell>
          <cell r="V99">
            <v>-2.1734584834675399E-3</v>
          </cell>
          <cell r="W99">
            <v>-2.0873139650533501E-3</v>
          </cell>
          <cell r="Y99">
            <v>1.2358474847357901</v>
          </cell>
          <cell r="Z99">
            <v>1.2358970137826899</v>
          </cell>
          <cell r="AA99">
            <v>1.2358114348993801</v>
          </cell>
          <cell r="AF99">
            <v>6.2825184701326007E-5</v>
          </cell>
          <cell r="AG99">
            <v>-2.9239574736580599E-5</v>
          </cell>
          <cell r="AR99">
            <v>1.9417481829103801E-3</v>
          </cell>
          <cell r="BC99">
            <v>1.18506828010929E-3</v>
          </cell>
          <cell r="BF99">
            <v>3.1268164630196701E-3</v>
          </cell>
        </row>
        <row r="100">
          <cell r="O100">
            <v>1.2371344131525399</v>
          </cell>
          <cell r="P100">
            <v>1.2380647889065299</v>
          </cell>
          <cell r="Q100">
            <v>1.2372947446448901</v>
          </cell>
          <cell r="U100">
            <v>-1.96517738324372E-3</v>
          </cell>
          <cell r="V100">
            <v>-1.5470526417954501E-3</v>
          </cell>
          <cell r="W100">
            <v>-1.8094302898274499E-3</v>
          </cell>
          <cell r="Y100">
            <v>1.2358474847357901</v>
          </cell>
          <cell r="Z100">
            <v>1.2358495190563099</v>
          </cell>
          <cell r="AA100">
            <v>1.23577805301298</v>
          </cell>
          <cell r="AF100">
            <v>3.07508746946717E-4</v>
          </cell>
          <cell r="AG100">
            <v>2.3826200112387101E-4</v>
          </cell>
          <cell r="AR100">
            <v>1.9417481829103801E-3</v>
          </cell>
          <cell r="BC100">
            <v>1.18506828010929E-3</v>
          </cell>
          <cell r="BF100">
            <v>3.1268164630196701E-3</v>
          </cell>
        </row>
        <row r="101">
          <cell r="O101">
            <v>1.2371344131525399</v>
          </cell>
          <cell r="P101">
            <v>1.23844302620963</v>
          </cell>
          <cell r="Q101">
            <v>1.23732410601527</v>
          </cell>
          <cell r="U101">
            <v>-2.2661455061135302E-3</v>
          </cell>
          <cell r="V101">
            <v>-1.5143871853850999E-3</v>
          </cell>
          <cell r="W101">
            <v>-2.13655481480899E-3</v>
          </cell>
          <cell r="Y101">
            <v>1.2358474847357901</v>
          </cell>
          <cell r="Z101">
            <v>1.23576776876996</v>
          </cell>
          <cell r="AA101">
            <v>1.23580564974621</v>
          </cell>
          <cell r="AF101">
            <v>-2.9083677017156599E-5</v>
          </cell>
          <cell r="AG101">
            <v>-8.6912812891431506E-5</v>
          </cell>
          <cell r="AR101">
            <v>1.9417481829103801E-3</v>
          </cell>
          <cell r="BC101">
            <v>1.18506828010929E-3</v>
          </cell>
          <cell r="BF101">
            <v>3.1268164630196701E-3</v>
          </cell>
        </row>
        <row r="102">
          <cell r="O102">
            <v>1.2371344131525399</v>
          </cell>
          <cell r="P102">
            <v>1.2389909282259799</v>
          </cell>
          <cell r="Q102">
            <v>1.23732410601527</v>
          </cell>
          <cell r="U102">
            <v>-2.1712365928822199E-3</v>
          </cell>
          <cell r="V102">
            <v>-1.11401805617511E-3</v>
          </cell>
          <cell r="W102">
            <v>-2.01791588725817E-3</v>
          </cell>
          <cell r="Y102">
            <v>1.2358474847357901</v>
          </cell>
          <cell r="Z102">
            <v>1.23585360129432</v>
          </cell>
          <cell r="AA102">
            <v>1.2358048089515501</v>
          </cell>
          <cell r="AF102">
            <v>-3.2890844580393402E-6</v>
          </cell>
          <cell r="AG102">
            <v>2.73642442837827E-5</v>
          </cell>
          <cell r="AR102">
            <v>1.9417481829103801E-3</v>
          </cell>
          <cell r="BC102">
            <v>1.18506828010929E-3</v>
          </cell>
          <cell r="BF102">
            <v>3.1268164630196701E-3</v>
          </cell>
        </row>
        <row r="103">
          <cell r="O103">
            <v>1.2371344131525399</v>
          </cell>
          <cell r="P103">
            <v>1.2393944340260299</v>
          </cell>
          <cell r="Q103">
            <v>1.2373299725294</v>
          </cell>
          <cell r="U103">
            <v>-1.9816708123105201E-3</v>
          </cell>
          <cell r="V103">
            <v>-4.8213814302440797E-4</v>
          </cell>
          <cell r="W103">
            <v>-1.82835010668633E-3</v>
          </cell>
          <cell r="Y103">
            <v>1.2358474847357901</v>
          </cell>
          <cell r="Z103">
            <v>1.23579750120196</v>
          </cell>
          <cell r="AA103">
            <v>1.23580969691818</v>
          </cell>
          <cell r="AF103">
            <v>2.4981683973249299E-4</v>
          </cell>
          <cell r="AG103">
            <v>2.10335378562441E-4</v>
          </cell>
          <cell r="AR103">
            <v>1.9417481829103801E-3</v>
          </cell>
          <cell r="BC103">
            <v>1.18506828010929E-3</v>
          </cell>
          <cell r="BF103">
            <v>3.1268164630196701E-3</v>
          </cell>
        </row>
        <row r="104">
          <cell r="O104">
            <v>1.2371344131525399</v>
          </cell>
          <cell r="P104">
            <v>1.2395155413215699</v>
          </cell>
          <cell r="Q104">
            <v>1.2374020136406001</v>
          </cell>
          <cell r="U104">
            <v>9.9833816839695207E-4</v>
          </cell>
          <cell r="V104">
            <v>2.8234907430954902E-3</v>
          </cell>
          <cell r="W104">
            <v>1.1564001541702199E-3</v>
          </cell>
          <cell r="Y104">
            <v>1.2358474847357901</v>
          </cell>
          <cell r="Z104">
            <v>1.2359119066430599</v>
          </cell>
          <cell r="AA104">
            <v>1.2358782518661</v>
          </cell>
          <cell r="AF104">
            <v>-4.8577377140573698E-4</v>
          </cell>
          <cell r="AG104">
            <v>-4.7590511895373899E-4</v>
          </cell>
          <cell r="AR104">
            <v>1.9417481829103801E-3</v>
          </cell>
          <cell r="BC104">
            <v>1.18506828010929E-3</v>
          </cell>
          <cell r="BF104">
            <v>3.1268164630196701E-3</v>
          </cell>
        </row>
        <row r="105">
          <cell r="O105">
            <v>1.2371344131525399</v>
          </cell>
          <cell r="P105">
            <v>1.2391625668990101</v>
          </cell>
          <cell r="Q105">
            <v>1.2374380694931699</v>
          </cell>
          <cell r="U105">
            <v>9.9833816839695207E-4</v>
          </cell>
          <cell r="V105">
            <v>2.9212008631384202E-3</v>
          </cell>
          <cell r="W105">
            <v>1.214621498241E-3</v>
          </cell>
          <cell r="Y105">
            <v>1.2358474847357901</v>
          </cell>
          <cell r="Z105">
            <v>1.23601417081319</v>
          </cell>
          <cell r="AA105">
            <v>1.2359113036724201</v>
          </cell>
          <cell r="AF105">
            <v>-3.9320185270057799E-4</v>
          </cell>
          <cell r="AG105">
            <v>-4.2043294822706299E-4</v>
          </cell>
          <cell r="AR105">
            <v>1.9417481829103801E-3</v>
          </cell>
          <cell r="BC105">
            <v>1.18506828010929E-3</v>
          </cell>
          <cell r="BF105">
            <v>3.1268164630196701E-3</v>
          </cell>
        </row>
        <row r="106">
          <cell r="O106">
            <v>1.2371344131525399</v>
          </cell>
          <cell r="P106">
            <v>1.23868777031431</v>
          </cell>
          <cell r="Q106">
            <v>1.2374251057261201</v>
          </cell>
          <cell r="U106">
            <v>1.39524232125557E-3</v>
          </cell>
          <cell r="V106">
            <v>3.0332964127574402E-3</v>
          </cell>
          <cell r="W106">
            <v>1.6406635762678901E-3</v>
          </cell>
          <cell r="Y106">
            <v>1.2358474847357901</v>
          </cell>
          <cell r="Z106">
            <v>1.2359971757825501</v>
          </cell>
          <cell r="AA106">
            <v>1.2358961188695301</v>
          </cell>
          <cell r="AF106">
            <v>7.9225259816944599E-5</v>
          </cell>
          <cell r="AG106">
            <v>-4.0030914404322698E-6</v>
          </cell>
          <cell r="AR106">
            <v>1.9417481829103801E-3</v>
          </cell>
          <cell r="BC106">
            <v>1.18506828010929E-3</v>
          </cell>
          <cell r="BF106">
            <v>3.1268164630196701E-3</v>
          </cell>
        </row>
        <row r="107">
          <cell r="O107">
            <v>1.2371344131525399</v>
          </cell>
          <cell r="P107">
            <v>1.2382855111236899</v>
          </cell>
          <cell r="Q107">
            <v>1.23750868377807</v>
          </cell>
          <cell r="U107">
            <v>6.0159148594598805E-4</v>
          </cell>
          <cell r="V107">
            <v>1.85641291533871E-3</v>
          </cell>
          <cell r="W107">
            <v>8.3653639044181302E-4</v>
          </cell>
          <cell r="Y107">
            <v>1.2358474847357901</v>
          </cell>
          <cell r="Z107">
            <v>1.2360510359541901</v>
          </cell>
          <cell r="AA107">
            <v>1.2359759855058801</v>
          </cell>
          <cell r="AF107">
            <v>-7.1374617829916603E-4</v>
          </cell>
          <cell r="AG107">
            <v>-7.9551096425892404E-4</v>
          </cell>
          <cell r="AR107">
            <v>1.9417481829103801E-3</v>
          </cell>
          <cell r="BC107">
            <v>1.18506828010929E-3</v>
          </cell>
          <cell r="BF107">
            <v>3.1268164630196701E-3</v>
          </cell>
        </row>
        <row r="108">
          <cell r="O108">
            <v>1.2371344131525399</v>
          </cell>
          <cell r="P108">
            <v>1.2377707357818999</v>
          </cell>
          <cell r="Q108">
            <v>1.23750004101207</v>
          </cell>
          <cell r="U108">
            <v>1.5120432359844701E-3</v>
          </cell>
          <cell r="V108">
            <v>2.4420656881967398E-3</v>
          </cell>
          <cell r="W108">
            <v>1.81452776706262E-3</v>
          </cell>
          <cell r="Y108">
            <v>1.2358474847357901</v>
          </cell>
          <cell r="Z108">
            <v>1.2359944548228099</v>
          </cell>
          <cell r="AA108">
            <v>1.2359651502850899</v>
          </cell>
          <cell r="AF108">
            <v>2.23130596272667E-4</v>
          </cell>
          <cell r="AG108">
            <v>1.6241083254230499E-4</v>
          </cell>
          <cell r="AR108">
            <v>1.9417481829103801E-3</v>
          </cell>
          <cell r="BC108">
            <v>1.18506828010929E-3</v>
          </cell>
          <cell r="BF108">
            <v>3.1268164630196701E-3</v>
          </cell>
        </row>
        <row r="109">
          <cell r="O109">
            <v>1.2371344131525399</v>
          </cell>
          <cell r="P109">
            <v>1.23729357505476</v>
          </cell>
          <cell r="Q109">
            <v>1.2374726864360299</v>
          </cell>
          <cell r="U109">
            <v>1.60554650588533E-3</v>
          </cell>
          <cell r="V109">
            <v>2.1197663285384399E-3</v>
          </cell>
          <cell r="W109">
            <v>1.90104700825591E-3</v>
          </cell>
          <cell r="Y109">
            <v>1.2358474847357901</v>
          </cell>
          <cell r="Z109">
            <v>1.23597479281057</v>
          </cell>
          <cell r="AA109">
            <v>1.2359359032966299</v>
          </cell>
          <cell r="AF109">
            <v>2.6935354584188998E-4</v>
          </cell>
          <cell r="AG109">
            <v>2.4564398549320601E-4</v>
          </cell>
          <cell r="AR109">
            <v>1.9417481829103801E-3</v>
          </cell>
          <cell r="BC109">
            <v>1.18506828010929E-3</v>
          </cell>
          <cell r="BF109">
            <v>3.1268164630196701E-3</v>
          </cell>
        </row>
        <row r="110">
          <cell r="O110">
            <v>1.2371344131525399</v>
          </cell>
          <cell r="P110">
            <v>1.2368777272870199</v>
          </cell>
          <cell r="Q110">
            <v>1.2374712580967699</v>
          </cell>
          <cell r="U110">
            <v>1.39524232125557E-3</v>
          </cell>
          <cell r="V110">
            <v>1.52388773199526E-3</v>
          </cell>
          <cell r="W110">
            <v>1.66863787213475E-3</v>
          </cell>
          <cell r="Y110">
            <v>1.2358474847357901</v>
          </cell>
          <cell r="Z110">
            <v>1.23601471561851</v>
          </cell>
          <cell r="AA110">
            <v>1.23593211733741</v>
          </cell>
          <cell r="AF110">
            <v>4.7365892152459898E-5</v>
          </cell>
          <cell r="AG110">
            <v>1.59007473938713E-5</v>
          </cell>
          <cell r="AR110">
            <v>1.9417481829103801E-3</v>
          </cell>
          <cell r="BC110">
            <v>1.18506828010929E-3</v>
          </cell>
          <cell r="BF110">
            <v>3.1268164630196701E-3</v>
          </cell>
        </row>
        <row r="111">
          <cell r="O111">
            <v>1.2371344131525399</v>
          </cell>
          <cell r="P111">
            <v>1.2363264795617299</v>
          </cell>
          <cell r="Q111">
            <v>1.2373847528856801</v>
          </cell>
          <cell r="U111">
            <v>2.18952353854992E-3</v>
          </cell>
          <cell r="V111">
            <v>1.9820177933321101E-3</v>
          </cell>
          <cell r="W111">
            <v>2.4617648497444601E-3</v>
          </cell>
          <cell r="Y111">
            <v>1.2358474847357901</v>
          </cell>
          <cell r="Z111">
            <v>1.23592145169071</v>
          </cell>
          <cell r="AA111">
            <v>1.23584461023034</v>
          </cell>
          <cell r="AF111">
            <v>8.59495171742511E-4</v>
          </cell>
          <cell r="AG111">
            <v>7.9266664611982098E-4</v>
          </cell>
          <cell r="AR111">
            <v>1.9417481829103801E-3</v>
          </cell>
          <cell r="BC111">
            <v>1.18506828010929E-3</v>
          </cell>
          <cell r="BF111">
            <v>3.1268164630196701E-3</v>
          </cell>
        </row>
        <row r="112">
          <cell r="O112">
            <v>1.2371344131525399</v>
          </cell>
          <cell r="P112">
            <v>1.23580152998638</v>
          </cell>
          <cell r="Q112">
            <v>1.23739622910618</v>
          </cell>
          <cell r="U112">
            <v>2.0718196361017198E-3</v>
          </cell>
          <cell r="V112">
            <v>1.4185377330592601E-3</v>
          </cell>
          <cell r="W112">
            <v>2.2741536793588601E-3</v>
          </cell>
          <cell r="Y112">
            <v>1.2358474847357901</v>
          </cell>
          <cell r="Z112">
            <v>1.23585374755477</v>
          </cell>
          <cell r="AA112">
            <v>1.2358536744245401</v>
          </cell>
          <cell r="AF112">
            <v>6.6908484465771196E-4</v>
          </cell>
          <cell r="AG112">
            <v>6.0690949433994603E-4</v>
          </cell>
          <cell r="AR112">
            <v>1.9417481829103801E-3</v>
          </cell>
          <cell r="BC112">
            <v>1.18506828010929E-3</v>
          </cell>
          <cell r="BF112">
            <v>3.1268164630196701E-3</v>
          </cell>
        </row>
        <row r="113">
          <cell r="O113">
            <v>1.2371344131525399</v>
          </cell>
          <cell r="P113">
            <v>1.2354095652632</v>
          </cell>
          <cell r="Q113">
            <v>1.2374019996446199</v>
          </cell>
          <cell r="U113">
            <v>1.1853943843906901E-3</v>
          </cell>
          <cell r="V113">
            <v>1.07417982349849E-4</v>
          </cell>
          <cell r="W113">
            <v>1.39700296191003E-3</v>
          </cell>
          <cell r="Y113">
            <v>1.2358474847357901</v>
          </cell>
          <cell r="Z113">
            <v>1.23591630046222</v>
          </cell>
          <cell r="AA113">
            <v>1.2358569008320901</v>
          </cell>
          <cell r="AF113">
            <v>-2.5621459369365001E-4</v>
          </cell>
          <cell r="AG113">
            <v>-2.5627376754794101E-4</v>
          </cell>
          <cell r="AR113">
            <v>1.9417481829103801E-3</v>
          </cell>
          <cell r="BC113">
            <v>1.18506828010929E-3</v>
          </cell>
          <cell r="BF113">
            <v>3.1268164630196701E-3</v>
          </cell>
        </row>
        <row r="114">
          <cell r="O114">
            <v>1.2371344131525399</v>
          </cell>
          <cell r="P114">
            <v>1.23531443066684</v>
          </cell>
          <cell r="Q114">
            <v>1.2374149859942001</v>
          </cell>
          <cell r="U114">
            <v>1.7683942759748601E-3</v>
          </cell>
          <cell r="V114">
            <v>3.7319307090886202E-4</v>
          </cell>
          <cell r="W114">
            <v>1.9846662950395301E-3</v>
          </cell>
          <cell r="Y114">
            <v>1.2358474847357901</v>
          </cell>
          <cell r="Z114">
            <v>1.2358227588392401</v>
          </cell>
          <cell r="AA114">
            <v>1.23586733274115</v>
          </cell>
          <cell r="AF114">
            <v>3.6720525426180601E-4</v>
          </cell>
          <cell r="AG114">
            <v>3.1914289149278803E-4</v>
          </cell>
          <cell r="AR114">
            <v>1.9417481829103801E-3</v>
          </cell>
          <cell r="BC114">
            <v>1.18506828010929E-3</v>
          </cell>
          <cell r="BF114">
            <v>3.1268164630196701E-3</v>
          </cell>
        </row>
        <row r="115">
          <cell r="O115">
            <v>1.2371344131525399</v>
          </cell>
          <cell r="P115">
            <v>1.23521929607047</v>
          </cell>
          <cell r="Q115">
            <v>1.23719093148474</v>
          </cell>
          <cell r="U115">
            <v>1.7683942759748601E-3</v>
          </cell>
          <cell r="V115">
            <v>2.9618358172859698E-4</v>
          </cell>
          <cell r="W115">
            <v>1.9951610909451699E-3</v>
          </cell>
          <cell r="Y115">
            <v>1.2358474847357901</v>
          </cell>
          <cell r="Z115">
            <v>1.23572921721625</v>
          </cell>
          <cell r="AA115">
            <v>1.2358716940147201</v>
          </cell>
          <cell r="AF115">
            <v>2.9151633987008099E-4</v>
          </cell>
          <cell r="AG115">
            <v>3.2758388900927402E-4</v>
          </cell>
          <cell r="AR115">
            <v>1.9417481829103801E-3</v>
          </cell>
          <cell r="BC115">
            <v>1.18506828010929E-3</v>
          </cell>
          <cell r="BF115">
            <v>3.1268164630196701E-3</v>
          </cell>
        </row>
        <row r="116">
          <cell r="O116">
            <v>1.2371344131525399</v>
          </cell>
          <cell r="P116">
            <v>1.23524240942486</v>
          </cell>
          <cell r="Q116">
            <v>1.2369650898695801</v>
          </cell>
          <cell r="U116">
            <v>1.2081691909005101E-3</v>
          </cell>
          <cell r="V116">
            <v>-3.4105692344450598E-4</v>
          </cell>
          <cell r="W116">
            <v>1.25385302333024E-3</v>
          </cell>
          <cell r="Y116">
            <v>1.2358474847357901</v>
          </cell>
          <cell r="Z116">
            <v>1.23575196796241</v>
          </cell>
          <cell r="AA116">
            <v>1.23587457187248</v>
          </cell>
          <cell r="AF116">
            <v>-3.35406715137093E-4</v>
          </cell>
          <cell r="AG116">
            <v>-2.20115611316914E-4</v>
          </cell>
          <cell r="AR116">
            <v>1.9417481829103801E-3</v>
          </cell>
          <cell r="BC116">
            <v>1.18506828010929E-3</v>
          </cell>
          <cell r="BF116">
            <v>3.1268164630196701E-3</v>
          </cell>
        </row>
        <row r="117">
          <cell r="O117">
            <v>1.2371344131525399</v>
          </cell>
          <cell r="P117">
            <v>1.2351443221271601</v>
          </cell>
          <cell r="Q117">
            <v>1.2367149166254201</v>
          </cell>
          <cell r="U117">
            <v>1.39524232125557E-3</v>
          </cell>
          <cell r="V117">
            <v>-1.3527202407907299E-4</v>
          </cell>
          <cell r="W117">
            <v>1.25836562489299E-3</v>
          </cell>
          <cell r="Y117">
            <v>1.2358474847357901</v>
          </cell>
          <cell r="Z117">
            <v>1.2356556251825099</v>
          </cell>
          <cell r="AA117">
            <v>1.2358533305683499</v>
          </cell>
          <cell r="AF117">
            <v>-1.3293304080179601E-4</v>
          </cell>
          <cell r="AG117">
            <v>-3.3723950600760802E-5</v>
          </cell>
          <cell r="AR117">
            <v>1.9417481829103801E-3</v>
          </cell>
          <cell r="BC117">
            <v>1.18506828010929E-3</v>
          </cell>
          <cell r="BF117">
            <v>3.1268164630196701E-3</v>
          </cell>
        </row>
        <row r="118">
          <cell r="O118">
            <v>1.2371344131525399</v>
          </cell>
          <cell r="P118">
            <v>1.2356453721581599</v>
          </cell>
          <cell r="Q118">
            <v>1.2367080539700299</v>
          </cell>
          <cell r="U118">
            <v>-2.5359666728150599E-3</v>
          </cell>
          <cell r="V118">
            <v>-4.1458914978885798E-3</v>
          </cell>
          <cell r="W118">
            <v>-2.8751114429410199E-3</v>
          </cell>
          <cell r="Y118">
            <v>1.2358474847357901</v>
          </cell>
          <cell r="Z118">
            <v>1.2356978309957001</v>
          </cell>
          <cell r="AA118">
            <v>1.23584614290925</v>
          </cell>
          <cell r="AF118">
            <v>-4.3829377086770498E-4</v>
          </cell>
          <cell r="AG118">
            <v>-2.7830617640370699E-4</v>
          </cell>
          <cell r="AR118">
            <v>1.9417481829103801E-3</v>
          </cell>
          <cell r="BC118">
            <v>1.18506828010929E-3</v>
          </cell>
          <cell r="BF118">
            <v>3.1268164630196701E-3</v>
          </cell>
        </row>
        <row r="119">
          <cell r="O119">
            <v>1.2371344131525399</v>
          </cell>
          <cell r="P119">
            <v>1.23619535978858</v>
          </cell>
          <cell r="Q119">
            <v>1.2367444674216701</v>
          </cell>
          <cell r="U119">
            <v>-2.8373703901368101E-3</v>
          </cell>
          <cell r="V119">
            <v>-4.0417163518774203E-3</v>
          </cell>
          <cell r="W119">
            <v>-3.1820642761815998E-3</v>
          </cell>
          <cell r="Y119">
            <v>1.2358474847357901</v>
          </cell>
          <cell r="Z119">
            <v>1.2357881894646701</v>
          </cell>
          <cell r="AA119">
            <v>1.2358814911376199</v>
          </cell>
          <cell r="AF119">
            <v>-7.0165180427773802E-4</v>
          </cell>
          <cell r="AG119">
            <v>-5.81636206497596E-4</v>
          </cell>
          <cell r="AR119">
            <v>1.9417481829103801E-3</v>
          </cell>
          <cell r="BC119">
            <v>1.18506828010929E-3</v>
          </cell>
          <cell r="BF119">
            <v>3.1268164630196701E-3</v>
          </cell>
        </row>
        <row r="120">
          <cell r="O120">
            <v>1.2371344131525399</v>
          </cell>
          <cell r="P120">
            <v>1.23664654206844</v>
          </cell>
          <cell r="Q120">
            <v>1.23676213467773</v>
          </cell>
          <cell r="U120">
            <v>-2.2501918169489099E-3</v>
          </cell>
          <cell r="V120">
            <v>-3.0095352893464802E-3</v>
          </cell>
          <cell r="W120">
            <v>-2.5654422822491202E-3</v>
          </cell>
          <cell r="Y120">
            <v>1.2358474847357901</v>
          </cell>
          <cell r="Z120">
            <v>1.2357822044112501</v>
          </cell>
          <cell r="AA120">
            <v>1.2358984600148799</v>
          </cell>
          <cell r="AF120">
            <v>-5.5194949735595297E-5</v>
          </cell>
          <cell r="AG120">
            <v>2.0301928935579E-5</v>
          </cell>
          <cell r="AR120">
            <v>1.9417481829103801E-3</v>
          </cell>
          <cell r="BC120">
            <v>1.18506828010929E-3</v>
          </cell>
          <cell r="BF120">
            <v>3.1268164630196701E-3</v>
          </cell>
        </row>
        <row r="121">
          <cell r="O121">
            <v>1.2371344131525399</v>
          </cell>
          <cell r="P121">
            <v>1.2371840218996899</v>
          </cell>
          <cell r="Q121">
            <v>1.23675525073071</v>
          </cell>
          <cell r="U121">
            <v>-2.1551026649516999E-3</v>
          </cell>
          <cell r="V121">
            <v>-2.5495362055601299E-3</v>
          </cell>
          <cell r="W121">
            <v>-2.4560679401147301E-3</v>
          </cell>
          <cell r="Y121">
            <v>1.2358474847357901</v>
          </cell>
          <cell r="Z121">
            <v>1.2358612198831</v>
          </cell>
          <cell r="AA121">
            <v>1.2358913357869099</v>
          </cell>
          <cell r="AF121">
            <v>3.1742620943974497E-5</v>
          </cell>
          <cell r="AG121">
            <v>1.2581270482661799E-4</v>
          </cell>
          <cell r="AR121">
            <v>1.9417481829103801E-3</v>
          </cell>
          <cell r="BC121">
            <v>1.18506828010929E-3</v>
          </cell>
          <cell r="BF121">
            <v>3.1268164630196701E-3</v>
          </cell>
        </row>
        <row r="122">
          <cell r="O122">
            <v>1.2371344131525399</v>
          </cell>
          <cell r="P122">
            <v>1.23768342640315</v>
          </cell>
          <cell r="Q122">
            <v>1.23674247819477</v>
          </cell>
          <cell r="U122">
            <v>-1.96517738324372E-3</v>
          </cell>
          <cell r="V122">
            <v>-1.9250784643239001E-3</v>
          </cell>
          <cell r="W122">
            <v>-2.2717087781857202E-3</v>
          </cell>
          <cell r="Y122">
            <v>1.2358474847357901</v>
          </cell>
          <cell r="Z122">
            <v>1.23590338667969</v>
          </cell>
          <cell r="AA122">
            <v>1.2358785671172301</v>
          </cell>
          <cell r="AF122">
            <v>2.7900224274277302E-4</v>
          </cell>
          <cell r="AG122">
            <v>3.0337029992439502E-4</v>
          </cell>
          <cell r="AR122">
            <v>1.9417481829103801E-3</v>
          </cell>
          <cell r="BC122">
            <v>1.18506828010929E-3</v>
          </cell>
          <cell r="BF122">
            <v>3.1268164630196701E-3</v>
          </cell>
        </row>
        <row r="123">
          <cell r="O123">
            <v>1.2371344131525399</v>
          </cell>
          <cell r="P123">
            <v>1.2381224384384599</v>
          </cell>
          <cell r="Q123">
            <v>1.23676600185083</v>
          </cell>
          <cell r="U123">
            <v>-2.3611385842199199E-3</v>
          </cell>
          <cell r="V123">
            <v>-1.91745885083332E-3</v>
          </cell>
          <cell r="W123">
            <v>-2.6779974889005699E-3</v>
          </cell>
          <cell r="Y123">
            <v>1.2358474847357901</v>
          </cell>
          <cell r="Z123">
            <v>1.23588603293796</v>
          </cell>
          <cell r="AA123">
            <v>1.2359011667000901</v>
          </cell>
          <cell r="AF123">
            <v>-7.5656604900974602E-5</v>
          </cell>
          <cell r="AG123">
            <v>-9.5738928442116805E-5</v>
          </cell>
          <cell r="AR123">
            <v>1.9417481829103801E-3</v>
          </cell>
          <cell r="BC123">
            <v>1.18506828010929E-3</v>
          </cell>
          <cell r="BF123">
            <v>3.1268164630196701E-3</v>
          </cell>
        </row>
        <row r="124">
          <cell r="O124">
            <v>1.2371344131525399</v>
          </cell>
          <cell r="P124">
            <v>1.2385843771537199</v>
          </cell>
          <cell r="Q124">
            <v>1.23694940391028</v>
          </cell>
          <cell r="U124">
            <v>-1.96517738324372E-3</v>
          </cell>
          <cell r="V124">
            <v>-1.1668559179309099E-3</v>
          </cell>
          <cell r="W124">
            <v>-2.2630158105278902E-3</v>
          </cell>
          <cell r="Y124">
            <v>1.2358474847357901</v>
          </cell>
          <cell r="Z124">
            <v>1.23589142404893</v>
          </cell>
          <cell r="AA124">
            <v>1.2358570914440801</v>
          </cell>
          <cell r="AF124">
            <v>2.99079582633148E-4</v>
          </cell>
          <cell r="AG124">
            <v>3.1132478087136603E-4</v>
          </cell>
          <cell r="AR124">
            <v>1.9417481829103801E-3</v>
          </cell>
          <cell r="BC124">
            <v>1.18506828010929E-3</v>
          </cell>
          <cell r="BF124">
            <v>3.1268164630196701E-3</v>
          </cell>
        </row>
        <row r="125">
          <cell r="O125">
            <v>1.2371344131525399</v>
          </cell>
          <cell r="P125">
            <v>1.23862760019254</v>
          </cell>
          <cell r="Q125">
            <v>1.2369234481314999</v>
          </cell>
          <cell r="U125">
            <v>1.4184568259132601E-3</v>
          </cell>
          <cell r="V125">
            <v>2.5898048583703798E-3</v>
          </cell>
          <cell r="W125">
            <v>1.2688990451070099E-3</v>
          </cell>
          <cell r="Y125">
            <v>1.2358474847357901</v>
          </cell>
          <cell r="Z125">
            <v>1.23592573305689</v>
          </cell>
          <cell r="AA125">
            <v>1.2358274751365701</v>
          </cell>
          <cell r="AF125">
            <v>6.9413968761151303E-5</v>
          </cell>
          <cell r="AG125">
            <v>4.1633954221572403E-5</v>
          </cell>
          <cell r="AR125">
            <v>1.9417481829103801E-3</v>
          </cell>
          <cell r="BC125">
            <v>1.18506828010929E-3</v>
          </cell>
          <cell r="BF125">
            <v>3.1268164630196701E-3</v>
          </cell>
        </row>
        <row r="126">
          <cell r="O126">
            <v>1.2371344131525399</v>
          </cell>
          <cell r="P126">
            <v>1.2386044868381501</v>
          </cell>
          <cell r="Q126">
            <v>1.2369234481314999</v>
          </cell>
          <cell r="U126">
            <v>1.39524232125557E-3</v>
          </cell>
          <cell r="V126">
            <v>2.6014868738467199E-3</v>
          </cell>
          <cell r="W126">
            <v>1.2247006174029901E-3</v>
          </cell>
          <cell r="Y126">
            <v>1.2358474847357901</v>
          </cell>
          <cell r="Z126">
            <v>1.2358946462517</v>
          </cell>
          <cell r="AA126">
            <v>1.2358233071070499</v>
          </cell>
          <cell r="AF126">
            <v>7.5122625761296096E-5</v>
          </cell>
          <cell r="AG126">
            <v>-4.3820109052552303E-6</v>
          </cell>
          <cell r="AR126">
            <v>1.9417481829103801E-3</v>
          </cell>
          <cell r="BC126">
            <v>1.18506828010929E-3</v>
          </cell>
          <cell r="BF126">
            <v>3.1268164630196701E-3</v>
          </cell>
        </row>
        <row r="127">
          <cell r="O127">
            <v>1.2371344131525399</v>
          </cell>
          <cell r="P127">
            <v>1.2386044868381501</v>
          </cell>
          <cell r="Q127">
            <v>1.2368744044826601</v>
          </cell>
          <cell r="U127">
            <v>1.39524232125557E-3</v>
          </cell>
          <cell r="V127">
            <v>2.5828262449036701E-3</v>
          </cell>
          <cell r="W127">
            <v>1.2247006174029901E-3</v>
          </cell>
          <cell r="Y127">
            <v>1.2358474847357901</v>
          </cell>
          <cell r="Z127">
            <v>1.23588631019266</v>
          </cell>
          <cell r="AA127">
            <v>1.2357709676875801</v>
          </cell>
          <cell r="AF127">
            <v>4.9969661201171901E-5</v>
          </cell>
          <cell r="AG127">
            <v>-7.75467952679568E-6</v>
          </cell>
          <cell r="AR127">
            <v>1.9417481829103801E-3</v>
          </cell>
          <cell r="BC127">
            <v>1.18506828010929E-3</v>
          </cell>
          <cell r="BF127">
            <v>3.1268164630196701E-3</v>
          </cell>
        </row>
        <row r="128">
          <cell r="O128">
            <v>1.2371344131525399</v>
          </cell>
          <cell r="P128">
            <v>1.23815255272071</v>
          </cell>
          <cell r="Q128">
            <v>1.23689896243943</v>
          </cell>
          <cell r="U128">
            <v>1.11450794949286E-3</v>
          </cell>
          <cell r="V128">
            <v>2.3020918731408101E-3</v>
          </cell>
          <cell r="W128">
            <v>9.0431575536103299E-4</v>
          </cell>
          <cell r="Y128">
            <v>1.2358474847357901</v>
          </cell>
          <cell r="Z128">
            <v>1.2358838738618401</v>
          </cell>
          <cell r="AA128">
            <v>1.23579085242877</v>
          </cell>
          <cell r="AF128">
            <v>-2.31912359608177E-4</v>
          </cell>
          <cell r="AG128">
            <v>-3.25244478256678E-4</v>
          </cell>
          <cell r="AR128">
            <v>1.9417481829103801E-3</v>
          </cell>
          <cell r="BC128">
            <v>1.18506828010929E-3</v>
          </cell>
          <cell r="BF128">
            <v>3.1268164630196701E-3</v>
          </cell>
        </row>
        <row r="129">
          <cell r="O129">
            <v>1.2371344131525399</v>
          </cell>
          <cell r="P129">
            <v>1.2376141146841</v>
          </cell>
          <cell r="Q129">
            <v>1.23690473723634</v>
          </cell>
          <cell r="U129">
            <v>1.5120432359844701E-3</v>
          </cell>
          <cell r="V129">
            <v>2.3346869452763202E-3</v>
          </cell>
          <cell r="W129">
            <v>1.3217056955626299E-3</v>
          </cell>
          <cell r="Y129">
            <v>1.2358474847357901</v>
          </cell>
          <cell r="Z129">
            <v>1.23579658690314</v>
          </cell>
          <cell r="AA129">
            <v>1.2357923881838999</v>
          </cell>
          <cell r="AF129">
            <v>1.5502544138753E-4</v>
          </cell>
          <cell r="AG129">
            <v>7.9755477970588697E-5</v>
          </cell>
          <cell r="AR129">
            <v>1.9417481829103801E-3</v>
          </cell>
          <cell r="BC129">
            <v>1.18506828010929E-3</v>
          </cell>
          <cell r="BF129">
            <v>3.1268164630196701E-3</v>
          </cell>
        </row>
        <row r="130">
          <cell r="O130">
            <v>1.2371344131525399</v>
          </cell>
          <cell r="P130">
            <v>1.2370763479839499</v>
          </cell>
          <cell r="Q130">
            <v>1.2368614450261901</v>
          </cell>
          <cell r="U130">
            <v>2.0963440617496501E-3</v>
          </cell>
          <cell r="V130">
            <v>2.48402105775684E-3</v>
          </cell>
          <cell r="W130">
            <v>1.9106752805396099E-3</v>
          </cell>
          <cell r="Y130">
            <v>1.2358474847357901</v>
          </cell>
          <cell r="Z130">
            <v>1.23570951991602</v>
          </cell>
          <cell r="AA130">
            <v>1.2357458621636399</v>
          </cell>
          <cell r="AF130">
            <v>6.5635582987105595E-4</v>
          </cell>
          <cell r="AG130">
            <v>6.5295824291262505E-4</v>
          </cell>
          <cell r="AR130">
            <v>1.9417481829103801E-3</v>
          </cell>
          <cell r="BC130">
            <v>1.18506828010929E-3</v>
          </cell>
          <cell r="BF130">
            <v>3.1268164630196701E-3</v>
          </cell>
        </row>
        <row r="131">
          <cell r="O131">
            <v>1.2371344131525399</v>
          </cell>
          <cell r="P131">
            <v>1.2366225265969299</v>
          </cell>
          <cell r="Q131">
            <v>1.2369032742483099</v>
          </cell>
          <cell r="U131">
            <v>1.5120432359844701E-3</v>
          </cell>
          <cell r="V131">
            <v>1.4651069203652899E-3</v>
          </cell>
          <cell r="W131">
            <v>1.2913734021607001E-3</v>
          </cell>
          <cell r="Y131">
            <v>1.2358474847357901</v>
          </cell>
          <cell r="Z131">
            <v>1.23570445163614</v>
          </cell>
          <cell r="AA131">
            <v>1.2357828357596199</v>
          </cell>
          <cell r="AF131">
            <v>1.3939171662285499E-5</v>
          </cell>
          <cell r="AG131">
            <v>4.3348763985548299E-5</v>
          </cell>
          <cell r="AR131">
            <v>1.9417481829103801E-3</v>
          </cell>
          <cell r="BC131">
            <v>1.18506828010929E-3</v>
          </cell>
          <cell r="BF131">
            <v>3.1268164630196701E-3</v>
          </cell>
        </row>
        <row r="132">
          <cell r="O132">
            <v>1.2371344131525399</v>
          </cell>
          <cell r="P132">
            <v>1.2362761553214101</v>
          </cell>
          <cell r="Q132">
            <v>1.2369797908622799</v>
          </cell>
          <cell r="U132">
            <v>8.3302418416493604E-4</v>
          </cell>
          <cell r="V132">
            <v>4.1917062022725602E-4</v>
          </cell>
          <cell r="W132">
            <v>6.4617262076262498E-4</v>
          </cell>
          <cell r="Y132">
            <v>1.2358474847357901</v>
          </cell>
          <cell r="Z132">
            <v>1.2358042069533499</v>
          </cell>
          <cell r="AA132">
            <v>1.23585379681652</v>
          </cell>
          <cell r="AF132">
            <v>-6.5492714665488997E-4</v>
          </cell>
          <cell r="AG132">
            <v>-5.91496414962221E-4</v>
          </cell>
          <cell r="AR132">
            <v>1.9417481829103801E-3</v>
          </cell>
          <cell r="BC132">
            <v>1.18506828010929E-3</v>
          </cell>
          <cell r="BF132">
            <v>3.1268164630196701E-3</v>
          </cell>
        </row>
        <row r="133">
          <cell r="O133">
            <v>1.2371344131525399</v>
          </cell>
          <cell r="P133">
            <v>1.23578523730471</v>
          </cell>
          <cell r="Q133">
            <v>1.2369538378715901</v>
          </cell>
          <cell r="U133">
            <v>1.60554650588533E-3</v>
          </cell>
          <cell r="V133">
            <v>9.1155912140526599E-4</v>
          </cell>
          <cell r="W133">
            <v>1.48055446613866E-3</v>
          </cell>
          <cell r="Y133">
            <v>1.2358474847357901</v>
          </cell>
          <cell r="Z133">
            <v>1.23576242356111</v>
          </cell>
          <cell r="AA133">
            <v>1.23582422824953</v>
          </cell>
          <cell r="AF133">
            <v>1.82202743096571E-4</v>
          </cell>
          <cell r="AG133">
            <v>2.2232954308345899E-4</v>
          </cell>
          <cell r="AR133">
            <v>1.9417481829103801E-3</v>
          </cell>
          <cell r="BC133">
            <v>1.18506828010929E-3</v>
          </cell>
          <cell r="BF133">
            <v>3.1268164630196701E-3</v>
          </cell>
        </row>
        <row r="134">
          <cell r="O134">
            <v>1.2371344131525399</v>
          </cell>
          <cell r="P134">
            <v>1.23536938953697</v>
          </cell>
          <cell r="Q134">
            <v>1.2369768833453501</v>
          </cell>
          <cell r="U134">
            <v>1.39524232125557E-3</v>
          </cell>
          <cell r="V134">
            <v>3.0408193402642998E-4</v>
          </cell>
          <cell r="W134">
            <v>1.2492691279398799E-3</v>
          </cell>
          <cell r="Y134">
            <v>1.2358474847357901</v>
          </cell>
          <cell r="Z134">
            <v>1.23579406662413</v>
          </cell>
          <cell r="AA134">
            <v>1.2358427453365299</v>
          </cell>
          <cell r="AF134">
            <v>-5.7021468217282899E-5</v>
          </cell>
          <cell r="AG134">
            <v>-7.0093123464734402E-6</v>
          </cell>
          <cell r="AR134">
            <v>1.9417481829103801E-3</v>
          </cell>
          <cell r="BC134">
            <v>1.18506828010929E-3</v>
          </cell>
          <cell r="BF134">
            <v>3.1268164630196701E-3</v>
          </cell>
        </row>
        <row r="135">
          <cell r="O135">
            <v>1.2371344131525399</v>
          </cell>
          <cell r="P135">
            <v>1.23537225744567</v>
          </cell>
          <cell r="Q135">
            <v>1.23699992881911</v>
          </cell>
          <cell r="U135">
            <v>1.39524232125557E-3</v>
          </cell>
          <cell r="V135">
            <v>-3.2479580297285198E-5</v>
          </cell>
          <cell r="W135">
            <v>1.2678997820351999E-3</v>
          </cell>
          <cell r="Y135">
            <v>1.2358474847357901</v>
          </cell>
          <cell r="Z135">
            <v>1.23579679179016</v>
          </cell>
          <cell r="AA135">
            <v>1.2358612624235299</v>
          </cell>
          <cell r="AF135">
            <v>-3.1415690520935099E-5</v>
          </cell>
          <cell r="AG135">
            <v>7.9741681918971605E-6</v>
          </cell>
          <cell r="AR135">
            <v>1.9417481829103801E-3</v>
          </cell>
          <cell r="BC135">
            <v>1.18506828010929E-3</v>
          </cell>
          <cell r="BF135">
            <v>3.1268164630196701E-3</v>
          </cell>
        </row>
        <row r="136">
          <cell r="O136">
            <v>1.2371344131525399</v>
          </cell>
          <cell r="P136">
            <v>1.2354213010945201</v>
          </cell>
          <cell r="Q136">
            <v>1.2370128939663401</v>
          </cell>
          <cell r="U136">
            <v>9.9833816839695207E-4</v>
          </cell>
          <cell r="V136">
            <v>-4.2706223693022801E-4</v>
          </cell>
          <cell r="W136">
            <v>8.8962593617728696E-4</v>
          </cell>
          <cell r="Y136">
            <v>1.2358474847357901</v>
          </cell>
          <cell r="Z136">
            <v>1.2358447891253499</v>
          </cell>
          <cell r="AA136">
            <v>1.2358697176885201</v>
          </cell>
          <cell r="AF136">
            <v>-4.1751556282091301E-4</v>
          </cell>
          <cell r="AG136">
            <v>-3.6534763993847398E-4</v>
          </cell>
          <cell r="AR136">
            <v>1.9417481829103801E-3</v>
          </cell>
          <cell r="BC136">
            <v>1.18506828010929E-3</v>
          </cell>
          <cell r="BF136">
            <v>3.1268164630196701E-3</v>
          </cell>
        </row>
        <row r="137">
          <cell r="O137">
            <v>1.2371344131525399</v>
          </cell>
          <cell r="P137">
            <v>1.23587049743099</v>
          </cell>
          <cell r="Q137">
            <v>1.2372374921345699</v>
          </cell>
          <cell r="U137">
            <v>-2.2341750000723398E-3</v>
          </cell>
          <cell r="V137">
            <v>-3.6198767031875002E-3</v>
          </cell>
          <cell r="W137">
            <v>-2.33240616516967E-3</v>
          </cell>
          <cell r="Y137">
            <v>1.2358474847357901</v>
          </cell>
          <cell r="Z137">
            <v>1.2358344405764199</v>
          </cell>
          <cell r="AA137">
            <v>1.2358603753845401</v>
          </cell>
          <cell r="AF137">
            <v>9.3368879668797499E-5</v>
          </cell>
          <cell r="AG137">
            <v>1.13539949674328E-4</v>
          </cell>
          <cell r="AR137">
            <v>1.9417481829103801E-3</v>
          </cell>
          <cell r="BC137">
            <v>1.18506828010929E-3</v>
          </cell>
          <cell r="BF137">
            <v>3.1268164630196701E-3</v>
          </cell>
        </row>
        <row r="138">
          <cell r="O138">
            <v>1.2371344131525399</v>
          </cell>
          <cell r="P138">
            <v>1.2362850067073601</v>
          </cell>
          <cell r="Q138">
            <v>1.2372187797140299</v>
          </cell>
          <cell r="U138">
            <v>-2.2341750000723398E-3</v>
          </cell>
          <cell r="V138">
            <v>-3.2563450945942598E-3</v>
          </cell>
          <cell r="W138">
            <v>-2.15085770903087E-3</v>
          </cell>
          <cell r="Y138">
            <v>1.2358474847357901</v>
          </cell>
          <cell r="Z138">
            <v>1.2357900850092201</v>
          </cell>
          <cell r="AA138">
            <v>1.2358369794355299</v>
          </cell>
          <cell r="AF138">
            <v>8.4995180687222205E-5</v>
          </cell>
          <cell r="AG138">
            <v>1.05980625938197E-4</v>
          </cell>
          <cell r="AR138">
            <v>1.9417481829103801E-3</v>
          </cell>
          <cell r="BC138">
            <v>1.18506828010929E-3</v>
          </cell>
          <cell r="BF138">
            <v>3.1268164630196701E-3</v>
          </cell>
        </row>
        <row r="139">
          <cell r="O139">
            <v>1.2371344131525399</v>
          </cell>
          <cell r="P139">
            <v>1.2367722908201499</v>
          </cell>
          <cell r="Q139">
            <v>1.23719320275213</v>
          </cell>
          <cell r="U139">
            <v>-2.4249697233551101E-3</v>
          </cell>
          <cell r="V139">
            <v>-3.1117974176391198E-3</v>
          </cell>
          <cell r="W139">
            <v>-2.3567769028884499E-3</v>
          </cell>
          <cell r="Y139">
            <v>1.2358474847357901</v>
          </cell>
          <cell r="Z139">
            <v>1.23581646222366</v>
          </cell>
          <cell r="AA139">
            <v>1.2358065245634</v>
          </cell>
          <cell r="AF139">
            <v>-1.34303762673176E-4</v>
          </cell>
          <cell r="AG139">
            <v>-9.6357563598492595E-5</v>
          </cell>
          <cell r="AR139">
            <v>1.9417481829103801E-3</v>
          </cell>
          <cell r="BC139">
            <v>1.18506828010929E-3</v>
          </cell>
          <cell r="BF139">
            <v>3.1268164630196701E-3</v>
          </cell>
        </row>
        <row r="140">
          <cell r="O140">
            <v>1.2371344131525399</v>
          </cell>
          <cell r="P140">
            <v>1.2373673065097099</v>
          </cell>
          <cell r="Q140">
            <v>1.2372218272468301</v>
          </cell>
          <cell r="U140">
            <v>-2.7117999480391702E-3</v>
          </cell>
          <cell r="V140">
            <v>-3.00455337676738E-3</v>
          </cell>
          <cell r="W140">
            <v>-2.6642802912055499E-3</v>
          </cell>
          <cell r="Y140">
            <v>1.2358474847357901</v>
          </cell>
          <cell r="Z140">
            <v>1.2359475770894499</v>
          </cell>
          <cell r="AA140">
            <v>1.2358285485027301</v>
          </cell>
          <cell r="AF140">
            <v>-3.8866922091733799E-4</v>
          </cell>
          <cell r="AG140">
            <v>-3.9671062554370601E-4</v>
          </cell>
          <cell r="AR140">
            <v>1.9417481829103801E-3</v>
          </cell>
          <cell r="BC140">
            <v>1.18506828010929E-3</v>
          </cell>
          <cell r="BF140">
            <v>3.1268164630196701E-3</v>
          </cell>
        </row>
        <row r="141">
          <cell r="O141">
            <v>1.2371344131525399</v>
          </cell>
          <cell r="P141">
            <v>1.2378545906225</v>
          </cell>
          <cell r="Q141">
            <v>1.2372385586097201</v>
          </cell>
          <cell r="U141">
            <v>-2.4249697233551101E-3</v>
          </cell>
          <cell r="V141">
            <v>-2.2367351741484501E-3</v>
          </cell>
          <cell r="W141">
            <v>-2.35431369339436E-3</v>
          </cell>
          <cell r="Y141">
            <v>1.2358474847357901</v>
          </cell>
          <cell r="Z141">
            <v>1.2359739543038799</v>
          </cell>
          <cell r="AA141">
            <v>1.23583920297001</v>
          </cell>
          <cell r="AF141">
            <v>-6.8694618159563096E-6</v>
          </cell>
          <cell r="AG141">
            <v>-1.03179629691166E-4</v>
          </cell>
          <cell r="AR141">
            <v>1.9417481829103801E-3</v>
          </cell>
          <cell r="BC141">
            <v>1.18506828010929E-3</v>
          </cell>
          <cell r="BF141">
            <v>3.1268164630196701E-3</v>
          </cell>
        </row>
        <row r="142">
          <cell r="O142">
            <v>1.2371344131525399</v>
          </cell>
          <cell r="P142">
            <v>1.23820865972492</v>
          </cell>
          <cell r="Q142">
            <v>1.2372424075231601</v>
          </cell>
          <cell r="U142">
            <v>-2.0272763397083402E-3</v>
          </cell>
          <cell r="V142">
            <v>-1.4453121457747599E-3</v>
          </cell>
          <cell r="W142">
            <v>-1.9430970680898499E-3</v>
          </cell>
          <cell r="Y142">
            <v>1.2358474847357901</v>
          </cell>
          <cell r="Z142">
            <v>1.23587008292773</v>
          </cell>
          <cell r="AA142">
            <v>1.2358371449405401</v>
          </cell>
          <cell r="AF142">
            <v>4.0353243886650202E-4</v>
          </cell>
          <cell r="AG142">
            <v>2.9450208306907401E-4</v>
          </cell>
          <cell r="AR142">
            <v>1.9417481829103801E-3</v>
          </cell>
          <cell r="BC142">
            <v>1.18506828010929E-3</v>
          </cell>
          <cell r="BF142">
            <v>3.1268164630196701E-3</v>
          </cell>
        </row>
        <row r="143">
          <cell r="O143">
            <v>1.2371344131525399</v>
          </cell>
          <cell r="P143">
            <v>1.2387330955924001</v>
          </cell>
          <cell r="Q143">
            <v>1.2372591664485599</v>
          </cell>
          <cell r="U143">
            <v>-2.6313944690488701E-3</v>
          </cell>
          <cell r="V143">
            <v>-1.7634366884995199E-3</v>
          </cell>
          <cell r="W143">
            <v>-2.5441043119580199E-3</v>
          </cell>
          <cell r="Y143">
            <v>1.2358474847357901</v>
          </cell>
          <cell r="Z143">
            <v>1.2359331480040501</v>
          </cell>
          <cell r="AA143">
            <v>1.23584778578258</v>
          </cell>
          <cell r="AF143">
            <v>-2.7477137843677702E-4</v>
          </cell>
          <cell r="AG143">
            <v>-3.01423391928778E-4</v>
          </cell>
          <cell r="AR143">
            <v>1.9417481829103801E-3</v>
          </cell>
          <cell r="BC143">
            <v>1.18506828010929E-3</v>
          </cell>
          <cell r="BF143">
            <v>3.1268164630196701E-3</v>
          </cell>
        </row>
        <row r="144">
          <cell r="O144">
            <v>1.2371344131525399</v>
          </cell>
          <cell r="P144">
            <v>1.2392078921771099</v>
          </cell>
          <cell r="Q144">
            <v>1.23728864085704</v>
          </cell>
          <cell r="U144">
            <v>-2.4406237076858598E-3</v>
          </cell>
          <cell r="V144">
            <v>-1.1492115813113699E-3</v>
          </cell>
          <cell r="W144">
            <v>-2.3397882568081401E-3</v>
          </cell>
          <cell r="Y144">
            <v>1.2358474847357901</v>
          </cell>
          <cell r="Z144">
            <v>1.2359481612556</v>
          </cell>
          <cell r="AA144">
            <v>1.2358711139398599</v>
          </cell>
          <cell r="AF144">
            <v>-4.0353366260484403E-5</v>
          </cell>
          <cell r="AG144">
            <v>-1.09422773133591E-4</v>
          </cell>
          <cell r="AR144">
            <v>1.9417481829103801E-3</v>
          </cell>
          <cell r="BC144">
            <v>1.18506828010929E-3</v>
          </cell>
          <cell r="BF144">
            <v>3.1268164630196701E-3</v>
          </cell>
        </row>
        <row r="145">
          <cell r="O145">
            <v>1.2371344131525399</v>
          </cell>
          <cell r="P145">
            <v>1.2397319013602399</v>
          </cell>
          <cell r="Q145">
            <v>1.23755207940296</v>
          </cell>
          <cell r="U145">
            <v>-2.8373703901368101E-3</v>
          </cell>
          <cell r="V145">
            <v>-1.16273962146028E-3</v>
          </cell>
          <cell r="W145">
            <v>-2.7127128830459202E-3</v>
          </cell>
          <cell r="Y145">
            <v>1.2358474847357901</v>
          </cell>
          <cell r="Z145">
            <v>1.23601115903693</v>
          </cell>
          <cell r="AA145">
            <v>1.2359039754135499</v>
          </cell>
          <cell r="AF145">
            <v>-4.1636048124776701E-4</v>
          </cell>
          <cell r="AG145">
            <v>-4.7870105487540099E-4</v>
          </cell>
          <cell r="AR145">
            <v>1.9417481829103801E-3</v>
          </cell>
          <cell r="BC145">
            <v>1.18506828010929E-3</v>
          </cell>
          <cell r="BF145">
            <v>3.1268164630196701E-3</v>
          </cell>
        </row>
        <row r="146">
          <cell r="O146">
            <v>1.2371344131525399</v>
          </cell>
          <cell r="P146">
            <v>1.2401576542960999</v>
          </cell>
          <cell r="Q146">
            <v>1.23778947769531</v>
          </cell>
          <cell r="U146">
            <v>-2.4406237076858598E-3</v>
          </cell>
          <cell r="V146">
            <v>-3.43224147040663E-4</v>
          </cell>
          <cell r="W146">
            <v>-2.10307286587889E-3</v>
          </cell>
          <cell r="Y146">
            <v>1.2358474847357901</v>
          </cell>
          <cell r="Z146">
            <v>1.2359781749532901</v>
          </cell>
          <cell r="AA146">
            <v>1.23591148203932</v>
          </cell>
          <cell r="AF146">
            <v>2.2763778150893899E-5</v>
          </cell>
          <cell r="AG146">
            <v>-6.3957340999653195E-5</v>
          </cell>
          <cell r="AR146">
            <v>1.9417481829103801E-3</v>
          </cell>
          <cell r="BC146">
            <v>1.18506828010929E-3</v>
          </cell>
          <cell r="BF146">
            <v>3.1268164630196701E-3</v>
          </cell>
        </row>
        <row r="147">
          <cell r="O147">
            <v>1.2371344131525399</v>
          </cell>
          <cell r="P147">
            <v>1.23961883394648</v>
          </cell>
          <cell r="Q147">
            <v>1.2377446656887301</v>
          </cell>
          <cell r="U147">
            <v>2.12096555033092E-3</v>
          </cell>
          <cell r="V147">
            <v>4.5617295475681198E-3</v>
          </cell>
          <cell r="W147">
            <v>2.6503269262446402E-3</v>
          </cell>
          <cell r="Y147">
            <v>1.2358474847357901</v>
          </cell>
          <cell r="Z147">
            <v>1.2359000007581</v>
          </cell>
          <cell r="AA147">
            <v>1.2358672206672601</v>
          </cell>
          <cell r="AF147">
            <v>8.3410993591408395E-4</v>
          </cell>
          <cell r="AG147">
            <v>7.80148858972775E-4</v>
          </cell>
          <cell r="AR147">
            <v>1.9417481829103801E-3</v>
          </cell>
          <cell r="BC147">
            <v>1.18506828010929E-3</v>
          </cell>
          <cell r="BF147">
            <v>3.1268164630196701E-3</v>
          </cell>
        </row>
        <row r="148">
          <cell r="O148">
            <v>1.2371344131525399</v>
          </cell>
          <cell r="P148">
            <v>1.23910609284299</v>
          </cell>
          <cell r="Q148">
            <v>1.23769554977518</v>
          </cell>
          <cell r="U148">
            <v>1.90973661963132E-3</v>
          </cell>
          <cell r="V148">
            <v>3.9159289039277199E-3</v>
          </cell>
          <cell r="W148">
            <v>2.4028940864175802E-3</v>
          </cell>
          <cell r="Y148">
            <v>1.2358474847357901</v>
          </cell>
          <cell r="Z148">
            <v>1.2358472146570001</v>
          </cell>
          <cell r="AA148">
            <v>1.2358186498331101</v>
          </cell>
          <cell r="AF148">
            <v>5.65299892727939E-4</v>
          </cell>
          <cell r="AG148">
            <v>5.3877628600881996E-4</v>
          </cell>
          <cell r="AR148">
            <v>1.9417481829103801E-3</v>
          </cell>
          <cell r="BC148">
            <v>1.18506828010929E-3</v>
          </cell>
          <cell r="BF148">
            <v>3.1268164630196701E-3</v>
          </cell>
        </row>
        <row r="149">
          <cell r="O149">
            <v>1.2371344131525399</v>
          </cell>
          <cell r="P149">
            <v>1.23866792464376</v>
          </cell>
          <cell r="Q149">
            <v>1.23772010773196</v>
          </cell>
          <cell r="U149">
            <v>1.11450794949286E-3</v>
          </cell>
          <cell r="V149">
            <v>2.7069866302678702E-3</v>
          </cell>
          <cell r="W149">
            <v>1.56798284729169E-3</v>
          </cell>
          <cell r="Y149">
            <v>1.2358474847357901</v>
          </cell>
          <cell r="Z149">
            <v>1.2358675475326699</v>
          </cell>
          <cell r="AA149">
            <v>1.23584200487816</v>
          </cell>
          <cell r="AF149">
            <v>-2.52573365556622E-4</v>
          </cell>
          <cell r="AG149">
            <v>-2.7568718874631599E-4</v>
          </cell>
          <cell r="AR149">
            <v>1.9417481829103801E-3</v>
          </cell>
          <cell r="BC149">
            <v>1.18506828010929E-3</v>
          </cell>
          <cell r="BF149">
            <v>3.1268164630196701E-3</v>
          </cell>
        </row>
        <row r="150">
          <cell r="O150">
            <v>1.2371344131525399</v>
          </cell>
          <cell r="P150">
            <v>1.2382173619867001</v>
          </cell>
          <cell r="Q150">
            <v>1.23779233424821</v>
          </cell>
          <cell r="U150">
            <v>9.2693555772311404E-4</v>
          </cell>
          <cell r="V150">
            <v>2.1657353309677799E-3</v>
          </cell>
          <cell r="W150">
            <v>1.4002519368539899E-3</v>
          </cell>
          <cell r="Y150">
            <v>1.2358474847357901</v>
          </cell>
          <cell r="Z150">
            <v>1.2358764414751799</v>
          </cell>
          <cell r="AA150">
            <v>1.2359120092823099</v>
          </cell>
          <cell r="AF150">
            <v>-4.1927037730739601E-4</v>
          </cell>
          <cell r="AG150">
            <v>-4.3993838377432798E-4</v>
          </cell>
          <cell r="AR150">
            <v>1.9417481829103801E-3</v>
          </cell>
          <cell r="BC150">
            <v>1.18506828010929E-3</v>
          </cell>
          <cell r="BF150">
            <v>3.1268164630196701E-3</v>
          </cell>
        </row>
        <row r="151">
          <cell r="O151">
            <v>1.2371344131525399</v>
          </cell>
          <cell r="P151">
            <v>1.2377185282801</v>
          </cell>
          <cell r="Q151">
            <v>1.2377865594513</v>
          </cell>
          <cell r="U151">
            <v>1.60554650588533E-3</v>
          </cell>
          <cell r="V151">
            <v>2.4805323678003602E-3</v>
          </cell>
          <cell r="W151">
            <v>2.13721566486581E-3</v>
          </cell>
          <cell r="Y151">
            <v>1.2358474847357901</v>
          </cell>
          <cell r="Z151">
            <v>1.23583759979664</v>
          </cell>
          <cell r="AA151">
            <v>1.2359057770502599</v>
          </cell>
          <cell r="AF151">
            <v>2.4988697890723403E-4</v>
          </cell>
          <cell r="AG151">
            <v>2.7866598475315802E-4</v>
          </cell>
          <cell r="AR151">
            <v>1.9417481829103801E-3</v>
          </cell>
          <cell r="BC151">
            <v>1.18506828010929E-3</v>
          </cell>
          <cell r="BF151">
            <v>3.1268164630196701E-3</v>
          </cell>
        </row>
        <row r="152">
          <cell r="O152">
            <v>1.2371344131525399</v>
          </cell>
          <cell r="P152">
            <v>1.23732966974555</v>
          </cell>
          <cell r="Q152">
            <v>1.23776916473524</v>
          </cell>
          <cell r="U152">
            <v>1.11450794949286E-3</v>
          </cell>
          <cell r="V152">
            <v>1.5865482300495999E-3</v>
          </cell>
          <cell r="W152">
            <v>1.64151169714643E-3</v>
          </cell>
          <cell r="Y152">
            <v>1.2358474847357901</v>
          </cell>
          <cell r="Z152">
            <v>1.23590600947982</v>
          </cell>
          <cell r="AA152">
            <v>1.23588804620377</v>
          </cell>
          <cell r="AF152">
            <v>-2.6035337075870299E-4</v>
          </cell>
          <cell r="AG152">
            <v>-2.0518805361747599E-4</v>
          </cell>
          <cell r="AR152">
            <v>1.9417481829103801E-3</v>
          </cell>
          <cell r="BC152">
            <v>1.18506828010929E-3</v>
          </cell>
          <cell r="BF152">
            <v>3.1268164630196701E-3</v>
          </cell>
        </row>
        <row r="153">
          <cell r="O153">
            <v>1.2371344131525399</v>
          </cell>
          <cell r="P153">
            <v>1.23686589938544</v>
          </cell>
          <cell r="Q153">
            <v>1.2377994974889199</v>
          </cell>
          <cell r="U153">
            <v>1.11450794949286E-3</v>
          </cell>
          <cell r="V153">
            <v>1.27232522780383E-3</v>
          </cell>
          <cell r="W153">
            <v>1.62745851636313E-3</v>
          </cell>
          <cell r="Y153">
            <v>1.2358474847357901</v>
          </cell>
          <cell r="Z153">
            <v>1.23590097796563</v>
          </cell>
          <cell r="AA153">
            <v>1.2359170629848399</v>
          </cell>
          <cell r="AF153">
            <v>-2.04999989492702E-4</v>
          </cell>
          <cell r="AG153">
            <v>-2.1953459524106999E-4</v>
          </cell>
          <cell r="AR153">
            <v>1.9417481829103801E-3</v>
          </cell>
          <cell r="BC153">
            <v>1.18506828010929E-3</v>
          </cell>
          <cell r="BF153">
            <v>3.1268164630196701E-3</v>
          </cell>
        </row>
        <row r="154">
          <cell r="O154">
            <v>1.2371344131525399</v>
          </cell>
          <cell r="P154">
            <v>1.2363535860938799</v>
          </cell>
          <cell r="Q154">
            <v>1.2377807391355</v>
          </cell>
          <cell r="U154">
            <v>1.69896674676484E-3</v>
          </cell>
          <cell r="V154">
            <v>1.4818982469776401E-3</v>
          </cell>
          <cell r="W154">
            <v>2.23642299925621E-3</v>
          </cell>
          <cell r="Y154">
            <v>1.2358474847357901</v>
          </cell>
          <cell r="Z154">
            <v>1.2358481695685899</v>
          </cell>
          <cell r="AA154">
            <v>1.2358981654121</v>
          </cell>
          <cell r="AF154">
            <v>3.6096692053122102E-4</v>
          </cell>
          <cell r="AG154">
            <v>3.7398164810941001E-4</v>
          </cell>
          <cell r="AR154">
            <v>1.9417481829103801E-3</v>
          </cell>
          <cell r="BC154">
            <v>1.18506828010929E-3</v>
          </cell>
          <cell r="BF154">
            <v>3.1268164630196701E-3</v>
          </cell>
        </row>
        <row r="155">
          <cell r="O155">
            <v>1.2371344131525399</v>
          </cell>
          <cell r="P155">
            <v>1.23587862055959</v>
          </cell>
          <cell r="Q155">
            <v>1.2378052609599199</v>
          </cell>
          <cell r="U155">
            <v>9.9833816839695207E-4</v>
          </cell>
          <cell r="V155">
            <v>3.6698108493112599E-4</v>
          </cell>
          <cell r="W155">
            <v>1.52063970835173E-3</v>
          </cell>
          <cell r="Y155">
            <v>1.2358474847357901</v>
          </cell>
          <cell r="Z155">
            <v>1.23583176405648</v>
          </cell>
          <cell r="AA155">
            <v>1.23592146154671</v>
          </cell>
          <cell r="AF155">
            <v>-3.6457677444892299E-4</v>
          </cell>
          <cell r="AG155">
            <v>-3.24122911686992E-4</v>
          </cell>
          <cell r="AR155">
            <v>1.9417481829103801E-3</v>
          </cell>
          <cell r="BC155">
            <v>1.18506828010929E-3</v>
          </cell>
          <cell r="BF155">
            <v>3.1268164630196701E-3</v>
          </cell>
        </row>
        <row r="156">
          <cell r="O156">
            <v>1.2371344131525399</v>
          </cell>
          <cell r="P156">
            <v>1.2354038239748899</v>
          </cell>
          <cell r="Q156">
            <v>1.2377807391355</v>
          </cell>
          <cell r="U156">
            <v>1.39524232125557E-3</v>
          </cell>
          <cell r="V156">
            <v>3.7964500432670399E-4</v>
          </cell>
          <cell r="W156">
            <v>1.9373547863197401E-3</v>
          </cell>
          <cell r="Y156">
            <v>1.2358474847357901</v>
          </cell>
          <cell r="Z156">
            <v>1.23581551918086</v>
          </cell>
          <cell r="AA156">
            <v>1.2358968470670699</v>
          </cell>
          <cell r="AF156">
            <v>9.05446059386267E-6</v>
          </cell>
          <cell r="AG156">
            <v>8.16324909051871E-5</v>
          </cell>
          <cell r="AR156">
            <v>1.9417481829103801E-3</v>
          </cell>
          <cell r="BC156">
            <v>1.18506828010929E-3</v>
          </cell>
          <cell r="BF156">
            <v>3.1268164630196701E-3</v>
          </cell>
        </row>
        <row r="157">
          <cell r="O157">
            <v>1.2371344131525399</v>
          </cell>
          <cell r="P157">
            <v>1.2354934479880499</v>
          </cell>
          <cell r="Q157">
            <v>1.23755614096726</v>
          </cell>
          <cell r="U157">
            <v>1.39524232125557E-3</v>
          </cell>
          <cell r="V157">
            <v>-4.6061698767230202E-6</v>
          </cell>
          <cell r="W157">
            <v>1.91754386121065E-3</v>
          </cell>
          <cell r="Y157">
            <v>1.2358474847357901</v>
          </cell>
          <cell r="Z157">
            <v>1.23590281030089</v>
          </cell>
          <cell r="AA157">
            <v>1.2359014055294999</v>
          </cell>
          <cell r="AF157">
            <v>-4.0905182491951899E-6</v>
          </cell>
          <cell r="AG157">
            <v>6.1716399541950797E-5</v>
          </cell>
          <cell r="AR157">
            <v>1.9417481829103801E-3</v>
          </cell>
          <cell r="BC157">
            <v>1.18506828010929E-3</v>
          </cell>
          <cell r="BF157">
            <v>3.1268164630196701E-3</v>
          </cell>
        </row>
        <row r="158">
          <cell r="O158">
            <v>1.2371344131525399</v>
          </cell>
          <cell r="P158">
            <v>1.23566667918856</v>
          </cell>
          <cell r="Q158">
            <v>1.2373863860157801</v>
          </cell>
          <cell r="U158">
            <v>5.0778137661179796E-4</v>
          </cell>
          <cell r="V158">
            <v>-8.1952341615178399E-4</v>
          </cell>
          <cell r="W158">
            <v>8.4861414708048497E-4</v>
          </cell>
          <cell r="Y158">
            <v>1.2358474847357901</v>
          </cell>
          <cell r="Z158">
            <v>1.23607169013189</v>
          </cell>
          <cell r="AA158">
            <v>1.2359594523944399</v>
          </cell>
          <cell r="AF158">
            <v>-7.9871793412462303E-4</v>
          </cell>
          <cell r="AG158">
            <v>-7.9985457058159403E-4</v>
          </cell>
          <cell r="AR158">
            <v>1.9417481829103801E-3</v>
          </cell>
          <cell r="BC158">
            <v>1.18506828010929E-3</v>
          </cell>
          <cell r="BF158">
            <v>3.1268164630196701E-3</v>
          </cell>
        </row>
        <row r="159">
          <cell r="O159">
            <v>1.2371344131525399</v>
          </cell>
          <cell r="P159">
            <v>1.23568103577732</v>
          </cell>
          <cell r="Q159">
            <v>1.23717448021054</v>
          </cell>
          <cell r="U159">
            <v>9.9833816839695207E-4</v>
          </cell>
          <cell r="V159">
            <v>-1.88764296812804E-4</v>
          </cell>
          <cell r="W159">
            <v>1.2019920347871101E-3</v>
          </cell>
          <cell r="Y159">
            <v>1.2358474847357901</v>
          </cell>
          <cell r="Z159">
            <v>1.2360856318398901</v>
          </cell>
          <cell r="AA159">
            <v>1.23597658968628</v>
          </cell>
          <cell r="AF159">
            <v>-1.83729031326967E-4</v>
          </cell>
          <cell r="AG159">
            <v>-2.7453511834780499E-4</v>
          </cell>
          <cell r="AR159">
            <v>1.9417481829103801E-3</v>
          </cell>
          <cell r="BC159">
            <v>1.18506828010929E-3</v>
          </cell>
          <cell r="BF159">
            <v>3.1268164630196701E-3</v>
          </cell>
        </row>
        <row r="160">
          <cell r="O160">
            <v>1.2371344131525399</v>
          </cell>
          <cell r="P160">
            <v>1.23567221081395</v>
          </cell>
          <cell r="Q160">
            <v>1.23694478640033</v>
          </cell>
          <cell r="U160">
            <v>9.9833816839695207E-4</v>
          </cell>
          <cell r="V160">
            <v>-1.77145867991824E-4</v>
          </cell>
          <cell r="W160">
            <v>1.03072463243731E-3</v>
          </cell>
          <cell r="Y160">
            <v>1.2358474847357901</v>
          </cell>
          <cell r="Z160">
            <v>1.2360769312823101</v>
          </cell>
          <cell r="AA160">
            <v>1.23597668637874</v>
          </cell>
          <cell r="AF160">
            <v>-1.7245005010511501E-4</v>
          </cell>
          <cell r="AG160">
            <v>-2.6066963675919002E-4</v>
          </cell>
          <cell r="AR160">
            <v>1.9417481829103801E-3</v>
          </cell>
          <cell r="BC160">
            <v>1.18506828010929E-3</v>
          </cell>
          <cell r="BF160">
            <v>3.1268164630196701E-3</v>
          </cell>
        </row>
        <row r="161">
          <cell r="O161">
            <v>1.2371344131525399</v>
          </cell>
          <cell r="P161">
            <v>1.23569818926123</v>
          </cell>
          <cell r="Q161">
            <v>1.23670835877067</v>
          </cell>
          <cell r="U161">
            <v>1.39524232125557E-3</v>
          </cell>
          <cell r="V161">
            <v>2.1261647834932001E-4</v>
          </cell>
          <cell r="W161">
            <v>1.24195155140741E-3</v>
          </cell>
          <cell r="Y161">
            <v>1.2358474847357901</v>
          </cell>
          <cell r="Z161">
            <v>1.23610222365123</v>
          </cell>
          <cell r="AA161">
            <v>1.23596991172393</v>
          </cell>
          <cell r="AF161">
            <v>2.0741714858128001E-4</v>
          </cell>
          <cell r="AG161">
            <v>1.2631461673852601E-4</v>
          </cell>
          <cell r="AR161">
            <v>1.9417481829103801E-3</v>
          </cell>
          <cell r="BC161">
            <v>1.18506828010929E-3</v>
          </cell>
          <cell r="BF161">
            <v>3.1268164630196701E-3</v>
          </cell>
        </row>
        <row r="162">
          <cell r="O162">
            <v>1.2371344131525399</v>
          </cell>
          <cell r="P162">
            <v>1.23613829878585</v>
          </cell>
          <cell r="Q162">
            <v>1.2367339842656999</v>
          </cell>
          <cell r="U162">
            <v>-2.4406237076858598E-3</v>
          </cell>
          <cell r="V162">
            <v>-3.6022260348303999E-3</v>
          </cell>
          <cell r="W162">
            <v>-2.7850711324955801E-3</v>
          </cell>
          <cell r="Y162">
            <v>1.2358474847357901</v>
          </cell>
          <cell r="Z162">
            <v>1.23607786447324</v>
          </cell>
          <cell r="AA162">
            <v>1.23599193697653</v>
          </cell>
          <cell r="AF162">
            <v>1.5082354526294801E-4</v>
          </cell>
          <cell r="AG162">
            <v>4.3778183982044497E-5</v>
          </cell>
          <cell r="AR162">
            <v>1.9417481829103801E-3</v>
          </cell>
          <cell r="BC162">
            <v>1.18506828010929E-3</v>
          </cell>
          <cell r="BF162">
            <v>3.1268164630196701E-3</v>
          </cell>
        </row>
        <row r="163">
          <cell r="O163">
            <v>1.2371344131525399</v>
          </cell>
          <cell r="P163">
            <v>1.2365547940056201</v>
          </cell>
          <cell r="Q163">
            <v>1.23671034669553</v>
          </cell>
          <cell r="U163">
            <v>-2.2501918169489099E-3</v>
          </cell>
          <cell r="V163">
            <v>-3.0556949187615198E-3</v>
          </cell>
          <cell r="W163">
            <v>-2.5739187304347801E-3</v>
          </cell>
          <cell r="Y163">
            <v>1.2358474847357901</v>
          </cell>
          <cell r="Z163">
            <v>1.2360309690101601</v>
          </cell>
          <cell r="AA163">
            <v>1.2359659734878901</v>
          </cell>
          <cell r="AF163">
            <v>3.1347835977312298E-4</v>
          </cell>
          <cell r="AG163">
            <v>2.4395969432635601E-4</v>
          </cell>
          <cell r="AR163">
            <v>1.9417481829103801E-3</v>
          </cell>
          <cell r="BC163">
            <v>1.18506828010929E-3</v>
          </cell>
          <cell r="BF163">
            <v>3.1268164630196701E-3</v>
          </cell>
        </row>
        <row r="164">
          <cell r="O164">
            <v>1.2371344131525399</v>
          </cell>
          <cell r="P164">
            <v>1.2371163198955999</v>
          </cell>
          <cell r="Q164">
            <v>1.23673495299474</v>
          </cell>
          <cell r="U164">
            <v>-2.8373703901368101E-3</v>
          </cell>
          <cell r="V164">
            <v>-3.30599769856938E-3</v>
          </cell>
          <cell r="W164">
            <v>-3.1802103840173198E-3</v>
          </cell>
          <cell r="Y164">
            <v>1.2358474847357901</v>
          </cell>
          <cell r="Z164">
            <v>1.23612486461619</v>
          </cell>
          <cell r="AA164">
            <v>1.23598651709239</v>
          </cell>
          <cell r="AF164">
            <v>-2.9357911821578702E-4</v>
          </cell>
          <cell r="AG164">
            <v>-3.4616455727037897E-4</v>
          </cell>
          <cell r="AR164">
            <v>1.9417481829103801E-3</v>
          </cell>
          <cell r="BC164">
            <v>1.18506828010929E-3</v>
          </cell>
          <cell r="BF164">
            <v>3.1268164630196701E-3</v>
          </cell>
        </row>
        <row r="165">
          <cell r="O165">
            <v>1.2371344131525399</v>
          </cell>
          <cell r="P165">
            <v>1.23746929431816</v>
          </cell>
          <cell r="Q165">
            <v>1.2366739574388801</v>
          </cell>
          <cell r="U165">
            <v>-1.85360248000396E-3</v>
          </cell>
          <cell r="V165">
            <v>-1.8682277212502499E-3</v>
          </cell>
          <cell r="W165">
            <v>-2.1765460975900902E-3</v>
          </cell>
          <cell r="Y165">
            <v>1.2358474847357901</v>
          </cell>
          <cell r="Z165">
            <v>1.2360162640382799</v>
          </cell>
          <cell r="AA165">
            <v>1.2359240140473799</v>
          </cell>
          <cell r="AF165">
            <v>7.3810810796299999E-4</v>
          </cell>
          <cell r="AG165">
            <v>6.2618149740220196E-4</v>
          </cell>
          <cell r="AR165">
            <v>1.9417481829103801E-3</v>
          </cell>
          <cell r="BC165">
            <v>1.18506828010929E-3</v>
          </cell>
          <cell r="BF165">
            <v>3.1268164630196701E-3</v>
          </cell>
        </row>
        <row r="166">
          <cell r="O166">
            <v>1.2371344131525399</v>
          </cell>
          <cell r="P166">
            <v>1.2379184906546199</v>
          </cell>
          <cell r="Q166">
            <v>1.2366611573147499</v>
          </cell>
          <cell r="U166">
            <v>-2.2341750000723398E-3</v>
          </cell>
          <cell r="V166">
            <v>-1.9635206188054598E-3</v>
          </cell>
          <cell r="W166">
            <v>-2.60643966248872E-3</v>
          </cell>
          <cell r="Y166">
            <v>1.2358474847357901</v>
          </cell>
          <cell r="Z166">
            <v>1.2360005116342401</v>
          </cell>
          <cell r="AA166">
            <v>1.2359080154075499</v>
          </cell>
          <cell r="AF166">
            <v>2.8580873082707998E-4</v>
          </cell>
          <cell r="AG166">
            <v>2.1117101262683099E-4</v>
          </cell>
          <cell r="AR166">
            <v>1.9417481829103801E-3</v>
          </cell>
          <cell r="BC166">
            <v>1.18506828010929E-3</v>
          </cell>
          <cell r="BF166">
            <v>3.1268164630196701E-3</v>
          </cell>
        </row>
        <row r="167">
          <cell r="O167">
            <v>1.2371344131525399</v>
          </cell>
          <cell r="P167">
            <v>1.2384169480748299</v>
          </cell>
          <cell r="Q167">
            <v>1.2369551980314399</v>
          </cell>
          <cell r="U167">
            <v>-2.6313944690488701E-3</v>
          </cell>
          <cell r="V167">
            <v>-1.99781000941537E-3</v>
          </cell>
          <cell r="W167">
            <v>-3.0140096286915699E-3</v>
          </cell>
          <cell r="Y167">
            <v>1.2358474847357901</v>
          </cell>
          <cell r="Z167">
            <v>1.2360326140654301</v>
          </cell>
          <cell r="AA167">
            <v>1.23596771218316</v>
          </cell>
          <cell r="AF167">
            <v>-1.14141492413948E-4</v>
          </cell>
          <cell r="AG167">
            <v>-1.8897939658652399E-4</v>
          </cell>
          <cell r="AR167">
            <v>1.9417481829103801E-3</v>
          </cell>
          <cell r="BC167">
            <v>1.18506828010929E-3</v>
          </cell>
          <cell r="BF167">
            <v>3.1268164630196701E-3</v>
          </cell>
        </row>
        <row r="168">
          <cell r="O168">
            <v>1.2371344131525399</v>
          </cell>
          <cell r="P168">
            <v>1.2382870202537299</v>
          </cell>
          <cell r="Q168">
            <v>1.23697684972114</v>
          </cell>
          <cell r="U168">
            <v>1.55909929151915E-3</v>
          </cell>
          <cell r="V168">
            <v>2.59526041273402E-3</v>
          </cell>
          <cell r="W168">
            <v>1.41422570197309E-3</v>
          </cell>
          <cell r="Y168">
            <v>1.2358474847357901</v>
          </cell>
          <cell r="Z168">
            <v>1.2359005550539599</v>
          </cell>
          <cell r="AA168">
            <v>1.2359861225929201</v>
          </cell>
          <cell r="AF168">
            <v>3.7454391876871299E-4</v>
          </cell>
          <cell r="AG168">
            <v>3.2203431219825402E-4</v>
          </cell>
          <cell r="AR168">
            <v>1.9417481829103801E-3</v>
          </cell>
          <cell r="BC168">
            <v>1.18506828010929E-3</v>
          </cell>
          <cell r="BF168">
            <v>3.1268164630196701E-3</v>
          </cell>
        </row>
        <row r="169">
          <cell r="O169">
            <v>1.2371344131525399</v>
          </cell>
          <cell r="P169">
            <v>1.2383656642113501</v>
          </cell>
          <cell r="Q169">
            <v>1.2370233499943299</v>
          </cell>
          <cell r="U169">
            <v>3.6221105767319698E-4</v>
          </cell>
          <cell r="V169">
            <v>1.2934522345718E-3</v>
          </cell>
          <cell r="W169">
            <v>2.34841335886154E-4</v>
          </cell>
          <cell r="Y169">
            <v>1.2358474847357901</v>
          </cell>
          <cell r="Z169">
            <v>1.2359713509966801</v>
          </cell>
          <cell r="AA169">
            <v>1.23602849141829</v>
          </cell>
          <cell r="AF169">
            <v>-8.9466975545471805E-4</v>
          </cell>
          <cell r="AG169">
            <v>-8.2543718118535702E-4</v>
          </cell>
          <cell r="AR169">
            <v>1.9417481829103801E-3</v>
          </cell>
          <cell r="BC169">
            <v>1.18506828010929E-3</v>
          </cell>
          <cell r="BF169">
            <v>3.1268164630196701E-3</v>
          </cell>
        </row>
        <row r="170">
          <cell r="O170">
            <v>1.2371344131525399</v>
          </cell>
          <cell r="P170">
            <v>1.2383224671452699</v>
          </cell>
          <cell r="Q170">
            <v>1.2369973389796101</v>
          </cell>
          <cell r="U170">
            <v>1.3479183824323499E-3</v>
          </cell>
          <cell r="V170">
            <v>2.3426678244496801E-3</v>
          </cell>
          <cell r="W170">
            <v>1.25813982429988E-3</v>
          </cell>
          <cell r="Y170">
            <v>1.2358474847357901</v>
          </cell>
          <cell r="Z170">
            <v>1.2359237534288301</v>
          </cell>
          <cell r="AA170">
            <v>1.2360003423555701</v>
          </cell>
          <cell r="AF170">
            <v>1.20166497641378E-4</v>
          </cell>
          <cell r="AG170">
            <v>1.66396615166223E-4</v>
          </cell>
          <cell r="AR170">
            <v>1.9417481829103801E-3</v>
          </cell>
          <cell r="BC170">
            <v>1.18506828010929E-3</v>
          </cell>
          <cell r="BF170">
            <v>3.1268164630196701E-3</v>
          </cell>
        </row>
        <row r="171">
          <cell r="O171">
            <v>1.2371344131525399</v>
          </cell>
          <cell r="P171">
            <v>1.23837757481178</v>
          </cell>
          <cell r="Q171">
            <v>1.23703788203651</v>
          </cell>
          <cell r="U171">
            <v>9.4927376882125605E-4</v>
          </cell>
          <cell r="V171">
            <v>1.90914028348376E-3</v>
          </cell>
          <cell r="W171">
            <v>8.3846788877767295E-4</v>
          </cell>
          <cell r="Y171">
            <v>1.2358474847357901</v>
          </cell>
          <cell r="Z171">
            <v>1.2359718345895001</v>
          </cell>
          <cell r="AA171">
            <v>1.2360370291203699</v>
          </cell>
          <cell r="AF171">
            <v>-3.0550008732997501E-4</v>
          </cell>
          <cell r="AG171">
            <v>-2.4353303349138299E-4</v>
          </cell>
          <cell r="AR171">
            <v>1.9417481829103801E-3</v>
          </cell>
          <cell r="BC171">
            <v>1.18506828010929E-3</v>
          </cell>
          <cell r="BF171">
            <v>3.1268164630196701E-3</v>
          </cell>
        </row>
        <row r="172">
          <cell r="O172">
            <v>1.2371344131525399</v>
          </cell>
          <cell r="P172">
            <v>1.23795788589358</v>
          </cell>
          <cell r="Q172">
            <v>1.23704809233972</v>
          </cell>
          <cell r="U172">
            <v>9.4927376882125605E-4</v>
          </cell>
          <cell r="V172">
            <v>1.9536411641627701E-3</v>
          </cell>
          <cell r="W172">
            <v>8.7124273090998699E-4</v>
          </cell>
          <cell r="Y172">
            <v>1.2358474847357901</v>
          </cell>
          <cell r="Z172">
            <v>1.23601039274288</v>
          </cell>
          <cell r="AA172">
            <v>1.2360441286080599</v>
          </cell>
          <cell r="AF172">
            <v>-2.66597828744542E-4</v>
          </cell>
          <cell r="AG172">
            <v>-2.1385163366800699E-4</v>
          </cell>
          <cell r="AR172">
            <v>1.9417481829103801E-3</v>
          </cell>
          <cell r="BC172">
            <v>1.18506828010929E-3</v>
          </cell>
          <cell r="BF172">
            <v>3.1268164630196701E-3</v>
          </cell>
        </row>
        <row r="173">
          <cell r="O173">
            <v>1.2371344131525399</v>
          </cell>
          <cell r="P173">
            <v>1.23756181128024</v>
          </cell>
          <cell r="Q173">
            <v>1.23705830264293</v>
          </cell>
          <cell r="U173">
            <v>9.4927376882125605E-4</v>
          </cell>
          <cell r="V173">
            <v>1.61468149664288E-3</v>
          </cell>
          <cell r="W173">
            <v>8.7949652913505002E-4</v>
          </cell>
          <cell r="Y173">
            <v>1.2358474847357901</v>
          </cell>
          <cell r="Z173">
            <v>1.2360714871813401</v>
          </cell>
          <cell r="AA173">
            <v>1.2360512280957501</v>
          </cell>
          <cell r="AF173">
            <v>-2.3540168748308201E-4</v>
          </cell>
          <cell r="AG173">
            <v>-2.0810790015789201E-4</v>
          </cell>
          <cell r="AR173">
            <v>1.9417481829103801E-3</v>
          </cell>
          <cell r="BC173">
            <v>1.18506828010929E-3</v>
          </cell>
          <cell r="BF173">
            <v>3.1268164630196701E-3</v>
          </cell>
        </row>
        <row r="174">
          <cell r="O174">
            <v>1.2371344131525399</v>
          </cell>
          <cell r="P174">
            <v>1.23710178892192</v>
          </cell>
          <cell r="Q174">
            <v>1.23710905440876</v>
          </cell>
          <cell r="U174">
            <v>8.7743620827579298E-4</v>
          </cell>
          <cell r="V174">
            <v>1.22285083147506E-3</v>
          </cell>
          <cell r="W174">
            <v>8.1591269869014699E-4</v>
          </cell>
          <cell r="Y174">
            <v>1.2358474847357901</v>
          </cell>
          <cell r="Z174">
            <v>1.23607094307478</v>
          </cell>
          <cell r="AA174">
            <v>1.23609790384548</v>
          </cell>
          <cell r="AF174">
            <v>-2.56398021042346E-4</v>
          </cell>
          <cell r="AG174">
            <v>-2.7278805335413198E-4</v>
          </cell>
          <cell r="AR174">
            <v>1.9417481829103801E-3</v>
          </cell>
          <cell r="BC174">
            <v>1.18506828010929E-3</v>
          </cell>
          <cell r="BF174">
            <v>3.1268164630196701E-3</v>
          </cell>
        </row>
        <row r="175">
          <cell r="O175">
            <v>1.2371344131525399</v>
          </cell>
          <cell r="P175">
            <v>1.23673766270576</v>
          </cell>
          <cell r="Q175">
            <v>1.2371034785119599</v>
          </cell>
          <cell r="U175">
            <v>1.08857441086394E-3</v>
          </cell>
          <cell r="V175">
            <v>1.06220325794605E-3</v>
          </cell>
          <cell r="W175">
            <v>1.0680762310278E-3</v>
          </cell>
          <cell r="Y175">
            <v>1.2358474847357901</v>
          </cell>
          <cell r="Z175">
            <v>1.2361631927621799</v>
          </cell>
          <cell r="AA175">
            <v>1.2360897284002299</v>
          </cell>
          <cell r="AF175">
            <v>-5.2067880895613101E-5</v>
          </cell>
          <cell r="AG175">
            <v>-3.02564494141231E-5</v>
          </cell>
          <cell r="AR175">
            <v>1.9417481829103801E-3</v>
          </cell>
          <cell r="BC175">
            <v>1.18506828010929E-3</v>
          </cell>
          <cell r="BF175">
            <v>3.1268164630196701E-3</v>
          </cell>
        </row>
        <row r="176">
          <cell r="O176">
            <v>1.2371344131525399</v>
          </cell>
          <cell r="P176">
            <v>1.2363757897618499</v>
          </cell>
          <cell r="Q176">
            <v>1.2371471402082399</v>
          </cell>
          <cell r="U176">
            <v>6.8865438953698602E-4</v>
          </cell>
          <cell r="V176">
            <v>3.6790178954959401E-4</v>
          </cell>
          <cell r="W176">
            <v>6.6364900045335902E-4</v>
          </cell>
          <cell r="Y176">
            <v>1.2358474847357901</v>
          </cell>
          <cell r="Z176">
            <v>1.2362584338489999</v>
          </cell>
          <cell r="AA176">
            <v>1.2361294727416201</v>
          </cell>
          <cell r="AF176">
            <v>-3.6579771273589603E-4</v>
          </cell>
          <cell r="AG176">
            <v>-4.2522881814071901E-4</v>
          </cell>
          <cell r="AR176">
            <v>1.9417481829103801E-3</v>
          </cell>
          <cell r="BC176">
            <v>1.18506828010929E-3</v>
          </cell>
          <cell r="BF176">
            <v>3.1268164630196701E-3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A2065-29D0-413C-B12E-1F7143E8445D}">
  <dimension ref="A1:DZ183"/>
  <sheetViews>
    <sheetView tabSelected="1" topLeftCell="AG1" workbookViewId="0">
      <selection activeCell="AY14" sqref="AY14"/>
    </sheetView>
  </sheetViews>
  <sheetFormatPr defaultRowHeight="15" x14ac:dyDescent="0.25"/>
  <cols>
    <col min="1" max="1" width="9.42578125" bestFit="1" customWidth="1"/>
    <col min="2" max="3" width="11" style="33" bestFit="1" customWidth="1"/>
    <col min="4" max="4" width="11.28515625" style="15" bestFit="1" customWidth="1"/>
    <col min="5" max="5" width="12" style="15" bestFit="1" customWidth="1"/>
    <col min="6" max="6" width="9.7109375" style="33" bestFit="1" customWidth="1"/>
    <col min="7" max="7" width="18.140625" style="33" bestFit="1" customWidth="1"/>
    <col min="8" max="8" width="10.42578125" style="33" bestFit="1" customWidth="1"/>
    <col min="9" max="9" width="18.85546875" style="33" bestFit="1" customWidth="1"/>
    <col min="10" max="10" width="20.7109375" style="33" bestFit="1" customWidth="1"/>
    <col min="11" max="11" width="21.5703125" style="33" bestFit="1" customWidth="1"/>
    <col min="12" max="13" width="11" style="33" bestFit="1" customWidth="1"/>
    <col min="14" max="14" width="12.140625" style="34" bestFit="1" customWidth="1"/>
    <col min="15" max="15" width="15.7109375" style="34" bestFit="1" customWidth="1"/>
    <col min="16" max="17" width="19.140625" style="34" bestFit="1" customWidth="1"/>
    <col min="18" max="18" width="11.42578125" style="33" bestFit="1" customWidth="1"/>
    <col min="19" max="20" width="14.85546875" style="33" bestFit="1" customWidth="1"/>
    <col min="21" max="21" width="23.5703125" style="15" bestFit="1" customWidth="1"/>
    <col min="22" max="23" width="27" style="15" bestFit="1" customWidth="1"/>
    <col min="24" max="24" width="14.28515625" style="34" bestFit="1" customWidth="1"/>
    <col min="25" max="25" width="17.85546875" style="34" bestFit="1" customWidth="1"/>
    <col min="26" max="27" width="21.140625" style="34" bestFit="1" customWidth="1"/>
    <col min="28" max="28" width="12.42578125" style="33" bestFit="1" customWidth="1"/>
    <col min="29" max="30" width="15.85546875" style="33" bestFit="1" customWidth="1"/>
    <col min="31" max="31" width="25.7109375" style="15" bestFit="1" customWidth="1"/>
    <col min="32" max="33" width="29" style="15" bestFit="1" customWidth="1"/>
    <col min="34" max="34" width="1.7109375" style="9" customWidth="1"/>
    <col min="35" max="35" width="7.7109375" style="15" bestFit="1" customWidth="1"/>
    <col min="36" max="36" width="6.7109375" style="15" bestFit="1" customWidth="1"/>
    <col min="37" max="38" width="6.85546875" style="15" bestFit="1" customWidth="1"/>
    <col min="39" max="39" width="7.85546875" style="15" bestFit="1" customWidth="1"/>
    <col min="40" max="40" width="8.42578125" style="15" bestFit="1" customWidth="1"/>
    <col min="41" max="41" width="11.28515625" style="15" bestFit="1" customWidth="1"/>
    <col min="42" max="42" width="12" style="15" bestFit="1" customWidth="1"/>
    <col min="43" max="43" width="12.7109375" style="15" bestFit="1" customWidth="1"/>
    <col min="44" max="44" width="8.7109375" style="15" bestFit="1" customWidth="1"/>
    <col min="45" max="45" width="1.7109375" style="9" customWidth="1"/>
    <col min="46" max="46" width="7.7109375" style="15" bestFit="1" customWidth="1"/>
    <col min="47" max="47" width="6.140625" style="15" bestFit="1" customWidth="1"/>
    <col min="48" max="48" width="6.28515625" style="15" bestFit="1" customWidth="1"/>
    <col min="49" max="49" width="6.140625" style="15" bestFit="1" customWidth="1"/>
    <col min="50" max="50" width="7.85546875" style="15" bestFit="1" customWidth="1"/>
    <col min="51" max="51" width="8.42578125" style="15" bestFit="1" customWidth="1"/>
    <col min="52" max="52" width="11.28515625" style="15" bestFit="1" customWidth="1"/>
    <col min="53" max="54" width="12" style="15" bestFit="1" customWidth="1"/>
    <col min="55" max="55" width="8.7109375" style="15" bestFit="1" customWidth="1"/>
    <col min="56" max="56" width="1.7109375" style="9" customWidth="1"/>
    <col min="57" max="57" width="12.7109375" bestFit="1" customWidth="1"/>
    <col min="58" max="58" width="8.7109375" bestFit="1" customWidth="1"/>
    <col min="59" max="59" width="1.7109375" style="9" customWidth="1"/>
    <col min="60" max="60" width="6.85546875" customWidth="1"/>
    <col min="61" max="61" width="8.7109375" bestFit="1" customWidth="1"/>
    <col min="78" max="78" width="7.28515625" style="12" bestFit="1" customWidth="1"/>
    <col min="79" max="79" width="6.7109375" style="12" bestFit="1" customWidth="1"/>
    <col min="80" max="80" width="5.7109375" bestFit="1" customWidth="1"/>
    <col min="81" max="81" width="4.5703125" bestFit="1" customWidth="1"/>
    <col min="82" max="82" width="4.85546875" bestFit="1" customWidth="1"/>
    <col min="83" max="83" width="7.28515625" bestFit="1" customWidth="1"/>
    <col min="84" max="84" width="7.7109375" bestFit="1" customWidth="1"/>
    <col min="85" max="85" width="10.7109375" bestFit="1" customWidth="1"/>
    <col min="86" max="86" width="9.28515625" bestFit="1" customWidth="1"/>
    <col min="87" max="87" width="6.7109375" bestFit="1" customWidth="1"/>
    <col min="88" max="88" width="7.42578125" bestFit="1" customWidth="1"/>
    <col min="90" max="90" width="7.28515625" style="12" bestFit="1" customWidth="1"/>
    <col min="91" max="91" width="6.140625" style="12" bestFit="1" customWidth="1"/>
    <col min="92" max="92" width="4.5703125" bestFit="1" customWidth="1"/>
    <col min="93" max="93" width="5.7109375" bestFit="1" customWidth="1"/>
    <col min="94" max="94" width="4.85546875" bestFit="1" customWidth="1"/>
    <col min="95" max="95" width="7.28515625" bestFit="1" customWidth="1"/>
    <col min="96" max="96" width="7.7109375" bestFit="1" customWidth="1"/>
    <col min="97" max="97" width="10.7109375" bestFit="1" customWidth="1"/>
    <col min="98" max="98" width="9.28515625" bestFit="1" customWidth="1"/>
    <col min="99" max="99" width="6.7109375" bestFit="1" customWidth="1"/>
    <col min="100" max="100" width="7.42578125" bestFit="1" customWidth="1"/>
    <col min="102" max="102" width="6.7109375" bestFit="1" customWidth="1"/>
    <col min="103" max="103" width="7.42578125" bestFit="1" customWidth="1"/>
    <col min="116" max="116" width="7.5703125" bestFit="1" customWidth="1"/>
    <col min="117" max="124" width="7.42578125" bestFit="1" customWidth="1"/>
    <col min="125" max="125" width="5.42578125" bestFit="1" customWidth="1"/>
    <col min="126" max="126" width="4.28515625" bestFit="1" customWidth="1"/>
    <col min="127" max="127" width="5.85546875" bestFit="1" customWidth="1"/>
  </cols>
  <sheetData>
    <row r="1" spans="1:130" s="7" customFormat="1" x14ac:dyDescent="0.25">
      <c r="A1" s="7" t="s">
        <v>0</v>
      </c>
      <c r="B1" s="30" t="s">
        <v>1</v>
      </c>
      <c r="C1" s="30" t="s">
        <v>2</v>
      </c>
      <c r="D1" s="31" t="s">
        <v>3</v>
      </c>
      <c r="E1" s="31" t="s">
        <v>4</v>
      </c>
      <c r="F1" s="30" t="s">
        <v>5</v>
      </c>
      <c r="G1" s="30" t="s">
        <v>6</v>
      </c>
      <c r="H1" s="30" t="s">
        <v>7</v>
      </c>
      <c r="I1" s="30" t="s">
        <v>8</v>
      </c>
      <c r="J1" s="30" t="s">
        <v>9</v>
      </c>
      <c r="K1" s="30" t="s">
        <v>10</v>
      </c>
      <c r="L1" s="30" t="s">
        <v>11</v>
      </c>
      <c r="M1" s="30" t="s">
        <v>12</v>
      </c>
      <c r="N1" s="32" t="s">
        <v>13</v>
      </c>
      <c r="O1" s="32" t="s">
        <v>14</v>
      </c>
      <c r="P1" s="32" t="s">
        <v>15</v>
      </c>
      <c r="Q1" s="32" t="s">
        <v>16</v>
      </c>
      <c r="R1" s="30" t="s">
        <v>17</v>
      </c>
      <c r="S1" s="30" t="s">
        <v>18</v>
      </c>
      <c r="T1" s="30" t="s">
        <v>19</v>
      </c>
      <c r="U1" s="31" t="s">
        <v>20</v>
      </c>
      <c r="V1" s="31" t="s">
        <v>21</v>
      </c>
      <c r="W1" s="31" t="s">
        <v>22</v>
      </c>
      <c r="X1" s="32" t="s">
        <v>23</v>
      </c>
      <c r="Y1" s="32" t="s">
        <v>24</v>
      </c>
      <c r="Z1" s="32" t="s">
        <v>25</v>
      </c>
      <c r="AA1" s="32" t="s">
        <v>26</v>
      </c>
      <c r="AB1" s="30" t="s">
        <v>27</v>
      </c>
      <c r="AC1" s="30" t="s">
        <v>28</v>
      </c>
      <c r="AD1" s="30" t="s">
        <v>29</v>
      </c>
      <c r="AE1" s="31" t="s">
        <v>30</v>
      </c>
      <c r="AF1" s="31" t="s">
        <v>31</v>
      </c>
      <c r="AG1" s="31" t="s">
        <v>32</v>
      </c>
      <c r="AH1" s="2"/>
      <c r="AI1" s="3">
        <f>AQ16</f>
        <v>4.3760704182698609</v>
      </c>
      <c r="AJ1" s="4">
        <v>0</v>
      </c>
      <c r="AK1" s="4">
        <f t="shared" ref="AK1:AQ1" si="0">AJ1-$AK12</f>
        <v>-5.0000000000000001E-4</v>
      </c>
      <c r="AL1" s="4">
        <f t="shared" si="0"/>
        <v>-1E-3</v>
      </c>
      <c r="AM1" s="4">
        <f t="shared" si="0"/>
        <v>-1.5E-3</v>
      </c>
      <c r="AN1" s="4">
        <f t="shared" si="0"/>
        <v>-2E-3</v>
      </c>
      <c r="AO1" s="4">
        <f t="shared" si="0"/>
        <v>-2.5000000000000001E-3</v>
      </c>
      <c r="AP1" s="4">
        <f t="shared" si="0"/>
        <v>-3.0000000000000001E-3</v>
      </c>
      <c r="AQ1" s="4">
        <f t="shared" si="0"/>
        <v>-3.5000000000000001E-3</v>
      </c>
      <c r="AR1" s="5" t="s">
        <v>33</v>
      </c>
      <c r="AS1" s="2"/>
      <c r="AT1" s="3">
        <f>BB16</f>
        <v>4.3010815645699498</v>
      </c>
      <c r="AU1" s="4">
        <v>0</v>
      </c>
      <c r="AV1" s="6">
        <f>AU1+$AV12</f>
        <v>5.0000000000000001E-4</v>
      </c>
      <c r="AW1" s="6">
        <f t="shared" ref="AW1:BB1" si="1">AV1+$AV12</f>
        <v>1E-3</v>
      </c>
      <c r="AX1" s="6">
        <f t="shared" si="1"/>
        <v>1.5E-3</v>
      </c>
      <c r="AY1" s="6">
        <f t="shared" si="1"/>
        <v>2E-3</v>
      </c>
      <c r="AZ1" s="6">
        <f t="shared" si="1"/>
        <v>2.5000000000000001E-3</v>
      </c>
      <c r="BA1" s="6">
        <f t="shared" si="1"/>
        <v>3.0000000000000001E-3</v>
      </c>
      <c r="BB1" s="6">
        <f t="shared" si="1"/>
        <v>3.5000000000000001E-3</v>
      </c>
      <c r="BC1" s="5" t="s">
        <v>33</v>
      </c>
      <c r="BD1" s="2"/>
      <c r="BG1" s="2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  <c r="BT1" s="8"/>
      <c r="BU1" s="8"/>
      <c r="BV1" s="8"/>
      <c r="BW1" s="8"/>
      <c r="BX1" s="8"/>
      <c r="BZ1" s="8"/>
      <c r="CA1" s="8"/>
      <c r="CB1" s="8"/>
      <c r="CC1" s="8"/>
      <c r="CD1" s="8"/>
      <c r="CE1" s="8"/>
      <c r="CF1" s="8"/>
      <c r="CK1" s="8"/>
      <c r="CL1" s="8"/>
      <c r="CM1" s="8"/>
      <c r="CN1" s="8"/>
      <c r="CO1" s="8"/>
      <c r="CP1" s="8"/>
      <c r="CQ1" s="8"/>
      <c r="CR1" s="8"/>
      <c r="CZ1" s="8"/>
      <c r="DA1" s="8"/>
      <c r="DB1" s="8"/>
      <c r="DC1" s="8"/>
      <c r="DD1" s="8"/>
      <c r="DE1" s="8"/>
      <c r="DF1" s="8"/>
      <c r="DG1" s="8"/>
      <c r="DH1" s="8"/>
      <c r="DI1" s="8"/>
      <c r="DJ1" s="8"/>
      <c r="DK1" s="8"/>
      <c r="DL1" s="8"/>
      <c r="DM1" s="8"/>
      <c r="DN1" s="8"/>
      <c r="DO1" s="8"/>
      <c r="DP1" s="8"/>
      <c r="DQ1" s="8"/>
      <c r="DR1" s="8"/>
      <c r="DS1" s="8"/>
      <c r="DT1" s="8"/>
      <c r="DU1" s="8"/>
      <c r="DV1" s="8"/>
      <c r="DW1" s="8"/>
      <c r="DX1" s="8"/>
      <c r="DY1" s="8"/>
      <c r="DZ1" s="8"/>
    </row>
    <row r="2" spans="1:130" x14ac:dyDescent="0.25">
      <c r="A2" s="1">
        <v>46024</v>
      </c>
      <c r="B2" s="33">
        <v>25.79</v>
      </c>
      <c r="C2" s="33">
        <v>25.73</v>
      </c>
      <c r="F2" s="33">
        <v>0</v>
      </c>
      <c r="G2" s="33">
        <v>0</v>
      </c>
      <c r="H2" s="33">
        <v>0</v>
      </c>
      <c r="I2" s="33">
        <v>0</v>
      </c>
      <c r="J2" s="33">
        <v>0</v>
      </c>
      <c r="K2" s="33">
        <v>0</v>
      </c>
      <c r="L2" s="33">
        <v>25.79</v>
      </c>
      <c r="M2" s="33">
        <v>25.73</v>
      </c>
      <c r="N2" s="34">
        <v>0.99767351686700201</v>
      </c>
      <c r="O2" s="34">
        <v>1.0011576279691501</v>
      </c>
      <c r="X2" s="34">
        <v>0.99767351686700201</v>
      </c>
      <c r="Y2" s="34">
        <v>0.99838446436414396</v>
      </c>
      <c r="AI2" s="4">
        <v>0</v>
      </c>
      <c r="AJ2" s="10">
        <f t="dataTable" ref="AJ2:AQ9" dt2D="1" dtr="1" r1="AI21" r2="AI22"/>
        <v>5.6105440785258045</v>
      </c>
      <c r="AK2" s="10">
        <v>5.1975285799777282</v>
      </c>
      <c r="AL2" s="10">
        <v>4.5910005106205354</v>
      </c>
      <c r="AM2" s="10">
        <v>3.5458523350312032</v>
      </c>
      <c r="AN2" s="10">
        <v>1.8091010427873369</v>
      </c>
      <c r="AO2" s="10" t="e">
        <v>#DIV/0!</v>
      </c>
      <c r="AP2" s="10" t="e">
        <v>#DIV/0!</v>
      </c>
      <c r="AQ2" s="10" t="e">
        <v>#DIV/0!</v>
      </c>
      <c r="AR2"/>
      <c r="AT2" s="4">
        <v>0</v>
      </c>
      <c r="AU2" s="10">
        <f t="dataTable" ref="AU2:BB9" dt2D="1" dtr="1" r1="AT21" r2="AT22"/>
        <v>6.0168132810301831</v>
      </c>
      <c r="AV2" s="11">
        <v>5.6184106435496703</v>
      </c>
      <c r="AW2" s="11">
        <v>4.3801448357712092</v>
      </c>
      <c r="AX2" s="11">
        <v>3.0104147898476374</v>
      </c>
      <c r="AY2" s="11">
        <v>2.1612714306655949</v>
      </c>
      <c r="AZ2" s="11">
        <v>1.8070005810635164</v>
      </c>
      <c r="BA2" s="11">
        <v>1.8070005810635164</v>
      </c>
      <c r="BB2" s="11" t="e">
        <v>#DIV/0!</v>
      </c>
      <c r="BC2"/>
    </row>
    <row r="3" spans="1:130" x14ac:dyDescent="0.25">
      <c r="A3" s="1">
        <v>46027</v>
      </c>
      <c r="B3" s="33">
        <v>25.87</v>
      </c>
      <c r="C3" s="33">
        <v>25.78</v>
      </c>
      <c r="D3" s="15">
        <v>3.0971763046844002E-3</v>
      </c>
      <c r="E3" s="15">
        <v>1.94137121738854E-3</v>
      </c>
      <c r="F3" s="33">
        <v>0</v>
      </c>
      <c r="G3" s="33">
        <v>0</v>
      </c>
      <c r="H3" s="33">
        <v>0</v>
      </c>
      <c r="I3" s="33">
        <v>0</v>
      </c>
      <c r="J3" s="33">
        <v>0</v>
      </c>
      <c r="K3" s="33">
        <v>0</v>
      </c>
      <c r="L3" s="33">
        <v>25.87</v>
      </c>
      <c r="M3" s="33">
        <v>25.78</v>
      </c>
      <c r="N3" s="34">
        <v>0.99652106687282505</v>
      </c>
      <c r="O3" s="34">
        <v>1.0011576279691501</v>
      </c>
      <c r="R3" s="33">
        <v>25.899947835561999</v>
      </c>
      <c r="U3" s="15">
        <v>4.6419571214601002E-3</v>
      </c>
      <c r="X3" s="34">
        <v>0.99652106687282505</v>
      </c>
      <c r="Y3" s="34">
        <v>0.99838446436414396</v>
      </c>
      <c r="AB3" s="33">
        <v>25.828206093100398</v>
      </c>
      <c r="AE3" s="15">
        <v>1.8681566661485701E-3</v>
      </c>
      <c r="AI3" s="4">
        <f t="shared" ref="AI3:AI9" si="2">AI2-AK$12</f>
        <v>-5.0000000000000001E-4</v>
      </c>
      <c r="AJ3" s="10">
        <v>5.6105440785258045</v>
      </c>
      <c r="AK3" s="10">
        <v>5.4232814787240491</v>
      </c>
      <c r="AL3" s="10">
        <v>4.668632438612538</v>
      </c>
      <c r="AM3" s="10">
        <v>3.2438771807642648</v>
      </c>
      <c r="AN3" s="10">
        <v>1.8091010427873369</v>
      </c>
      <c r="AO3" s="11" t="e">
        <v>#DIV/0!</v>
      </c>
      <c r="AP3" s="10" t="e">
        <v>#DIV/0!</v>
      </c>
      <c r="AQ3" s="10" t="e">
        <v>#DIV/0!</v>
      </c>
      <c r="AR3"/>
      <c r="AT3" s="4">
        <f>AT2+AV$12</f>
        <v>5.0000000000000001E-4</v>
      </c>
      <c r="AU3" s="10">
        <v>6.0168132810301831</v>
      </c>
      <c r="AV3" s="11">
        <v>5.3526043574764017</v>
      </c>
      <c r="AW3" s="11">
        <v>4.0980450411868965</v>
      </c>
      <c r="AX3" s="11">
        <v>3.0104147898476374</v>
      </c>
      <c r="AY3" s="11">
        <v>2.1612714306655949</v>
      </c>
      <c r="AZ3" s="11">
        <v>1.8070005810635164</v>
      </c>
      <c r="BA3" s="11">
        <v>1.8070005810635164</v>
      </c>
      <c r="BB3" s="11" t="e">
        <v>#DIV/0!</v>
      </c>
      <c r="BC3"/>
    </row>
    <row r="4" spans="1:130" x14ac:dyDescent="0.25">
      <c r="A4" s="1">
        <v>46028</v>
      </c>
      <c r="B4" s="33">
        <v>25.89</v>
      </c>
      <c r="C4" s="33">
        <v>25.8</v>
      </c>
      <c r="D4" s="15">
        <v>7.7279756550859403E-4</v>
      </c>
      <c r="E4" s="15">
        <v>7.7549441653035095E-4</v>
      </c>
      <c r="F4" s="33">
        <v>0</v>
      </c>
      <c r="G4" s="33">
        <v>0</v>
      </c>
      <c r="H4" s="33">
        <v>0</v>
      </c>
      <c r="I4" s="33">
        <v>0</v>
      </c>
      <c r="J4" s="33">
        <v>0</v>
      </c>
      <c r="K4" s="33">
        <v>0</v>
      </c>
      <c r="L4" s="33">
        <v>25.89</v>
      </c>
      <c r="M4" s="33">
        <v>25.8</v>
      </c>
      <c r="N4" s="34">
        <v>0.99652375434530704</v>
      </c>
      <c r="O4" s="34">
        <v>1.0011576279691501</v>
      </c>
      <c r="R4" s="33">
        <v>25.919970988121399</v>
      </c>
      <c r="U4" s="15">
        <v>4.6392602704380297E-3</v>
      </c>
      <c r="X4" s="34">
        <v>0.99652375434530704</v>
      </c>
      <c r="Y4" s="34">
        <v>0.99838446436414396</v>
      </c>
      <c r="AB4" s="33">
        <v>25.8481737823877</v>
      </c>
      <c r="AE4" s="15">
        <v>1.86545981512666E-3</v>
      </c>
      <c r="AG4"/>
      <c r="AI4" s="4">
        <f t="shared" si="2"/>
        <v>-1E-3</v>
      </c>
      <c r="AJ4" s="10">
        <v>5.6105440785258045</v>
      </c>
      <c r="AK4" s="11">
        <v>5.4232814787240491</v>
      </c>
      <c r="AL4" s="11">
        <v>4.2730708011826</v>
      </c>
      <c r="AM4" s="11">
        <v>3.6168037566325393</v>
      </c>
      <c r="AN4" s="10">
        <v>1.8091010427873369</v>
      </c>
      <c r="AO4" s="11" t="e">
        <v>#DIV/0!</v>
      </c>
      <c r="AP4" s="11" t="e">
        <v>#DIV/0!</v>
      </c>
      <c r="AQ4" s="11" t="e">
        <v>#DIV/0!</v>
      </c>
      <c r="AR4"/>
      <c r="AT4" s="4">
        <f t="shared" ref="AT4:AT9" si="3">AT3+AV$12</f>
        <v>1E-3</v>
      </c>
      <c r="AU4" s="10">
        <v>6.0168132810301831</v>
      </c>
      <c r="AV4" s="11">
        <v>5.3526043574764017</v>
      </c>
      <c r="AW4" s="11">
        <v>4.3187418535573476</v>
      </c>
      <c r="AX4" s="11">
        <v>2.9553605262939229</v>
      </c>
      <c r="AY4" s="11">
        <v>2.1612714306655949</v>
      </c>
      <c r="AZ4" s="11">
        <v>1.8070005810635164</v>
      </c>
      <c r="BA4" s="11">
        <v>1.8070005810635164</v>
      </c>
      <c r="BB4" s="11" t="e">
        <v>#DIV/0!</v>
      </c>
      <c r="BC4"/>
      <c r="BE4" s="8"/>
      <c r="BF4" s="8"/>
    </row>
    <row r="5" spans="1:130" x14ac:dyDescent="0.25">
      <c r="A5" s="1">
        <v>46029</v>
      </c>
      <c r="B5" s="33">
        <v>25.87</v>
      </c>
      <c r="C5" s="33">
        <v>25.79</v>
      </c>
      <c r="D5" s="15">
        <v>-7.7279756550844897E-4</v>
      </c>
      <c r="E5" s="15">
        <v>-3.87672034318375E-4</v>
      </c>
      <c r="F5" s="33">
        <v>0</v>
      </c>
      <c r="G5" s="33">
        <v>0</v>
      </c>
      <c r="H5" s="33">
        <v>0</v>
      </c>
      <c r="I5" s="33">
        <v>0</v>
      </c>
      <c r="J5" s="33">
        <v>0</v>
      </c>
      <c r="K5" s="33">
        <v>0</v>
      </c>
      <c r="L5" s="33">
        <v>25.87</v>
      </c>
      <c r="M5" s="33">
        <v>25.79</v>
      </c>
      <c r="N5" s="34">
        <v>0.99690761499806702</v>
      </c>
      <c r="O5" s="34">
        <v>1.0011576279691501</v>
      </c>
      <c r="R5" s="33">
        <v>25.899947835561999</v>
      </c>
      <c r="U5" s="15">
        <v>4.2541347392479603E-3</v>
      </c>
      <c r="X5" s="34">
        <v>0.99690761499806702</v>
      </c>
      <c r="Y5" s="34">
        <v>0.99838446436414396</v>
      </c>
      <c r="AB5" s="33">
        <v>25.828206093100398</v>
      </c>
      <c r="AE5" s="15">
        <v>1.48033428393648E-3</v>
      </c>
      <c r="AG5" s="29"/>
      <c r="AI5" s="4">
        <f t="shared" si="2"/>
        <v>-1.5E-3</v>
      </c>
      <c r="AJ5" s="10">
        <v>5.6105440785258045</v>
      </c>
      <c r="AK5" s="11">
        <v>5.4232814787240491</v>
      </c>
      <c r="AL5" s="11">
        <v>4.2730708011826</v>
      </c>
      <c r="AM5" s="11">
        <v>3.6168037566325393</v>
      </c>
      <c r="AN5" s="11">
        <v>1.8091010427873369</v>
      </c>
      <c r="AO5" s="11" t="e">
        <v>#DIV/0!</v>
      </c>
      <c r="AP5" s="10" t="e">
        <v>#DIV/0!</v>
      </c>
      <c r="AQ5" s="11" t="e">
        <v>#DIV/0!</v>
      </c>
      <c r="AR5"/>
      <c r="AT5" s="4">
        <f t="shared" si="3"/>
        <v>1.5E-3</v>
      </c>
      <c r="AU5" s="10">
        <v>6.0168132810301831</v>
      </c>
      <c r="AV5" s="11">
        <v>5.3526043574764017</v>
      </c>
      <c r="AW5" s="11">
        <v>4.3187418535573476</v>
      </c>
      <c r="AX5" s="11">
        <v>2.7777574924818058</v>
      </c>
      <c r="AY5" s="11">
        <v>2.1612714306655949</v>
      </c>
      <c r="AZ5" s="11">
        <v>1.8070005810635164</v>
      </c>
      <c r="BA5" s="11">
        <v>1.8070005810635164</v>
      </c>
      <c r="BB5" s="11" t="e">
        <v>#DIV/0!</v>
      </c>
      <c r="BC5"/>
    </row>
    <row r="6" spans="1:130" x14ac:dyDescent="0.25">
      <c r="A6" s="1">
        <v>46030</v>
      </c>
      <c r="B6" s="33">
        <v>25.88</v>
      </c>
      <c r="C6" s="33">
        <v>25.8</v>
      </c>
      <c r="D6" s="15">
        <v>3.8647343476187399E-4</v>
      </c>
      <c r="E6" s="15">
        <v>3.8767203431839202E-4</v>
      </c>
      <c r="F6" s="33">
        <v>0</v>
      </c>
      <c r="G6" s="33">
        <v>0</v>
      </c>
      <c r="H6" s="33">
        <v>0</v>
      </c>
      <c r="I6" s="33">
        <v>0</v>
      </c>
      <c r="J6" s="33">
        <v>0</v>
      </c>
      <c r="K6" s="33">
        <v>0</v>
      </c>
      <c r="L6" s="33">
        <v>25.88</v>
      </c>
      <c r="M6" s="33">
        <v>25.8</v>
      </c>
      <c r="N6" s="34">
        <v>0.99690880989180797</v>
      </c>
      <c r="O6" s="34">
        <v>1.0011576279691501</v>
      </c>
      <c r="R6" s="33">
        <v>25.909959411841701</v>
      </c>
      <c r="U6" s="15">
        <v>4.2529361396916399E-3</v>
      </c>
      <c r="X6" s="34">
        <v>0.99690880989180797</v>
      </c>
      <c r="Y6" s="34">
        <v>0.99838446436414396</v>
      </c>
      <c r="AB6" s="33">
        <v>25.838189937744001</v>
      </c>
      <c r="AE6" s="15">
        <v>1.47913568438013E-3</v>
      </c>
      <c r="AG6" s="29"/>
      <c r="AI6" s="4">
        <f t="shared" si="2"/>
        <v>-2E-3</v>
      </c>
      <c r="AJ6" s="10">
        <v>5.6105440785258045</v>
      </c>
      <c r="AK6" s="11">
        <v>5.4232814787240491</v>
      </c>
      <c r="AL6" s="11">
        <v>4.2730708011826</v>
      </c>
      <c r="AM6" s="11">
        <v>3.6168037566325393</v>
      </c>
      <c r="AN6" s="11">
        <v>1.8091010427873369</v>
      </c>
      <c r="AO6" s="11" t="e">
        <v>#DIV/0!</v>
      </c>
      <c r="AP6" s="11" t="e">
        <v>#DIV/0!</v>
      </c>
      <c r="AQ6" s="11" t="e">
        <v>#DIV/0!</v>
      </c>
      <c r="AR6"/>
      <c r="AT6" s="4">
        <f t="shared" si="3"/>
        <v>2E-3</v>
      </c>
      <c r="AU6" s="10">
        <v>6.0168132810301831</v>
      </c>
      <c r="AV6" s="11">
        <v>5.3526043574764017</v>
      </c>
      <c r="AW6" s="11">
        <v>4.3187418535573476</v>
      </c>
      <c r="AX6" s="11">
        <v>2.7777574924818058</v>
      </c>
      <c r="AY6" s="11">
        <v>2.1612714306655949</v>
      </c>
      <c r="AZ6" s="11">
        <v>1.8070005810635164</v>
      </c>
      <c r="BA6" s="11">
        <v>1.8070005810635164</v>
      </c>
      <c r="BB6" s="11" t="e">
        <v>#DIV/0!</v>
      </c>
      <c r="BC6"/>
    </row>
    <row r="7" spans="1:130" x14ac:dyDescent="0.25">
      <c r="A7" s="1">
        <v>46031</v>
      </c>
      <c r="B7" s="33">
        <v>25.92</v>
      </c>
      <c r="C7" s="33">
        <v>25.79</v>
      </c>
      <c r="D7" s="15">
        <v>1.5444018513742E-3</v>
      </c>
      <c r="E7" s="15">
        <v>-3.87672034318375E-4</v>
      </c>
      <c r="F7" s="33">
        <v>0</v>
      </c>
      <c r="G7" s="33">
        <v>0</v>
      </c>
      <c r="H7" s="33">
        <v>0</v>
      </c>
      <c r="I7" s="33">
        <v>0</v>
      </c>
      <c r="J7" s="33">
        <v>0</v>
      </c>
      <c r="K7" s="33">
        <v>0</v>
      </c>
      <c r="L7" s="33">
        <v>25.92</v>
      </c>
      <c r="M7" s="33">
        <v>25.79</v>
      </c>
      <c r="N7" s="34">
        <v>0.99498456790123402</v>
      </c>
      <c r="O7" s="34">
        <v>1.0011576279691501</v>
      </c>
      <c r="R7" s="33">
        <v>25.950005716960501</v>
      </c>
      <c r="U7" s="15">
        <v>6.1850100253843399E-3</v>
      </c>
      <c r="X7" s="34">
        <v>0.99498456790123402</v>
      </c>
      <c r="Y7" s="34">
        <v>0.99838446436414396</v>
      </c>
      <c r="AB7" s="33">
        <v>25.878125316318599</v>
      </c>
      <c r="AE7" s="15">
        <v>3.4112095700728601E-3</v>
      </c>
      <c r="AG7"/>
      <c r="AI7" s="4">
        <f t="shared" si="2"/>
        <v>-2.5000000000000001E-3</v>
      </c>
      <c r="AJ7" s="10">
        <v>5.6105440785258045</v>
      </c>
      <c r="AK7" s="11">
        <v>5.4232814787240491</v>
      </c>
      <c r="AL7" s="11">
        <v>4.2730708011826</v>
      </c>
      <c r="AM7" s="11">
        <v>3.6168037566325393</v>
      </c>
      <c r="AN7" s="11">
        <v>1.8091010427873369</v>
      </c>
      <c r="AO7" s="11" t="e">
        <v>#DIV/0!</v>
      </c>
      <c r="AP7" s="11" t="e">
        <v>#DIV/0!</v>
      </c>
      <c r="AQ7" s="11" t="e">
        <v>#DIV/0!</v>
      </c>
      <c r="AR7"/>
      <c r="AT7" s="4">
        <f t="shared" si="3"/>
        <v>2.5000000000000001E-3</v>
      </c>
      <c r="AU7" s="10">
        <v>6.0168132810301831</v>
      </c>
      <c r="AV7" s="11">
        <v>5.3526043574764017</v>
      </c>
      <c r="AW7" s="11">
        <v>4.3187418535573476</v>
      </c>
      <c r="AX7" s="11">
        <v>2.7777574924818058</v>
      </c>
      <c r="AY7" s="11">
        <v>2.1612714306655949</v>
      </c>
      <c r="AZ7" s="11">
        <v>1.8070005810635164</v>
      </c>
      <c r="BA7" s="11">
        <v>1.8070005810635164</v>
      </c>
      <c r="BB7" s="11" t="e">
        <v>#DIV/0!</v>
      </c>
      <c r="BC7"/>
    </row>
    <row r="8" spans="1:130" x14ac:dyDescent="0.25">
      <c r="A8" s="1">
        <v>46034</v>
      </c>
      <c r="B8" s="33">
        <v>25.89</v>
      </c>
      <c r="C8" s="33">
        <v>25.81</v>
      </c>
      <c r="D8" s="15">
        <v>-1.1580777206277001E-3</v>
      </c>
      <c r="E8" s="15">
        <v>7.7519383726899001E-4</v>
      </c>
      <c r="F8" s="33">
        <v>0</v>
      </c>
      <c r="G8" s="33">
        <v>0</v>
      </c>
      <c r="H8" s="33">
        <v>0</v>
      </c>
      <c r="I8" s="33">
        <v>0</v>
      </c>
      <c r="J8" s="33">
        <v>0</v>
      </c>
      <c r="K8" s="33">
        <v>0</v>
      </c>
      <c r="L8" s="33">
        <v>25.89</v>
      </c>
      <c r="M8" s="33">
        <v>25.81</v>
      </c>
      <c r="N8" s="34">
        <v>0.99691000386249495</v>
      </c>
      <c r="O8" s="34">
        <v>1.0011576279691501</v>
      </c>
      <c r="R8" s="33">
        <v>25.919970988121399</v>
      </c>
      <c r="U8" s="15">
        <v>4.2517384674874096E-3</v>
      </c>
      <c r="X8" s="34">
        <v>0.99691000386249495</v>
      </c>
      <c r="Y8" s="34">
        <v>0.99838446436414396</v>
      </c>
      <c r="AB8" s="33">
        <v>25.8481737823877</v>
      </c>
      <c r="AE8" s="15">
        <v>1.47793801217583E-3</v>
      </c>
      <c r="AG8"/>
      <c r="AI8" s="4">
        <f t="shared" si="2"/>
        <v>-3.0000000000000001E-3</v>
      </c>
      <c r="AJ8" s="10">
        <v>5.6105440785258045</v>
      </c>
      <c r="AK8" s="11">
        <v>5.4232814787240491</v>
      </c>
      <c r="AL8" s="11">
        <v>4.2730708011826</v>
      </c>
      <c r="AM8" s="11">
        <v>3.6168037566325393</v>
      </c>
      <c r="AN8" s="11">
        <v>1.8091010427873369</v>
      </c>
      <c r="AO8" s="11" t="e">
        <v>#DIV/0!</v>
      </c>
      <c r="AP8" s="11" t="e">
        <v>#DIV/0!</v>
      </c>
      <c r="AQ8" s="11" t="e">
        <v>#DIV/0!</v>
      </c>
      <c r="AR8"/>
      <c r="AT8" s="4">
        <f t="shared" si="3"/>
        <v>3.0000000000000001E-3</v>
      </c>
      <c r="AU8" s="10">
        <v>6.0168132810301831</v>
      </c>
      <c r="AV8" s="11">
        <v>5.3526043574764017</v>
      </c>
      <c r="AW8" s="11">
        <v>4.3187418535573476</v>
      </c>
      <c r="AX8" s="11">
        <v>2.7777574924818058</v>
      </c>
      <c r="AY8" s="11">
        <v>2.1612714306655949</v>
      </c>
      <c r="AZ8" s="11">
        <v>1.8070005810635164</v>
      </c>
      <c r="BA8" s="11">
        <v>1.8070005810635164</v>
      </c>
      <c r="BB8" s="11" t="e">
        <v>#DIV/0!</v>
      </c>
      <c r="BC8"/>
    </row>
    <row r="9" spans="1:130" x14ac:dyDescent="0.25">
      <c r="A9" s="1">
        <v>46035</v>
      </c>
      <c r="B9" s="33">
        <v>25.91</v>
      </c>
      <c r="C9" s="33">
        <v>25.83</v>
      </c>
      <c r="D9" s="15">
        <v>7.7220081057238895E-4</v>
      </c>
      <c r="E9" s="15">
        <v>7.74593377226612E-4</v>
      </c>
      <c r="F9" s="33">
        <v>0</v>
      </c>
      <c r="G9" s="33">
        <v>0</v>
      </c>
      <c r="H9" s="33">
        <v>0</v>
      </c>
      <c r="I9" s="33">
        <v>0</v>
      </c>
      <c r="J9" s="33">
        <v>0</v>
      </c>
      <c r="K9" s="33">
        <v>0</v>
      </c>
      <c r="L9" s="33">
        <v>25.91</v>
      </c>
      <c r="M9" s="33">
        <v>25.83</v>
      </c>
      <c r="N9" s="34">
        <v>0.99691238903898105</v>
      </c>
      <c r="O9" s="34">
        <v>1.0011576279691501</v>
      </c>
      <c r="R9" s="33">
        <v>25.939994140680799</v>
      </c>
      <c r="U9" s="15">
        <v>4.2493459008332603E-3</v>
      </c>
      <c r="X9" s="34">
        <v>0.99691238903898105</v>
      </c>
      <c r="Y9" s="34">
        <v>0.99838446436414396</v>
      </c>
      <c r="AB9" s="33">
        <v>25.8681414716749</v>
      </c>
      <c r="AE9" s="15">
        <v>1.47554544552162E-3</v>
      </c>
      <c r="AF9"/>
      <c r="AI9" s="4">
        <f t="shared" si="2"/>
        <v>-3.5000000000000001E-3</v>
      </c>
      <c r="AJ9" s="10">
        <v>5.6105440785258045</v>
      </c>
      <c r="AK9" s="11">
        <v>5.4232814787240491</v>
      </c>
      <c r="AL9" s="11">
        <v>4.2730708011826</v>
      </c>
      <c r="AM9" s="11">
        <v>3.6168037566325393</v>
      </c>
      <c r="AN9" s="11">
        <v>1.8091010427873369</v>
      </c>
      <c r="AO9" s="11" t="e">
        <v>#DIV/0!</v>
      </c>
      <c r="AP9" s="11" t="e">
        <v>#DIV/0!</v>
      </c>
      <c r="AQ9" s="11" t="e">
        <v>#DIV/0!</v>
      </c>
      <c r="AR9"/>
      <c r="AT9" s="4">
        <f t="shared" si="3"/>
        <v>3.5000000000000001E-3</v>
      </c>
      <c r="AU9" s="10">
        <v>6.0168132810301831</v>
      </c>
      <c r="AV9" s="10">
        <v>5.3526043574764017</v>
      </c>
      <c r="AW9" s="10">
        <v>4.3187418535573476</v>
      </c>
      <c r="AX9" s="10">
        <v>2.7777574924818058</v>
      </c>
      <c r="AY9" s="10">
        <v>2.1612714306655949</v>
      </c>
      <c r="AZ9" s="10">
        <v>1.8070005810635164</v>
      </c>
      <c r="BA9" s="10">
        <v>1.8070005810635164</v>
      </c>
      <c r="BB9" s="10" t="e">
        <v>#DIV/0!</v>
      </c>
      <c r="BC9"/>
    </row>
    <row r="10" spans="1:130" x14ac:dyDescent="0.25">
      <c r="A10" s="1">
        <v>46036</v>
      </c>
      <c r="B10" s="33">
        <v>25.92</v>
      </c>
      <c r="C10" s="33">
        <v>25.84</v>
      </c>
      <c r="D10" s="15">
        <v>3.85876910055401E-4</v>
      </c>
      <c r="E10" s="15">
        <v>3.8707180665212098E-4</v>
      </c>
      <c r="F10" s="33">
        <v>0</v>
      </c>
      <c r="G10" s="33">
        <v>0</v>
      </c>
      <c r="H10" s="33">
        <v>0</v>
      </c>
      <c r="I10" s="33">
        <v>0</v>
      </c>
      <c r="J10" s="33">
        <v>0</v>
      </c>
      <c r="K10" s="33">
        <v>0</v>
      </c>
      <c r="L10" s="33">
        <v>25.92</v>
      </c>
      <c r="M10" s="33">
        <v>25.84</v>
      </c>
      <c r="N10" s="34">
        <v>0.99691358024691301</v>
      </c>
      <c r="O10" s="34">
        <v>1.0011576279691501</v>
      </c>
      <c r="R10" s="33">
        <v>25.950005716960501</v>
      </c>
      <c r="U10" s="15">
        <v>4.2481510042364596E-3</v>
      </c>
      <c r="X10" s="34">
        <v>0.99691358024691301</v>
      </c>
      <c r="Y10" s="34">
        <v>0.99838446436414396</v>
      </c>
      <c r="AB10" s="33">
        <v>25.878125316318599</v>
      </c>
      <c r="AE10" s="15">
        <v>1.4743505489250399E-3</v>
      </c>
      <c r="AF10"/>
      <c r="AI10" s="13" t="s">
        <v>34</v>
      </c>
      <c r="AJ10"/>
      <c r="AK10"/>
      <c r="AL10"/>
      <c r="AM10"/>
      <c r="AN10"/>
      <c r="AO10"/>
      <c r="AP10"/>
      <c r="AQ10"/>
      <c r="AR10"/>
      <c r="AT10" s="13" t="s">
        <v>34</v>
      </c>
      <c r="AU10"/>
      <c r="AV10"/>
      <c r="AW10"/>
      <c r="AX10"/>
      <c r="AY10"/>
      <c r="AZ10"/>
      <c r="BA10"/>
      <c r="BB10"/>
      <c r="BC10"/>
      <c r="BZ10" s="14"/>
      <c r="CL10" s="14"/>
    </row>
    <row r="11" spans="1:130" x14ac:dyDescent="0.25">
      <c r="A11" s="1">
        <v>46037</v>
      </c>
      <c r="B11" s="33">
        <v>25.93</v>
      </c>
      <c r="C11" s="33">
        <v>25.86</v>
      </c>
      <c r="D11" s="15">
        <v>3.85728066498935E-4</v>
      </c>
      <c r="E11" s="15">
        <v>7.7369442931032797E-4</v>
      </c>
      <c r="F11" s="33">
        <v>0</v>
      </c>
      <c r="G11" s="33">
        <v>0</v>
      </c>
      <c r="H11" s="33">
        <v>0</v>
      </c>
      <c r="I11" s="33">
        <v>0</v>
      </c>
      <c r="J11" s="33">
        <v>0</v>
      </c>
      <c r="K11" s="33">
        <v>0</v>
      </c>
      <c r="L11" s="33">
        <v>25.93</v>
      </c>
      <c r="M11" s="33">
        <v>25.86</v>
      </c>
      <c r="N11" s="34">
        <v>0.99730042421905096</v>
      </c>
      <c r="O11" s="34">
        <v>1.0011576279691501</v>
      </c>
      <c r="P11" s="34">
        <v>0.996755572824368</v>
      </c>
      <c r="R11" s="33">
        <v>25.960017293240199</v>
      </c>
      <c r="U11" s="15">
        <v>3.8601846414252302E-3</v>
      </c>
      <c r="X11" s="34">
        <v>0.99730042421905096</v>
      </c>
      <c r="Y11" s="34">
        <v>0.99838446436414396</v>
      </c>
      <c r="Z11" s="34">
        <v>0.996755572824368</v>
      </c>
      <c r="AB11" s="33">
        <v>25.888109160962198</v>
      </c>
      <c r="AE11" s="15">
        <v>1.08638418611364E-3</v>
      </c>
      <c r="AL11" s="16" t="s">
        <v>35</v>
      </c>
      <c r="AM11" s="16" t="s">
        <v>36</v>
      </c>
      <c r="AW11" s="16" t="s">
        <v>35</v>
      </c>
      <c r="AX11" s="16" t="s">
        <v>36</v>
      </c>
    </row>
    <row r="12" spans="1:130" x14ac:dyDescent="0.25">
      <c r="A12" s="1">
        <v>46038</v>
      </c>
      <c r="B12" s="33">
        <v>25.95</v>
      </c>
      <c r="C12" s="33">
        <v>25.84</v>
      </c>
      <c r="D12" s="15">
        <v>7.7101006132469004E-4</v>
      </c>
      <c r="E12" s="15">
        <v>-7.7369442931026898E-4</v>
      </c>
      <c r="F12" s="33">
        <v>0</v>
      </c>
      <c r="G12" s="33">
        <v>0</v>
      </c>
      <c r="H12" s="33">
        <v>0</v>
      </c>
      <c r="I12" s="33">
        <v>0</v>
      </c>
      <c r="J12" s="33">
        <v>0</v>
      </c>
      <c r="K12" s="33">
        <v>0</v>
      </c>
      <c r="L12" s="33">
        <v>25.95</v>
      </c>
      <c r="M12" s="33">
        <v>25.84</v>
      </c>
      <c r="N12" s="34">
        <v>0.99576107899807298</v>
      </c>
      <c r="O12" s="34">
        <v>1.0011576279691501</v>
      </c>
      <c r="P12" s="34">
        <v>0.99656432903747505</v>
      </c>
      <c r="R12" s="33">
        <v>25.980040445799599</v>
      </c>
      <c r="S12" s="33">
        <v>25.8658071147923</v>
      </c>
      <c r="U12" s="15">
        <v>5.4048891320602E-3</v>
      </c>
      <c r="V12" s="15">
        <v>9.9822895629703493E-4</v>
      </c>
      <c r="X12" s="34">
        <v>0.99576107899807298</v>
      </c>
      <c r="Y12" s="34">
        <v>0.99838446436414396</v>
      </c>
      <c r="Z12" s="34">
        <v>0.99656432903747505</v>
      </c>
      <c r="AB12" s="33">
        <v>25.9080768502495</v>
      </c>
      <c r="AC12" s="33">
        <v>25.8658071147923</v>
      </c>
      <c r="AE12" s="15">
        <v>2.63108867674863E-3</v>
      </c>
      <c r="AF12" s="15">
        <v>9.9822895629703493E-4</v>
      </c>
      <c r="AK12" s="17">
        <v>5.0000000000000001E-4</v>
      </c>
      <c r="AL12" s="18" t="s">
        <v>37</v>
      </c>
      <c r="AM12" s="19" t="s">
        <v>38</v>
      </c>
      <c r="AV12" s="17">
        <v>5.0000000000000001E-4</v>
      </c>
      <c r="AW12" s="18" t="s">
        <v>39</v>
      </c>
      <c r="AX12" s="19" t="s">
        <v>40</v>
      </c>
    </row>
    <row r="13" spans="1:130" x14ac:dyDescent="0.25">
      <c r="A13" s="1">
        <v>46042</v>
      </c>
      <c r="B13" s="33">
        <v>25.71</v>
      </c>
      <c r="C13" s="33">
        <v>25.79</v>
      </c>
      <c r="D13" s="15">
        <v>-9.2915883340995205E-3</v>
      </c>
      <c r="E13" s="15">
        <v>-1.9368590211477101E-3</v>
      </c>
      <c r="F13" s="33">
        <v>0.13900000000000001</v>
      </c>
      <c r="G13" s="33">
        <v>0.13900000000000001</v>
      </c>
      <c r="H13" s="33">
        <v>0</v>
      </c>
      <c r="I13" s="33">
        <v>0</v>
      </c>
      <c r="J13" s="33">
        <v>0.13900000000000001</v>
      </c>
      <c r="K13" s="33">
        <v>0</v>
      </c>
      <c r="L13" s="33">
        <v>25.849</v>
      </c>
      <c r="M13" s="33">
        <v>25.79</v>
      </c>
      <c r="N13" s="34">
        <v>1.00311162971606</v>
      </c>
      <c r="O13" s="34">
        <v>1.0011576279691501</v>
      </c>
      <c r="P13" s="34">
        <v>0.99722338532179899</v>
      </c>
      <c r="R13" s="33">
        <v>25.739762615086999</v>
      </c>
      <c r="S13" s="33">
        <v>25.621668899553502</v>
      </c>
      <c r="U13" s="15">
        <v>-1.9498401808916001E-3</v>
      </c>
      <c r="V13" s="15">
        <v>-6.5483850484205196E-3</v>
      </c>
      <c r="X13" s="34">
        <v>0.997717513250029</v>
      </c>
      <c r="Y13" s="34">
        <v>0.99838446436414396</v>
      </c>
      <c r="Z13" s="34">
        <v>0.99668397367519601</v>
      </c>
      <c r="AB13" s="33">
        <v>25.807240019348701</v>
      </c>
      <c r="AC13" s="33">
        <v>25.760191341289701</v>
      </c>
      <c r="AE13" s="15">
        <v>6.6825357262806004E-4</v>
      </c>
      <c r="AF13" s="15">
        <v>-1.15649083958939E-3</v>
      </c>
    </row>
    <row r="14" spans="1:130" x14ac:dyDescent="0.25">
      <c r="A14" s="1">
        <v>46043</v>
      </c>
      <c r="B14" s="33">
        <v>25.79</v>
      </c>
      <c r="C14" s="33">
        <v>25.87</v>
      </c>
      <c r="D14" s="15">
        <v>3.10679861545533E-3</v>
      </c>
      <c r="E14" s="15">
        <v>3.0971763046844002E-3</v>
      </c>
      <c r="F14" s="33">
        <v>0</v>
      </c>
      <c r="G14" s="33">
        <v>0.13900000000000001</v>
      </c>
      <c r="H14" s="33">
        <v>0</v>
      </c>
      <c r="I14" s="33">
        <v>0</v>
      </c>
      <c r="J14" s="33">
        <v>0.13900000000000001</v>
      </c>
      <c r="K14" s="33">
        <v>0</v>
      </c>
      <c r="L14" s="33">
        <v>25.928999999999998</v>
      </c>
      <c r="M14" s="33">
        <v>25.87</v>
      </c>
      <c r="N14" s="34">
        <v>1.00310197751066</v>
      </c>
      <c r="O14" s="34">
        <v>1.0011576279691501</v>
      </c>
      <c r="P14" s="34">
        <v>0.99788120763833499</v>
      </c>
      <c r="R14" s="33">
        <v>25.819855225324499</v>
      </c>
      <c r="S14" s="33">
        <v>25.7183911074492</v>
      </c>
      <c r="U14" s="15">
        <v>-1.9402178701207601E-3</v>
      </c>
      <c r="V14" s="15">
        <v>-5.8776529278322803E-3</v>
      </c>
      <c r="X14" s="34">
        <v>0.99772455551698802</v>
      </c>
      <c r="Y14" s="34">
        <v>0.99838446436414396</v>
      </c>
      <c r="Z14" s="34">
        <v>0.99680405379236403</v>
      </c>
      <c r="AB14" s="33">
        <v>25.887110776497899</v>
      </c>
      <c r="AC14" s="33">
        <v>25.843018753424101</v>
      </c>
      <c r="AE14" s="15">
        <v>6.6119521992508699E-4</v>
      </c>
      <c r="AF14" s="15">
        <v>-1.0434992841085299E-3</v>
      </c>
      <c r="AQ14" s="20">
        <f>AVERAGE(AQ22:AQ176)</f>
        <v>1.5362416036975927E-4</v>
      </c>
      <c r="AR14" s="21" t="s">
        <v>41</v>
      </c>
      <c r="BB14" s="20">
        <f>AVERAGE(BB22:BB176)</f>
        <v>1.9137916901431509E-4</v>
      </c>
      <c r="BC14" s="21" t="s">
        <v>41</v>
      </c>
      <c r="BD14" s="22"/>
      <c r="BE14" s="20">
        <f>AVERAGE(BE22:BE176)</f>
        <v>3.4500332938407435E-4</v>
      </c>
      <c r="BF14" s="21" t="s">
        <v>41</v>
      </c>
    </row>
    <row r="15" spans="1:130" x14ac:dyDescent="0.25">
      <c r="A15" s="1">
        <v>46044</v>
      </c>
      <c r="B15" s="33">
        <v>25.8</v>
      </c>
      <c r="C15" s="33">
        <v>25.87</v>
      </c>
      <c r="D15" s="15">
        <v>3.8767203431839202E-4</v>
      </c>
      <c r="E15" s="15">
        <v>0</v>
      </c>
      <c r="F15" s="33">
        <v>0</v>
      </c>
      <c r="G15" s="33">
        <v>0.13900000000000001</v>
      </c>
      <c r="H15" s="33">
        <v>0</v>
      </c>
      <c r="I15" s="33">
        <v>0</v>
      </c>
      <c r="J15" s="33">
        <v>0.13900000000000001</v>
      </c>
      <c r="K15" s="33">
        <v>0</v>
      </c>
      <c r="L15" s="33">
        <v>25.939</v>
      </c>
      <c r="M15" s="33">
        <v>25.87</v>
      </c>
      <c r="N15" s="34">
        <v>1.00271317829457</v>
      </c>
      <c r="O15" s="34">
        <v>1.0011576279691501</v>
      </c>
      <c r="P15" s="34">
        <v>0.99846176396798503</v>
      </c>
      <c r="R15" s="33">
        <v>25.829866801604201</v>
      </c>
      <c r="S15" s="33">
        <v>25.745335157069</v>
      </c>
      <c r="U15" s="15">
        <v>-1.55254583580245E-3</v>
      </c>
      <c r="V15" s="15">
        <v>-4.8305444482319802E-3</v>
      </c>
      <c r="X15" s="34">
        <v>0.99733991287250801</v>
      </c>
      <c r="Y15" s="34">
        <v>0.99838446436414396</v>
      </c>
      <c r="Z15" s="34">
        <v>0.99684728357980801</v>
      </c>
      <c r="AB15" s="33">
        <v>25.897094621141498</v>
      </c>
      <c r="AC15" s="33">
        <v>25.856100351320102</v>
      </c>
      <c r="AE15" s="15">
        <v>1.04678942536603E-3</v>
      </c>
      <c r="AF15" s="15">
        <v>-5.3743270496019895E-4</v>
      </c>
      <c r="AQ15" s="20">
        <f>STDEV(AQ22:AQ176)</f>
        <v>5.5728260954747194E-4</v>
      </c>
      <c r="AR15" s="21" t="s">
        <v>42</v>
      </c>
      <c r="BB15" s="20">
        <f>STDEV(BB22:BB176)</f>
        <v>7.0634561990321615E-4</v>
      </c>
      <c r="BC15" s="21" t="s">
        <v>42</v>
      </c>
      <c r="BD15" s="22"/>
      <c r="BE15" s="20">
        <f>STDEV(BE22:BE176)</f>
        <v>8.6620164462240465E-4</v>
      </c>
      <c r="BF15" s="21" t="s">
        <v>42</v>
      </c>
    </row>
    <row r="16" spans="1:130" x14ac:dyDescent="0.25">
      <c r="A16" s="1">
        <v>46045</v>
      </c>
      <c r="B16" s="33">
        <v>25.78</v>
      </c>
      <c r="C16" s="33">
        <v>25.84</v>
      </c>
      <c r="D16" s="15">
        <v>-7.7549441653038999E-4</v>
      </c>
      <c r="E16" s="15">
        <v>-1.1603172835366799E-3</v>
      </c>
      <c r="F16" s="33">
        <v>0</v>
      </c>
      <c r="G16" s="33">
        <v>0.13900000000000001</v>
      </c>
      <c r="H16" s="33">
        <v>0</v>
      </c>
      <c r="I16" s="33">
        <v>0</v>
      </c>
      <c r="J16" s="33">
        <v>0.13900000000000001</v>
      </c>
      <c r="K16" s="33">
        <v>0</v>
      </c>
      <c r="L16" s="33">
        <v>25.919</v>
      </c>
      <c r="M16" s="33">
        <v>25.84</v>
      </c>
      <c r="N16" s="34">
        <v>1.0023273855702</v>
      </c>
      <c r="O16" s="34">
        <v>1.0011576279691501</v>
      </c>
      <c r="P16" s="34">
        <v>0.999003621535825</v>
      </c>
      <c r="R16" s="33">
        <v>25.809843649044801</v>
      </c>
      <c r="S16" s="33">
        <v>25.7403442750946</v>
      </c>
      <c r="U16" s="15">
        <v>-1.16772296879609E-3</v>
      </c>
      <c r="V16" s="15">
        <v>-3.8641017350631202E-3</v>
      </c>
      <c r="X16" s="34">
        <v>0.99695204290288897</v>
      </c>
      <c r="Y16" s="34">
        <v>0.99838446436414396</v>
      </c>
      <c r="Z16" s="34">
        <v>0.99685160688091601</v>
      </c>
      <c r="AB16" s="33">
        <v>25.8771269318542</v>
      </c>
      <c r="AC16" s="33">
        <v>25.837284743104998</v>
      </c>
      <c r="AE16" s="15">
        <v>1.43576955777446E-3</v>
      </c>
      <c r="AF16" s="15">
        <v>-1.0508512244573199E-4</v>
      </c>
      <c r="AQ16" s="23">
        <f>SQRT(252)*AQ14/AQ15</f>
        <v>4.3760704182698609</v>
      </c>
      <c r="AR16" s="21" t="s">
        <v>43</v>
      </c>
      <c r="BB16" s="23">
        <f>SQRT(252)*BB14/BB15</f>
        <v>4.3010815645699498</v>
      </c>
      <c r="BC16" s="21" t="s">
        <v>43</v>
      </c>
      <c r="BD16" s="22"/>
      <c r="BE16" s="23">
        <f>SQRT(252)*BE14/BE15</f>
        <v>6.3227287782682682</v>
      </c>
      <c r="BF16" s="21" t="s">
        <v>43</v>
      </c>
    </row>
    <row r="17" spans="1:124" x14ac:dyDescent="0.25">
      <c r="A17" s="1">
        <v>46048</v>
      </c>
      <c r="B17" s="33">
        <v>25.79</v>
      </c>
      <c r="C17" s="33">
        <v>25.85</v>
      </c>
      <c r="D17" s="15">
        <v>3.8782238221205E-4</v>
      </c>
      <c r="E17" s="15">
        <v>3.8692204003715203E-4</v>
      </c>
      <c r="F17" s="33">
        <v>0</v>
      </c>
      <c r="G17" s="33">
        <v>0.13900000000000001</v>
      </c>
      <c r="H17" s="33">
        <v>0</v>
      </c>
      <c r="I17" s="33">
        <v>0</v>
      </c>
      <c r="J17" s="33">
        <v>0.13900000000000001</v>
      </c>
      <c r="K17" s="33">
        <v>0</v>
      </c>
      <c r="L17" s="33">
        <v>25.928999999999998</v>
      </c>
      <c r="M17" s="33">
        <v>25.85</v>
      </c>
      <c r="N17" s="34">
        <v>1.0023264831329901</v>
      </c>
      <c r="O17" s="34">
        <v>1.0011576279691501</v>
      </c>
      <c r="P17" s="34">
        <v>0.999737813059002</v>
      </c>
      <c r="R17" s="33">
        <v>25.819855225324499</v>
      </c>
      <c r="S17" s="33">
        <v>25.764303399408899</v>
      </c>
      <c r="U17" s="15">
        <v>-1.16682262662108E-3</v>
      </c>
      <c r="V17" s="15">
        <v>-3.3206562403523899E-3</v>
      </c>
      <c r="X17" s="34">
        <v>0.996953218404103</v>
      </c>
      <c r="Y17" s="34">
        <v>0.99838446436414396</v>
      </c>
      <c r="Z17" s="34">
        <v>0.99704847193120305</v>
      </c>
      <c r="AB17" s="33">
        <v>25.887110776497899</v>
      </c>
      <c r="AC17" s="33">
        <v>25.8473653148152</v>
      </c>
      <c r="AE17" s="15">
        <v>1.4345904634246601E-3</v>
      </c>
      <c r="AF17" s="15">
        <v>-1.0192725184193601E-4</v>
      </c>
    </row>
    <row r="18" spans="1:124" x14ac:dyDescent="0.25">
      <c r="A18" s="1">
        <v>46049</v>
      </c>
      <c r="B18" s="33">
        <v>25.8</v>
      </c>
      <c r="C18" s="33">
        <v>25.85</v>
      </c>
      <c r="D18" s="15">
        <v>3.8767203431839202E-4</v>
      </c>
      <c r="E18" s="15">
        <v>0</v>
      </c>
      <c r="F18" s="33">
        <v>0</v>
      </c>
      <c r="G18" s="33">
        <v>0.13900000000000001</v>
      </c>
      <c r="H18" s="33">
        <v>0</v>
      </c>
      <c r="I18" s="33">
        <v>0</v>
      </c>
      <c r="J18" s="33">
        <v>0.13900000000000001</v>
      </c>
      <c r="K18" s="33">
        <v>0</v>
      </c>
      <c r="L18" s="33">
        <v>25.939</v>
      </c>
      <c r="M18" s="33">
        <v>25.85</v>
      </c>
      <c r="N18" s="34">
        <v>1.00193798449612</v>
      </c>
      <c r="O18" s="34">
        <v>1.0011576279691501</v>
      </c>
      <c r="P18" s="34">
        <v>1.0002406111223601</v>
      </c>
      <c r="R18" s="33">
        <v>25.829866801604201</v>
      </c>
      <c r="S18" s="33">
        <v>25.7932355769222</v>
      </c>
      <c r="U18" s="15">
        <v>-7.7915059230277003E-4</v>
      </c>
      <c r="V18" s="15">
        <v>-2.1983303448692201E-3</v>
      </c>
      <c r="X18" s="34">
        <v>0.99656887312540898</v>
      </c>
      <c r="Y18" s="34">
        <v>0.99838446436414396</v>
      </c>
      <c r="Z18" s="34">
        <v>0.99701435885749401</v>
      </c>
      <c r="AB18" s="33">
        <v>25.897094621141498</v>
      </c>
      <c r="AC18" s="33">
        <v>25.862440313423399</v>
      </c>
      <c r="AE18" s="15">
        <v>1.8201846688656201E-3</v>
      </c>
      <c r="AF18" s="15">
        <v>4.8113427206565601E-4</v>
      </c>
      <c r="BE18" s="24">
        <f>SUM(BE22:BE176)</f>
        <v>5.3475516054531526E-2</v>
      </c>
      <c r="BF18" s="20">
        <f>BF176</f>
        <v>5.3475516054531526E-2</v>
      </c>
    </row>
    <row r="19" spans="1:124" x14ac:dyDescent="0.25">
      <c r="A19" s="1">
        <v>46050</v>
      </c>
      <c r="B19" s="33">
        <v>25.77</v>
      </c>
      <c r="C19" s="33">
        <v>25.84</v>
      </c>
      <c r="D19" s="15">
        <v>-1.1634672632980601E-3</v>
      </c>
      <c r="E19" s="15">
        <v>-3.8692204003706702E-4</v>
      </c>
      <c r="F19" s="33">
        <v>0</v>
      </c>
      <c r="G19" s="33">
        <v>0.13900000000000001</v>
      </c>
      <c r="H19" s="33">
        <v>0</v>
      </c>
      <c r="I19" s="33">
        <v>0</v>
      </c>
      <c r="J19" s="33">
        <v>0.13900000000000001</v>
      </c>
      <c r="K19" s="33">
        <v>0</v>
      </c>
      <c r="L19" s="33">
        <v>25.908999999999999</v>
      </c>
      <c r="M19" s="33">
        <v>25.84</v>
      </c>
      <c r="N19" s="34">
        <v>1.0027163368257599</v>
      </c>
      <c r="O19" s="34">
        <v>1.0011576279691501</v>
      </c>
      <c r="P19" s="34">
        <v>1.0008210059010401</v>
      </c>
      <c r="R19" s="33">
        <v>25.799832072765099</v>
      </c>
      <c r="S19" s="33">
        <v>25.776200548623301</v>
      </c>
      <c r="U19" s="15">
        <v>-1.5556958155637801E-3</v>
      </c>
      <c r="V19" s="15">
        <v>-2.4720720699761799E-3</v>
      </c>
      <c r="X19" s="34">
        <v>0.99733683276081597</v>
      </c>
      <c r="Y19" s="34">
        <v>0.99838446436414396</v>
      </c>
      <c r="Z19" s="34">
        <v>0.99705680322967805</v>
      </c>
      <c r="AB19" s="33">
        <v>25.8671430872106</v>
      </c>
      <c r="AC19" s="33">
        <v>25.831645023638799</v>
      </c>
      <c r="AE19" s="15">
        <v>1.0498777570453199E-3</v>
      </c>
      <c r="AF19" s="15">
        <v>-3.2338728252844998E-4</v>
      </c>
      <c r="AI19" s="12"/>
      <c r="AJ19"/>
      <c r="AK19"/>
      <c r="AL19"/>
      <c r="AM19"/>
      <c r="AN19"/>
      <c r="AO19"/>
      <c r="AP19"/>
      <c r="AQ19" s="24">
        <f>SUM(AQ22:AQ176)</f>
        <v>2.3811744857312685E-2</v>
      </c>
      <c r="AR19" s="24">
        <f>AR176</f>
        <v>2.3811744857312685E-2</v>
      </c>
      <c r="AU19"/>
      <c r="AV19"/>
      <c r="AW19"/>
      <c r="AX19"/>
      <c r="AY19"/>
      <c r="AZ19"/>
      <c r="BA19"/>
      <c r="BB19" s="24">
        <f>SUM(BB22:BB176)</f>
        <v>2.966377119721884E-2</v>
      </c>
      <c r="BC19" s="24">
        <f>BC176</f>
        <v>2.966377119721884E-2</v>
      </c>
      <c r="BE19" s="7" t="s">
        <v>44</v>
      </c>
      <c r="BF19" s="7" t="s">
        <v>44</v>
      </c>
      <c r="BH19" s="7"/>
    </row>
    <row r="20" spans="1:124" x14ac:dyDescent="0.25">
      <c r="A20" s="1">
        <v>46051</v>
      </c>
      <c r="B20" s="33">
        <v>25.76</v>
      </c>
      <c r="C20" s="33">
        <v>25.86</v>
      </c>
      <c r="D20" s="15">
        <v>-3.8812342812075601E-4</v>
      </c>
      <c r="E20" s="15">
        <v>7.7369442931032797E-4</v>
      </c>
      <c r="F20" s="33">
        <v>0</v>
      </c>
      <c r="G20" s="33">
        <v>0.13900000000000001</v>
      </c>
      <c r="H20" s="33">
        <v>0</v>
      </c>
      <c r="I20" s="33">
        <v>0</v>
      </c>
      <c r="J20" s="33">
        <v>0.13900000000000001</v>
      </c>
      <c r="K20" s="33">
        <v>0</v>
      </c>
      <c r="L20" s="33">
        <v>25.899000000000001</v>
      </c>
      <c r="M20" s="33">
        <v>25.86</v>
      </c>
      <c r="N20" s="34">
        <v>1.0038819875776299</v>
      </c>
      <c r="O20" s="34">
        <v>1.0011576279691501</v>
      </c>
      <c r="P20" s="34">
        <v>1.0015178466341099</v>
      </c>
      <c r="R20" s="33">
        <v>25.789820496485401</v>
      </c>
      <c r="S20" s="33">
        <v>25.781149112010802</v>
      </c>
      <c r="U20" s="15">
        <v>-2.7175136729947901E-3</v>
      </c>
      <c r="V20" s="15">
        <v>-3.0538030475067098E-3</v>
      </c>
      <c r="X20" s="34">
        <v>0.99849415035329503</v>
      </c>
      <c r="Y20" s="34">
        <v>0.99838446436414396</v>
      </c>
      <c r="Z20" s="34">
        <v>0.99721486024031603</v>
      </c>
      <c r="AB20" s="33">
        <v>25.857159242566901</v>
      </c>
      <c r="AC20" s="33">
        <v>25.822774146845401</v>
      </c>
      <c r="AE20" s="15">
        <v>-1.0985744296392E-4</v>
      </c>
      <c r="AF20" s="15">
        <v>-1.4405519133454099E-3</v>
      </c>
      <c r="AI20" s="25" t="s">
        <v>45</v>
      </c>
      <c r="AJ20" s="7" t="s">
        <v>46</v>
      </c>
      <c r="AK20" s="7" t="s">
        <v>47</v>
      </c>
      <c r="AL20" s="7" t="s">
        <v>48</v>
      </c>
      <c r="AM20" s="7" t="s">
        <v>49</v>
      </c>
      <c r="AN20" s="7" t="s">
        <v>50</v>
      </c>
      <c r="AO20" s="7" t="str">
        <f>D1</f>
        <v>BSJW log rtn</v>
      </c>
      <c r="AP20" s="7" t="str">
        <f>E1</f>
        <v>IBHL log rtn</v>
      </c>
      <c r="AQ20" s="7" t="s">
        <v>51</v>
      </c>
      <c r="AR20" s="7" t="s">
        <v>52</v>
      </c>
      <c r="AT20" s="25" t="s">
        <v>45</v>
      </c>
      <c r="AU20" s="7" t="s">
        <v>47</v>
      </c>
      <c r="AV20" s="7" t="s">
        <v>46</v>
      </c>
      <c r="AW20" s="7" t="s">
        <v>48</v>
      </c>
      <c r="AX20" s="7" t="s">
        <v>49</v>
      </c>
      <c r="AY20" s="7" t="s">
        <v>50</v>
      </c>
      <c r="AZ20" s="24" t="str">
        <f>D1</f>
        <v>BSJW log rtn</v>
      </c>
      <c r="BA20" s="24" t="str">
        <f>E1</f>
        <v>IBHL log rtn</v>
      </c>
      <c r="BB20" s="7" t="s">
        <v>51</v>
      </c>
      <c r="BC20" s="7" t="s">
        <v>52</v>
      </c>
      <c r="BE20" s="7" t="s">
        <v>51</v>
      </c>
      <c r="BF20" s="7" t="s">
        <v>52</v>
      </c>
      <c r="BH20" s="7"/>
    </row>
    <row r="21" spans="1:124" x14ac:dyDescent="0.25">
      <c r="A21" s="1">
        <v>46052</v>
      </c>
      <c r="B21" s="33">
        <v>25.79</v>
      </c>
      <c r="C21" s="33">
        <v>25.85</v>
      </c>
      <c r="D21" s="15">
        <v>1.16391865710041E-3</v>
      </c>
      <c r="E21" s="15">
        <v>-3.8677238927320201E-4</v>
      </c>
      <c r="F21" s="33">
        <v>0</v>
      </c>
      <c r="G21" s="33">
        <v>0.13900000000000001</v>
      </c>
      <c r="H21" s="33">
        <v>0</v>
      </c>
      <c r="I21" s="33">
        <v>0</v>
      </c>
      <c r="J21" s="33">
        <v>0.13900000000000001</v>
      </c>
      <c r="K21" s="33">
        <v>0</v>
      </c>
      <c r="L21" s="33">
        <v>25.928999999999998</v>
      </c>
      <c r="M21" s="33">
        <v>25.85</v>
      </c>
      <c r="N21" s="34">
        <v>1.0023264831329901</v>
      </c>
      <c r="O21" s="34">
        <v>1.0011576279691501</v>
      </c>
      <c r="P21" s="34">
        <v>1.0020204525255101</v>
      </c>
      <c r="Q21" s="34">
        <v>0.99938801267493904</v>
      </c>
      <c r="R21" s="33">
        <v>25.819855225324499</v>
      </c>
      <c r="S21" s="33">
        <v>25.8291452646938</v>
      </c>
      <c r="U21" s="15">
        <v>-1.16682262662108E-3</v>
      </c>
      <c r="V21" s="15">
        <v>-8.0708519196186299E-4</v>
      </c>
      <c r="X21" s="34">
        <v>0.996953218404103</v>
      </c>
      <c r="Y21" s="34">
        <v>0.99838446436414396</v>
      </c>
      <c r="Z21" s="34">
        <v>0.99718013965882102</v>
      </c>
      <c r="AA21" s="34">
        <v>0.99696785624159501</v>
      </c>
      <c r="AB21" s="33">
        <v>25.887110776497899</v>
      </c>
      <c r="AC21" s="33">
        <v>25.856784111171098</v>
      </c>
      <c r="AE21" s="15">
        <v>1.4345904634246601E-3</v>
      </c>
      <c r="AF21" s="15">
        <v>2.62407006226072E-4</v>
      </c>
      <c r="AI21" s="26">
        <v>-1E-3</v>
      </c>
      <c r="AJ21"/>
      <c r="AK21"/>
      <c r="AL21"/>
      <c r="AM21">
        <f t="shared" ref="AM21:AM84" si="4">IF(F22+H22&gt;0,0,1)</f>
        <v>0</v>
      </c>
      <c r="AN21" s="27">
        <v>0</v>
      </c>
      <c r="AO21"/>
      <c r="AP21"/>
      <c r="AQ21"/>
      <c r="AR21"/>
      <c r="AT21" s="26">
        <v>1E-3</v>
      </c>
      <c r="AU21"/>
      <c r="AV21"/>
      <c r="AW21"/>
      <c r="AX21">
        <f t="shared" ref="AX21:AX84" si="5">IF(F22+H22&gt;0,0,1)</f>
        <v>0</v>
      </c>
      <c r="AY21" s="27">
        <v>0</v>
      </c>
      <c r="AZ21"/>
      <c r="BA21"/>
      <c r="BB21"/>
      <c r="BC21"/>
    </row>
    <row r="22" spans="1:124" x14ac:dyDescent="0.25">
      <c r="A22" s="1">
        <v>46055</v>
      </c>
      <c r="B22" s="33">
        <v>25.79</v>
      </c>
      <c r="C22" s="33">
        <v>25.75</v>
      </c>
      <c r="D22" s="15">
        <v>0</v>
      </c>
      <c r="E22" s="15">
        <v>-3.8759738446930698E-3</v>
      </c>
      <c r="F22" s="33">
        <v>0</v>
      </c>
      <c r="G22" s="33">
        <v>0.13900000000000001</v>
      </c>
      <c r="H22" s="33">
        <v>0.125586</v>
      </c>
      <c r="I22" s="33">
        <v>0.125586</v>
      </c>
      <c r="J22" s="33">
        <v>0.13900000000000001</v>
      </c>
      <c r="K22" s="33">
        <v>0.125586</v>
      </c>
      <c r="L22" s="33">
        <v>25.928999999999998</v>
      </c>
      <c r="M22" s="33">
        <v>25.875585999999998</v>
      </c>
      <c r="N22" s="34">
        <v>0.99844901124466801</v>
      </c>
      <c r="O22" s="34">
        <v>1.0011576279691501</v>
      </c>
      <c r="P22" s="34">
        <v>1.00228924575017</v>
      </c>
      <c r="Q22" s="34">
        <v>0.99942678739382296</v>
      </c>
      <c r="R22" s="33">
        <v>25.819855225324499</v>
      </c>
      <c r="S22" s="33">
        <v>25.8421074706329</v>
      </c>
      <c r="T22" s="33">
        <v>25.774216846886599</v>
      </c>
      <c r="U22" s="15">
        <v>2.709151218072E-3</v>
      </c>
      <c r="V22" s="15">
        <v>3.5706069399718699E-3</v>
      </c>
      <c r="W22" s="15">
        <v>9.40018117767567E-4</v>
      </c>
      <c r="X22" s="34">
        <v>0.99793998997261701</v>
      </c>
      <c r="Y22" s="34">
        <v>0.99838446436414396</v>
      </c>
      <c r="Z22" s="34">
        <v>0.99739803075627598</v>
      </c>
      <c r="AA22" s="34">
        <v>0.99698117989687596</v>
      </c>
      <c r="AB22" s="33">
        <v>25.887110776497899</v>
      </c>
      <c r="AC22" s="33">
        <v>25.855883841213501</v>
      </c>
      <c r="AD22" s="33">
        <v>25.850379544488302</v>
      </c>
      <c r="AE22" s="15">
        <v>4.45292745781831E-4</v>
      </c>
      <c r="AF22" s="15">
        <v>-7.6170887080839798E-4</v>
      </c>
      <c r="AG22" s="15">
        <v>-9.7461525334883602E-4</v>
      </c>
      <c r="AI22" s="26">
        <v>-2.0000000000000001E-4</v>
      </c>
      <c r="AJ22">
        <f t="shared" ref="AJ22:AJ85" si="6">IF($AG22&lt;AI$21,1,0)</f>
        <v>0</v>
      </c>
      <c r="AK22">
        <f t="shared" ref="AK22:AK85" si="7">IF($AG22&gt;AI$22,1,0)</f>
        <v>0</v>
      </c>
      <c r="AL22">
        <f>AN21</f>
        <v>0</v>
      </c>
      <c r="AM22">
        <f t="shared" si="4"/>
        <v>1</v>
      </c>
      <c r="AN22">
        <f>IF(AJ21,1,IF(AK21,0,AL21))*AM21</f>
        <v>0</v>
      </c>
      <c r="AO22" s="28">
        <f t="shared" ref="AO22:AO85" si="8">AN22*D22</f>
        <v>0</v>
      </c>
      <c r="AP22" s="28">
        <f t="shared" ref="AP22:AP85" si="9">-AN22*$E22</f>
        <v>0</v>
      </c>
      <c r="AQ22" s="28">
        <f>AO22+AP22</f>
        <v>0</v>
      </c>
      <c r="AR22" s="29">
        <f>AR21+AQ22</f>
        <v>0</v>
      </c>
      <c r="AT22" s="26">
        <v>2.0000000000000001E-4</v>
      </c>
      <c r="AU22">
        <f t="shared" ref="AU22:AU85" si="10">IF($AG22&gt;AT$21,1,0)</f>
        <v>0</v>
      </c>
      <c r="AV22">
        <f t="shared" ref="AV22:AV85" si="11">IF($AG22&lt;AT$22,1,0)</f>
        <v>1</v>
      </c>
      <c r="AW22">
        <f>AY21</f>
        <v>0</v>
      </c>
      <c r="AX22">
        <f t="shared" si="5"/>
        <v>1</v>
      </c>
      <c r="AY22">
        <f>IF(AU21,1,IF(AV21,0,AW21))*AX21</f>
        <v>0</v>
      </c>
      <c r="AZ22" s="28">
        <f t="shared" ref="AZ22:AZ85" si="12">-AY22*D22</f>
        <v>0</v>
      </c>
      <c r="BA22" s="28">
        <f t="shared" ref="BA22:BA85" si="13">AY22*$E22</f>
        <v>0</v>
      </c>
      <c r="BB22" s="28">
        <f>AZ22+BA22</f>
        <v>0</v>
      </c>
      <c r="BC22" s="29">
        <f>BC21+BB22</f>
        <v>0</v>
      </c>
      <c r="BE22" s="29">
        <f>AQ22+BB22</f>
        <v>0</v>
      </c>
      <c r="BF22" s="29">
        <f>BF21+BE22</f>
        <v>0</v>
      </c>
      <c r="BH22" s="29"/>
    </row>
    <row r="23" spans="1:124" x14ac:dyDescent="0.25">
      <c r="A23" s="1">
        <v>46056</v>
      </c>
      <c r="B23" s="33">
        <v>25.79</v>
      </c>
      <c r="C23" s="33">
        <v>25.71</v>
      </c>
      <c r="D23" s="15">
        <v>0</v>
      </c>
      <c r="E23" s="15">
        <v>-1.55460583194699E-3</v>
      </c>
      <c r="F23" s="33">
        <v>0</v>
      </c>
      <c r="G23" s="33">
        <v>0.13900000000000001</v>
      </c>
      <c r="H23" s="33">
        <v>0</v>
      </c>
      <c r="I23" s="33">
        <v>0.125586</v>
      </c>
      <c r="J23" s="33">
        <v>0.13900000000000001</v>
      </c>
      <c r="K23" s="33">
        <v>0.125586</v>
      </c>
      <c r="L23" s="33">
        <v>25.928999999999998</v>
      </c>
      <c r="M23" s="33">
        <v>25.835585999999999</v>
      </c>
      <c r="N23" s="34">
        <v>0.99689802248933701</v>
      </c>
      <c r="O23" s="34">
        <v>1.0011576279691501</v>
      </c>
      <c r="P23" s="34">
        <v>1.00166788502749</v>
      </c>
      <c r="Q23" s="34">
        <v>0.99944563517464802</v>
      </c>
      <c r="R23" s="33">
        <v>25.819855225324499</v>
      </c>
      <c r="S23" s="33">
        <v>25.849039647896799</v>
      </c>
      <c r="T23" s="33">
        <v>25.7752168468866</v>
      </c>
      <c r="U23" s="15">
        <v>4.2637570500188302E-3</v>
      </c>
      <c r="V23" s="15">
        <v>5.3934280347618701E-3</v>
      </c>
      <c r="W23" s="15">
        <v>2.5334216601247302E-3</v>
      </c>
      <c r="X23" s="34">
        <v>0.99639731574684698</v>
      </c>
      <c r="Y23" s="34">
        <v>0.99838446436414396</v>
      </c>
      <c r="Z23" s="34">
        <v>0.99726601100595802</v>
      </c>
      <c r="AA23" s="34">
        <v>0.99697499234057696</v>
      </c>
      <c r="AB23" s="33">
        <v>25.887110776497899</v>
      </c>
      <c r="AC23" s="33">
        <v>25.861533539479399</v>
      </c>
      <c r="AD23" s="33">
        <v>25.850725013546</v>
      </c>
      <c r="AE23" s="15">
        <v>1.9923475283703902E-3</v>
      </c>
      <c r="AF23" s="15">
        <v>1.00382929994985E-3</v>
      </c>
      <c r="AG23" s="15">
        <v>5.8580361732765696E-4</v>
      </c>
      <c r="AI23" s="12"/>
      <c r="AJ23">
        <f t="shared" si="6"/>
        <v>0</v>
      </c>
      <c r="AK23">
        <f t="shared" si="7"/>
        <v>1</v>
      </c>
      <c r="AL23">
        <f t="shared" ref="AL23:AL86" si="14">AN23</f>
        <v>0</v>
      </c>
      <c r="AM23">
        <f t="shared" si="4"/>
        <v>1</v>
      </c>
      <c r="AN23">
        <f t="shared" ref="AN23:AN86" si="15">IF(AJ22,1,IF(AK22,0,AL22))*AM22</f>
        <v>0</v>
      </c>
      <c r="AO23" s="28">
        <f t="shared" si="8"/>
        <v>0</v>
      </c>
      <c r="AP23" s="28">
        <f t="shared" si="9"/>
        <v>0</v>
      </c>
      <c r="AQ23" s="28">
        <f t="shared" ref="AQ23:AQ86" si="16">AO23+AP23</f>
        <v>0</v>
      </c>
      <c r="AR23" s="29">
        <f t="shared" ref="AR23:AR86" si="17">AR22+AQ23</f>
        <v>0</v>
      </c>
      <c r="AT23" s="12"/>
      <c r="AU23">
        <f t="shared" si="10"/>
        <v>0</v>
      </c>
      <c r="AV23">
        <f t="shared" si="11"/>
        <v>0</v>
      </c>
      <c r="AW23">
        <f t="shared" ref="AW23:AW86" si="18">AY23</f>
        <v>0</v>
      </c>
      <c r="AX23">
        <f t="shared" si="5"/>
        <v>1</v>
      </c>
      <c r="AY23">
        <f t="shared" ref="AY23:AY86" si="19">IF(AU22,1,IF(AV22,0,AW22))*AX22</f>
        <v>0</v>
      </c>
      <c r="AZ23" s="28">
        <f t="shared" si="12"/>
        <v>0</v>
      </c>
      <c r="BA23" s="28">
        <f t="shared" si="13"/>
        <v>0</v>
      </c>
      <c r="BB23" s="28">
        <f t="shared" ref="BB23:BB86" si="20">AZ23+BA23</f>
        <v>0</v>
      </c>
      <c r="BC23" s="29">
        <f t="shared" ref="BC23:BC86" si="21">BC22+BB23</f>
        <v>0</v>
      </c>
      <c r="BE23" s="29">
        <f t="shared" ref="BE23:BE86" si="22">AQ23+BB23</f>
        <v>0</v>
      </c>
      <c r="BF23" s="29">
        <f t="shared" ref="BF23:BF86" si="23">BF22+BE23</f>
        <v>0</v>
      </c>
      <c r="BH23" s="29"/>
    </row>
    <row r="24" spans="1:124" x14ac:dyDescent="0.25">
      <c r="A24" s="1">
        <v>46057</v>
      </c>
      <c r="B24" s="33">
        <v>25.73</v>
      </c>
      <c r="C24" s="33">
        <v>25.69</v>
      </c>
      <c r="D24" s="15">
        <v>-2.3291935996005301E-3</v>
      </c>
      <c r="E24" s="15">
        <v>-7.7821015600591196E-4</v>
      </c>
      <c r="F24" s="33">
        <v>0</v>
      </c>
      <c r="G24" s="33">
        <v>0.13900000000000001</v>
      </c>
      <c r="H24" s="33">
        <v>0</v>
      </c>
      <c r="I24" s="33">
        <v>0.125586</v>
      </c>
      <c r="J24" s="33">
        <v>0.13900000000000001</v>
      </c>
      <c r="K24" s="33">
        <v>0.125586</v>
      </c>
      <c r="L24" s="33">
        <v>25.869</v>
      </c>
      <c r="M24" s="33">
        <v>25.815586</v>
      </c>
      <c r="N24" s="34">
        <v>0.99844539448114999</v>
      </c>
      <c r="O24" s="34">
        <v>1.0011576279691501</v>
      </c>
      <c r="P24" s="34">
        <v>1.00120222672454</v>
      </c>
      <c r="Q24" s="34">
        <v>0.99954171718144003</v>
      </c>
      <c r="R24" s="33">
        <v>25.759785767646299</v>
      </c>
      <c r="S24" s="33">
        <v>25.772914681757499</v>
      </c>
      <c r="T24" s="33">
        <v>25.7157361930437</v>
      </c>
      <c r="U24" s="15">
        <v>2.7127736064242302E-3</v>
      </c>
      <c r="V24" s="15">
        <v>3.2223108237902699E-3</v>
      </c>
      <c r="W24" s="15">
        <v>1.00129662951656E-3</v>
      </c>
      <c r="X24" s="34">
        <v>0.99793521202984203</v>
      </c>
      <c r="Y24" s="34">
        <v>0.99838446436414396</v>
      </c>
      <c r="Z24" s="34">
        <v>0.99728707665724303</v>
      </c>
      <c r="AA24" s="34">
        <v>0.99704556522480403</v>
      </c>
      <c r="AB24" s="33">
        <v>25.827207708635999</v>
      </c>
      <c r="AC24" s="33">
        <v>25.798274438713101</v>
      </c>
      <c r="AD24" s="33">
        <v>25.790746076858301</v>
      </c>
      <c r="AE24" s="15">
        <v>4.5008056294588397E-4</v>
      </c>
      <c r="AF24" s="15">
        <v>-6.7081058416818896E-4</v>
      </c>
      <c r="AG24" s="15">
        <v>-9.6266965933365796E-4</v>
      </c>
      <c r="AI24" s="12"/>
      <c r="AJ24">
        <f t="shared" si="6"/>
        <v>0</v>
      </c>
      <c r="AK24">
        <f t="shared" si="7"/>
        <v>0</v>
      </c>
      <c r="AL24">
        <f t="shared" si="14"/>
        <v>0</v>
      </c>
      <c r="AM24">
        <f t="shared" si="4"/>
        <v>1</v>
      </c>
      <c r="AN24">
        <f t="shared" si="15"/>
        <v>0</v>
      </c>
      <c r="AO24" s="28">
        <f t="shared" si="8"/>
        <v>0</v>
      </c>
      <c r="AP24" s="28">
        <f t="shared" si="9"/>
        <v>0</v>
      </c>
      <c r="AQ24" s="28">
        <f t="shared" si="16"/>
        <v>0</v>
      </c>
      <c r="AR24" s="29">
        <f t="shared" si="17"/>
        <v>0</v>
      </c>
      <c r="AT24" s="12"/>
      <c r="AU24">
        <f t="shared" si="10"/>
        <v>0</v>
      </c>
      <c r="AV24">
        <f t="shared" si="11"/>
        <v>1</v>
      </c>
      <c r="AW24">
        <f t="shared" si="18"/>
        <v>0</v>
      </c>
      <c r="AX24">
        <f t="shared" si="5"/>
        <v>1</v>
      </c>
      <c r="AY24">
        <f t="shared" si="19"/>
        <v>0</v>
      </c>
      <c r="AZ24" s="28">
        <f t="shared" si="12"/>
        <v>0</v>
      </c>
      <c r="BA24" s="28">
        <f t="shared" si="13"/>
        <v>0</v>
      </c>
      <c r="BB24" s="28">
        <f t="shared" si="20"/>
        <v>0</v>
      </c>
      <c r="BC24" s="29">
        <f t="shared" si="21"/>
        <v>0</v>
      </c>
      <c r="BE24" s="29">
        <f t="shared" si="22"/>
        <v>0</v>
      </c>
      <c r="BF24" s="29">
        <f t="shared" si="23"/>
        <v>0</v>
      </c>
      <c r="BH24" s="29"/>
    </row>
    <row r="25" spans="1:124" x14ac:dyDescent="0.25">
      <c r="A25" s="1">
        <v>46058</v>
      </c>
      <c r="B25" s="33">
        <v>25.74</v>
      </c>
      <c r="C25" s="33">
        <v>25.67</v>
      </c>
      <c r="D25" s="15">
        <v>3.8857587432762798E-4</v>
      </c>
      <c r="E25" s="15">
        <v>-7.7881623874309896E-4</v>
      </c>
      <c r="F25" s="33">
        <v>0</v>
      </c>
      <c r="G25" s="33">
        <v>0.13900000000000001</v>
      </c>
      <c r="H25" s="33">
        <v>0</v>
      </c>
      <c r="I25" s="33">
        <v>0.125586</v>
      </c>
      <c r="J25" s="33">
        <v>0.13900000000000001</v>
      </c>
      <c r="K25" s="33">
        <v>0.125586</v>
      </c>
      <c r="L25" s="33">
        <v>25.878999999999898</v>
      </c>
      <c r="M25" s="33">
        <v>25.795586</v>
      </c>
      <c r="N25" s="34">
        <v>0.99728049728049695</v>
      </c>
      <c r="O25" s="34">
        <v>1.0011576279691501</v>
      </c>
      <c r="P25" s="34">
        <v>1.00065895862313</v>
      </c>
      <c r="Q25" s="34">
        <v>0.99956036129556203</v>
      </c>
      <c r="R25" s="33">
        <v>25.769797343926001</v>
      </c>
      <c r="S25" s="33">
        <v>25.770945315889801</v>
      </c>
      <c r="T25" s="33">
        <v>25.728203800250199</v>
      </c>
      <c r="U25" s="15">
        <v>3.88016571949505E-3</v>
      </c>
      <c r="V25" s="15">
        <v>3.9247119136198404E-3</v>
      </c>
      <c r="W25" s="15">
        <v>2.2648194227068898E-3</v>
      </c>
      <c r="X25" s="34">
        <v>0.99677676880868604</v>
      </c>
      <c r="Y25" s="34">
        <v>0.99838446436414396</v>
      </c>
      <c r="Z25" s="34">
        <v>0.99723076225086105</v>
      </c>
      <c r="AA25" s="34">
        <v>0.99703902291533397</v>
      </c>
      <c r="AB25" s="33">
        <v>25.837191553279698</v>
      </c>
      <c r="AC25" s="33">
        <v>25.808792256812801</v>
      </c>
      <c r="AD25" s="33">
        <v>25.802542182452701</v>
      </c>
      <c r="AE25" s="15">
        <v>1.6115949695607501E-3</v>
      </c>
      <c r="AF25" s="15">
        <v>5.1182700178572702E-4</v>
      </c>
      <c r="AG25" s="15">
        <v>2.69629257489583E-4</v>
      </c>
      <c r="AI25" s="12"/>
      <c r="AJ25">
        <f t="shared" si="6"/>
        <v>0</v>
      </c>
      <c r="AK25">
        <f t="shared" si="7"/>
        <v>1</v>
      </c>
      <c r="AL25">
        <f t="shared" si="14"/>
        <v>0</v>
      </c>
      <c r="AM25">
        <f t="shared" si="4"/>
        <v>1</v>
      </c>
      <c r="AN25">
        <f t="shared" si="15"/>
        <v>0</v>
      </c>
      <c r="AO25" s="28">
        <f t="shared" si="8"/>
        <v>0</v>
      </c>
      <c r="AP25" s="28">
        <f t="shared" si="9"/>
        <v>0</v>
      </c>
      <c r="AQ25" s="28">
        <f t="shared" si="16"/>
        <v>0</v>
      </c>
      <c r="AR25" s="29">
        <f t="shared" si="17"/>
        <v>0</v>
      </c>
      <c r="AT25" s="12"/>
      <c r="AU25">
        <f t="shared" si="10"/>
        <v>0</v>
      </c>
      <c r="AV25">
        <f t="shared" si="11"/>
        <v>0</v>
      </c>
      <c r="AW25">
        <f t="shared" si="18"/>
        <v>0</v>
      </c>
      <c r="AX25">
        <f t="shared" si="5"/>
        <v>1</v>
      </c>
      <c r="AY25">
        <f t="shared" si="19"/>
        <v>0</v>
      </c>
      <c r="AZ25" s="28">
        <f t="shared" si="12"/>
        <v>0</v>
      </c>
      <c r="BA25" s="28">
        <f t="shared" si="13"/>
        <v>0</v>
      </c>
      <c r="BB25" s="28">
        <f t="shared" si="20"/>
        <v>0</v>
      </c>
      <c r="BC25" s="29">
        <f t="shared" si="21"/>
        <v>0</v>
      </c>
      <c r="BE25" s="29">
        <f t="shared" si="22"/>
        <v>0</v>
      </c>
      <c r="BF25" s="29">
        <f t="shared" si="23"/>
        <v>0</v>
      </c>
      <c r="BH25" s="29"/>
      <c r="DL25" s="4"/>
      <c r="DM25" s="4"/>
      <c r="DN25" s="4"/>
      <c r="DO25" s="4"/>
      <c r="DP25" s="4"/>
      <c r="DR25" s="4"/>
      <c r="DS25" s="4"/>
      <c r="DT25" s="4"/>
    </row>
    <row r="26" spans="1:124" x14ac:dyDescent="0.25">
      <c r="A26" s="1">
        <v>46059</v>
      </c>
      <c r="B26" s="33">
        <v>25.82</v>
      </c>
      <c r="C26" s="33">
        <v>25.75</v>
      </c>
      <c r="D26" s="15">
        <v>3.1031832505158002E-3</v>
      </c>
      <c r="E26" s="15">
        <v>3.1116322266959398E-3</v>
      </c>
      <c r="F26" s="33">
        <v>0</v>
      </c>
      <c r="G26" s="33">
        <v>0.13900000000000001</v>
      </c>
      <c r="H26" s="33">
        <v>0</v>
      </c>
      <c r="I26" s="33">
        <v>0.125586</v>
      </c>
      <c r="J26" s="33">
        <v>0.13900000000000001</v>
      </c>
      <c r="K26" s="33">
        <v>0.125586</v>
      </c>
      <c r="L26" s="33">
        <v>25.959</v>
      </c>
      <c r="M26" s="33">
        <v>25.875585999999998</v>
      </c>
      <c r="N26" s="34">
        <v>0.99728892331525898</v>
      </c>
      <c r="O26" s="34">
        <v>1.0011576279691501</v>
      </c>
      <c r="P26" s="34">
        <v>1.00015511239764</v>
      </c>
      <c r="Q26" s="34">
        <v>0.99957936696673499</v>
      </c>
      <c r="R26" s="33">
        <v>25.849889954163601</v>
      </c>
      <c r="S26" s="33">
        <v>25.837014311649401</v>
      </c>
      <c r="T26" s="33">
        <v>25.8086485286514</v>
      </c>
      <c r="U26" s="15">
        <v>3.8717167433149498E-3</v>
      </c>
      <c r="V26" s="15">
        <v>3.3734999139884E-3</v>
      </c>
      <c r="W26" s="15">
        <v>2.2750229348844301E-3</v>
      </c>
      <c r="X26" s="34">
        <v>0.99678670210716802</v>
      </c>
      <c r="Y26" s="34">
        <v>0.99838446436414396</v>
      </c>
      <c r="Z26" s="34">
        <v>0.99721422817128902</v>
      </c>
      <c r="AA26" s="34">
        <v>0.99703291752610301</v>
      </c>
      <c r="AB26" s="33">
        <v>25.9170623104288</v>
      </c>
      <c r="AC26" s="33">
        <v>25.887113357270099</v>
      </c>
      <c r="AD26" s="33">
        <v>25.882135995859102</v>
      </c>
      <c r="AE26" s="15">
        <v>1.6016295998824801E-3</v>
      </c>
      <c r="AF26" s="15">
        <v>4.4539243910389199E-4</v>
      </c>
      <c r="AG26" s="15">
        <v>2.5310217071259099E-4</v>
      </c>
      <c r="AI26" s="12"/>
      <c r="AJ26">
        <f t="shared" si="6"/>
        <v>0</v>
      </c>
      <c r="AK26">
        <f t="shared" si="7"/>
        <v>1</v>
      </c>
      <c r="AL26">
        <f t="shared" si="14"/>
        <v>0</v>
      </c>
      <c r="AM26">
        <f t="shared" si="4"/>
        <v>1</v>
      </c>
      <c r="AN26">
        <f t="shared" si="15"/>
        <v>0</v>
      </c>
      <c r="AO26" s="28">
        <f t="shared" si="8"/>
        <v>0</v>
      </c>
      <c r="AP26" s="28">
        <f t="shared" si="9"/>
        <v>0</v>
      </c>
      <c r="AQ26" s="28">
        <f t="shared" si="16"/>
        <v>0</v>
      </c>
      <c r="AR26" s="29">
        <f t="shared" si="17"/>
        <v>0</v>
      </c>
      <c r="AT26" s="12"/>
      <c r="AU26">
        <f t="shared" si="10"/>
        <v>0</v>
      </c>
      <c r="AV26">
        <f t="shared" si="11"/>
        <v>0</v>
      </c>
      <c r="AW26">
        <f t="shared" si="18"/>
        <v>0</v>
      </c>
      <c r="AX26">
        <f t="shared" si="5"/>
        <v>1</v>
      </c>
      <c r="AY26">
        <f t="shared" si="19"/>
        <v>0</v>
      </c>
      <c r="AZ26" s="28">
        <f t="shared" si="12"/>
        <v>0</v>
      </c>
      <c r="BA26" s="28">
        <f t="shared" si="13"/>
        <v>0</v>
      </c>
      <c r="BB26" s="28">
        <f t="shared" si="20"/>
        <v>0</v>
      </c>
      <c r="BC26" s="29">
        <f t="shared" si="21"/>
        <v>0</v>
      </c>
      <c r="BE26" s="29">
        <f t="shared" si="22"/>
        <v>0</v>
      </c>
      <c r="BF26" s="29">
        <f t="shared" si="23"/>
        <v>0</v>
      </c>
      <c r="BH26" s="29"/>
      <c r="DL26" s="4"/>
      <c r="DM26" s="10"/>
      <c r="DN26" s="10"/>
      <c r="DO26" s="10"/>
      <c r="DP26" s="10"/>
      <c r="DR26" s="10"/>
      <c r="DS26" s="10"/>
      <c r="DT26" s="10"/>
    </row>
    <row r="27" spans="1:124" x14ac:dyDescent="0.25">
      <c r="A27" s="1">
        <v>46062</v>
      </c>
      <c r="B27" s="33">
        <v>25.87</v>
      </c>
      <c r="C27" s="33">
        <v>25.8</v>
      </c>
      <c r="D27" s="15">
        <v>1.93461077944128E-3</v>
      </c>
      <c r="E27" s="15">
        <v>1.93986481782667E-3</v>
      </c>
      <c r="F27" s="33">
        <v>0</v>
      </c>
      <c r="G27" s="33">
        <v>0.13900000000000001</v>
      </c>
      <c r="H27" s="33">
        <v>0</v>
      </c>
      <c r="I27" s="33">
        <v>0.125586</v>
      </c>
      <c r="J27" s="33">
        <v>0.13900000000000001</v>
      </c>
      <c r="K27" s="33">
        <v>0.125586</v>
      </c>
      <c r="L27" s="33">
        <v>26.009</v>
      </c>
      <c r="M27" s="33">
        <v>25.925585999999999</v>
      </c>
      <c r="N27" s="34">
        <v>0.99729416312330799</v>
      </c>
      <c r="O27" s="34">
        <v>1.0011576279691501</v>
      </c>
      <c r="P27" s="34">
        <v>0.99965188039667496</v>
      </c>
      <c r="Q27" s="34">
        <v>0.99969484672783804</v>
      </c>
      <c r="R27" s="33">
        <v>25.899947835561999</v>
      </c>
      <c r="S27" s="33">
        <v>25.874012757727002</v>
      </c>
      <c r="T27" s="33">
        <v>25.859118223429402</v>
      </c>
      <c r="U27" s="15">
        <v>3.86646270492965E-3</v>
      </c>
      <c r="V27" s="15">
        <v>2.8646046393256E-3</v>
      </c>
      <c r="W27" s="15">
        <v>2.2887827462110401E-3</v>
      </c>
      <c r="X27" s="34">
        <v>0.99679287938790395</v>
      </c>
      <c r="Y27" s="34">
        <v>0.99838446436414396</v>
      </c>
      <c r="Z27" s="34">
        <v>0.99719819426966905</v>
      </c>
      <c r="AA27" s="34">
        <v>0.99712333310043599</v>
      </c>
      <c r="AB27" s="33">
        <v>25.966981533647001</v>
      </c>
      <c r="AC27" s="33">
        <v>25.936544860506999</v>
      </c>
      <c r="AD27" s="33">
        <v>25.931829151936402</v>
      </c>
      <c r="AE27" s="15">
        <v>1.59543242491877E-3</v>
      </c>
      <c r="AF27" s="15">
        <v>4.2261513317474602E-4</v>
      </c>
      <c r="AG27" s="15">
        <v>2.4078145616340501E-4</v>
      </c>
      <c r="AI27" s="12"/>
      <c r="AJ27">
        <f t="shared" si="6"/>
        <v>0</v>
      </c>
      <c r="AK27">
        <f t="shared" si="7"/>
        <v>1</v>
      </c>
      <c r="AL27">
        <f t="shared" si="14"/>
        <v>0</v>
      </c>
      <c r="AM27">
        <f t="shared" si="4"/>
        <v>1</v>
      </c>
      <c r="AN27">
        <f t="shared" si="15"/>
        <v>0</v>
      </c>
      <c r="AO27" s="28">
        <f t="shared" si="8"/>
        <v>0</v>
      </c>
      <c r="AP27" s="28">
        <f t="shared" si="9"/>
        <v>0</v>
      </c>
      <c r="AQ27" s="28">
        <f t="shared" si="16"/>
        <v>0</v>
      </c>
      <c r="AR27" s="29">
        <f t="shared" si="17"/>
        <v>0</v>
      </c>
      <c r="AT27" s="12"/>
      <c r="AU27">
        <f t="shared" si="10"/>
        <v>0</v>
      </c>
      <c r="AV27">
        <f t="shared" si="11"/>
        <v>0</v>
      </c>
      <c r="AW27">
        <f t="shared" si="18"/>
        <v>0</v>
      </c>
      <c r="AX27">
        <f t="shared" si="5"/>
        <v>1</v>
      </c>
      <c r="AY27">
        <f t="shared" si="19"/>
        <v>0</v>
      </c>
      <c r="AZ27" s="28">
        <f t="shared" si="12"/>
        <v>0</v>
      </c>
      <c r="BA27" s="28">
        <f t="shared" si="13"/>
        <v>0</v>
      </c>
      <c r="BB27" s="28">
        <f t="shared" si="20"/>
        <v>0</v>
      </c>
      <c r="BC27" s="29">
        <f t="shared" si="21"/>
        <v>0</v>
      </c>
      <c r="BE27" s="29">
        <f t="shared" si="22"/>
        <v>0</v>
      </c>
      <c r="BF27" s="29">
        <f t="shared" si="23"/>
        <v>0</v>
      </c>
      <c r="BH27" s="29"/>
      <c r="DL27" s="4"/>
      <c r="DM27" s="10"/>
      <c r="DN27" s="10"/>
      <c r="DO27" s="10"/>
      <c r="DP27" s="10"/>
      <c r="DR27" s="10"/>
      <c r="DS27" s="10"/>
      <c r="DT27" s="10"/>
    </row>
    <row r="28" spans="1:124" x14ac:dyDescent="0.25">
      <c r="A28" s="1">
        <v>46063</v>
      </c>
      <c r="B28" s="33">
        <v>25.84</v>
      </c>
      <c r="C28" s="33">
        <v>25.77</v>
      </c>
      <c r="D28" s="15">
        <v>-1.1603172835366799E-3</v>
      </c>
      <c r="E28" s="15">
        <v>-1.1634672632980601E-3</v>
      </c>
      <c r="F28" s="33">
        <v>0</v>
      </c>
      <c r="G28" s="33">
        <v>0.13900000000000001</v>
      </c>
      <c r="H28" s="33">
        <v>0</v>
      </c>
      <c r="I28" s="33">
        <v>0.125586</v>
      </c>
      <c r="J28" s="33">
        <v>0.13900000000000001</v>
      </c>
      <c r="K28" s="33">
        <v>0.125586</v>
      </c>
      <c r="L28" s="33">
        <v>25.978999999999999</v>
      </c>
      <c r="M28" s="33">
        <v>25.895585999999899</v>
      </c>
      <c r="N28" s="34">
        <v>0.99729102167182604</v>
      </c>
      <c r="O28" s="34">
        <v>1.0011576279691501</v>
      </c>
      <c r="P28" s="34">
        <v>0.99918718411424501</v>
      </c>
      <c r="Q28" s="34">
        <v>0.99971389761830498</v>
      </c>
      <c r="R28" s="33">
        <v>25.869913106722901</v>
      </c>
      <c r="S28" s="33">
        <v>25.83100458945</v>
      </c>
      <c r="T28" s="33">
        <v>25.8321148394473</v>
      </c>
      <c r="U28" s="15">
        <v>3.8696126846909E-3</v>
      </c>
      <c r="V28" s="15">
        <v>2.3644740391070198E-3</v>
      </c>
      <c r="W28" s="15">
        <v>2.4074544092321602E-3</v>
      </c>
      <c r="X28" s="34">
        <v>0.99678917587282001</v>
      </c>
      <c r="Y28" s="34">
        <v>0.99838446436414396</v>
      </c>
      <c r="Z28" s="34">
        <v>0.99722022454440995</v>
      </c>
      <c r="AA28" s="34">
        <v>0.99711729170095198</v>
      </c>
      <c r="AB28" s="33">
        <v>25.937029999716099</v>
      </c>
      <c r="AC28" s="33">
        <v>25.906211888931701</v>
      </c>
      <c r="AD28" s="33">
        <v>25.9042670706162</v>
      </c>
      <c r="AE28" s="15">
        <v>1.5991478627401E-3</v>
      </c>
      <c r="AF28" s="15">
        <v>4.1025174854164299E-4</v>
      </c>
      <c r="AG28" s="15">
        <v>3.3517742552952398E-4</v>
      </c>
      <c r="AI28" s="12"/>
      <c r="AJ28">
        <f t="shared" si="6"/>
        <v>0</v>
      </c>
      <c r="AK28">
        <f t="shared" si="7"/>
        <v>1</v>
      </c>
      <c r="AL28">
        <f t="shared" si="14"/>
        <v>0</v>
      </c>
      <c r="AM28">
        <f t="shared" si="4"/>
        <v>1</v>
      </c>
      <c r="AN28">
        <f t="shared" si="15"/>
        <v>0</v>
      </c>
      <c r="AO28" s="28">
        <f t="shared" si="8"/>
        <v>0</v>
      </c>
      <c r="AP28" s="28">
        <f t="shared" si="9"/>
        <v>0</v>
      </c>
      <c r="AQ28" s="28">
        <f t="shared" si="16"/>
        <v>0</v>
      </c>
      <c r="AR28" s="29">
        <f t="shared" si="17"/>
        <v>0</v>
      </c>
      <c r="AT28" s="12"/>
      <c r="AU28">
        <f t="shared" si="10"/>
        <v>0</v>
      </c>
      <c r="AV28">
        <f t="shared" si="11"/>
        <v>0</v>
      </c>
      <c r="AW28">
        <f t="shared" si="18"/>
        <v>0</v>
      </c>
      <c r="AX28">
        <f t="shared" si="5"/>
        <v>1</v>
      </c>
      <c r="AY28">
        <f t="shared" si="19"/>
        <v>0</v>
      </c>
      <c r="AZ28" s="28">
        <f t="shared" si="12"/>
        <v>0</v>
      </c>
      <c r="BA28" s="28">
        <f t="shared" si="13"/>
        <v>0</v>
      </c>
      <c r="BB28" s="28">
        <f t="shared" si="20"/>
        <v>0</v>
      </c>
      <c r="BC28" s="29">
        <f t="shared" si="21"/>
        <v>0</v>
      </c>
      <c r="BE28" s="29">
        <f t="shared" si="22"/>
        <v>0</v>
      </c>
      <c r="BF28" s="29">
        <f t="shared" si="23"/>
        <v>0</v>
      </c>
      <c r="BH28" s="29"/>
      <c r="DL28" s="4"/>
      <c r="DM28" s="10"/>
      <c r="DN28" s="10"/>
      <c r="DO28" s="10"/>
      <c r="DP28" s="11"/>
      <c r="DR28" s="10"/>
      <c r="DS28" s="10"/>
      <c r="DT28" s="10"/>
    </row>
    <row r="29" spans="1:124" x14ac:dyDescent="0.25">
      <c r="A29" s="1">
        <v>46064</v>
      </c>
      <c r="B29" s="33">
        <v>25.86</v>
      </c>
      <c r="C29" s="33">
        <v>25.77</v>
      </c>
      <c r="D29" s="15">
        <v>7.7369442931032797E-4</v>
      </c>
      <c r="E29" s="15">
        <v>0</v>
      </c>
      <c r="F29" s="33">
        <v>0</v>
      </c>
      <c r="G29" s="33">
        <v>0.13900000000000001</v>
      </c>
      <c r="H29" s="33">
        <v>0</v>
      </c>
      <c r="I29" s="33">
        <v>0.125586</v>
      </c>
      <c r="J29" s="33">
        <v>0.13900000000000001</v>
      </c>
      <c r="K29" s="33">
        <v>0.125586</v>
      </c>
      <c r="L29" s="33">
        <v>25.998999999999999</v>
      </c>
      <c r="M29" s="33">
        <v>25.895585999999899</v>
      </c>
      <c r="N29" s="34">
        <v>0.99651972157772595</v>
      </c>
      <c r="O29" s="34">
        <v>1.0011576279691501</v>
      </c>
      <c r="P29" s="34">
        <v>0.99856752258944104</v>
      </c>
      <c r="Q29" s="34">
        <v>0.99969426424524199</v>
      </c>
      <c r="R29" s="33">
        <v>25.889936259282301</v>
      </c>
      <c r="S29" s="33">
        <v>25.838980581194299</v>
      </c>
      <c r="T29" s="33">
        <v>25.852601392409301</v>
      </c>
      <c r="U29" s="15">
        <v>4.6433071140014196E-3</v>
      </c>
      <c r="V29" s="15">
        <v>2.6732022797409201E-3</v>
      </c>
      <c r="W29" s="15">
        <v>3.20020536264867E-3</v>
      </c>
      <c r="X29" s="34">
        <v>0.99602238547636401</v>
      </c>
      <c r="Y29" s="34">
        <v>0.99838446436414396</v>
      </c>
      <c r="Z29" s="34">
        <v>0.997088779815965</v>
      </c>
      <c r="AA29" s="34">
        <v>0.99707279152282102</v>
      </c>
      <c r="AB29" s="33">
        <v>25.956997689003298</v>
      </c>
      <c r="AC29" s="33">
        <v>25.926728617930099</v>
      </c>
      <c r="AD29" s="33">
        <v>25.924052466932999</v>
      </c>
      <c r="AE29" s="15">
        <v>2.3687042514824899E-3</v>
      </c>
      <c r="AF29" s="15">
        <v>1.2019000659730401E-3</v>
      </c>
      <c r="AG29" s="15">
        <v>1.0986749672016801E-3</v>
      </c>
      <c r="AI29" s="12"/>
      <c r="AJ29">
        <f t="shared" si="6"/>
        <v>0</v>
      </c>
      <c r="AK29">
        <f t="shared" si="7"/>
        <v>1</v>
      </c>
      <c r="AL29">
        <f t="shared" si="14"/>
        <v>0</v>
      </c>
      <c r="AM29">
        <f t="shared" si="4"/>
        <v>1</v>
      </c>
      <c r="AN29">
        <f t="shared" si="15"/>
        <v>0</v>
      </c>
      <c r="AO29" s="28">
        <f t="shared" si="8"/>
        <v>0</v>
      </c>
      <c r="AP29" s="28">
        <f t="shared" si="9"/>
        <v>0</v>
      </c>
      <c r="AQ29" s="28">
        <f t="shared" si="16"/>
        <v>0</v>
      </c>
      <c r="AR29" s="29">
        <f t="shared" si="17"/>
        <v>0</v>
      </c>
      <c r="AT29" s="12"/>
      <c r="AU29">
        <f t="shared" si="10"/>
        <v>1</v>
      </c>
      <c r="AV29">
        <f t="shared" si="11"/>
        <v>0</v>
      </c>
      <c r="AW29">
        <f t="shared" si="18"/>
        <v>0</v>
      </c>
      <c r="AX29">
        <f t="shared" si="5"/>
        <v>1</v>
      </c>
      <c r="AY29">
        <f t="shared" si="19"/>
        <v>0</v>
      </c>
      <c r="AZ29" s="28">
        <f t="shared" si="12"/>
        <v>0</v>
      </c>
      <c r="BA29" s="28">
        <f t="shared" si="13"/>
        <v>0</v>
      </c>
      <c r="BB29" s="28">
        <f t="shared" si="20"/>
        <v>0</v>
      </c>
      <c r="BC29" s="29">
        <f t="shared" si="21"/>
        <v>0</v>
      </c>
      <c r="BE29" s="29">
        <f t="shared" si="22"/>
        <v>0</v>
      </c>
      <c r="BF29" s="29">
        <f t="shared" si="23"/>
        <v>0</v>
      </c>
      <c r="BH29" s="29"/>
      <c r="DL29" s="4"/>
      <c r="DM29" s="10"/>
      <c r="DN29" s="10"/>
      <c r="DO29" s="10"/>
      <c r="DP29" s="10"/>
      <c r="DR29" s="10"/>
      <c r="DS29" s="10"/>
      <c r="DT29" s="10"/>
    </row>
    <row r="30" spans="1:124" x14ac:dyDescent="0.25">
      <c r="A30" s="1">
        <v>46065</v>
      </c>
      <c r="B30" s="33">
        <v>25.82</v>
      </c>
      <c r="C30" s="33">
        <v>25.77</v>
      </c>
      <c r="D30" s="15">
        <v>-1.54798792521498E-3</v>
      </c>
      <c r="E30" s="15">
        <v>0</v>
      </c>
      <c r="F30" s="33">
        <v>0</v>
      </c>
      <c r="G30" s="33">
        <v>0.13900000000000001</v>
      </c>
      <c r="H30" s="33">
        <v>0</v>
      </c>
      <c r="I30" s="33">
        <v>0.125586</v>
      </c>
      <c r="J30" s="33">
        <v>0.13900000000000001</v>
      </c>
      <c r="K30" s="33">
        <v>0.125586</v>
      </c>
      <c r="L30" s="33">
        <v>25.959</v>
      </c>
      <c r="M30" s="33">
        <v>25.895585999999899</v>
      </c>
      <c r="N30" s="34">
        <v>0.99806351665375603</v>
      </c>
      <c r="O30" s="34">
        <v>1.0011576279691501</v>
      </c>
      <c r="P30" s="34">
        <v>0.99798567549705297</v>
      </c>
      <c r="Q30" s="34">
        <v>0.99975176106558405</v>
      </c>
      <c r="R30" s="33">
        <v>25.849889954163601</v>
      </c>
      <c r="S30" s="33">
        <v>25.783013433259299</v>
      </c>
      <c r="T30" s="33">
        <v>25.8121059028121</v>
      </c>
      <c r="U30" s="15">
        <v>3.09531918878647E-3</v>
      </c>
      <c r="V30" s="15">
        <v>5.04856367033647E-4</v>
      </c>
      <c r="W30" s="15">
        <v>1.63257825276093E-3</v>
      </c>
      <c r="X30" s="34">
        <v>0.99755714781000804</v>
      </c>
      <c r="Y30" s="34">
        <v>0.99838446436414396</v>
      </c>
      <c r="Z30" s="34">
        <v>0.99699507956163602</v>
      </c>
      <c r="AA30" s="34">
        <v>0.99710496990097597</v>
      </c>
      <c r="AB30" s="33">
        <v>25.9170623104288</v>
      </c>
      <c r="AC30" s="33">
        <v>25.883427635242601</v>
      </c>
      <c r="AD30" s="33">
        <v>25.883012595140901</v>
      </c>
      <c r="AE30" s="15">
        <v>8.2899880083733704E-4</v>
      </c>
      <c r="AF30" s="15">
        <v>-4.6962520632272398E-4</v>
      </c>
      <c r="AG30" s="15">
        <v>-4.8566030936905702E-4</v>
      </c>
      <c r="AI30" s="12"/>
      <c r="AJ30">
        <f t="shared" si="6"/>
        <v>0</v>
      </c>
      <c r="AK30">
        <f t="shared" si="7"/>
        <v>0</v>
      </c>
      <c r="AL30">
        <f t="shared" si="14"/>
        <v>0</v>
      </c>
      <c r="AM30">
        <f t="shared" si="4"/>
        <v>1</v>
      </c>
      <c r="AN30">
        <f t="shared" si="15"/>
        <v>0</v>
      </c>
      <c r="AO30" s="28">
        <f t="shared" si="8"/>
        <v>0</v>
      </c>
      <c r="AP30" s="28">
        <f t="shared" si="9"/>
        <v>0</v>
      </c>
      <c r="AQ30" s="28">
        <f t="shared" si="16"/>
        <v>0</v>
      </c>
      <c r="AR30" s="29">
        <f t="shared" si="17"/>
        <v>0</v>
      </c>
      <c r="AT30" s="12"/>
      <c r="AU30">
        <f t="shared" si="10"/>
        <v>0</v>
      </c>
      <c r="AV30">
        <f t="shared" si="11"/>
        <v>1</v>
      </c>
      <c r="AW30">
        <f t="shared" si="18"/>
        <v>1</v>
      </c>
      <c r="AX30">
        <f t="shared" si="5"/>
        <v>1</v>
      </c>
      <c r="AY30">
        <f t="shared" si="19"/>
        <v>1</v>
      </c>
      <c r="AZ30" s="28">
        <f t="shared" si="12"/>
        <v>1.54798792521498E-3</v>
      </c>
      <c r="BA30" s="28">
        <f t="shared" si="13"/>
        <v>0</v>
      </c>
      <c r="BB30" s="28">
        <f t="shared" si="20"/>
        <v>1.54798792521498E-3</v>
      </c>
      <c r="BC30" s="29">
        <f t="shared" si="21"/>
        <v>1.54798792521498E-3</v>
      </c>
      <c r="BE30" s="29">
        <f t="shared" si="22"/>
        <v>1.54798792521498E-3</v>
      </c>
      <c r="BF30" s="29">
        <f t="shared" si="23"/>
        <v>1.54798792521498E-3</v>
      </c>
      <c r="BH30" s="29"/>
      <c r="DL30" s="4"/>
      <c r="DM30" s="10"/>
      <c r="DN30" s="10"/>
      <c r="DO30" s="10"/>
      <c r="DP30" s="10"/>
      <c r="DR30" s="10"/>
      <c r="DS30" s="10"/>
      <c r="DT30" s="10"/>
    </row>
    <row r="31" spans="1:124" x14ac:dyDescent="0.25">
      <c r="A31" s="1">
        <v>46066</v>
      </c>
      <c r="B31" s="33">
        <v>25.82</v>
      </c>
      <c r="C31" s="33">
        <v>25.76</v>
      </c>
      <c r="D31" s="15">
        <v>0</v>
      </c>
      <c r="E31" s="15">
        <v>-3.8812342812075601E-4</v>
      </c>
      <c r="F31" s="33">
        <v>0</v>
      </c>
      <c r="G31" s="33">
        <v>0.13900000000000001</v>
      </c>
      <c r="H31" s="33">
        <v>0</v>
      </c>
      <c r="I31" s="33">
        <v>0.125586</v>
      </c>
      <c r="J31" s="33">
        <v>0.13900000000000001</v>
      </c>
      <c r="K31" s="33">
        <v>0.125586</v>
      </c>
      <c r="L31" s="33">
        <v>25.959</v>
      </c>
      <c r="M31" s="33">
        <v>25.885586</v>
      </c>
      <c r="N31" s="34">
        <v>0.99767621998450795</v>
      </c>
      <c r="O31" s="34">
        <v>1.0011576279691501</v>
      </c>
      <c r="P31" s="34">
        <v>0.99752064918220396</v>
      </c>
      <c r="Q31" s="34">
        <v>0.99977055085385702</v>
      </c>
      <c r="R31" s="33">
        <v>25.849889954163601</v>
      </c>
      <c r="S31" s="33">
        <v>25.7679901413339</v>
      </c>
      <c r="T31" s="33">
        <v>25.813590470713301</v>
      </c>
      <c r="U31" s="15">
        <v>3.4834426169071198E-3</v>
      </c>
      <c r="V31" s="15">
        <v>3.1012819929658998E-4</v>
      </c>
      <c r="W31" s="15">
        <v>2.0782144315437201E-3</v>
      </c>
      <c r="X31" s="34">
        <v>0.99717192495858797</v>
      </c>
      <c r="Y31" s="34">
        <v>0.99838446436414396</v>
      </c>
      <c r="Z31" s="34">
        <v>0.99701695021708403</v>
      </c>
      <c r="AA31" s="34">
        <v>0.99709854493795302</v>
      </c>
      <c r="AB31" s="33">
        <v>25.9170623104288</v>
      </c>
      <c r="AC31" s="33">
        <v>25.880995270340499</v>
      </c>
      <c r="AD31" s="33">
        <v>25.883847913659402</v>
      </c>
      <c r="AE31" s="15">
        <v>1.21523958056784E-3</v>
      </c>
      <c r="AF31" s="15">
        <v>-1.7736267525720001E-4</v>
      </c>
      <c r="AG31" s="15">
        <v>-6.7147202888271206E-5</v>
      </c>
      <c r="AI31" s="12"/>
      <c r="AJ31">
        <f t="shared" si="6"/>
        <v>0</v>
      </c>
      <c r="AK31">
        <f t="shared" si="7"/>
        <v>1</v>
      </c>
      <c r="AL31">
        <f t="shared" si="14"/>
        <v>0</v>
      </c>
      <c r="AM31">
        <f t="shared" si="4"/>
        <v>1</v>
      </c>
      <c r="AN31">
        <f t="shared" si="15"/>
        <v>0</v>
      </c>
      <c r="AO31" s="28">
        <f t="shared" si="8"/>
        <v>0</v>
      </c>
      <c r="AP31" s="28">
        <f t="shared" si="9"/>
        <v>0</v>
      </c>
      <c r="AQ31" s="28">
        <f t="shared" si="16"/>
        <v>0</v>
      </c>
      <c r="AR31" s="29">
        <f t="shared" si="17"/>
        <v>0</v>
      </c>
      <c r="AT31" s="12"/>
      <c r="AU31">
        <f t="shared" si="10"/>
        <v>0</v>
      </c>
      <c r="AV31">
        <f t="shared" si="11"/>
        <v>1</v>
      </c>
      <c r="AW31">
        <f t="shared" si="18"/>
        <v>0</v>
      </c>
      <c r="AX31">
        <f t="shared" si="5"/>
        <v>1</v>
      </c>
      <c r="AY31">
        <f t="shared" si="19"/>
        <v>0</v>
      </c>
      <c r="AZ31" s="28">
        <f t="shared" si="12"/>
        <v>0</v>
      </c>
      <c r="BA31" s="28">
        <f t="shared" si="13"/>
        <v>0</v>
      </c>
      <c r="BB31" s="28">
        <f t="shared" si="20"/>
        <v>0</v>
      </c>
      <c r="BC31" s="29">
        <f t="shared" si="21"/>
        <v>1.54798792521498E-3</v>
      </c>
      <c r="BE31" s="29">
        <f t="shared" si="22"/>
        <v>0</v>
      </c>
      <c r="BF31" s="29">
        <f t="shared" si="23"/>
        <v>1.54798792521498E-3</v>
      </c>
      <c r="BH31" s="29"/>
      <c r="DL31" s="4"/>
      <c r="DM31" s="10"/>
      <c r="DN31" s="10"/>
      <c r="DO31" s="10"/>
      <c r="DP31" s="10"/>
      <c r="DR31" s="10"/>
      <c r="DS31" s="10"/>
      <c r="DT31" s="10"/>
    </row>
    <row r="32" spans="1:124" x14ac:dyDescent="0.25">
      <c r="A32" s="1">
        <v>46070</v>
      </c>
      <c r="B32" s="33">
        <v>25.81</v>
      </c>
      <c r="C32" s="33">
        <v>25.79</v>
      </c>
      <c r="D32" s="15">
        <v>-3.8737168797404803E-4</v>
      </c>
      <c r="E32" s="15">
        <v>1.16391865710041E-3</v>
      </c>
      <c r="F32" s="33">
        <v>0</v>
      </c>
      <c r="G32" s="33">
        <v>0.13900000000000001</v>
      </c>
      <c r="H32" s="33">
        <v>0</v>
      </c>
      <c r="I32" s="33">
        <v>0.125586</v>
      </c>
      <c r="J32" s="33">
        <v>0.13900000000000001</v>
      </c>
      <c r="K32" s="33">
        <v>0.125586</v>
      </c>
      <c r="L32" s="33">
        <v>25.948999999999899</v>
      </c>
      <c r="M32" s="33">
        <v>25.915585999999902</v>
      </c>
      <c r="N32" s="34">
        <v>0.99922510654784902</v>
      </c>
      <c r="O32" s="34">
        <v>1.0011576279691501</v>
      </c>
      <c r="P32" s="34">
        <v>0.99759825871252195</v>
      </c>
      <c r="Q32" s="34">
        <v>0.99994375223134602</v>
      </c>
      <c r="R32" s="33">
        <v>25.839878377883899</v>
      </c>
      <c r="S32" s="33">
        <v>25.746007955392599</v>
      </c>
      <c r="T32" s="33">
        <v>25.804077917537999</v>
      </c>
      <c r="U32" s="15">
        <v>1.9321522718327201E-3</v>
      </c>
      <c r="V32" s="15">
        <v>-1.70723566057061E-3</v>
      </c>
      <c r="W32" s="15">
        <v>5.4571836364399897E-4</v>
      </c>
      <c r="X32" s="34">
        <v>0.99871232032062895</v>
      </c>
      <c r="Y32" s="34">
        <v>0.99838446436414396</v>
      </c>
      <c r="Z32" s="34">
        <v>0.99709418325188603</v>
      </c>
      <c r="AA32" s="34">
        <v>0.99724610700408101</v>
      </c>
      <c r="AB32" s="33">
        <v>25.907078465785101</v>
      </c>
      <c r="AC32" s="33">
        <v>25.871592841183102</v>
      </c>
      <c r="AD32" s="33">
        <v>25.873710142594899</v>
      </c>
      <c r="AE32" s="15">
        <v>-3.2833256950174299E-4</v>
      </c>
      <c r="AF32" s="15">
        <v>-1.6989984928245899E-3</v>
      </c>
      <c r="AG32" s="15">
        <v>-1.6171629912075599E-3</v>
      </c>
      <c r="AI32" s="12"/>
      <c r="AJ32">
        <f t="shared" si="6"/>
        <v>1</v>
      </c>
      <c r="AK32">
        <f t="shared" si="7"/>
        <v>0</v>
      </c>
      <c r="AL32">
        <f t="shared" si="14"/>
        <v>0</v>
      </c>
      <c r="AM32">
        <f t="shared" si="4"/>
        <v>1</v>
      </c>
      <c r="AN32">
        <f t="shared" si="15"/>
        <v>0</v>
      </c>
      <c r="AO32" s="28">
        <f t="shared" si="8"/>
        <v>0</v>
      </c>
      <c r="AP32" s="28">
        <f t="shared" si="9"/>
        <v>0</v>
      </c>
      <c r="AQ32" s="28">
        <f t="shared" si="16"/>
        <v>0</v>
      </c>
      <c r="AR32" s="29">
        <f t="shared" si="17"/>
        <v>0</v>
      </c>
      <c r="AT32" s="12"/>
      <c r="AU32">
        <f t="shared" si="10"/>
        <v>0</v>
      </c>
      <c r="AV32">
        <f t="shared" si="11"/>
        <v>1</v>
      </c>
      <c r="AW32">
        <f t="shared" si="18"/>
        <v>0</v>
      </c>
      <c r="AX32">
        <f t="shared" si="5"/>
        <v>1</v>
      </c>
      <c r="AY32">
        <f t="shared" si="19"/>
        <v>0</v>
      </c>
      <c r="AZ32" s="28">
        <f t="shared" si="12"/>
        <v>0</v>
      </c>
      <c r="BA32" s="28">
        <f t="shared" si="13"/>
        <v>0</v>
      </c>
      <c r="BB32" s="28">
        <f t="shared" si="20"/>
        <v>0</v>
      </c>
      <c r="BC32" s="29">
        <f t="shared" si="21"/>
        <v>1.54798792521498E-3</v>
      </c>
      <c r="BE32" s="29">
        <f t="shared" si="22"/>
        <v>0</v>
      </c>
      <c r="BF32" s="29">
        <f t="shared" si="23"/>
        <v>1.54798792521498E-3</v>
      </c>
      <c r="BH32" s="29"/>
      <c r="DL32" s="4"/>
      <c r="DM32" s="10"/>
      <c r="DN32" s="10"/>
      <c r="DO32" s="10"/>
      <c r="DP32" s="10"/>
      <c r="DR32" s="10"/>
      <c r="DS32" s="10"/>
      <c r="DT32" s="10"/>
    </row>
    <row r="33" spans="1:124" x14ac:dyDescent="0.25">
      <c r="A33" s="1">
        <v>46071</v>
      </c>
      <c r="B33" s="33">
        <v>25.86</v>
      </c>
      <c r="C33" s="33">
        <v>25.82</v>
      </c>
      <c r="D33" s="15">
        <v>1.9353596131888801E-3</v>
      </c>
      <c r="E33" s="15">
        <v>1.1625655252429899E-3</v>
      </c>
      <c r="F33" s="33">
        <v>0</v>
      </c>
      <c r="G33" s="33">
        <v>0.13900000000000001</v>
      </c>
      <c r="H33" s="33">
        <v>0</v>
      </c>
      <c r="I33" s="33">
        <v>0.125586</v>
      </c>
      <c r="J33" s="33">
        <v>0.13900000000000001</v>
      </c>
      <c r="K33" s="33">
        <v>0.125586</v>
      </c>
      <c r="L33" s="33">
        <v>25.998999999999999</v>
      </c>
      <c r="M33" s="33">
        <v>25.945585999999999</v>
      </c>
      <c r="N33" s="34">
        <v>0.99845320959009998</v>
      </c>
      <c r="O33" s="34">
        <v>1.0011576279691501</v>
      </c>
      <c r="P33" s="34">
        <v>0.99775377742259796</v>
      </c>
      <c r="Q33" s="34">
        <v>0.999710831225048</v>
      </c>
      <c r="R33" s="33">
        <v>25.889936259282301</v>
      </c>
      <c r="S33" s="33">
        <v>25.797890970305801</v>
      </c>
      <c r="T33" s="33">
        <v>25.858545432702599</v>
      </c>
      <c r="U33" s="15">
        <v>2.7049463597786801E-3</v>
      </c>
      <c r="V33" s="15">
        <v>-8.5664216924061102E-4</v>
      </c>
      <c r="W33" s="15">
        <v>1.4917385745961301E-3</v>
      </c>
      <c r="X33" s="34">
        <v>0.99794553636678296</v>
      </c>
      <c r="Y33" s="34">
        <v>0.99838446436414396</v>
      </c>
      <c r="Z33" s="34">
        <v>0.99724900531387894</v>
      </c>
      <c r="AA33" s="34">
        <v>0.99725750815991798</v>
      </c>
      <c r="AB33" s="33">
        <v>25.956997689003298</v>
      </c>
      <c r="AC33" s="33">
        <v>25.923451670365701</v>
      </c>
      <c r="AD33" s="33">
        <v>25.927401535999099</v>
      </c>
      <c r="AE33" s="15">
        <v>4.3973491784770398E-4</v>
      </c>
      <c r="AF33" s="15">
        <v>-8.5346989155485505E-4</v>
      </c>
      <c r="AG33" s="15">
        <v>-7.0111499682468299E-4</v>
      </c>
      <c r="AI33" s="12"/>
      <c r="AJ33">
        <f t="shared" si="6"/>
        <v>0</v>
      </c>
      <c r="AK33">
        <f t="shared" si="7"/>
        <v>0</v>
      </c>
      <c r="AL33">
        <f t="shared" si="14"/>
        <v>1</v>
      </c>
      <c r="AM33">
        <f t="shared" si="4"/>
        <v>1</v>
      </c>
      <c r="AN33">
        <f t="shared" si="15"/>
        <v>1</v>
      </c>
      <c r="AO33" s="28">
        <f t="shared" si="8"/>
        <v>1.9353596131888801E-3</v>
      </c>
      <c r="AP33" s="28">
        <f t="shared" si="9"/>
        <v>-1.1625655252429899E-3</v>
      </c>
      <c r="AQ33" s="28">
        <f t="shared" si="16"/>
        <v>7.727940879458902E-4</v>
      </c>
      <c r="AR33" s="29">
        <f t="shared" si="17"/>
        <v>7.727940879458902E-4</v>
      </c>
      <c r="AT33" s="12"/>
      <c r="AU33">
        <f t="shared" si="10"/>
        <v>0</v>
      </c>
      <c r="AV33">
        <f t="shared" si="11"/>
        <v>1</v>
      </c>
      <c r="AW33">
        <f t="shared" si="18"/>
        <v>0</v>
      </c>
      <c r="AX33">
        <f t="shared" si="5"/>
        <v>1</v>
      </c>
      <c r="AY33">
        <f t="shared" si="19"/>
        <v>0</v>
      </c>
      <c r="AZ33" s="28">
        <f t="shared" si="12"/>
        <v>0</v>
      </c>
      <c r="BA33" s="28">
        <f t="shared" si="13"/>
        <v>0</v>
      </c>
      <c r="BB33" s="28">
        <f t="shared" si="20"/>
        <v>0</v>
      </c>
      <c r="BC33" s="29">
        <f t="shared" si="21"/>
        <v>1.54798792521498E-3</v>
      </c>
      <c r="BE33" s="29">
        <f t="shared" si="22"/>
        <v>7.727940879458902E-4</v>
      </c>
      <c r="BF33" s="29">
        <f t="shared" si="23"/>
        <v>2.3207820131608704E-3</v>
      </c>
      <c r="BH33" s="29"/>
      <c r="DL33" s="4"/>
      <c r="DM33" s="10"/>
      <c r="DN33" s="10"/>
      <c r="DO33" s="10"/>
      <c r="DP33" s="10"/>
      <c r="DQ33" s="10"/>
      <c r="DR33" s="10"/>
      <c r="DS33" s="10"/>
      <c r="DT33" s="10"/>
    </row>
    <row r="34" spans="1:124" x14ac:dyDescent="0.25">
      <c r="A34" s="1">
        <v>46072</v>
      </c>
      <c r="B34" s="33">
        <v>25.85</v>
      </c>
      <c r="C34" s="33">
        <v>25.82</v>
      </c>
      <c r="D34" s="15">
        <v>-3.8677238927320201E-4</v>
      </c>
      <c r="E34" s="15">
        <v>0</v>
      </c>
      <c r="F34" s="33">
        <v>0</v>
      </c>
      <c r="G34" s="33">
        <v>0.13900000000000001</v>
      </c>
      <c r="H34" s="33">
        <v>0</v>
      </c>
      <c r="I34" s="33">
        <v>0.125586</v>
      </c>
      <c r="J34" s="33">
        <v>0.13900000000000001</v>
      </c>
      <c r="K34" s="33">
        <v>0.125586</v>
      </c>
      <c r="L34" s="33">
        <v>25.989000000000001</v>
      </c>
      <c r="M34" s="33">
        <v>25.945585999999999</v>
      </c>
      <c r="N34" s="34">
        <v>0.99883945841392596</v>
      </c>
      <c r="O34" s="34">
        <v>1.0011576279691501</v>
      </c>
      <c r="P34" s="34">
        <v>0.99779318381587601</v>
      </c>
      <c r="Q34" s="34">
        <v>0.99949770527021098</v>
      </c>
      <c r="R34" s="33">
        <v>25.879924683002599</v>
      </c>
      <c r="S34" s="33">
        <v>25.791935146374101</v>
      </c>
      <c r="T34" s="33">
        <v>25.842524987167401</v>
      </c>
      <c r="U34" s="15">
        <v>2.3181739705053299E-3</v>
      </c>
      <c r="V34" s="15">
        <v>-1.08753358355302E-3</v>
      </c>
      <c r="W34" s="15">
        <v>8.7200494363796096E-4</v>
      </c>
      <c r="X34" s="34">
        <v>0.99832952402939701</v>
      </c>
      <c r="Y34" s="34">
        <v>0.99838446436414396</v>
      </c>
      <c r="Z34" s="34">
        <v>0.99728843651383503</v>
      </c>
      <c r="AA34" s="34">
        <v>0.99728775658553903</v>
      </c>
      <c r="AB34" s="33">
        <v>25.947013844359699</v>
      </c>
      <c r="AC34" s="33">
        <v>25.917504399102398</v>
      </c>
      <c r="AD34" s="33">
        <v>25.9177253795681</v>
      </c>
      <c r="AE34" s="15">
        <v>5.5030750604085702E-5</v>
      </c>
      <c r="AF34" s="15">
        <v>-1.0829128548166501E-3</v>
      </c>
      <c r="AG34" s="15">
        <v>-1.07438658931513E-3</v>
      </c>
      <c r="AI34" s="12"/>
      <c r="AJ34">
        <f t="shared" si="6"/>
        <v>1</v>
      </c>
      <c r="AK34">
        <f t="shared" si="7"/>
        <v>0</v>
      </c>
      <c r="AL34">
        <f t="shared" si="14"/>
        <v>1</v>
      </c>
      <c r="AM34">
        <f t="shared" si="4"/>
        <v>1</v>
      </c>
      <c r="AN34">
        <f t="shared" si="15"/>
        <v>1</v>
      </c>
      <c r="AO34" s="28">
        <f t="shared" si="8"/>
        <v>-3.8677238927320201E-4</v>
      </c>
      <c r="AP34" s="28">
        <f t="shared" si="9"/>
        <v>0</v>
      </c>
      <c r="AQ34" s="28">
        <f t="shared" si="16"/>
        <v>-3.8677238927320201E-4</v>
      </c>
      <c r="AR34" s="29">
        <f t="shared" si="17"/>
        <v>3.8602169867268818E-4</v>
      </c>
      <c r="AT34" s="12"/>
      <c r="AU34">
        <f t="shared" si="10"/>
        <v>0</v>
      </c>
      <c r="AV34">
        <f t="shared" si="11"/>
        <v>1</v>
      </c>
      <c r="AW34">
        <f t="shared" si="18"/>
        <v>0</v>
      </c>
      <c r="AX34">
        <f t="shared" si="5"/>
        <v>1</v>
      </c>
      <c r="AY34">
        <f t="shared" si="19"/>
        <v>0</v>
      </c>
      <c r="AZ34" s="28">
        <f t="shared" si="12"/>
        <v>0</v>
      </c>
      <c r="BA34" s="28">
        <f t="shared" si="13"/>
        <v>0</v>
      </c>
      <c r="BB34" s="28">
        <f t="shared" si="20"/>
        <v>0</v>
      </c>
      <c r="BC34" s="29">
        <f t="shared" si="21"/>
        <v>1.54798792521498E-3</v>
      </c>
      <c r="BE34" s="29">
        <f t="shared" si="22"/>
        <v>-3.8677238927320201E-4</v>
      </c>
      <c r="BF34" s="29">
        <f t="shared" si="23"/>
        <v>1.9340096238876683E-3</v>
      </c>
      <c r="BH34" s="29"/>
    </row>
    <row r="35" spans="1:124" x14ac:dyDescent="0.25">
      <c r="A35" s="1">
        <v>46073</v>
      </c>
      <c r="B35" s="33">
        <v>25.89</v>
      </c>
      <c r="C35" s="33">
        <v>25.85</v>
      </c>
      <c r="D35" s="15">
        <v>1.5461928090080301E-3</v>
      </c>
      <c r="E35" s="15">
        <v>1.1612155359416699E-3</v>
      </c>
      <c r="F35" s="33">
        <v>0</v>
      </c>
      <c r="G35" s="33">
        <v>0.13900000000000001</v>
      </c>
      <c r="H35" s="33">
        <v>0</v>
      </c>
      <c r="I35" s="33">
        <v>0.125586</v>
      </c>
      <c r="J35" s="33">
        <v>0.13900000000000001</v>
      </c>
      <c r="K35" s="33">
        <v>0.125586</v>
      </c>
      <c r="L35" s="33">
        <v>26.029</v>
      </c>
      <c r="M35" s="33">
        <v>25.975586</v>
      </c>
      <c r="N35" s="34">
        <v>0.99845500193124703</v>
      </c>
      <c r="O35" s="34">
        <v>1.0011576279691501</v>
      </c>
      <c r="P35" s="34">
        <v>0.99791063428095095</v>
      </c>
      <c r="Q35" s="34">
        <v>0.99928479645204404</v>
      </c>
      <c r="R35" s="33">
        <v>25.919970988121399</v>
      </c>
      <c r="S35" s="33">
        <v>25.832865528993</v>
      </c>
      <c r="T35" s="33">
        <v>25.876995589445698</v>
      </c>
      <c r="U35" s="15">
        <v>2.7031512435717101E-3</v>
      </c>
      <c r="V35" s="15">
        <v>-6.6306198231702595E-4</v>
      </c>
      <c r="W35" s="15">
        <v>1.04377188696265E-3</v>
      </c>
      <c r="X35" s="34">
        <v>0.99794790426063196</v>
      </c>
      <c r="Y35" s="34">
        <v>0.99838446436414396</v>
      </c>
      <c r="Z35" s="34">
        <v>0.99740555005902898</v>
      </c>
      <c r="AA35" s="34">
        <v>0.99731815615494501</v>
      </c>
      <c r="AB35" s="33">
        <v>25.9869492229343</v>
      </c>
      <c r="AC35" s="33">
        <v>25.958420714018601</v>
      </c>
      <c r="AD35" s="33">
        <v>25.958403016165001</v>
      </c>
      <c r="AE35" s="15">
        <v>4.3736215204692302E-4</v>
      </c>
      <c r="AF35" s="15">
        <v>-6.6104226084390098E-4</v>
      </c>
      <c r="AG35" s="15">
        <v>-6.6172403805348596E-4</v>
      </c>
      <c r="AI35" s="12"/>
      <c r="AJ35">
        <f t="shared" si="6"/>
        <v>0</v>
      </c>
      <c r="AK35">
        <f t="shared" si="7"/>
        <v>0</v>
      </c>
      <c r="AL35">
        <f t="shared" si="14"/>
        <v>1</v>
      </c>
      <c r="AM35">
        <f t="shared" si="4"/>
        <v>0</v>
      </c>
      <c r="AN35">
        <f t="shared" si="15"/>
        <v>1</v>
      </c>
      <c r="AO35" s="28">
        <f t="shared" si="8"/>
        <v>1.5461928090080301E-3</v>
      </c>
      <c r="AP35" s="28">
        <f t="shared" si="9"/>
        <v>-1.1612155359416699E-3</v>
      </c>
      <c r="AQ35" s="28">
        <f t="shared" si="16"/>
        <v>3.8497727306636021E-4</v>
      </c>
      <c r="AR35" s="29">
        <f t="shared" si="17"/>
        <v>7.7099897173904834E-4</v>
      </c>
      <c r="AT35" s="12"/>
      <c r="AU35">
        <f t="shared" si="10"/>
        <v>0</v>
      </c>
      <c r="AV35">
        <f t="shared" si="11"/>
        <v>1</v>
      </c>
      <c r="AW35">
        <f t="shared" si="18"/>
        <v>0</v>
      </c>
      <c r="AX35">
        <f t="shared" si="5"/>
        <v>0</v>
      </c>
      <c r="AY35">
        <f t="shared" si="19"/>
        <v>0</v>
      </c>
      <c r="AZ35" s="28">
        <f t="shared" si="12"/>
        <v>0</v>
      </c>
      <c r="BA35" s="28">
        <f t="shared" si="13"/>
        <v>0</v>
      </c>
      <c r="BB35" s="28">
        <f t="shared" si="20"/>
        <v>0</v>
      </c>
      <c r="BC35" s="29">
        <f t="shared" si="21"/>
        <v>1.54798792521498E-3</v>
      </c>
      <c r="BE35" s="29">
        <f t="shared" si="22"/>
        <v>3.8497727306636021E-4</v>
      </c>
      <c r="BF35" s="29">
        <f t="shared" si="23"/>
        <v>2.3189868969540287E-3</v>
      </c>
      <c r="BH35" s="29"/>
    </row>
    <row r="36" spans="1:124" x14ac:dyDescent="0.25">
      <c r="A36" s="1">
        <v>46076</v>
      </c>
      <c r="B36" s="33">
        <v>25.71</v>
      </c>
      <c r="C36" s="33">
        <v>25.82</v>
      </c>
      <c r="D36" s="15">
        <v>-6.9767724856480903E-3</v>
      </c>
      <c r="E36" s="15">
        <v>-1.1612155359417801E-3</v>
      </c>
      <c r="F36" s="33">
        <v>0.125</v>
      </c>
      <c r="G36" s="33">
        <v>0.26400000000000001</v>
      </c>
      <c r="H36" s="33">
        <v>0</v>
      </c>
      <c r="I36" s="33">
        <v>0.125586</v>
      </c>
      <c r="J36" s="33">
        <v>0.26400000000000001</v>
      </c>
      <c r="K36" s="33">
        <v>0.125586</v>
      </c>
      <c r="L36" s="33">
        <v>25.974</v>
      </c>
      <c r="M36" s="33">
        <v>25.945585999999999</v>
      </c>
      <c r="N36" s="34">
        <v>1.0042784908595801</v>
      </c>
      <c r="O36" s="34">
        <v>1.0011576279691501</v>
      </c>
      <c r="P36" s="34">
        <v>0.99860959103538305</v>
      </c>
      <c r="Q36" s="34">
        <v>0.99938235171651302</v>
      </c>
      <c r="R36" s="33">
        <v>25.739762615086999</v>
      </c>
      <c r="S36" s="33">
        <v>25.6562824073632</v>
      </c>
      <c r="T36" s="33">
        <v>25.691612116782</v>
      </c>
      <c r="U36" s="15">
        <v>-3.1124057061346702E-3</v>
      </c>
      <c r="V36" s="15">
        <v>-6.3609156294133998E-3</v>
      </c>
      <c r="W36" s="15">
        <v>-4.9848235687223698E-3</v>
      </c>
      <c r="X36" s="34">
        <v>0.99890605990605896</v>
      </c>
      <c r="Y36" s="34">
        <v>0.99838446436414396</v>
      </c>
      <c r="Z36" s="34">
        <v>0.99761748583891796</v>
      </c>
      <c r="AA36" s="34">
        <v>0.99741585700510405</v>
      </c>
      <c r="AB36" s="33">
        <v>25.9320380773942</v>
      </c>
      <c r="AC36" s="33">
        <v>25.9066117572332</v>
      </c>
      <c r="AD36" s="33">
        <v>25.904341787968502</v>
      </c>
      <c r="AE36" s="15">
        <v>-5.2230313761030998E-4</v>
      </c>
      <c r="AF36" s="15">
        <v>-1.5032824756599701E-3</v>
      </c>
      <c r="AG36" s="15">
        <v>-1.59090754761127E-3</v>
      </c>
      <c r="AI36" s="12"/>
      <c r="AJ36">
        <f t="shared" si="6"/>
        <v>1</v>
      </c>
      <c r="AK36">
        <f t="shared" si="7"/>
        <v>0</v>
      </c>
      <c r="AL36">
        <f t="shared" si="14"/>
        <v>0</v>
      </c>
      <c r="AM36">
        <f t="shared" si="4"/>
        <v>1</v>
      </c>
      <c r="AN36">
        <f t="shared" si="15"/>
        <v>0</v>
      </c>
      <c r="AO36" s="28">
        <f t="shared" si="8"/>
        <v>0</v>
      </c>
      <c r="AP36" s="28">
        <f t="shared" si="9"/>
        <v>0</v>
      </c>
      <c r="AQ36" s="28">
        <f t="shared" si="16"/>
        <v>0</v>
      </c>
      <c r="AR36" s="29">
        <f t="shared" si="17"/>
        <v>7.7099897173904834E-4</v>
      </c>
      <c r="AT36" s="12"/>
      <c r="AU36">
        <f t="shared" si="10"/>
        <v>0</v>
      </c>
      <c r="AV36">
        <f t="shared" si="11"/>
        <v>1</v>
      </c>
      <c r="AW36">
        <f t="shared" si="18"/>
        <v>0</v>
      </c>
      <c r="AX36">
        <f t="shared" si="5"/>
        <v>1</v>
      </c>
      <c r="AY36">
        <f t="shared" si="19"/>
        <v>0</v>
      </c>
      <c r="AZ36" s="28">
        <f t="shared" si="12"/>
        <v>0</v>
      </c>
      <c r="BA36" s="28">
        <f t="shared" si="13"/>
        <v>0</v>
      </c>
      <c r="BB36" s="28">
        <f t="shared" si="20"/>
        <v>0</v>
      </c>
      <c r="BC36" s="29">
        <f t="shared" si="21"/>
        <v>1.54798792521498E-3</v>
      </c>
      <c r="BE36" s="29">
        <f t="shared" si="22"/>
        <v>0</v>
      </c>
      <c r="BF36" s="29">
        <f t="shared" si="23"/>
        <v>2.3189868969540287E-3</v>
      </c>
      <c r="BH36" s="29"/>
    </row>
    <row r="37" spans="1:124" x14ac:dyDescent="0.25">
      <c r="A37" s="1">
        <v>46077</v>
      </c>
      <c r="B37" s="33">
        <v>25.71</v>
      </c>
      <c r="C37" s="33">
        <v>25.8</v>
      </c>
      <c r="D37" s="15">
        <v>0</v>
      </c>
      <c r="E37" s="15">
        <v>-7.7489349092468699E-4</v>
      </c>
      <c r="F37" s="33">
        <v>0</v>
      </c>
      <c r="G37" s="33">
        <v>0.26400000000000001</v>
      </c>
      <c r="H37" s="33">
        <v>0</v>
      </c>
      <c r="I37" s="33">
        <v>0.125586</v>
      </c>
      <c r="J37" s="33">
        <v>0.26400000000000001</v>
      </c>
      <c r="K37" s="33">
        <v>0.125586</v>
      </c>
      <c r="L37" s="33">
        <v>25.974</v>
      </c>
      <c r="M37" s="33">
        <v>25.925585999999999</v>
      </c>
      <c r="N37" s="34">
        <v>1.0035005834305699</v>
      </c>
      <c r="O37" s="34">
        <v>1.0011576279691501</v>
      </c>
      <c r="P37" s="34">
        <v>0.99923023306611003</v>
      </c>
      <c r="Q37" s="34">
        <v>0.99944105673139205</v>
      </c>
      <c r="R37" s="33">
        <v>25.739762615086999</v>
      </c>
      <c r="S37" s="33">
        <v>25.674252585519699</v>
      </c>
      <c r="T37" s="33">
        <v>25.6941202626315</v>
      </c>
      <c r="U37" s="15">
        <v>-2.3375122152099401E-3</v>
      </c>
      <c r="V37" s="15">
        <v>-4.8858471298662502E-3</v>
      </c>
      <c r="W37" s="15">
        <v>-4.1123097565392902E-3</v>
      </c>
      <c r="X37" s="34">
        <v>0.99813605913605896</v>
      </c>
      <c r="Y37" s="34">
        <v>0.99838446436414396</v>
      </c>
      <c r="Z37" s="34">
        <v>0.99775180381373396</v>
      </c>
      <c r="AA37" s="34">
        <v>0.997474999041701</v>
      </c>
      <c r="AB37" s="33">
        <v>25.9320380773942</v>
      </c>
      <c r="AC37" s="33">
        <v>25.912116577180001</v>
      </c>
      <c r="AD37" s="33">
        <v>25.906879469850502</v>
      </c>
      <c r="AE37" s="15">
        <v>2.4883814260200597E-4</v>
      </c>
      <c r="AF37" s="15">
        <v>-5.1967670067953398E-4</v>
      </c>
      <c r="AG37" s="15">
        <v>-7.21807492352093E-4</v>
      </c>
      <c r="AI37" s="12"/>
      <c r="AJ37">
        <f t="shared" si="6"/>
        <v>0</v>
      </c>
      <c r="AK37">
        <f t="shared" si="7"/>
        <v>0</v>
      </c>
      <c r="AL37">
        <f t="shared" si="14"/>
        <v>1</v>
      </c>
      <c r="AM37">
        <f t="shared" si="4"/>
        <v>1</v>
      </c>
      <c r="AN37">
        <f t="shared" si="15"/>
        <v>1</v>
      </c>
      <c r="AO37" s="28">
        <f t="shared" si="8"/>
        <v>0</v>
      </c>
      <c r="AP37" s="28">
        <f t="shared" si="9"/>
        <v>7.7489349092468699E-4</v>
      </c>
      <c r="AQ37" s="28">
        <f t="shared" si="16"/>
        <v>7.7489349092468699E-4</v>
      </c>
      <c r="AR37" s="29">
        <f t="shared" si="17"/>
        <v>1.5458924626637353E-3</v>
      </c>
      <c r="AT37" s="12"/>
      <c r="AU37">
        <f t="shared" si="10"/>
        <v>0</v>
      </c>
      <c r="AV37">
        <f t="shared" si="11"/>
        <v>1</v>
      </c>
      <c r="AW37">
        <f t="shared" si="18"/>
        <v>0</v>
      </c>
      <c r="AX37">
        <f t="shared" si="5"/>
        <v>1</v>
      </c>
      <c r="AY37">
        <f t="shared" si="19"/>
        <v>0</v>
      </c>
      <c r="AZ37" s="28">
        <f t="shared" si="12"/>
        <v>0</v>
      </c>
      <c r="BA37" s="28">
        <f t="shared" si="13"/>
        <v>0</v>
      </c>
      <c r="BB37" s="28">
        <f t="shared" si="20"/>
        <v>0</v>
      </c>
      <c r="BC37" s="29">
        <f t="shared" si="21"/>
        <v>1.54798792521498E-3</v>
      </c>
      <c r="BE37" s="29">
        <f t="shared" si="22"/>
        <v>7.7489349092468699E-4</v>
      </c>
      <c r="BF37" s="29">
        <f t="shared" si="23"/>
        <v>3.0938803878787155E-3</v>
      </c>
      <c r="BH37" s="29"/>
    </row>
    <row r="38" spans="1:124" x14ac:dyDescent="0.25">
      <c r="A38" s="1">
        <v>46078</v>
      </c>
      <c r="B38" s="33">
        <v>25.72</v>
      </c>
      <c r="C38" s="33">
        <v>25.82</v>
      </c>
      <c r="D38" s="15">
        <v>3.8887809162041801E-4</v>
      </c>
      <c r="E38" s="15">
        <v>7.7489349092478999E-4</v>
      </c>
      <c r="F38" s="33">
        <v>0</v>
      </c>
      <c r="G38" s="33">
        <v>0.26400000000000001</v>
      </c>
      <c r="H38" s="33">
        <v>0</v>
      </c>
      <c r="I38" s="33">
        <v>0.125586</v>
      </c>
      <c r="J38" s="33">
        <v>0.26400000000000001</v>
      </c>
      <c r="K38" s="33">
        <v>0.125586</v>
      </c>
      <c r="L38" s="33">
        <v>25.983999999999899</v>
      </c>
      <c r="M38" s="33">
        <v>25.945585999999999</v>
      </c>
      <c r="N38" s="34">
        <v>1.0038880248833499</v>
      </c>
      <c r="O38" s="34">
        <v>1.0011576279691501</v>
      </c>
      <c r="P38" s="34">
        <v>0.99988993338726295</v>
      </c>
      <c r="Q38" s="34">
        <v>0.99953855875075404</v>
      </c>
      <c r="R38" s="33">
        <v>25.749774191366701</v>
      </c>
      <c r="S38" s="33">
        <v>25.7002015944603</v>
      </c>
      <c r="T38" s="33">
        <v>25.705623979131399</v>
      </c>
      <c r="U38" s="15">
        <v>-2.7235276145141899E-3</v>
      </c>
      <c r="V38" s="15">
        <v>-4.6505494056613998E-3</v>
      </c>
      <c r="W38" s="15">
        <v>-4.4395855847066202E-3</v>
      </c>
      <c r="X38" s="34">
        <v>0.99852162869458105</v>
      </c>
      <c r="Y38" s="34">
        <v>0.99838446436414396</v>
      </c>
      <c r="Z38" s="34">
        <v>0.99792504909590996</v>
      </c>
      <c r="AA38" s="34">
        <v>0.99757263682015995</v>
      </c>
      <c r="AB38" s="33">
        <v>25.942021922037899</v>
      </c>
      <c r="AC38" s="33">
        <v>25.925582870296001</v>
      </c>
      <c r="AD38" s="33">
        <v>25.918390375099499</v>
      </c>
      <c r="AE38" s="15">
        <v>-1.3737684624150499E-4</v>
      </c>
      <c r="AF38" s="15">
        <v>-7.7126199895410105E-4</v>
      </c>
      <c r="AG38" s="15">
        <v>-1.04872897505156E-3</v>
      </c>
      <c r="AI38" s="12"/>
      <c r="AJ38">
        <f t="shared" si="6"/>
        <v>1</v>
      </c>
      <c r="AK38">
        <f t="shared" si="7"/>
        <v>0</v>
      </c>
      <c r="AL38">
        <f t="shared" si="14"/>
        <v>1</v>
      </c>
      <c r="AM38">
        <f t="shared" si="4"/>
        <v>1</v>
      </c>
      <c r="AN38">
        <f t="shared" si="15"/>
        <v>1</v>
      </c>
      <c r="AO38" s="28">
        <f t="shared" si="8"/>
        <v>3.8887809162041801E-4</v>
      </c>
      <c r="AP38" s="28">
        <f t="shared" si="9"/>
        <v>-7.7489349092478999E-4</v>
      </c>
      <c r="AQ38" s="28">
        <f t="shared" si="16"/>
        <v>-3.8601539930437198E-4</v>
      </c>
      <c r="AR38" s="29">
        <f t="shared" si="17"/>
        <v>1.1598770633593635E-3</v>
      </c>
      <c r="AT38" s="12"/>
      <c r="AU38">
        <f t="shared" si="10"/>
        <v>0</v>
      </c>
      <c r="AV38">
        <f t="shared" si="11"/>
        <v>1</v>
      </c>
      <c r="AW38">
        <f t="shared" si="18"/>
        <v>0</v>
      </c>
      <c r="AX38">
        <f t="shared" si="5"/>
        <v>1</v>
      </c>
      <c r="AY38">
        <f t="shared" si="19"/>
        <v>0</v>
      </c>
      <c r="AZ38" s="28">
        <f t="shared" si="12"/>
        <v>0</v>
      </c>
      <c r="BA38" s="28">
        <f t="shared" si="13"/>
        <v>0</v>
      </c>
      <c r="BB38" s="28">
        <f t="shared" si="20"/>
        <v>0</v>
      </c>
      <c r="BC38" s="29">
        <f t="shared" si="21"/>
        <v>1.54798792521498E-3</v>
      </c>
      <c r="BE38" s="29">
        <f t="shared" si="22"/>
        <v>-3.8601539930437198E-4</v>
      </c>
      <c r="BF38" s="29">
        <f t="shared" si="23"/>
        <v>2.7078649885743434E-3</v>
      </c>
      <c r="BH38" s="29"/>
    </row>
    <row r="39" spans="1:124" x14ac:dyDescent="0.25">
      <c r="A39" s="1">
        <v>46079</v>
      </c>
      <c r="B39" s="33">
        <v>25.7</v>
      </c>
      <c r="C39" s="33">
        <v>25.8</v>
      </c>
      <c r="D39" s="15">
        <v>-7.7790746824445904E-4</v>
      </c>
      <c r="E39" s="15">
        <v>-7.7489349092468699E-4</v>
      </c>
      <c r="F39" s="33">
        <v>0</v>
      </c>
      <c r="G39" s="33">
        <v>0.26400000000000001</v>
      </c>
      <c r="H39" s="33">
        <v>0</v>
      </c>
      <c r="I39" s="33">
        <v>0.125586</v>
      </c>
      <c r="J39" s="33">
        <v>0.26400000000000001</v>
      </c>
      <c r="K39" s="33">
        <v>0.125586</v>
      </c>
      <c r="L39" s="33">
        <v>25.963999999999999</v>
      </c>
      <c r="M39" s="33">
        <v>25.925585999999999</v>
      </c>
      <c r="N39" s="34">
        <v>1.00389105058365</v>
      </c>
      <c r="O39" s="34">
        <v>1.0011576279691501</v>
      </c>
      <c r="P39" s="34">
        <v>1.00062706628785</v>
      </c>
      <c r="Q39" s="34">
        <v>0.99959729443864798</v>
      </c>
      <c r="R39" s="33">
        <v>25.729751038807301</v>
      </c>
      <c r="S39" s="33">
        <v>25.697171288052601</v>
      </c>
      <c r="T39" s="33">
        <v>25.688140959894302</v>
      </c>
      <c r="U39" s="15">
        <v>-2.7265415918340898E-3</v>
      </c>
      <c r="V39" s="15">
        <v>-3.9935726969085698E-3</v>
      </c>
      <c r="W39" s="15">
        <v>-4.34504777241941E-3</v>
      </c>
      <c r="X39" s="34">
        <v>0.99852048990910403</v>
      </c>
      <c r="Y39" s="34">
        <v>0.99838446436414396</v>
      </c>
      <c r="Z39" s="34">
        <v>0.99817485953918395</v>
      </c>
      <c r="AA39" s="34">
        <v>0.99763181967757397</v>
      </c>
      <c r="AB39" s="33">
        <v>25.9220542327506</v>
      </c>
      <c r="AC39" s="33">
        <v>25.910125974726199</v>
      </c>
      <c r="AD39" s="33">
        <v>25.900975942398599</v>
      </c>
      <c r="AE39" s="15">
        <v>-1.3623637407443199E-4</v>
      </c>
      <c r="AF39" s="15">
        <v>-5.96500950531191E-4</v>
      </c>
      <c r="AG39" s="15">
        <v>-9.4970835528138695E-4</v>
      </c>
      <c r="AI39" s="12"/>
      <c r="AJ39">
        <f t="shared" si="6"/>
        <v>0</v>
      </c>
      <c r="AK39">
        <f t="shared" si="7"/>
        <v>0</v>
      </c>
      <c r="AL39">
        <f t="shared" si="14"/>
        <v>1</v>
      </c>
      <c r="AM39">
        <f t="shared" si="4"/>
        <v>1</v>
      </c>
      <c r="AN39">
        <f t="shared" si="15"/>
        <v>1</v>
      </c>
      <c r="AO39" s="28">
        <f t="shared" si="8"/>
        <v>-7.7790746824445904E-4</v>
      </c>
      <c r="AP39" s="28">
        <f t="shared" si="9"/>
        <v>7.7489349092468699E-4</v>
      </c>
      <c r="AQ39" s="28">
        <f t="shared" si="16"/>
        <v>-3.0139773197720467E-6</v>
      </c>
      <c r="AR39" s="29">
        <f t="shared" si="17"/>
        <v>1.1568630860395914E-3</v>
      </c>
      <c r="AT39" s="12"/>
      <c r="AU39">
        <f t="shared" si="10"/>
        <v>0</v>
      </c>
      <c r="AV39">
        <f t="shared" si="11"/>
        <v>1</v>
      </c>
      <c r="AW39">
        <f t="shared" si="18"/>
        <v>0</v>
      </c>
      <c r="AX39">
        <f t="shared" si="5"/>
        <v>1</v>
      </c>
      <c r="AY39">
        <f t="shared" si="19"/>
        <v>0</v>
      </c>
      <c r="AZ39" s="28">
        <f t="shared" si="12"/>
        <v>0</v>
      </c>
      <c r="BA39" s="28">
        <f t="shared" si="13"/>
        <v>0</v>
      </c>
      <c r="BB39" s="28">
        <f t="shared" si="20"/>
        <v>0</v>
      </c>
      <c r="BC39" s="29">
        <f t="shared" si="21"/>
        <v>1.54798792521498E-3</v>
      </c>
      <c r="BE39" s="29">
        <f t="shared" si="22"/>
        <v>-3.0139773197720467E-6</v>
      </c>
      <c r="BF39" s="29">
        <f t="shared" si="23"/>
        <v>2.7048510112545714E-3</v>
      </c>
      <c r="BH39" s="29"/>
    </row>
    <row r="40" spans="1:124" x14ac:dyDescent="0.25">
      <c r="A40" s="1">
        <v>46080</v>
      </c>
      <c r="B40" s="33">
        <v>25.66</v>
      </c>
      <c r="C40" s="33">
        <v>25.79</v>
      </c>
      <c r="D40" s="15">
        <v>-1.5576327136837299E-3</v>
      </c>
      <c r="E40" s="15">
        <v>-3.87672034318375E-4</v>
      </c>
      <c r="F40" s="33">
        <v>0</v>
      </c>
      <c r="G40" s="33">
        <v>0.26400000000000001</v>
      </c>
      <c r="H40" s="33">
        <v>0</v>
      </c>
      <c r="I40" s="33">
        <v>0.125586</v>
      </c>
      <c r="J40" s="33">
        <v>0.26400000000000001</v>
      </c>
      <c r="K40" s="33">
        <v>0.125586</v>
      </c>
      <c r="L40" s="33">
        <v>25.923999999999999</v>
      </c>
      <c r="M40" s="33">
        <v>25.915585999999902</v>
      </c>
      <c r="N40" s="34">
        <v>1.00506625097427</v>
      </c>
      <c r="O40" s="34">
        <v>1.0011576279691501</v>
      </c>
      <c r="P40" s="34">
        <v>1.0013273397199001</v>
      </c>
      <c r="Q40" s="34">
        <v>0.99965650760848002</v>
      </c>
      <c r="R40" s="33">
        <v>25.689704733688501</v>
      </c>
      <c r="S40" s="33">
        <v>25.6760905209463</v>
      </c>
      <c r="T40" s="33">
        <v>25.649666575295701</v>
      </c>
      <c r="U40" s="15">
        <v>-3.89650227119932E-3</v>
      </c>
      <c r="V40" s="15">
        <v>-4.4265909418198498E-3</v>
      </c>
      <c r="W40" s="15">
        <v>-5.4562473747746401E-3</v>
      </c>
      <c r="X40" s="34">
        <v>0.99967543588952301</v>
      </c>
      <c r="Y40" s="34">
        <v>0.99838446436414396</v>
      </c>
      <c r="Z40" s="34">
        <v>0.99838668834713495</v>
      </c>
      <c r="AA40" s="34">
        <v>0.99769088395438599</v>
      </c>
      <c r="AB40" s="33">
        <v>25.882118854175999</v>
      </c>
      <c r="AC40" s="33">
        <v>25.876685058693798</v>
      </c>
      <c r="AD40" s="33">
        <v>25.8626072933214</v>
      </c>
      <c r="AE40" s="15">
        <v>-1.29222522794065E-3</v>
      </c>
      <c r="AF40" s="15">
        <v>-1.50219126623539E-3</v>
      </c>
      <c r="AG40" s="15">
        <v>-2.0463721036538302E-3</v>
      </c>
      <c r="AI40" s="12"/>
      <c r="AJ40">
        <f t="shared" si="6"/>
        <v>1</v>
      </c>
      <c r="AK40">
        <f t="shared" si="7"/>
        <v>0</v>
      </c>
      <c r="AL40">
        <f t="shared" si="14"/>
        <v>1</v>
      </c>
      <c r="AM40">
        <f t="shared" si="4"/>
        <v>0</v>
      </c>
      <c r="AN40">
        <f t="shared" si="15"/>
        <v>1</v>
      </c>
      <c r="AO40" s="28">
        <f t="shared" si="8"/>
        <v>-1.5576327136837299E-3</v>
      </c>
      <c r="AP40" s="28">
        <f t="shared" si="9"/>
        <v>3.87672034318375E-4</v>
      </c>
      <c r="AQ40" s="28">
        <f t="shared" si="16"/>
        <v>-1.169960679365355E-3</v>
      </c>
      <c r="AR40" s="29">
        <f t="shared" si="17"/>
        <v>-1.3097593325763629E-5</v>
      </c>
      <c r="AT40" s="12"/>
      <c r="AU40">
        <f t="shared" si="10"/>
        <v>0</v>
      </c>
      <c r="AV40">
        <f t="shared" si="11"/>
        <v>1</v>
      </c>
      <c r="AW40">
        <f t="shared" si="18"/>
        <v>0</v>
      </c>
      <c r="AX40">
        <f t="shared" si="5"/>
        <v>0</v>
      </c>
      <c r="AY40">
        <f t="shared" si="19"/>
        <v>0</v>
      </c>
      <c r="AZ40" s="28">
        <f t="shared" si="12"/>
        <v>0</v>
      </c>
      <c r="BA40" s="28">
        <f t="shared" si="13"/>
        <v>0</v>
      </c>
      <c r="BB40" s="28">
        <f t="shared" si="20"/>
        <v>0</v>
      </c>
      <c r="BC40" s="29">
        <f t="shared" si="21"/>
        <v>1.54798792521498E-3</v>
      </c>
      <c r="BE40" s="29">
        <f t="shared" si="22"/>
        <v>-1.169960679365355E-3</v>
      </c>
      <c r="BF40" s="29">
        <f t="shared" si="23"/>
        <v>1.5348903318892163E-3</v>
      </c>
      <c r="BH40" s="29"/>
    </row>
    <row r="41" spans="1:124" x14ac:dyDescent="0.25">
      <c r="A41" s="1">
        <v>46083</v>
      </c>
      <c r="B41" s="33">
        <v>25.65</v>
      </c>
      <c r="C41" s="33">
        <v>25.62</v>
      </c>
      <c r="D41" s="15">
        <v>-3.8978757071192298E-4</v>
      </c>
      <c r="E41" s="15">
        <v>-6.6135234246651603E-3</v>
      </c>
      <c r="F41" s="33">
        <v>0</v>
      </c>
      <c r="G41" s="33">
        <v>0.26400000000000001</v>
      </c>
      <c r="H41" s="33">
        <v>0.129716</v>
      </c>
      <c r="I41" s="33">
        <v>0.25530199999999997</v>
      </c>
      <c r="J41" s="33">
        <v>0.26400000000000001</v>
      </c>
      <c r="K41" s="33">
        <v>0.25530199999999997</v>
      </c>
      <c r="L41" s="33">
        <v>25.913999999999898</v>
      </c>
      <c r="M41" s="33">
        <v>25.875302000000001</v>
      </c>
      <c r="N41" s="34">
        <v>0.99883040935672496</v>
      </c>
      <c r="O41" s="34">
        <v>1.0011576279691501</v>
      </c>
      <c r="P41" s="34">
        <v>1.0014427586571299</v>
      </c>
      <c r="Q41" s="34">
        <v>0.99948170391966695</v>
      </c>
      <c r="R41" s="33">
        <v>25.679693157408799</v>
      </c>
      <c r="S41" s="33">
        <v>25.684046263815599</v>
      </c>
      <c r="T41" s="33">
        <v>25.641189420157499</v>
      </c>
      <c r="U41" s="15">
        <v>2.3272335827539199E-3</v>
      </c>
      <c r="V41" s="15">
        <v>2.4967347314737501E-3</v>
      </c>
      <c r="W41" s="15">
        <v>8.2672374964682402E-4</v>
      </c>
      <c r="X41" s="34">
        <v>0.99850667592806897</v>
      </c>
      <c r="Y41" s="34">
        <v>0.99838446436414396</v>
      </c>
      <c r="Z41" s="34">
        <v>0.99852016344408301</v>
      </c>
      <c r="AA41" s="34">
        <v>0.99776855683058396</v>
      </c>
      <c r="AB41" s="33">
        <v>25.8721350095324</v>
      </c>
      <c r="AC41" s="33">
        <v>25.872192641827599</v>
      </c>
      <c r="AD41" s="33">
        <v>25.854161566793898</v>
      </c>
      <c r="AE41" s="15">
        <v>-1.22401829135195E-4</v>
      </c>
      <c r="AF41" s="15">
        <v>-1.2017424988747E-4</v>
      </c>
      <c r="AG41" s="15">
        <v>-8.1734597366011003E-4</v>
      </c>
      <c r="AI41" s="12"/>
      <c r="AJ41">
        <f t="shared" si="6"/>
        <v>0</v>
      </c>
      <c r="AK41">
        <f t="shared" si="7"/>
        <v>0</v>
      </c>
      <c r="AL41">
        <f t="shared" si="14"/>
        <v>0</v>
      </c>
      <c r="AM41">
        <f t="shared" si="4"/>
        <v>1</v>
      </c>
      <c r="AN41">
        <f t="shared" si="15"/>
        <v>0</v>
      </c>
      <c r="AO41" s="28">
        <f t="shared" si="8"/>
        <v>0</v>
      </c>
      <c r="AP41" s="28">
        <f t="shared" si="9"/>
        <v>0</v>
      </c>
      <c r="AQ41" s="28">
        <f t="shared" si="16"/>
        <v>0</v>
      </c>
      <c r="AR41" s="29">
        <f t="shared" si="17"/>
        <v>-1.3097593325763629E-5</v>
      </c>
      <c r="AT41" s="12"/>
      <c r="AU41">
        <f t="shared" si="10"/>
        <v>0</v>
      </c>
      <c r="AV41">
        <f t="shared" si="11"/>
        <v>1</v>
      </c>
      <c r="AW41">
        <f t="shared" si="18"/>
        <v>0</v>
      </c>
      <c r="AX41">
        <f t="shared" si="5"/>
        <v>1</v>
      </c>
      <c r="AY41">
        <f t="shared" si="19"/>
        <v>0</v>
      </c>
      <c r="AZ41" s="28">
        <f t="shared" si="12"/>
        <v>0</v>
      </c>
      <c r="BA41" s="28">
        <f t="shared" si="13"/>
        <v>0</v>
      </c>
      <c r="BB41" s="28">
        <f t="shared" si="20"/>
        <v>0</v>
      </c>
      <c r="BC41" s="29">
        <f t="shared" si="21"/>
        <v>1.54798792521498E-3</v>
      </c>
      <c r="BE41" s="29">
        <f t="shared" si="22"/>
        <v>0</v>
      </c>
      <c r="BF41" s="29">
        <f t="shared" si="23"/>
        <v>1.5348903318892163E-3</v>
      </c>
      <c r="BH41" s="29"/>
    </row>
    <row r="42" spans="1:124" x14ac:dyDescent="0.25">
      <c r="A42" s="1">
        <v>46084</v>
      </c>
      <c r="B42" s="33">
        <v>25.59</v>
      </c>
      <c r="C42" s="33">
        <v>25.54</v>
      </c>
      <c r="D42" s="15">
        <v>-2.34192144508103E-3</v>
      </c>
      <c r="E42" s="15">
        <v>-3.1274458641950601E-3</v>
      </c>
      <c r="F42" s="33">
        <v>0</v>
      </c>
      <c r="G42" s="33">
        <v>0.26400000000000001</v>
      </c>
      <c r="H42" s="33">
        <v>0</v>
      </c>
      <c r="I42" s="33">
        <v>0.25530199999999997</v>
      </c>
      <c r="J42" s="33">
        <v>0.26400000000000001</v>
      </c>
      <c r="K42" s="33">
        <v>0.25530199999999997</v>
      </c>
      <c r="L42" s="33">
        <v>25.853999999999999</v>
      </c>
      <c r="M42" s="33">
        <v>25.795302</v>
      </c>
      <c r="N42" s="34">
        <v>0.99804611176240698</v>
      </c>
      <c r="O42" s="34">
        <v>1.0011576279691501</v>
      </c>
      <c r="P42" s="34">
        <v>1.0013248591785799</v>
      </c>
      <c r="Q42" s="34">
        <v>0.999461558945554</v>
      </c>
      <c r="R42" s="33">
        <v>25.619623699730699</v>
      </c>
      <c r="S42" s="33">
        <v>25.6269201940359</v>
      </c>
      <c r="T42" s="33">
        <v>25.5767368033042</v>
      </c>
      <c r="U42" s="15">
        <v>3.11275800186795E-3</v>
      </c>
      <c r="V42" s="15">
        <v>3.3975184481407298E-3</v>
      </c>
      <c r="W42" s="15">
        <v>1.4373691251297199E-3</v>
      </c>
      <c r="X42" s="34">
        <v>0.997729635646321</v>
      </c>
      <c r="Y42" s="34">
        <v>0.99838446436414396</v>
      </c>
      <c r="Z42" s="34">
        <v>0.99842189497665301</v>
      </c>
      <c r="AA42" s="34">
        <v>0.99775803911426897</v>
      </c>
      <c r="AB42" s="33">
        <v>25.8122319416705</v>
      </c>
      <c r="AC42" s="33">
        <v>25.815740305683299</v>
      </c>
      <c r="AD42" s="33">
        <v>25.796308268297899</v>
      </c>
      <c r="AE42" s="15">
        <v>6.5610351763955102E-4</v>
      </c>
      <c r="AF42" s="15">
        <v>7.9201294291549799E-4</v>
      </c>
      <c r="AG42" s="15">
        <v>3.9008989749463197E-5</v>
      </c>
      <c r="AI42" s="12"/>
      <c r="AJ42">
        <f t="shared" si="6"/>
        <v>0</v>
      </c>
      <c r="AK42">
        <f t="shared" si="7"/>
        <v>1</v>
      </c>
      <c r="AL42">
        <f t="shared" si="14"/>
        <v>0</v>
      </c>
      <c r="AM42">
        <f t="shared" si="4"/>
        <v>1</v>
      </c>
      <c r="AN42">
        <f t="shared" si="15"/>
        <v>0</v>
      </c>
      <c r="AO42" s="28">
        <f t="shared" si="8"/>
        <v>0</v>
      </c>
      <c r="AP42" s="28">
        <f t="shared" si="9"/>
        <v>0</v>
      </c>
      <c r="AQ42" s="28">
        <f t="shared" si="16"/>
        <v>0</v>
      </c>
      <c r="AR42" s="29">
        <f t="shared" si="17"/>
        <v>-1.3097593325763629E-5</v>
      </c>
      <c r="AT42" s="12"/>
      <c r="AU42">
        <f t="shared" si="10"/>
        <v>0</v>
      </c>
      <c r="AV42">
        <f t="shared" si="11"/>
        <v>1</v>
      </c>
      <c r="AW42">
        <f t="shared" si="18"/>
        <v>0</v>
      </c>
      <c r="AX42">
        <f t="shared" si="5"/>
        <v>1</v>
      </c>
      <c r="AY42">
        <f t="shared" si="19"/>
        <v>0</v>
      </c>
      <c r="AZ42" s="28">
        <f t="shared" si="12"/>
        <v>0</v>
      </c>
      <c r="BA42" s="28">
        <f t="shared" si="13"/>
        <v>0</v>
      </c>
      <c r="BB42" s="28">
        <f t="shared" si="20"/>
        <v>0</v>
      </c>
      <c r="BC42" s="29">
        <f t="shared" si="21"/>
        <v>1.54798792521498E-3</v>
      </c>
      <c r="BE42" s="29">
        <f t="shared" si="22"/>
        <v>0</v>
      </c>
      <c r="BF42" s="29">
        <f t="shared" si="23"/>
        <v>1.5348903318892163E-3</v>
      </c>
      <c r="BH42" s="29"/>
    </row>
    <row r="43" spans="1:124" x14ac:dyDescent="0.25">
      <c r="A43" s="1">
        <v>46085</v>
      </c>
      <c r="B43" s="33">
        <v>25.64</v>
      </c>
      <c r="C43" s="33">
        <v>25.62</v>
      </c>
      <c r="D43" s="15">
        <v>1.95198188077194E-3</v>
      </c>
      <c r="E43" s="15">
        <v>3.1274458641949499E-3</v>
      </c>
      <c r="F43" s="33">
        <v>0</v>
      </c>
      <c r="G43" s="33">
        <v>0.26400000000000001</v>
      </c>
      <c r="H43" s="33">
        <v>0</v>
      </c>
      <c r="I43" s="33">
        <v>0.25530199999999997</v>
      </c>
      <c r="J43" s="33">
        <v>0.26400000000000001</v>
      </c>
      <c r="K43" s="33">
        <v>0.25530199999999997</v>
      </c>
      <c r="L43" s="33">
        <v>25.904</v>
      </c>
      <c r="M43" s="33">
        <v>25.875302000000001</v>
      </c>
      <c r="N43" s="34">
        <v>0.99921996879875197</v>
      </c>
      <c r="O43" s="34">
        <v>1.0011576279691501</v>
      </c>
      <c r="P43" s="34">
        <v>1.0014015350994501</v>
      </c>
      <c r="Q43" s="34">
        <v>0.99957765626102402</v>
      </c>
      <c r="R43" s="33">
        <v>25.669681581129101</v>
      </c>
      <c r="S43" s="33">
        <v>25.6739693893389</v>
      </c>
      <c r="T43" s="33">
        <v>25.626194371364001</v>
      </c>
      <c r="U43" s="15">
        <v>1.9372940184447E-3</v>
      </c>
      <c r="V43" s="15">
        <v>2.1043179109301001E-3</v>
      </c>
      <c r="W43" s="15">
        <v>2.4174951799472001E-4</v>
      </c>
      <c r="X43" s="34">
        <v>0.99889214021000605</v>
      </c>
      <c r="Y43" s="34">
        <v>0.99838446436414396</v>
      </c>
      <c r="Z43" s="34">
        <v>0.99851655536097494</v>
      </c>
      <c r="AA43" s="34">
        <v>0.99788278033742706</v>
      </c>
      <c r="AB43" s="33">
        <v>25.8621511648888</v>
      </c>
      <c r="AC43" s="33">
        <v>25.863120767475198</v>
      </c>
      <c r="AD43" s="33">
        <v>25.845924245216001</v>
      </c>
      <c r="AE43" s="15">
        <v>-5.0836810047482403E-4</v>
      </c>
      <c r="AF43" s="15">
        <v>-4.7087762240432298E-4</v>
      </c>
      <c r="AG43" s="15">
        <v>-1.1360039224136899E-3</v>
      </c>
      <c r="AI43" s="12"/>
      <c r="AJ43">
        <f t="shared" si="6"/>
        <v>1</v>
      </c>
      <c r="AK43">
        <f t="shared" si="7"/>
        <v>0</v>
      </c>
      <c r="AL43">
        <f t="shared" si="14"/>
        <v>0</v>
      </c>
      <c r="AM43">
        <f t="shared" si="4"/>
        <v>1</v>
      </c>
      <c r="AN43">
        <f t="shared" si="15"/>
        <v>0</v>
      </c>
      <c r="AO43" s="28">
        <f t="shared" si="8"/>
        <v>0</v>
      </c>
      <c r="AP43" s="28">
        <f t="shared" si="9"/>
        <v>0</v>
      </c>
      <c r="AQ43" s="28">
        <f t="shared" si="16"/>
        <v>0</v>
      </c>
      <c r="AR43" s="29">
        <f t="shared" si="17"/>
        <v>-1.3097593325763629E-5</v>
      </c>
      <c r="AT43" s="12"/>
      <c r="AU43">
        <f t="shared" si="10"/>
        <v>0</v>
      </c>
      <c r="AV43">
        <f t="shared" si="11"/>
        <v>1</v>
      </c>
      <c r="AW43">
        <f t="shared" si="18"/>
        <v>0</v>
      </c>
      <c r="AX43">
        <f t="shared" si="5"/>
        <v>1</v>
      </c>
      <c r="AY43">
        <f t="shared" si="19"/>
        <v>0</v>
      </c>
      <c r="AZ43" s="28">
        <f t="shared" si="12"/>
        <v>0</v>
      </c>
      <c r="BA43" s="28">
        <f t="shared" si="13"/>
        <v>0</v>
      </c>
      <c r="BB43" s="28">
        <f t="shared" si="20"/>
        <v>0</v>
      </c>
      <c r="BC43" s="29">
        <f t="shared" si="21"/>
        <v>1.54798792521498E-3</v>
      </c>
      <c r="BE43" s="29">
        <f t="shared" si="22"/>
        <v>0</v>
      </c>
      <c r="BF43" s="29">
        <f t="shared" si="23"/>
        <v>1.5348903318892163E-3</v>
      </c>
      <c r="BH43" s="29"/>
    </row>
    <row r="44" spans="1:124" x14ac:dyDescent="0.25">
      <c r="A44" s="1">
        <v>46086</v>
      </c>
      <c r="B44" s="33">
        <v>25.53</v>
      </c>
      <c r="C44" s="33">
        <v>25.5</v>
      </c>
      <c r="D44" s="15">
        <v>-4.2994007990768404E-3</v>
      </c>
      <c r="E44" s="15">
        <v>-4.6948443042077199E-3</v>
      </c>
      <c r="F44" s="33">
        <v>0</v>
      </c>
      <c r="G44" s="33">
        <v>0.26400000000000001</v>
      </c>
      <c r="H44" s="33">
        <v>0</v>
      </c>
      <c r="I44" s="33">
        <v>0.25530199999999997</v>
      </c>
      <c r="J44" s="33">
        <v>0.26400000000000001</v>
      </c>
      <c r="K44" s="33">
        <v>0.25530199999999997</v>
      </c>
      <c r="L44" s="33">
        <v>25.794</v>
      </c>
      <c r="M44" s="33">
        <v>25.755302</v>
      </c>
      <c r="N44" s="34">
        <v>0.99882491186838995</v>
      </c>
      <c r="O44" s="34">
        <v>1.0011576279691501</v>
      </c>
      <c r="P44" s="34">
        <v>1.0014000804448899</v>
      </c>
      <c r="Q44" s="34">
        <v>0.99959663213038696</v>
      </c>
      <c r="R44" s="33">
        <v>25.559554242052499</v>
      </c>
      <c r="S44" s="33">
        <v>25.565781191088899</v>
      </c>
      <c r="T44" s="33">
        <v>25.519217564343901</v>
      </c>
      <c r="U44" s="15">
        <v>2.3327375235757501E-3</v>
      </c>
      <c r="V44" s="15">
        <v>2.5763329548611799E-3</v>
      </c>
      <c r="W44" s="15">
        <v>7.53346137800297E-4</v>
      </c>
      <c r="X44" s="34">
        <v>0.998499728619058</v>
      </c>
      <c r="Y44" s="34">
        <v>0.99838446436414396</v>
      </c>
      <c r="Z44" s="34">
        <v>0.99853357581994096</v>
      </c>
      <c r="AA44" s="34">
        <v>0.99791100616688799</v>
      </c>
      <c r="AB44" s="33">
        <v>25.7523288738087</v>
      </c>
      <c r="AC44" s="33">
        <v>25.755736028981001</v>
      </c>
      <c r="AD44" s="33">
        <v>25.739388436023599</v>
      </c>
      <c r="AE44" s="15">
        <v>-1.15444105819528E-4</v>
      </c>
      <c r="AF44" s="15">
        <v>1.6851882533177599E-5</v>
      </c>
      <c r="AG44" s="15">
        <v>-6.1806622578890495E-4</v>
      </c>
      <c r="AI44" s="12"/>
      <c r="AJ44">
        <f t="shared" si="6"/>
        <v>0</v>
      </c>
      <c r="AK44">
        <f t="shared" si="7"/>
        <v>0</v>
      </c>
      <c r="AL44">
        <f t="shared" si="14"/>
        <v>1</v>
      </c>
      <c r="AM44">
        <f t="shared" si="4"/>
        <v>1</v>
      </c>
      <c r="AN44">
        <f t="shared" si="15"/>
        <v>1</v>
      </c>
      <c r="AO44" s="28">
        <f t="shared" si="8"/>
        <v>-4.2994007990768404E-3</v>
      </c>
      <c r="AP44" s="28">
        <f t="shared" si="9"/>
        <v>4.6948443042077199E-3</v>
      </c>
      <c r="AQ44" s="28">
        <f t="shared" si="16"/>
        <v>3.954435051308795E-4</v>
      </c>
      <c r="AR44" s="29">
        <f t="shared" si="17"/>
        <v>3.8234591180511587E-4</v>
      </c>
      <c r="AT44" s="12"/>
      <c r="AU44">
        <f t="shared" si="10"/>
        <v>0</v>
      </c>
      <c r="AV44">
        <f t="shared" si="11"/>
        <v>1</v>
      </c>
      <c r="AW44">
        <f t="shared" si="18"/>
        <v>0</v>
      </c>
      <c r="AX44">
        <f t="shared" si="5"/>
        <v>1</v>
      </c>
      <c r="AY44">
        <f t="shared" si="19"/>
        <v>0</v>
      </c>
      <c r="AZ44" s="28">
        <f t="shared" si="12"/>
        <v>0</v>
      </c>
      <c r="BA44" s="28">
        <f t="shared" si="13"/>
        <v>0</v>
      </c>
      <c r="BB44" s="28">
        <f t="shared" si="20"/>
        <v>0</v>
      </c>
      <c r="BC44" s="29">
        <f t="shared" si="21"/>
        <v>1.54798792521498E-3</v>
      </c>
      <c r="BE44" s="29">
        <f t="shared" si="22"/>
        <v>3.954435051308795E-4</v>
      </c>
      <c r="BF44" s="29">
        <f t="shared" si="23"/>
        <v>1.9303338370200958E-3</v>
      </c>
      <c r="BH44" s="29"/>
    </row>
    <row r="45" spans="1:124" x14ac:dyDescent="0.25">
      <c r="A45" s="1">
        <v>46087</v>
      </c>
      <c r="B45" s="33">
        <v>25.4</v>
      </c>
      <c r="C45" s="33">
        <v>25.35</v>
      </c>
      <c r="D45" s="15">
        <v>-5.1050572289016499E-3</v>
      </c>
      <c r="E45" s="15">
        <v>-5.8997221271882699E-3</v>
      </c>
      <c r="F45" s="33">
        <v>0</v>
      </c>
      <c r="G45" s="33">
        <v>0.26400000000000001</v>
      </c>
      <c r="H45" s="33">
        <v>0</v>
      </c>
      <c r="I45" s="33">
        <v>0.25530199999999997</v>
      </c>
      <c r="J45" s="33">
        <v>0.26400000000000001</v>
      </c>
      <c r="K45" s="33">
        <v>0.25530199999999997</v>
      </c>
      <c r="L45" s="33">
        <v>25.663999999999898</v>
      </c>
      <c r="M45" s="33">
        <v>25.605301999999998</v>
      </c>
      <c r="N45" s="34">
        <v>0.99803149606299202</v>
      </c>
      <c r="O45" s="34">
        <v>1.0011576279691501</v>
      </c>
      <c r="P45" s="34">
        <v>1.00135772985807</v>
      </c>
      <c r="Q45" s="34">
        <v>0.99963418206951105</v>
      </c>
      <c r="R45" s="33">
        <v>25.429403750416501</v>
      </c>
      <c r="S45" s="33">
        <v>25.435562043300401</v>
      </c>
      <c r="T45" s="33">
        <v>25.389754456111799</v>
      </c>
      <c r="U45" s="15">
        <v>3.1274024218622301E-3</v>
      </c>
      <c r="V45" s="15">
        <v>3.3695452334350298E-3</v>
      </c>
      <c r="W45" s="15">
        <v>1.5669947429830899E-3</v>
      </c>
      <c r="X45" s="34">
        <v>0.99771282730673305</v>
      </c>
      <c r="Y45" s="34">
        <v>0.99838446436414396</v>
      </c>
      <c r="Z45" s="34">
        <v>0.99851006812455101</v>
      </c>
      <c r="AA45" s="34">
        <v>0.99795780909178999</v>
      </c>
      <c r="AB45" s="33">
        <v>25.622538893441401</v>
      </c>
      <c r="AC45" s="33">
        <v>25.626365689842899</v>
      </c>
      <c r="AD45" s="33">
        <v>25.610388062266999</v>
      </c>
      <c r="AE45" s="15">
        <v>6.7295024702495904E-4</v>
      </c>
      <c r="AF45" s="15">
        <v>8.2229183548644203E-4</v>
      </c>
      <c r="AG45" s="15">
        <v>1.9861344355814401E-4</v>
      </c>
      <c r="AI45" s="12"/>
      <c r="AJ45">
        <f t="shared" si="6"/>
        <v>0</v>
      </c>
      <c r="AK45">
        <f t="shared" si="7"/>
        <v>1</v>
      </c>
      <c r="AL45">
        <f t="shared" si="14"/>
        <v>1</v>
      </c>
      <c r="AM45">
        <f t="shared" si="4"/>
        <v>1</v>
      </c>
      <c r="AN45">
        <f t="shared" si="15"/>
        <v>1</v>
      </c>
      <c r="AO45" s="28">
        <f t="shared" si="8"/>
        <v>-5.1050572289016499E-3</v>
      </c>
      <c r="AP45" s="28">
        <f t="shared" si="9"/>
        <v>5.8997221271882699E-3</v>
      </c>
      <c r="AQ45" s="28">
        <f t="shared" si="16"/>
        <v>7.9466489828662005E-4</v>
      </c>
      <c r="AR45" s="29">
        <f t="shared" si="17"/>
        <v>1.1770108100917359E-3</v>
      </c>
      <c r="AT45" s="12"/>
      <c r="AU45">
        <f t="shared" si="10"/>
        <v>0</v>
      </c>
      <c r="AV45">
        <f t="shared" si="11"/>
        <v>1</v>
      </c>
      <c r="AW45">
        <f t="shared" si="18"/>
        <v>0</v>
      </c>
      <c r="AX45">
        <f t="shared" si="5"/>
        <v>1</v>
      </c>
      <c r="AY45">
        <f t="shared" si="19"/>
        <v>0</v>
      </c>
      <c r="AZ45" s="28">
        <f t="shared" si="12"/>
        <v>0</v>
      </c>
      <c r="BA45" s="28">
        <f t="shared" si="13"/>
        <v>0</v>
      </c>
      <c r="BB45" s="28">
        <f t="shared" si="20"/>
        <v>0</v>
      </c>
      <c r="BC45" s="29">
        <f t="shared" si="21"/>
        <v>1.54798792521498E-3</v>
      </c>
      <c r="BE45" s="29">
        <f t="shared" si="22"/>
        <v>7.9466489828662005E-4</v>
      </c>
      <c r="BF45" s="29">
        <f t="shared" si="23"/>
        <v>2.7249987353067159E-3</v>
      </c>
      <c r="BH45" s="29"/>
    </row>
    <row r="46" spans="1:124" x14ac:dyDescent="0.25">
      <c r="A46" s="1">
        <v>46090</v>
      </c>
      <c r="B46" s="33">
        <v>25.54</v>
      </c>
      <c r="C46" s="33">
        <v>25.51</v>
      </c>
      <c r="D46" s="15">
        <v>5.4966765799023603E-3</v>
      </c>
      <c r="E46" s="15">
        <v>6.2918021165278004E-3</v>
      </c>
      <c r="F46" s="33">
        <v>0</v>
      </c>
      <c r="G46" s="33">
        <v>0.26400000000000001</v>
      </c>
      <c r="H46" s="33">
        <v>0</v>
      </c>
      <c r="I46" s="33">
        <v>0.25530199999999997</v>
      </c>
      <c r="J46" s="33">
        <v>0.26400000000000001</v>
      </c>
      <c r="K46" s="33">
        <v>0.25530199999999997</v>
      </c>
      <c r="L46" s="33">
        <v>25.803999999999998</v>
      </c>
      <c r="M46" s="33">
        <v>25.765301999999998</v>
      </c>
      <c r="N46" s="34">
        <v>0.998825371965544</v>
      </c>
      <c r="O46" s="34">
        <v>1.0011576279691501</v>
      </c>
      <c r="P46" s="34">
        <v>1.0008124179686599</v>
      </c>
      <c r="Q46" s="34">
        <v>0.99971100450202499</v>
      </c>
      <c r="R46" s="33">
        <v>25.569565818332201</v>
      </c>
      <c r="S46" s="33">
        <v>25.574676420575098</v>
      </c>
      <c r="T46" s="33">
        <v>25.5306570100553</v>
      </c>
      <c r="U46" s="15">
        <v>2.3322768852368199E-3</v>
      </c>
      <c r="V46" s="15">
        <v>2.53212742700648E-3</v>
      </c>
      <c r="W46" s="15">
        <v>8.09433592482596E-4</v>
      </c>
      <c r="X46" s="34">
        <v>0.99850031002945205</v>
      </c>
      <c r="Y46" s="34">
        <v>0.99838446436414396</v>
      </c>
      <c r="Z46" s="34">
        <v>0.99846949313689104</v>
      </c>
      <c r="AA46" s="34">
        <v>0.998043489487904</v>
      </c>
      <c r="AB46" s="33">
        <v>25.7623127184523</v>
      </c>
      <c r="AC46" s="33">
        <v>25.7655537978859</v>
      </c>
      <c r="AD46" s="33">
        <v>25.751303305804498</v>
      </c>
      <c r="AE46" s="15">
        <v>-1.1602638962835201E-4</v>
      </c>
      <c r="AF46" s="15">
        <v>9.7727034428249E-6</v>
      </c>
      <c r="AG46" s="15">
        <v>-5.4346339231343597E-4</v>
      </c>
      <c r="AI46" s="12"/>
      <c r="AJ46">
        <f t="shared" si="6"/>
        <v>0</v>
      </c>
      <c r="AK46">
        <f t="shared" si="7"/>
        <v>0</v>
      </c>
      <c r="AL46">
        <f t="shared" si="14"/>
        <v>0</v>
      </c>
      <c r="AM46">
        <f t="shared" si="4"/>
        <v>1</v>
      </c>
      <c r="AN46">
        <f t="shared" si="15"/>
        <v>0</v>
      </c>
      <c r="AO46" s="28">
        <f t="shared" si="8"/>
        <v>0</v>
      </c>
      <c r="AP46" s="28">
        <f t="shared" si="9"/>
        <v>0</v>
      </c>
      <c r="AQ46" s="28">
        <f t="shared" si="16"/>
        <v>0</v>
      </c>
      <c r="AR46" s="29">
        <f t="shared" si="17"/>
        <v>1.1770108100917359E-3</v>
      </c>
      <c r="AT46" s="12"/>
      <c r="AU46">
        <f t="shared" si="10"/>
        <v>0</v>
      </c>
      <c r="AV46">
        <f t="shared" si="11"/>
        <v>1</v>
      </c>
      <c r="AW46">
        <f t="shared" si="18"/>
        <v>0</v>
      </c>
      <c r="AX46">
        <f t="shared" si="5"/>
        <v>1</v>
      </c>
      <c r="AY46">
        <f t="shared" si="19"/>
        <v>0</v>
      </c>
      <c r="AZ46" s="28">
        <f t="shared" si="12"/>
        <v>0</v>
      </c>
      <c r="BA46" s="28">
        <f t="shared" si="13"/>
        <v>0</v>
      </c>
      <c r="BB46" s="28">
        <f t="shared" si="20"/>
        <v>0</v>
      </c>
      <c r="BC46" s="29">
        <f t="shared" si="21"/>
        <v>1.54798792521498E-3</v>
      </c>
      <c r="BE46" s="29">
        <f t="shared" si="22"/>
        <v>0</v>
      </c>
      <c r="BF46" s="29">
        <f t="shared" si="23"/>
        <v>2.7249987353067159E-3</v>
      </c>
      <c r="BH46" s="29"/>
    </row>
    <row r="47" spans="1:124" x14ac:dyDescent="0.25">
      <c r="A47" s="1">
        <v>46091</v>
      </c>
      <c r="B47" s="33">
        <v>25.5</v>
      </c>
      <c r="C47" s="33">
        <v>25.46</v>
      </c>
      <c r="D47" s="15">
        <v>-1.56739844001276E-3</v>
      </c>
      <c r="E47" s="15">
        <v>-1.9619390244596099E-3</v>
      </c>
      <c r="F47" s="33">
        <v>0</v>
      </c>
      <c r="G47" s="33">
        <v>0.26400000000000001</v>
      </c>
      <c r="H47" s="33">
        <v>0</v>
      </c>
      <c r="I47" s="33">
        <v>0.25530199999999997</v>
      </c>
      <c r="J47" s="33">
        <v>0.26400000000000001</v>
      </c>
      <c r="K47" s="33">
        <v>0.25530199999999997</v>
      </c>
      <c r="L47" s="33">
        <v>25.763999999999999</v>
      </c>
      <c r="M47" s="33">
        <v>25.715302000000001</v>
      </c>
      <c r="N47" s="34">
        <v>0.99843137254901904</v>
      </c>
      <c r="O47" s="34">
        <v>1.0011576279691501</v>
      </c>
      <c r="P47" s="34">
        <v>1.0003054968805101</v>
      </c>
      <c r="Q47" s="34">
        <v>0.99976786497331105</v>
      </c>
      <c r="R47" s="33">
        <v>25.529519513213401</v>
      </c>
      <c r="S47" s="33">
        <v>25.520716658201</v>
      </c>
      <c r="T47" s="33">
        <v>25.492630614801602</v>
      </c>
      <c r="U47" s="15">
        <v>2.72681746968363E-3</v>
      </c>
      <c r="V47" s="15">
        <v>2.3819471709392599E-3</v>
      </c>
      <c r="W47" s="15">
        <v>1.2808217698995401E-3</v>
      </c>
      <c r="X47" s="34">
        <v>0.99810984319205098</v>
      </c>
      <c r="Y47" s="34">
        <v>0.99838446436414396</v>
      </c>
      <c r="Z47" s="34">
        <v>0.99846687154249003</v>
      </c>
      <c r="AA47" s="34">
        <v>0.99810933767811205</v>
      </c>
      <c r="AB47" s="33">
        <v>25.722377339877799</v>
      </c>
      <c r="AC47" s="33">
        <v>25.724568021178801</v>
      </c>
      <c r="AD47" s="33">
        <v>25.7135924631663</v>
      </c>
      <c r="AE47" s="15">
        <v>2.7510338775937898E-4</v>
      </c>
      <c r="AF47" s="15">
        <v>3.6026612334996298E-4</v>
      </c>
      <c r="AG47" s="15">
        <v>-6.6481570412774404E-5</v>
      </c>
      <c r="AI47" s="12"/>
      <c r="AJ47">
        <f t="shared" si="6"/>
        <v>0</v>
      </c>
      <c r="AK47">
        <f t="shared" si="7"/>
        <v>1</v>
      </c>
      <c r="AL47">
        <f t="shared" si="14"/>
        <v>0</v>
      </c>
      <c r="AM47">
        <f t="shared" si="4"/>
        <v>1</v>
      </c>
      <c r="AN47">
        <f t="shared" si="15"/>
        <v>0</v>
      </c>
      <c r="AO47" s="28">
        <f t="shared" si="8"/>
        <v>0</v>
      </c>
      <c r="AP47" s="28">
        <f t="shared" si="9"/>
        <v>0</v>
      </c>
      <c r="AQ47" s="28">
        <f t="shared" si="16"/>
        <v>0</v>
      </c>
      <c r="AR47" s="29">
        <f t="shared" si="17"/>
        <v>1.1770108100917359E-3</v>
      </c>
      <c r="AT47" s="12"/>
      <c r="AU47">
        <f t="shared" si="10"/>
        <v>0</v>
      </c>
      <c r="AV47">
        <f t="shared" si="11"/>
        <v>1</v>
      </c>
      <c r="AW47">
        <f t="shared" si="18"/>
        <v>0</v>
      </c>
      <c r="AX47">
        <f t="shared" si="5"/>
        <v>1</v>
      </c>
      <c r="AY47">
        <f t="shared" si="19"/>
        <v>0</v>
      </c>
      <c r="AZ47" s="28">
        <f t="shared" si="12"/>
        <v>0</v>
      </c>
      <c r="BA47" s="28">
        <f t="shared" si="13"/>
        <v>0</v>
      </c>
      <c r="BB47" s="28">
        <f t="shared" si="20"/>
        <v>0</v>
      </c>
      <c r="BC47" s="29">
        <f t="shared" si="21"/>
        <v>1.54798792521498E-3</v>
      </c>
      <c r="BE47" s="29">
        <f t="shared" si="22"/>
        <v>0</v>
      </c>
      <c r="BF47" s="29">
        <f t="shared" si="23"/>
        <v>2.7249987353067159E-3</v>
      </c>
      <c r="BH47" s="29"/>
    </row>
    <row r="48" spans="1:124" x14ac:dyDescent="0.25">
      <c r="A48" s="1">
        <v>46092</v>
      </c>
      <c r="B48" s="33">
        <v>25.42</v>
      </c>
      <c r="C48" s="33">
        <v>25.39</v>
      </c>
      <c r="D48" s="15">
        <v>-3.1421864030723901E-3</v>
      </c>
      <c r="E48" s="15">
        <v>-2.7531974126733701E-3</v>
      </c>
      <c r="F48" s="33">
        <v>0</v>
      </c>
      <c r="G48" s="33">
        <v>0.26400000000000001</v>
      </c>
      <c r="H48" s="33">
        <v>0</v>
      </c>
      <c r="I48" s="33">
        <v>0.25530199999999997</v>
      </c>
      <c r="J48" s="33">
        <v>0.26400000000000001</v>
      </c>
      <c r="K48" s="33">
        <v>0.25530199999999997</v>
      </c>
      <c r="L48" s="33">
        <v>25.684000000000001</v>
      </c>
      <c r="M48" s="33">
        <v>25.645302000000001</v>
      </c>
      <c r="N48" s="34">
        <v>0.99881982690794602</v>
      </c>
      <c r="O48" s="34">
        <v>1.0011576279691501</v>
      </c>
      <c r="P48" s="34">
        <v>0.99979867708297099</v>
      </c>
      <c r="Q48" s="34">
        <v>0.99984430523511703</v>
      </c>
      <c r="R48" s="33">
        <v>25.449426902975901</v>
      </c>
      <c r="S48" s="33">
        <v>25.4277657307026</v>
      </c>
      <c r="T48" s="33">
        <v>25.414099127621501</v>
      </c>
      <c r="U48" s="15">
        <v>2.3378284792845401E-3</v>
      </c>
      <c r="V48" s="15">
        <v>1.4863202705633299E-3</v>
      </c>
      <c r="W48" s="15">
        <v>9.4870807052670301E-4</v>
      </c>
      <c r="X48" s="34">
        <v>0.99849330322379604</v>
      </c>
      <c r="Y48" s="34">
        <v>0.99838446436414396</v>
      </c>
      <c r="Z48" s="34">
        <v>0.99846403899541103</v>
      </c>
      <c r="AA48" s="34">
        <v>0.99819454404566099</v>
      </c>
      <c r="AB48" s="33">
        <v>25.642506582728601</v>
      </c>
      <c r="AC48" s="33">
        <v>25.644623128697301</v>
      </c>
      <c r="AD48" s="33">
        <v>25.635440228924601</v>
      </c>
      <c r="AE48" s="15">
        <v>-1.0900903553201001E-4</v>
      </c>
      <c r="AF48" s="15">
        <v>-2.6471916307693599E-5</v>
      </c>
      <c r="AG48" s="15">
        <v>-3.84618894668736E-4</v>
      </c>
      <c r="AI48" s="12"/>
      <c r="AJ48">
        <f t="shared" si="6"/>
        <v>0</v>
      </c>
      <c r="AK48">
        <f t="shared" si="7"/>
        <v>0</v>
      </c>
      <c r="AL48">
        <f t="shared" si="14"/>
        <v>0</v>
      </c>
      <c r="AM48">
        <f t="shared" si="4"/>
        <v>1</v>
      </c>
      <c r="AN48">
        <f t="shared" si="15"/>
        <v>0</v>
      </c>
      <c r="AO48" s="28">
        <f t="shared" si="8"/>
        <v>0</v>
      </c>
      <c r="AP48" s="28">
        <f t="shared" si="9"/>
        <v>0</v>
      </c>
      <c r="AQ48" s="28">
        <f t="shared" si="16"/>
        <v>0</v>
      </c>
      <c r="AR48" s="29">
        <f t="shared" si="17"/>
        <v>1.1770108100917359E-3</v>
      </c>
      <c r="AT48" s="12"/>
      <c r="AU48">
        <f t="shared" si="10"/>
        <v>0</v>
      </c>
      <c r="AV48">
        <f t="shared" si="11"/>
        <v>1</v>
      </c>
      <c r="AW48">
        <f t="shared" si="18"/>
        <v>0</v>
      </c>
      <c r="AX48">
        <f t="shared" si="5"/>
        <v>1</v>
      </c>
      <c r="AY48">
        <f t="shared" si="19"/>
        <v>0</v>
      </c>
      <c r="AZ48" s="28">
        <f t="shared" si="12"/>
        <v>0</v>
      </c>
      <c r="BA48" s="28">
        <f t="shared" si="13"/>
        <v>0</v>
      </c>
      <c r="BB48" s="28">
        <f t="shared" si="20"/>
        <v>0</v>
      </c>
      <c r="BC48" s="29">
        <f t="shared" si="21"/>
        <v>1.54798792521498E-3</v>
      </c>
      <c r="BE48" s="29">
        <f t="shared" si="22"/>
        <v>0</v>
      </c>
      <c r="BF48" s="29">
        <f t="shared" si="23"/>
        <v>2.7249987353067159E-3</v>
      </c>
      <c r="BH48" s="29"/>
    </row>
    <row r="49" spans="1:60" x14ac:dyDescent="0.25">
      <c r="A49" s="1">
        <v>46093</v>
      </c>
      <c r="B49" s="33">
        <v>25.23</v>
      </c>
      <c r="C49" s="33">
        <v>25.21</v>
      </c>
      <c r="D49" s="15">
        <v>-7.5025031083416904E-3</v>
      </c>
      <c r="E49" s="15">
        <v>-7.1146545167585602E-3</v>
      </c>
      <c r="F49" s="33">
        <v>0</v>
      </c>
      <c r="G49" s="33">
        <v>0.26400000000000001</v>
      </c>
      <c r="H49" s="33">
        <v>0</v>
      </c>
      <c r="I49" s="33">
        <v>0.25530199999999997</v>
      </c>
      <c r="J49" s="33">
        <v>0.26400000000000001</v>
      </c>
      <c r="K49" s="33">
        <v>0.25530199999999997</v>
      </c>
      <c r="L49" s="33">
        <v>25.494</v>
      </c>
      <c r="M49" s="33">
        <v>25.465302000000001</v>
      </c>
      <c r="N49" s="34">
        <v>0.99920729290527099</v>
      </c>
      <c r="O49" s="34">
        <v>1.0011576279691501</v>
      </c>
      <c r="P49" s="34">
        <v>0.99933030131513201</v>
      </c>
      <c r="Q49" s="34">
        <v>0.99997868380149402</v>
      </c>
      <c r="R49" s="33">
        <v>25.259206953661799</v>
      </c>
      <c r="S49" s="33">
        <v>25.2249206228033</v>
      </c>
      <c r="T49" s="33">
        <v>25.226071821082002</v>
      </c>
      <c r="U49" s="15">
        <v>1.9499798877015001E-3</v>
      </c>
      <c r="V49" s="15">
        <v>5.9167826793052195E-4</v>
      </c>
      <c r="W49" s="15">
        <v>6.3731456656712399E-4</v>
      </c>
      <c r="X49" s="34">
        <v>0.99887432337020399</v>
      </c>
      <c r="Y49" s="34">
        <v>0.99838446436414396</v>
      </c>
      <c r="Z49" s="34">
        <v>0.998499422341521</v>
      </c>
      <c r="AA49" s="34">
        <v>0.99833714094035297</v>
      </c>
      <c r="AB49" s="33">
        <v>25.452813534499501</v>
      </c>
      <c r="AC49" s="33">
        <v>25.454842210149</v>
      </c>
      <c r="AD49" s="33">
        <v>25.447971705899999</v>
      </c>
      <c r="AE49" s="15">
        <v>-4.90531341147263E-4</v>
      </c>
      <c r="AF49" s="15">
        <v>-4.1083112235196098E-4</v>
      </c>
      <c r="AG49" s="15">
        <v>-6.8077707473101199E-4</v>
      </c>
      <c r="AI49" s="12"/>
      <c r="AJ49">
        <f t="shared" si="6"/>
        <v>0</v>
      </c>
      <c r="AK49">
        <f t="shared" si="7"/>
        <v>0</v>
      </c>
      <c r="AL49">
        <f t="shared" si="14"/>
        <v>0</v>
      </c>
      <c r="AM49">
        <f t="shared" si="4"/>
        <v>1</v>
      </c>
      <c r="AN49">
        <f t="shared" si="15"/>
        <v>0</v>
      </c>
      <c r="AO49" s="28">
        <f t="shared" si="8"/>
        <v>0</v>
      </c>
      <c r="AP49" s="28">
        <f t="shared" si="9"/>
        <v>0</v>
      </c>
      <c r="AQ49" s="28">
        <f t="shared" si="16"/>
        <v>0</v>
      </c>
      <c r="AR49" s="29">
        <f t="shared" si="17"/>
        <v>1.1770108100917359E-3</v>
      </c>
      <c r="AT49" s="12"/>
      <c r="AU49">
        <f t="shared" si="10"/>
        <v>0</v>
      </c>
      <c r="AV49">
        <f t="shared" si="11"/>
        <v>1</v>
      </c>
      <c r="AW49">
        <f t="shared" si="18"/>
        <v>0</v>
      </c>
      <c r="AX49">
        <f t="shared" si="5"/>
        <v>1</v>
      </c>
      <c r="AY49">
        <f t="shared" si="19"/>
        <v>0</v>
      </c>
      <c r="AZ49" s="28">
        <f t="shared" si="12"/>
        <v>0</v>
      </c>
      <c r="BA49" s="28">
        <f t="shared" si="13"/>
        <v>0</v>
      </c>
      <c r="BB49" s="28">
        <f t="shared" si="20"/>
        <v>0</v>
      </c>
      <c r="BC49" s="29">
        <f t="shared" si="21"/>
        <v>1.54798792521498E-3</v>
      </c>
      <c r="BE49" s="29">
        <f t="shared" si="22"/>
        <v>0</v>
      </c>
      <c r="BF49" s="29">
        <f t="shared" si="23"/>
        <v>2.7249987353067159E-3</v>
      </c>
      <c r="BH49" s="29"/>
    </row>
    <row r="50" spans="1:60" x14ac:dyDescent="0.25">
      <c r="A50" s="1">
        <v>46094</v>
      </c>
      <c r="B50" s="33">
        <v>25.14</v>
      </c>
      <c r="C50" s="33">
        <v>25.14</v>
      </c>
      <c r="D50" s="15">
        <v>-3.5735594908650201E-3</v>
      </c>
      <c r="E50" s="15">
        <v>-2.7805380377270701E-3</v>
      </c>
      <c r="F50" s="33">
        <v>0</v>
      </c>
      <c r="G50" s="33">
        <v>0.26400000000000001</v>
      </c>
      <c r="H50" s="33">
        <v>0</v>
      </c>
      <c r="I50" s="33">
        <v>0.25530199999999997</v>
      </c>
      <c r="J50" s="33">
        <v>0.26400000000000001</v>
      </c>
      <c r="K50" s="33">
        <v>0.25530199999999997</v>
      </c>
      <c r="L50" s="33">
        <v>25.404</v>
      </c>
      <c r="M50" s="33">
        <v>25.395302000000001</v>
      </c>
      <c r="N50" s="34">
        <v>1</v>
      </c>
      <c r="O50" s="34">
        <v>1.0011576279691501</v>
      </c>
      <c r="P50" s="34">
        <v>0.99882367621770496</v>
      </c>
      <c r="Q50" s="34">
        <v>1.0000755079688</v>
      </c>
      <c r="R50" s="33">
        <v>25.169102767144501</v>
      </c>
      <c r="S50" s="33">
        <v>25.123163775062402</v>
      </c>
      <c r="T50" s="33">
        <v>25.139464110769499</v>
      </c>
      <c r="U50" s="15">
        <v>1.1569584345636401E-3</v>
      </c>
      <c r="V50" s="15">
        <v>-6.6992303320103004E-4</v>
      </c>
      <c r="W50" s="15">
        <v>-2.1316425698704701E-5</v>
      </c>
      <c r="X50" s="34">
        <v>0.99965761297433398</v>
      </c>
      <c r="Y50" s="34">
        <v>0.99838446436414396</v>
      </c>
      <c r="Z50" s="34">
        <v>0.99849764005000297</v>
      </c>
      <c r="AA50" s="34">
        <v>0.99844216419856902</v>
      </c>
      <c r="AB50" s="33">
        <v>25.3629589327067</v>
      </c>
      <c r="AC50" s="33">
        <v>25.365879325163998</v>
      </c>
      <c r="AD50" s="33">
        <v>25.3617567284487</v>
      </c>
      <c r="AE50" s="15">
        <v>-1.27439636726244E-3</v>
      </c>
      <c r="AF50" s="15">
        <v>-1.15925899921658E-3</v>
      </c>
      <c r="AG50" s="15">
        <v>-1.32179749085871E-3</v>
      </c>
      <c r="AI50" s="12"/>
      <c r="AJ50">
        <f t="shared" si="6"/>
        <v>1</v>
      </c>
      <c r="AK50">
        <f t="shared" si="7"/>
        <v>0</v>
      </c>
      <c r="AL50">
        <f t="shared" si="14"/>
        <v>0</v>
      </c>
      <c r="AM50">
        <f t="shared" si="4"/>
        <v>1</v>
      </c>
      <c r="AN50">
        <f t="shared" si="15"/>
        <v>0</v>
      </c>
      <c r="AO50" s="28">
        <f t="shared" si="8"/>
        <v>0</v>
      </c>
      <c r="AP50" s="28">
        <f t="shared" si="9"/>
        <v>0</v>
      </c>
      <c r="AQ50" s="28">
        <f t="shared" si="16"/>
        <v>0</v>
      </c>
      <c r="AR50" s="29">
        <f t="shared" si="17"/>
        <v>1.1770108100917359E-3</v>
      </c>
      <c r="AT50" s="12"/>
      <c r="AU50">
        <f t="shared" si="10"/>
        <v>0</v>
      </c>
      <c r="AV50">
        <f t="shared" si="11"/>
        <v>1</v>
      </c>
      <c r="AW50">
        <f t="shared" si="18"/>
        <v>0</v>
      </c>
      <c r="AX50">
        <f t="shared" si="5"/>
        <v>1</v>
      </c>
      <c r="AY50">
        <f t="shared" si="19"/>
        <v>0</v>
      </c>
      <c r="AZ50" s="28">
        <f t="shared" si="12"/>
        <v>0</v>
      </c>
      <c r="BA50" s="28">
        <f t="shared" si="13"/>
        <v>0</v>
      </c>
      <c r="BB50" s="28">
        <f t="shared" si="20"/>
        <v>0</v>
      </c>
      <c r="BC50" s="29">
        <f t="shared" si="21"/>
        <v>1.54798792521498E-3</v>
      </c>
      <c r="BE50" s="29">
        <f t="shared" si="22"/>
        <v>0</v>
      </c>
      <c r="BF50" s="29">
        <f t="shared" si="23"/>
        <v>2.7249987353067159E-3</v>
      </c>
      <c r="BH50" s="29"/>
    </row>
    <row r="51" spans="1:60" x14ac:dyDescent="0.25">
      <c r="A51" s="1">
        <v>46097</v>
      </c>
      <c r="B51" s="33">
        <v>25.25</v>
      </c>
      <c r="C51" s="33">
        <v>25.21</v>
      </c>
      <c r="D51" s="15">
        <v>4.3659525592674997E-3</v>
      </c>
      <c r="E51" s="15">
        <v>2.78053803772709E-3</v>
      </c>
      <c r="F51" s="33">
        <v>0</v>
      </c>
      <c r="G51" s="33">
        <v>0.26400000000000001</v>
      </c>
      <c r="H51" s="33">
        <v>0</v>
      </c>
      <c r="I51" s="33">
        <v>0.25530199999999997</v>
      </c>
      <c r="J51" s="33">
        <v>0.26400000000000001</v>
      </c>
      <c r="K51" s="33">
        <v>0.25530199999999997</v>
      </c>
      <c r="L51" s="33">
        <v>25.513999999999999</v>
      </c>
      <c r="M51" s="33">
        <v>25.465302000000001</v>
      </c>
      <c r="N51" s="34">
        <v>0.99841584158415797</v>
      </c>
      <c r="O51" s="34">
        <v>1.0011576279691501</v>
      </c>
      <c r="P51" s="34">
        <v>0.99878221944044798</v>
      </c>
      <c r="Q51" s="34">
        <v>1.00011248904878</v>
      </c>
      <c r="R51" s="33">
        <v>25.2792301062211</v>
      </c>
      <c r="S51" s="33">
        <v>25.220297824496999</v>
      </c>
      <c r="T51" s="33">
        <v>25.251906576212299</v>
      </c>
      <c r="U51" s="15">
        <v>2.7423729561038899E-3</v>
      </c>
      <c r="V51" s="15">
        <v>4.0839832737128798E-4</v>
      </c>
      <c r="W51" s="15">
        <v>1.66091963976396E-3</v>
      </c>
      <c r="X51" s="34">
        <v>0.998091322411225</v>
      </c>
      <c r="Y51" s="34">
        <v>0.99838446436414396</v>
      </c>
      <c r="Z51" s="34">
        <v>0.99845610469831803</v>
      </c>
      <c r="AA51" s="34">
        <v>0.99848813407120096</v>
      </c>
      <c r="AB51" s="33">
        <v>25.472781223786701</v>
      </c>
      <c r="AC51" s="33">
        <v>25.475668788235701</v>
      </c>
      <c r="AD51" s="33">
        <v>25.474253377362299</v>
      </c>
      <c r="AE51" s="15">
        <v>2.93659414221537E-4</v>
      </c>
      <c r="AF51" s="15">
        <v>4.0701181066947598E-4</v>
      </c>
      <c r="AG51" s="15">
        <v>3.5145094565993301E-4</v>
      </c>
      <c r="AI51" s="12"/>
      <c r="AJ51">
        <f t="shared" si="6"/>
        <v>0</v>
      </c>
      <c r="AK51">
        <f t="shared" si="7"/>
        <v>1</v>
      </c>
      <c r="AL51">
        <f t="shared" si="14"/>
        <v>1</v>
      </c>
      <c r="AM51">
        <f t="shared" si="4"/>
        <v>1</v>
      </c>
      <c r="AN51">
        <f t="shared" si="15"/>
        <v>1</v>
      </c>
      <c r="AO51" s="28">
        <f t="shared" si="8"/>
        <v>4.3659525592674997E-3</v>
      </c>
      <c r="AP51" s="28">
        <f t="shared" si="9"/>
        <v>-2.78053803772709E-3</v>
      </c>
      <c r="AQ51" s="28">
        <f t="shared" si="16"/>
        <v>1.5854145215404097E-3</v>
      </c>
      <c r="AR51" s="29">
        <f t="shared" si="17"/>
        <v>2.7624253316321456E-3</v>
      </c>
      <c r="AT51" s="12"/>
      <c r="AU51">
        <f t="shared" si="10"/>
        <v>0</v>
      </c>
      <c r="AV51">
        <f t="shared" si="11"/>
        <v>0</v>
      </c>
      <c r="AW51">
        <f t="shared" si="18"/>
        <v>0</v>
      </c>
      <c r="AX51">
        <f t="shared" si="5"/>
        <v>1</v>
      </c>
      <c r="AY51">
        <f t="shared" si="19"/>
        <v>0</v>
      </c>
      <c r="AZ51" s="28">
        <f t="shared" si="12"/>
        <v>0</v>
      </c>
      <c r="BA51" s="28">
        <f t="shared" si="13"/>
        <v>0</v>
      </c>
      <c r="BB51" s="28">
        <f t="shared" si="20"/>
        <v>0</v>
      </c>
      <c r="BC51" s="29">
        <f t="shared" si="21"/>
        <v>1.54798792521498E-3</v>
      </c>
      <c r="BE51" s="29">
        <f t="shared" si="22"/>
        <v>1.5854145215404097E-3</v>
      </c>
      <c r="BF51" s="29">
        <f t="shared" si="23"/>
        <v>4.310413256847126E-3</v>
      </c>
      <c r="BH51" s="29"/>
    </row>
    <row r="52" spans="1:60" x14ac:dyDescent="0.25">
      <c r="A52" s="1">
        <v>46098</v>
      </c>
      <c r="B52" s="33">
        <v>25.37</v>
      </c>
      <c r="C52" s="33">
        <v>25.31</v>
      </c>
      <c r="D52" s="15">
        <v>4.7412178898216702E-3</v>
      </c>
      <c r="E52" s="15">
        <v>3.9588333572041102E-3</v>
      </c>
      <c r="F52" s="33">
        <v>0</v>
      </c>
      <c r="G52" s="33">
        <v>0.26400000000000001</v>
      </c>
      <c r="H52" s="33">
        <v>0</v>
      </c>
      <c r="I52" s="33">
        <v>0.25530199999999997</v>
      </c>
      <c r="J52" s="33">
        <v>0.26400000000000001</v>
      </c>
      <c r="K52" s="33">
        <v>0.25530199999999997</v>
      </c>
      <c r="L52" s="33">
        <v>25.634</v>
      </c>
      <c r="M52" s="33">
        <v>25.565301999999999</v>
      </c>
      <c r="N52" s="34">
        <v>0.99763500197083099</v>
      </c>
      <c r="O52" s="34">
        <v>1.0011576279691501</v>
      </c>
      <c r="P52" s="34">
        <v>0.99874110846129005</v>
      </c>
      <c r="Q52" s="34">
        <v>1.00003298381993</v>
      </c>
      <c r="R52" s="33">
        <v>25.3993690215774</v>
      </c>
      <c r="S52" s="33">
        <v>25.339104907204099</v>
      </c>
      <c r="T52" s="33">
        <v>25.372853847167701</v>
      </c>
      <c r="U52" s="15">
        <v>3.5247574887214898E-3</v>
      </c>
      <c r="V52" s="15">
        <v>1.1492763973248699E-3</v>
      </c>
      <c r="W52" s="15">
        <v>2.4802817765285502E-3</v>
      </c>
      <c r="X52" s="34">
        <v>0.99732004369197103</v>
      </c>
      <c r="Y52" s="34">
        <v>0.99838446436414396</v>
      </c>
      <c r="Z52" s="34">
        <v>0.99841514550288302</v>
      </c>
      <c r="AA52" s="34">
        <v>0.99841852023976796</v>
      </c>
      <c r="AB52" s="33">
        <v>25.5925873595104</v>
      </c>
      <c r="AC52" s="33">
        <v>25.5944237878367</v>
      </c>
      <c r="AD52" s="33">
        <v>25.595244828781102</v>
      </c>
      <c r="AE52" s="15">
        <v>1.06671179907426E-3</v>
      </c>
      <c r="AF52" s="15">
        <v>1.1384654836845501E-3</v>
      </c>
      <c r="AG52" s="15">
        <v>1.170543868512E-3</v>
      </c>
      <c r="AI52" s="12"/>
      <c r="AJ52">
        <f t="shared" si="6"/>
        <v>0</v>
      </c>
      <c r="AK52">
        <f t="shared" si="7"/>
        <v>1</v>
      </c>
      <c r="AL52">
        <f t="shared" si="14"/>
        <v>0</v>
      </c>
      <c r="AM52">
        <f t="shared" si="4"/>
        <v>1</v>
      </c>
      <c r="AN52">
        <f t="shared" si="15"/>
        <v>0</v>
      </c>
      <c r="AO52" s="28">
        <f t="shared" si="8"/>
        <v>0</v>
      </c>
      <c r="AP52" s="28">
        <f t="shared" si="9"/>
        <v>0</v>
      </c>
      <c r="AQ52" s="28">
        <f t="shared" si="16"/>
        <v>0</v>
      </c>
      <c r="AR52" s="29">
        <f t="shared" si="17"/>
        <v>2.7624253316321456E-3</v>
      </c>
      <c r="AT52" s="12"/>
      <c r="AU52">
        <f t="shared" si="10"/>
        <v>1</v>
      </c>
      <c r="AV52">
        <f t="shared" si="11"/>
        <v>0</v>
      </c>
      <c r="AW52">
        <f t="shared" si="18"/>
        <v>0</v>
      </c>
      <c r="AX52">
        <f t="shared" si="5"/>
        <v>1</v>
      </c>
      <c r="AY52">
        <f t="shared" si="19"/>
        <v>0</v>
      </c>
      <c r="AZ52" s="28">
        <f t="shared" si="12"/>
        <v>0</v>
      </c>
      <c r="BA52" s="28">
        <f t="shared" si="13"/>
        <v>0</v>
      </c>
      <c r="BB52" s="28">
        <f t="shared" si="20"/>
        <v>0</v>
      </c>
      <c r="BC52" s="29">
        <f t="shared" si="21"/>
        <v>1.54798792521498E-3</v>
      </c>
      <c r="BE52" s="29">
        <f t="shared" si="22"/>
        <v>0</v>
      </c>
      <c r="BF52" s="29">
        <f t="shared" si="23"/>
        <v>4.310413256847126E-3</v>
      </c>
      <c r="BH52" s="29"/>
    </row>
    <row r="53" spans="1:60" x14ac:dyDescent="0.25">
      <c r="A53" s="1">
        <v>46099</v>
      </c>
      <c r="B53" s="33">
        <v>25.24</v>
      </c>
      <c r="C53" s="33">
        <v>25.19</v>
      </c>
      <c r="D53" s="15">
        <v>-5.1373359381782198E-3</v>
      </c>
      <c r="E53" s="15">
        <v>-4.7524841925137397E-3</v>
      </c>
      <c r="F53" s="33">
        <v>0</v>
      </c>
      <c r="G53" s="33">
        <v>0.26400000000000001</v>
      </c>
      <c r="H53" s="33">
        <v>0</v>
      </c>
      <c r="I53" s="33">
        <v>0.25530199999999997</v>
      </c>
      <c r="J53" s="33">
        <v>0.26400000000000001</v>
      </c>
      <c r="K53" s="33">
        <v>0.25530199999999997</v>
      </c>
      <c r="L53" s="33">
        <v>25.503999999999898</v>
      </c>
      <c r="M53" s="33">
        <v>25.445302000000002</v>
      </c>
      <c r="N53" s="34">
        <v>0.99801901743264598</v>
      </c>
      <c r="O53" s="34">
        <v>1.0011576279691501</v>
      </c>
      <c r="P53" s="34">
        <v>0.99862101332468001</v>
      </c>
      <c r="Q53" s="34">
        <v>1.0000112742120599</v>
      </c>
      <c r="R53" s="33">
        <v>25.269218529941501</v>
      </c>
      <c r="S53" s="33">
        <v>25.208225577562899</v>
      </c>
      <c r="T53" s="33">
        <v>25.240832511615199</v>
      </c>
      <c r="U53" s="15">
        <v>3.1399057430572101E-3</v>
      </c>
      <c r="V53" s="15">
        <v>7.2326270016850999E-4</v>
      </c>
      <c r="W53" s="15">
        <v>2.0159305844778099E-3</v>
      </c>
      <c r="X53" s="34">
        <v>0.99769847867001205</v>
      </c>
      <c r="Y53" s="34">
        <v>0.99838446436414396</v>
      </c>
      <c r="Z53" s="34">
        <v>0.99829577934888403</v>
      </c>
      <c r="AA53" s="34">
        <v>0.99840616735492904</v>
      </c>
      <c r="AB53" s="33">
        <v>25.462797379143101</v>
      </c>
      <c r="AC53" s="33">
        <v>25.463579870905502</v>
      </c>
      <c r="AD53" s="33">
        <v>25.463665940195</v>
      </c>
      <c r="AE53" s="15">
        <v>6.8733188020298299E-4</v>
      </c>
      <c r="AF53" s="15">
        <v>7.1806219343985105E-4</v>
      </c>
      <c r="AG53" s="15">
        <v>7.2144228156920402E-4</v>
      </c>
      <c r="AI53" s="12"/>
      <c r="AJ53">
        <f t="shared" si="6"/>
        <v>0</v>
      </c>
      <c r="AK53">
        <f t="shared" si="7"/>
        <v>1</v>
      </c>
      <c r="AL53">
        <f t="shared" si="14"/>
        <v>0</v>
      </c>
      <c r="AM53">
        <f t="shared" si="4"/>
        <v>1</v>
      </c>
      <c r="AN53">
        <f t="shared" si="15"/>
        <v>0</v>
      </c>
      <c r="AO53" s="28">
        <f t="shared" si="8"/>
        <v>0</v>
      </c>
      <c r="AP53" s="28">
        <f t="shared" si="9"/>
        <v>0</v>
      </c>
      <c r="AQ53" s="28">
        <f t="shared" si="16"/>
        <v>0</v>
      </c>
      <c r="AR53" s="29">
        <f t="shared" si="17"/>
        <v>2.7624253316321456E-3</v>
      </c>
      <c r="AT53" s="12"/>
      <c r="AU53">
        <f t="shared" si="10"/>
        <v>0</v>
      </c>
      <c r="AV53">
        <f t="shared" si="11"/>
        <v>0</v>
      </c>
      <c r="AW53">
        <f t="shared" si="18"/>
        <v>1</v>
      </c>
      <c r="AX53">
        <f t="shared" si="5"/>
        <v>1</v>
      </c>
      <c r="AY53">
        <f t="shared" si="19"/>
        <v>1</v>
      </c>
      <c r="AZ53" s="28">
        <f t="shared" si="12"/>
        <v>5.1373359381782198E-3</v>
      </c>
      <c r="BA53" s="28">
        <f t="shared" si="13"/>
        <v>-4.7524841925137397E-3</v>
      </c>
      <c r="BB53" s="28">
        <f t="shared" si="20"/>
        <v>3.848517456644801E-4</v>
      </c>
      <c r="BC53" s="29">
        <f t="shared" si="21"/>
        <v>1.9328396708794601E-3</v>
      </c>
      <c r="BE53" s="29">
        <f t="shared" si="22"/>
        <v>3.848517456644801E-4</v>
      </c>
      <c r="BF53" s="29">
        <f t="shared" si="23"/>
        <v>4.6952650025116061E-3</v>
      </c>
      <c r="BH53" s="29"/>
    </row>
    <row r="54" spans="1:60" x14ac:dyDescent="0.25">
      <c r="A54" s="1">
        <v>46100</v>
      </c>
      <c r="B54" s="33">
        <v>25.28</v>
      </c>
      <c r="C54" s="33">
        <v>25.26</v>
      </c>
      <c r="D54" s="15">
        <v>1.58353160564444E-3</v>
      </c>
      <c r="E54" s="15">
        <v>2.7750265578262E-3</v>
      </c>
      <c r="F54" s="33">
        <v>0</v>
      </c>
      <c r="G54" s="33">
        <v>0.26400000000000001</v>
      </c>
      <c r="H54" s="33">
        <v>0</v>
      </c>
      <c r="I54" s="33">
        <v>0.25530199999999997</v>
      </c>
      <c r="J54" s="33">
        <v>0.26400000000000001</v>
      </c>
      <c r="K54" s="33">
        <v>0.25530199999999997</v>
      </c>
      <c r="L54" s="33">
        <v>25.544</v>
      </c>
      <c r="M54" s="33">
        <v>25.515301999999998</v>
      </c>
      <c r="N54" s="34">
        <v>0.999208860759493</v>
      </c>
      <c r="O54" s="34">
        <v>1.0011576279691501</v>
      </c>
      <c r="P54" s="34">
        <v>0.99865940821378996</v>
      </c>
      <c r="Q54" s="34">
        <v>1.00002974432934</v>
      </c>
      <c r="R54" s="33">
        <v>25.309264835060201</v>
      </c>
      <c r="S54" s="33">
        <v>25.2451392168479</v>
      </c>
      <c r="T54" s="33">
        <v>25.280285012080999</v>
      </c>
      <c r="U54" s="15">
        <v>1.9484107908753301E-3</v>
      </c>
      <c r="V54" s="15">
        <v>-5.8848599613443798E-4</v>
      </c>
      <c r="W54" s="15">
        <v>8.0272650482383597E-4</v>
      </c>
      <c r="X54" s="34">
        <v>0.99887652677732497</v>
      </c>
      <c r="Y54" s="34">
        <v>0.99838446436414396</v>
      </c>
      <c r="Z54" s="34">
        <v>0.99833345916471095</v>
      </c>
      <c r="AA54" s="34">
        <v>0.99843351749232601</v>
      </c>
      <c r="AB54" s="33">
        <v>25.502732757717698</v>
      </c>
      <c r="AC54" s="33">
        <v>25.500467387687898</v>
      </c>
      <c r="AD54" s="33">
        <v>25.503287138914299</v>
      </c>
      <c r="AE54" s="15">
        <v>-4.9273722895394503E-4</v>
      </c>
      <c r="AF54" s="15">
        <v>-5.8156969534201898E-4</v>
      </c>
      <c r="AG54" s="15">
        <v>-4.7099935574755202E-4</v>
      </c>
      <c r="AI54" s="12"/>
      <c r="AJ54">
        <f t="shared" si="6"/>
        <v>0</v>
      </c>
      <c r="AK54">
        <f t="shared" si="7"/>
        <v>0</v>
      </c>
      <c r="AL54">
        <f t="shared" si="14"/>
        <v>0</v>
      </c>
      <c r="AM54">
        <f t="shared" si="4"/>
        <v>1</v>
      </c>
      <c r="AN54">
        <f t="shared" si="15"/>
        <v>0</v>
      </c>
      <c r="AO54" s="28">
        <f t="shared" si="8"/>
        <v>0</v>
      </c>
      <c r="AP54" s="28">
        <f t="shared" si="9"/>
        <v>0</v>
      </c>
      <c r="AQ54" s="28">
        <f t="shared" si="16"/>
        <v>0</v>
      </c>
      <c r="AR54" s="29">
        <f t="shared" si="17"/>
        <v>2.7624253316321456E-3</v>
      </c>
      <c r="AT54" s="12"/>
      <c r="AU54">
        <f t="shared" si="10"/>
        <v>0</v>
      </c>
      <c r="AV54">
        <f t="shared" si="11"/>
        <v>1</v>
      </c>
      <c r="AW54">
        <f t="shared" si="18"/>
        <v>1</v>
      </c>
      <c r="AX54">
        <f t="shared" si="5"/>
        <v>1</v>
      </c>
      <c r="AY54">
        <f t="shared" si="19"/>
        <v>1</v>
      </c>
      <c r="AZ54" s="28">
        <f t="shared" si="12"/>
        <v>-1.58353160564444E-3</v>
      </c>
      <c r="BA54" s="28">
        <f t="shared" si="13"/>
        <v>2.7750265578262E-3</v>
      </c>
      <c r="BB54" s="28">
        <f t="shared" si="20"/>
        <v>1.1914949521817601E-3</v>
      </c>
      <c r="BC54" s="29">
        <f t="shared" si="21"/>
        <v>3.1243346230612201E-3</v>
      </c>
      <c r="BE54" s="29">
        <f t="shared" si="22"/>
        <v>1.1914949521817601E-3</v>
      </c>
      <c r="BF54" s="29">
        <f t="shared" si="23"/>
        <v>5.8867599546933661E-3</v>
      </c>
      <c r="BH54" s="29"/>
    </row>
    <row r="55" spans="1:60" x14ac:dyDescent="0.25">
      <c r="A55" s="1">
        <v>46101</v>
      </c>
      <c r="B55" s="33">
        <v>25.08</v>
      </c>
      <c r="C55" s="33">
        <v>25.05</v>
      </c>
      <c r="D55" s="15">
        <v>-7.9428535139368806E-3</v>
      </c>
      <c r="E55" s="15">
        <v>-8.3482893914712704E-3</v>
      </c>
      <c r="F55" s="33">
        <v>0</v>
      </c>
      <c r="G55" s="33">
        <v>0.26400000000000001</v>
      </c>
      <c r="H55" s="33">
        <v>0</v>
      </c>
      <c r="I55" s="33">
        <v>0.25530199999999997</v>
      </c>
      <c r="J55" s="33">
        <v>0.26400000000000001</v>
      </c>
      <c r="K55" s="33">
        <v>0.25530199999999997</v>
      </c>
      <c r="L55" s="33">
        <v>25.343999999999902</v>
      </c>
      <c r="M55" s="33">
        <v>25.305302000000001</v>
      </c>
      <c r="N55" s="34">
        <v>0.99880382775119603</v>
      </c>
      <c r="O55" s="34">
        <v>1.0011576279691501</v>
      </c>
      <c r="P55" s="34">
        <v>0.99873664138260998</v>
      </c>
      <c r="Q55" s="34">
        <v>1.0000471856203399</v>
      </c>
      <c r="R55" s="33">
        <v>25.109033309466401</v>
      </c>
      <c r="S55" s="33">
        <v>25.046377958001798</v>
      </c>
      <c r="T55" s="33">
        <v>25.080745987779899</v>
      </c>
      <c r="U55" s="15">
        <v>2.3538466684097001E-3</v>
      </c>
      <c r="V55" s="15">
        <v>-1.4460294943805001E-4</v>
      </c>
      <c r="W55" s="15">
        <v>1.22663212083623E-3</v>
      </c>
      <c r="X55" s="34">
        <v>0.99847309027777698</v>
      </c>
      <c r="Y55" s="34">
        <v>0.99838446436414396</v>
      </c>
      <c r="Z55" s="34">
        <v>0.99840948546181496</v>
      </c>
      <c r="AA55" s="34">
        <v>0.99845977679318298</v>
      </c>
      <c r="AB55" s="33">
        <v>25.303055864844801</v>
      </c>
      <c r="AC55" s="33">
        <v>25.3017631890704</v>
      </c>
      <c r="AD55" s="33">
        <v>25.304299067325498</v>
      </c>
      <c r="AE55" s="15">
        <v>-8.8765383875785903E-5</v>
      </c>
      <c r="AF55" s="15">
        <v>-1.3985442238609899E-4</v>
      </c>
      <c r="AG55" s="15">
        <v>-3.9634087345642302E-5</v>
      </c>
      <c r="AI55" s="12"/>
      <c r="AJ55">
        <f t="shared" si="6"/>
        <v>0</v>
      </c>
      <c r="AK55">
        <f t="shared" si="7"/>
        <v>1</v>
      </c>
      <c r="AL55">
        <f t="shared" si="14"/>
        <v>0</v>
      </c>
      <c r="AM55">
        <f t="shared" si="4"/>
        <v>0</v>
      </c>
      <c r="AN55">
        <f t="shared" si="15"/>
        <v>0</v>
      </c>
      <c r="AO55" s="28">
        <f t="shared" si="8"/>
        <v>0</v>
      </c>
      <c r="AP55" s="28">
        <f t="shared" si="9"/>
        <v>0</v>
      </c>
      <c r="AQ55" s="28">
        <f t="shared" si="16"/>
        <v>0</v>
      </c>
      <c r="AR55" s="29">
        <f t="shared" si="17"/>
        <v>2.7624253316321456E-3</v>
      </c>
      <c r="AT55" s="12"/>
      <c r="AU55">
        <f t="shared" si="10"/>
        <v>0</v>
      </c>
      <c r="AV55">
        <f t="shared" si="11"/>
        <v>1</v>
      </c>
      <c r="AW55">
        <f t="shared" si="18"/>
        <v>0</v>
      </c>
      <c r="AX55">
        <f t="shared" si="5"/>
        <v>0</v>
      </c>
      <c r="AY55">
        <f t="shared" si="19"/>
        <v>0</v>
      </c>
      <c r="AZ55" s="28">
        <f t="shared" si="12"/>
        <v>0</v>
      </c>
      <c r="BA55" s="28">
        <f t="shared" si="13"/>
        <v>0</v>
      </c>
      <c r="BB55" s="28">
        <f t="shared" si="20"/>
        <v>0</v>
      </c>
      <c r="BC55" s="29">
        <f t="shared" si="21"/>
        <v>3.1243346230612201E-3</v>
      </c>
      <c r="BE55" s="29">
        <f t="shared" si="22"/>
        <v>0</v>
      </c>
      <c r="BF55" s="29">
        <f t="shared" si="23"/>
        <v>5.8867599546933661E-3</v>
      </c>
      <c r="BH55" s="29"/>
    </row>
    <row r="56" spans="1:60" x14ac:dyDescent="0.25">
      <c r="A56" s="1">
        <v>46104</v>
      </c>
      <c r="B56" s="33">
        <v>25.12</v>
      </c>
      <c r="C56" s="33">
        <v>25.19</v>
      </c>
      <c r="D56" s="15">
        <v>1.5936258352780199E-3</v>
      </c>
      <c r="E56" s="15">
        <v>5.5732628336449402E-3</v>
      </c>
      <c r="F56" s="33">
        <v>0.129</v>
      </c>
      <c r="G56" s="33">
        <v>0.39300000000000002</v>
      </c>
      <c r="H56" s="33">
        <v>0</v>
      </c>
      <c r="I56" s="33">
        <v>0.25530199999999997</v>
      </c>
      <c r="J56" s="33">
        <v>0.39300000000000002</v>
      </c>
      <c r="K56" s="33">
        <v>0.25530199999999997</v>
      </c>
      <c r="L56" s="33">
        <v>25.513000000000002</v>
      </c>
      <c r="M56" s="33">
        <v>25.445302000000002</v>
      </c>
      <c r="N56" s="34">
        <v>1.0027866242038199</v>
      </c>
      <c r="O56" s="34">
        <v>1.0011576279691501</v>
      </c>
      <c r="P56" s="34">
        <v>0.99913276660643802</v>
      </c>
      <c r="Q56" s="34">
        <v>0.99997259228755297</v>
      </c>
      <c r="R56" s="33">
        <v>25.149079614585201</v>
      </c>
      <c r="S56" s="33">
        <v>25.088264431531101</v>
      </c>
      <c r="T56" s="33">
        <v>25.121185302782902</v>
      </c>
      <c r="U56" s="15">
        <v>-1.6257903299572601E-3</v>
      </c>
      <c r="V56" s="15">
        <v>-4.0469060921839899E-3</v>
      </c>
      <c r="W56" s="15">
        <v>-2.73556425738578E-3</v>
      </c>
      <c r="X56" s="34">
        <v>0.99734652922039702</v>
      </c>
      <c r="Y56" s="34">
        <v>0.99838446436414396</v>
      </c>
      <c r="Z56" s="34">
        <v>0.99829410738090896</v>
      </c>
      <c r="AA56" s="34">
        <v>0.9983818002589</v>
      </c>
      <c r="AB56" s="33">
        <v>25.471782839322401</v>
      </c>
      <c r="AC56" s="33">
        <v>25.472421202587199</v>
      </c>
      <c r="AD56" s="33">
        <v>25.473704285324398</v>
      </c>
      <c r="AE56" s="15">
        <v>1.04015545247756E-3</v>
      </c>
      <c r="AF56" s="15">
        <v>1.0652167239965601E-3</v>
      </c>
      <c r="AG56" s="15">
        <v>1.11558690328595E-3</v>
      </c>
      <c r="AI56" s="12"/>
      <c r="AJ56">
        <f t="shared" si="6"/>
        <v>0</v>
      </c>
      <c r="AK56">
        <f t="shared" si="7"/>
        <v>1</v>
      </c>
      <c r="AL56">
        <f t="shared" si="14"/>
        <v>0</v>
      </c>
      <c r="AM56">
        <f t="shared" si="4"/>
        <v>1</v>
      </c>
      <c r="AN56">
        <f t="shared" si="15"/>
        <v>0</v>
      </c>
      <c r="AO56" s="28">
        <f t="shared" si="8"/>
        <v>0</v>
      </c>
      <c r="AP56" s="28">
        <f t="shared" si="9"/>
        <v>0</v>
      </c>
      <c r="AQ56" s="28">
        <f t="shared" si="16"/>
        <v>0</v>
      </c>
      <c r="AR56" s="29">
        <f t="shared" si="17"/>
        <v>2.7624253316321456E-3</v>
      </c>
      <c r="AT56" s="12"/>
      <c r="AU56">
        <f t="shared" si="10"/>
        <v>1</v>
      </c>
      <c r="AV56">
        <f t="shared" si="11"/>
        <v>0</v>
      </c>
      <c r="AW56">
        <f t="shared" si="18"/>
        <v>0</v>
      </c>
      <c r="AX56">
        <f t="shared" si="5"/>
        <v>1</v>
      </c>
      <c r="AY56">
        <f t="shared" si="19"/>
        <v>0</v>
      </c>
      <c r="AZ56" s="28">
        <f t="shared" si="12"/>
        <v>0</v>
      </c>
      <c r="BA56" s="28">
        <f t="shared" si="13"/>
        <v>0</v>
      </c>
      <c r="BB56" s="28">
        <f t="shared" si="20"/>
        <v>0</v>
      </c>
      <c r="BC56" s="29">
        <f t="shared" si="21"/>
        <v>3.1243346230612201E-3</v>
      </c>
      <c r="BE56" s="29">
        <f t="shared" si="22"/>
        <v>0</v>
      </c>
      <c r="BF56" s="29">
        <f t="shared" si="23"/>
        <v>5.8867599546933661E-3</v>
      </c>
      <c r="BH56" s="29"/>
    </row>
    <row r="57" spans="1:60" x14ac:dyDescent="0.25">
      <c r="A57" s="1">
        <v>46105</v>
      </c>
      <c r="B57" s="33">
        <v>25.02</v>
      </c>
      <c r="C57" s="33">
        <v>25.11</v>
      </c>
      <c r="D57" s="15">
        <v>-3.98883656123287E-3</v>
      </c>
      <c r="E57" s="15">
        <v>-3.18091719502524E-3</v>
      </c>
      <c r="F57" s="33">
        <v>0</v>
      </c>
      <c r="G57" s="33">
        <v>0.39300000000000002</v>
      </c>
      <c r="H57" s="33">
        <v>0</v>
      </c>
      <c r="I57" s="33">
        <v>0.25530199999999997</v>
      </c>
      <c r="J57" s="33">
        <v>0.39300000000000002</v>
      </c>
      <c r="K57" s="33">
        <v>0.25530199999999997</v>
      </c>
      <c r="L57" s="33">
        <v>25.413</v>
      </c>
      <c r="M57" s="33">
        <v>25.365302</v>
      </c>
      <c r="N57" s="34">
        <v>1.00359712230215</v>
      </c>
      <c r="O57" s="34">
        <v>1.0011576279691501</v>
      </c>
      <c r="P57" s="34">
        <v>0.999649341581752</v>
      </c>
      <c r="Q57" s="34">
        <v>0.99997741923113204</v>
      </c>
      <c r="R57" s="33">
        <v>25.048963851788201</v>
      </c>
      <c r="S57" s="33">
        <v>24.998301820493001</v>
      </c>
      <c r="T57" s="33">
        <v>25.019314259034498</v>
      </c>
      <c r="U57" s="15">
        <v>-2.4337096961648702E-3</v>
      </c>
      <c r="V57" s="15">
        <v>-4.4582777887244903E-3</v>
      </c>
      <c r="W57" s="15">
        <v>-3.6180762187735999E-3</v>
      </c>
      <c r="X57" s="34">
        <v>0.998123086609215</v>
      </c>
      <c r="Y57" s="34">
        <v>0.99838446436414396</v>
      </c>
      <c r="Z57" s="34">
        <v>0.99829543172262603</v>
      </c>
      <c r="AA57" s="34">
        <v>0.99838115163255803</v>
      </c>
      <c r="AB57" s="33">
        <v>25.371944392886</v>
      </c>
      <c r="AC57" s="33">
        <v>25.369648150871001</v>
      </c>
      <c r="AD57" s="33">
        <v>25.371876689979398</v>
      </c>
      <c r="AE57" s="15">
        <v>2.6183497908101799E-4</v>
      </c>
      <c r="AF57" s="15">
        <v>1.71327689049257E-4</v>
      </c>
      <c r="AG57" s="15">
        <v>2.5916655935522503E-4</v>
      </c>
      <c r="AI57" s="12"/>
      <c r="AJ57">
        <f t="shared" si="6"/>
        <v>0</v>
      </c>
      <c r="AK57">
        <f t="shared" si="7"/>
        <v>1</v>
      </c>
      <c r="AL57">
        <f t="shared" si="14"/>
        <v>0</v>
      </c>
      <c r="AM57">
        <f t="shared" si="4"/>
        <v>1</v>
      </c>
      <c r="AN57">
        <f t="shared" si="15"/>
        <v>0</v>
      </c>
      <c r="AO57" s="28">
        <f t="shared" si="8"/>
        <v>0</v>
      </c>
      <c r="AP57" s="28">
        <f t="shared" si="9"/>
        <v>0</v>
      </c>
      <c r="AQ57" s="28">
        <f t="shared" si="16"/>
        <v>0</v>
      </c>
      <c r="AR57" s="29">
        <f t="shared" si="17"/>
        <v>2.7624253316321456E-3</v>
      </c>
      <c r="AT57" s="12"/>
      <c r="AU57">
        <f t="shared" si="10"/>
        <v>0</v>
      </c>
      <c r="AV57">
        <f t="shared" si="11"/>
        <v>0</v>
      </c>
      <c r="AW57">
        <f t="shared" si="18"/>
        <v>1</v>
      </c>
      <c r="AX57">
        <f t="shared" si="5"/>
        <v>1</v>
      </c>
      <c r="AY57">
        <f t="shared" si="19"/>
        <v>1</v>
      </c>
      <c r="AZ57" s="28">
        <f t="shared" si="12"/>
        <v>3.98883656123287E-3</v>
      </c>
      <c r="BA57" s="28">
        <f t="shared" si="13"/>
        <v>-3.18091719502524E-3</v>
      </c>
      <c r="BB57" s="28">
        <f t="shared" si="20"/>
        <v>8.0791936620763002E-4</v>
      </c>
      <c r="BC57" s="29">
        <f t="shared" si="21"/>
        <v>3.9322539892688501E-3</v>
      </c>
      <c r="BE57" s="29">
        <f t="shared" si="22"/>
        <v>8.0791936620763002E-4</v>
      </c>
      <c r="BF57" s="29">
        <f t="shared" si="23"/>
        <v>6.6946793209009961E-3</v>
      </c>
      <c r="BH57" s="29"/>
    </row>
    <row r="58" spans="1:60" x14ac:dyDescent="0.25">
      <c r="A58" s="1">
        <v>46106</v>
      </c>
      <c r="B58" s="33">
        <v>25.09</v>
      </c>
      <c r="C58" s="33">
        <v>25.21</v>
      </c>
      <c r="D58" s="15">
        <v>2.7938553395657401E-3</v>
      </c>
      <c r="E58" s="15">
        <v>3.9745680303349702E-3</v>
      </c>
      <c r="F58" s="33">
        <v>0</v>
      </c>
      <c r="G58" s="33">
        <v>0.39300000000000002</v>
      </c>
      <c r="H58" s="33">
        <v>0</v>
      </c>
      <c r="I58" s="33">
        <v>0.25530199999999997</v>
      </c>
      <c r="J58" s="33">
        <v>0.39300000000000002</v>
      </c>
      <c r="K58" s="33">
        <v>0.25530199999999997</v>
      </c>
      <c r="L58" s="33">
        <v>25.483000000000001</v>
      </c>
      <c r="M58" s="33">
        <v>25.465302000000001</v>
      </c>
      <c r="N58" s="34">
        <v>1.00478278198485</v>
      </c>
      <c r="O58" s="34">
        <v>1.0011576279691501</v>
      </c>
      <c r="P58" s="34">
        <v>1.0002456370894399</v>
      </c>
      <c r="Q58" s="34">
        <v>1.0000221570862</v>
      </c>
      <c r="R58" s="33">
        <v>25.119044885746099</v>
      </c>
      <c r="S58" s="33">
        <v>25.081201980286099</v>
      </c>
      <c r="T58" s="33">
        <v>25.089433448509102</v>
      </c>
      <c r="U58" s="15">
        <v>-3.6144223869339302E-3</v>
      </c>
      <c r="V58" s="15">
        <v>-5.1221007347844504E-3</v>
      </c>
      <c r="W58" s="15">
        <v>-4.7939618453144203E-3</v>
      </c>
      <c r="X58" s="34">
        <v>0.99930549778283495</v>
      </c>
      <c r="Y58" s="34">
        <v>0.99838446436414396</v>
      </c>
      <c r="Z58" s="34">
        <v>0.99837665117853003</v>
      </c>
      <c r="AA58" s="34">
        <v>0.99842034508696997</v>
      </c>
      <c r="AB58" s="33">
        <v>25.441831305391499</v>
      </c>
      <c r="AC58" s="33">
        <v>25.439562486587601</v>
      </c>
      <c r="AD58" s="33">
        <v>25.4417468870524</v>
      </c>
      <c r="AE58" s="15">
        <v>-9.2209852519996196E-4</v>
      </c>
      <c r="AF58" s="15">
        <v>-1.01127921134986E-3</v>
      </c>
      <c r="AG58" s="15">
        <v>-9.2541662278730402E-4</v>
      </c>
      <c r="AI58" s="12"/>
      <c r="AJ58">
        <f t="shared" si="6"/>
        <v>0</v>
      </c>
      <c r="AK58">
        <f t="shared" si="7"/>
        <v>0</v>
      </c>
      <c r="AL58">
        <f t="shared" si="14"/>
        <v>0</v>
      </c>
      <c r="AM58">
        <f t="shared" si="4"/>
        <v>1</v>
      </c>
      <c r="AN58">
        <f t="shared" si="15"/>
        <v>0</v>
      </c>
      <c r="AO58" s="28">
        <f t="shared" si="8"/>
        <v>0</v>
      </c>
      <c r="AP58" s="28">
        <f t="shared" si="9"/>
        <v>0</v>
      </c>
      <c r="AQ58" s="28">
        <f t="shared" si="16"/>
        <v>0</v>
      </c>
      <c r="AR58" s="29">
        <f t="shared" si="17"/>
        <v>2.7624253316321456E-3</v>
      </c>
      <c r="AT58" s="12"/>
      <c r="AU58">
        <f t="shared" si="10"/>
        <v>0</v>
      </c>
      <c r="AV58">
        <f t="shared" si="11"/>
        <v>1</v>
      </c>
      <c r="AW58">
        <f t="shared" si="18"/>
        <v>1</v>
      </c>
      <c r="AX58">
        <f t="shared" si="5"/>
        <v>1</v>
      </c>
      <c r="AY58">
        <f t="shared" si="19"/>
        <v>1</v>
      </c>
      <c r="AZ58" s="28">
        <f t="shared" si="12"/>
        <v>-2.7938553395657401E-3</v>
      </c>
      <c r="BA58" s="28">
        <f t="shared" si="13"/>
        <v>3.9745680303349702E-3</v>
      </c>
      <c r="BB58" s="28">
        <f t="shared" si="20"/>
        <v>1.18071269076923E-3</v>
      </c>
      <c r="BC58" s="29">
        <f t="shared" si="21"/>
        <v>5.1129666800380797E-3</v>
      </c>
      <c r="BE58" s="29">
        <f t="shared" si="22"/>
        <v>1.18071269076923E-3</v>
      </c>
      <c r="BF58" s="29">
        <f t="shared" si="23"/>
        <v>7.8753920116702257E-3</v>
      </c>
      <c r="BH58" s="29"/>
    </row>
    <row r="59" spans="1:60" x14ac:dyDescent="0.25">
      <c r="A59" s="1">
        <v>46107</v>
      </c>
      <c r="B59" s="33">
        <v>24.89</v>
      </c>
      <c r="C59" s="33">
        <v>24.98</v>
      </c>
      <c r="D59" s="15">
        <v>-8.0032439988302201E-3</v>
      </c>
      <c r="E59" s="15">
        <v>-9.1652365023968292E-3</v>
      </c>
      <c r="F59" s="33">
        <v>0</v>
      </c>
      <c r="G59" s="33">
        <v>0.39300000000000002</v>
      </c>
      <c r="H59" s="33">
        <v>0</v>
      </c>
      <c r="I59" s="33">
        <v>0.25530199999999997</v>
      </c>
      <c r="J59" s="33">
        <v>0.39300000000000002</v>
      </c>
      <c r="K59" s="33">
        <v>0.25530199999999997</v>
      </c>
      <c r="L59" s="33">
        <v>25.283000000000001</v>
      </c>
      <c r="M59" s="33">
        <v>25.235302000000001</v>
      </c>
      <c r="N59" s="34">
        <v>1.0036159100040101</v>
      </c>
      <c r="O59" s="34">
        <v>1.0011576279691501</v>
      </c>
      <c r="P59" s="34">
        <v>1.00068649879931</v>
      </c>
      <c r="Q59" s="34">
        <v>1.00000840005722</v>
      </c>
      <c r="R59" s="33">
        <v>24.918813360152299</v>
      </c>
      <c r="S59" s="33">
        <v>24.896113907156199</v>
      </c>
      <c r="T59" s="33">
        <v>24.890551489875701</v>
      </c>
      <c r="U59" s="15">
        <v>-2.4524298833672699E-3</v>
      </c>
      <c r="V59" s="15">
        <v>-3.3637813923378802E-3</v>
      </c>
      <c r="W59" s="15">
        <v>-3.5872314771882101E-3</v>
      </c>
      <c r="X59" s="34">
        <v>0.99811343590554902</v>
      </c>
      <c r="Y59" s="34">
        <v>0.99838446436414396</v>
      </c>
      <c r="Z59" s="34">
        <v>0.998300562432064</v>
      </c>
      <c r="AA59" s="34">
        <v>0.998399992386793</v>
      </c>
      <c r="AB59" s="33">
        <v>25.242154412518602</v>
      </c>
      <c r="AC59" s="33">
        <v>25.241956871746702</v>
      </c>
      <c r="AD59" s="33">
        <v>25.2430615848338</v>
      </c>
      <c r="AE59" s="15">
        <v>2.71503877087786E-4</v>
      </c>
      <c r="AF59" s="15">
        <v>2.6367801794638103E-4</v>
      </c>
      <c r="AG59" s="15">
        <v>3.0744201451639698E-4</v>
      </c>
      <c r="AI59" s="12"/>
      <c r="AJ59">
        <f t="shared" si="6"/>
        <v>0</v>
      </c>
      <c r="AK59">
        <f t="shared" si="7"/>
        <v>1</v>
      </c>
      <c r="AL59">
        <f t="shared" si="14"/>
        <v>0</v>
      </c>
      <c r="AM59">
        <f t="shared" si="4"/>
        <v>1</v>
      </c>
      <c r="AN59">
        <f t="shared" si="15"/>
        <v>0</v>
      </c>
      <c r="AO59" s="28">
        <f t="shared" si="8"/>
        <v>0</v>
      </c>
      <c r="AP59" s="28">
        <f t="shared" si="9"/>
        <v>0</v>
      </c>
      <c r="AQ59" s="28">
        <f t="shared" si="16"/>
        <v>0</v>
      </c>
      <c r="AR59" s="29">
        <f t="shared" si="17"/>
        <v>2.7624253316321456E-3</v>
      </c>
      <c r="AT59" s="12"/>
      <c r="AU59">
        <f t="shared" si="10"/>
        <v>0</v>
      </c>
      <c r="AV59">
        <f t="shared" si="11"/>
        <v>0</v>
      </c>
      <c r="AW59">
        <f t="shared" si="18"/>
        <v>0</v>
      </c>
      <c r="AX59">
        <f t="shared" si="5"/>
        <v>1</v>
      </c>
      <c r="AY59">
        <f t="shared" si="19"/>
        <v>0</v>
      </c>
      <c r="AZ59" s="28">
        <f t="shared" si="12"/>
        <v>0</v>
      </c>
      <c r="BA59" s="28">
        <f t="shared" si="13"/>
        <v>0</v>
      </c>
      <c r="BB59" s="28">
        <f t="shared" si="20"/>
        <v>0</v>
      </c>
      <c r="BC59" s="29">
        <f t="shared" si="21"/>
        <v>5.1129666800380797E-3</v>
      </c>
      <c r="BE59" s="29">
        <f t="shared" si="22"/>
        <v>0</v>
      </c>
      <c r="BF59" s="29">
        <f t="shared" si="23"/>
        <v>7.8753920116702257E-3</v>
      </c>
      <c r="BH59" s="29"/>
    </row>
    <row r="60" spans="1:60" x14ac:dyDescent="0.25">
      <c r="A60" s="1">
        <v>46108</v>
      </c>
      <c r="B60" s="33">
        <v>24.8</v>
      </c>
      <c r="C60" s="33">
        <v>24.94</v>
      </c>
      <c r="D60" s="15">
        <v>-3.6224632085640799E-3</v>
      </c>
      <c r="E60" s="15">
        <v>-1.60256444554119E-3</v>
      </c>
      <c r="F60" s="33">
        <v>0</v>
      </c>
      <c r="G60" s="33">
        <v>0.39300000000000002</v>
      </c>
      <c r="H60" s="33">
        <v>0</v>
      </c>
      <c r="I60" s="33">
        <v>0.25530199999999997</v>
      </c>
      <c r="J60" s="33">
        <v>0.39300000000000002</v>
      </c>
      <c r="K60" s="33">
        <v>0.25530199999999997</v>
      </c>
      <c r="L60" s="33">
        <v>25.193000000000001</v>
      </c>
      <c r="M60" s="33">
        <v>25.195302000000002</v>
      </c>
      <c r="N60" s="34">
        <v>1.0056451612903201</v>
      </c>
      <c r="O60" s="34">
        <v>1.0011576279691501</v>
      </c>
      <c r="P60" s="34">
        <v>1.00125101492835</v>
      </c>
      <c r="Q60" s="34">
        <v>1.00003734557302</v>
      </c>
      <c r="R60" s="33">
        <v>24.828709173635001</v>
      </c>
      <c r="S60" s="33">
        <v>24.817025170223001</v>
      </c>
      <c r="T60" s="33">
        <v>24.800208321419099</v>
      </c>
      <c r="U60" s="15">
        <v>-4.4723286463902896E-3</v>
      </c>
      <c r="V60" s="15">
        <v>-4.9430238141478303E-3</v>
      </c>
      <c r="W60" s="15">
        <v>-5.6208870590087803E-3</v>
      </c>
      <c r="X60" s="34">
        <v>1.0000913745881701</v>
      </c>
      <c r="Y60" s="34">
        <v>0.99838446436414396</v>
      </c>
      <c r="Z60" s="34">
        <v>0.99834393859344905</v>
      </c>
      <c r="AA60" s="34">
        <v>0.99842078932172595</v>
      </c>
      <c r="AB60" s="33">
        <v>25.1522998107258</v>
      </c>
      <c r="AC60" s="33">
        <v>25.150186069351001</v>
      </c>
      <c r="AD60" s="33">
        <v>25.152691008200399</v>
      </c>
      <c r="AE60" s="15">
        <v>-1.7082124345237199E-3</v>
      </c>
      <c r="AF60" s="15">
        <v>-1.7922536638648599E-3</v>
      </c>
      <c r="AG60" s="15">
        <v>-1.6926594061571099E-3</v>
      </c>
      <c r="AI60" s="12"/>
      <c r="AJ60">
        <f t="shared" si="6"/>
        <v>1</v>
      </c>
      <c r="AK60">
        <f t="shared" si="7"/>
        <v>0</v>
      </c>
      <c r="AL60">
        <f t="shared" si="14"/>
        <v>0</v>
      </c>
      <c r="AM60">
        <f t="shared" si="4"/>
        <v>1</v>
      </c>
      <c r="AN60">
        <f t="shared" si="15"/>
        <v>0</v>
      </c>
      <c r="AO60" s="28">
        <f t="shared" si="8"/>
        <v>0</v>
      </c>
      <c r="AP60" s="28">
        <f t="shared" si="9"/>
        <v>0</v>
      </c>
      <c r="AQ60" s="28">
        <f t="shared" si="16"/>
        <v>0</v>
      </c>
      <c r="AR60" s="29">
        <f t="shared" si="17"/>
        <v>2.7624253316321456E-3</v>
      </c>
      <c r="AT60" s="12"/>
      <c r="AU60">
        <f t="shared" si="10"/>
        <v>0</v>
      </c>
      <c r="AV60">
        <f t="shared" si="11"/>
        <v>1</v>
      </c>
      <c r="AW60">
        <f t="shared" si="18"/>
        <v>0</v>
      </c>
      <c r="AX60">
        <f t="shared" si="5"/>
        <v>1</v>
      </c>
      <c r="AY60">
        <f t="shared" si="19"/>
        <v>0</v>
      </c>
      <c r="AZ60" s="28">
        <f t="shared" si="12"/>
        <v>0</v>
      </c>
      <c r="BA60" s="28">
        <f t="shared" si="13"/>
        <v>0</v>
      </c>
      <c r="BB60" s="28">
        <f t="shared" si="20"/>
        <v>0</v>
      </c>
      <c r="BC60" s="29">
        <f t="shared" si="21"/>
        <v>5.1129666800380797E-3</v>
      </c>
      <c r="BE60" s="29">
        <f t="shared" si="22"/>
        <v>0</v>
      </c>
      <c r="BF60" s="29">
        <f t="shared" si="23"/>
        <v>7.8753920116702257E-3</v>
      </c>
      <c r="BH60" s="29"/>
    </row>
    <row r="61" spans="1:60" x14ac:dyDescent="0.25">
      <c r="A61" s="1">
        <v>46111</v>
      </c>
      <c r="B61" s="33">
        <v>24.87</v>
      </c>
      <c r="C61" s="33">
        <v>24.98</v>
      </c>
      <c r="D61" s="15">
        <v>2.8186046443769001E-3</v>
      </c>
      <c r="E61" s="15">
        <v>1.60256444554119E-3</v>
      </c>
      <c r="F61" s="33">
        <v>0</v>
      </c>
      <c r="G61" s="33">
        <v>0.39300000000000002</v>
      </c>
      <c r="H61" s="33">
        <v>0</v>
      </c>
      <c r="I61" s="33">
        <v>0.25530199999999997</v>
      </c>
      <c r="J61" s="33">
        <v>0.39300000000000002</v>
      </c>
      <c r="K61" s="33">
        <v>0.25530199999999997</v>
      </c>
      <c r="L61" s="33">
        <v>25.263000000000002</v>
      </c>
      <c r="M61" s="33">
        <v>25.235302000000001</v>
      </c>
      <c r="N61" s="34">
        <v>1.0044229995978999</v>
      </c>
      <c r="O61" s="34">
        <v>1.0011576279691501</v>
      </c>
      <c r="P61" s="34">
        <v>1.0018517307297199</v>
      </c>
      <c r="Q61" s="34">
        <v>1.00031697508508</v>
      </c>
      <c r="R61" s="33">
        <v>24.898790207592899</v>
      </c>
      <c r="S61" s="33">
        <v>24.901112741268001</v>
      </c>
      <c r="T61" s="33">
        <v>24.870928784401102</v>
      </c>
      <c r="U61" s="15">
        <v>-3.2562884475547402E-3</v>
      </c>
      <c r="V61" s="15">
        <v>-3.1630138209263999E-3</v>
      </c>
      <c r="W61" s="15">
        <v>-4.3759020064194796E-3</v>
      </c>
      <c r="X61" s="34">
        <v>0.99890361398091998</v>
      </c>
      <c r="Y61" s="34">
        <v>0.99838446436414396</v>
      </c>
      <c r="Z61" s="34">
        <v>0.99842516775041801</v>
      </c>
      <c r="AA61" s="34">
        <v>0.99844063622436796</v>
      </c>
      <c r="AB61" s="33">
        <v>25.2221867232313</v>
      </c>
      <c r="AC61" s="33">
        <v>25.2211629206863</v>
      </c>
      <c r="AD61" s="33">
        <v>25.2231044006347</v>
      </c>
      <c r="AE61" s="15">
        <v>-5.1985453084747702E-4</v>
      </c>
      <c r="AF61" s="15">
        <v>-5.6044670216254602E-4</v>
      </c>
      <c r="AG61" s="15">
        <v>-4.8347145591491001E-4</v>
      </c>
      <c r="AI61" s="12"/>
      <c r="AJ61">
        <f t="shared" si="6"/>
        <v>0</v>
      </c>
      <c r="AK61">
        <f t="shared" si="7"/>
        <v>0</v>
      </c>
      <c r="AL61">
        <f t="shared" si="14"/>
        <v>1</v>
      </c>
      <c r="AM61">
        <f t="shared" si="4"/>
        <v>1</v>
      </c>
      <c r="AN61">
        <f t="shared" si="15"/>
        <v>1</v>
      </c>
      <c r="AO61" s="28">
        <f t="shared" si="8"/>
        <v>2.8186046443769001E-3</v>
      </c>
      <c r="AP61" s="28">
        <f t="shared" si="9"/>
        <v>-1.60256444554119E-3</v>
      </c>
      <c r="AQ61" s="28">
        <f t="shared" si="16"/>
        <v>1.2160401988357101E-3</v>
      </c>
      <c r="AR61" s="29">
        <f t="shared" si="17"/>
        <v>3.9784655304678559E-3</v>
      </c>
      <c r="AT61" s="12"/>
      <c r="AU61">
        <f t="shared" si="10"/>
        <v>0</v>
      </c>
      <c r="AV61">
        <f t="shared" si="11"/>
        <v>1</v>
      </c>
      <c r="AW61">
        <f t="shared" si="18"/>
        <v>0</v>
      </c>
      <c r="AX61">
        <f t="shared" si="5"/>
        <v>1</v>
      </c>
      <c r="AY61">
        <f t="shared" si="19"/>
        <v>0</v>
      </c>
      <c r="AZ61" s="28">
        <f t="shared" si="12"/>
        <v>0</v>
      </c>
      <c r="BA61" s="28">
        <f t="shared" si="13"/>
        <v>0</v>
      </c>
      <c r="BB61" s="28">
        <f t="shared" si="20"/>
        <v>0</v>
      </c>
      <c r="BC61" s="29">
        <f t="shared" si="21"/>
        <v>5.1129666800380797E-3</v>
      </c>
      <c r="BE61" s="29">
        <f t="shared" si="22"/>
        <v>1.2160401988357101E-3</v>
      </c>
      <c r="BF61" s="29">
        <f t="shared" si="23"/>
        <v>9.0914322105059356E-3</v>
      </c>
      <c r="BH61" s="29"/>
    </row>
    <row r="62" spans="1:60" x14ac:dyDescent="0.25">
      <c r="A62" s="1">
        <v>46112</v>
      </c>
      <c r="B62" s="33">
        <v>25.18</v>
      </c>
      <c r="C62" s="33">
        <v>25.25</v>
      </c>
      <c r="D62" s="15">
        <v>1.23877708008878E-2</v>
      </c>
      <c r="E62" s="15">
        <v>1.0750651023937101E-2</v>
      </c>
      <c r="F62" s="33">
        <v>0</v>
      </c>
      <c r="G62" s="33">
        <v>0.39300000000000002</v>
      </c>
      <c r="H62" s="33">
        <v>0</v>
      </c>
      <c r="I62" s="33">
        <v>0.25530199999999997</v>
      </c>
      <c r="J62" s="33">
        <v>0.39300000000000002</v>
      </c>
      <c r="K62" s="33">
        <v>0.25530199999999997</v>
      </c>
      <c r="L62" s="33">
        <v>25.573</v>
      </c>
      <c r="M62" s="33">
        <v>25.505302</v>
      </c>
      <c r="N62" s="34">
        <v>1.0027799841143701</v>
      </c>
      <c r="O62" s="34">
        <v>1.0011576279691501</v>
      </c>
      <c r="P62" s="34">
        <v>1.00236622894407</v>
      </c>
      <c r="Q62" s="34">
        <v>1.0005536687026799</v>
      </c>
      <c r="R62" s="33">
        <v>25.209149072263301</v>
      </c>
      <c r="S62" s="33">
        <v>25.2266265797744</v>
      </c>
      <c r="T62" s="33">
        <v>25.187981432642399</v>
      </c>
      <c r="U62" s="15">
        <v>-1.61916867060412E-3</v>
      </c>
      <c r="V62" s="15">
        <v>-9.2610871525458497E-4</v>
      </c>
      <c r="W62" s="15">
        <v>-2.4592022460700799E-3</v>
      </c>
      <c r="X62" s="34">
        <v>0.99735275485863994</v>
      </c>
      <c r="Y62" s="34">
        <v>0.99838446436414396</v>
      </c>
      <c r="Z62" s="34">
        <v>0.99842843886708499</v>
      </c>
      <c r="AA62" s="34">
        <v>0.99842179218498395</v>
      </c>
      <c r="AB62" s="33">
        <v>25.531685907184201</v>
      </c>
      <c r="AC62" s="33">
        <v>25.5327268148814</v>
      </c>
      <c r="AD62" s="33">
        <v>25.533122390165701</v>
      </c>
      <c r="AE62" s="15">
        <v>1.03391327021763E-3</v>
      </c>
      <c r="AF62" s="15">
        <v>1.074681689625E-3</v>
      </c>
      <c r="AG62" s="15">
        <v>1.09017444223728E-3</v>
      </c>
      <c r="AI62" s="12"/>
      <c r="AJ62">
        <f t="shared" si="6"/>
        <v>0</v>
      </c>
      <c r="AK62">
        <f t="shared" si="7"/>
        <v>1</v>
      </c>
      <c r="AL62">
        <f t="shared" si="14"/>
        <v>1</v>
      </c>
      <c r="AM62">
        <f t="shared" si="4"/>
        <v>0</v>
      </c>
      <c r="AN62">
        <f t="shared" si="15"/>
        <v>1</v>
      </c>
      <c r="AO62" s="28">
        <f t="shared" si="8"/>
        <v>1.23877708008878E-2</v>
      </c>
      <c r="AP62" s="28">
        <f t="shared" si="9"/>
        <v>-1.0750651023937101E-2</v>
      </c>
      <c r="AQ62" s="28">
        <f t="shared" si="16"/>
        <v>1.6371197769506993E-3</v>
      </c>
      <c r="AR62" s="29">
        <f t="shared" si="17"/>
        <v>5.6155853074185552E-3</v>
      </c>
      <c r="AT62" s="12"/>
      <c r="AU62">
        <f t="shared" si="10"/>
        <v>1</v>
      </c>
      <c r="AV62">
        <f t="shared" si="11"/>
        <v>0</v>
      </c>
      <c r="AW62">
        <f t="shared" si="18"/>
        <v>0</v>
      </c>
      <c r="AX62">
        <f t="shared" si="5"/>
        <v>0</v>
      </c>
      <c r="AY62">
        <f t="shared" si="19"/>
        <v>0</v>
      </c>
      <c r="AZ62" s="28">
        <f t="shared" si="12"/>
        <v>0</v>
      </c>
      <c r="BA62" s="28">
        <f t="shared" si="13"/>
        <v>0</v>
      </c>
      <c r="BB62" s="28">
        <f t="shared" si="20"/>
        <v>0</v>
      </c>
      <c r="BC62" s="29">
        <f t="shared" si="21"/>
        <v>5.1129666800380797E-3</v>
      </c>
      <c r="BE62" s="29">
        <f t="shared" si="22"/>
        <v>1.6371197769506993E-3</v>
      </c>
      <c r="BF62" s="29">
        <f t="shared" si="23"/>
        <v>1.0728551987456635E-2</v>
      </c>
      <c r="BH62" s="29"/>
    </row>
    <row r="63" spans="1:60" x14ac:dyDescent="0.25">
      <c r="A63" s="1">
        <v>46113</v>
      </c>
      <c r="B63" s="33">
        <v>25.25</v>
      </c>
      <c r="C63" s="33">
        <v>25.19</v>
      </c>
      <c r="D63" s="15">
        <v>2.7761271051677501E-3</v>
      </c>
      <c r="E63" s="15">
        <v>-2.3790653568500002E-3</v>
      </c>
      <c r="F63" s="33">
        <v>0</v>
      </c>
      <c r="G63" s="33">
        <v>0.39300000000000002</v>
      </c>
      <c r="H63" s="33">
        <v>0.123239</v>
      </c>
      <c r="I63" s="33">
        <v>0.37854100000000002</v>
      </c>
      <c r="J63" s="33">
        <v>0.39300000000000002</v>
      </c>
      <c r="K63" s="33">
        <v>0.37854100000000002</v>
      </c>
      <c r="L63" s="33">
        <v>25.643000000000001</v>
      </c>
      <c r="M63" s="33">
        <v>25.568541</v>
      </c>
      <c r="N63" s="34">
        <v>0.99762376237623696</v>
      </c>
      <c r="O63" s="34">
        <v>1.0011576279691501</v>
      </c>
      <c r="P63" s="34">
        <v>1.00232670343843</v>
      </c>
      <c r="Q63" s="34">
        <v>1.00047385838155</v>
      </c>
      <c r="R63" s="33">
        <v>25.2792301062211</v>
      </c>
      <c r="S63" s="33">
        <v>25.309747280838</v>
      </c>
      <c r="T63" s="33">
        <v>25.263980134742798</v>
      </c>
      <c r="U63" s="15">
        <v>3.5360237914135399E-3</v>
      </c>
      <c r="V63" s="15">
        <v>4.7424991896022799E-3</v>
      </c>
      <c r="W63" s="15">
        <v>2.9325808415710201E-3</v>
      </c>
      <c r="X63" s="34">
        <v>0.99709632258316105</v>
      </c>
      <c r="Y63" s="34">
        <v>0.99838446436414396</v>
      </c>
      <c r="Z63" s="34">
        <v>0.99836822325840002</v>
      </c>
      <c r="AA63" s="34">
        <v>0.99833200130364197</v>
      </c>
      <c r="AB63" s="33">
        <v>25.6015728196897</v>
      </c>
      <c r="AC63" s="33">
        <v>25.6027004578686</v>
      </c>
      <c r="AD63" s="33">
        <v>25.602530016999498</v>
      </c>
      <c r="AE63" s="15">
        <v>1.2910592458078201E-3</v>
      </c>
      <c r="AF63" s="15">
        <v>1.33510393610079E-3</v>
      </c>
      <c r="AG63" s="15">
        <v>1.3284467697316799E-3</v>
      </c>
      <c r="AI63" s="12"/>
      <c r="AJ63">
        <f t="shared" si="6"/>
        <v>0</v>
      </c>
      <c r="AK63">
        <f t="shared" si="7"/>
        <v>1</v>
      </c>
      <c r="AL63">
        <f t="shared" si="14"/>
        <v>0</v>
      </c>
      <c r="AM63">
        <f t="shared" si="4"/>
        <v>1</v>
      </c>
      <c r="AN63">
        <f t="shared" si="15"/>
        <v>0</v>
      </c>
      <c r="AO63" s="28">
        <f t="shared" si="8"/>
        <v>0</v>
      </c>
      <c r="AP63" s="28">
        <f t="shared" si="9"/>
        <v>0</v>
      </c>
      <c r="AQ63" s="28">
        <f t="shared" si="16"/>
        <v>0</v>
      </c>
      <c r="AR63" s="29">
        <f t="shared" si="17"/>
        <v>5.6155853074185552E-3</v>
      </c>
      <c r="AT63" s="12"/>
      <c r="AU63">
        <f t="shared" si="10"/>
        <v>1</v>
      </c>
      <c r="AV63">
        <f t="shared" si="11"/>
        <v>0</v>
      </c>
      <c r="AW63">
        <f t="shared" si="18"/>
        <v>0</v>
      </c>
      <c r="AX63">
        <f t="shared" si="5"/>
        <v>1</v>
      </c>
      <c r="AY63">
        <f t="shared" si="19"/>
        <v>0</v>
      </c>
      <c r="AZ63" s="28">
        <f t="shared" si="12"/>
        <v>0</v>
      </c>
      <c r="BA63" s="28">
        <f t="shared" si="13"/>
        <v>0</v>
      </c>
      <c r="BB63" s="28">
        <f t="shared" si="20"/>
        <v>0</v>
      </c>
      <c r="BC63" s="29">
        <f t="shared" si="21"/>
        <v>5.1129666800380797E-3</v>
      </c>
      <c r="BE63" s="29">
        <f t="shared" si="22"/>
        <v>0</v>
      </c>
      <c r="BF63" s="29">
        <f t="shared" si="23"/>
        <v>1.0728551987456635E-2</v>
      </c>
      <c r="BH63" s="29"/>
    </row>
    <row r="64" spans="1:60" x14ac:dyDescent="0.25">
      <c r="A64" s="1">
        <v>46114</v>
      </c>
      <c r="B64" s="33">
        <v>25.28</v>
      </c>
      <c r="C64" s="33">
        <v>25.23</v>
      </c>
      <c r="D64" s="15">
        <v>1.18741355728784E-3</v>
      </c>
      <c r="E64" s="15">
        <v>1.58667228844747E-3</v>
      </c>
      <c r="F64" s="33">
        <v>0</v>
      </c>
      <c r="G64" s="33">
        <v>0.39300000000000002</v>
      </c>
      <c r="H64" s="33">
        <v>0</v>
      </c>
      <c r="I64" s="33">
        <v>0.37854100000000002</v>
      </c>
      <c r="J64" s="33">
        <v>0.39300000000000002</v>
      </c>
      <c r="K64" s="33">
        <v>0.37854100000000002</v>
      </c>
      <c r="L64" s="33">
        <v>25.672999999999998</v>
      </c>
      <c r="M64" s="33">
        <v>25.608540999999999</v>
      </c>
      <c r="N64" s="34">
        <v>0.998022151898734</v>
      </c>
      <c r="O64" s="34">
        <v>1.0011576279691501</v>
      </c>
      <c r="P64" s="34">
        <v>1.0022080325523599</v>
      </c>
      <c r="Q64" s="34">
        <v>1.00043372038307</v>
      </c>
      <c r="R64" s="33">
        <v>25.309264835060201</v>
      </c>
      <c r="S64" s="33">
        <v>25.338819062923701</v>
      </c>
      <c r="T64" s="33">
        <v>25.2919791398858</v>
      </c>
      <c r="U64" s="15">
        <v>3.1367650602540202E-3</v>
      </c>
      <c r="V64" s="15">
        <v>4.3038074809451498E-3</v>
      </c>
      <c r="W64" s="15">
        <v>2.4535527718213602E-3</v>
      </c>
      <c r="X64" s="34">
        <v>0.997489229930276</v>
      </c>
      <c r="Y64" s="34">
        <v>0.99838446436414396</v>
      </c>
      <c r="Z64" s="34">
        <v>0.99822949357369495</v>
      </c>
      <c r="AA64" s="34">
        <v>0.99828147636920295</v>
      </c>
      <c r="AB64" s="33">
        <v>25.631524353620598</v>
      </c>
      <c r="AC64" s="33">
        <v>25.631107395712899</v>
      </c>
      <c r="AD64" s="33">
        <v>25.6301774694684</v>
      </c>
      <c r="AE64" s="15">
        <v>8.9708531803849901E-4</v>
      </c>
      <c r="AF64" s="15">
        <v>8.80817799436337E-4</v>
      </c>
      <c r="AG64" s="15">
        <v>8.4453598375216598E-4</v>
      </c>
      <c r="AI64" s="12"/>
      <c r="AJ64">
        <f t="shared" si="6"/>
        <v>0</v>
      </c>
      <c r="AK64">
        <f t="shared" si="7"/>
        <v>1</v>
      </c>
      <c r="AL64">
        <f t="shared" si="14"/>
        <v>0</v>
      </c>
      <c r="AM64">
        <f t="shared" si="4"/>
        <v>1</v>
      </c>
      <c r="AN64">
        <f t="shared" si="15"/>
        <v>0</v>
      </c>
      <c r="AO64" s="28">
        <f t="shared" si="8"/>
        <v>0</v>
      </c>
      <c r="AP64" s="28">
        <f t="shared" si="9"/>
        <v>0</v>
      </c>
      <c r="AQ64" s="28">
        <f t="shared" si="16"/>
        <v>0</v>
      </c>
      <c r="AR64" s="29">
        <f t="shared" si="17"/>
        <v>5.6155853074185552E-3</v>
      </c>
      <c r="AT64" s="12"/>
      <c r="AU64">
        <f t="shared" si="10"/>
        <v>0</v>
      </c>
      <c r="AV64">
        <f t="shared" si="11"/>
        <v>0</v>
      </c>
      <c r="AW64">
        <f t="shared" si="18"/>
        <v>1</v>
      </c>
      <c r="AX64">
        <f t="shared" si="5"/>
        <v>1</v>
      </c>
      <c r="AY64">
        <f t="shared" si="19"/>
        <v>1</v>
      </c>
      <c r="AZ64" s="28">
        <f t="shared" si="12"/>
        <v>-1.18741355728784E-3</v>
      </c>
      <c r="BA64" s="28">
        <f t="shared" si="13"/>
        <v>1.58667228844747E-3</v>
      </c>
      <c r="BB64" s="28">
        <f t="shared" si="20"/>
        <v>3.9925873115963001E-4</v>
      </c>
      <c r="BC64" s="29">
        <f t="shared" si="21"/>
        <v>5.5122254111977095E-3</v>
      </c>
      <c r="BE64" s="29">
        <f t="shared" si="22"/>
        <v>3.9925873115963001E-4</v>
      </c>
      <c r="BF64" s="29">
        <f t="shared" si="23"/>
        <v>1.1127810718616266E-2</v>
      </c>
      <c r="BH64" s="29"/>
    </row>
    <row r="65" spans="1:60" x14ac:dyDescent="0.25">
      <c r="A65" s="1">
        <v>46118</v>
      </c>
      <c r="B65" s="33">
        <v>25.35</v>
      </c>
      <c r="C65" s="33">
        <v>25.3</v>
      </c>
      <c r="D65" s="15">
        <v>2.7651607585355599E-3</v>
      </c>
      <c r="E65" s="15">
        <v>2.7706330805081199E-3</v>
      </c>
      <c r="F65" s="33">
        <v>0</v>
      </c>
      <c r="G65" s="33">
        <v>0.39300000000000002</v>
      </c>
      <c r="H65" s="33">
        <v>0</v>
      </c>
      <c r="I65" s="33">
        <v>0.37854100000000002</v>
      </c>
      <c r="J65" s="33">
        <v>0.39300000000000002</v>
      </c>
      <c r="K65" s="33">
        <v>0.37854100000000002</v>
      </c>
      <c r="L65" s="33">
        <v>25.742999999999999</v>
      </c>
      <c r="M65" s="33">
        <v>25.678540999999999</v>
      </c>
      <c r="N65" s="34">
        <v>0.99802761341222801</v>
      </c>
      <c r="O65" s="34">
        <v>1.0011576279691501</v>
      </c>
      <c r="P65" s="34">
        <v>1.0021304111184599</v>
      </c>
      <c r="Q65" s="34">
        <v>1.0004335262505299</v>
      </c>
      <c r="R65" s="33">
        <v>25.379345869018099</v>
      </c>
      <c r="S65" s="33">
        <v>25.4059736252023</v>
      </c>
      <c r="T65" s="33">
        <v>25.360994811710899</v>
      </c>
      <c r="U65" s="15">
        <v>3.13129273828137E-3</v>
      </c>
      <c r="V65" s="15">
        <v>4.1799327346250898E-3</v>
      </c>
      <c r="W65" s="15">
        <v>2.4079606572960498E-3</v>
      </c>
      <c r="X65" s="34">
        <v>0.99749605718059198</v>
      </c>
      <c r="Y65" s="34">
        <v>0.99838446436414396</v>
      </c>
      <c r="Z65" s="34">
        <v>0.99813179026397703</v>
      </c>
      <c r="AA65" s="34">
        <v>0.99827063786289605</v>
      </c>
      <c r="AB65" s="33">
        <v>25.701411266126101</v>
      </c>
      <c r="AC65" s="33">
        <v>25.697421853067599</v>
      </c>
      <c r="AD65" s="33">
        <v>25.6987600461723</v>
      </c>
      <c r="AE65" s="15">
        <v>8.9024090634267099E-4</v>
      </c>
      <c r="AF65" s="15">
        <v>7.3500730182496897E-4</v>
      </c>
      <c r="AG65" s="15">
        <v>7.8708094058990903E-4</v>
      </c>
      <c r="AI65" s="12"/>
      <c r="AJ65">
        <f t="shared" si="6"/>
        <v>0</v>
      </c>
      <c r="AK65">
        <f t="shared" si="7"/>
        <v>1</v>
      </c>
      <c r="AL65">
        <f t="shared" si="14"/>
        <v>0</v>
      </c>
      <c r="AM65">
        <f t="shared" si="4"/>
        <v>1</v>
      </c>
      <c r="AN65">
        <f t="shared" si="15"/>
        <v>0</v>
      </c>
      <c r="AO65" s="28">
        <f t="shared" si="8"/>
        <v>0</v>
      </c>
      <c r="AP65" s="28">
        <f t="shared" si="9"/>
        <v>0</v>
      </c>
      <c r="AQ65" s="28">
        <f t="shared" si="16"/>
        <v>0</v>
      </c>
      <c r="AR65" s="29">
        <f t="shared" si="17"/>
        <v>5.6155853074185552E-3</v>
      </c>
      <c r="AT65" s="12"/>
      <c r="AU65">
        <f t="shared" si="10"/>
        <v>0</v>
      </c>
      <c r="AV65">
        <f t="shared" si="11"/>
        <v>0</v>
      </c>
      <c r="AW65">
        <f t="shared" si="18"/>
        <v>1</v>
      </c>
      <c r="AX65">
        <f t="shared" si="5"/>
        <v>1</v>
      </c>
      <c r="AY65">
        <f t="shared" si="19"/>
        <v>1</v>
      </c>
      <c r="AZ65" s="28">
        <f t="shared" si="12"/>
        <v>-2.7651607585355599E-3</v>
      </c>
      <c r="BA65" s="28">
        <f t="shared" si="13"/>
        <v>2.7706330805081199E-3</v>
      </c>
      <c r="BB65" s="28">
        <f t="shared" si="20"/>
        <v>5.4723219725600139E-6</v>
      </c>
      <c r="BC65" s="29">
        <f t="shared" si="21"/>
        <v>5.5176977331702695E-3</v>
      </c>
      <c r="BE65" s="29">
        <f t="shared" si="22"/>
        <v>5.4723219725600139E-6</v>
      </c>
      <c r="BF65" s="29">
        <f t="shared" si="23"/>
        <v>1.1133283040588825E-2</v>
      </c>
      <c r="BH65" s="29"/>
    </row>
    <row r="66" spans="1:60" x14ac:dyDescent="0.25">
      <c r="A66" s="1">
        <v>46119</v>
      </c>
      <c r="B66" s="33">
        <v>25.38</v>
      </c>
      <c r="C66" s="33">
        <v>25.3</v>
      </c>
      <c r="D66" s="15">
        <v>1.18273224904939E-3</v>
      </c>
      <c r="E66" s="15">
        <v>0</v>
      </c>
      <c r="F66" s="33">
        <v>0</v>
      </c>
      <c r="G66" s="33">
        <v>0.39300000000000002</v>
      </c>
      <c r="H66" s="33">
        <v>0</v>
      </c>
      <c r="I66" s="33">
        <v>0.37854100000000002</v>
      </c>
      <c r="J66" s="33">
        <v>0.39300000000000002</v>
      </c>
      <c r="K66" s="33">
        <v>0.37854100000000002</v>
      </c>
      <c r="L66" s="33">
        <v>25.773</v>
      </c>
      <c r="M66" s="33">
        <v>25.678540999999999</v>
      </c>
      <c r="N66" s="34">
        <v>0.99684791174152798</v>
      </c>
      <c r="O66" s="34">
        <v>1.0011576279691501</v>
      </c>
      <c r="P66" s="34">
        <v>1.00153653987223</v>
      </c>
      <c r="Q66" s="34">
        <v>1.00033465323933</v>
      </c>
      <c r="R66" s="33">
        <v>25.409380597857101</v>
      </c>
      <c r="S66" s="33">
        <v>25.434069834186602</v>
      </c>
      <c r="T66" s="33">
        <v>25.3910028962386</v>
      </c>
      <c r="U66" s="15">
        <v>4.3140249873305598E-3</v>
      </c>
      <c r="V66" s="15">
        <v>5.2852115633897304E-3</v>
      </c>
      <c r="W66" s="15">
        <v>3.5904988579514101E-3</v>
      </c>
      <c r="X66" s="34">
        <v>0.99633496294571799</v>
      </c>
      <c r="Y66" s="34">
        <v>0.99838446436414396</v>
      </c>
      <c r="Z66" s="34">
        <v>0.99803063363650801</v>
      </c>
      <c r="AA66" s="34">
        <v>0.99816237050870904</v>
      </c>
      <c r="AB66" s="33">
        <v>25.731362800057099</v>
      </c>
      <c r="AC66" s="33">
        <v>25.724850630473401</v>
      </c>
      <c r="AD66" s="33">
        <v>25.728429149640402</v>
      </c>
      <c r="AE66" s="15">
        <v>2.0549277372783501E-3</v>
      </c>
      <c r="AF66" s="15">
        <v>1.8018127416643899E-3</v>
      </c>
      <c r="AG66" s="15">
        <v>1.9409105479852599E-3</v>
      </c>
      <c r="AI66" s="12"/>
      <c r="AJ66">
        <f t="shared" si="6"/>
        <v>0</v>
      </c>
      <c r="AK66">
        <f t="shared" si="7"/>
        <v>1</v>
      </c>
      <c r="AL66">
        <f t="shared" si="14"/>
        <v>0</v>
      </c>
      <c r="AM66">
        <f t="shared" si="4"/>
        <v>1</v>
      </c>
      <c r="AN66">
        <f t="shared" si="15"/>
        <v>0</v>
      </c>
      <c r="AO66" s="28">
        <f t="shared" si="8"/>
        <v>0</v>
      </c>
      <c r="AP66" s="28">
        <f t="shared" si="9"/>
        <v>0</v>
      </c>
      <c r="AQ66" s="28">
        <f t="shared" si="16"/>
        <v>0</v>
      </c>
      <c r="AR66" s="29">
        <f t="shared" si="17"/>
        <v>5.6155853074185552E-3</v>
      </c>
      <c r="AT66" s="12"/>
      <c r="AU66">
        <f t="shared" si="10"/>
        <v>1</v>
      </c>
      <c r="AV66">
        <f t="shared" si="11"/>
        <v>0</v>
      </c>
      <c r="AW66">
        <f t="shared" si="18"/>
        <v>1</v>
      </c>
      <c r="AX66">
        <f t="shared" si="5"/>
        <v>1</v>
      </c>
      <c r="AY66">
        <f t="shared" si="19"/>
        <v>1</v>
      </c>
      <c r="AZ66" s="28">
        <f t="shared" si="12"/>
        <v>-1.18273224904939E-3</v>
      </c>
      <c r="BA66" s="28">
        <f t="shared" si="13"/>
        <v>0</v>
      </c>
      <c r="BB66" s="28">
        <f t="shared" si="20"/>
        <v>-1.18273224904939E-3</v>
      </c>
      <c r="BC66" s="29">
        <f t="shared" si="21"/>
        <v>4.3349654841208793E-3</v>
      </c>
      <c r="BE66" s="29">
        <f t="shared" si="22"/>
        <v>-1.18273224904939E-3</v>
      </c>
      <c r="BF66" s="29">
        <f t="shared" si="23"/>
        <v>9.9505507915394354E-3</v>
      </c>
      <c r="BH66" s="29"/>
    </row>
    <row r="67" spans="1:60" x14ac:dyDescent="0.25">
      <c r="A67" s="1">
        <v>46120</v>
      </c>
      <c r="B67" s="33">
        <v>25.54</v>
      </c>
      <c r="C67" s="33">
        <v>25.48</v>
      </c>
      <c r="D67" s="15">
        <v>6.2843883181516302E-3</v>
      </c>
      <c r="E67" s="15">
        <v>7.0894349704880002E-3</v>
      </c>
      <c r="F67" s="33">
        <v>0</v>
      </c>
      <c r="G67" s="33">
        <v>0.39300000000000002</v>
      </c>
      <c r="H67" s="33">
        <v>0</v>
      </c>
      <c r="I67" s="33">
        <v>0.37854100000000002</v>
      </c>
      <c r="J67" s="33">
        <v>0.39300000000000002</v>
      </c>
      <c r="K67" s="33">
        <v>0.37854100000000002</v>
      </c>
      <c r="L67" s="33">
        <v>25.933</v>
      </c>
      <c r="M67" s="33">
        <v>25.858540999999999</v>
      </c>
      <c r="N67" s="34">
        <v>0.99765074393108799</v>
      </c>
      <c r="O67" s="34">
        <v>1.0011576279691501</v>
      </c>
      <c r="P67" s="34">
        <v>1.00094190203512</v>
      </c>
      <c r="Q67" s="34">
        <v>1.00029562180844</v>
      </c>
      <c r="R67" s="33">
        <v>25.569565818332201</v>
      </c>
      <c r="S67" s="33">
        <v>25.5792432283369</v>
      </c>
      <c r="T67" s="33">
        <v>25.548547043732601</v>
      </c>
      <c r="U67" s="15">
        <v>3.50897833499428E-3</v>
      </c>
      <c r="V67" s="15">
        <v>3.8873805031198901E-3</v>
      </c>
      <c r="W67" s="15">
        <v>2.68661715586288E-3</v>
      </c>
      <c r="X67" s="34">
        <v>0.99712879342922101</v>
      </c>
      <c r="Y67" s="34">
        <v>0.99838446436414396</v>
      </c>
      <c r="Z67" s="34">
        <v>0.99793120431850901</v>
      </c>
      <c r="AA67" s="34">
        <v>0.99811331802056702</v>
      </c>
      <c r="AB67" s="33">
        <v>25.891104314355299</v>
      </c>
      <c r="AC67" s="33">
        <v>25.881928422095498</v>
      </c>
      <c r="AD67" s="33">
        <v>25.885344754402301</v>
      </c>
      <c r="AE67" s="15">
        <v>1.2584943705562701E-3</v>
      </c>
      <c r="AF67" s="15">
        <v>9.0402827611044101E-4</v>
      </c>
      <c r="AG67" s="15">
        <v>1.03601638759877E-3</v>
      </c>
      <c r="AI67" s="12"/>
      <c r="AJ67">
        <f t="shared" si="6"/>
        <v>0</v>
      </c>
      <c r="AK67">
        <f t="shared" si="7"/>
        <v>1</v>
      </c>
      <c r="AL67">
        <f t="shared" si="14"/>
        <v>0</v>
      </c>
      <c r="AM67">
        <f t="shared" si="4"/>
        <v>1</v>
      </c>
      <c r="AN67">
        <f t="shared" si="15"/>
        <v>0</v>
      </c>
      <c r="AO67" s="28">
        <f t="shared" si="8"/>
        <v>0</v>
      </c>
      <c r="AP67" s="28">
        <f t="shared" si="9"/>
        <v>0</v>
      </c>
      <c r="AQ67" s="28">
        <f t="shared" si="16"/>
        <v>0</v>
      </c>
      <c r="AR67" s="29">
        <f t="shared" si="17"/>
        <v>5.6155853074185552E-3</v>
      </c>
      <c r="AT67" s="12"/>
      <c r="AU67">
        <f t="shared" si="10"/>
        <v>1</v>
      </c>
      <c r="AV67">
        <f t="shared" si="11"/>
        <v>0</v>
      </c>
      <c r="AW67">
        <f t="shared" si="18"/>
        <v>1</v>
      </c>
      <c r="AX67">
        <f t="shared" si="5"/>
        <v>1</v>
      </c>
      <c r="AY67">
        <f t="shared" si="19"/>
        <v>1</v>
      </c>
      <c r="AZ67" s="28">
        <f t="shared" si="12"/>
        <v>-6.2843883181516302E-3</v>
      </c>
      <c r="BA67" s="28">
        <f t="shared" si="13"/>
        <v>7.0894349704880002E-3</v>
      </c>
      <c r="BB67" s="28">
        <f t="shared" si="20"/>
        <v>8.0504665233637005E-4</v>
      </c>
      <c r="BC67" s="29">
        <f t="shared" si="21"/>
        <v>5.1400121364572494E-3</v>
      </c>
      <c r="BE67" s="29">
        <f t="shared" si="22"/>
        <v>8.0504665233637005E-4</v>
      </c>
      <c r="BF67" s="29">
        <f t="shared" si="23"/>
        <v>1.0755597443875806E-2</v>
      </c>
      <c r="BH67" s="29"/>
    </row>
    <row r="68" spans="1:60" x14ac:dyDescent="0.25">
      <c r="A68" s="1">
        <v>46121</v>
      </c>
      <c r="B68" s="33">
        <v>25.53</v>
      </c>
      <c r="C68" s="33">
        <v>25.5</v>
      </c>
      <c r="D68" s="15">
        <v>-3.9161935100074502E-4</v>
      </c>
      <c r="E68" s="15">
        <v>7.8462146041792503E-4</v>
      </c>
      <c r="F68" s="33">
        <v>0</v>
      </c>
      <c r="G68" s="33">
        <v>0.39300000000000002</v>
      </c>
      <c r="H68" s="33">
        <v>0</v>
      </c>
      <c r="I68" s="33">
        <v>0.37854100000000002</v>
      </c>
      <c r="J68" s="33">
        <v>0.39300000000000002</v>
      </c>
      <c r="K68" s="33">
        <v>0.37854100000000002</v>
      </c>
      <c r="L68" s="33">
        <v>25.922999999999998</v>
      </c>
      <c r="M68" s="33">
        <v>25.878540999999998</v>
      </c>
      <c r="N68" s="34">
        <v>0.99882491186838995</v>
      </c>
      <c r="O68" s="34">
        <v>1.0011576279691501</v>
      </c>
      <c r="P68" s="34">
        <v>1.00034611502348</v>
      </c>
      <c r="Q68" s="34">
        <v>1.00029587605646</v>
      </c>
      <c r="R68" s="33">
        <v>25.559554242052499</v>
      </c>
      <c r="S68" s="33">
        <v>25.554046758956801</v>
      </c>
      <c r="T68" s="33">
        <v>25.537547224769501</v>
      </c>
      <c r="U68" s="15">
        <v>2.3327375235757501E-3</v>
      </c>
      <c r="V68" s="15">
        <v>2.1172378127686299E-3</v>
      </c>
      <c r="W68" s="15">
        <v>1.4713572099361899E-3</v>
      </c>
      <c r="X68" s="34">
        <v>0.99828495930254901</v>
      </c>
      <c r="Y68" s="34">
        <v>0.99838446436414396</v>
      </c>
      <c r="Z68" s="34">
        <v>0.99782915047048004</v>
      </c>
      <c r="AA68" s="34">
        <v>0.99810290082450503</v>
      </c>
      <c r="AB68" s="33">
        <v>25.8811204697117</v>
      </c>
      <c r="AC68" s="33">
        <v>25.869370609548699</v>
      </c>
      <c r="AD68" s="33">
        <v>25.874091543047101</v>
      </c>
      <c r="AE68" s="15">
        <v>9.9671042685302601E-5</v>
      </c>
      <c r="AF68" s="15">
        <v>-3.54425531853699E-4</v>
      </c>
      <c r="AG68" s="15">
        <v>-1.71950942208686E-4</v>
      </c>
      <c r="AI68" s="12"/>
      <c r="AJ68">
        <f t="shared" si="6"/>
        <v>0</v>
      </c>
      <c r="AK68">
        <f t="shared" si="7"/>
        <v>1</v>
      </c>
      <c r="AL68">
        <f t="shared" si="14"/>
        <v>0</v>
      </c>
      <c r="AM68">
        <f t="shared" si="4"/>
        <v>1</v>
      </c>
      <c r="AN68">
        <f t="shared" si="15"/>
        <v>0</v>
      </c>
      <c r="AO68" s="28">
        <f t="shared" si="8"/>
        <v>0</v>
      </c>
      <c r="AP68" s="28">
        <f t="shared" si="9"/>
        <v>0</v>
      </c>
      <c r="AQ68" s="28">
        <f t="shared" si="16"/>
        <v>0</v>
      </c>
      <c r="AR68" s="29">
        <f t="shared" si="17"/>
        <v>5.6155853074185552E-3</v>
      </c>
      <c r="AT68" s="12"/>
      <c r="AU68">
        <f t="shared" si="10"/>
        <v>0</v>
      </c>
      <c r="AV68">
        <f t="shared" si="11"/>
        <v>1</v>
      </c>
      <c r="AW68">
        <f t="shared" si="18"/>
        <v>1</v>
      </c>
      <c r="AX68">
        <f t="shared" si="5"/>
        <v>1</v>
      </c>
      <c r="AY68">
        <f t="shared" si="19"/>
        <v>1</v>
      </c>
      <c r="AZ68" s="28">
        <f t="shared" si="12"/>
        <v>3.9161935100074502E-4</v>
      </c>
      <c r="BA68" s="28">
        <f t="shared" si="13"/>
        <v>7.8462146041792503E-4</v>
      </c>
      <c r="BB68" s="28">
        <f t="shared" si="20"/>
        <v>1.1762408114186699E-3</v>
      </c>
      <c r="BC68" s="29">
        <f t="shared" si="21"/>
        <v>6.3162529478759197E-3</v>
      </c>
      <c r="BE68" s="29">
        <f t="shared" si="22"/>
        <v>1.1762408114186699E-3</v>
      </c>
      <c r="BF68" s="29">
        <f t="shared" si="23"/>
        <v>1.1931838255294477E-2</v>
      </c>
      <c r="BH68" s="29"/>
    </row>
    <row r="69" spans="1:60" x14ac:dyDescent="0.25">
      <c r="A69" s="1">
        <v>46122</v>
      </c>
      <c r="B69" s="33">
        <v>25.43</v>
      </c>
      <c r="C69" s="33">
        <v>25.39</v>
      </c>
      <c r="D69" s="15">
        <v>-3.9246518193642201E-3</v>
      </c>
      <c r="E69" s="15">
        <v>-4.3230564477933497E-3</v>
      </c>
      <c r="F69" s="33">
        <v>0</v>
      </c>
      <c r="G69" s="33">
        <v>0.39300000000000002</v>
      </c>
      <c r="H69" s="33">
        <v>0</v>
      </c>
      <c r="I69" s="33">
        <v>0.37854100000000002</v>
      </c>
      <c r="J69" s="33">
        <v>0.39300000000000002</v>
      </c>
      <c r="K69" s="33">
        <v>0.37854100000000002</v>
      </c>
      <c r="L69" s="33">
        <v>25.823</v>
      </c>
      <c r="M69" s="33">
        <v>25.768540999999999</v>
      </c>
      <c r="N69" s="34">
        <v>0.99842705465985004</v>
      </c>
      <c r="O69" s="34">
        <v>1.0011576279691501</v>
      </c>
      <c r="P69" s="34">
        <v>0.99982722948906599</v>
      </c>
      <c r="Q69" s="34">
        <v>1.00025686414419</v>
      </c>
      <c r="R69" s="33">
        <v>25.459438479255599</v>
      </c>
      <c r="S69" s="33">
        <v>25.438801705047101</v>
      </c>
      <c r="T69" s="33">
        <v>25.4375241281158</v>
      </c>
      <c r="U69" s="15">
        <v>2.7311421520048798E-3</v>
      </c>
      <c r="V69" s="15">
        <v>1.9202388569370299E-3</v>
      </c>
      <c r="W69" s="15">
        <v>1.87001601121611E-3</v>
      </c>
      <c r="X69" s="34">
        <v>0.99789106610386002</v>
      </c>
      <c r="Y69" s="34">
        <v>0.99838446436414396</v>
      </c>
      <c r="Z69" s="34">
        <v>0.99780691349031203</v>
      </c>
      <c r="AA69" s="34">
        <v>0.99805373796118801</v>
      </c>
      <c r="AB69" s="33">
        <v>25.781282023275299</v>
      </c>
      <c r="AC69" s="33">
        <v>25.766942152599199</v>
      </c>
      <c r="AD69" s="33">
        <v>25.774011207991201</v>
      </c>
      <c r="AE69" s="15">
        <v>4.9431880800033298E-4</v>
      </c>
      <c r="AF69" s="15">
        <v>-6.2048410278842597E-5</v>
      </c>
      <c r="AG69" s="15">
        <v>2.12259881492493E-4</v>
      </c>
      <c r="AI69" s="12"/>
      <c r="AJ69">
        <f t="shared" si="6"/>
        <v>0</v>
      </c>
      <c r="AK69">
        <f t="shared" si="7"/>
        <v>1</v>
      </c>
      <c r="AL69">
        <f t="shared" si="14"/>
        <v>0</v>
      </c>
      <c r="AM69">
        <f t="shared" si="4"/>
        <v>1</v>
      </c>
      <c r="AN69">
        <f t="shared" si="15"/>
        <v>0</v>
      </c>
      <c r="AO69" s="28">
        <f t="shared" si="8"/>
        <v>0</v>
      </c>
      <c r="AP69" s="28">
        <f t="shared" si="9"/>
        <v>0</v>
      </c>
      <c r="AQ69" s="28">
        <f t="shared" si="16"/>
        <v>0</v>
      </c>
      <c r="AR69" s="29">
        <f t="shared" si="17"/>
        <v>5.6155853074185552E-3</v>
      </c>
      <c r="AT69" s="12"/>
      <c r="AU69">
        <f t="shared" si="10"/>
        <v>0</v>
      </c>
      <c r="AV69">
        <f t="shared" si="11"/>
        <v>0</v>
      </c>
      <c r="AW69">
        <f t="shared" si="18"/>
        <v>0</v>
      </c>
      <c r="AX69">
        <f t="shared" si="5"/>
        <v>1</v>
      </c>
      <c r="AY69">
        <f t="shared" si="19"/>
        <v>0</v>
      </c>
      <c r="AZ69" s="28">
        <f t="shared" si="12"/>
        <v>0</v>
      </c>
      <c r="BA69" s="28">
        <f t="shared" si="13"/>
        <v>0</v>
      </c>
      <c r="BB69" s="28">
        <f t="shared" si="20"/>
        <v>0</v>
      </c>
      <c r="BC69" s="29">
        <f t="shared" si="21"/>
        <v>6.3162529478759197E-3</v>
      </c>
      <c r="BE69" s="29">
        <f t="shared" si="22"/>
        <v>0</v>
      </c>
      <c r="BF69" s="29">
        <f t="shared" si="23"/>
        <v>1.1931838255294477E-2</v>
      </c>
      <c r="BH69" s="29"/>
    </row>
    <row r="70" spans="1:60" x14ac:dyDescent="0.25">
      <c r="A70" s="1">
        <v>46125</v>
      </c>
      <c r="B70" s="33">
        <v>25.52</v>
      </c>
      <c r="C70" s="33">
        <v>25.49</v>
      </c>
      <c r="D70" s="15">
        <v>3.5328790425608499E-3</v>
      </c>
      <c r="E70" s="15">
        <v>3.9308226714369603E-3</v>
      </c>
      <c r="F70" s="33">
        <v>0</v>
      </c>
      <c r="G70" s="33">
        <v>0.39300000000000002</v>
      </c>
      <c r="H70" s="33">
        <v>0</v>
      </c>
      <c r="I70" s="33">
        <v>0.37854100000000002</v>
      </c>
      <c r="J70" s="33">
        <v>0.39300000000000002</v>
      </c>
      <c r="K70" s="33">
        <v>0.37854100000000002</v>
      </c>
      <c r="L70" s="33">
        <v>25.913</v>
      </c>
      <c r="M70" s="33">
        <v>25.868540999999901</v>
      </c>
      <c r="N70" s="34">
        <v>0.99882445141065801</v>
      </c>
      <c r="O70" s="34">
        <v>1.0011576279691501</v>
      </c>
      <c r="P70" s="34">
        <v>0.99914515850109997</v>
      </c>
      <c r="Q70" s="34">
        <v>1.00019808671472</v>
      </c>
      <c r="R70" s="33">
        <v>25.549542665772801</v>
      </c>
      <c r="S70" s="33">
        <v>25.515590896560902</v>
      </c>
      <c r="T70" s="33">
        <v>25.5265551729597</v>
      </c>
      <c r="U70" s="15">
        <v>2.33319852312867E-3</v>
      </c>
      <c r="V70" s="15">
        <v>1.0034546510878099E-3</v>
      </c>
      <c r="W70" s="15">
        <v>1.43307124881123E-3</v>
      </c>
      <c r="X70" s="34">
        <v>0.99828429745687397</v>
      </c>
      <c r="Y70" s="34">
        <v>0.99838446436414396</v>
      </c>
      <c r="Z70" s="34">
        <v>0.99762620577718097</v>
      </c>
      <c r="AA70" s="34">
        <v>0.99798507218531496</v>
      </c>
      <c r="AB70" s="33">
        <v>25.871136625068001</v>
      </c>
      <c r="AC70" s="33">
        <v>25.856170549274399</v>
      </c>
      <c r="AD70" s="33">
        <v>25.862566511788199</v>
      </c>
      <c r="AE70" s="15">
        <v>1.00334025622193E-4</v>
      </c>
      <c r="AF70" s="15">
        <v>-4.78318799307594E-4</v>
      </c>
      <c r="AG70" s="15">
        <v>-2.30982421434705E-4</v>
      </c>
      <c r="AI70" s="12"/>
      <c r="AJ70">
        <f t="shared" si="6"/>
        <v>0</v>
      </c>
      <c r="AK70">
        <f t="shared" si="7"/>
        <v>0</v>
      </c>
      <c r="AL70">
        <f t="shared" si="14"/>
        <v>0</v>
      </c>
      <c r="AM70">
        <f t="shared" si="4"/>
        <v>1</v>
      </c>
      <c r="AN70">
        <f t="shared" si="15"/>
        <v>0</v>
      </c>
      <c r="AO70" s="28">
        <f t="shared" si="8"/>
        <v>0</v>
      </c>
      <c r="AP70" s="28">
        <f t="shared" si="9"/>
        <v>0</v>
      </c>
      <c r="AQ70" s="28">
        <f t="shared" si="16"/>
        <v>0</v>
      </c>
      <c r="AR70" s="29">
        <f t="shared" si="17"/>
        <v>5.6155853074185552E-3</v>
      </c>
      <c r="AT70" s="12"/>
      <c r="AU70">
        <f t="shared" si="10"/>
        <v>0</v>
      </c>
      <c r="AV70">
        <f t="shared" si="11"/>
        <v>1</v>
      </c>
      <c r="AW70">
        <f t="shared" si="18"/>
        <v>0</v>
      </c>
      <c r="AX70">
        <f t="shared" si="5"/>
        <v>1</v>
      </c>
      <c r="AY70">
        <f t="shared" si="19"/>
        <v>0</v>
      </c>
      <c r="AZ70" s="28">
        <f t="shared" si="12"/>
        <v>0</v>
      </c>
      <c r="BA70" s="28">
        <f t="shared" si="13"/>
        <v>0</v>
      </c>
      <c r="BB70" s="28">
        <f t="shared" si="20"/>
        <v>0</v>
      </c>
      <c r="BC70" s="29">
        <f t="shared" si="21"/>
        <v>6.3162529478759197E-3</v>
      </c>
      <c r="BE70" s="29">
        <f t="shared" si="22"/>
        <v>0</v>
      </c>
      <c r="BF70" s="29">
        <f t="shared" si="23"/>
        <v>1.1931838255294477E-2</v>
      </c>
      <c r="BH70" s="29"/>
    </row>
    <row r="71" spans="1:60" x14ac:dyDescent="0.25">
      <c r="A71" s="1">
        <v>46126</v>
      </c>
      <c r="B71" s="33">
        <v>25.63</v>
      </c>
      <c r="C71" s="33">
        <v>25.58</v>
      </c>
      <c r="D71" s="15">
        <v>4.3010818993904796E-3</v>
      </c>
      <c r="E71" s="15">
        <v>3.52457776267247E-3</v>
      </c>
      <c r="F71" s="33">
        <v>0</v>
      </c>
      <c r="G71" s="33">
        <v>0.39300000000000002</v>
      </c>
      <c r="H71" s="33">
        <v>0</v>
      </c>
      <c r="I71" s="33">
        <v>0.37854100000000002</v>
      </c>
      <c r="J71" s="33">
        <v>0.39300000000000002</v>
      </c>
      <c r="K71" s="33">
        <v>0.37854100000000002</v>
      </c>
      <c r="L71" s="33">
        <v>26.023</v>
      </c>
      <c r="M71" s="33">
        <v>25.958540999999901</v>
      </c>
      <c r="N71" s="34">
        <v>0.99804916113928899</v>
      </c>
      <c r="O71" s="34">
        <v>1.0011576279691501</v>
      </c>
      <c r="P71" s="34">
        <v>0.99850777465523799</v>
      </c>
      <c r="Q71" s="34">
        <v>1.0001797526924801</v>
      </c>
      <c r="R71" s="33">
        <v>25.659670004849399</v>
      </c>
      <c r="S71" s="33">
        <v>25.608090412383198</v>
      </c>
      <c r="T71" s="33">
        <v>25.635076962498399</v>
      </c>
      <c r="U71" s="15">
        <v>3.1097026598468102E-3</v>
      </c>
      <c r="V71" s="15">
        <v>1.09753714102937E-3</v>
      </c>
      <c r="W71" s="15">
        <v>2.1508113234253402E-3</v>
      </c>
      <c r="X71" s="34">
        <v>0.99752299888560103</v>
      </c>
      <c r="Y71" s="34">
        <v>0.99838446436414396</v>
      </c>
      <c r="Z71" s="34">
        <v>0.99748814426764898</v>
      </c>
      <c r="AA71" s="34">
        <v>0.99795665600903405</v>
      </c>
      <c r="AB71" s="33">
        <v>25.980958916148101</v>
      </c>
      <c r="AC71" s="33">
        <v>25.961226752939599</v>
      </c>
      <c r="AD71" s="33">
        <v>25.9705655334784</v>
      </c>
      <c r="AE71" s="15">
        <v>8.6323193625001101E-4</v>
      </c>
      <c r="AF71" s="15">
        <v>1.03457818023278E-4</v>
      </c>
      <c r="AG71" s="15">
        <v>4.6311344431157502E-4</v>
      </c>
      <c r="AI71" s="12"/>
      <c r="AJ71">
        <f t="shared" si="6"/>
        <v>0</v>
      </c>
      <c r="AK71">
        <f t="shared" si="7"/>
        <v>1</v>
      </c>
      <c r="AL71">
        <f t="shared" si="14"/>
        <v>0</v>
      </c>
      <c r="AM71">
        <f t="shared" si="4"/>
        <v>1</v>
      </c>
      <c r="AN71">
        <f t="shared" si="15"/>
        <v>0</v>
      </c>
      <c r="AO71" s="28">
        <f t="shared" si="8"/>
        <v>0</v>
      </c>
      <c r="AP71" s="28">
        <f t="shared" si="9"/>
        <v>0</v>
      </c>
      <c r="AQ71" s="28">
        <f t="shared" si="16"/>
        <v>0</v>
      </c>
      <c r="AR71" s="29">
        <f t="shared" si="17"/>
        <v>5.6155853074185552E-3</v>
      </c>
      <c r="AT71" s="12"/>
      <c r="AU71">
        <f t="shared" si="10"/>
        <v>0</v>
      </c>
      <c r="AV71">
        <f t="shared" si="11"/>
        <v>0</v>
      </c>
      <c r="AW71">
        <f t="shared" si="18"/>
        <v>0</v>
      </c>
      <c r="AX71">
        <f t="shared" si="5"/>
        <v>1</v>
      </c>
      <c r="AY71">
        <f t="shared" si="19"/>
        <v>0</v>
      </c>
      <c r="AZ71" s="28">
        <f t="shared" si="12"/>
        <v>0</v>
      </c>
      <c r="BA71" s="28">
        <f t="shared" si="13"/>
        <v>0</v>
      </c>
      <c r="BB71" s="28">
        <f t="shared" si="20"/>
        <v>0</v>
      </c>
      <c r="BC71" s="29">
        <f t="shared" si="21"/>
        <v>6.3162529478759197E-3</v>
      </c>
      <c r="BE71" s="29">
        <f t="shared" si="22"/>
        <v>0</v>
      </c>
      <c r="BF71" s="29">
        <f t="shared" si="23"/>
        <v>1.1931838255294477E-2</v>
      </c>
      <c r="BH71" s="29"/>
    </row>
    <row r="72" spans="1:60" x14ac:dyDescent="0.25">
      <c r="A72" s="1">
        <v>46127</v>
      </c>
      <c r="B72" s="33">
        <v>25.61</v>
      </c>
      <c r="C72" s="33">
        <v>25.55</v>
      </c>
      <c r="D72" s="15">
        <v>-7.8064016454585197E-4</v>
      </c>
      <c r="E72" s="15">
        <v>-1.1734795009830799E-3</v>
      </c>
      <c r="F72" s="33">
        <v>0</v>
      </c>
      <c r="G72" s="33">
        <v>0.39300000000000002</v>
      </c>
      <c r="H72" s="33">
        <v>0</v>
      </c>
      <c r="I72" s="33">
        <v>0.37854100000000002</v>
      </c>
      <c r="J72" s="33">
        <v>0.39300000000000002</v>
      </c>
      <c r="K72" s="33">
        <v>0.37854100000000002</v>
      </c>
      <c r="L72" s="33">
        <v>26.003</v>
      </c>
      <c r="M72" s="33">
        <v>25.928540999999999</v>
      </c>
      <c r="N72" s="34">
        <v>0.99765716516985503</v>
      </c>
      <c r="O72" s="34">
        <v>1.0011576279691501</v>
      </c>
      <c r="P72" s="34">
        <v>0.99799549276078603</v>
      </c>
      <c r="Q72" s="34">
        <v>1.0001808608524301</v>
      </c>
      <c r="R72" s="33">
        <v>25.639646852289999</v>
      </c>
      <c r="S72" s="33">
        <v>25.5717841089206</v>
      </c>
      <c r="T72" s="33">
        <v>25.614603466454401</v>
      </c>
      <c r="U72" s="15">
        <v>3.5025419962840701E-3</v>
      </c>
      <c r="V72" s="15">
        <v>8.5224373988031102E-4</v>
      </c>
      <c r="W72" s="15">
        <v>2.52532010062254E-3</v>
      </c>
      <c r="X72" s="34">
        <v>0.99713652270891795</v>
      </c>
      <c r="Y72" s="34">
        <v>0.99838446436414396</v>
      </c>
      <c r="Z72" s="34">
        <v>0.99746652105267697</v>
      </c>
      <c r="AA72" s="34">
        <v>0.99794747995988098</v>
      </c>
      <c r="AB72" s="33">
        <v>25.960991226860799</v>
      </c>
      <c r="AC72" s="33">
        <v>25.937684215391599</v>
      </c>
      <c r="AD72" s="33">
        <v>25.949866926202901</v>
      </c>
      <c r="AE72" s="15">
        <v>1.2507428646415901E-3</v>
      </c>
      <c r="AF72" s="15">
        <v>3.5256915067313402E-4</v>
      </c>
      <c r="AG72" s="15">
        <v>8.2215041889857198E-4</v>
      </c>
      <c r="AI72" s="12"/>
      <c r="AJ72">
        <f t="shared" si="6"/>
        <v>0</v>
      </c>
      <c r="AK72">
        <f t="shared" si="7"/>
        <v>1</v>
      </c>
      <c r="AL72">
        <f t="shared" si="14"/>
        <v>0</v>
      </c>
      <c r="AM72">
        <f t="shared" si="4"/>
        <v>1</v>
      </c>
      <c r="AN72">
        <f t="shared" si="15"/>
        <v>0</v>
      </c>
      <c r="AO72" s="28">
        <f t="shared" si="8"/>
        <v>0</v>
      </c>
      <c r="AP72" s="28">
        <f t="shared" si="9"/>
        <v>0</v>
      </c>
      <c r="AQ72" s="28">
        <f t="shared" si="16"/>
        <v>0</v>
      </c>
      <c r="AR72" s="29">
        <f t="shared" si="17"/>
        <v>5.6155853074185552E-3</v>
      </c>
      <c r="AT72" s="12"/>
      <c r="AU72">
        <f t="shared" si="10"/>
        <v>0</v>
      </c>
      <c r="AV72">
        <f t="shared" si="11"/>
        <v>0</v>
      </c>
      <c r="AW72">
        <f t="shared" si="18"/>
        <v>0</v>
      </c>
      <c r="AX72">
        <f t="shared" si="5"/>
        <v>1</v>
      </c>
      <c r="AY72">
        <f t="shared" si="19"/>
        <v>0</v>
      </c>
      <c r="AZ72" s="28">
        <f t="shared" si="12"/>
        <v>0</v>
      </c>
      <c r="BA72" s="28">
        <f t="shared" si="13"/>
        <v>0</v>
      </c>
      <c r="BB72" s="28">
        <f t="shared" si="20"/>
        <v>0</v>
      </c>
      <c r="BC72" s="29">
        <f t="shared" si="21"/>
        <v>6.3162529478759197E-3</v>
      </c>
      <c r="BE72" s="29">
        <f t="shared" si="22"/>
        <v>0</v>
      </c>
      <c r="BF72" s="29">
        <f t="shared" si="23"/>
        <v>1.1931838255294477E-2</v>
      </c>
      <c r="BH72" s="29"/>
    </row>
    <row r="73" spans="1:60" x14ac:dyDescent="0.25">
      <c r="A73" s="1">
        <v>46128</v>
      </c>
      <c r="B73" s="33">
        <v>25.56</v>
      </c>
      <c r="C73" s="33">
        <v>25.53</v>
      </c>
      <c r="D73" s="15">
        <v>-1.9542707020998402E-3</v>
      </c>
      <c r="E73" s="15">
        <v>-7.8308539632091498E-4</v>
      </c>
      <c r="F73" s="33">
        <v>0</v>
      </c>
      <c r="G73" s="33">
        <v>0.39300000000000002</v>
      </c>
      <c r="H73" s="33">
        <v>0</v>
      </c>
      <c r="I73" s="33">
        <v>0.37854100000000002</v>
      </c>
      <c r="J73" s="33">
        <v>0.39300000000000002</v>
      </c>
      <c r="K73" s="33">
        <v>0.37854100000000002</v>
      </c>
      <c r="L73" s="33">
        <v>25.952999999999999</v>
      </c>
      <c r="M73" s="33">
        <v>25.908541</v>
      </c>
      <c r="N73" s="34">
        <v>0.99882629107981202</v>
      </c>
      <c r="O73" s="34">
        <v>1.0011576279691501</v>
      </c>
      <c r="P73" s="34">
        <v>0.99811574563114303</v>
      </c>
      <c r="Q73" s="34">
        <v>1.0002212245347899</v>
      </c>
      <c r="R73" s="33">
        <v>25.589588970891601</v>
      </c>
      <c r="S73" s="33">
        <v>25.5087647949656</v>
      </c>
      <c r="T73" s="33">
        <v>25.564622803388101</v>
      </c>
      <c r="U73" s="15">
        <v>2.3313566905051098E-3</v>
      </c>
      <c r="V73" s="15">
        <v>-8.3212069668734203E-4</v>
      </c>
      <c r="W73" s="15">
        <v>1.355242755022E-3</v>
      </c>
      <c r="X73" s="34">
        <v>0.99828694177937005</v>
      </c>
      <c r="Y73" s="34">
        <v>0.99838446436414396</v>
      </c>
      <c r="Z73" s="34">
        <v>0.99758558297229805</v>
      </c>
      <c r="AA73" s="34">
        <v>0.99797690311534903</v>
      </c>
      <c r="AB73" s="33">
        <v>25.911072003642602</v>
      </c>
      <c r="AC73" s="33">
        <v>25.887248620880101</v>
      </c>
      <c r="AD73" s="33">
        <v>25.899730947398702</v>
      </c>
      <c r="AE73" s="15">
        <v>9.7685161966805403E-5</v>
      </c>
      <c r="AF73" s="15">
        <v>-8.2216645310779297E-4</v>
      </c>
      <c r="AG73" s="15">
        <v>-3.40102163417812E-4</v>
      </c>
      <c r="AI73" s="12"/>
      <c r="AJ73">
        <f t="shared" si="6"/>
        <v>0</v>
      </c>
      <c r="AK73">
        <f t="shared" si="7"/>
        <v>0</v>
      </c>
      <c r="AL73">
        <f t="shared" si="14"/>
        <v>0</v>
      </c>
      <c r="AM73">
        <f t="shared" si="4"/>
        <v>1</v>
      </c>
      <c r="AN73">
        <f t="shared" si="15"/>
        <v>0</v>
      </c>
      <c r="AO73" s="28">
        <f t="shared" si="8"/>
        <v>0</v>
      </c>
      <c r="AP73" s="28">
        <f t="shared" si="9"/>
        <v>0</v>
      </c>
      <c r="AQ73" s="28">
        <f t="shared" si="16"/>
        <v>0</v>
      </c>
      <c r="AR73" s="29">
        <f t="shared" si="17"/>
        <v>5.6155853074185552E-3</v>
      </c>
      <c r="AT73" s="12"/>
      <c r="AU73">
        <f t="shared" si="10"/>
        <v>0</v>
      </c>
      <c r="AV73">
        <f t="shared" si="11"/>
        <v>1</v>
      </c>
      <c r="AW73">
        <f t="shared" si="18"/>
        <v>0</v>
      </c>
      <c r="AX73">
        <f t="shared" si="5"/>
        <v>1</v>
      </c>
      <c r="AY73">
        <f t="shared" si="19"/>
        <v>0</v>
      </c>
      <c r="AZ73" s="28">
        <f t="shared" si="12"/>
        <v>0</v>
      </c>
      <c r="BA73" s="28">
        <f t="shared" si="13"/>
        <v>0</v>
      </c>
      <c r="BB73" s="28">
        <f t="shared" si="20"/>
        <v>0</v>
      </c>
      <c r="BC73" s="29">
        <f t="shared" si="21"/>
        <v>6.3162529478759197E-3</v>
      </c>
      <c r="BE73" s="29">
        <f t="shared" si="22"/>
        <v>0</v>
      </c>
      <c r="BF73" s="29">
        <f t="shared" si="23"/>
        <v>1.1931838255294477E-2</v>
      </c>
      <c r="BH73" s="29"/>
    </row>
    <row r="74" spans="1:60" x14ac:dyDescent="0.25">
      <c r="A74" s="1">
        <v>46129</v>
      </c>
      <c r="B74" s="33">
        <v>25.67</v>
      </c>
      <c r="C74" s="33">
        <v>25.63</v>
      </c>
      <c r="D74" s="15">
        <v>4.29436537371499E-3</v>
      </c>
      <c r="E74" s="15">
        <v>3.9093091225871996E-3</v>
      </c>
      <c r="F74" s="33">
        <v>0</v>
      </c>
      <c r="G74" s="33">
        <v>0.39300000000000002</v>
      </c>
      <c r="H74" s="33">
        <v>0</v>
      </c>
      <c r="I74" s="33">
        <v>0.37854100000000002</v>
      </c>
      <c r="J74" s="33">
        <v>0.39300000000000002</v>
      </c>
      <c r="K74" s="33">
        <v>0.37854100000000002</v>
      </c>
      <c r="L74" s="33">
        <v>26.062999999999999</v>
      </c>
      <c r="M74" s="33">
        <v>26.008540999999902</v>
      </c>
      <c r="N74" s="34">
        <v>0.99844176081028402</v>
      </c>
      <c r="O74" s="34">
        <v>1.0011576279691501</v>
      </c>
      <c r="P74" s="34">
        <v>0.99815770652229796</v>
      </c>
      <c r="Q74" s="34">
        <v>1.00018286953733</v>
      </c>
      <c r="R74" s="33">
        <v>25.699716309968199</v>
      </c>
      <c r="S74" s="33">
        <v>25.621631190351401</v>
      </c>
      <c r="T74" s="33">
        <v>25.675678833808</v>
      </c>
      <c r="U74" s="15">
        <v>2.7164129416331999E-3</v>
      </c>
      <c r="V74" s="15">
        <v>-3.2657730216771201E-4</v>
      </c>
      <c r="W74" s="15">
        <v>1.78065457532128E-3</v>
      </c>
      <c r="X74" s="34">
        <v>0.99791048612976196</v>
      </c>
      <c r="Y74" s="34">
        <v>0.99838446436414396</v>
      </c>
      <c r="Z74" s="34">
        <v>0.99762770859224703</v>
      </c>
      <c r="AA74" s="34">
        <v>0.99792860108297099</v>
      </c>
      <c r="AB74" s="33">
        <v>26.020894294722702</v>
      </c>
      <c r="AC74" s="33">
        <v>26.000073049007</v>
      </c>
      <c r="AD74" s="33">
        <v>26.010272025895301</v>
      </c>
      <c r="AE74" s="15">
        <v>4.7485792935717799E-4</v>
      </c>
      <c r="AF74" s="15">
        <v>-3.2563648244253999E-4</v>
      </c>
      <c r="AG74" s="15">
        <v>6.6553840632093704E-5</v>
      </c>
      <c r="AI74" s="12"/>
      <c r="AJ74">
        <f t="shared" si="6"/>
        <v>0</v>
      </c>
      <c r="AK74">
        <f t="shared" si="7"/>
        <v>1</v>
      </c>
      <c r="AL74">
        <f t="shared" si="14"/>
        <v>0</v>
      </c>
      <c r="AM74">
        <f t="shared" si="4"/>
        <v>0</v>
      </c>
      <c r="AN74">
        <f t="shared" si="15"/>
        <v>0</v>
      </c>
      <c r="AO74" s="28">
        <f t="shared" si="8"/>
        <v>0</v>
      </c>
      <c r="AP74" s="28">
        <f t="shared" si="9"/>
        <v>0</v>
      </c>
      <c r="AQ74" s="28">
        <f t="shared" si="16"/>
        <v>0</v>
      </c>
      <c r="AR74" s="29">
        <f t="shared" si="17"/>
        <v>5.6155853074185552E-3</v>
      </c>
      <c r="AT74" s="12"/>
      <c r="AU74">
        <f t="shared" si="10"/>
        <v>0</v>
      </c>
      <c r="AV74">
        <f t="shared" si="11"/>
        <v>1</v>
      </c>
      <c r="AW74">
        <f t="shared" si="18"/>
        <v>0</v>
      </c>
      <c r="AX74">
        <f t="shared" si="5"/>
        <v>0</v>
      </c>
      <c r="AY74">
        <f t="shared" si="19"/>
        <v>0</v>
      </c>
      <c r="AZ74" s="28">
        <f t="shared" si="12"/>
        <v>0</v>
      </c>
      <c r="BA74" s="28">
        <f t="shared" si="13"/>
        <v>0</v>
      </c>
      <c r="BB74" s="28">
        <f t="shared" si="20"/>
        <v>0</v>
      </c>
      <c r="BC74" s="29">
        <f t="shared" si="21"/>
        <v>6.3162529478759197E-3</v>
      </c>
      <c r="BE74" s="29">
        <f t="shared" si="22"/>
        <v>0</v>
      </c>
      <c r="BF74" s="29">
        <f t="shared" si="23"/>
        <v>1.1931838255294477E-2</v>
      </c>
      <c r="BH74" s="29"/>
    </row>
    <row r="75" spans="1:60" x14ac:dyDescent="0.25">
      <c r="A75" s="1">
        <v>46132</v>
      </c>
      <c r="B75" s="33">
        <v>25.49</v>
      </c>
      <c r="C75" s="33">
        <v>25.59</v>
      </c>
      <c r="D75" s="15">
        <v>-7.0367764950251396E-3</v>
      </c>
      <c r="E75" s="15">
        <v>-1.5618902042822699E-3</v>
      </c>
      <c r="F75" s="33">
        <v>0.13800000000000001</v>
      </c>
      <c r="G75" s="33">
        <v>0.53100000000000003</v>
      </c>
      <c r="H75" s="33">
        <v>0</v>
      </c>
      <c r="I75" s="33">
        <v>0.37854100000000002</v>
      </c>
      <c r="J75" s="33">
        <v>0.53100000000000003</v>
      </c>
      <c r="K75" s="33">
        <v>0.37854100000000002</v>
      </c>
      <c r="L75" s="33">
        <v>26.020999999999901</v>
      </c>
      <c r="M75" s="33">
        <v>25.968540999999998</v>
      </c>
      <c r="N75" s="34">
        <v>1.0039231071008199</v>
      </c>
      <c r="O75" s="34">
        <v>1.0011576279691501</v>
      </c>
      <c r="P75" s="34">
        <v>0.99874725589115798</v>
      </c>
      <c r="Q75" s="34">
        <v>1.00043883350481</v>
      </c>
      <c r="R75" s="33">
        <v>25.519507936933699</v>
      </c>
      <c r="S75" s="33">
        <v>25.4430399392533</v>
      </c>
      <c r="T75" s="33">
        <v>25.4946613445065</v>
      </c>
      <c r="U75" s="15">
        <v>-2.7584733491097602E-3</v>
      </c>
      <c r="V75" s="15">
        <v>-5.75942437116371E-3</v>
      </c>
      <c r="W75" s="15">
        <v>-3.73257896493816E-3</v>
      </c>
      <c r="X75" s="34">
        <v>0.99798397448214904</v>
      </c>
      <c r="Y75" s="34">
        <v>0.99838446436414396</v>
      </c>
      <c r="Z75" s="34">
        <v>0.99767650032240196</v>
      </c>
      <c r="AA75" s="34">
        <v>0.99790414529318905</v>
      </c>
      <c r="AB75" s="33">
        <v>25.978962147219399</v>
      </c>
      <c r="AC75" s="33">
        <v>25.9592706052788</v>
      </c>
      <c r="AD75" s="33">
        <v>25.967100128779901</v>
      </c>
      <c r="AE75" s="15">
        <v>4.0121841196760701E-4</v>
      </c>
      <c r="AF75" s="15">
        <v>-3.5704931646625898E-4</v>
      </c>
      <c r="AG75" s="15">
        <v>-5.54867982395827E-5</v>
      </c>
      <c r="AI75" s="12"/>
      <c r="AJ75">
        <f t="shared" si="6"/>
        <v>0</v>
      </c>
      <c r="AK75">
        <f t="shared" si="7"/>
        <v>1</v>
      </c>
      <c r="AL75">
        <f t="shared" si="14"/>
        <v>0</v>
      </c>
      <c r="AM75">
        <f t="shared" si="4"/>
        <v>1</v>
      </c>
      <c r="AN75">
        <f t="shared" si="15"/>
        <v>0</v>
      </c>
      <c r="AO75" s="28">
        <f t="shared" si="8"/>
        <v>0</v>
      </c>
      <c r="AP75" s="28">
        <f t="shared" si="9"/>
        <v>0</v>
      </c>
      <c r="AQ75" s="28">
        <f t="shared" si="16"/>
        <v>0</v>
      </c>
      <c r="AR75" s="29">
        <f t="shared" si="17"/>
        <v>5.6155853074185552E-3</v>
      </c>
      <c r="AT75" s="12"/>
      <c r="AU75">
        <f t="shared" si="10"/>
        <v>0</v>
      </c>
      <c r="AV75">
        <f t="shared" si="11"/>
        <v>1</v>
      </c>
      <c r="AW75">
        <f t="shared" si="18"/>
        <v>0</v>
      </c>
      <c r="AX75">
        <f t="shared" si="5"/>
        <v>1</v>
      </c>
      <c r="AY75">
        <f t="shared" si="19"/>
        <v>0</v>
      </c>
      <c r="AZ75" s="28">
        <f t="shared" si="12"/>
        <v>0</v>
      </c>
      <c r="BA75" s="28">
        <f t="shared" si="13"/>
        <v>0</v>
      </c>
      <c r="BB75" s="28">
        <f t="shared" si="20"/>
        <v>0</v>
      </c>
      <c r="BC75" s="29">
        <f t="shared" si="21"/>
        <v>6.3162529478759197E-3</v>
      </c>
      <c r="BE75" s="29">
        <f t="shared" si="22"/>
        <v>0</v>
      </c>
      <c r="BF75" s="29">
        <f t="shared" si="23"/>
        <v>1.1931838255294477E-2</v>
      </c>
      <c r="BH75" s="29"/>
    </row>
    <row r="76" spans="1:60" x14ac:dyDescent="0.25">
      <c r="A76" s="1">
        <v>46133</v>
      </c>
      <c r="B76" s="33">
        <v>25.44</v>
      </c>
      <c r="C76" s="33">
        <v>25.5</v>
      </c>
      <c r="D76" s="15">
        <v>-1.9634799161025798E-3</v>
      </c>
      <c r="E76" s="15">
        <v>-3.5231980073170098E-3</v>
      </c>
      <c r="F76" s="33">
        <v>0</v>
      </c>
      <c r="G76" s="33">
        <v>0.53100000000000003</v>
      </c>
      <c r="H76" s="33">
        <v>0</v>
      </c>
      <c r="I76" s="33">
        <v>0.37854100000000002</v>
      </c>
      <c r="J76" s="33">
        <v>0.53100000000000003</v>
      </c>
      <c r="K76" s="33">
        <v>0.37854100000000002</v>
      </c>
      <c r="L76" s="33">
        <v>25.971</v>
      </c>
      <c r="M76" s="33">
        <v>25.878540999999998</v>
      </c>
      <c r="N76" s="34">
        <v>1.0023584905660301</v>
      </c>
      <c r="O76" s="34">
        <v>1.0011576279691501</v>
      </c>
      <c r="P76" s="34">
        <v>0.999298313773609</v>
      </c>
      <c r="Q76" s="34">
        <v>1.00041742682292</v>
      </c>
      <c r="R76" s="33">
        <v>25.469450055535301</v>
      </c>
      <c r="S76" s="33">
        <v>25.408130189870999</v>
      </c>
      <c r="T76" s="33">
        <v>25.451163924362401</v>
      </c>
      <c r="U76" s="15">
        <v>-1.19875525789541E-3</v>
      </c>
      <c r="V76" s="15">
        <v>-3.6092431411570199E-3</v>
      </c>
      <c r="W76" s="15">
        <v>-1.916976446909E-3</v>
      </c>
      <c r="X76" s="34">
        <v>0.996439913749951</v>
      </c>
      <c r="Y76" s="34">
        <v>0.99838446436414396</v>
      </c>
      <c r="Z76" s="34">
        <v>0.99768699540282602</v>
      </c>
      <c r="AA76" s="34">
        <v>0.99785881451966696</v>
      </c>
      <c r="AB76" s="33">
        <v>25.929042924001202</v>
      </c>
      <c r="AC76" s="33">
        <v>25.9106563898731</v>
      </c>
      <c r="AD76" s="33">
        <v>25.916568557409398</v>
      </c>
      <c r="AE76" s="15">
        <v>1.9495964170597199E-3</v>
      </c>
      <c r="AF76" s="15">
        <v>1.24023524627991E-3</v>
      </c>
      <c r="AG76" s="15">
        <v>1.46838435393401E-3</v>
      </c>
      <c r="AI76" s="12"/>
      <c r="AJ76">
        <f t="shared" si="6"/>
        <v>0</v>
      </c>
      <c r="AK76">
        <f t="shared" si="7"/>
        <v>1</v>
      </c>
      <c r="AL76">
        <f t="shared" si="14"/>
        <v>0</v>
      </c>
      <c r="AM76">
        <f t="shared" si="4"/>
        <v>1</v>
      </c>
      <c r="AN76">
        <f t="shared" si="15"/>
        <v>0</v>
      </c>
      <c r="AO76" s="28">
        <f t="shared" si="8"/>
        <v>0</v>
      </c>
      <c r="AP76" s="28">
        <f t="shared" si="9"/>
        <v>0</v>
      </c>
      <c r="AQ76" s="28">
        <f t="shared" si="16"/>
        <v>0</v>
      </c>
      <c r="AR76" s="29">
        <f t="shared" si="17"/>
        <v>5.6155853074185552E-3</v>
      </c>
      <c r="AT76" s="12"/>
      <c r="AU76">
        <f t="shared" si="10"/>
        <v>1</v>
      </c>
      <c r="AV76">
        <f t="shared" si="11"/>
        <v>0</v>
      </c>
      <c r="AW76">
        <f t="shared" si="18"/>
        <v>0</v>
      </c>
      <c r="AX76">
        <f t="shared" si="5"/>
        <v>1</v>
      </c>
      <c r="AY76">
        <f t="shared" si="19"/>
        <v>0</v>
      </c>
      <c r="AZ76" s="28">
        <f t="shared" si="12"/>
        <v>0</v>
      </c>
      <c r="BA76" s="28">
        <f t="shared" si="13"/>
        <v>0</v>
      </c>
      <c r="BB76" s="28">
        <f t="shared" si="20"/>
        <v>0</v>
      </c>
      <c r="BC76" s="29">
        <f t="shared" si="21"/>
        <v>6.3162529478759197E-3</v>
      </c>
      <c r="BE76" s="29">
        <f t="shared" si="22"/>
        <v>0</v>
      </c>
      <c r="BF76" s="29">
        <f t="shared" si="23"/>
        <v>1.1931838255294477E-2</v>
      </c>
      <c r="BH76" s="29"/>
    </row>
    <row r="77" spans="1:60" x14ac:dyDescent="0.25">
      <c r="A77" s="1">
        <v>46134</v>
      </c>
      <c r="B77" s="33">
        <v>25.46</v>
      </c>
      <c r="C77" s="33">
        <v>25.55</v>
      </c>
      <c r="D77" s="15">
        <v>7.8585465733903802E-4</v>
      </c>
      <c r="E77" s="15">
        <v>1.9588644853329698E-3</v>
      </c>
      <c r="F77" s="33">
        <v>0</v>
      </c>
      <c r="G77" s="33">
        <v>0.53100000000000003</v>
      </c>
      <c r="H77" s="33">
        <v>0</v>
      </c>
      <c r="I77" s="33">
        <v>0.37854100000000002</v>
      </c>
      <c r="J77" s="33">
        <v>0.53100000000000003</v>
      </c>
      <c r="K77" s="33">
        <v>0.37854100000000002</v>
      </c>
      <c r="L77" s="33">
        <v>25.991</v>
      </c>
      <c r="M77" s="33">
        <v>25.928540999999999</v>
      </c>
      <c r="N77" s="34">
        <v>1.0035349567949701</v>
      </c>
      <c r="O77" s="34">
        <v>1.0011576279691501</v>
      </c>
      <c r="P77" s="34">
        <v>0.99988673505999703</v>
      </c>
      <c r="Q77" s="34">
        <v>1.00041431854756</v>
      </c>
      <c r="R77" s="33">
        <v>25.489473208094701</v>
      </c>
      <c r="S77" s="33">
        <v>25.442135068675999</v>
      </c>
      <c r="T77" s="33">
        <v>25.470627686911602</v>
      </c>
      <c r="U77" s="15">
        <v>-2.3717650858894202E-3</v>
      </c>
      <c r="V77" s="15">
        <v>-4.2306560438462697E-3</v>
      </c>
      <c r="W77" s="15">
        <v>-3.1113837958690201E-3</v>
      </c>
      <c r="X77" s="34">
        <v>0.99759689892655101</v>
      </c>
      <c r="Y77" s="34">
        <v>0.99838446436414396</v>
      </c>
      <c r="Z77" s="34">
        <v>0.99773380595255801</v>
      </c>
      <c r="AA77" s="34">
        <v>0.99783250513553401</v>
      </c>
      <c r="AB77" s="33">
        <v>25.949010613288401</v>
      </c>
      <c r="AC77" s="33">
        <v>25.9308826975148</v>
      </c>
      <c r="AD77" s="33">
        <v>25.935348448180601</v>
      </c>
      <c r="AE77" s="15">
        <v>7.8915113432385898E-4</v>
      </c>
      <c r="AF77" s="15">
        <v>9.0309430745026906E-5</v>
      </c>
      <c r="AG77" s="15">
        <v>2.62512059631435E-4</v>
      </c>
      <c r="AI77" s="12"/>
      <c r="AJ77">
        <f t="shared" si="6"/>
        <v>0</v>
      </c>
      <c r="AK77">
        <f t="shared" si="7"/>
        <v>1</v>
      </c>
      <c r="AL77">
        <f t="shared" si="14"/>
        <v>0</v>
      </c>
      <c r="AM77">
        <f t="shared" si="4"/>
        <v>1</v>
      </c>
      <c r="AN77">
        <f t="shared" si="15"/>
        <v>0</v>
      </c>
      <c r="AO77" s="28">
        <f t="shared" si="8"/>
        <v>0</v>
      </c>
      <c r="AP77" s="28">
        <f t="shared" si="9"/>
        <v>0</v>
      </c>
      <c r="AQ77" s="28">
        <f t="shared" si="16"/>
        <v>0</v>
      </c>
      <c r="AR77" s="29">
        <f t="shared" si="17"/>
        <v>5.6155853074185552E-3</v>
      </c>
      <c r="AT77" s="12"/>
      <c r="AU77">
        <f t="shared" si="10"/>
        <v>0</v>
      </c>
      <c r="AV77">
        <f t="shared" si="11"/>
        <v>0</v>
      </c>
      <c r="AW77">
        <f t="shared" si="18"/>
        <v>1</v>
      </c>
      <c r="AX77">
        <f t="shared" si="5"/>
        <v>1</v>
      </c>
      <c r="AY77">
        <f t="shared" si="19"/>
        <v>1</v>
      </c>
      <c r="AZ77" s="28">
        <f t="shared" si="12"/>
        <v>-7.8585465733903802E-4</v>
      </c>
      <c r="BA77" s="28">
        <f t="shared" si="13"/>
        <v>1.9588644853329698E-3</v>
      </c>
      <c r="BB77" s="28">
        <f t="shared" si="20"/>
        <v>1.1730098279939317E-3</v>
      </c>
      <c r="BC77" s="29">
        <f t="shared" si="21"/>
        <v>7.489262775869851E-3</v>
      </c>
      <c r="BE77" s="29">
        <f t="shared" si="22"/>
        <v>1.1730098279939317E-3</v>
      </c>
      <c r="BF77" s="29">
        <f t="shared" si="23"/>
        <v>1.3104848083288408E-2</v>
      </c>
      <c r="BH77" s="29"/>
    </row>
    <row r="78" spans="1:60" x14ac:dyDescent="0.25">
      <c r="A78" s="1">
        <v>46135</v>
      </c>
      <c r="B78" s="33">
        <v>25.42</v>
      </c>
      <c r="C78" s="33">
        <v>25.52</v>
      </c>
      <c r="D78" s="15">
        <v>-1.57232736795241E-3</v>
      </c>
      <c r="E78" s="15">
        <v>-1.17485817312432E-3</v>
      </c>
      <c r="F78" s="33">
        <v>0</v>
      </c>
      <c r="G78" s="33">
        <v>0.53100000000000003</v>
      </c>
      <c r="H78" s="33">
        <v>0</v>
      </c>
      <c r="I78" s="33">
        <v>0.37854100000000002</v>
      </c>
      <c r="J78" s="33">
        <v>0.53100000000000003</v>
      </c>
      <c r="K78" s="33">
        <v>0.37854100000000002</v>
      </c>
      <c r="L78" s="33">
        <v>25.951000000000001</v>
      </c>
      <c r="M78" s="33">
        <v>25.898540999999899</v>
      </c>
      <c r="N78" s="34">
        <v>1.0039339103068401</v>
      </c>
      <c r="O78" s="34">
        <v>1.0011576279691501</v>
      </c>
      <c r="P78" s="34">
        <v>1.0003976349038399</v>
      </c>
      <c r="Q78" s="34">
        <v>1.0003718749636601</v>
      </c>
      <c r="R78" s="33">
        <v>25.449426902975901</v>
      </c>
      <c r="S78" s="33">
        <v>25.4171208052251</v>
      </c>
      <c r="T78" s="33">
        <v>25.430531977478999</v>
      </c>
      <c r="U78" s="15">
        <v>-2.7692342807174399E-3</v>
      </c>
      <c r="V78" s="15">
        <v>-4.0394640702412603E-3</v>
      </c>
      <c r="W78" s="15">
        <v>-3.51195997394707E-3</v>
      </c>
      <c r="X78" s="34">
        <v>0.99797853647258195</v>
      </c>
      <c r="Y78" s="34">
        <v>0.99838446436414396</v>
      </c>
      <c r="Z78" s="34">
        <v>0.99770316366956202</v>
      </c>
      <c r="AA78" s="34">
        <v>0.99776615707002103</v>
      </c>
      <c r="AB78" s="33">
        <v>25.9090752347139</v>
      </c>
      <c r="AC78" s="33">
        <v>25.892189998274802</v>
      </c>
      <c r="AD78" s="33">
        <v>25.894751340772199</v>
      </c>
      <c r="AE78" s="15">
        <v>4.0666742169226898E-4</v>
      </c>
      <c r="AF78" s="15">
        <v>-2.4525630878575799E-4</v>
      </c>
      <c r="AG78" s="15">
        <v>-1.4633783886816801E-4</v>
      </c>
      <c r="AI78" s="12"/>
      <c r="AJ78">
        <f t="shared" si="6"/>
        <v>0</v>
      </c>
      <c r="AK78">
        <f t="shared" si="7"/>
        <v>1</v>
      </c>
      <c r="AL78">
        <f t="shared" si="14"/>
        <v>0</v>
      </c>
      <c r="AM78">
        <f t="shared" si="4"/>
        <v>1</v>
      </c>
      <c r="AN78">
        <f t="shared" si="15"/>
        <v>0</v>
      </c>
      <c r="AO78" s="28">
        <f t="shared" si="8"/>
        <v>0</v>
      </c>
      <c r="AP78" s="28">
        <f t="shared" si="9"/>
        <v>0</v>
      </c>
      <c r="AQ78" s="28">
        <f t="shared" si="16"/>
        <v>0</v>
      </c>
      <c r="AR78" s="29">
        <f t="shared" si="17"/>
        <v>5.6155853074185552E-3</v>
      </c>
      <c r="AT78" s="12"/>
      <c r="AU78">
        <f t="shared" si="10"/>
        <v>0</v>
      </c>
      <c r="AV78">
        <f t="shared" si="11"/>
        <v>1</v>
      </c>
      <c r="AW78">
        <f t="shared" si="18"/>
        <v>1</v>
      </c>
      <c r="AX78">
        <f t="shared" si="5"/>
        <v>1</v>
      </c>
      <c r="AY78">
        <f t="shared" si="19"/>
        <v>1</v>
      </c>
      <c r="AZ78" s="28">
        <f t="shared" si="12"/>
        <v>1.57232736795241E-3</v>
      </c>
      <c r="BA78" s="28">
        <f t="shared" si="13"/>
        <v>-1.17485817312432E-3</v>
      </c>
      <c r="BB78" s="28">
        <f t="shared" si="20"/>
        <v>3.9746919482808998E-4</v>
      </c>
      <c r="BC78" s="29">
        <f t="shared" si="21"/>
        <v>7.8867319706979414E-3</v>
      </c>
      <c r="BE78" s="29">
        <f t="shared" si="22"/>
        <v>3.9746919482808998E-4</v>
      </c>
      <c r="BF78" s="29">
        <f t="shared" si="23"/>
        <v>1.3502317278116498E-2</v>
      </c>
      <c r="BH78" s="29"/>
    </row>
    <row r="79" spans="1:60" x14ac:dyDescent="0.25">
      <c r="A79" s="1">
        <v>46136</v>
      </c>
      <c r="B79" s="33">
        <v>25.45</v>
      </c>
      <c r="C79" s="33">
        <v>25.57</v>
      </c>
      <c r="D79" s="15">
        <v>1.17947723522357E-3</v>
      </c>
      <c r="E79" s="15">
        <v>1.95733082650606E-3</v>
      </c>
      <c r="F79" s="33">
        <v>0</v>
      </c>
      <c r="G79" s="33">
        <v>0.53100000000000003</v>
      </c>
      <c r="H79" s="33">
        <v>0</v>
      </c>
      <c r="I79" s="33">
        <v>0.37854100000000002</v>
      </c>
      <c r="J79" s="33">
        <v>0.53100000000000003</v>
      </c>
      <c r="K79" s="33">
        <v>0.37854100000000002</v>
      </c>
      <c r="L79" s="33">
        <v>25.980999999999899</v>
      </c>
      <c r="M79" s="33">
        <v>25.948540999999999</v>
      </c>
      <c r="N79" s="34">
        <v>1.0047151277013699</v>
      </c>
      <c r="O79" s="34">
        <v>1.0011576279691501</v>
      </c>
      <c r="P79" s="34">
        <v>1.00102644220799</v>
      </c>
      <c r="Q79" s="34">
        <v>1.00042683584853</v>
      </c>
      <c r="R79" s="33">
        <v>25.479461631814999</v>
      </c>
      <c r="S79" s="33">
        <v>25.4601198083028</v>
      </c>
      <c r="T79" s="33">
        <v>25.4594642178252</v>
      </c>
      <c r="U79" s="15">
        <v>-3.5470878719998599E-3</v>
      </c>
      <c r="V79" s="15">
        <v>-4.3064904385280703E-3</v>
      </c>
      <c r="W79" s="15">
        <v>-4.3322404712570397E-3</v>
      </c>
      <c r="X79" s="34">
        <v>0.99875066394672996</v>
      </c>
      <c r="Y79" s="34">
        <v>0.99838446436414396</v>
      </c>
      <c r="Z79" s="34">
        <v>0.99778912345384896</v>
      </c>
      <c r="AA79" s="34">
        <v>0.99779801847208005</v>
      </c>
      <c r="AB79" s="33">
        <v>25.939026768644801</v>
      </c>
      <c r="AC79" s="33">
        <v>25.9213258952988</v>
      </c>
      <c r="AD79" s="33">
        <v>25.922962526836201</v>
      </c>
      <c r="AE79" s="15">
        <v>-3.6672489657668802E-4</v>
      </c>
      <c r="AF79" s="15">
        <v>-1.04936098075528E-3</v>
      </c>
      <c r="AG79" s="15">
        <v>-9.8622455482715791E-4</v>
      </c>
      <c r="AI79" s="12"/>
      <c r="AJ79">
        <f t="shared" si="6"/>
        <v>0</v>
      </c>
      <c r="AK79">
        <f t="shared" si="7"/>
        <v>0</v>
      </c>
      <c r="AL79">
        <f t="shared" si="14"/>
        <v>0</v>
      </c>
      <c r="AM79">
        <f t="shared" si="4"/>
        <v>1</v>
      </c>
      <c r="AN79">
        <f t="shared" si="15"/>
        <v>0</v>
      </c>
      <c r="AO79" s="28">
        <f t="shared" si="8"/>
        <v>0</v>
      </c>
      <c r="AP79" s="28">
        <f t="shared" si="9"/>
        <v>0</v>
      </c>
      <c r="AQ79" s="28">
        <f t="shared" si="16"/>
        <v>0</v>
      </c>
      <c r="AR79" s="29">
        <f t="shared" si="17"/>
        <v>5.6155853074185552E-3</v>
      </c>
      <c r="AT79" s="12"/>
      <c r="AU79">
        <f t="shared" si="10"/>
        <v>0</v>
      </c>
      <c r="AV79">
        <f t="shared" si="11"/>
        <v>1</v>
      </c>
      <c r="AW79">
        <f t="shared" si="18"/>
        <v>0</v>
      </c>
      <c r="AX79">
        <f t="shared" si="5"/>
        <v>1</v>
      </c>
      <c r="AY79">
        <f t="shared" si="19"/>
        <v>0</v>
      </c>
      <c r="AZ79" s="28">
        <f t="shared" si="12"/>
        <v>0</v>
      </c>
      <c r="BA79" s="28">
        <f t="shared" si="13"/>
        <v>0</v>
      </c>
      <c r="BB79" s="28">
        <f t="shared" si="20"/>
        <v>0</v>
      </c>
      <c r="BC79" s="29">
        <f t="shared" si="21"/>
        <v>7.8867319706979414E-3</v>
      </c>
      <c r="BE79" s="29">
        <f t="shared" si="22"/>
        <v>0</v>
      </c>
      <c r="BF79" s="29">
        <f t="shared" si="23"/>
        <v>1.3502317278116498E-2</v>
      </c>
      <c r="BH79" s="29"/>
    </row>
    <row r="80" spans="1:60" x14ac:dyDescent="0.25">
      <c r="A80" s="1">
        <v>46139</v>
      </c>
      <c r="B80" s="33">
        <v>25.45</v>
      </c>
      <c r="C80" s="33">
        <v>25.55</v>
      </c>
      <c r="D80" s="15">
        <v>0</v>
      </c>
      <c r="E80" s="15">
        <v>-7.8247265338180503E-4</v>
      </c>
      <c r="F80" s="33">
        <v>0</v>
      </c>
      <c r="G80" s="33">
        <v>0.53100000000000003</v>
      </c>
      <c r="H80" s="33">
        <v>0</v>
      </c>
      <c r="I80" s="33">
        <v>0.37854100000000002</v>
      </c>
      <c r="J80" s="33">
        <v>0.53100000000000003</v>
      </c>
      <c r="K80" s="33">
        <v>0.37854100000000002</v>
      </c>
      <c r="L80" s="33">
        <v>25.980999999999899</v>
      </c>
      <c r="M80" s="33">
        <v>25.928540999999999</v>
      </c>
      <c r="N80" s="34">
        <v>1.00392927308447</v>
      </c>
      <c r="O80" s="34">
        <v>1.0011576279691501</v>
      </c>
      <c r="P80" s="34">
        <v>1.00153692437537</v>
      </c>
      <c r="Q80" s="34">
        <v>1.0003410414382301</v>
      </c>
      <c r="R80" s="33">
        <v>25.479461631814999</v>
      </c>
      <c r="S80" s="33">
        <v>25.4761229541934</v>
      </c>
      <c r="T80" s="33">
        <v>25.460862972345101</v>
      </c>
      <c r="U80" s="15">
        <v>-2.7646152186180601E-3</v>
      </c>
      <c r="V80" s="15">
        <v>-2.8956578767857701E-3</v>
      </c>
      <c r="W80" s="15">
        <v>-3.4948288731581302E-3</v>
      </c>
      <c r="X80" s="34">
        <v>0.99798087063623397</v>
      </c>
      <c r="Y80" s="34">
        <v>0.99838446436414396</v>
      </c>
      <c r="Z80" s="34">
        <v>0.99775878077178504</v>
      </c>
      <c r="AA80" s="34">
        <v>0.99769249327448295</v>
      </c>
      <c r="AB80" s="33">
        <v>25.939026768644801</v>
      </c>
      <c r="AC80" s="33">
        <v>25.9235592164544</v>
      </c>
      <c r="AD80" s="33">
        <v>25.9237903179231</v>
      </c>
      <c r="AE80" s="15">
        <v>4.0432853279199999E-4</v>
      </c>
      <c r="AF80" s="15">
        <v>-1.9215358838226999E-4</v>
      </c>
      <c r="AG80" s="15">
        <v>-1.8323890052464301E-4</v>
      </c>
      <c r="AI80" s="12"/>
      <c r="AJ80">
        <f t="shared" si="6"/>
        <v>0</v>
      </c>
      <c r="AK80">
        <f t="shared" si="7"/>
        <v>1</v>
      </c>
      <c r="AL80">
        <f t="shared" si="14"/>
        <v>0</v>
      </c>
      <c r="AM80">
        <f t="shared" si="4"/>
        <v>1</v>
      </c>
      <c r="AN80">
        <f t="shared" si="15"/>
        <v>0</v>
      </c>
      <c r="AO80" s="28">
        <f t="shared" si="8"/>
        <v>0</v>
      </c>
      <c r="AP80" s="28">
        <f t="shared" si="9"/>
        <v>0</v>
      </c>
      <c r="AQ80" s="28">
        <f t="shared" si="16"/>
        <v>0</v>
      </c>
      <c r="AR80" s="29">
        <f t="shared" si="17"/>
        <v>5.6155853074185552E-3</v>
      </c>
      <c r="AT80" s="12"/>
      <c r="AU80">
        <f t="shared" si="10"/>
        <v>0</v>
      </c>
      <c r="AV80">
        <f t="shared" si="11"/>
        <v>1</v>
      </c>
      <c r="AW80">
        <f t="shared" si="18"/>
        <v>0</v>
      </c>
      <c r="AX80">
        <f t="shared" si="5"/>
        <v>1</v>
      </c>
      <c r="AY80">
        <f t="shared" si="19"/>
        <v>0</v>
      </c>
      <c r="AZ80" s="28">
        <f t="shared" si="12"/>
        <v>0</v>
      </c>
      <c r="BA80" s="28">
        <f t="shared" si="13"/>
        <v>0</v>
      </c>
      <c r="BB80" s="28">
        <f t="shared" si="20"/>
        <v>0</v>
      </c>
      <c r="BC80" s="29">
        <f t="shared" si="21"/>
        <v>7.8867319706979414E-3</v>
      </c>
      <c r="BE80" s="29">
        <f t="shared" si="22"/>
        <v>0</v>
      </c>
      <c r="BF80" s="29">
        <f t="shared" si="23"/>
        <v>1.3502317278116498E-2</v>
      </c>
      <c r="BH80" s="29"/>
    </row>
    <row r="81" spans="1:60" x14ac:dyDescent="0.25">
      <c r="A81" s="1">
        <v>46140</v>
      </c>
      <c r="B81" s="33">
        <v>25.44</v>
      </c>
      <c r="C81" s="33">
        <v>25.54</v>
      </c>
      <c r="D81" s="15">
        <v>-3.9300452461028199E-4</v>
      </c>
      <c r="E81" s="15">
        <v>-3.91466045320285E-4</v>
      </c>
      <c r="F81" s="33">
        <v>0</v>
      </c>
      <c r="G81" s="33">
        <v>0.53100000000000003</v>
      </c>
      <c r="H81" s="33">
        <v>0</v>
      </c>
      <c r="I81" s="33">
        <v>0.37854100000000002</v>
      </c>
      <c r="J81" s="33">
        <v>0.53100000000000003</v>
      </c>
      <c r="K81" s="33">
        <v>0.37854100000000002</v>
      </c>
      <c r="L81" s="33">
        <v>25.971</v>
      </c>
      <c r="M81" s="33">
        <v>25.918540999999902</v>
      </c>
      <c r="N81" s="34">
        <v>1.0039308176100601</v>
      </c>
      <c r="O81" s="34">
        <v>1.0011576279691501</v>
      </c>
      <c r="P81" s="34">
        <v>1.0021250900224501</v>
      </c>
      <c r="Q81" s="34">
        <v>1.00031643233884</v>
      </c>
      <c r="R81" s="33">
        <v>25.469450055535301</v>
      </c>
      <c r="S81" s="33">
        <v>25.4790993561096</v>
      </c>
      <c r="T81" s="33">
        <v>25.448676094188698</v>
      </c>
      <c r="U81" s="15">
        <v>-2.76615369790816E-3</v>
      </c>
      <c r="V81" s="15">
        <v>-2.3873676166137302E-3</v>
      </c>
      <c r="W81" s="15">
        <v>-3.58212883564561E-3</v>
      </c>
      <c r="X81" s="34">
        <v>0.99798009318085501</v>
      </c>
      <c r="Y81" s="34">
        <v>0.99838446436414396</v>
      </c>
      <c r="Z81" s="34">
        <v>0.99780449020131001</v>
      </c>
      <c r="AA81" s="34">
        <v>0.99764631723448005</v>
      </c>
      <c r="AB81" s="33">
        <v>25.929042924001202</v>
      </c>
      <c r="AC81" s="33">
        <v>25.912793295423999</v>
      </c>
      <c r="AD81" s="33">
        <v>25.911071742831599</v>
      </c>
      <c r="AE81" s="15">
        <v>4.0510756143324802E-4</v>
      </c>
      <c r="AF81" s="15">
        <v>-2.2178493676307601E-4</v>
      </c>
      <c r="AG81" s="15">
        <v>-2.88223539587482E-4</v>
      </c>
      <c r="AI81" s="12"/>
      <c r="AJ81">
        <f t="shared" si="6"/>
        <v>0</v>
      </c>
      <c r="AK81">
        <f t="shared" si="7"/>
        <v>0</v>
      </c>
      <c r="AL81">
        <f t="shared" si="14"/>
        <v>0</v>
      </c>
      <c r="AM81">
        <f t="shared" si="4"/>
        <v>1</v>
      </c>
      <c r="AN81">
        <f t="shared" si="15"/>
        <v>0</v>
      </c>
      <c r="AO81" s="28">
        <f t="shared" si="8"/>
        <v>0</v>
      </c>
      <c r="AP81" s="28">
        <f t="shared" si="9"/>
        <v>0</v>
      </c>
      <c r="AQ81" s="28">
        <f t="shared" si="16"/>
        <v>0</v>
      </c>
      <c r="AR81" s="29">
        <f t="shared" si="17"/>
        <v>5.6155853074185552E-3</v>
      </c>
      <c r="AT81" s="12"/>
      <c r="AU81">
        <f t="shared" si="10"/>
        <v>0</v>
      </c>
      <c r="AV81">
        <f t="shared" si="11"/>
        <v>1</v>
      </c>
      <c r="AW81">
        <f t="shared" si="18"/>
        <v>0</v>
      </c>
      <c r="AX81">
        <f t="shared" si="5"/>
        <v>1</v>
      </c>
      <c r="AY81">
        <f t="shared" si="19"/>
        <v>0</v>
      </c>
      <c r="AZ81" s="28">
        <f t="shared" si="12"/>
        <v>0</v>
      </c>
      <c r="BA81" s="28">
        <f t="shared" si="13"/>
        <v>0</v>
      </c>
      <c r="BB81" s="28">
        <f t="shared" si="20"/>
        <v>0</v>
      </c>
      <c r="BC81" s="29">
        <f t="shared" si="21"/>
        <v>7.8867319706979414E-3</v>
      </c>
      <c r="BE81" s="29">
        <f t="shared" si="22"/>
        <v>0</v>
      </c>
      <c r="BF81" s="29">
        <f t="shared" si="23"/>
        <v>1.3502317278116498E-2</v>
      </c>
      <c r="BH81" s="29"/>
    </row>
    <row r="82" spans="1:60" x14ac:dyDescent="0.25">
      <c r="A82" s="1">
        <v>46141</v>
      </c>
      <c r="B82" s="33">
        <v>25.33</v>
      </c>
      <c r="C82" s="33">
        <v>25.44</v>
      </c>
      <c r="D82" s="15">
        <v>-4.3332744583376099E-3</v>
      </c>
      <c r="E82" s="15">
        <v>-3.92311213247177E-3</v>
      </c>
      <c r="F82" s="33">
        <v>0</v>
      </c>
      <c r="G82" s="33">
        <v>0.53100000000000003</v>
      </c>
      <c r="H82" s="33">
        <v>0</v>
      </c>
      <c r="I82" s="33">
        <v>0.37854100000000002</v>
      </c>
      <c r="J82" s="33">
        <v>0.53100000000000003</v>
      </c>
      <c r="K82" s="33">
        <v>0.37854100000000002</v>
      </c>
      <c r="L82" s="33">
        <v>25.860999999999901</v>
      </c>
      <c r="M82" s="33">
        <v>25.818541</v>
      </c>
      <c r="N82" s="34">
        <v>1.0043426766679799</v>
      </c>
      <c r="O82" s="34">
        <v>1.0011576279691501</v>
      </c>
      <c r="P82" s="34">
        <v>1.00279364117226</v>
      </c>
      <c r="Q82" s="34">
        <v>1.00039456696652</v>
      </c>
      <c r="R82" s="33">
        <v>25.359322716458699</v>
      </c>
      <c r="S82" s="33">
        <v>25.383828530268701</v>
      </c>
      <c r="T82" s="33">
        <v>25.338015231142901</v>
      </c>
      <c r="U82" s="15">
        <v>-3.17631602377397E-3</v>
      </c>
      <c r="V82" s="15">
        <v>-2.2104392458000902E-3</v>
      </c>
      <c r="W82" s="15">
        <v>-4.0168921736448704E-3</v>
      </c>
      <c r="X82" s="34">
        <v>0.99835818413827704</v>
      </c>
      <c r="Y82" s="34">
        <v>0.99838446436414396</v>
      </c>
      <c r="Z82" s="34">
        <v>0.99792665634424604</v>
      </c>
      <c r="AA82" s="34">
        <v>0.99769658869846201</v>
      </c>
      <c r="AB82" s="33">
        <v>25.819220632921098</v>
      </c>
      <c r="AC82" s="33">
        <v>25.804221921096001</v>
      </c>
      <c r="AD82" s="33">
        <v>25.800131410000802</v>
      </c>
      <c r="AE82" s="15">
        <v>2.6323097659131099E-5</v>
      </c>
      <c r="AF82" s="15">
        <v>-5.5475834538438096E-4</v>
      </c>
      <c r="AG82" s="15">
        <v>-7.1329191240843495E-4</v>
      </c>
      <c r="AI82" s="12"/>
      <c r="AJ82">
        <f t="shared" si="6"/>
        <v>0</v>
      </c>
      <c r="AK82">
        <f t="shared" si="7"/>
        <v>0</v>
      </c>
      <c r="AL82">
        <f t="shared" si="14"/>
        <v>0</v>
      </c>
      <c r="AM82">
        <f t="shared" si="4"/>
        <v>1</v>
      </c>
      <c r="AN82">
        <f t="shared" si="15"/>
        <v>0</v>
      </c>
      <c r="AO82" s="28">
        <f t="shared" si="8"/>
        <v>0</v>
      </c>
      <c r="AP82" s="28">
        <f t="shared" si="9"/>
        <v>0</v>
      </c>
      <c r="AQ82" s="28">
        <f t="shared" si="16"/>
        <v>0</v>
      </c>
      <c r="AR82" s="29">
        <f t="shared" si="17"/>
        <v>5.6155853074185552E-3</v>
      </c>
      <c r="AT82" s="12"/>
      <c r="AU82">
        <f t="shared" si="10"/>
        <v>0</v>
      </c>
      <c r="AV82">
        <f t="shared" si="11"/>
        <v>1</v>
      </c>
      <c r="AW82">
        <f t="shared" si="18"/>
        <v>0</v>
      </c>
      <c r="AX82">
        <f t="shared" si="5"/>
        <v>1</v>
      </c>
      <c r="AY82">
        <f t="shared" si="19"/>
        <v>0</v>
      </c>
      <c r="AZ82" s="28">
        <f t="shared" si="12"/>
        <v>0</v>
      </c>
      <c r="BA82" s="28">
        <f t="shared" si="13"/>
        <v>0</v>
      </c>
      <c r="BB82" s="28">
        <f t="shared" si="20"/>
        <v>0</v>
      </c>
      <c r="BC82" s="29">
        <f t="shared" si="21"/>
        <v>7.8867319706979414E-3</v>
      </c>
      <c r="BE82" s="29">
        <f t="shared" si="22"/>
        <v>0</v>
      </c>
      <c r="BF82" s="29">
        <f t="shared" si="23"/>
        <v>1.3502317278116498E-2</v>
      </c>
      <c r="BH82" s="29"/>
    </row>
    <row r="83" spans="1:60" x14ac:dyDescent="0.25">
      <c r="A83" s="1">
        <v>46142</v>
      </c>
      <c r="B83" s="33">
        <v>25.43</v>
      </c>
      <c r="C83" s="33">
        <v>25.55</v>
      </c>
      <c r="D83" s="15">
        <v>3.9401154204445499E-3</v>
      </c>
      <c r="E83" s="15">
        <v>4.3145781777921104E-3</v>
      </c>
      <c r="F83" s="33">
        <v>0</v>
      </c>
      <c r="G83" s="33">
        <v>0.53100000000000003</v>
      </c>
      <c r="H83" s="33">
        <v>0</v>
      </c>
      <c r="I83" s="33">
        <v>0.37854100000000002</v>
      </c>
      <c r="J83" s="33">
        <v>0.53100000000000003</v>
      </c>
      <c r="K83" s="33">
        <v>0.37854100000000002</v>
      </c>
      <c r="L83" s="33">
        <v>25.960999999999999</v>
      </c>
      <c r="M83" s="33">
        <v>25.928540999999999</v>
      </c>
      <c r="N83" s="34">
        <v>1.00471883602044</v>
      </c>
      <c r="O83" s="34">
        <v>1.0011576279691501</v>
      </c>
      <c r="P83" s="34">
        <v>1.00338289566633</v>
      </c>
      <c r="Q83" s="34">
        <v>1.0007493206487299</v>
      </c>
      <c r="R83" s="33">
        <v>25.459438479255599</v>
      </c>
      <c r="S83" s="33">
        <v>25.501042295010699</v>
      </c>
      <c r="T83" s="33">
        <v>25.440033837958701</v>
      </c>
      <c r="U83" s="15">
        <v>-3.5507787811215E-3</v>
      </c>
      <c r="V83" s="15">
        <v>-1.9179910065174699E-3</v>
      </c>
      <c r="W83" s="15">
        <v>-4.3132480702342199E-3</v>
      </c>
      <c r="X83" s="34">
        <v>0.99874970147528896</v>
      </c>
      <c r="Y83" s="34">
        <v>0.99838446436414396</v>
      </c>
      <c r="Z83" s="34">
        <v>0.99797293231383799</v>
      </c>
      <c r="AA83" s="34">
        <v>0.99777925764306796</v>
      </c>
      <c r="AB83" s="33">
        <v>25.919059079357499</v>
      </c>
      <c r="AC83" s="33">
        <v>25.9071739253529</v>
      </c>
      <c r="AD83" s="33">
        <v>25.901201139200701</v>
      </c>
      <c r="AE83" s="15">
        <v>-3.6576122071755701E-4</v>
      </c>
      <c r="AF83" s="15">
        <v>-8.2441520823948403E-4</v>
      </c>
      <c r="AG83" s="15">
        <v>-1.05498743410949E-3</v>
      </c>
      <c r="AI83" s="12"/>
      <c r="AJ83">
        <f t="shared" si="6"/>
        <v>1</v>
      </c>
      <c r="AK83">
        <f t="shared" si="7"/>
        <v>0</v>
      </c>
      <c r="AL83">
        <f t="shared" si="14"/>
        <v>0</v>
      </c>
      <c r="AM83">
        <f t="shared" si="4"/>
        <v>0</v>
      </c>
      <c r="AN83">
        <f t="shared" si="15"/>
        <v>0</v>
      </c>
      <c r="AO83" s="28">
        <f t="shared" si="8"/>
        <v>0</v>
      </c>
      <c r="AP83" s="28">
        <f t="shared" si="9"/>
        <v>0</v>
      </c>
      <c r="AQ83" s="28">
        <f t="shared" si="16"/>
        <v>0</v>
      </c>
      <c r="AR83" s="29">
        <f t="shared" si="17"/>
        <v>5.6155853074185552E-3</v>
      </c>
      <c r="AT83" s="12"/>
      <c r="AU83">
        <f t="shared" si="10"/>
        <v>0</v>
      </c>
      <c r="AV83">
        <f t="shared" si="11"/>
        <v>1</v>
      </c>
      <c r="AW83">
        <f t="shared" si="18"/>
        <v>0</v>
      </c>
      <c r="AX83">
        <f t="shared" si="5"/>
        <v>0</v>
      </c>
      <c r="AY83">
        <f t="shared" si="19"/>
        <v>0</v>
      </c>
      <c r="AZ83" s="28">
        <f t="shared" si="12"/>
        <v>0</v>
      </c>
      <c r="BA83" s="28">
        <f t="shared" si="13"/>
        <v>0</v>
      </c>
      <c r="BB83" s="28">
        <f t="shared" si="20"/>
        <v>0</v>
      </c>
      <c r="BC83" s="29">
        <f t="shared" si="21"/>
        <v>7.8867319706979414E-3</v>
      </c>
      <c r="BE83" s="29">
        <f t="shared" si="22"/>
        <v>0</v>
      </c>
      <c r="BF83" s="29">
        <f t="shared" si="23"/>
        <v>1.3502317278116498E-2</v>
      </c>
      <c r="BH83" s="29"/>
    </row>
    <row r="84" spans="1:60" x14ac:dyDescent="0.25">
      <c r="A84" s="1">
        <v>46143</v>
      </c>
      <c r="B84" s="33">
        <v>25.46</v>
      </c>
      <c r="C84" s="33">
        <v>25.43</v>
      </c>
      <c r="D84" s="15">
        <v>1.1790136952323301E-3</v>
      </c>
      <c r="E84" s="15">
        <v>-4.7077372156852102E-3</v>
      </c>
      <c r="F84" s="33">
        <v>0</v>
      </c>
      <c r="G84" s="33">
        <v>0.53100000000000003</v>
      </c>
      <c r="H84" s="33">
        <v>0.13374800000000001</v>
      </c>
      <c r="I84" s="33">
        <v>0.51228899999999999</v>
      </c>
      <c r="J84" s="33">
        <v>0.53100000000000003</v>
      </c>
      <c r="K84" s="33">
        <v>0.51228899999999999</v>
      </c>
      <c r="L84" s="33">
        <v>25.991</v>
      </c>
      <c r="M84" s="33">
        <v>25.942288999999999</v>
      </c>
      <c r="N84" s="34">
        <v>0.99882168106834202</v>
      </c>
      <c r="O84" s="34">
        <v>1.0011576279691501</v>
      </c>
      <c r="P84" s="34">
        <v>1.00342088769213</v>
      </c>
      <c r="Q84" s="34">
        <v>1.0007892971072101</v>
      </c>
      <c r="R84" s="33">
        <v>25.489473208094701</v>
      </c>
      <c r="S84" s="33">
        <v>25.546128523664699</v>
      </c>
      <c r="T84" s="33">
        <v>25.479077703716801</v>
      </c>
      <c r="U84" s="15">
        <v>2.3359721297957501E-3</v>
      </c>
      <c r="V84" s="15">
        <v>4.5562002419662299E-3</v>
      </c>
      <c r="W84" s="15">
        <v>1.9280537434168299E-3</v>
      </c>
      <c r="X84" s="34">
        <v>0.99812585125620401</v>
      </c>
      <c r="Y84" s="34">
        <v>0.99838446436414396</v>
      </c>
      <c r="Z84" s="34">
        <v>0.99799446882648202</v>
      </c>
      <c r="AA84" s="34">
        <v>0.99781108870936497</v>
      </c>
      <c r="AB84" s="33">
        <v>25.949010613288401</v>
      </c>
      <c r="AC84" s="33">
        <v>25.938314483768899</v>
      </c>
      <c r="AD84" s="33">
        <v>25.933280685400899</v>
      </c>
      <c r="AE84" s="15">
        <v>2.5906513716821299E-4</v>
      </c>
      <c r="AF84" s="15">
        <v>-1.5321781058452399E-4</v>
      </c>
      <c r="AG84" s="15">
        <v>-3.47304704090367E-4</v>
      </c>
      <c r="AI84" s="12"/>
      <c r="AJ84">
        <f t="shared" si="6"/>
        <v>0</v>
      </c>
      <c r="AK84">
        <f t="shared" si="7"/>
        <v>0</v>
      </c>
      <c r="AL84">
        <f t="shared" si="14"/>
        <v>0</v>
      </c>
      <c r="AM84">
        <f t="shared" si="4"/>
        <v>1</v>
      </c>
      <c r="AN84">
        <f t="shared" si="15"/>
        <v>0</v>
      </c>
      <c r="AO84" s="28">
        <f t="shared" si="8"/>
        <v>0</v>
      </c>
      <c r="AP84" s="28">
        <f t="shared" si="9"/>
        <v>0</v>
      </c>
      <c r="AQ84" s="28">
        <f t="shared" si="16"/>
        <v>0</v>
      </c>
      <c r="AR84" s="29">
        <f t="shared" si="17"/>
        <v>5.6155853074185552E-3</v>
      </c>
      <c r="AT84" s="12"/>
      <c r="AU84">
        <f t="shared" si="10"/>
        <v>0</v>
      </c>
      <c r="AV84">
        <f t="shared" si="11"/>
        <v>1</v>
      </c>
      <c r="AW84">
        <f t="shared" si="18"/>
        <v>0</v>
      </c>
      <c r="AX84">
        <f t="shared" si="5"/>
        <v>1</v>
      </c>
      <c r="AY84">
        <f t="shared" si="19"/>
        <v>0</v>
      </c>
      <c r="AZ84" s="28">
        <f t="shared" si="12"/>
        <v>0</v>
      </c>
      <c r="BA84" s="28">
        <f t="shared" si="13"/>
        <v>0</v>
      </c>
      <c r="BB84" s="28">
        <f t="shared" si="20"/>
        <v>0</v>
      </c>
      <c r="BC84" s="29">
        <f t="shared" si="21"/>
        <v>7.8867319706979414E-3</v>
      </c>
      <c r="BE84" s="29">
        <f t="shared" si="22"/>
        <v>0</v>
      </c>
      <c r="BF84" s="29">
        <f t="shared" si="23"/>
        <v>1.3502317278116498E-2</v>
      </c>
      <c r="BH84" s="29"/>
    </row>
    <row r="85" spans="1:60" x14ac:dyDescent="0.25">
      <c r="A85" s="1">
        <v>46146</v>
      </c>
      <c r="B85" s="33">
        <v>25.38</v>
      </c>
      <c r="C85" s="33">
        <v>25.32</v>
      </c>
      <c r="D85" s="15">
        <v>-3.1471308430189599E-3</v>
      </c>
      <c r="E85" s="15">
        <v>-4.3349821580528003E-3</v>
      </c>
      <c r="F85" s="33">
        <v>0</v>
      </c>
      <c r="G85" s="33">
        <v>0.53100000000000003</v>
      </c>
      <c r="H85" s="33">
        <v>0</v>
      </c>
      <c r="I85" s="33">
        <v>0.51228899999999999</v>
      </c>
      <c r="J85" s="33">
        <v>0.53100000000000003</v>
      </c>
      <c r="K85" s="33">
        <v>0.51228899999999999</v>
      </c>
      <c r="L85" s="33">
        <v>25.910999999999898</v>
      </c>
      <c r="M85" s="33">
        <v>25.832288999999999</v>
      </c>
      <c r="N85" s="34">
        <v>0.99763593380614601</v>
      </c>
      <c r="O85" s="34">
        <v>1.0011576279691501</v>
      </c>
      <c r="P85" s="34">
        <v>1.0027921703626601</v>
      </c>
      <c r="Q85" s="34">
        <v>1.00076971312691</v>
      </c>
      <c r="R85" s="33">
        <v>25.409380597857101</v>
      </c>
      <c r="S85" s="33">
        <v>25.466822129626401</v>
      </c>
      <c r="T85" s="33">
        <v>25.4000323605811</v>
      </c>
      <c r="U85" s="15">
        <v>3.5238234448297201E-3</v>
      </c>
      <c r="V85" s="15">
        <v>5.7819147762400401E-3</v>
      </c>
      <c r="W85" s="15">
        <v>3.1558507863334098E-3</v>
      </c>
      <c r="X85" s="34">
        <v>0.99696225541275896</v>
      </c>
      <c r="Y85" s="34">
        <v>0.99838446436414396</v>
      </c>
      <c r="Z85" s="34">
        <v>0.99789229691954295</v>
      </c>
      <c r="AA85" s="34">
        <v>0.99778439862097301</v>
      </c>
      <c r="AB85" s="33">
        <v>25.869139856139299</v>
      </c>
      <c r="AC85" s="33">
        <v>25.8590346817629</v>
      </c>
      <c r="AD85" s="33">
        <v>25.854283119548299</v>
      </c>
      <c r="AE85" s="15">
        <v>1.4255258779151999E-3</v>
      </c>
      <c r="AF85" s="15">
        <v>1.03482295459817E-3</v>
      </c>
      <c r="AG85" s="15">
        <v>8.5105744002556005E-4</v>
      </c>
      <c r="AI85" s="12"/>
      <c r="AJ85">
        <f t="shared" si="6"/>
        <v>0</v>
      </c>
      <c r="AK85">
        <f t="shared" si="7"/>
        <v>1</v>
      </c>
      <c r="AL85">
        <f t="shared" si="14"/>
        <v>0</v>
      </c>
      <c r="AM85">
        <f t="shared" ref="AM85:AM148" si="24">IF(F86+H86&gt;0,0,1)</f>
        <v>1</v>
      </c>
      <c r="AN85">
        <f t="shared" si="15"/>
        <v>0</v>
      </c>
      <c r="AO85" s="28">
        <f t="shared" si="8"/>
        <v>0</v>
      </c>
      <c r="AP85" s="28">
        <f t="shared" si="9"/>
        <v>0</v>
      </c>
      <c r="AQ85" s="28">
        <f t="shared" si="16"/>
        <v>0</v>
      </c>
      <c r="AR85" s="29">
        <f t="shared" si="17"/>
        <v>5.6155853074185552E-3</v>
      </c>
      <c r="AT85" s="12"/>
      <c r="AU85">
        <f t="shared" si="10"/>
        <v>0</v>
      </c>
      <c r="AV85">
        <f t="shared" si="11"/>
        <v>0</v>
      </c>
      <c r="AW85">
        <f t="shared" si="18"/>
        <v>0</v>
      </c>
      <c r="AX85">
        <f t="shared" ref="AX85:AX148" si="25">IF(F86+H86&gt;0,0,1)</f>
        <v>1</v>
      </c>
      <c r="AY85">
        <f t="shared" si="19"/>
        <v>0</v>
      </c>
      <c r="AZ85" s="28">
        <f t="shared" si="12"/>
        <v>0</v>
      </c>
      <c r="BA85" s="28">
        <f t="shared" si="13"/>
        <v>0</v>
      </c>
      <c r="BB85" s="28">
        <f t="shared" si="20"/>
        <v>0</v>
      </c>
      <c r="BC85" s="29">
        <f t="shared" si="21"/>
        <v>7.8867319706979414E-3</v>
      </c>
      <c r="BE85" s="29">
        <f t="shared" si="22"/>
        <v>0</v>
      </c>
      <c r="BF85" s="29">
        <f t="shared" si="23"/>
        <v>1.3502317278116498E-2</v>
      </c>
      <c r="BH85" s="29"/>
    </row>
    <row r="86" spans="1:60" x14ac:dyDescent="0.25">
      <c r="A86" s="1">
        <v>46147</v>
      </c>
      <c r="B86" s="33">
        <v>25.4</v>
      </c>
      <c r="C86" s="33">
        <v>25.36</v>
      </c>
      <c r="D86" s="15">
        <v>7.8771173824918603E-4</v>
      </c>
      <c r="E86" s="15">
        <v>1.5785322930497801E-3</v>
      </c>
      <c r="F86" s="33">
        <v>0</v>
      </c>
      <c r="G86" s="33">
        <v>0.53100000000000003</v>
      </c>
      <c r="H86" s="33">
        <v>0</v>
      </c>
      <c r="I86" s="33">
        <v>0.51228899999999999</v>
      </c>
      <c r="J86" s="33">
        <v>0.53100000000000003</v>
      </c>
      <c r="K86" s="33">
        <v>0.51228899999999999</v>
      </c>
      <c r="L86" s="33">
        <v>25.930999999999901</v>
      </c>
      <c r="M86" s="33">
        <v>25.872288999999999</v>
      </c>
      <c r="N86" s="34">
        <v>0.99842519685039299</v>
      </c>
      <c r="O86" s="34">
        <v>1.0011576279691501</v>
      </c>
      <c r="P86" s="34">
        <v>1.0023988409911</v>
      </c>
      <c r="Q86" s="34">
        <v>1.0008485773823499</v>
      </c>
      <c r="R86" s="33">
        <v>25.429403750416501</v>
      </c>
      <c r="S86" s="33">
        <v>25.4709211272117</v>
      </c>
      <c r="T86" s="33">
        <v>25.4195507134236</v>
      </c>
      <c r="U86" s="15">
        <v>2.7330028900293202E-3</v>
      </c>
      <c r="V86" s="15">
        <v>4.3643239514268998E-3</v>
      </c>
      <c r="W86" s="15">
        <v>2.3454615051504298E-3</v>
      </c>
      <c r="X86" s="34">
        <v>0.99773587597855795</v>
      </c>
      <c r="Y86" s="34">
        <v>0.99838446436414396</v>
      </c>
      <c r="Z86" s="34">
        <v>0.99802189314240397</v>
      </c>
      <c r="AA86" s="34">
        <v>0.99785444427261505</v>
      </c>
      <c r="AB86" s="33">
        <v>25.889107545426601</v>
      </c>
      <c r="AC86" s="33">
        <v>25.876345151420601</v>
      </c>
      <c r="AD86" s="33">
        <v>25.873547240640399</v>
      </c>
      <c r="AE86" s="15">
        <v>6.4984900489517398E-4</v>
      </c>
      <c r="AF86" s="15">
        <v>1.5676361301149199E-4</v>
      </c>
      <c r="AG86" s="15">
        <v>4.8631570464941503E-5</v>
      </c>
      <c r="AI86" s="12"/>
      <c r="AJ86">
        <f t="shared" ref="AJ86:AJ149" si="26">IF($AG86&lt;AI$21,1,0)</f>
        <v>0</v>
      </c>
      <c r="AK86">
        <f t="shared" ref="AK86:AK149" si="27">IF($AG86&gt;AI$22,1,0)</f>
        <v>1</v>
      </c>
      <c r="AL86">
        <f t="shared" si="14"/>
        <v>0</v>
      </c>
      <c r="AM86">
        <f t="shared" si="24"/>
        <v>1</v>
      </c>
      <c r="AN86">
        <f t="shared" si="15"/>
        <v>0</v>
      </c>
      <c r="AO86" s="28">
        <f t="shared" ref="AO86:AO149" si="28">AN86*D86</f>
        <v>0</v>
      </c>
      <c r="AP86" s="28">
        <f t="shared" ref="AP86:AP149" si="29">-AN86*$E86</f>
        <v>0</v>
      </c>
      <c r="AQ86" s="28">
        <f t="shared" si="16"/>
        <v>0</v>
      </c>
      <c r="AR86" s="29">
        <f t="shared" si="17"/>
        <v>5.6155853074185552E-3</v>
      </c>
      <c r="AT86" s="12"/>
      <c r="AU86">
        <f t="shared" ref="AU86:AU149" si="30">IF($AG86&gt;AT$21,1,0)</f>
        <v>0</v>
      </c>
      <c r="AV86">
        <f t="shared" ref="AV86:AV149" si="31">IF($AG86&lt;AT$22,1,0)</f>
        <v>1</v>
      </c>
      <c r="AW86">
        <f t="shared" si="18"/>
        <v>0</v>
      </c>
      <c r="AX86">
        <f t="shared" si="25"/>
        <v>1</v>
      </c>
      <c r="AY86">
        <f t="shared" si="19"/>
        <v>0</v>
      </c>
      <c r="AZ86" s="28">
        <f t="shared" ref="AZ86:AZ149" si="32">-AY86*D86</f>
        <v>0</v>
      </c>
      <c r="BA86" s="28">
        <f t="shared" ref="BA86:BA149" si="33">AY86*$E86</f>
        <v>0</v>
      </c>
      <c r="BB86" s="28">
        <f t="shared" si="20"/>
        <v>0</v>
      </c>
      <c r="BC86" s="29">
        <f t="shared" si="21"/>
        <v>7.8867319706979414E-3</v>
      </c>
      <c r="BE86" s="29">
        <f t="shared" si="22"/>
        <v>0</v>
      </c>
      <c r="BF86" s="29">
        <f t="shared" si="23"/>
        <v>1.3502317278116498E-2</v>
      </c>
      <c r="BH86" s="29"/>
    </row>
    <row r="87" spans="1:60" x14ac:dyDescent="0.25">
      <c r="A87" s="1">
        <v>46148</v>
      </c>
      <c r="B87" s="33">
        <v>25.5</v>
      </c>
      <c r="C87" s="33">
        <v>25.46</v>
      </c>
      <c r="D87" s="15">
        <v>3.9292781398895501E-3</v>
      </c>
      <c r="E87" s="15">
        <v>3.9354635602352602E-3</v>
      </c>
      <c r="F87" s="33">
        <v>0</v>
      </c>
      <c r="G87" s="33">
        <v>0.53100000000000003</v>
      </c>
      <c r="H87" s="33">
        <v>0</v>
      </c>
      <c r="I87" s="33">
        <v>0.51228899999999999</v>
      </c>
      <c r="J87" s="33">
        <v>0.53100000000000003</v>
      </c>
      <c r="K87" s="33">
        <v>0.51228899999999999</v>
      </c>
      <c r="L87" s="33">
        <v>26.030999999999999</v>
      </c>
      <c r="M87" s="33">
        <v>25.972289</v>
      </c>
      <c r="N87" s="34">
        <v>0.99843137254901904</v>
      </c>
      <c r="O87" s="34">
        <v>1.0011576279691501</v>
      </c>
      <c r="P87" s="34">
        <v>1.0018884825665</v>
      </c>
      <c r="Q87" s="34">
        <v>1.0008876088132499</v>
      </c>
      <c r="R87" s="33">
        <v>25.529519513213401</v>
      </c>
      <c r="S87" s="33">
        <v>25.561170445273099</v>
      </c>
      <c r="T87" s="33">
        <v>25.521638723250099</v>
      </c>
      <c r="U87" s="15">
        <v>2.72681746968363E-3</v>
      </c>
      <c r="V87" s="15">
        <v>3.9658274002395098E-3</v>
      </c>
      <c r="W87" s="15">
        <v>2.4180765792426E-3</v>
      </c>
      <c r="X87" s="34">
        <v>0.99774457377741899</v>
      </c>
      <c r="Y87" s="34">
        <v>0.99838446436414396</v>
      </c>
      <c r="Z87" s="34">
        <v>0.99803666062749097</v>
      </c>
      <c r="AA87" s="34">
        <v>0.99788523329002499</v>
      </c>
      <c r="AB87" s="33">
        <v>25.988945991863002</v>
      </c>
      <c r="AC87" s="33">
        <v>25.979507900389901</v>
      </c>
      <c r="AD87" s="33">
        <v>25.975149038860401</v>
      </c>
      <c r="AE87" s="15">
        <v>6.4113150644819401E-4</v>
      </c>
      <c r="AF87" s="15">
        <v>2.7790763234751699E-4</v>
      </c>
      <c r="AG87" s="15">
        <v>1.1011279752404501E-4</v>
      </c>
      <c r="AI87" s="12"/>
      <c r="AJ87">
        <f t="shared" si="26"/>
        <v>0</v>
      </c>
      <c r="AK87">
        <f t="shared" si="27"/>
        <v>1</v>
      </c>
      <c r="AL87">
        <f t="shared" ref="AL87:AL150" si="34">AN87</f>
        <v>0</v>
      </c>
      <c r="AM87">
        <f t="shared" si="24"/>
        <v>1</v>
      </c>
      <c r="AN87">
        <f t="shared" ref="AN87:AN150" si="35">IF(AJ86,1,IF(AK86,0,AL86))*AM86</f>
        <v>0</v>
      </c>
      <c r="AO87" s="28">
        <f t="shared" si="28"/>
        <v>0</v>
      </c>
      <c r="AP87" s="28">
        <f t="shared" si="29"/>
        <v>0</v>
      </c>
      <c r="AQ87" s="28">
        <f t="shared" ref="AQ87:AQ150" si="36">AO87+AP87</f>
        <v>0</v>
      </c>
      <c r="AR87" s="29">
        <f t="shared" ref="AR87:AR150" si="37">AR86+AQ87</f>
        <v>5.6155853074185552E-3</v>
      </c>
      <c r="AT87" s="12"/>
      <c r="AU87">
        <f t="shared" si="30"/>
        <v>0</v>
      </c>
      <c r="AV87">
        <f t="shared" si="31"/>
        <v>1</v>
      </c>
      <c r="AW87">
        <f t="shared" ref="AW87:AW150" si="38">AY87</f>
        <v>0</v>
      </c>
      <c r="AX87">
        <f t="shared" si="25"/>
        <v>1</v>
      </c>
      <c r="AY87">
        <f t="shared" ref="AY87:AY150" si="39">IF(AU86,1,IF(AV86,0,AW86))*AX86</f>
        <v>0</v>
      </c>
      <c r="AZ87" s="28">
        <f t="shared" si="32"/>
        <v>0</v>
      </c>
      <c r="BA87" s="28">
        <f t="shared" si="33"/>
        <v>0</v>
      </c>
      <c r="BB87" s="28">
        <f t="shared" ref="BB87:BB150" si="40">AZ87+BA87</f>
        <v>0</v>
      </c>
      <c r="BC87" s="29">
        <f t="shared" ref="BC87:BC150" si="41">BC86+BB87</f>
        <v>7.8867319706979414E-3</v>
      </c>
      <c r="BE87" s="29">
        <f t="shared" ref="BE87:BE150" si="42">AQ87+BB87</f>
        <v>0</v>
      </c>
      <c r="BF87" s="29">
        <f t="shared" ref="BF87:BF150" si="43">BF86+BE87</f>
        <v>1.3502317278116498E-2</v>
      </c>
      <c r="BH87" s="29"/>
    </row>
    <row r="88" spans="1:60" x14ac:dyDescent="0.25">
      <c r="A88" s="1">
        <v>46149</v>
      </c>
      <c r="B88" s="33">
        <v>25.38</v>
      </c>
      <c r="C88" s="33">
        <v>25.37</v>
      </c>
      <c r="D88" s="15">
        <v>-4.7169898781389101E-3</v>
      </c>
      <c r="E88" s="15">
        <v>-3.5412195180699502E-3</v>
      </c>
      <c r="F88" s="33">
        <v>0</v>
      </c>
      <c r="G88" s="33">
        <v>0.53100000000000003</v>
      </c>
      <c r="H88" s="33">
        <v>0</v>
      </c>
      <c r="I88" s="33">
        <v>0.51228899999999999</v>
      </c>
      <c r="J88" s="33">
        <v>0.53100000000000003</v>
      </c>
      <c r="K88" s="33">
        <v>0.51228899999999999</v>
      </c>
      <c r="L88" s="33">
        <v>25.910999999999898</v>
      </c>
      <c r="M88" s="33">
        <v>25.882289</v>
      </c>
      <c r="N88" s="34">
        <v>0.99960598896769104</v>
      </c>
      <c r="O88" s="34">
        <v>1.0011576279691501</v>
      </c>
      <c r="P88" s="34">
        <v>1.00145569043259</v>
      </c>
      <c r="Q88" s="34">
        <v>1.0009266626682101</v>
      </c>
      <c r="R88" s="33">
        <v>25.409380597857101</v>
      </c>
      <c r="S88" s="33">
        <v>25.427929687538001</v>
      </c>
      <c r="T88" s="33">
        <v>25.402527511680301</v>
      </c>
      <c r="U88" s="15">
        <v>1.55104710961461E-3</v>
      </c>
      <c r="V88" s="15">
        <v>2.28079030019086E-3</v>
      </c>
      <c r="W88" s="15">
        <v>1.28130379654732E-3</v>
      </c>
      <c r="X88" s="34">
        <v>0.99889193778704</v>
      </c>
      <c r="Y88" s="34">
        <v>0.99838446436414396</v>
      </c>
      <c r="Z88" s="34">
        <v>0.99812800075893604</v>
      </c>
      <c r="AA88" s="34">
        <v>0.99791558221424903</v>
      </c>
      <c r="AB88" s="33">
        <v>25.869139856139299</v>
      </c>
      <c r="AC88" s="33">
        <v>25.860127913518902</v>
      </c>
      <c r="AD88" s="33">
        <v>25.856204279777799</v>
      </c>
      <c r="AE88" s="15">
        <v>-5.0816545298351798E-4</v>
      </c>
      <c r="AF88" s="15">
        <v>-8.5659268190658999E-4</v>
      </c>
      <c r="AG88" s="15">
        <v>-1.00832941891835E-3</v>
      </c>
      <c r="AI88" s="12"/>
      <c r="AJ88">
        <f t="shared" si="26"/>
        <v>1</v>
      </c>
      <c r="AK88">
        <f t="shared" si="27"/>
        <v>0</v>
      </c>
      <c r="AL88">
        <f t="shared" si="34"/>
        <v>0</v>
      </c>
      <c r="AM88">
        <f t="shared" si="24"/>
        <v>1</v>
      </c>
      <c r="AN88">
        <f t="shared" si="35"/>
        <v>0</v>
      </c>
      <c r="AO88" s="28">
        <f t="shared" si="28"/>
        <v>0</v>
      </c>
      <c r="AP88" s="28">
        <f t="shared" si="29"/>
        <v>0</v>
      </c>
      <c r="AQ88" s="28">
        <f t="shared" si="36"/>
        <v>0</v>
      </c>
      <c r="AR88" s="29">
        <f t="shared" si="37"/>
        <v>5.6155853074185552E-3</v>
      </c>
      <c r="AT88" s="12"/>
      <c r="AU88">
        <f t="shared" si="30"/>
        <v>0</v>
      </c>
      <c r="AV88">
        <f t="shared" si="31"/>
        <v>1</v>
      </c>
      <c r="AW88">
        <f t="shared" si="38"/>
        <v>0</v>
      </c>
      <c r="AX88">
        <f t="shared" si="25"/>
        <v>1</v>
      </c>
      <c r="AY88">
        <f t="shared" si="39"/>
        <v>0</v>
      </c>
      <c r="AZ88" s="28">
        <f t="shared" si="32"/>
        <v>0</v>
      </c>
      <c r="BA88" s="28">
        <f t="shared" si="33"/>
        <v>0</v>
      </c>
      <c r="BB88" s="28">
        <f t="shared" si="40"/>
        <v>0</v>
      </c>
      <c r="BC88" s="29">
        <f t="shared" si="41"/>
        <v>7.8867319706979414E-3</v>
      </c>
      <c r="BE88" s="29">
        <f t="shared" si="42"/>
        <v>0</v>
      </c>
      <c r="BF88" s="29">
        <f t="shared" si="43"/>
        <v>1.3502317278116498E-2</v>
      </c>
      <c r="BH88" s="29"/>
    </row>
    <row r="89" spans="1:60" x14ac:dyDescent="0.25">
      <c r="A89" s="1">
        <v>46150</v>
      </c>
      <c r="B89" s="33">
        <v>25.46</v>
      </c>
      <c r="C89" s="33">
        <v>25.45</v>
      </c>
      <c r="D89" s="15">
        <v>3.1471308430188602E-3</v>
      </c>
      <c r="E89" s="15">
        <v>3.14836938534128E-3</v>
      </c>
      <c r="F89" s="33">
        <v>0</v>
      </c>
      <c r="G89" s="33">
        <v>0.53100000000000003</v>
      </c>
      <c r="H89" s="33">
        <v>0</v>
      </c>
      <c r="I89" s="33">
        <v>0.51228899999999999</v>
      </c>
      <c r="J89" s="33">
        <v>0.53100000000000003</v>
      </c>
      <c r="K89" s="33">
        <v>0.51228899999999999</v>
      </c>
      <c r="L89" s="33">
        <v>25.991</v>
      </c>
      <c r="M89" s="33">
        <v>25.962288999999998</v>
      </c>
      <c r="N89" s="34">
        <v>0.99960722702278004</v>
      </c>
      <c r="O89" s="34">
        <v>1.0011576279691501</v>
      </c>
      <c r="P89" s="34">
        <v>1.0009449003647299</v>
      </c>
      <c r="Q89" s="34">
        <v>1.0009856712863601</v>
      </c>
      <c r="R89" s="33">
        <v>25.489473208094701</v>
      </c>
      <c r="S89" s="33">
        <v>25.497061878413799</v>
      </c>
      <c r="T89" s="33">
        <v>25.4835928315328</v>
      </c>
      <c r="U89" s="15">
        <v>1.5498085672923799E-3</v>
      </c>
      <c r="V89" s="15">
        <v>1.84748207510337E-3</v>
      </c>
      <c r="W89" s="15">
        <v>1.3190837141554999E-3</v>
      </c>
      <c r="X89" s="34">
        <v>0.99889534838982696</v>
      </c>
      <c r="Y89" s="34">
        <v>0.99838446436414396</v>
      </c>
      <c r="Z89" s="34">
        <v>0.99814246920324601</v>
      </c>
      <c r="AA89" s="34">
        <v>0.99796579632854798</v>
      </c>
      <c r="AB89" s="33">
        <v>25.949010613288401</v>
      </c>
      <c r="AC89" s="33">
        <v>25.942344867725499</v>
      </c>
      <c r="AD89" s="33">
        <v>25.936823897330498</v>
      </c>
      <c r="AE89" s="15">
        <v>-5.1157983329359197E-4</v>
      </c>
      <c r="AF89" s="15">
        <v>-7.6849143399571605E-4</v>
      </c>
      <c r="AG89" s="15">
        <v>-9.8133102056726903E-4</v>
      </c>
      <c r="AI89" s="12"/>
      <c r="AJ89">
        <f t="shared" si="26"/>
        <v>0</v>
      </c>
      <c r="AK89">
        <f t="shared" si="27"/>
        <v>0</v>
      </c>
      <c r="AL89">
        <f t="shared" si="34"/>
        <v>1</v>
      </c>
      <c r="AM89">
        <f t="shared" si="24"/>
        <v>1</v>
      </c>
      <c r="AN89">
        <f t="shared" si="35"/>
        <v>1</v>
      </c>
      <c r="AO89" s="28">
        <f t="shared" si="28"/>
        <v>3.1471308430188602E-3</v>
      </c>
      <c r="AP89" s="28">
        <f t="shared" si="29"/>
        <v>-3.14836938534128E-3</v>
      </c>
      <c r="AQ89" s="28">
        <f t="shared" si="36"/>
        <v>-1.2385423224198049E-6</v>
      </c>
      <c r="AR89" s="29">
        <f t="shared" si="37"/>
        <v>5.614346765096135E-3</v>
      </c>
      <c r="AT89" s="12"/>
      <c r="AU89">
        <f t="shared" si="30"/>
        <v>0</v>
      </c>
      <c r="AV89">
        <f t="shared" si="31"/>
        <v>1</v>
      </c>
      <c r="AW89">
        <f t="shared" si="38"/>
        <v>0</v>
      </c>
      <c r="AX89">
        <f t="shared" si="25"/>
        <v>1</v>
      </c>
      <c r="AY89">
        <f t="shared" si="39"/>
        <v>0</v>
      </c>
      <c r="AZ89" s="28">
        <f t="shared" si="32"/>
        <v>0</v>
      </c>
      <c r="BA89" s="28">
        <f t="shared" si="33"/>
        <v>0</v>
      </c>
      <c r="BB89" s="28">
        <f t="shared" si="40"/>
        <v>0</v>
      </c>
      <c r="BC89" s="29">
        <f t="shared" si="41"/>
        <v>7.8867319706979414E-3</v>
      </c>
      <c r="BE89" s="29">
        <f t="shared" si="42"/>
        <v>-1.2385423224198049E-6</v>
      </c>
      <c r="BF89" s="29">
        <f t="shared" si="43"/>
        <v>1.3501078735794078E-2</v>
      </c>
      <c r="BH89" s="29"/>
    </row>
    <row r="90" spans="1:60" x14ac:dyDescent="0.25">
      <c r="A90" s="1">
        <v>46153</v>
      </c>
      <c r="B90" s="33">
        <v>25.43</v>
      </c>
      <c r="C90" s="33">
        <v>25.41</v>
      </c>
      <c r="D90" s="15">
        <v>-1.1790136952322301E-3</v>
      </c>
      <c r="E90" s="15">
        <v>-1.5729456644589599E-3</v>
      </c>
      <c r="F90" s="33">
        <v>0</v>
      </c>
      <c r="G90" s="33">
        <v>0.53100000000000003</v>
      </c>
      <c r="H90" s="33">
        <v>0</v>
      </c>
      <c r="I90" s="33">
        <v>0.51228899999999999</v>
      </c>
      <c r="J90" s="33">
        <v>0.53100000000000003</v>
      </c>
      <c r="K90" s="33">
        <v>0.51228899999999999</v>
      </c>
      <c r="L90" s="33">
        <v>25.960999999999999</v>
      </c>
      <c r="M90" s="33">
        <v>25.922288999999999</v>
      </c>
      <c r="N90" s="34">
        <v>0.99921352732992497</v>
      </c>
      <c r="O90" s="34">
        <v>1.0011576279691501</v>
      </c>
      <c r="P90" s="34">
        <v>1.00047332578927</v>
      </c>
      <c r="Q90" s="34">
        <v>1.00100512508232</v>
      </c>
      <c r="R90" s="33">
        <v>25.459438479255599</v>
      </c>
      <c r="S90" s="33">
        <v>25.454028816275201</v>
      </c>
      <c r="T90" s="33">
        <v>25.455065620812199</v>
      </c>
      <c r="U90" s="15">
        <v>1.94374053651928E-3</v>
      </c>
      <c r="V90" s="15">
        <v>1.7312363293553899E-3</v>
      </c>
      <c r="W90" s="15">
        <v>1.7719679333515999E-3</v>
      </c>
      <c r="X90" s="34">
        <v>0.99850887870266902</v>
      </c>
      <c r="Y90" s="34">
        <v>0.99838446436414396</v>
      </c>
      <c r="Z90" s="34">
        <v>0.99819527000988995</v>
      </c>
      <c r="AA90" s="34">
        <v>0.99797702539083699</v>
      </c>
      <c r="AB90" s="33">
        <v>25.919059079357499</v>
      </c>
      <c r="AC90" s="33">
        <v>25.912776642985399</v>
      </c>
      <c r="AD90" s="33">
        <v>25.908190038485401</v>
      </c>
      <c r="AE90" s="15">
        <v>-1.2460789567735601E-4</v>
      </c>
      <c r="AF90" s="15">
        <v>-3.67024021415045E-4</v>
      </c>
      <c r="AG90" s="15">
        <v>-5.4404134879209697E-4</v>
      </c>
      <c r="AI90" s="12"/>
      <c r="AJ90">
        <f t="shared" si="26"/>
        <v>0</v>
      </c>
      <c r="AK90">
        <f t="shared" si="27"/>
        <v>0</v>
      </c>
      <c r="AL90">
        <f t="shared" si="34"/>
        <v>1</v>
      </c>
      <c r="AM90">
        <f t="shared" si="24"/>
        <v>1</v>
      </c>
      <c r="AN90">
        <f t="shared" si="35"/>
        <v>1</v>
      </c>
      <c r="AO90" s="28">
        <f t="shared" si="28"/>
        <v>-1.1790136952322301E-3</v>
      </c>
      <c r="AP90" s="28">
        <f t="shared" si="29"/>
        <v>1.5729456644589599E-3</v>
      </c>
      <c r="AQ90" s="28">
        <f t="shared" si="36"/>
        <v>3.9393196922672983E-4</v>
      </c>
      <c r="AR90" s="29">
        <f t="shared" si="37"/>
        <v>6.0082787343228652E-3</v>
      </c>
      <c r="AT90" s="12"/>
      <c r="AU90">
        <f t="shared" si="30"/>
        <v>0</v>
      </c>
      <c r="AV90">
        <f t="shared" si="31"/>
        <v>1</v>
      </c>
      <c r="AW90">
        <f t="shared" si="38"/>
        <v>0</v>
      </c>
      <c r="AX90">
        <f t="shared" si="25"/>
        <v>1</v>
      </c>
      <c r="AY90">
        <f t="shared" si="39"/>
        <v>0</v>
      </c>
      <c r="AZ90" s="28">
        <f t="shared" si="32"/>
        <v>0</v>
      </c>
      <c r="BA90" s="28">
        <f t="shared" si="33"/>
        <v>0</v>
      </c>
      <c r="BB90" s="28">
        <f t="shared" si="40"/>
        <v>0</v>
      </c>
      <c r="BC90" s="29">
        <f t="shared" si="41"/>
        <v>7.8867319706979414E-3</v>
      </c>
      <c r="BE90" s="29">
        <f t="shared" si="42"/>
        <v>3.9393196922672983E-4</v>
      </c>
      <c r="BF90" s="29">
        <f t="shared" si="43"/>
        <v>1.3895010705020808E-2</v>
      </c>
      <c r="BH90" s="29"/>
    </row>
    <row r="91" spans="1:60" x14ac:dyDescent="0.25">
      <c r="A91" s="1">
        <v>46154</v>
      </c>
      <c r="B91" s="33">
        <v>25.38</v>
      </c>
      <c r="C91" s="33">
        <v>25.36</v>
      </c>
      <c r="D91" s="15">
        <v>-1.9681171477866802E-3</v>
      </c>
      <c r="E91" s="15">
        <v>-1.9696677630475401E-3</v>
      </c>
      <c r="F91" s="33">
        <v>0</v>
      </c>
      <c r="G91" s="33">
        <v>0.53100000000000003</v>
      </c>
      <c r="H91" s="33">
        <v>0</v>
      </c>
      <c r="I91" s="33">
        <v>0.51228899999999999</v>
      </c>
      <c r="J91" s="33">
        <v>0.53100000000000003</v>
      </c>
      <c r="K91" s="33">
        <v>0.51228899999999999</v>
      </c>
      <c r="L91" s="33">
        <v>25.910999999999898</v>
      </c>
      <c r="M91" s="33">
        <v>25.872288999999999</v>
      </c>
      <c r="N91" s="34">
        <v>0.99921197793538197</v>
      </c>
      <c r="O91" s="34">
        <v>1.0011576279691501</v>
      </c>
      <c r="P91" s="34">
        <v>1.0000014418218099</v>
      </c>
      <c r="Q91" s="34">
        <v>1.0010632659221299</v>
      </c>
      <c r="R91" s="33">
        <v>25.409380597857101</v>
      </c>
      <c r="S91" s="33">
        <v>25.392013008531901</v>
      </c>
      <c r="T91" s="33">
        <v>25.405510074589401</v>
      </c>
      <c r="U91" s="15">
        <v>1.9452911517800499E-3</v>
      </c>
      <c r="V91" s="15">
        <v>1.2615465231794001E-3</v>
      </c>
      <c r="W91" s="15">
        <v>1.79295299955909E-3</v>
      </c>
      <c r="X91" s="34">
        <v>0.99850600131218403</v>
      </c>
      <c r="Y91" s="34">
        <v>0.99838446436414396</v>
      </c>
      <c r="Z91" s="34">
        <v>0.99824786082302297</v>
      </c>
      <c r="AA91" s="34">
        <v>0.99802617551216599</v>
      </c>
      <c r="AB91" s="33">
        <v>25.869139856139299</v>
      </c>
      <c r="AC91" s="33">
        <v>25.8642376412262</v>
      </c>
      <c r="AD91" s="33">
        <v>25.858582704901899</v>
      </c>
      <c r="AE91" s="15">
        <v>-1.2172620409439899E-4</v>
      </c>
      <c r="AF91" s="15">
        <v>-3.1124466064630298E-4</v>
      </c>
      <c r="AG91" s="15">
        <v>-5.2990776946195296E-4</v>
      </c>
      <c r="AI91" s="12"/>
      <c r="AJ91">
        <f t="shared" si="26"/>
        <v>0</v>
      </c>
      <c r="AK91">
        <f t="shared" si="27"/>
        <v>0</v>
      </c>
      <c r="AL91">
        <f t="shared" si="34"/>
        <v>1</v>
      </c>
      <c r="AM91">
        <f t="shared" si="24"/>
        <v>1</v>
      </c>
      <c r="AN91">
        <f t="shared" si="35"/>
        <v>1</v>
      </c>
      <c r="AO91" s="28">
        <f t="shared" si="28"/>
        <v>-1.9681171477866802E-3</v>
      </c>
      <c r="AP91" s="28">
        <f t="shared" si="29"/>
        <v>1.9696677630475401E-3</v>
      </c>
      <c r="AQ91" s="28">
        <f t="shared" si="36"/>
        <v>1.5506152608599569E-6</v>
      </c>
      <c r="AR91" s="29">
        <f t="shared" si="37"/>
        <v>6.0098293495837252E-3</v>
      </c>
      <c r="AT91" s="12"/>
      <c r="AU91">
        <f t="shared" si="30"/>
        <v>0</v>
      </c>
      <c r="AV91">
        <f t="shared" si="31"/>
        <v>1</v>
      </c>
      <c r="AW91">
        <f t="shared" si="38"/>
        <v>0</v>
      </c>
      <c r="AX91">
        <f t="shared" si="25"/>
        <v>1</v>
      </c>
      <c r="AY91">
        <f t="shared" si="39"/>
        <v>0</v>
      </c>
      <c r="AZ91" s="28">
        <f t="shared" si="32"/>
        <v>0</v>
      </c>
      <c r="BA91" s="28">
        <f t="shared" si="33"/>
        <v>0</v>
      </c>
      <c r="BB91" s="28">
        <f t="shared" si="40"/>
        <v>0</v>
      </c>
      <c r="BC91" s="29">
        <f t="shared" si="41"/>
        <v>7.8867319706979414E-3</v>
      </c>
      <c r="BE91" s="29">
        <f t="shared" si="42"/>
        <v>1.5506152608599569E-6</v>
      </c>
      <c r="BF91" s="29">
        <f t="shared" si="43"/>
        <v>1.3896561320281667E-2</v>
      </c>
      <c r="BH91" s="29"/>
    </row>
    <row r="92" spans="1:60" x14ac:dyDescent="0.25">
      <c r="A92" s="1">
        <v>46155</v>
      </c>
      <c r="B92" s="33">
        <v>25.4</v>
      </c>
      <c r="C92" s="33">
        <v>25.37</v>
      </c>
      <c r="D92" s="15">
        <v>7.8771173824918603E-4</v>
      </c>
      <c r="E92" s="15">
        <v>3.9424404216544001E-4</v>
      </c>
      <c r="F92" s="33">
        <v>0</v>
      </c>
      <c r="G92" s="33">
        <v>0.53100000000000003</v>
      </c>
      <c r="H92" s="33">
        <v>0</v>
      </c>
      <c r="I92" s="33">
        <v>0.51228899999999999</v>
      </c>
      <c r="J92" s="33">
        <v>0.53100000000000003</v>
      </c>
      <c r="K92" s="33">
        <v>0.51228899999999999</v>
      </c>
      <c r="L92" s="33">
        <v>25.930999999999901</v>
      </c>
      <c r="M92" s="33">
        <v>25.882289</v>
      </c>
      <c r="N92" s="34">
        <v>0.99881889763779497</v>
      </c>
      <c r="O92" s="34">
        <v>1.0011576279691501</v>
      </c>
      <c r="P92" s="34">
        <v>0.99944906391879196</v>
      </c>
      <c r="Q92" s="34">
        <v>1.00112135254553</v>
      </c>
      <c r="R92" s="33">
        <v>25.429403750416501</v>
      </c>
      <c r="S92" s="33">
        <v>25.400036622274001</v>
      </c>
      <c r="T92" s="33">
        <v>25.427006954422101</v>
      </c>
      <c r="U92" s="15">
        <v>2.3387588478638701E-3</v>
      </c>
      <c r="V92" s="15">
        <v>1.18324223407218E-3</v>
      </c>
      <c r="W92" s="15">
        <v>2.2445014685895498E-3</v>
      </c>
      <c r="X92" s="34">
        <v>0.99812151478924804</v>
      </c>
      <c r="Y92" s="34">
        <v>0.99838446436414396</v>
      </c>
      <c r="Z92" s="34">
        <v>0.99822419388812</v>
      </c>
      <c r="AA92" s="34">
        <v>0.99807542511618297</v>
      </c>
      <c r="AB92" s="33">
        <v>25.889107545426601</v>
      </c>
      <c r="AC92" s="33">
        <v>25.885565279001799</v>
      </c>
      <c r="AD92" s="33">
        <v>25.879816757205901</v>
      </c>
      <c r="AE92" s="15">
        <v>2.6340975600594701E-4</v>
      </c>
      <c r="AF92" s="15">
        <v>1.2657580855196301E-4</v>
      </c>
      <c r="AG92" s="15">
        <v>-9.5523269763681499E-5</v>
      </c>
      <c r="AI92" s="12"/>
      <c r="AJ92">
        <f t="shared" si="26"/>
        <v>0</v>
      </c>
      <c r="AK92">
        <f t="shared" si="27"/>
        <v>1</v>
      </c>
      <c r="AL92">
        <f t="shared" si="34"/>
        <v>1</v>
      </c>
      <c r="AM92">
        <f t="shared" si="24"/>
        <v>1</v>
      </c>
      <c r="AN92">
        <f t="shared" si="35"/>
        <v>1</v>
      </c>
      <c r="AO92" s="28">
        <f t="shared" si="28"/>
        <v>7.8771173824918603E-4</v>
      </c>
      <c r="AP92" s="28">
        <f t="shared" si="29"/>
        <v>-3.9424404216544001E-4</v>
      </c>
      <c r="AQ92" s="28">
        <f t="shared" si="36"/>
        <v>3.9346769608374603E-4</v>
      </c>
      <c r="AR92" s="29">
        <f t="shared" si="37"/>
        <v>6.4032970456674712E-3</v>
      </c>
      <c r="AT92" s="12"/>
      <c r="AU92">
        <f t="shared" si="30"/>
        <v>0</v>
      </c>
      <c r="AV92">
        <f t="shared" si="31"/>
        <v>1</v>
      </c>
      <c r="AW92">
        <f t="shared" si="38"/>
        <v>0</v>
      </c>
      <c r="AX92">
        <f t="shared" si="25"/>
        <v>1</v>
      </c>
      <c r="AY92">
        <f t="shared" si="39"/>
        <v>0</v>
      </c>
      <c r="AZ92" s="28">
        <f t="shared" si="32"/>
        <v>0</v>
      </c>
      <c r="BA92" s="28">
        <f t="shared" si="33"/>
        <v>0</v>
      </c>
      <c r="BB92" s="28">
        <f t="shared" si="40"/>
        <v>0</v>
      </c>
      <c r="BC92" s="29">
        <f t="shared" si="41"/>
        <v>7.8867319706979414E-3</v>
      </c>
      <c r="BE92" s="29">
        <f t="shared" si="42"/>
        <v>3.9346769608374603E-4</v>
      </c>
      <c r="BF92" s="29">
        <f t="shared" si="43"/>
        <v>1.4290029016365413E-2</v>
      </c>
      <c r="BH92" s="29"/>
    </row>
    <row r="93" spans="1:60" x14ac:dyDescent="0.25">
      <c r="A93" s="1">
        <v>46156</v>
      </c>
      <c r="B93" s="33">
        <v>25.35</v>
      </c>
      <c r="C93" s="33">
        <v>25.33</v>
      </c>
      <c r="D93" s="15">
        <v>-1.9704439872986102E-3</v>
      </c>
      <c r="E93" s="15">
        <v>-1.57790959760678E-3</v>
      </c>
      <c r="F93" s="33">
        <v>0</v>
      </c>
      <c r="G93" s="33">
        <v>0.53100000000000003</v>
      </c>
      <c r="H93" s="33">
        <v>0</v>
      </c>
      <c r="I93" s="33">
        <v>0.51228899999999999</v>
      </c>
      <c r="J93" s="33">
        <v>0.53100000000000003</v>
      </c>
      <c r="K93" s="33">
        <v>0.51228899999999999</v>
      </c>
      <c r="L93" s="33">
        <v>25.881</v>
      </c>
      <c r="M93" s="33">
        <v>25.842288999999901</v>
      </c>
      <c r="N93" s="34">
        <v>0.99921104536489103</v>
      </c>
      <c r="O93" s="34">
        <v>1.0011576279691501</v>
      </c>
      <c r="P93" s="34">
        <v>0.99889828485323595</v>
      </c>
      <c r="Q93" s="34">
        <v>1.0011405902597801</v>
      </c>
      <c r="R93" s="33">
        <v>25.379345869018099</v>
      </c>
      <c r="S93" s="33">
        <v>25.336033770341299</v>
      </c>
      <c r="T93" s="33">
        <v>25.3784262870291</v>
      </c>
      <c r="U93" s="15">
        <v>1.94622445817208E-3</v>
      </c>
      <c r="V93" s="15">
        <v>2.3817812135317401E-4</v>
      </c>
      <c r="W93" s="15">
        <v>1.9099903229861401E-3</v>
      </c>
      <c r="X93" s="34">
        <v>0.99850426954136196</v>
      </c>
      <c r="Y93" s="34">
        <v>0.99838446436414396</v>
      </c>
      <c r="Z93" s="34">
        <v>0.99819965069472705</v>
      </c>
      <c r="AA93" s="34">
        <v>0.99808629150428296</v>
      </c>
      <c r="AB93" s="33">
        <v>25.8391883222084</v>
      </c>
      <c r="AC93" s="33">
        <v>25.8350403620184</v>
      </c>
      <c r="AD93" s="33">
        <v>25.831190077431899</v>
      </c>
      <c r="AE93" s="15">
        <v>-1.1999184063408199E-4</v>
      </c>
      <c r="AF93" s="15">
        <v>-2.8053454459014E-4</v>
      </c>
      <c r="AG93" s="15">
        <v>-4.2957907758070702E-4</v>
      </c>
      <c r="AI93" s="12"/>
      <c r="AJ93">
        <f t="shared" si="26"/>
        <v>0</v>
      </c>
      <c r="AK93">
        <f t="shared" si="27"/>
        <v>0</v>
      </c>
      <c r="AL93">
        <f t="shared" si="34"/>
        <v>0</v>
      </c>
      <c r="AM93">
        <f t="shared" si="24"/>
        <v>1</v>
      </c>
      <c r="AN93">
        <f t="shared" si="35"/>
        <v>0</v>
      </c>
      <c r="AO93" s="28">
        <f t="shared" si="28"/>
        <v>0</v>
      </c>
      <c r="AP93" s="28">
        <f t="shared" si="29"/>
        <v>0</v>
      </c>
      <c r="AQ93" s="28">
        <f t="shared" si="36"/>
        <v>0</v>
      </c>
      <c r="AR93" s="29">
        <f t="shared" si="37"/>
        <v>6.4032970456674712E-3</v>
      </c>
      <c r="AT93" s="12"/>
      <c r="AU93">
        <f t="shared" si="30"/>
        <v>0</v>
      </c>
      <c r="AV93">
        <f t="shared" si="31"/>
        <v>1</v>
      </c>
      <c r="AW93">
        <f t="shared" si="38"/>
        <v>0</v>
      </c>
      <c r="AX93">
        <f t="shared" si="25"/>
        <v>1</v>
      </c>
      <c r="AY93">
        <f t="shared" si="39"/>
        <v>0</v>
      </c>
      <c r="AZ93" s="28">
        <f t="shared" si="32"/>
        <v>0</v>
      </c>
      <c r="BA93" s="28">
        <f t="shared" si="33"/>
        <v>0</v>
      </c>
      <c r="BB93" s="28">
        <f t="shared" si="40"/>
        <v>0</v>
      </c>
      <c r="BC93" s="29">
        <f t="shared" si="41"/>
        <v>7.8867319706979414E-3</v>
      </c>
      <c r="BE93" s="29">
        <f t="shared" si="42"/>
        <v>0</v>
      </c>
      <c r="BF93" s="29">
        <f t="shared" si="43"/>
        <v>1.4290029016365413E-2</v>
      </c>
      <c r="BH93" s="29"/>
    </row>
    <row r="94" spans="1:60" x14ac:dyDescent="0.25">
      <c r="A94" s="1">
        <v>46157</v>
      </c>
      <c r="B94" s="33">
        <v>25.25</v>
      </c>
      <c r="C94" s="33">
        <v>25.23</v>
      </c>
      <c r="D94" s="15">
        <v>-3.9525743158233496E-3</v>
      </c>
      <c r="E94" s="15">
        <v>-3.95570136061739E-3</v>
      </c>
      <c r="F94" s="33">
        <v>0</v>
      </c>
      <c r="G94" s="33">
        <v>0.53100000000000003</v>
      </c>
      <c r="H94" s="33">
        <v>0</v>
      </c>
      <c r="I94" s="33">
        <v>0.51228899999999999</v>
      </c>
      <c r="J94" s="33">
        <v>0.53100000000000003</v>
      </c>
      <c r="K94" s="33">
        <v>0.51228899999999999</v>
      </c>
      <c r="L94" s="33">
        <v>25.780999999999999</v>
      </c>
      <c r="M94" s="33">
        <v>25.742289</v>
      </c>
      <c r="N94" s="34">
        <v>0.99920792079207899</v>
      </c>
      <c r="O94" s="34">
        <v>1.0011576279691501</v>
      </c>
      <c r="P94" s="34">
        <v>0.99893690882561004</v>
      </c>
      <c r="Q94" s="34">
        <v>1.0011788982588701</v>
      </c>
      <c r="R94" s="33">
        <v>25.2792301062211</v>
      </c>
      <c r="S94" s="33">
        <v>25.222181692544201</v>
      </c>
      <c r="T94" s="33">
        <v>25.2787999040595</v>
      </c>
      <c r="U94" s="15">
        <v>1.9493515029661301E-3</v>
      </c>
      <c r="V94" s="15">
        <v>-3.0992941260699303E-4</v>
      </c>
      <c r="W94" s="15">
        <v>1.9323333493088E-3</v>
      </c>
      <c r="X94" s="34">
        <v>0.99849846786393004</v>
      </c>
      <c r="Y94" s="34">
        <v>0.99838446436414396</v>
      </c>
      <c r="Z94" s="34">
        <v>0.99823691235549905</v>
      </c>
      <c r="AA94" s="34">
        <v>0.99811569059099103</v>
      </c>
      <c r="AB94" s="33">
        <v>25.739349875772</v>
      </c>
      <c r="AC94" s="33">
        <v>25.734585194560701</v>
      </c>
      <c r="AD94" s="33">
        <v>25.731662681271899</v>
      </c>
      <c r="AE94" s="15">
        <v>-1.1418145557781301E-4</v>
      </c>
      <c r="AF94" s="15">
        <v>-2.99311316675286E-4</v>
      </c>
      <c r="AG94" s="15">
        <v>-4.1288141018738198E-4</v>
      </c>
      <c r="AI94" s="12"/>
      <c r="AJ94">
        <f t="shared" si="26"/>
        <v>0</v>
      </c>
      <c r="AK94">
        <f t="shared" si="27"/>
        <v>0</v>
      </c>
      <c r="AL94">
        <f t="shared" si="34"/>
        <v>0</v>
      </c>
      <c r="AM94">
        <f t="shared" si="24"/>
        <v>0</v>
      </c>
      <c r="AN94">
        <f t="shared" si="35"/>
        <v>0</v>
      </c>
      <c r="AO94" s="28">
        <f t="shared" si="28"/>
        <v>0</v>
      </c>
      <c r="AP94" s="28">
        <f t="shared" si="29"/>
        <v>0</v>
      </c>
      <c r="AQ94" s="28">
        <f t="shared" si="36"/>
        <v>0</v>
      </c>
      <c r="AR94" s="29">
        <f t="shared" si="37"/>
        <v>6.4032970456674712E-3</v>
      </c>
      <c r="AT94" s="12"/>
      <c r="AU94">
        <f t="shared" si="30"/>
        <v>0</v>
      </c>
      <c r="AV94">
        <f t="shared" si="31"/>
        <v>1</v>
      </c>
      <c r="AW94">
        <f t="shared" si="38"/>
        <v>0</v>
      </c>
      <c r="AX94">
        <f t="shared" si="25"/>
        <v>0</v>
      </c>
      <c r="AY94">
        <f t="shared" si="39"/>
        <v>0</v>
      </c>
      <c r="AZ94" s="28">
        <f t="shared" si="32"/>
        <v>0</v>
      </c>
      <c r="BA94" s="28">
        <f t="shared" si="33"/>
        <v>0</v>
      </c>
      <c r="BB94" s="28">
        <f t="shared" si="40"/>
        <v>0</v>
      </c>
      <c r="BC94" s="29">
        <f t="shared" si="41"/>
        <v>7.8867319706979414E-3</v>
      </c>
      <c r="BE94" s="29">
        <f t="shared" si="42"/>
        <v>0</v>
      </c>
      <c r="BF94" s="29">
        <f t="shared" si="43"/>
        <v>1.4290029016365413E-2</v>
      </c>
      <c r="BH94" s="29"/>
    </row>
    <row r="95" spans="1:60" x14ac:dyDescent="0.25">
      <c r="A95" s="1">
        <v>46160</v>
      </c>
      <c r="B95" s="33">
        <v>25.1</v>
      </c>
      <c r="C95" s="33">
        <v>25.23</v>
      </c>
      <c r="D95" s="15">
        <v>-5.95830958363052E-3</v>
      </c>
      <c r="E95" s="15">
        <v>0</v>
      </c>
      <c r="F95" s="33">
        <v>0.14000000000000001</v>
      </c>
      <c r="G95" s="33">
        <v>0.67100000000000004</v>
      </c>
      <c r="H95" s="33">
        <v>0</v>
      </c>
      <c r="I95" s="33">
        <v>0.51228899999999999</v>
      </c>
      <c r="J95" s="33">
        <v>0.67100000000000004</v>
      </c>
      <c r="K95" s="33">
        <v>0.51228899999999999</v>
      </c>
      <c r="L95" s="33">
        <v>25.771000000000001</v>
      </c>
      <c r="M95" s="33">
        <v>25.742289</v>
      </c>
      <c r="N95" s="34">
        <v>1.00517928286852</v>
      </c>
      <c r="O95" s="34">
        <v>1.0011576279691501</v>
      </c>
      <c r="P95" s="34">
        <v>0.99969124373184803</v>
      </c>
      <c r="Q95" s="34">
        <v>1.0012417070472499</v>
      </c>
      <c r="R95" s="33">
        <v>25.129056462025801</v>
      </c>
      <c r="S95" s="33">
        <v>25.0733164115228</v>
      </c>
      <c r="T95" s="33">
        <v>25.1295903462977</v>
      </c>
      <c r="U95" s="15">
        <v>-4.00895808066441E-3</v>
      </c>
      <c r="V95" s="15">
        <v>-6.2295731718484699E-3</v>
      </c>
      <c r="W95" s="15">
        <v>-3.9877126112446799E-3</v>
      </c>
      <c r="X95" s="34">
        <v>0.99888591828023698</v>
      </c>
      <c r="Y95" s="34">
        <v>0.99838446436414396</v>
      </c>
      <c r="Z95" s="34">
        <v>0.99842927864224695</v>
      </c>
      <c r="AA95" s="34">
        <v>0.99816078778089501</v>
      </c>
      <c r="AB95" s="33">
        <v>25.729366031128301</v>
      </c>
      <c r="AC95" s="33">
        <v>25.725563468313499</v>
      </c>
      <c r="AD95" s="33">
        <v>25.7224394622204</v>
      </c>
      <c r="AE95" s="15">
        <v>-5.02139250636071E-4</v>
      </c>
      <c r="AF95" s="15">
        <v>-6.4994094266821703E-4</v>
      </c>
      <c r="AG95" s="15">
        <v>-7.7138418318437399E-4</v>
      </c>
      <c r="AI95" s="12"/>
      <c r="AJ95">
        <f t="shared" si="26"/>
        <v>0</v>
      </c>
      <c r="AK95">
        <f t="shared" si="27"/>
        <v>0</v>
      </c>
      <c r="AL95">
        <f t="shared" si="34"/>
        <v>0</v>
      </c>
      <c r="AM95">
        <f t="shared" si="24"/>
        <v>1</v>
      </c>
      <c r="AN95">
        <f t="shared" si="35"/>
        <v>0</v>
      </c>
      <c r="AO95" s="28">
        <f t="shared" si="28"/>
        <v>0</v>
      </c>
      <c r="AP95" s="28">
        <f t="shared" si="29"/>
        <v>0</v>
      </c>
      <c r="AQ95" s="28">
        <f t="shared" si="36"/>
        <v>0</v>
      </c>
      <c r="AR95" s="29">
        <f t="shared" si="37"/>
        <v>6.4032970456674712E-3</v>
      </c>
      <c r="AT95" s="12"/>
      <c r="AU95">
        <f t="shared" si="30"/>
        <v>0</v>
      </c>
      <c r="AV95">
        <f t="shared" si="31"/>
        <v>1</v>
      </c>
      <c r="AW95">
        <f t="shared" si="38"/>
        <v>0</v>
      </c>
      <c r="AX95">
        <f t="shared" si="25"/>
        <v>1</v>
      </c>
      <c r="AY95">
        <f t="shared" si="39"/>
        <v>0</v>
      </c>
      <c r="AZ95" s="28">
        <f t="shared" si="32"/>
        <v>0</v>
      </c>
      <c r="BA95" s="28">
        <f t="shared" si="33"/>
        <v>0</v>
      </c>
      <c r="BB95" s="28">
        <f t="shared" si="40"/>
        <v>0</v>
      </c>
      <c r="BC95" s="29">
        <f t="shared" si="41"/>
        <v>7.8867319706979414E-3</v>
      </c>
      <c r="BE95" s="29">
        <f t="shared" si="42"/>
        <v>0</v>
      </c>
      <c r="BF95" s="29">
        <f t="shared" si="43"/>
        <v>1.4290029016365413E-2</v>
      </c>
      <c r="BH95" s="29"/>
    </row>
    <row r="96" spans="1:60" x14ac:dyDescent="0.25">
      <c r="A96" s="1">
        <v>46161</v>
      </c>
      <c r="B96" s="33">
        <v>25.05</v>
      </c>
      <c r="C96" s="33">
        <v>25.16</v>
      </c>
      <c r="D96" s="15">
        <v>-1.9940186068643901E-3</v>
      </c>
      <c r="E96" s="15">
        <v>-2.7783308207266601E-3</v>
      </c>
      <c r="F96" s="33">
        <v>0</v>
      </c>
      <c r="G96" s="33">
        <v>0.67100000000000004</v>
      </c>
      <c r="H96" s="33">
        <v>0</v>
      </c>
      <c r="I96" s="33">
        <v>0.51228899999999999</v>
      </c>
      <c r="J96" s="33">
        <v>0.67100000000000004</v>
      </c>
      <c r="K96" s="33">
        <v>0.51228899999999999</v>
      </c>
      <c r="L96" s="33">
        <v>25.721</v>
      </c>
      <c r="M96" s="33">
        <v>25.672288999999999</v>
      </c>
      <c r="N96" s="34">
        <v>1.0043912175648699</v>
      </c>
      <c r="O96" s="34">
        <v>1.0011576279691501</v>
      </c>
      <c r="P96" s="34">
        <v>1.00028784580329</v>
      </c>
      <c r="Q96" s="34">
        <v>1.0013433433972001</v>
      </c>
      <c r="R96" s="33">
        <v>25.078998580627299</v>
      </c>
      <c r="S96" s="33">
        <v>25.042265655482801</v>
      </c>
      <c r="T96" s="33">
        <v>25.081104761533801</v>
      </c>
      <c r="U96" s="15">
        <v>-3.2246458668022098E-3</v>
      </c>
      <c r="V96" s="15">
        <v>-4.6904082445474501E-3</v>
      </c>
      <c r="W96" s="15">
        <v>-3.1406675347267999E-3</v>
      </c>
      <c r="X96" s="34">
        <v>0.99810617783134403</v>
      </c>
      <c r="Y96" s="34">
        <v>0.99838446436414396</v>
      </c>
      <c r="Z96" s="34">
        <v>0.99846630882752596</v>
      </c>
      <c r="AA96" s="34">
        <v>0.99824410098496497</v>
      </c>
      <c r="AB96" s="33">
        <v>25.6794468079101</v>
      </c>
      <c r="AC96" s="33">
        <v>25.680599475957202</v>
      </c>
      <c r="AD96" s="33">
        <v>25.673693622512399</v>
      </c>
      <c r="AE96" s="15">
        <v>2.7877569643590503E-4</v>
      </c>
      <c r="AF96" s="15">
        <v>3.2366148337283199E-4</v>
      </c>
      <c r="AG96" s="15">
        <v>5.4712070585934803E-5</v>
      </c>
      <c r="AI96" s="12"/>
      <c r="AJ96">
        <f t="shared" si="26"/>
        <v>0</v>
      </c>
      <c r="AK96">
        <f t="shared" si="27"/>
        <v>1</v>
      </c>
      <c r="AL96">
        <f t="shared" si="34"/>
        <v>0</v>
      </c>
      <c r="AM96">
        <f t="shared" si="24"/>
        <v>1</v>
      </c>
      <c r="AN96">
        <f t="shared" si="35"/>
        <v>0</v>
      </c>
      <c r="AO96" s="28">
        <f t="shared" si="28"/>
        <v>0</v>
      </c>
      <c r="AP96" s="28">
        <f t="shared" si="29"/>
        <v>0</v>
      </c>
      <c r="AQ96" s="28">
        <f t="shared" si="36"/>
        <v>0</v>
      </c>
      <c r="AR96" s="29">
        <f t="shared" si="37"/>
        <v>6.4032970456674712E-3</v>
      </c>
      <c r="AT96" s="12"/>
      <c r="AU96">
        <f t="shared" si="30"/>
        <v>0</v>
      </c>
      <c r="AV96">
        <f t="shared" si="31"/>
        <v>1</v>
      </c>
      <c r="AW96">
        <f t="shared" si="38"/>
        <v>0</v>
      </c>
      <c r="AX96">
        <f t="shared" si="25"/>
        <v>1</v>
      </c>
      <c r="AY96">
        <f t="shared" si="39"/>
        <v>0</v>
      </c>
      <c r="AZ96" s="28">
        <f t="shared" si="32"/>
        <v>0</v>
      </c>
      <c r="BA96" s="28">
        <f t="shared" si="33"/>
        <v>0</v>
      </c>
      <c r="BB96" s="28">
        <f t="shared" si="40"/>
        <v>0</v>
      </c>
      <c r="BC96" s="29">
        <f t="shared" si="41"/>
        <v>7.8867319706979414E-3</v>
      </c>
      <c r="BE96" s="29">
        <f t="shared" si="42"/>
        <v>0</v>
      </c>
      <c r="BF96" s="29">
        <f t="shared" si="43"/>
        <v>1.4290029016365413E-2</v>
      </c>
      <c r="BH96" s="29"/>
    </row>
    <row r="97" spans="1:60" x14ac:dyDescent="0.25">
      <c r="A97" s="1">
        <v>46162</v>
      </c>
      <c r="B97" s="33">
        <v>25.2</v>
      </c>
      <c r="C97" s="33">
        <v>25.34</v>
      </c>
      <c r="D97" s="15">
        <v>5.9701669865037501E-3</v>
      </c>
      <c r="E97" s="15">
        <v>7.1287430607532799E-3</v>
      </c>
      <c r="F97" s="33">
        <v>0</v>
      </c>
      <c r="G97" s="33">
        <v>0.67100000000000004</v>
      </c>
      <c r="H97" s="33">
        <v>0</v>
      </c>
      <c r="I97" s="33">
        <v>0.51228899999999999</v>
      </c>
      <c r="J97" s="33">
        <v>0.67100000000000004</v>
      </c>
      <c r="K97" s="33">
        <v>0.51228899999999999</v>
      </c>
      <c r="L97" s="33">
        <v>25.870999999999999</v>
      </c>
      <c r="M97" s="33">
        <v>25.852288999999999</v>
      </c>
      <c r="N97" s="34">
        <v>1.00555555555555</v>
      </c>
      <c r="O97" s="34">
        <v>1.0011576279691501</v>
      </c>
      <c r="P97" s="34">
        <v>1.0010002641039399</v>
      </c>
      <c r="Q97" s="34">
        <v>1.0014443733352201</v>
      </c>
      <c r="R97" s="33">
        <v>25.229172224822701</v>
      </c>
      <c r="S97" s="33">
        <v>25.207253714242999</v>
      </c>
      <c r="T97" s="33">
        <v>25.233852253609399</v>
      </c>
      <c r="U97" s="15">
        <v>-4.3832219410518203E-3</v>
      </c>
      <c r="V97" s="15">
        <v>-5.2523759919744601E-3</v>
      </c>
      <c r="W97" s="15">
        <v>-4.1977384569164998E-3</v>
      </c>
      <c r="X97" s="34">
        <v>0.99927675775965297</v>
      </c>
      <c r="Y97" s="34">
        <v>0.99838446436414396</v>
      </c>
      <c r="Z97" s="34">
        <v>0.99861952722574898</v>
      </c>
      <c r="AA97" s="34">
        <v>0.99832809392662003</v>
      </c>
      <c r="AB97" s="33">
        <v>25.829204477564701</v>
      </c>
      <c r="AC97" s="33">
        <v>25.831321875676899</v>
      </c>
      <c r="AD97" s="33">
        <v>25.825573136582001</v>
      </c>
      <c r="AE97" s="15">
        <v>-8.93338114559645E-4</v>
      </c>
      <c r="AF97" s="15">
        <v>-8.1136457449732695E-4</v>
      </c>
      <c r="AG97" s="15">
        <v>-1.03393850648684E-3</v>
      </c>
      <c r="AI97" s="12"/>
      <c r="AJ97">
        <f t="shared" si="26"/>
        <v>1</v>
      </c>
      <c r="AK97">
        <f t="shared" si="27"/>
        <v>0</v>
      </c>
      <c r="AL97">
        <f t="shared" si="34"/>
        <v>0</v>
      </c>
      <c r="AM97">
        <f t="shared" si="24"/>
        <v>1</v>
      </c>
      <c r="AN97">
        <f t="shared" si="35"/>
        <v>0</v>
      </c>
      <c r="AO97" s="28">
        <f t="shared" si="28"/>
        <v>0</v>
      </c>
      <c r="AP97" s="28">
        <f t="shared" si="29"/>
        <v>0</v>
      </c>
      <c r="AQ97" s="28">
        <f t="shared" si="36"/>
        <v>0</v>
      </c>
      <c r="AR97" s="29">
        <f t="shared" si="37"/>
        <v>6.4032970456674712E-3</v>
      </c>
      <c r="AT97" s="12"/>
      <c r="AU97">
        <f t="shared" si="30"/>
        <v>0</v>
      </c>
      <c r="AV97">
        <f t="shared" si="31"/>
        <v>1</v>
      </c>
      <c r="AW97">
        <f t="shared" si="38"/>
        <v>0</v>
      </c>
      <c r="AX97">
        <f t="shared" si="25"/>
        <v>1</v>
      </c>
      <c r="AY97">
        <f t="shared" si="39"/>
        <v>0</v>
      </c>
      <c r="AZ97" s="28">
        <f t="shared" si="32"/>
        <v>0</v>
      </c>
      <c r="BA97" s="28">
        <f t="shared" si="33"/>
        <v>0</v>
      </c>
      <c r="BB97" s="28">
        <f t="shared" si="40"/>
        <v>0</v>
      </c>
      <c r="BC97" s="29">
        <f t="shared" si="41"/>
        <v>7.8867319706979414E-3</v>
      </c>
      <c r="BE97" s="29">
        <f t="shared" si="42"/>
        <v>0</v>
      </c>
      <c r="BF97" s="29">
        <f t="shared" si="43"/>
        <v>1.4290029016365413E-2</v>
      </c>
      <c r="BH97" s="29"/>
    </row>
    <row r="98" spans="1:60" x14ac:dyDescent="0.25">
      <c r="A98" s="1">
        <v>46163</v>
      </c>
      <c r="B98" s="33">
        <v>25.2</v>
      </c>
      <c r="C98" s="33">
        <v>25.34</v>
      </c>
      <c r="D98" s="15">
        <v>0</v>
      </c>
      <c r="E98" s="15">
        <v>0</v>
      </c>
      <c r="F98" s="33">
        <v>0</v>
      </c>
      <c r="G98" s="33">
        <v>0.67100000000000004</v>
      </c>
      <c r="H98" s="33">
        <v>0</v>
      </c>
      <c r="I98" s="33">
        <v>0.51228899999999999</v>
      </c>
      <c r="J98" s="33">
        <v>0.67100000000000004</v>
      </c>
      <c r="K98" s="33">
        <v>0.51228899999999999</v>
      </c>
      <c r="L98" s="33">
        <v>25.870999999999999</v>
      </c>
      <c r="M98" s="33">
        <v>25.852288999999999</v>
      </c>
      <c r="N98" s="34">
        <v>1.00555555555555</v>
      </c>
      <c r="O98" s="34">
        <v>1.0011576279691501</v>
      </c>
      <c r="P98" s="34">
        <v>1.0015952207627301</v>
      </c>
      <c r="Q98" s="34">
        <v>1.00152545559766</v>
      </c>
      <c r="R98" s="33">
        <v>25.229172224822701</v>
      </c>
      <c r="S98" s="33">
        <v>25.225206655419498</v>
      </c>
      <c r="T98" s="33">
        <v>25.236398208047699</v>
      </c>
      <c r="U98" s="15">
        <v>-4.3832219410518203E-3</v>
      </c>
      <c r="V98" s="15">
        <v>-4.54041620245708E-3</v>
      </c>
      <c r="W98" s="15">
        <v>-4.0968491442142704E-3</v>
      </c>
      <c r="X98" s="34">
        <v>0.99927675775965297</v>
      </c>
      <c r="Y98" s="34">
        <v>0.99838446436414396</v>
      </c>
      <c r="Z98" s="34">
        <v>0.99865800922301096</v>
      </c>
      <c r="AA98" s="34">
        <v>0.99839300499097305</v>
      </c>
      <c r="AB98" s="33">
        <v>25.829204477564701</v>
      </c>
      <c r="AC98" s="33">
        <v>25.835285788857298</v>
      </c>
      <c r="AD98" s="33">
        <v>25.827746117975501</v>
      </c>
      <c r="AE98" s="15">
        <v>-8.93338114559645E-4</v>
      </c>
      <c r="AF98" s="15">
        <v>-6.5792259843591597E-4</v>
      </c>
      <c r="AG98" s="15">
        <v>-9.4980136191597604E-4</v>
      </c>
      <c r="AI98" s="12"/>
      <c r="AJ98">
        <f t="shared" si="26"/>
        <v>0</v>
      </c>
      <c r="AK98">
        <f t="shared" si="27"/>
        <v>0</v>
      </c>
      <c r="AL98">
        <f t="shared" si="34"/>
        <v>1</v>
      </c>
      <c r="AM98">
        <f t="shared" si="24"/>
        <v>1</v>
      </c>
      <c r="AN98">
        <f t="shared" si="35"/>
        <v>1</v>
      </c>
      <c r="AO98" s="28">
        <f t="shared" si="28"/>
        <v>0</v>
      </c>
      <c r="AP98" s="28">
        <f t="shared" si="29"/>
        <v>0</v>
      </c>
      <c r="AQ98" s="28">
        <f t="shared" si="36"/>
        <v>0</v>
      </c>
      <c r="AR98" s="29">
        <f t="shared" si="37"/>
        <v>6.4032970456674712E-3</v>
      </c>
      <c r="AT98" s="12"/>
      <c r="AU98">
        <f t="shared" si="30"/>
        <v>0</v>
      </c>
      <c r="AV98">
        <f t="shared" si="31"/>
        <v>1</v>
      </c>
      <c r="AW98">
        <f t="shared" si="38"/>
        <v>0</v>
      </c>
      <c r="AX98">
        <f t="shared" si="25"/>
        <v>1</v>
      </c>
      <c r="AY98">
        <f t="shared" si="39"/>
        <v>0</v>
      </c>
      <c r="AZ98" s="28">
        <f t="shared" si="32"/>
        <v>0</v>
      </c>
      <c r="BA98" s="28">
        <f t="shared" si="33"/>
        <v>0</v>
      </c>
      <c r="BB98" s="28">
        <f t="shared" si="40"/>
        <v>0</v>
      </c>
      <c r="BC98" s="29">
        <f t="shared" si="41"/>
        <v>7.8867319706979414E-3</v>
      </c>
      <c r="BE98" s="29">
        <f t="shared" si="42"/>
        <v>0</v>
      </c>
      <c r="BF98" s="29">
        <f t="shared" si="43"/>
        <v>1.4290029016365413E-2</v>
      </c>
      <c r="BH98" s="29"/>
    </row>
    <row r="99" spans="1:60" x14ac:dyDescent="0.25">
      <c r="A99" s="1">
        <v>46164</v>
      </c>
      <c r="B99" s="33">
        <v>25.25</v>
      </c>
      <c r="C99" s="33">
        <v>25.34</v>
      </c>
      <c r="D99" s="15">
        <v>1.9821612039911999E-3</v>
      </c>
      <c r="E99" s="15">
        <v>0</v>
      </c>
      <c r="F99" s="33">
        <v>0</v>
      </c>
      <c r="G99" s="33">
        <v>0.67100000000000004</v>
      </c>
      <c r="H99" s="33">
        <v>0</v>
      </c>
      <c r="I99" s="33">
        <v>0.51228899999999999</v>
      </c>
      <c r="J99" s="33">
        <v>0.67100000000000004</v>
      </c>
      <c r="K99" s="33">
        <v>0.51228899999999999</v>
      </c>
      <c r="L99" s="33">
        <v>25.920999999999999</v>
      </c>
      <c r="M99" s="33">
        <v>25.852288999999999</v>
      </c>
      <c r="N99" s="34">
        <v>1.00356435643564</v>
      </c>
      <c r="O99" s="34">
        <v>1.0011576279691501</v>
      </c>
      <c r="P99" s="34">
        <v>1.00199093370402</v>
      </c>
      <c r="Q99" s="34">
        <v>1.0014679170343701</v>
      </c>
      <c r="R99" s="33">
        <v>25.2792301062211</v>
      </c>
      <c r="S99" s="33">
        <v>25.290279324259</v>
      </c>
      <c r="T99" s="33">
        <v>25.288517753840999</v>
      </c>
      <c r="U99" s="15">
        <v>-2.4010607370606001E-3</v>
      </c>
      <c r="V99" s="15">
        <v>-1.96406942201084E-3</v>
      </c>
      <c r="W99" s="15">
        <v>-2.03372589944872E-3</v>
      </c>
      <c r="X99" s="34">
        <v>0.99734921492226303</v>
      </c>
      <c r="Y99" s="34">
        <v>0.99838446436414396</v>
      </c>
      <c r="Z99" s="34">
        <v>0.99850339587625403</v>
      </c>
      <c r="AA99" s="34">
        <v>0.99832293253975002</v>
      </c>
      <c r="AB99" s="33">
        <v>25.879123700782898</v>
      </c>
      <c r="AC99" s="33">
        <v>25.8862142570696</v>
      </c>
      <c r="AD99" s="33">
        <v>25.879345082371</v>
      </c>
      <c r="AE99" s="15">
        <v>1.03746260884537E-3</v>
      </c>
      <c r="AF99" s="15">
        <v>1.3114125765552201E-3</v>
      </c>
      <c r="AG99" s="15">
        <v>1.0460170190993801E-3</v>
      </c>
      <c r="AI99" s="12"/>
      <c r="AJ99">
        <f t="shared" si="26"/>
        <v>0</v>
      </c>
      <c r="AK99">
        <f t="shared" si="27"/>
        <v>1</v>
      </c>
      <c r="AL99">
        <f t="shared" si="34"/>
        <v>1</v>
      </c>
      <c r="AM99">
        <f t="shared" si="24"/>
        <v>1</v>
      </c>
      <c r="AN99">
        <f t="shared" si="35"/>
        <v>1</v>
      </c>
      <c r="AO99" s="28">
        <f t="shared" si="28"/>
        <v>1.9821612039911999E-3</v>
      </c>
      <c r="AP99" s="28">
        <f t="shared" si="29"/>
        <v>0</v>
      </c>
      <c r="AQ99" s="28">
        <f t="shared" si="36"/>
        <v>1.9821612039911999E-3</v>
      </c>
      <c r="AR99" s="29">
        <f t="shared" si="37"/>
        <v>8.3854582496586706E-3</v>
      </c>
      <c r="AT99" s="12"/>
      <c r="AU99">
        <f t="shared" si="30"/>
        <v>1</v>
      </c>
      <c r="AV99">
        <f t="shared" si="31"/>
        <v>0</v>
      </c>
      <c r="AW99">
        <f t="shared" si="38"/>
        <v>0</v>
      </c>
      <c r="AX99">
        <f t="shared" si="25"/>
        <v>1</v>
      </c>
      <c r="AY99">
        <f t="shared" si="39"/>
        <v>0</v>
      </c>
      <c r="AZ99" s="28">
        <f t="shared" si="32"/>
        <v>0</v>
      </c>
      <c r="BA99" s="28">
        <f t="shared" si="33"/>
        <v>0</v>
      </c>
      <c r="BB99" s="28">
        <f t="shared" si="40"/>
        <v>0</v>
      </c>
      <c r="BC99" s="29">
        <f t="shared" si="41"/>
        <v>7.8867319706979414E-3</v>
      </c>
      <c r="BE99" s="29">
        <f t="shared" si="42"/>
        <v>1.9821612039911999E-3</v>
      </c>
      <c r="BF99" s="29">
        <f t="shared" si="43"/>
        <v>1.6272190220356614E-2</v>
      </c>
      <c r="BH99" s="29"/>
    </row>
    <row r="100" spans="1:60" x14ac:dyDescent="0.25">
      <c r="A100" s="1">
        <v>46168</v>
      </c>
      <c r="B100" s="33">
        <v>25.33</v>
      </c>
      <c r="C100" s="33">
        <v>25.44</v>
      </c>
      <c r="D100" s="15">
        <v>3.1633082922150201E-3</v>
      </c>
      <c r="E100" s="15">
        <v>3.9385635789284303E-3</v>
      </c>
      <c r="F100" s="33">
        <v>0</v>
      </c>
      <c r="G100" s="33">
        <v>0.67100000000000004</v>
      </c>
      <c r="H100" s="33">
        <v>0</v>
      </c>
      <c r="I100" s="33">
        <v>0.51228899999999999</v>
      </c>
      <c r="J100" s="33">
        <v>0.67100000000000004</v>
      </c>
      <c r="K100" s="33">
        <v>0.51228899999999999</v>
      </c>
      <c r="L100" s="33">
        <v>26.000999999999902</v>
      </c>
      <c r="M100" s="33">
        <v>25.952289</v>
      </c>
      <c r="N100" s="34">
        <v>1.0043426766679799</v>
      </c>
      <c r="O100" s="34">
        <v>1.0011576279691501</v>
      </c>
      <c r="P100" s="34">
        <v>1.0025038486378199</v>
      </c>
      <c r="Q100" s="34">
        <v>1.0014885872135499</v>
      </c>
      <c r="R100" s="33">
        <v>25.359322716458699</v>
      </c>
      <c r="S100" s="33">
        <v>25.380430350722801</v>
      </c>
      <c r="T100" s="33">
        <v>25.367182338480799</v>
      </c>
      <c r="U100" s="15">
        <v>-3.17631602377397E-3</v>
      </c>
      <c r="V100" s="15">
        <v>-2.3443200361780402E-3</v>
      </c>
      <c r="W100" s="15">
        <v>-2.8664337609821699E-3</v>
      </c>
      <c r="X100" s="34">
        <v>0.99812657205492095</v>
      </c>
      <c r="Y100" s="34">
        <v>0.99838446436414396</v>
      </c>
      <c r="Z100" s="34">
        <v>0.99846516521147899</v>
      </c>
      <c r="AA100" s="34">
        <v>0.99833021761068497</v>
      </c>
      <c r="AB100" s="33">
        <v>25.9589944579321</v>
      </c>
      <c r="AC100" s="33">
        <v>25.9620867961785</v>
      </c>
      <c r="AD100" s="33">
        <v>25.957394568965999</v>
      </c>
      <c r="AE100" s="15">
        <v>2.5834298529139199E-4</v>
      </c>
      <c r="AF100" s="15">
        <v>3.7745985171019301E-4</v>
      </c>
      <c r="AG100" s="15">
        <v>1.9670969389482801E-4</v>
      </c>
      <c r="AI100" s="12"/>
      <c r="AJ100">
        <f t="shared" si="26"/>
        <v>0</v>
      </c>
      <c r="AK100">
        <f t="shared" si="27"/>
        <v>1</v>
      </c>
      <c r="AL100">
        <f t="shared" si="34"/>
        <v>0</v>
      </c>
      <c r="AM100">
        <f t="shared" si="24"/>
        <v>1</v>
      </c>
      <c r="AN100">
        <f t="shared" si="35"/>
        <v>0</v>
      </c>
      <c r="AO100" s="28">
        <f t="shared" si="28"/>
        <v>0</v>
      </c>
      <c r="AP100" s="28">
        <f t="shared" si="29"/>
        <v>0</v>
      </c>
      <c r="AQ100" s="28">
        <f t="shared" si="36"/>
        <v>0</v>
      </c>
      <c r="AR100" s="29">
        <f t="shared" si="37"/>
        <v>8.3854582496586706E-3</v>
      </c>
      <c r="AT100" s="12"/>
      <c r="AU100">
        <f t="shared" si="30"/>
        <v>0</v>
      </c>
      <c r="AV100">
        <f t="shared" si="31"/>
        <v>1</v>
      </c>
      <c r="AW100">
        <f t="shared" si="38"/>
        <v>1</v>
      </c>
      <c r="AX100">
        <f t="shared" si="25"/>
        <v>1</v>
      </c>
      <c r="AY100">
        <f t="shared" si="39"/>
        <v>1</v>
      </c>
      <c r="AZ100" s="28">
        <f t="shared" si="32"/>
        <v>-3.1633082922150201E-3</v>
      </c>
      <c r="BA100" s="28">
        <f t="shared" si="33"/>
        <v>3.9385635789284303E-3</v>
      </c>
      <c r="BB100" s="28">
        <f t="shared" si="40"/>
        <v>7.7525528671341026E-4</v>
      </c>
      <c r="BC100" s="29">
        <f t="shared" si="41"/>
        <v>8.6619872574113521E-3</v>
      </c>
      <c r="BE100" s="29">
        <f t="shared" si="42"/>
        <v>7.7525528671341026E-4</v>
      </c>
      <c r="BF100" s="29">
        <f t="shared" si="43"/>
        <v>1.7047445507070023E-2</v>
      </c>
      <c r="BH100" s="29"/>
    </row>
    <row r="101" spans="1:60" x14ac:dyDescent="0.25">
      <c r="A101" s="1">
        <v>46169</v>
      </c>
      <c r="B101" s="33">
        <v>25.32</v>
      </c>
      <c r="C101" s="33">
        <v>25.42</v>
      </c>
      <c r="D101" s="15">
        <v>-3.9486673760836199E-4</v>
      </c>
      <c r="E101" s="15">
        <v>-7.8647271061337595E-4</v>
      </c>
      <c r="F101" s="33">
        <v>0</v>
      </c>
      <c r="G101" s="33">
        <v>0.67100000000000004</v>
      </c>
      <c r="H101" s="33">
        <v>0</v>
      </c>
      <c r="I101" s="33">
        <v>0.51228899999999999</v>
      </c>
      <c r="J101" s="33">
        <v>0.67100000000000004</v>
      </c>
      <c r="K101" s="33">
        <v>0.51228899999999999</v>
      </c>
      <c r="L101" s="33">
        <v>25.991</v>
      </c>
      <c r="M101" s="33">
        <v>25.932289000000001</v>
      </c>
      <c r="N101" s="34">
        <v>1.0039494470774</v>
      </c>
      <c r="O101" s="34">
        <v>1.0011576279691501</v>
      </c>
      <c r="P101" s="34">
        <v>1.0029775955520299</v>
      </c>
      <c r="Q101" s="34">
        <v>1.0014895186869199</v>
      </c>
      <c r="R101" s="33">
        <v>25.349311140179001</v>
      </c>
      <c r="S101" s="33">
        <v>25.3833974475098</v>
      </c>
      <c r="T101" s="33">
        <v>25.3576910282471</v>
      </c>
      <c r="U101" s="15">
        <v>-2.7847100507690501E-3</v>
      </c>
      <c r="V101" s="15">
        <v>-1.44094925388713E-3</v>
      </c>
      <c r="W101" s="15">
        <v>-2.4541881194348599E-3</v>
      </c>
      <c r="X101" s="34">
        <v>0.99774110268939198</v>
      </c>
      <c r="Y101" s="34">
        <v>0.99838446436414396</v>
      </c>
      <c r="Z101" s="34">
        <v>0.99838867534919995</v>
      </c>
      <c r="AA101" s="34">
        <v>0.99831826808611102</v>
      </c>
      <c r="AB101" s="33">
        <v>25.949010613288401</v>
      </c>
      <c r="AC101" s="33">
        <v>25.9511081090115</v>
      </c>
      <c r="AD101" s="33">
        <v>25.947600685919301</v>
      </c>
      <c r="AE101" s="15">
        <v>6.4461044700637505E-4</v>
      </c>
      <c r="AF101" s="15">
        <v>7.2543861371857695E-4</v>
      </c>
      <c r="AG101" s="15">
        <v>5.9027443799842996E-4</v>
      </c>
      <c r="AI101" s="12"/>
      <c r="AJ101">
        <f t="shared" si="26"/>
        <v>0</v>
      </c>
      <c r="AK101">
        <f t="shared" si="27"/>
        <v>1</v>
      </c>
      <c r="AL101">
        <f t="shared" si="34"/>
        <v>0</v>
      </c>
      <c r="AM101">
        <f t="shared" si="24"/>
        <v>1</v>
      </c>
      <c r="AN101">
        <f t="shared" si="35"/>
        <v>0</v>
      </c>
      <c r="AO101" s="28">
        <f t="shared" si="28"/>
        <v>0</v>
      </c>
      <c r="AP101" s="28">
        <f t="shared" si="29"/>
        <v>0</v>
      </c>
      <c r="AQ101" s="28">
        <f t="shared" si="36"/>
        <v>0</v>
      </c>
      <c r="AR101" s="29">
        <f t="shared" si="37"/>
        <v>8.3854582496586706E-3</v>
      </c>
      <c r="AT101" s="12"/>
      <c r="AU101">
        <f t="shared" si="30"/>
        <v>0</v>
      </c>
      <c r="AV101">
        <f t="shared" si="31"/>
        <v>0</v>
      </c>
      <c r="AW101">
        <f t="shared" si="38"/>
        <v>0</v>
      </c>
      <c r="AX101">
        <f t="shared" si="25"/>
        <v>1</v>
      </c>
      <c r="AY101">
        <f t="shared" si="39"/>
        <v>0</v>
      </c>
      <c r="AZ101" s="28">
        <f t="shared" si="32"/>
        <v>0</v>
      </c>
      <c r="BA101" s="28">
        <f t="shared" si="33"/>
        <v>0</v>
      </c>
      <c r="BB101" s="28">
        <f t="shared" si="40"/>
        <v>0</v>
      </c>
      <c r="BC101" s="29">
        <f t="shared" si="41"/>
        <v>8.6619872574113521E-3</v>
      </c>
      <c r="BE101" s="29">
        <f t="shared" si="42"/>
        <v>0</v>
      </c>
      <c r="BF101" s="29">
        <f t="shared" si="43"/>
        <v>1.7047445507070023E-2</v>
      </c>
      <c r="BH101" s="29"/>
    </row>
    <row r="102" spans="1:60" x14ac:dyDescent="0.25">
      <c r="A102" s="1">
        <v>46170</v>
      </c>
      <c r="B102" s="33">
        <v>25.32</v>
      </c>
      <c r="C102" s="33">
        <v>25.45</v>
      </c>
      <c r="D102" s="15">
        <v>0</v>
      </c>
      <c r="E102" s="15">
        <v>1.17947723522357E-3</v>
      </c>
      <c r="F102" s="33">
        <v>0</v>
      </c>
      <c r="G102" s="33">
        <v>0.67100000000000004</v>
      </c>
      <c r="H102" s="33">
        <v>0</v>
      </c>
      <c r="I102" s="33">
        <v>0.51228899999999999</v>
      </c>
      <c r="J102" s="33">
        <v>0.67100000000000004</v>
      </c>
      <c r="K102" s="33">
        <v>0.51228899999999999</v>
      </c>
      <c r="L102" s="33">
        <v>25.991</v>
      </c>
      <c r="M102" s="33">
        <v>25.962288999999998</v>
      </c>
      <c r="N102" s="34">
        <v>1.0051342812006301</v>
      </c>
      <c r="O102" s="34">
        <v>1.0011576279691501</v>
      </c>
      <c r="P102" s="34">
        <v>1.00360913390831</v>
      </c>
      <c r="Q102" s="34">
        <v>1.0015290989135499</v>
      </c>
      <c r="R102" s="33">
        <v>25.349311140179001</v>
      </c>
      <c r="S102" s="33">
        <v>25.395392719377401</v>
      </c>
      <c r="T102" s="33">
        <v>25.357714613152801</v>
      </c>
      <c r="U102" s="15">
        <v>-3.9641872859927001E-3</v>
      </c>
      <c r="V102" s="15">
        <v>-2.1479744259043001E-3</v>
      </c>
      <c r="W102" s="15">
        <v>-3.6327352662423101E-3</v>
      </c>
      <c r="X102" s="34">
        <v>0.99889534838982696</v>
      </c>
      <c r="Y102" s="34">
        <v>0.99838446436414396</v>
      </c>
      <c r="Z102" s="34">
        <v>0.99846605870925798</v>
      </c>
      <c r="AA102" s="34">
        <v>0.99834512629868899</v>
      </c>
      <c r="AB102" s="33">
        <v>25.949010613288401</v>
      </c>
      <c r="AC102" s="33">
        <v>25.949120061001</v>
      </c>
      <c r="AD102" s="33">
        <v>25.947290105826099</v>
      </c>
      <c r="AE102" s="15">
        <v>-5.1157983329359197E-4</v>
      </c>
      <c r="AF102" s="15">
        <v>-5.0736204312756697E-4</v>
      </c>
      <c r="AG102" s="15">
        <v>-5.7788542498868095E-4</v>
      </c>
      <c r="AI102" s="12"/>
      <c r="AJ102">
        <f t="shared" si="26"/>
        <v>0</v>
      </c>
      <c r="AK102">
        <f t="shared" si="27"/>
        <v>0</v>
      </c>
      <c r="AL102">
        <f t="shared" si="34"/>
        <v>0</v>
      </c>
      <c r="AM102">
        <f t="shared" si="24"/>
        <v>1</v>
      </c>
      <c r="AN102">
        <f t="shared" si="35"/>
        <v>0</v>
      </c>
      <c r="AO102" s="28">
        <f t="shared" si="28"/>
        <v>0</v>
      </c>
      <c r="AP102" s="28">
        <f t="shared" si="29"/>
        <v>0</v>
      </c>
      <c r="AQ102" s="28">
        <f t="shared" si="36"/>
        <v>0</v>
      </c>
      <c r="AR102" s="29">
        <f t="shared" si="37"/>
        <v>8.3854582496586706E-3</v>
      </c>
      <c r="AT102" s="12"/>
      <c r="AU102">
        <f t="shared" si="30"/>
        <v>0</v>
      </c>
      <c r="AV102">
        <f t="shared" si="31"/>
        <v>1</v>
      </c>
      <c r="AW102">
        <f t="shared" si="38"/>
        <v>0</v>
      </c>
      <c r="AX102">
        <f t="shared" si="25"/>
        <v>1</v>
      </c>
      <c r="AY102">
        <f t="shared" si="39"/>
        <v>0</v>
      </c>
      <c r="AZ102" s="28">
        <f t="shared" si="32"/>
        <v>0</v>
      </c>
      <c r="BA102" s="28">
        <f t="shared" si="33"/>
        <v>0</v>
      </c>
      <c r="BB102" s="28">
        <f t="shared" si="40"/>
        <v>0</v>
      </c>
      <c r="BC102" s="29">
        <f t="shared" si="41"/>
        <v>8.6619872574113521E-3</v>
      </c>
      <c r="BE102" s="29">
        <f t="shared" si="42"/>
        <v>0</v>
      </c>
      <c r="BF102" s="29">
        <f t="shared" si="43"/>
        <v>1.7047445507070023E-2</v>
      </c>
      <c r="BH102" s="29"/>
    </row>
    <row r="103" spans="1:60" x14ac:dyDescent="0.25">
      <c r="A103" s="1">
        <v>46171</v>
      </c>
      <c r="B103" s="33">
        <v>25.37</v>
      </c>
      <c r="C103" s="33">
        <v>25.53</v>
      </c>
      <c r="D103" s="15">
        <v>1.9727763352151298E-3</v>
      </c>
      <c r="E103" s="15">
        <v>3.1384882568608E-3</v>
      </c>
      <c r="F103" s="33">
        <v>0</v>
      </c>
      <c r="G103" s="33">
        <v>0.67100000000000004</v>
      </c>
      <c r="H103" s="33">
        <v>0</v>
      </c>
      <c r="I103" s="33">
        <v>0.51228899999999999</v>
      </c>
      <c r="J103" s="33">
        <v>0.67100000000000004</v>
      </c>
      <c r="K103" s="33">
        <v>0.51228899999999999</v>
      </c>
      <c r="L103" s="33">
        <v>26.041</v>
      </c>
      <c r="M103" s="33">
        <v>26.042289</v>
      </c>
      <c r="N103" s="34">
        <v>1.00630666141111</v>
      </c>
      <c r="O103" s="34">
        <v>1.0011576279691501</v>
      </c>
      <c r="P103" s="34">
        <v>1.00431869551293</v>
      </c>
      <c r="Q103" s="34">
        <v>1.00160849018308</v>
      </c>
      <c r="R103" s="33">
        <v>25.3993690215774</v>
      </c>
      <c r="S103" s="33">
        <v>25.4615637272539</v>
      </c>
      <c r="T103" s="33">
        <v>25.4087932394368</v>
      </c>
      <c r="U103" s="15">
        <v>-5.1298992076383703E-3</v>
      </c>
      <c r="V103" s="15">
        <v>-2.6842210292914999E-3</v>
      </c>
      <c r="W103" s="15">
        <v>-4.7589266100063199E-3</v>
      </c>
      <c r="X103" s="34">
        <v>1.00004949886717</v>
      </c>
      <c r="Y103" s="34">
        <v>0.99838446436414396</v>
      </c>
      <c r="Z103" s="34">
        <v>0.99862058164183898</v>
      </c>
      <c r="AA103" s="34">
        <v>0.99841011616828301</v>
      </c>
      <c r="AB103" s="33">
        <v>25.998929836506601</v>
      </c>
      <c r="AC103" s="33">
        <v>26.001054634847801</v>
      </c>
      <c r="AD103" s="33">
        <v>25.997905433944101</v>
      </c>
      <c r="AE103" s="15">
        <v>-1.66633966289035E-3</v>
      </c>
      <c r="AF103" s="15">
        <v>-1.58461662532035E-3</v>
      </c>
      <c r="AG103" s="15">
        <v>-1.7057421594971901E-3</v>
      </c>
      <c r="AI103" s="12"/>
      <c r="AJ103">
        <f t="shared" si="26"/>
        <v>1</v>
      </c>
      <c r="AK103">
        <f t="shared" si="27"/>
        <v>0</v>
      </c>
      <c r="AL103">
        <f t="shared" si="34"/>
        <v>0</v>
      </c>
      <c r="AM103">
        <f t="shared" si="24"/>
        <v>0</v>
      </c>
      <c r="AN103">
        <f t="shared" si="35"/>
        <v>0</v>
      </c>
      <c r="AO103" s="28">
        <f t="shared" si="28"/>
        <v>0</v>
      </c>
      <c r="AP103" s="28">
        <f t="shared" si="29"/>
        <v>0</v>
      </c>
      <c r="AQ103" s="28">
        <f t="shared" si="36"/>
        <v>0</v>
      </c>
      <c r="AR103" s="29">
        <f t="shared" si="37"/>
        <v>8.3854582496586706E-3</v>
      </c>
      <c r="AT103" s="12"/>
      <c r="AU103">
        <f t="shared" si="30"/>
        <v>0</v>
      </c>
      <c r="AV103">
        <f t="shared" si="31"/>
        <v>1</v>
      </c>
      <c r="AW103">
        <f t="shared" si="38"/>
        <v>0</v>
      </c>
      <c r="AX103">
        <f t="shared" si="25"/>
        <v>0</v>
      </c>
      <c r="AY103">
        <f t="shared" si="39"/>
        <v>0</v>
      </c>
      <c r="AZ103" s="28">
        <f t="shared" si="32"/>
        <v>0</v>
      </c>
      <c r="BA103" s="28">
        <f t="shared" si="33"/>
        <v>0</v>
      </c>
      <c r="BB103" s="28">
        <f t="shared" si="40"/>
        <v>0</v>
      </c>
      <c r="BC103" s="29">
        <f t="shared" si="41"/>
        <v>8.6619872574113521E-3</v>
      </c>
      <c r="BE103" s="29">
        <f t="shared" si="42"/>
        <v>0</v>
      </c>
      <c r="BF103" s="29">
        <f t="shared" si="43"/>
        <v>1.7047445507070023E-2</v>
      </c>
      <c r="BH103" s="29"/>
    </row>
    <row r="104" spans="1:60" x14ac:dyDescent="0.25">
      <c r="A104" s="1">
        <v>46174</v>
      </c>
      <c r="B104" s="33">
        <v>25.37</v>
      </c>
      <c r="C104" s="33">
        <v>25.34</v>
      </c>
      <c r="D104" s="15">
        <v>0</v>
      </c>
      <c r="E104" s="15">
        <v>-7.4700563603994699E-3</v>
      </c>
      <c r="F104" s="33">
        <v>0</v>
      </c>
      <c r="G104" s="33">
        <v>0.67100000000000004</v>
      </c>
      <c r="H104" s="33">
        <v>0.13145799999999999</v>
      </c>
      <c r="I104" s="33">
        <v>0.64374699999999996</v>
      </c>
      <c r="J104" s="33">
        <v>0.67100000000000004</v>
      </c>
      <c r="K104" s="33">
        <v>0.64374699999999996</v>
      </c>
      <c r="L104" s="33">
        <v>26.041</v>
      </c>
      <c r="M104" s="33">
        <v>25.983747000000001</v>
      </c>
      <c r="N104" s="34">
        <v>0.998817500985415</v>
      </c>
      <c r="O104" s="34">
        <v>1.0011576279691501</v>
      </c>
      <c r="P104" s="34">
        <v>1.00427965353227</v>
      </c>
      <c r="Q104" s="34">
        <v>1.00160828117894</v>
      </c>
      <c r="R104" s="33">
        <v>25.3993690215774</v>
      </c>
      <c r="S104" s="33">
        <v>25.479565305163199</v>
      </c>
      <c r="T104" s="33">
        <v>25.4108073959449</v>
      </c>
      <c r="U104" s="15">
        <v>2.3401571527610801E-3</v>
      </c>
      <c r="V104" s="15">
        <v>5.4925954285195396E-3</v>
      </c>
      <c r="W104" s="15">
        <v>2.7903966664623099E-3</v>
      </c>
      <c r="X104" s="34">
        <v>0.99780142851657005</v>
      </c>
      <c r="Y104" s="34">
        <v>0.99838446436414396</v>
      </c>
      <c r="Z104" s="34">
        <v>0.99855087770710305</v>
      </c>
      <c r="AA104" s="34">
        <v>0.99839389503130105</v>
      </c>
      <c r="AB104" s="33">
        <v>25.998929836506601</v>
      </c>
      <c r="AC104" s="33">
        <v>26.005078566535101</v>
      </c>
      <c r="AD104" s="33">
        <v>25.9995978351382</v>
      </c>
      <c r="AE104" s="15">
        <v>5.8414986924132297E-4</v>
      </c>
      <c r="AF104" s="15">
        <v>8.2062125850252104E-4</v>
      </c>
      <c r="AG104" s="15">
        <v>6.0984285177454801E-4</v>
      </c>
      <c r="AI104" s="12"/>
      <c r="AJ104">
        <f t="shared" si="26"/>
        <v>0</v>
      </c>
      <c r="AK104">
        <f t="shared" si="27"/>
        <v>1</v>
      </c>
      <c r="AL104">
        <f t="shared" si="34"/>
        <v>0</v>
      </c>
      <c r="AM104">
        <f t="shared" si="24"/>
        <v>1</v>
      </c>
      <c r="AN104">
        <f t="shared" si="35"/>
        <v>0</v>
      </c>
      <c r="AO104" s="28">
        <f t="shared" si="28"/>
        <v>0</v>
      </c>
      <c r="AP104" s="28">
        <f t="shared" si="29"/>
        <v>0</v>
      </c>
      <c r="AQ104" s="28">
        <f t="shared" si="36"/>
        <v>0</v>
      </c>
      <c r="AR104" s="29">
        <f t="shared" si="37"/>
        <v>8.3854582496586706E-3</v>
      </c>
      <c r="AT104" s="12"/>
      <c r="AU104">
        <f t="shared" si="30"/>
        <v>0</v>
      </c>
      <c r="AV104">
        <f t="shared" si="31"/>
        <v>0</v>
      </c>
      <c r="AW104">
        <f t="shared" si="38"/>
        <v>0</v>
      </c>
      <c r="AX104">
        <f t="shared" si="25"/>
        <v>1</v>
      </c>
      <c r="AY104">
        <f t="shared" si="39"/>
        <v>0</v>
      </c>
      <c r="AZ104" s="28">
        <f t="shared" si="32"/>
        <v>0</v>
      </c>
      <c r="BA104" s="28">
        <f t="shared" si="33"/>
        <v>0</v>
      </c>
      <c r="BB104" s="28">
        <f t="shared" si="40"/>
        <v>0</v>
      </c>
      <c r="BC104" s="29">
        <f t="shared" si="41"/>
        <v>8.6619872574113521E-3</v>
      </c>
      <c r="BE104" s="29">
        <f t="shared" si="42"/>
        <v>0</v>
      </c>
      <c r="BF104" s="29">
        <f t="shared" si="43"/>
        <v>1.7047445507070023E-2</v>
      </c>
      <c r="BH104" s="29"/>
    </row>
    <row r="105" spans="1:60" x14ac:dyDescent="0.25">
      <c r="A105" s="1">
        <v>46175</v>
      </c>
      <c r="B105" s="33">
        <v>25.38</v>
      </c>
      <c r="C105" s="33">
        <v>25.38</v>
      </c>
      <c r="D105" s="15">
        <v>3.9408867505093498E-4</v>
      </c>
      <c r="E105" s="15">
        <v>1.5772873932486599E-3</v>
      </c>
      <c r="F105" s="33">
        <v>0</v>
      </c>
      <c r="G105" s="33">
        <v>0.67100000000000004</v>
      </c>
      <c r="H105" s="33">
        <v>0</v>
      </c>
      <c r="I105" s="33">
        <v>0.64374699999999996</v>
      </c>
      <c r="J105" s="33">
        <v>0.67100000000000004</v>
      </c>
      <c r="K105" s="33">
        <v>0.64374699999999996</v>
      </c>
      <c r="L105" s="33">
        <v>26.050999999999998</v>
      </c>
      <c r="M105" s="33">
        <v>26.023747</v>
      </c>
      <c r="N105" s="34">
        <v>1</v>
      </c>
      <c r="O105" s="34">
        <v>1.0011576279691501</v>
      </c>
      <c r="P105" s="34">
        <v>1.0037617252454101</v>
      </c>
      <c r="Q105" s="34">
        <v>1.00172648448863</v>
      </c>
      <c r="R105" s="33">
        <v>25.409380597857101</v>
      </c>
      <c r="S105" s="33">
        <v>25.488617606649001</v>
      </c>
      <c r="T105" s="33">
        <v>25.4208181763215</v>
      </c>
      <c r="U105" s="15">
        <v>1.1569584345636401E-3</v>
      </c>
      <c r="V105" s="15">
        <v>4.2705218594192903E-3</v>
      </c>
      <c r="W105" s="15">
        <v>1.60698927973799E-3</v>
      </c>
      <c r="X105" s="34">
        <v>0.99895385973666995</v>
      </c>
      <c r="Y105" s="34">
        <v>0.99838446436414396</v>
      </c>
      <c r="Z105" s="34">
        <v>0.99855767185274602</v>
      </c>
      <c r="AA105" s="34">
        <v>0.99849347524749699</v>
      </c>
      <c r="AB105" s="33">
        <v>26.0089136811503</v>
      </c>
      <c r="AC105" s="33">
        <v>26.013248915147699</v>
      </c>
      <c r="AD105" s="33">
        <v>26.009159359460401</v>
      </c>
      <c r="AE105" s="15">
        <v>-5.7015417075811003E-4</v>
      </c>
      <c r="AF105" s="15">
        <v>-4.0348543608436098E-4</v>
      </c>
      <c r="AG105" s="15">
        <v>-5.6070828798129196E-4</v>
      </c>
      <c r="AI105" s="12"/>
      <c r="AJ105">
        <f t="shared" si="26"/>
        <v>0</v>
      </c>
      <c r="AK105">
        <f t="shared" si="27"/>
        <v>0</v>
      </c>
      <c r="AL105">
        <f t="shared" si="34"/>
        <v>0</v>
      </c>
      <c r="AM105">
        <f t="shared" si="24"/>
        <v>1</v>
      </c>
      <c r="AN105">
        <f t="shared" si="35"/>
        <v>0</v>
      </c>
      <c r="AO105" s="28">
        <f t="shared" si="28"/>
        <v>0</v>
      </c>
      <c r="AP105" s="28">
        <f t="shared" si="29"/>
        <v>0</v>
      </c>
      <c r="AQ105" s="28">
        <f t="shared" si="36"/>
        <v>0</v>
      </c>
      <c r="AR105" s="29">
        <f t="shared" si="37"/>
        <v>8.3854582496586706E-3</v>
      </c>
      <c r="AT105" s="12"/>
      <c r="AU105">
        <f t="shared" si="30"/>
        <v>0</v>
      </c>
      <c r="AV105">
        <f t="shared" si="31"/>
        <v>1</v>
      </c>
      <c r="AW105">
        <f t="shared" si="38"/>
        <v>0</v>
      </c>
      <c r="AX105">
        <f t="shared" si="25"/>
        <v>1</v>
      </c>
      <c r="AY105">
        <f t="shared" si="39"/>
        <v>0</v>
      </c>
      <c r="AZ105" s="28">
        <f t="shared" si="32"/>
        <v>0</v>
      </c>
      <c r="BA105" s="28">
        <f t="shared" si="33"/>
        <v>0</v>
      </c>
      <c r="BB105" s="28">
        <f t="shared" si="40"/>
        <v>0</v>
      </c>
      <c r="BC105" s="29">
        <f t="shared" si="41"/>
        <v>8.6619872574113521E-3</v>
      </c>
      <c r="BE105" s="29">
        <f t="shared" si="42"/>
        <v>0</v>
      </c>
      <c r="BF105" s="29">
        <f t="shared" si="43"/>
        <v>1.7047445507070023E-2</v>
      </c>
      <c r="BH105" s="29"/>
    </row>
    <row r="106" spans="1:60" x14ac:dyDescent="0.25">
      <c r="A106" s="1">
        <v>46176</v>
      </c>
      <c r="B106" s="33">
        <v>25.32</v>
      </c>
      <c r="C106" s="33">
        <v>25.3</v>
      </c>
      <c r="D106" s="15">
        <v>-2.36686501026616E-3</v>
      </c>
      <c r="E106" s="15">
        <v>-3.1570665527669399E-3</v>
      </c>
      <c r="F106" s="33">
        <v>0</v>
      </c>
      <c r="G106" s="33">
        <v>0.67100000000000004</v>
      </c>
      <c r="H106" s="33">
        <v>0</v>
      </c>
      <c r="I106" s="33">
        <v>0.64374699999999996</v>
      </c>
      <c r="J106" s="33">
        <v>0.67100000000000004</v>
      </c>
      <c r="K106" s="33">
        <v>0.64374699999999996</v>
      </c>
      <c r="L106" s="33">
        <v>25.991</v>
      </c>
      <c r="M106" s="33">
        <v>25.943746999999998</v>
      </c>
      <c r="N106" s="34">
        <v>0.99921011058451803</v>
      </c>
      <c r="O106" s="34">
        <v>1.0011576279691501</v>
      </c>
      <c r="P106" s="34">
        <v>1.00324361454738</v>
      </c>
      <c r="Q106" s="34">
        <v>1.00176573017533</v>
      </c>
      <c r="R106" s="33">
        <v>25.349311140179001</v>
      </c>
      <c r="S106" s="33">
        <v>25.4152468832139</v>
      </c>
      <c r="T106" s="33">
        <v>25.363714587252101</v>
      </c>
      <c r="U106" s="15">
        <v>1.9471599770644399E-3</v>
      </c>
      <c r="V106" s="15">
        <v>4.5448691931255997E-3</v>
      </c>
      <c r="W106" s="15">
        <v>2.5151973699767799E-3</v>
      </c>
      <c r="X106" s="34">
        <v>0.99818194759724499</v>
      </c>
      <c r="Y106" s="34">
        <v>0.99838446436414396</v>
      </c>
      <c r="Z106" s="34">
        <v>0.99856524882933695</v>
      </c>
      <c r="AA106" s="34">
        <v>0.99851577882843101</v>
      </c>
      <c r="AB106" s="33">
        <v>25.949010613288401</v>
      </c>
      <c r="AC106" s="33">
        <v>25.953512449124698</v>
      </c>
      <c r="AD106" s="33">
        <v>25.951843915157699</v>
      </c>
      <c r="AE106" s="15">
        <v>2.0286504508992801E-4</v>
      </c>
      <c r="AF106" s="15">
        <v>3.7633776209593998E-4</v>
      </c>
      <c r="AG106" s="15">
        <v>3.1204636388625702E-4</v>
      </c>
      <c r="AI106" s="12"/>
      <c r="AJ106">
        <f t="shared" si="26"/>
        <v>0</v>
      </c>
      <c r="AK106">
        <f t="shared" si="27"/>
        <v>1</v>
      </c>
      <c r="AL106">
        <f t="shared" si="34"/>
        <v>0</v>
      </c>
      <c r="AM106">
        <f t="shared" si="24"/>
        <v>1</v>
      </c>
      <c r="AN106">
        <f t="shared" si="35"/>
        <v>0</v>
      </c>
      <c r="AO106" s="28">
        <f t="shared" si="28"/>
        <v>0</v>
      </c>
      <c r="AP106" s="28">
        <f t="shared" si="29"/>
        <v>0</v>
      </c>
      <c r="AQ106" s="28">
        <f t="shared" si="36"/>
        <v>0</v>
      </c>
      <c r="AR106" s="29">
        <f t="shared" si="37"/>
        <v>8.3854582496586706E-3</v>
      </c>
      <c r="AT106" s="12"/>
      <c r="AU106">
        <f t="shared" si="30"/>
        <v>0</v>
      </c>
      <c r="AV106">
        <f t="shared" si="31"/>
        <v>0</v>
      </c>
      <c r="AW106">
        <f t="shared" si="38"/>
        <v>0</v>
      </c>
      <c r="AX106">
        <f t="shared" si="25"/>
        <v>1</v>
      </c>
      <c r="AY106">
        <f t="shared" si="39"/>
        <v>0</v>
      </c>
      <c r="AZ106" s="28">
        <f t="shared" si="32"/>
        <v>0</v>
      </c>
      <c r="BA106" s="28">
        <f t="shared" si="33"/>
        <v>0</v>
      </c>
      <c r="BB106" s="28">
        <f t="shared" si="40"/>
        <v>0</v>
      </c>
      <c r="BC106" s="29">
        <f t="shared" si="41"/>
        <v>8.6619872574113521E-3</v>
      </c>
      <c r="BE106" s="29">
        <f t="shared" si="42"/>
        <v>0</v>
      </c>
      <c r="BF106" s="29">
        <f t="shared" si="43"/>
        <v>1.7047445507070023E-2</v>
      </c>
      <c r="BH106" s="29"/>
    </row>
    <row r="107" spans="1:60" x14ac:dyDescent="0.25">
      <c r="A107" s="1">
        <v>46177</v>
      </c>
      <c r="B107" s="33">
        <v>25.35</v>
      </c>
      <c r="C107" s="33">
        <v>25.34</v>
      </c>
      <c r="D107" s="15">
        <v>1.18413276121677E-3</v>
      </c>
      <c r="E107" s="15">
        <v>1.5797791595184301E-3</v>
      </c>
      <c r="F107" s="33">
        <v>0</v>
      </c>
      <c r="G107" s="33">
        <v>0.67100000000000004</v>
      </c>
      <c r="H107" s="33">
        <v>0</v>
      </c>
      <c r="I107" s="33">
        <v>0.64374699999999996</v>
      </c>
      <c r="J107" s="33">
        <v>0.67100000000000004</v>
      </c>
      <c r="K107" s="33">
        <v>0.64374699999999996</v>
      </c>
      <c r="L107" s="33">
        <v>26.021000000000001</v>
      </c>
      <c r="M107" s="33">
        <v>25.983747000000001</v>
      </c>
      <c r="N107" s="34">
        <v>0.99960552268244496</v>
      </c>
      <c r="O107" s="34">
        <v>1.0011576279691501</v>
      </c>
      <c r="P107" s="34">
        <v>1.0026486112600701</v>
      </c>
      <c r="Q107" s="34">
        <v>1.00182443768201</v>
      </c>
      <c r="R107" s="33">
        <v>25.379345869018099</v>
      </c>
      <c r="S107" s="33">
        <v>25.432225628776099</v>
      </c>
      <c r="T107" s="33">
        <v>25.394761259944801</v>
      </c>
      <c r="U107" s="15">
        <v>1.5515135787628699E-3</v>
      </c>
      <c r="V107" s="15">
        <v>3.6329205217089499E-3</v>
      </c>
      <c r="W107" s="15">
        <v>2.15872825065218E-3</v>
      </c>
      <c r="X107" s="34">
        <v>0.99856834864148103</v>
      </c>
      <c r="Y107" s="34">
        <v>0.99838446436414396</v>
      </c>
      <c r="Z107" s="34">
        <v>0.99849440791751898</v>
      </c>
      <c r="AA107" s="34">
        <v>0.99855696757163404</v>
      </c>
      <c r="AB107" s="33">
        <v>25.978962147219399</v>
      </c>
      <c r="AC107" s="33">
        <v>25.983666339788101</v>
      </c>
      <c r="AD107" s="33">
        <v>25.982379080894599</v>
      </c>
      <c r="AE107" s="15">
        <v>-1.8416487025568499E-4</v>
      </c>
      <c r="AF107" s="15">
        <v>-3.1042611759581001E-6</v>
      </c>
      <c r="AG107" s="15">
        <v>-5.26465684037734E-5</v>
      </c>
      <c r="AI107" s="12"/>
      <c r="AJ107">
        <f t="shared" si="26"/>
        <v>0</v>
      </c>
      <c r="AK107">
        <f t="shared" si="27"/>
        <v>1</v>
      </c>
      <c r="AL107">
        <f t="shared" si="34"/>
        <v>0</v>
      </c>
      <c r="AM107">
        <f t="shared" si="24"/>
        <v>1</v>
      </c>
      <c r="AN107">
        <f t="shared" si="35"/>
        <v>0</v>
      </c>
      <c r="AO107" s="28">
        <f t="shared" si="28"/>
        <v>0</v>
      </c>
      <c r="AP107" s="28">
        <f t="shared" si="29"/>
        <v>0</v>
      </c>
      <c r="AQ107" s="28">
        <f t="shared" si="36"/>
        <v>0</v>
      </c>
      <c r="AR107" s="29">
        <f t="shared" si="37"/>
        <v>8.3854582496586706E-3</v>
      </c>
      <c r="AT107" s="12"/>
      <c r="AU107">
        <f t="shared" si="30"/>
        <v>0</v>
      </c>
      <c r="AV107">
        <f t="shared" si="31"/>
        <v>1</v>
      </c>
      <c r="AW107">
        <f t="shared" si="38"/>
        <v>0</v>
      </c>
      <c r="AX107">
        <f t="shared" si="25"/>
        <v>1</v>
      </c>
      <c r="AY107">
        <f t="shared" si="39"/>
        <v>0</v>
      </c>
      <c r="AZ107" s="28">
        <f t="shared" si="32"/>
        <v>0</v>
      </c>
      <c r="BA107" s="28">
        <f t="shared" si="33"/>
        <v>0</v>
      </c>
      <c r="BB107" s="28">
        <f t="shared" si="40"/>
        <v>0</v>
      </c>
      <c r="BC107" s="29">
        <f t="shared" si="41"/>
        <v>8.6619872574113521E-3</v>
      </c>
      <c r="BE107" s="29">
        <f t="shared" si="42"/>
        <v>0</v>
      </c>
      <c r="BF107" s="29">
        <f t="shared" si="43"/>
        <v>1.7047445507070023E-2</v>
      </c>
      <c r="BH107" s="29"/>
    </row>
    <row r="108" spans="1:60" x14ac:dyDescent="0.25">
      <c r="A108" s="1">
        <v>46178</v>
      </c>
      <c r="B108" s="33">
        <v>25.25</v>
      </c>
      <c r="C108" s="33">
        <v>25.2</v>
      </c>
      <c r="D108" s="15">
        <v>-3.9525743158233496E-3</v>
      </c>
      <c r="E108" s="15">
        <v>-5.54018037561535E-3</v>
      </c>
      <c r="F108" s="33">
        <v>0</v>
      </c>
      <c r="G108" s="33">
        <v>0.67100000000000004</v>
      </c>
      <c r="H108" s="33">
        <v>0</v>
      </c>
      <c r="I108" s="33">
        <v>0.64374699999999996</v>
      </c>
      <c r="J108" s="33">
        <v>0.67100000000000004</v>
      </c>
      <c r="K108" s="33">
        <v>0.64374699999999996</v>
      </c>
      <c r="L108" s="33">
        <v>25.920999999999999</v>
      </c>
      <c r="M108" s="33">
        <v>25.843747</v>
      </c>
      <c r="N108" s="34">
        <v>0.99801980198019802</v>
      </c>
      <c r="O108" s="34">
        <v>1.0011576279691501</v>
      </c>
      <c r="P108" s="34">
        <v>1.00189503590253</v>
      </c>
      <c r="Q108" s="34">
        <v>1.00174512833263</v>
      </c>
      <c r="R108" s="33">
        <v>25.2792301062211</v>
      </c>
      <c r="S108" s="33">
        <v>25.316877434316801</v>
      </c>
      <c r="T108" s="33">
        <v>25.2960670514707</v>
      </c>
      <c r="U108" s="15">
        <v>3.13911963855493E-3</v>
      </c>
      <c r="V108" s="15">
        <v>4.6272710744436297E-3</v>
      </c>
      <c r="W108" s="15">
        <v>3.8049366210662901E-3</v>
      </c>
      <c r="X108" s="34">
        <v>0.99701967516685297</v>
      </c>
      <c r="Y108" s="34">
        <v>0.99838446436414396</v>
      </c>
      <c r="Z108" s="34">
        <v>0.99826869965823894</v>
      </c>
      <c r="AA108" s="34">
        <v>0.99846335444062495</v>
      </c>
      <c r="AB108" s="33">
        <v>25.879123700782898</v>
      </c>
      <c r="AC108" s="33">
        <v>25.88197354763</v>
      </c>
      <c r="AD108" s="33">
        <v>25.883595156424299</v>
      </c>
      <c r="AE108" s="15">
        <v>1.36793282430781E-3</v>
      </c>
      <c r="AF108" s="15">
        <v>1.47804821990058E-3</v>
      </c>
      <c r="AG108" s="15">
        <v>1.5407002426812901E-3</v>
      </c>
      <c r="AI108" s="12"/>
      <c r="AJ108">
        <f t="shared" si="26"/>
        <v>0</v>
      </c>
      <c r="AK108">
        <f t="shared" si="27"/>
        <v>1</v>
      </c>
      <c r="AL108">
        <f t="shared" si="34"/>
        <v>0</v>
      </c>
      <c r="AM108">
        <f t="shared" si="24"/>
        <v>1</v>
      </c>
      <c r="AN108">
        <f t="shared" si="35"/>
        <v>0</v>
      </c>
      <c r="AO108" s="28">
        <f t="shared" si="28"/>
        <v>0</v>
      </c>
      <c r="AP108" s="28">
        <f t="shared" si="29"/>
        <v>0</v>
      </c>
      <c r="AQ108" s="28">
        <f t="shared" si="36"/>
        <v>0</v>
      </c>
      <c r="AR108" s="29">
        <f t="shared" si="37"/>
        <v>8.3854582496586706E-3</v>
      </c>
      <c r="AT108" s="12"/>
      <c r="AU108">
        <f t="shared" si="30"/>
        <v>1</v>
      </c>
      <c r="AV108">
        <f t="shared" si="31"/>
        <v>0</v>
      </c>
      <c r="AW108">
        <f t="shared" si="38"/>
        <v>0</v>
      </c>
      <c r="AX108">
        <f t="shared" si="25"/>
        <v>1</v>
      </c>
      <c r="AY108">
        <f t="shared" si="39"/>
        <v>0</v>
      </c>
      <c r="AZ108" s="28">
        <f t="shared" si="32"/>
        <v>0</v>
      </c>
      <c r="BA108" s="28">
        <f t="shared" si="33"/>
        <v>0</v>
      </c>
      <c r="BB108" s="28">
        <f t="shared" si="40"/>
        <v>0</v>
      </c>
      <c r="BC108" s="29">
        <f t="shared" si="41"/>
        <v>8.6619872574113521E-3</v>
      </c>
      <c r="BE108" s="29">
        <f t="shared" si="42"/>
        <v>0</v>
      </c>
      <c r="BF108" s="29">
        <f t="shared" si="43"/>
        <v>1.7047445507070023E-2</v>
      </c>
      <c r="BH108" s="29"/>
    </row>
    <row r="109" spans="1:60" x14ac:dyDescent="0.25">
      <c r="A109" s="1">
        <v>46181</v>
      </c>
      <c r="B109" s="33">
        <v>25.27</v>
      </c>
      <c r="C109" s="33">
        <v>25.24</v>
      </c>
      <c r="D109" s="15">
        <v>7.9176567873402498E-4</v>
      </c>
      <c r="E109" s="15">
        <v>1.5860431556347699E-3</v>
      </c>
      <c r="F109" s="33">
        <v>0</v>
      </c>
      <c r="G109" s="33">
        <v>0.67100000000000004</v>
      </c>
      <c r="H109" s="33">
        <v>0</v>
      </c>
      <c r="I109" s="33">
        <v>0.64374699999999996</v>
      </c>
      <c r="J109" s="33">
        <v>0.67100000000000004</v>
      </c>
      <c r="K109" s="33">
        <v>0.64374699999999996</v>
      </c>
      <c r="L109" s="33">
        <v>25.940999999999999</v>
      </c>
      <c r="M109" s="33">
        <v>25.883747</v>
      </c>
      <c r="N109" s="34">
        <v>0.99881282152750295</v>
      </c>
      <c r="O109" s="34">
        <v>1.0011576279691501</v>
      </c>
      <c r="P109" s="34">
        <v>1.00141988241172</v>
      </c>
      <c r="Q109" s="34">
        <v>1.00170540805787</v>
      </c>
      <c r="R109" s="33">
        <v>25.299253258780499</v>
      </c>
      <c r="S109" s="33">
        <v>25.317887557256999</v>
      </c>
      <c r="T109" s="33">
        <v>25.314099392965701</v>
      </c>
      <c r="U109" s="15">
        <v>2.3448421616541299E-3</v>
      </c>
      <c r="V109" s="15">
        <v>3.0811263143309402E-3</v>
      </c>
      <c r="W109" s="15">
        <v>2.9314910925428701E-3</v>
      </c>
      <c r="X109" s="34">
        <v>0.99779295324004402</v>
      </c>
      <c r="Y109" s="34">
        <v>0.99838446436414396</v>
      </c>
      <c r="Z109" s="34">
        <v>0.99831307349001697</v>
      </c>
      <c r="AA109" s="34">
        <v>0.998408234683136</v>
      </c>
      <c r="AB109" s="33">
        <v>25.8990913900702</v>
      </c>
      <c r="AC109" s="33">
        <v>25.8960883378343</v>
      </c>
      <c r="AD109" s="33">
        <v>25.901137877544201</v>
      </c>
      <c r="AE109" s="15">
        <v>5.92643856398969E-4</v>
      </c>
      <c r="AF109" s="15">
        <v>4.7668510290014101E-4</v>
      </c>
      <c r="AG109" s="15">
        <v>6.7165846710569104E-4</v>
      </c>
      <c r="AI109" s="12"/>
      <c r="AJ109">
        <f t="shared" si="26"/>
        <v>0</v>
      </c>
      <c r="AK109">
        <f t="shared" si="27"/>
        <v>1</v>
      </c>
      <c r="AL109">
        <f t="shared" si="34"/>
        <v>0</v>
      </c>
      <c r="AM109">
        <f t="shared" si="24"/>
        <v>1</v>
      </c>
      <c r="AN109">
        <f t="shared" si="35"/>
        <v>0</v>
      </c>
      <c r="AO109" s="28">
        <f t="shared" si="28"/>
        <v>0</v>
      </c>
      <c r="AP109" s="28">
        <f t="shared" si="29"/>
        <v>0</v>
      </c>
      <c r="AQ109" s="28">
        <f t="shared" si="36"/>
        <v>0</v>
      </c>
      <c r="AR109" s="29">
        <f t="shared" si="37"/>
        <v>8.3854582496586706E-3</v>
      </c>
      <c r="AT109" s="12"/>
      <c r="AU109">
        <f t="shared" si="30"/>
        <v>0</v>
      </c>
      <c r="AV109">
        <f t="shared" si="31"/>
        <v>0</v>
      </c>
      <c r="AW109">
        <f t="shared" si="38"/>
        <v>1</v>
      </c>
      <c r="AX109">
        <f t="shared" si="25"/>
        <v>1</v>
      </c>
      <c r="AY109">
        <f t="shared" si="39"/>
        <v>1</v>
      </c>
      <c r="AZ109" s="28">
        <f t="shared" si="32"/>
        <v>-7.9176567873402498E-4</v>
      </c>
      <c r="BA109" s="28">
        <f t="shared" si="33"/>
        <v>1.5860431556347699E-3</v>
      </c>
      <c r="BB109" s="28">
        <f t="shared" si="40"/>
        <v>7.9427747690074494E-4</v>
      </c>
      <c r="BC109" s="29">
        <f t="shared" si="41"/>
        <v>9.4562647343120962E-3</v>
      </c>
      <c r="BE109" s="29">
        <f t="shared" si="42"/>
        <v>7.9427747690074494E-4</v>
      </c>
      <c r="BF109" s="29">
        <f t="shared" si="43"/>
        <v>1.7841722983970767E-2</v>
      </c>
      <c r="BH109" s="29"/>
    </row>
    <row r="110" spans="1:60" x14ac:dyDescent="0.25">
      <c r="A110" s="1">
        <v>46182</v>
      </c>
      <c r="B110" s="33">
        <v>25.3</v>
      </c>
      <c r="C110" s="33">
        <v>25.25</v>
      </c>
      <c r="D110" s="15">
        <v>1.1864743333717101E-3</v>
      </c>
      <c r="E110" s="15">
        <v>3.9611804835641202E-4</v>
      </c>
      <c r="F110" s="33">
        <v>0</v>
      </c>
      <c r="G110" s="33">
        <v>0.67100000000000004</v>
      </c>
      <c r="H110" s="33">
        <v>0</v>
      </c>
      <c r="I110" s="33">
        <v>0.64374699999999996</v>
      </c>
      <c r="J110" s="33">
        <v>0.67100000000000004</v>
      </c>
      <c r="K110" s="33">
        <v>0.64374699999999996</v>
      </c>
      <c r="L110" s="33">
        <v>25.971</v>
      </c>
      <c r="M110" s="33">
        <v>25.893747000000001</v>
      </c>
      <c r="N110" s="34">
        <v>0.998023715415019</v>
      </c>
      <c r="O110" s="34">
        <v>1.0011576279691501</v>
      </c>
      <c r="P110" s="34">
        <v>1.00078798628642</v>
      </c>
      <c r="Q110" s="34">
        <v>1.00164591746212</v>
      </c>
      <c r="R110" s="33">
        <v>25.329287987619601</v>
      </c>
      <c r="S110" s="33">
        <v>25.335923025016498</v>
      </c>
      <c r="T110" s="33">
        <v>25.3431468238641</v>
      </c>
      <c r="U110" s="15">
        <v>3.13519844666935E-3</v>
      </c>
      <c r="V110" s="15">
        <v>3.3971153439735099E-3</v>
      </c>
      <c r="W110" s="15">
        <v>3.68219551288986E-3</v>
      </c>
      <c r="X110" s="34">
        <v>0.99702541296060998</v>
      </c>
      <c r="Y110" s="34">
        <v>0.99838446436414396</v>
      </c>
      <c r="Z110" s="34">
        <v>0.99820295758058597</v>
      </c>
      <c r="AA110" s="34">
        <v>0.99833406139603298</v>
      </c>
      <c r="AB110" s="33">
        <v>25.929042924001202</v>
      </c>
      <c r="AC110" s="33">
        <v>25.9271888316092</v>
      </c>
      <c r="AD110" s="33">
        <v>25.9296602629557</v>
      </c>
      <c r="AE110" s="15">
        <v>1.3621778955041301E-3</v>
      </c>
      <c r="AF110" s="15">
        <v>1.2906689435433201E-3</v>
      </c>
      <c r="AG110" s="15">
        <v>1.3859863950084E-3</v>
      </c>
      <c r="AI110" s="12"/>
      <c r="AJ110">
        <f t="shared" si="26"/>
        <v>0</v>
      </c>
      <c r="AK110">
        <f t="shared" si="27"/>
        <v>1</v>
      </c>
      <c r="AL110">
        <f t="shared" si="34"/>
        <v>0</v>
      </c>
      <c r="AM110">
        <f t="shared" si="24"/>
        <v>1</v>
      </c>
      <c r="AN110">
        <f t="shared" si="35"/>
        <v>0</v>
      </c>
      <c r="AO110" s="28">
        <f t="shared" si="28"/>
        <v>0</v>
      </c>
      <c r="AP110" s="28">
        <f t="shared" si="29"/>
        <v>0</v>
      </c>
      <c r="AQ110" s="28">
        <f t="shared" si="36"/>
        <v>0</v>
      </c>
      <c r="AR110" s="29">
        <f t="shared" si="37"/>
        <v>8.3854582496586706E-3</v>
      </c>
      <c r="AT110" s="12"/>
      <c r="AU110">
        <f t="shared" si="30"/>
        <v>1</v>
      </c>
      <c r="AV110">
        <f t="shared" si="31"/>
        <v>0</v>
      </c>
      <c r="AW110">
        <f t="shared" si="38"/>
        <v>1</v>
      </c>
      <c r="AX110">
        <f t="shared" si="25"/>
        <v>1</v>
      </c>
      <c r="AY110">
        <f t="shared" si="39"/>
        <v>1</v>
      </c>
      <c r="AZ110" s="28">
        <f t="shared" si="32"/>
        <v>-1.1864743333717101E-3</v>
      </c>
      <c r="BA110" s="28">
        <f t="shared" si="33"/>
        <v>3.9611804835641202E-4</v>
      </c>
      <c r="BB110" s="28">
        <f t="shared" si="40"/>
        <v>-7.9035628501529813E-4</v>
      </c>
      <c r="BC110" s="29">
        <f t="shared" si="41"/>
        <v>8.6659084492967976E-3</v>
      </c>
      <c r="BE110" s="29">
        <f t="shared" si="42"/>
        <v>-7.9035628501529813E-4</v>
      </c>
      <c r="BF110" s="29">
        <f t="shared" si="43"/>
        <v>1.7051366698955468E-2</v>
      </c>
      <c r="BH110" s="29"/>
    </row>
    <row r="111" spans="1:60" x14ac:dyDescent="0.25">
      <c r="A111" s="1">
        <v>46183</v>
      </c>
      <c r="B111" s="33">
        <v>25.24</v>
      </c>
      <c r="C111" s="33">
        <v>25.23</v>
      </c>
      <c r="D111" s="15">
        <v>-2.3743580604622398E-3</v>
      </c>
      <c r="E111" s="15">
        <v>-7.9239306840245499E-4</v>
      </c>
      <c r="F111" s="33">
        <v>0</v>
      </c>
      <c r="G111" s="33">
        <v>0.67100000000000004</v>
      </c>
      <c r="H111" s="33">
        <v>0</v>
      </c>
      <c r="I111" s="33">
        <v>0.64374699999999996</v>
      </c>
      <c r="J111" s="33">
        <v>0.67100000000000004</v>
      </c>
      <c r="K111" s="33">
        <v>0.64374699999999996</v>
      </c>
      <c r="L111" s="33">
        <v>25.910999999999898</v>
      </c>
      <c r="M111" s="33">
        <v>25.873747000000002</v>
      </c>
      <c r="N111" s="34">
        <v>0.999603803486529</v>
      </c>
      <c r="O111" s="34">
        <v>1.0011576279691501</v>
      </c>
      <c r="P111" s="34">
        <v>1.00035342192733</v>
      </c>
      <c r="Q111" s="34">
        <v>1.00166550873968</v>
      </c>
      <c r="R111" s="33">
        <v>25.269218529941501</v>
      </c>
      <c r="S111" s="33">
        <v>25.259888773869299</v>
      </c>
      <c r="T111" s="33">
        <v>25.281542956744001</v>
      </c>
      <c r="U111" s="15">
        <v>1.55323345460969E-3</v>
      </c>
      <c r="V111" s="15">
        <v>1.1839510082744199E-3</v>
      </c>
      <c r="W111" s="15">
        <v>2.0408394444824999E-3</v>
      </c>
      <c r="X111" s="34">
        <v>0.99856227085021798</v>
      </c>
      <c r="Y111" s="34">
        <v>0.99838446436414396</v>
      </c>
      <c r="Z111" s="34">
        <v>0.99828507439666903</v>
      </c>
      <c r="AA111" s="34">
        <v>0.99833687487293499</v>
      </c>
      <c r="AB111" s="33">
        <v>25.869139856139299</v>
      </c>
      <c r="AC111" s="33">
        <v>25.864436833870499</v>
      </c>
      <c r="AD111" s="33">
        <v>25.867833864832601</v>
      </c>
      <c r="AE111" s="15">
        <v>-1.7807834671600099E-4</v>
      </c>
      <c r="AF111" s="15">
        <v>-3.5989536315426197E-4</v>
      </c>
      <c r="AG111" s="15">
        <v>-2.2856414876754199E-4</v>
      </c>
      <c r="AI111" s="12"/>
      <c r="AJ111">
        <f t="shared" si="26"/>
        <v>0</v>
      </c>
      <c r="AK111">
        <f t="shared" si="27"/>
        <v>0</v>
      </c>
      <c r="AL111">
        <f t="shared" si="34"/>
        <v>0</v>
      </c>
      <c r="AM111">
        <f t="shared" si="24"/>
        <v>1</v>
      </c>
      <c r="AN111">
        <f t="shared" si="35"/>
        <v>0</v>
      </c>
      <c r="AO111" s="28">
        <f t="shared" si="28"/>
        <v>0</v>
      </c>
      <c r="AP111" s="28">
        <f t="shared" si="29"/>
        <v>0</v>
      </c>
      <c r="AQ111" s="28">
        <f t="shared" si="36"/>
        <v>0</v>
      </c>
      <c r="AR111" s="29">
        <f t="shared" si="37"/>
        <v>8.3854582496586706E-3</v>
      </c>
      <c r="AT111" s="12"/>
      <c r="AU111">
        <f t="shared" si="30"/>
        <v>0</v>
      </c>
      <c r="AV111">
        <f t="shared" si="31"/>
        <v>1</v>
      </c>
      <c r="AW111">
        <f t="shared" si="38"/>
        <v>1</v>
      </c>
      <c r="AX111">
        <f t="shared" si="25"/>
        <v>1</v>
      </c>
      <c r="AY111">
        <f t="shared" si="39"/>
        <v>1</v>
      </c>
      <c r="AZ111" s="28">
        <f t="shared" si="32"/>
        <v>2.3743580604622398E-3</v>
      </c>
      <c r="BA111" s="28">
        <f t="shared" si="33"/>
        <v>-7.9239306840245499E-4</v>
      </c>
      <c r="BB111" s="28">
        <f t="shared" si="40"/>
        <v>1.581964992059785E-3</v>
      </c>
      <c r="BC111" s="29">
        <f t="shared" si="41"/>
        <v>1.0247873441356583E-2</v>
      </c>
      <c r="BE111" s="29">
        <f t="shared" si="42"/>
        <v>1.581964992059785E-3</v>
      </c>
      <c r="BF111" s="29">
        <f t="shared" si="43"/>
        <v>1.8633331691015255E-2</v>
      </c>
      <c r="BH111" s="29"/>
    </row>
    <row r="112" spans="1:60" x14ac:dyDescent="0.25">
      <c r="A112" s="1">
        <v>46184</v>
      </c>
      <c r="B112" s="33">
        <v>25.39</v>
      </c>
      <c r="C112" s="33">
        <v>25.37</v>
      </c>
      <c r="D112" s="15">
        <v>5.9253580435747102E-3</v>
      </c>
      <c r="E112" s="15">
        <v>5.53361095822424E-3</v>
      </c>
      <c r="F112" s="33">
        <v>0</v>
      </c>
      <c r="G112" s="33">
        <v>0.67100000000000004</v>
      </c>
      <c r="H112" s="33">
        <v>0</v>
      </c>
      <c r="I112" s="33">
        <v>0.64374699999999996</v>
      </c>
      <c r="J112" s="33">
        <v>0.67100000000000004</v>
      </c>
      <c r="K112" s="33">
        <v>0.64374699999999996</v>
      </c>
      <c r="L112" s="33">
        <v>26.061</v>
      </c>
      <c r="M112" s="33">
        <v>26.013746999999999</v>
      </c>
      <c r="N112" s="34">
        <v>0.99921228830248099</v>
      </c>
      <c r="O112" s="34">
        <v>1.0011576279691501</v>
      </c>
      <c r="P112" s="34">
        <v>0.99976122263752198</v>
      </c>
      <c r="Q112" s="34">
        <v>1.0016851782729099</v>
      </c>
      <c r="R112" s="33">
        <v>25.419392174136799</v>
      </c>
      <c r="S112" s="33">
        <v>25.3989733827351</v>
      </c>
      <c r="T112" s="33">
        <v>25.432287266900499</v>
      </c>
      <c r="U112" s="15">
        <v>1.9449805399601699E-3</v>
      </c>
      <c r="V112" s="15">
        <v>1.14138159391568E-3</v>
      </c>
      <c r="W112" s="15">
        <v>2.4521454234744302E-3</v>
      </c>
      <c r="X112" s="34">
        <v>0.99818683089674198</v>
      </c>
      <c r="Y112" s="34">
        <v>0.99838446436414396</v>
      </c>
      <c r="Z112" s="34">
        <v>0.99821422264736004</v>
      </c>
      <c r="AA112" s="34">
        <v>0.99834014067830901</v>
      </c>
      <c r="AB112" s="33">
        <v>26.0188975257939</v>
      </c>
      <c r="AC112" s="33">
        <v>26.0163073238515</v>
      </c>
      <c r="AD112" s="33">
        <v>26.017657296063501</v>
      </c>
      <c r="AE112" s="15">
        <v>1.97972863295092E-4</v>
      </c>
      <c r="AF112" s="15">
        <v>9.8417112452852304E-5</v>
      </c>
      <c r="AG112" s="15">
        <v>1.50305229075465E-4</v>
      </c>
      <c r="AI112" s="12"/>
      <c r="AJ112">
        <f t="shared" si="26"/>
        <v>0</v>
      </c>
      <c r="AK112">
        <f t="shared" si="27"/>
        <v>1</v>
      </c>
      <c r="AL112">
        <f t="shared" si="34"/>
        <v>0</v>
      </c>
      <c r="AM112">
        <f t="shared" si="24"/>
        <v>1</v>
      </c>
      <c r="AN112">
        <f t="shared" si="35"/>
        <v>0</v>
      </c>
      <c r="AO112" s="28">
        <f t="shared" si="28"/>
        <v>0</v>
      </c>
      <c r="AP112" s="28">
        <f t="shared" si="29"/>
        <v>0</v>
      </c>
      <c r="AQ112" s="28">
        <f t="shared" si="36"/>
        <v>0</v>
      </c>
      <c r="AR112" s="29">
        <f t="shared" si="37"/>
        <v>8.3854582496586706E-3</v>
      </c>
      <c r="AT112" s="12"/>
      <c r="AU112">
        <f t="shared" si="30"/>
        <v>0</v>
      </c>
      <c r="AV112">
        <f t="shared" si="31"/>
        <v>1</v>
      </c>
      <c r="AW112">
        <f t="shared" si="38"/>
        <v>0</v>
      </c>
      <c r="AX112">
        <f t="shared" si="25"/>
        <v>1</v>
      </c>
      <c r="AY112">
        <f t="shared" si="39"/>
        <v>0</v>
      </c>
      <c r="AZ112" s="28">
        <f t="shared" si="32"/>
        <v>0</v>
      </c>
      <c r="BA112" s="28">
        <f t="shared" si="33"/>
        <v>0</v>
      </c>
      <c r="BB112" s="28">
        <f t="shared" si="40"/>
        <v>0</v>
      </c>
      <c r="BC112" s="29">
        <f t="shared" si="41"/>
        <v>1.0247873441356583E-2</v>
      </c>
      <c r="BE112" s="29">
        <f t="shared" si="42"/>
        <v>0</v>
      </c>
      <c r="BF112" s="29">
        <f t="shared" si="43"/>
        <v>1.8633331691015255E-2</v>
      </c>
      <c r="BH112" s="29"/>
    </row>
    <row r="113" spans="1:60" x14ac:dyDescent="0.25">
      <c r="A113" s="1">
        <v>46185</v>
      </c>
      <c r="B113" s="33">
        <v>25.39</v>
      </c>
      <c r="C113" s="33">
        <v>25.38</v>
      </c>
      <c r="D113" s="15">
        <v>0</v>
      </c>
      <c r="E113" s="15">
        <v>3.9408867505093498E-4</v>
      </c>
      <c r="F113" s="33">
        <v>0</v>
      </c>
      <c r="G113" s="33">
        <v>0.67100000000000004</v>
      </c>
      <c r="H113" s="33">
        <v>0</v>
      </c>
      <c r="I113" s="33">
        <v>0.64374699999999996</v>
      </c>
      <c r="J113" s="33">
        <v>0.67100000000000004</v>
      </c>
      <c r="K113" s="33">
        <v>0.64374699999999996</v>
      </c>
      <c r="L113" s="33">
        <v>26.061</v>
      </c>
      <c r="M113" s="33">
        <v>26.023747</v>
      </c>
      <c r="N113" s="34">
        <v>0.99960614415124005</v>
      </c>
      <c r="O113" s="34">
        <v>1.0011576279691501</v>
      </c>
      <c r="P113" s="34">
        <v>0.99909117091153499</v>
      </c>
      <c r="Q113" s="34">
        <v>1.0017049332122301</v>
      </c>
      <c r="R113" s="33">
        <v>25.419392174136799</v>
      </c>
      <c r="S113" s="33">
        <v>25.383937442766701</v>
      </c>
      <c r="T113" s="33">
        <v>25.432786676349401</v>
      </c>
      <c r="U113" s="15">
        <v>1.55089186490911E-3</v>
      </c>
      <c r="V113" s="15">
        <v>1.5512755601503099E-4</v>
      </c>
      <c r="W113" s="15">
        <v>2.0776933835491402E-3</v>
      </c>
      <c r="X113" s="34">
        <v>0.99857054602662898</v>
      </c>
      <c r="Y113" s="34">
        <v>0.99838446436414396</v>
      </c>
      <c r="Z113" s="34">
        <v>0.99806632736330603</v>
      </c>
      <c r="AA113" s="34">
        <v>0.998343454502573</v>
      </c>
      <c r="AB113" s="33">
        <v>26.0188975257939</v>
      </c>
      <c r="AC113" s="33">
        <v>26.0144608564128</v>
      </c>
      <c r="AD113" s="33">
        <v>26.017742406217401</v>
      </c>
      <c r="AE113" s="15">
        <v>-1.8636540338212601E-4</v>
      </c>
      <c r="AF113" s="15">
        <v>-3.56897136478048E-4</v>
      </c>
      <c r="AG113" s="15">
        <v>-2.3076179708626801E-4</v>
      </c>
      <c r="AI113" s="12"/>
      <c r="AJ113">
        <f t="shared" si="26"/>
        <v>0</v>
      </c>
      <c r="AK113">
        <f t="shared" si="27"/>
        <v>0</v>
      </c>
      <c r="AL113">
        <f t="shared" si="34"/>
        <v>0</v>
      </c>
      <c r="AM113">
        <f t="shared" si="24"/>
        <v>1</v>
      </c>
      <c r="AN113">
        <f t="shared" si="35"/>
        <v>0</v>
      </c>
      <c r="AO113" s="28">
        <f t="shared" si="28"/>
        <v>0</v>
      </c>
      <c r="AP113" s="28">
        <f t="shared" si="29"/>
        <v>0</v>
      </c>
      <c r="AQ113" s="28">
        <f t="shared" si="36"/>
        <v>0</v>
      </c>
      <c r="AR113" s="29">
        <f t="shared" si="37"/>
        <v>8.3854582496586706E-3</v>
      </c>
      <c r="AT113" s="12"/>
      <c r="AU113">
        <f t="shared" si="30"/>
        <v>0</v>
      </c>
      <c r="AV113">
        <f t="shared" si="31"/>
        <v>1</v>
      </c>
      <c r="AW113">
        <f t="shared" si="38"/>
        <v>0</v>
      </c>
      <c r="AX113">
        <f t="shared" si="25"/>
        <v>1</v>
      </c>
      <c r="AY113">
        <f t="shared" si="39"/>
        <v>0</v>
      </c>
      <c r="AZ113" s="28">
        <f t="shared" si="32"/>
        <v>0</v>
      </c>
      <c r="BA113" s="28">
        <f t="shared" si="33"/>
        <v>0</v>
      </c>
      <c r="BB113" s="28">
        <f t="shared" si="40"/>
        <v>0</v>
      </c>
      <c r="BC113" s="29">
        <f t="shared" si="41"/>
        <v>1.0247873441356583E-2</v>
      </c>
      <c r="BE113" s="29">
        <f t="shared" si="42"/>
        <v>0</v>
      </c>
      <c r="BF113" s="29">
        <f t="shared" si="43"/>
        <v>1.8633331691015255E-2</v>
      </c>
      <c r="BH113" s="29"/>
    </row>
    <row r="114" spans="1:60" x14ac:dyDescent="0.25">
      <c r="A114" s="1">
        <v>46188</v>
      </c>
      <c r="B114" s="33">
        <v>25.44</v>
      </c>
      <c r="C114" s="33">
        <v>25.42</v>
      </c>
      <c r="D114" s="15">
        <v>1.96734275533441E-3</v>
      </c>
      <c r="E114" s="15">
        <v>1.5748034750663899E-3</v>
      </c>
      <c r="F114" s="33">
        <v>0</v>
      </c>
      <c r="G114" s="33">
        <v>0.67100000000000004</v>
      </c>
      <c r="H114" s="33">
        <v>0</v>
      </c>
      <c r="I114" s="33">
        <v>0.64374699999999996</v>
      </c>
      <c r="J114" s="33">
        <v>0.67100000000000004</v>
      </c>
      <c r="K114" s="33">
        <v>0.64374699999999996</v>
      </c>
      <c r="L114" s="33">
        <v>26.111000000000001</v>
      </c>
      <c r="M114" s="33">
        <v>26.063746999999999</v>
      </c>
      <c r="N114" s="34">
        <v>0.99921383647798701</v>
      </c>
      <c r="O114" s="34">
        <v>1.0011576279691501</v>
      </c>
      <c r="P114" s="34">
        <v>0.99913080446079205</v>
      </c>
      <c r="Q114" s="34">
        <v>1.00170522899653</v>
      </c>
      <c r="R114" s="33">
        <v>25.469450055535301</v>
      </c>
      <c r="S114" s="33">
        <v>25.4168793879894</v>
      </c>
      <c r="T114" s="33">
        <v>25.4833735009192</v>
      </c>
      <c r="U114" s="15">
        <v>1.94343114517692E-3</v>
      </c>
      <c r="V114" s="15">
        <v>-1.2276961340008E-4</v>
      </c>
      <c r="W114" s="15">
        <v>2.4899541740759602E-3</v>
      </c>
      <c r="X114" s="34">
        <v>0.99819030293745903</v>
      </c>
      <c r="Y114" s="34">
        <v>0.99838446436414396</v>
      </c>
      <c r="Z114" s="34">
        <v>0.99810521480539505</v>
      </c>
      <c r="AA114" s="34">
        <v>0.99832804625624905</v>
      </c>
      <c r="AB114" s="33">
        <v>26.0688167490121</v>
      </c>
      <c r="AC114" s="33">
        <v>26.0605098737833</v>
      </c>
      <c r="AD114" s="33">
        <v>26.067745940516598</v>
      </c>
      <c r="AE114" s="15">
        <v>1.9449452179508701E-4</v>
      </c>
      <c r="AF114" s="15">
        <v>-1.2420805264254099E-4</v>
      </c>
      <c r="AG114" s="15">
        <v>1.5341745647247E-4</v>
      </c>
      <c r="AI114" s="12"/>
      <c r="AJ114">
        <f t="shared" si="26"/>
        <v>0</v>
      </c>
      <c r="AK114">
        <f t="shared" si="27"/>
        <v>1</v>
      </c>
      <c r="AL114">
        <f t="shared" si="34"/>
        <v>0</v>
      </c>
      <c r="AM114">
        <f t="shared" si="24"/>
        <v>1</v>
      </c>
      <c r="AN114">
        <f t="shared" si="35"/>
        <v>0</v>
      </c>
      <c r="AO114" s="28">
        <f t="shared" si="28"/>
        <v>0</v>
      </c>
      <c r="AP114" s="28">
        <f t="shared" si="29"/>
        <v>0</v>
      </c>
      <c r="AQ114" s="28">
        <f t="shared" si="36"/>
        <v>0</v>
      </c>
      <c r="AR114" s="29">
        <f t="shared" si="37"/>
        <v>8.3854582496586706E-3</v>
      </c>
      <c r="AT114" s="12"/>
      <c r="AU114">
        <f t="shared" si="30"/>
        <v>0</v>
      </c>
      <c r="AV114">
        <f t="shared" si="31"/>
        <v>1</v>
      </c>
      <c r="AW114">
        <f t="shared" si="38"/>
        <v>0</v>
      </c>
      <c r="AX114">
        <f t="shared" si="25"/>
        <v>1</v>
      </c>
      <c r="AY114">
        <f t="shared" si="39"/>
        <v>0</v>
      </c>
      <c r="AZ114" s="28">
        <f t="shared" si="32"/>
        <v>0</v>
      </c>
      <c r="BA114" s="28">
        <f t="shared" si="33"/>
        <v>0</v>
      </c>
      <c r="BB114" s="28">
        <f t="shared" si="40"/>
        <v>0</v>
      </c>
      <c r="BC114" s="29">
        <f t="shared" si="41"/>
        <v>1.0247873441356583E-2</v>
      </c>
      <c r="BE114" s="29">
        <f t="shared" si="42"/>
        <v>0</v>
      </c>
      <c r="BF114" s="29">
        <f t="shared" si="43"/>
        <v>1.8633331691015255E-2</v>
      </c>
      <c r="BH114" s="29"/>
    </row>
    <row r="115" spans="1:60" x14ac:dyDescent="0.25">
      <c r="A115" s="1">
        <v>46189</v>
      </c>
      <c r="B115" s="33">
        <v>25.43</v>
      </c>
      <c r="C115" s="33">
        <v>25.4</v>
      </c>
      <c r="D115" s="15">
        <v>-3.9315903789322401E-4</v>
      </c>
      <c r="E115" s="15">
        <v>-7.8709173681726504E-4</v>
      </c>
      <c r="F115" s="33">
        <v>0</v>
      </c>
      <c r="G115" s="33">
        <v>0.67100000000000004</v>
      </c>
      <c r="H115" s="33">
        <v>0</v>
      </c>
      <c r="I115" s="33">
        <v>0.64374699999999996</v>
      </c>
      <c r="J115" s="33">
        <v>0.67100000000000004</v>
      </c>
      <c r="K115" s="33">
        <v>0.64374699999999996</v>
      </c>
      <c r="L115" s="33">
        <v>26.100999999999999</v>
      </c>
      <c r="M115" s="33">
        <v>26.043747</v>
      </c>
      <c r="N115" s="34">
        <v>0.99882029099488701</v>
      </c>
      <c r="O115" s="34">
        <v>1.0011576279691501</v>
      </c>
      <c r="P115" s="34">
        <v>0.99901283356028103</v>
      </c>
      <c r="Q115" s="34">
        <v>1.00138727940284</v>
      </c>
      <c r="R115" s="33">
        <v>25.459438479255599</v>
      </c>
      <c r="S115" s="33">
        <v>25.407896357437899</v>
      </c>
      <c r="T115" s="33">
        <v>25.473363973381701</v>
      </c>
      <c r="U115" s="15">
        <v>2.3373638441010298E-3</v>
      </c>
      <c r="V115" s="15">
        <v>3.1083190085160497E-4</v>
      </c>
      <c r="W115" s="15">
        <v>2.8841821538177601E-3</v>
      </c>
      <c r="X115" s="34">
        <v>0.99780648251024795</v>
      </c>
      <c r="Y115" s="34">
        <v>0.99838446436414396</v>
      </c>
      <c r="Z115" s="34">
        <v>0.99799047708275301</v>
      </c>
      <c r="AA115" s="34">
        <v>0.99827407446774996</v>
      </c>
      <c r="AB115" s="33">
        <v>26.058832904368501</v>
      </c>
      <c r="AC115" s="33">
        <v>26.051544211635601</v>
      </c>
      <c r="AD115" s="33">
        <v>26.057360335334302</v>
      </c>
      <c r="AE115" s="15">
        <v>5.7908475234073604E-4</v>
      </c>
      <c r="AF115" s="15">
        <v>2.99344202230638E-4</v>
      </c>
      <c r="AG115" s="15">
        <v>5.2257375477826097E-4</v>
      </c>
      <c r="AI115" s="12"/>
      <c r="AJ115">
        <f t="shared" si="26"/>
        <v>0</v>
      </c>
      <c r="AK115">
        <f t="shared" si="27"/>
        <v>1</v>
      </c>
      <c r="AL115">
        <f t="shared" si="34"/>
        <v>0</v>
      </c>
      <c r="AM115">
        <f t="shared" si="24"/>
        <v>1</v>
      </c>
      <c r="AN115">
        <f t="shared" si="35"/>
        <v>0</v>
      </c>
      <c r="AO115" s="28">
        <f t="shared" si="28"/>
        <v>0</v>
      </c>
      <c r="AP115" s="28">
        <f t="shared" si="29"/>
        <v>0</v>
      </c>
      <c r="AQ115" s="28">
        <f t="shared" si="36"/>
        <v>0</v>
      </c>
      <c r="AR115" s="29">
        <f t="shared" si="37"/>
        <v>8.3854582496586706E-3</v>
      </c>
      <c r="AT115" s="12"/>
      <c r="AU115">
        <f t="shared" si="30"/>
        <v>0</v>
      </c>
      <c r="AV115">
        <f t="shared" si="31"/>
        <v>0</v>
      </c>
      <c r="AW115">
        <f t="shared" si="38"/>
        <v>0</v>
      </c>
      <c r="AX115">
        <f t="shared" si="25"/>
        <v>1</v>
      </c>
      <c r="AY115">
        <f t="shared" si="39"/>
        <v>0</v>
      </c>
      <c r="AZ115" s="28">
        <f t="shared" si="32"/>
        <v>0</v>
      </c>
      <c r="BA115" s="28">
        <f t="shared" si="33"/>
        <v>0</v>
      </c>
      <c r="BB115" s="28">
        <f t="shared" si="40"/>
        <v>0</v>
      </c>
      <c r="BC115" s="29">
        <f t="shared" si="41"/>
        <v>1.0247873441356583E-2</v>
      </c>
      <c r="BE115" s="29">
        <f t="shared" si="42"/>
        <v>0</v>
      </c>
      <c r="BF115" s="29">
        <f t="shared" si="43"/>
        <v>1.8633331691015255E-2</v>
      </c>
      <c r="BH115" s="29"/>
    </row>
    <row r="116" spans="1:60" x14ac:dyDescent="0.25">
      <c r="A116" s="1">
        <v>46190</v>
      </c>
      <c r="B116" s="33">
        <v>25.31</v>
      </c>
      <c r="C116" s="33">
        <v>25.32</v>
      </c>
      <c r="D116" s="15">
        <v>-4.7300048769955997E-3</v>
      </c>
      <c r="E116" s="15">
        <v>-3.1545767485154298E-3</v>
      </c>
      <c r="F116" s="33">
        <v>0</v>
      </c>
      <c r="G116" s="33">
        <v>0.67100000000000004</v>
      </c>
      <c r="H116" s="33">
        <v>0</v>
      </c>
      <c r="I116" s="33">
        <v>0.64374699999999996</v>
      </c>
      <c r="J116" s="33">
        <v>0.67100000000000004</v>
      </c>
      <c r="K116" s="33">
        <v>0.64374699999999996</v>
      </c>
      <c r="L116" s="33">
        <v>25.980999999999899</v>
      </c>
      <c r="M116" s="33">
        <v>25.963747000000001</v>
      </c>
      <c r="N116" s="34">
        <v>1.0003951007506899</v>
      </c>
      <c r="O116" s="34">
        <v>1.0011576279691501</v>
      </c>
      <c r="P116" s="34">
        <v>0.99913133257689801</v>
      </c>
      <c r="Q116" s="34">
        <v>1.00118747356214</v>
      </c>
      <c r="R116" s="33">
        <v>25.339299563899299</v>
      </c>
      <c r="S116" s="33">
        <v>25.285014817410701</v>
      </c>
      <c r="T116" s="33">
        <v>25.3451120416861</v>
      </c>
      <c r="U116" s="15">
        <v>7.6193571562087402E-4</v>
      </c>
      <c r="V116" s="15">
        <v>-1.3826767283528401E-3</v>
      </c>
      <c r="W116" s="15">
        <v>9.9129530087107708E-4</v>
      </c>
      <c r="X116" s="34">
        <v>0.99933593780069996</v>
      </c>
      <c r="Y116" s="34">
        <v>0.99838446436414396</v>
      </c>
      <c r="Z116" s="34">
        <v>0.99810587610309798</v>
      </c>
      <c r="AA116" s="34">
        <v>0.99833556246621702</v>
      </c>
      <c r="AB116" s="33">
        <v>25.939026768644801</v>
      </c>
      <c r="AC116" s="33">
        <v>25.928790585087</v>
      </c>
      <c r="AD116" s="33">
        <v>25.936158728746602</v>
      </c>
      <c r="AE116" s="15">
        <v>-9.5255923448519305E-4</v>
      </c>
      <c r="AF116" s="15">
        <v>-1.3472619311847901E-3</v>
      </c>
      <c r="AG116" s="15">
        <v>-1.0631338714201599E-3</v>
      </c>
      <c r="AI116" s="12"/>
      <c r="AJ116">
        <f t="shared" si="26"/>
        <v>1</v>
      </c>
      <c r="AK116">
        <f t="shared" si="27"/>
        <v>0</v>
      </c>
      <c r="AL116">
        <f t="shared" si="34"/>
        <v>0</v>
      </c>
      <c r="AM116">
        <f t="shared" si="24"/>
        <v>1</v>
      </c>
      <c r="AN116">
        <f t="shared" si="35"/>
        <v>0</v>
      </c>
      <c r="AO116" s="28">
        <f t="shared" si="28"/>
        <v>0</v>
      </c>
      <c r="AP116" s="28">
        <f t="shared" si="29"/>
        <v>0</v>
      </c>
      <c r="AQ116" s="28">
        <f t="shared" si="36"/>
        <v>0</v>
      </c>
      <c r="AR116" s="29">
        <f t="shared" si="37"/>
        <v>8.3854582496586706E-3</v>
      </c>
      <c r="AT116" s="12"/>
      <c r="AU116">
        <f t="shared" si="30"/>
        <v>0</v>
      </c>
      <c r="AV116">
        <f t="shared" si="31"/>
        <v>1</v>
      </c>
      <c r="AW116">
        <f t="shared" si="38"/>
        <v>0</v>
      </c>
      <c r="AX116">
        <f t="shared" si="25"/>
        <v>1</v>
      </c>
      <c r="AY116">
        <f t="shared" si="39"/>
        <v>0</v>
      </c>
      <c r="AZ116" s="28">
        <f t="shared" si="32"/>
        <v>0</v>
      </c>
      <c r="BA116" s="28">
        <f t="shared" si="33"/>
        <v>0</v>
      </c>
      <c r="BB116" s="28">
        <f t="shared" si="40"/>
        <v>0</v>
      </c>
      <c r="BC116" s="29">
        <f t="shared" si="41"/>
        <v>1.0247873441356583E-2</v>
      </c>
      <c r="BE116" s="29">
        <f t="shared" si="42"/>
        <v>0</v>
      </c>
      <c r="BF116" s="29">
        <f t="shared" si="43"/>
        <v>1.8633331691015255E-2</v>
      </c>
      <c r="BH116" s="29"/>
    </row>
    <row r="117" spans="1:60" x14ac:dyDescent="0.25">
      <c r="A117" s="1">
        <v>46191</v>
      </c>
      <c r="B117" s="33">
        <v>25.41</v>
      </c>
      <c r="C117" s="33">
        <v>25.39</v>
      </c>
      <c r="D117" s="15">
        <v>3.9432227750399998E-3</v>
      </c>
      <c r="E117" s="15">
        <v>2.7607984406117199E-3</v>
      </c>
      <c r="F117" s="33">
        <v>0</v>
      </c>
      <c r="G117" s="33">
        <v>0.67100000000000004</v>
      </c>
      <c r="H117" s="33">
        <v>0</v>
      </c>
      <c r="I117" s="33">
        <v>0.64374699999999996</v>
      </c>
      <c r="J117" s="33">
        <v>0.67100000000000004</v>
      </c>
      <c r="K117" s="33">
        <v>0.64374699999999996</v>
      </c>
      <c r="L117" s="33">
        <v>26.081</v>
      </c>
      <c r="M117" s="33">
        <v>26.033747000000002</v>
      </c>
      <c r="N117" s="34">
        <v>0.99921290830381704</v>
      </c>
      <c r="O117" s="34">
        <v>1.0011576279691501</v>
      </c>
      <c r="P117" s="34">
        <v>0.99909207113903498</v>
      </c>
      <c r="Q117" s="34">
        <v>1.0008703411995501</v>
      </c>
      <c r="R117" s="33">
        <v>25.439415326696199</v>
      </c>
      <c r="S117" s="33">
        <v>25.387927160778901</v>
      </c>
      <c r="T117" s="33">
        <v>25.440173703213901</v>
      </c>
      <c r="U117" s="15">
        <v>1.9443600500494199E-3</v>
      </c>
      <c r="V117" s="15">
        <v>-8.1643317798239104E-5</v>
      </c>
      <c r="W117" s="15">
        <v>1.9741706885488901E-3</v>
      </c>
      <c r="X117" s="34">
        <v>0.99818822131053198</v>
      </c>
      <c r="Y117" s="34">
        <v>0.99838446436414396</v>
      </c>
      <c r="Z117" s="34">
        <v>0.99806786337000397</v>
      </c>
      <c r="AA117" s="34">
        <v>0.99828113564376098</v>
      </c>
      <c r="AB117" s="33">
        <v>26.038865215081199</v>
      </c>
      <c r="AC117" s="33">
        <v>26.0315993546449</v>
      </c>
      <c r="AD117" s="33">
        <v>26.037589804681399</v>
      </c>
      <c r="AE117" s="15">
        <v>1.96579924840217E-4</v>
      </c>
      <c r="AF117" s="15">
        <v>-8.24980723904372E-5</v>
      </c>
      <c r="AG117" s="15">
        <v>1.47597696706505E-4</v>
      </c>
      <c r="AI117" s="12"/>
      <c r="AJ117">
        <f t="shared" si="26"/>
        <v>0</v>
      </c>
      <c r="AK117">
        <f t="shared" si="27"/>
        <v>1</v>
      </c>
      <c r="AL117">
        <f t="shared" si="34"/>
        <v>1</v>
      </c>
      <c r="AM117">
        <f t="shared" si="24"/>
        <v>0</v>
      </c>
      <c r="AN117">
        <f t="shared" si="35"/>
        <v>1</v>
      </c>
      <c r="AO117" s="28">
        <f t="shared" si="28"/>
        <v>3.9432227750399998E-3</v>
      </c>
      <c r="AP117" s="28">
        <f t="shared" si="29"/>
        <v>-2.7607984406117199E-3</v>
      </c>
      <c r="AQ117" s="28">
        <f t="shared" si="36"/>
        <v>1.1824243344282798E-3</v>
      </c>
      <c r="AR117" s="29">
        <f t="shared" si="37"/>
        <v>9.5678825840869505E-3</v>
      </c>
      <c r="AT117" s="12"/>
      <c r="AU117">
        <f t="shared" si="30"/>
        <v>0</v>
      </c>
      <c r="AV117">
        <f t="shared" si="31"/>
        <v>1</v>
      </c>
      <c r="AW117">
        <f t="shared" si="38"/>
        <v>0</v>
      </c>
      <c r="AX117">
        <f t="shared" si="25"/>
        <v>0</v>
      </c>
      <c r="AY117">
        <f t="shared" si="39"/>
        <v>0</v>
      </c>
      <c r="AZ117" s="28">
        <f t="shared" si="32"/>
        <v>0</v>
      </c>
      <c r="BA117" s="28">
        <f t="shared" si="33"/>
        <v>0</v>
      </c>
      <c r="BB117" s="28">
        <f t="shared" si="40"/>
        <v>0</v>
      </c>
      <c r="BC117" s="29">
        <f t="shared" si="41"/>
        <v>1.0247873441356583E-2</v>
      </c>
      <c r="BE117" s="29">
        <f t="shared" si="42"/>
        <v>1.1824243344282798E-3</v>
      </c>
      <c r="BF117" s="29">
        <f t="shared" si="43"/>
        <v>1.9815756025443533E-2</v>
      </c>
      <c r="BH117" s="29"/>
    </row>
    <row r="118" spans="1:60" x14ac:dyDescent="0.25">
      <c r="A118" s="1">
        <v>46195</v>
      </c>
      <c r="B118" s="33">
        <v>25.23</v>
      </c>
      <c r="C118" s="33">
        <v>25.38</v>
      </c>
      <c r="D118" s="15">
        <v>-7.1090346791063304E-3</v>
      </c>
      <c r="E118" s="15">
        <v>-3.9393343034550501E-4</v>
      </c>
      <c r="F118" s="33">
        <v>0.13800000000000001</v>
      </c>
      <c r="G118" s="33">
        <v>0.80900000000000005</v>
      </c>
      <c r="H118" s="33">
        <v>0</v>
      </c>
      <c r="I118" s="33">
        <v>0.64374699999999996</v>
      </c>
      <c r="J118" s="33">
        <v>0.80900000000000005</v>
      </c>
      <c r="K118" s="33">
        <v>0.64374699999999996</v>
      </c>
      <c r="L118" s="33">
        <v>26.039000000000001</v>
      </c>
      <c r="M118" s="33">
        <v>26.023747</v>
      </c>
      <c r="N118" s="34">
        <v>1.0059453032104599</v>
      </c>
      <c r="O118" s="34">
        <v>1.0011576279691501</v>
      </c>
      <c r="P118" s="34">
        <v>0.99988462126206201</v>
      </c>
      <c r="Q118" s="34">
        <v>1.00088982858229</v>
      </c>
      <c r="R118" s="33">
        <v>25.259206953661799</v>
      </c>
      <c r="S118" s="33">
        <v>25.207092954837801</v>
      </c>
      <c r="T118" s="33">
        <v>25.251958708464699</v>
      </c>
      <c r="U118" s="15">
        <v>-4.7707411987115301E-3</v>
      </c>
      <c r="V118" s="15">
        <v>-6.8360409112970298E-3</v>
      </c>
      <c r="W118" s="15">
        <v>-5.0577369610070796E-3</v>
      </c>
      <c r="X118" s="34">
        <v>0.99941422481662101</v>
      </c>
      <c r="Y118" s="34">
        <v>0.99838446436414396</v>
      </c>
      <c r="Z118" s="34">
        <v>0.99830731833497999</v>
      </c>
      <c r="AA118" s="34">
        <v>0.99828800899660997</v>
      </c>
      <c r="AB118" s="33">
        <v>25.996933067577899</v>
      </c>
      <c r="AC118" s="33">
        <v>25.988689094291502</v>
      </c>
      <c r="AD118" s="33">
        <v>25.994242491027901</v>
      </c>
      <c r="AE118" s="15">
        <v>-1.0308952040573899E-3</v>
      </c>
      <c r="AF118" s="15">
        <v>-1.3480587970934701E-3</v>
      </c>
      <c r="AG118" s="15">
        <v>-1.1343964818623701E-3</v>
      </c>
      <c r="AI118" s="12"/>
      <c r="AJ118">
        <f t="shared" si="26"/>
        <v>1</v>
      </c>
      <c r="AK118">
        <f t="shared" si="27"/>
        <v>0</v>
      </c>
      <c r="AL118">
        <f t="shared" si="34"/>
        <v>0</v>
      </c>
      <c r="AM118">
        <f t="shared" si="24"/>
        <v>1</v>
      </c>
      <c r="AN118">
        <f t="shared" si="35"/>
        <v>0</v>
      </c>
      <c r="AO118" s="28">
        <f t="shared" si="28"/>
        <v>0</v>
      </c>
      <c r="AP118" s="28">
        <f t="shared" si="29"/>
        <v>0</v>
      </c>
      <c r="AQ118" s="28">
        <f t="shared" si="36"/>
        <v>0</v>
      </c>
      <c r="AR118" s="29">
        <f t="shared" si="37"/>
        <v>9.5678825840869505E-3</v>
      </c>
      <c r="AT118" s="12"/>
      <c r="AU118">
        <f t="shared" si="30"/>
        <v>0</v>
      </c>
      <c r="AV118">
        <f t="shared" si="31"/>
        <v>1</v>
      </c>
      <c r="AW118">
        <f t="shared" si="38"/>
        <v>0</v>
      </c>
      <c r="AX118">
        <f t="shared" si="25"/>
        <v>1</v>
      </c>
      <c r="AY118">
        <f t="shared" si="39"/>
        <v>0</v>
      </c>
      <c r="AZ118" s="28">
        <f t="shared" si="32"/>
        <v>0</v>
      </c>
      <c r="BA118" s="28">
        <f t="shared" si="33"/>
        <v>0</v>
      </c>
      <c r="BB118" s="28">
        <f t="shared" si="40"/>
        <v>0</v>
      </c>
      <c r="BC118" s="29">
        <f t="shared" si="41"/>
        <v>1.0247873441356583E-2</v>
      </c>
      <c r="BE118" s="29">
        <f t="shared" si="42"/>
        <v>0</v>
      </c>
      <c r="BF118" s="29">
        <f t="shared" si="43"/>
        <v>1.9815756025443533E-2</v>
      </c>
      <c r="BH118" s="29"/>
    </row>
    <row r="119" spans="1:60" x14ac:dyDescent="0.25">
      <c r="A119" s="1">
        <v>46196</v>
      </c>
      <c r="B119" s="33">
        <v>25.23</v>
      </c>
      <c r="C119" s="33">
        <v>25.36</v>
      </c>
      <c r="D119" s="15">
        <v>0</v>
      </c>
      <c r="E119" s="15">
        <v>-7.8833271721642903E-4</v>
      </c>
      <c r="F119" s="33">
        <v>0</v>
      </c>
      <c r="G119" s="33">
        <v>0.80900000000000005</v>
      </c>
      <c r="H119" s="33">
        <v>0</v>
      </c>
      <c r="I119" s="33">
        <v>0.64374699999999996</v>
      </c>
      <c r="J119" s="33">
        <v>0.80900000000000005</v>
      </c>
      <c r="K119" s="33">
        <v>0.64374699999999996</v>
      </c>
      <c r="L119" s="33">
        <v>26.039000000000001</v>
      </c>
      <c r="M119" s="33">
        <v>26.003747000000001</v>
      </c>
      <c r="N119" s="34">
        <v>1.0051525961157299</v>
      </c>
      <c r="O119" s="34">
        <v>1.0011576279691501</v>
      </c>
      <c r="P119" s="34">
        <v>1.00051859872088</v>
      </c>
      <c r="Q119" s="34">
        <v>1.0009692405663</v>
      </c>
      <c r="R119" s="33">
        <v>25.259206953661799</v>
      </c>
      <c r="S119" s="33">
        <v>25.2270889944418</v>
      </c>
      <c r="T119" s="33">
        <v>25.252450375131399</v>
      </c>
      <c r="U119" s="15">
        <v>-3.9824084814950797E-3</v>
      </c>
      <c r="V119" s="15">
        <v>-5.2547523106350399E-3</v>
      </c>
      <c r="W119" s="15">
        <v>-4.2499339965153E-3</v>
      </c>
      <c r="X119" s="34">
        <v>0.99864614616536695</v>
      </c>
      <c r="Y119" s="34">
        <v>0.99838446436414396</v>
      </c>
      <c r="Z119" s="34">
        <v>0.99839263762751296</v>
      </c>
      <c r="AA119" s="34">
        <v>0.99835285555876496</v>
      </c>
      <c r="AB119" s="33">
        <v>25.996933067577899</v>
      </c>
      <c r="AC119" s="33">
        <v>25.994924262124499</v>
      </c>
      <c r="AD119" s="33">
        <v>25.9944214662627</v>
      </c>
      <c r="AE119" s="15">
        <v>-2.6207089800288098E-4</v>
      </c>
      <c r="AF119" s="15">
        <v>-3.3934474654644402E-4</v>
      </c>
      <c r="AG119" s="15">
        <v>-3.58687011958986E-4</v>
      </c>
      <c r="AI119" s="12"/>
      <c r="AJ119">
        <f t="shared" si="26"/>
        <v>0</v>
      </c>
      <c r="AK119">
        <f t="shared" si="27"/>
        <v>0</v>
      </c>
      <c r="AL119">
        <f t="shared" si="34"/>
        <v>1</v>
      </c>
      <c r="AM119">
        <f t="shared" si="24"/>
        <v>1</v>
      </c>
      <c r="AN119">
        <f t="shared" si="35"/>
        <v>1</v>
      </c>
      <c r="AO119" s="28">
        <f t="shared" si="28"/>
        <v>0</v>
      </c>
      <c r="AP119" s="28">
        <f t="shared" si="29"/>
        <v>7.8833271721642903E-4</v>
      </c>
      <c r="AQ119" s="28">
        <f t="shared" si="36"/>
        <v>7.8833271721642903E-4</v>
      </c>
      <c r="AR119" s="29">
        <f t="shared" si="37"/>
        <v>1.035621530130338E-2</v>
      </c>
      <c r="AT119" s="12"/>
      <c r="AU119">
        <f t="shared" si="30"/>
        <v>0</v>
      </c>
      <c r="AV119">
        <f t="shared" si="31"/>
        <v>1</v>
      </c>
      <c r="AW119">
        <f t="shared" si="38"/>
        <v>0</v>
      </c>
      <c r="AX119">
        <f t="shared" si="25"/>
        <v>1</v>
      </c>
      <c r="AY119">
        <f t="shared" si="39"/>
        <v>0</v>
      </c>
      <c r="AZ119" s="28">
        <f t="shared" si="32"/>
        <v>0</v>
      </c>
      <c r="BA119" s="28">
        <f t="shared" si="33"/>
        <v>0</v>
      </c>
      <c r="BB119" s="28">
        <f t="shared" si="40"/>
        <v>0</v>
      </c>
      <c r="BC119" s="29">
        <f t="shared" si="41"/>
        <v>1.0247873441356583E-2</v>
      </c>
      <c r="BE119" s="29">
        <f t="shared" si="42"/>
        <v>7.8833271721642903E-4</v>
      </c>
      <c r="BF119" s="29">
        <f t="shared" si="43"/>
        <v>2.0604088742659961E-2</v>
      </c>
      <c r="BH119" s="29"/>
    </row>
    <row r="120" spans="1:60" x14ac:dyDescent="0.25">
      <c r="A120" s="1">
        <v>46197</v>
      </c>
      <c r="B120" s="33">
        <v>25.22</v>
      </c>
      <c r="C120" s="33">
        <v>25.38</v>
      </c>
      <c r="D120" s="15">
        <v>-3.9643211619296497E-4</v>
      </c>
      <c r="E120" s="15">
        <v>7.8833271721642296E-4</v>
      </c>
      <c r="F120" s="33">
        <v>0</v>
      </c>
      <c r="G120" s="33">
        <v>0.80900000000000005</v>
      </c>
      <c r="H120" s="33">
        <v>0</v>
      </c>
      <c r="I120" s="33">
        <v>0.64374699999999996</v>
      </c>
      <c r="J120" s="33">
        <v>0.80900000000000005</v>
      </c>
      <c r="K120" s="33">
        <v>0.64374699999999996</v>
      </c>
      <c r="L120" s="33">
        <v>26.029</v>
      </c>
      <c r="M120" s="33">
        <v>26.023747</v>
      </c>
      <c r="N120" s="34">
        <v>1.00634417129262</v>
      </c>
      <c r="O120" s="34">
        <v>1.0011576279691501</v>
      </c>
      <c r="P120" s="34">
        <v>1.00135064430864</v>
      </c>
      <c r="Q120" s="34">
        <v>1.0010693152975301</v>
      </c>
      <c r="R120" s="33">
        <v>25.249195377382101</v>
      </c>
      <c r="S120" s="33">
        <v>25.2330790597407</v>
      </c>
      <c r="T120" s="33">
        <v>25.2444442470821</v>
      </c>
      <c r="U120" s="15">
        <v>-5.1671733149044096E-3</v>
      </c>
      <c r="V120" s="15">
        <v>-5.8056674544259999E-3</v>
      </c>
      <c r="W120" s="15">
        <v>-5.3553605935122003E-3</v>
      </c>
      <c r="X120" s="34">
        <v>0.99979818663798004</v>
      </c>
      <c r="Y120" s="34">
        <v>0.99838446436414396</v>
      </c>
      <c r="Z120" s="34">
        <v>0.99866991499525004</v>
      </c>
      <c r="AA120" s="34">
        <v>0.99843643628791801</v>
      </c>
      <c r="AB120" s="33">
        <v>25.9869492229343</v>
      </c>
      <c r="AC120" s="33">
        <v>25.9871619648065</v>
      </c>
      <c r="AD120" s="33">
        <v>25.986126477339099</v>
      </c>
      <c r="AE120" s="15">
        <v>-1.41500829167179E-3</v>
      </c>
      <c r="AF120" s="15">
        <v>-1.40682183624784E-3</v>
      </c>
      <c r="AG120" s="15">
        <v>-1.44666874602045E-3</v>
      </c>
      <c r="AI120" s="12"/>
      <c r="AJ120">
        <f t="shared" si="26"/>
        <v>1</v>
      </c>
      <c r="AK120">
        <f t="shared" si="27"/>
        <v>0</v>
      </c>
      <c r="AL120">
        <f t="shared" si="34"/>
        <v>1</v>
      </c>
      <c r="AM120">
        <f t="shared" si="24"/>
        <v>1</v>
      </c>
      <c r="AN120">
        <f t="shared" si="35"/>
        <v>1</v>
      </c>
      <c r="AO120" s="28">
        <f t="shared" si="28"/>
        <v>-3.9643211619296497E-4</v>
      </c>
      <c r="AP120" s="28">
        <f t="shared" si="29"/>
        <v>-7.8833271721642296E-4</v>
      </c>
      <c r="AQ120" s="28">
        <f t="shared" si="36"/>
        <v>-1.184764833409388E-3</v>
      </c>
      <c r="AR120" s="29">
        <f t="shared" si="37"/>
        <v>9.171450467893992E-3</v>
      </c>
      <c r="AT120" s="12"/>
      <c r="AU120">
        <f t="shared" si="30"/>
        <v>0</v>
      </c>
      <c r="AV120">
        <f t="shared" si="31"/>
        <v>1</v>
      </c>
      <c r="AW120">
        <f t="shared" si="38"/>
        <v>0</v>
      </c>
      <c r="AX120">
        <f t="shared" si="25"/>
        <v>1</v>
      </c>
      <c r="AY120">
        <f t="shared" si="39"/>
        <v>0</v>
      </c>
      <c r="AZ120" s="28">
        <f t="shared" si="32"/>
        <v>0</v>
      </c>
      <c r="BA120" s="28">
        <f t="shared" si="33"/>
        <v>0</v>
      </c>
      <c r="BB120" s="28">
        <f t="shared" si="40"/>
        <v>0</v>
      </c>
      <c r="BC120" s="29">
        <f t="shared" si="41"/>
        <v>1.0247873441356583E-2</v>
      </c>
      <c r="BE120" s="29">
        <f t="shared" si="42"/>
        <v>-1.184764833409388E-3</v>
      </c>
      <c r="BF120" s="29">
        <f t="shared" si="43"/>
        <v>1.9419323909250573E-2</v>
      </c>
      <c r="BH120" s="29"/>
    </row>
    <row r="121" spans="1:60" x14ac:dyDescent="0.25">
      <c r="A121" s="1">
        <v>46198</v>
      </c>
      <c r="B121" s="33">
        <v>25.21</v>
      </c>
      <c r="C121" s="33">
        <v>25.37</v>
      </c>
      <c r="D121" s="15">
        <v>-3.9658933694493E-4</v>
      </c>
      <c r="E121" s="15">
        <v>-3.9408867505104101E-4</v>
      </c>
      <c r="F121" s="33">
        <v>0</v>
      </c>
      <c r="G121" s="33">
        <v>0.80900000000000005</v>
      </c>
      <c r="H121" s="33">
        <v>0</v>
      </c>
      <c r="I121" s="33">
        <v>0.64374699999999996</v>
      </c>
      <c r="J121" s="33">
        <v>0.80900000000000005</v>
      </c>
      <c r="K121" s="33">
        <v>0.64374699999999996</v>
      </c>
      <c r="L121" s="33">
        <v>26.018999999999998</v>
      </c>
      <c r="M121" s="33">
        <v>26.013746999999999</v>
      </c>
      <c r="N121" s="34">
        <v>1.00634668782229</v>
      </c>
      <c r="O121" s="34">
        <v>1.0011576279691501</v>
      </c>
      <c r="P121" s="34">
        <v>1.0020249327422199</v>
      </c>
      <c r="Q121" s="34">
        <v>1.0011891773347801</v>
      </c>
      <c r="R121" s="33">
        <v>25.239183801102399</v>
      </c>
      <c r="S121" s="33">
        <v>25.244049743020899</v>
      </c>
      <c r="T121" s="33">
        <v>25.236957438650801</v>
      </c>
      <c r="U121" s="15">
        <v>-5.16967397679841E-3</v>
      </c>
      <c r="V121" s="15">
        <v>-4.9768994022715797E-3</v>
      </c>
      <c r="W121" s="15">
        <v>-5.2578884241913596E-3</v>
      </c>
      <c r="X121" s="34">
        <v>0.99979810907413802</v>
      </c>
      <c r="Y121" s="34">
        <v>0.99838446436414396</v>
      </c>
      <c r="Z121" s="34">
        <v>0.99879349881764201</v>
      </c>
      <c r="AA121" s="34">
        <v>0.99853928660715496</v>
      </c>
      <c r="AB121" s="33">
        <v>25.9769653782906</v>
      </c>
      <c r="AC121" s="33">
        <v>25.984392518261402</v>
      </c>
      <c r="AD121" s="33">
        <v>25.978317635775301</v>
      </c>
      <c r="AE121" s="15">
        <v>-1.4149307121695499E-3</v>
      </c>
      <c r="AF121" s="15">
        <v>-1.1290590443775101E-3</v>
      </c>
      <c r="AG121" s="15">
        <v>-1.3628760449048501E-3</v>
      </c>
      <c r="AI121" s="12"/>
      <c r="AJ121">
        <f t="shared" si="26"/>
        <v>1</v>
      </c>
      <c r="AK121">
        <f t="shared" si="27"/>
        <v>0</v>
      </c>
      <c r="AL121">
        <f t="shared" si="34"/>
        <v>1</v>
      </c>
      <c r="AM121">
        <f t="shared" si="24"/>
        <v>1</v>
      </c>
      <c r="AN121">
        <f t="shared" si="35"/>
        <v>1</v>
      </c>
      <c r="AO121" s="28">
        <f t="shared" si="28"/>
        <v>-3.9658933694493E-4</v>
      </c>
      <c r="AP121" s="28">
        <f t="shared" si="29"/>
        <v>3.9408867505104101E-4</v>
      </c>
      <c r="AQ121" s="28">
        <f t="shared" si="36"/>
        <v>-2.5006618938889884E-6</v>
      </c>
      <c r="AR121" s="29">
        <f t="shared" si="37"/>
        <v>9.1689498060001026E-3</v>
      </c>
      <c r="AT121" s="12"/>
      <c r="AU121">
        <f t="shared" si="30"/>
        <v>0</v>
      </c>
      <c r="AV121">
        <f t="shared" si="31"/>
        <v>1</v>
      </c>
      <c r="AW121">
        <f t="shared" si="38"/>
        <v>0</v>
      </c>
      <c r="AX121">
        <f t="shared" si="25"/>
        <v>1</v>
      </c>
      <c r="AY121">
        <f t="shared" si="39"/>
        <v>0</v>
      </c>
      <c r="AZ121" s="28">
        <f t="shared" si="32"/>
        <v>0</v>
      </c>
      <c r="BA121" s="28">
        <f t="shared" si="33"/>
        <v>0</v>
      </c>
      <c r="BB121" s="28">
        <f t="shared" si="40"/>
        <v>0</v>
      </c>
      <c r="BC121" s="29">
        <f t="shared" si="41"/>
        <v>1.0247873441356583E-2</v>
      </c>
      <c r="BE121" s="29">
        <f t="shared" si="42"/>
        <v>-2.5006618938889884E-6</v>
      </c>
      <c r="BF121" s="29">
        <f t="shared" si="43"/>
        <v>1.9416823247356683E-2</v>
      </c>
      <c r="BH121" s="29"/>
    </row>
    <row r="122" spans="1:60" x14ac:dyDescent="0.25">
      <c r="A122" s="1">
        <v>46199</v>
      </c>
      <c r="B122" s="33">
        <v>25.23</v>
      </c>
      <c r="C122" s="33">
        <v>25.38</v>
      </c>
      <c r="D122" s="15">
        <v>7.9302145313785198E-4</v>
      </c>
      <c r="E122" s="15">
        <v>3.9408867505093498E-4</v>
      </c>
      <c r="F122" s="33">
        <v>0</v>
      </c>
      <c r="G122" s="33">
        <v>0.80900000000000005</v>
      </c>
      <c r="H122" s="33">
        <v>0</v>
      </c>
      <c r="I122" s="33">
        <v>0.64374699999999996</v>
      </c>
      <c r="J122" s="33">
        <v>0.80900000000000005</v>
      </c>
      <c r="K122" s="33">
        <v>0.64374699999999996</v>
      </c>
      <c r="L122" s="33">
        <v>26.039000000000001</v>
      </c>
      <c r="M122" s="33">
        <v>26.023747</v>
      </c>
      <c r="N122" s="34">
        <v>1.0059453032104599</v>
      </c>
      <c r="O122" s="34">
        <v>1.0011576279691501</v>
      </c>
      <c r="P122" s="34">
        <v>1.00269823423302</v>
      </c>
      <c r="Q122" s="34">
        <v>1.00122972843527</v>
      </c>
      <c r="R122" s="33">
        <v>25.259206953661799</v>
      </c>
      <c r="S122" s="33">
        <v>25.281089053086198</v>
      </c>
      <c r="T122" s="33">
        <v>25.260002944156501</v>
      </c>
      <c r="U122" s="15">
        <v>-4.7707411987115301E-3</v>
      </c>
      <c r="V122" s="15">
        <v>-3.9048143039086499E-3</v>
      </c>
      <c r="W122" s="15">
        <v>-4.7392288098058403E-3</v>
      </c>
      <c r="X122" s="34">
        <v>0.99941422481662101</v>
      </c>
      <c r="Y122" s="34">
        <v>0.99838446436414396</v>
      </c>
      <c r="Z122" s="34">
        <v>0.99891623820962905</v>
      </c>
      <c r="AA122" s="34">
        <v>0.99856523042849499</v>
      </c>
      <c r="AB122" s="33">
        <v>25.996933067577899</v>
      </c>
      <c r="AC122" s="33">
        <v>26.007583915712502</v>
      </c>
      <c r="AD122" s="33">
        <v>26.000964483963699</v>
      </c>
      <c r="AE122" s="15">
        <v>-1.0308952040573899E-3</v>
      </c>
      <c r="AF122" s="15">
        <v>-6.2128277416169495E-4</v>
      </c>
      <c r="AG122" s="15">
        <v>-8.7583445800144496E-4</v>
      </c>
      <c r="AI122" s="12"/>
      <c r="AJ122">
        <f t="shared" si="26"/>
        <v>0</v>
      </c>
      <c r="AK122">
        <f t="shared" si="27"/>
        <v>0</v>
      </c>
      <c r="AL122">
        <f t="shared" si="34"/>
        <v>1</v>
      </c>
      <c r="AM122">
        <f t="shared" si="24"/>
        <v>1</v>
      </c>
      <c r="AN122">
        <f t="shared" si="35"/>
        <v>1</v>
      </c>
      <c r="AO122" s="28">
        <f t="shared" si="28"/>
        <v>7.9302145313785198E-4</v>
      </c>
      <c r="AP122" s="28">
        <f t="shared" si="29"/>
        <v>-3.9408867505093498E-4</v>
      </c>
      <c r="AQ122" s="28">
        <f t="shared" si="36"/>
        <v>3.9893277808691701E-4</v>
      </c>
      <c r="AR122" s="29">
        <f t="shared" si="37"/>
        <v>9.5678825840870198E-3</v>
      </c>
      <c r="AT122" s="12"/>
      <c r="AU122">
        <f t="shared" si="30"/>
        <v>0</v>
      </c>
      <c r="AV122">
        <f t="shared" si="31"/>
        <v>1</v>
      </c>
      <c r="AW122">
        <f t="shared" si="38"/>
        <v>0</v>
      </c>
      <c r="AX122">
        <f t="shared" si="25"/>
        <v>1</v>
      </c>
      <c r="AY122">
        <f t="shared" si="39"/>
        <v>0</v>
      </c>
      <c r="AZ122" s="28">
        <f t="shared" si="32"/>
        <v>0</v>
      </c>
      <c r="BA122" s="28">
        <f t="shared" si="33"/>
        <v>0</v>
      </c>
      <c r="BB122" s="28">
        <f t="shared" si="40"/>
        <v>0</v>
      </c>
      <c r="BC122" s="29">
        <f t="shared" si="41"/>
        <v>1.0247873441356583E-2</v>
      </c>
      <c r="BE122" s="29">
        <f t="shared" si="42"/>
        <v>3.9893277808691701E-4</v>
      </c>
      <c r="BF122" s="29">
        <f t="shared" si="43"/>
        <v>1.9815756025443599E-2</v>
      </c>
      <c r="BH122" s="29"/>
    </row>
    <row r="123" spans="1:60" x14ac:dyDescent="0.25">
      <c r="A123" s="1">
        <v>46202</v>
      </c>
      <c r="B123" s="33">
        <v>25.28</v>
      </c>
      <c r="C123" s="33">
        <v>25.41</v>
      </c>
      <c r="D123" s="15">
        <v>1.9798066256902802E-3</v>
      </c>
      <c r="E123" s="15">
        <v>1.18133504583117E-3</v>
      </c>
      <c r="F123" s="33">
        <v>0</v>
      </c>
      <c r="G123" s="33">
        <v>0.80900000000000005</v>
      </c>
      <c r="H123" s="33">
        <v>0</v>
      </c>
      <c r="I123" s="33">
        <v>0.64374699999999996</v>
      </c>
      <c r="J123" s="33">
        <v>0.80900000000000005</v>
      </c>
      <c r="K123" s="33">
        <v>0.64374699999999996</v>
      </c>
      <c r="L123" s="33">
        <v>26.088999999999999</v>
      </c>
      <c r="M123" s="33">
        <v>26.053747000000001</v>
      </c>
      <c r="N123" s="34">
        <v>1.00514240506329</v>
      </c>
      <c r="O123" s="34">
        <v>1.0011576279691501</v>
      </c>
      <c r="P123" s="34">
        <v>1.00325186032422</v>
      </c>
      <c r="Q123" s="34">
        <v>1.00117151561788</v>
      </c>
      <c r="R123" s="33">
        <v>25.309264835060201</v>
      </c>
      <c r="S123" s="33">
        <v>25.348211361410701</v>
      </c>
      <c r="T123" s="33">
        <v>25.311087534843601</v>
      </c>
      <c r="U123" s="15">
        <v>-3.9722696188523596E-3</v>
      </c>
      <c r="V123" s="15">
        <v>-2.4346275194704801E-3</v>
      </c>
      <c r="W123" s="15">
        <v>-3.9002551148495999E-3</v>
      </c>
      <c r="X123" s="34">
        <v>0.99864874084863298</v>
      </c>
      <c r="Y123" s="34">
        <v>0.99838446436414396</v>
      </c>
      <c r="Z123" s="34">
        <v>0.99892405769183001</v>
      </c>
      <c r="AA123" s="34">
        <v>0.99849519252756802</v>
      </c>
      <c r="AB123" s="33">
        <v>26.0468522907961</v>
      </c>
      <c r="AC123" s="33">
        <v>26.060725738651001</v>
      </c>
      <c r="AD123" s="33">
        <v>26.051568296648998</v>
      </c>
      <c r="AE123" s="15">
        <v>-2.6466909547795099E-4</v>
      </c>
      <c r="AF123" s="15">
        <v>2.6782344043841701E-4</v>
      </c>
      <c r="AG123" s="15">
        <v>-8.3626913678471506E-5</v>
      </c>
      <c r="AI123" s="12"/>
      <c r="AJ123">
        <f t="shared" si="26"/>
        <v>0</v>
      </c>
      <c r="AK123">
        <f t="shared" si="27"/>
        <v>1</v>
      </c>
      <c r="AL123">
        <f t="shared" si="34"/>
        <v>1</v>
      </c>
      <c r="AM123">
        <f t="shared" si="24"/>
        <v>1</v>
      </c>
      <c r="AN123">
        <f t="shared" si="35"/>
        <v>1</v>
      </c>
      <c r="AO123" s="28">
        <f t="shared" si="28"/>
        <v>1.9798066256902802E-3</v>
      </c>
      <c r="AP123" s="28">
        <f t="shared" si="29"/>
        <v>-1.18133504583117E-3</v>
      </c>
      <c r="AQ123" s="28">
        <f t="shared" si="36"/>
        <v>7.984715798591102E-4</v>
      </c>
      <c r="AR123" s="29">
        <f t="shared" si="37"/>
        <v>1.036635416394613E-2</v>
      </c>
      <c r="AT123" s="12"/>
      <c r="AU123">
        <f t="shared" si="30"/>
        <v>0</v>
      </c>
      <c r="AV123">
        <f t="shared" si="31"/>
        <v>1</v>
      </c>
      <c r="AW123">
        <f t="shared" si="38"/>
        <v>0</v>
      </c>
      <c r="AX123">
        <f t="shared" si="25"/>
        <v>1</v>
      </c>
      <c r="AY123">
        <f t="shared" si="39"/>
        <v>0</v>
      </c>
      <c r="AZ123" s="28">
        <f t="shared" si="32"/>
        <v>0</v>
      </c>
      <c r="BA123" s="28">
        <f t="shared" si="33"/>
        <v>0</v>
      </c>
      <c r="BB123" s="28">
        <f t="shared" si="40"/>
        <v>0</v>
      </c>
      <c r="BC123" s="29">
        <f t="shared" si="41"/>
        <v>1.0247873441356583E-2</v>
      </c>
      <c r="BE123" s="29">
        <f t="shared" si="42"/>
        <v>7.984715798591102E-4</v>
      </c>
      <c r="BF123" s="29">
        <f t="shared" si="43"/>
        <v>2.061422760530271E-2</v>
      </c>
      <c r="BH123" s="29"/>
    </row>
    <row r="124" spans="1:60" x14ac:dyDescent="0.25">
      <c r="A124" s="1">
        <v>46203</v>
      </c>
      <c r="B124" s="33">
        <v>25.3</v>
      </c>
      <c r="C124" s="33">
        <v>25.41</v>
      </c>
      <c r="D124" s="15">
        <v>7.9082645481777004E-4</v>
      </c>
      <c r="E124" s="15">
        <v>0</v>
      </c>
      <c r="F124" s="33">
        <v>0</v>
      </c>
      <c r="G124" s="33">
        <v>0.80900000000000005</v>
      </c>
      <c r="H124" s="33">
        <v>0</v>
      </c>
      <c r="I124" s="33">
        <v>0.64374699999999996</v>
      </c>
      <c r="J124" s="33">
        <v>0.80900000000000005</v>
      </c>
      <c r="K124" s="33">
        <v>0.64374699999999996</v>
      </c>
      <c r="L124" s="33">
        <v>26.109000000000002</v>
      </c>
      <c r="M124" s="33">
        <v>26.053747000000001</v>
      </c>
      <c r="N124" s="34">
        <v>1.0043478260869501</v>
      </c>
      <c r="O124" s="34">
        <v>1.0011576279691501</v>
      </c>
      <c r="P124" s="34">
        <v>1.0037652592851201</v>
      </c>
      <c r="Q124" s="34">
        <v>1.00144803187295</v>
      </c>
      <c r="R124" s="33">
        <v>25.329287987619601</v>
      </c>
      <c r="S124" s="33">
        <v>25.382272066202901</v>
      </c>
      <c r="T124" s="33">
        <v>25.3296393451323</v>
      </c>
      <c r="U124" s="15">
        <v>-3.1814431640345199E-3</v>
      </c>
      <c r="V124" s="15">
        <v>-1.09181713767055E-3</v>
      </c>
      <c r="W124" s="15">
        <v>-3.1675716696612502E-3</v>
      </c>
      <c r="X124" s="34">
        <v>0.99788375655904005</v>
      </c>
      <c r="Y124" s="34">
        <v>0.99838446436414396</v>
      </c>
      <c r="Z124" s="34">
        <v>0.99889340305398799</v>
      </c>
      <c r="AA124" s="34">
        <v>0.99849930892969196</v>
      </c>
      <c r="AB124" s="33">
        <v>26.066819980083402</v>
      </c>
      <c r="AC124" s="33">
        <v>26.080908222275902</v>
      </c>
      <c r="AD124" s="33">
        <v>26.069710981702201</v>
      </c>
      <c r="AE124" s="15">
        <v>5.0164382757376003E-4</v>
      </c>
      <c r="AF124" s="15">
        <v>1.04196429870234E-3</v>
      </c>
      <c r="AG124" s="15">
        <v>6.1254501599068397E-4</v>
      </c>
      <c r="AI124" s="12"/>
      <c r="AJ124">
        <f t="shared" si="26"/>
        <v>0</v>
      </c>
      <c r="AK124">
        <f t="shared" si="27"/>
        <v>1</v>
      </c>
      <c r="AL124">
        <f t="shared" si="34"/>
        <v>0</v>
      </c>
      <c r="AM124">
        <f t="shared" si="24"/>
        <v>0</v>
      </c>
      <c r="AN124">
        <f t="shared" si="35"/>
        <v>0</v>
      </c>
      <c r="AO124" s="28">
        <f t="shared" si="28"/>
        <v>0</v>
      </c>
      <c r="AP124" s="28">
        <f t="shared" si="29"/>
        <v>0</v>
      </c>
      <c r="AQ124" s="28">
        <f t="shared" si="36"/>
        <v>0</v>
      </c>
      <c r="AR124" s="29">
        <f t="shared" si="37"/>
        <v>1.036635416394613E-2</v>
      </c>
      <c r="AT124" s="12"/>
      <c r="AU124">
        <f t="shared" si="30"/>
        <v>0</v>
      </c>
      <c r="AV124">
        <f t="shared" si="31"/>
        <v>0</v>
      </c>
      <c r="AW124">
        <f t="shared" si="38"/>
        <v>0</v>
      </c>
      <c r="AX124">
        <f t="shared" si="25"/>
        <v>0</v>
      </c>
      <c r="AY124">
        <f t="shared" si="39"/>
        <v>0</v>
      </c>
      <c r="AZ124" s="28">
        <f t="shared" si="32"/>
        <v>0</v>
      </c>
      <c r="BA124" s="28">
        <f t="shared" si="33"/>
        <v>0</v>
      </c>
      <c r="BB124" s="28">
        <f t="shared" si="40"/>
        <v>0</v>
      </c>
      <c r="BC124" s="29">
        <f t="shared" si="41"/>
        <v>1.0247873441356583E-2</v>
      </c>
      <c r="BE124" s="29">
        <f t="shared" si="42"/>
        <v>0</v>
      </c>
      <c r="BF124" s="29">
        <f t="shared" si="43"/>
        <v>2.061422760530271E-2</v>
      </c>
      <c r="BH124" s="29"/>
    </row>
    <row r="125" spans="1:60" x14ac:dyDescent="0.25">
      <c r="A125" s="1">
        <v>46204</v>
      </c>
      <c r="B125" s="33">
        <v>25.28</v>
      </c>
      <c r="C125" s="33">
        <v>25.3</v>
      </c>
      <c r="D125" s="15">
        <v>-7.9082645481787304E-4</v>
      </c>
      <c r="E125" s="15">
        <v>-4.3384015985981298E-3</v>
      </c>
      <c r="F125" s="33">
        <v>0</v>
      </c>
      <c r="G125" s="33">
        <v>0.80900000000000005</v>
      </c>
      <c r="H125" s="33">
        <v>0.13281200000000001</v>
      </c>
      <c r="I125" s="33">
        <v>0.776559</v>
      </c>
      <c r="J125" s="33">
        <v>0.80900000000000005</v>
      </c>
      <c r="K125" s="33">
        <v>0.776559</v>
      </c>
      <c r="L125" s="33">
        <v>26.088999999999999</v>
      </c>
      <c r="M125" s="33">
        <v>26.076559</v>
      </c>
      <c r="N125" s="34">
        <v>1.0007911392405</v>
      </c>
      <c r="O125" s="34">
        <v>1.0011576279691501</v>
      </c>
      <c r="P125" s="34">
        <v>1.0039623441096801</v>
      </c>
      <c r="Q125" s="34">
        <v>1.0014875888349799</v>
      </c>
      <c r="R125" s="33">
        <v>25.309264835060201</v>
      </c>
      <c r="S125" s="33">
        <v>25.375185754727799</v>
      </c>
      <c r="T125" s="33">
        <v>25.3166062457483</v>
      </c>
      <c r="U125" s="15">
        <v>3.66131979745861E-4</v>
      </c>
      <c r="V125" s="15">
        <v>2.9673619850483302E-3</v>
      </c>
      <c r="W125" s="15">
        <v>6.5615803096495402E-4</v>
      </c>
      <c r="X125" s="34">
        <v>0.99952313235463197</v>
      </c>
      <c r="Y125" s="34">
        <v>0.99838446436414396</v>
      </c>
      <c r="Z125" s="34">
        <v>0.99906506803842599</v>
      </c>
      <c r="AA125" s="34">
        <v>0.99852777256059</v>
      </c>
      <c r="AB125" s="33">
        <v>26.0468522907961</v>
      </c>
      <c r="AC125" s="33">
        <v>26.060129992275499</v>
      </c>
      <c r="AD125" s="33">
        <v>26.049848470666699</v>
      </c>
      <c r="AE125" s="15">
        <v>-1.1398606378445501E-3</v>
      </c>
      <c r="AF125" s="15">
        <v>-6.3022829358076E-4</v>
      </c>
      <c r="AG125" s="15">
        <v>-1.02483685207383E-3</v>
      </c>
      <c r="AI125" s="12"/>
      <c r="AJ125">
        <f t="shared" si="26"/>
        <v>1</v>
      </c>
      <c r="AK125">
        <f t="shared" si="27"/>
        <v>0</v>
      </c>
      <c r="AL125">
        <f t="shared" si="34"/>
        <v>0</v>
      </c>
      <c r="AM125">
        <f t="shared" si="24"/>
        <v>1</v>
      </c>
      <c r="AN125">
        <f t="shared" si="35"/>
        <v>0</v>
      </c>
      <c r="AO125" s="28">
        <f t="shared" si="28"/>
        <v>0</v>
      </c>
      <c r="AP125" s="28">
        <f t="shared" si="29"/>
        <v>0</v>
      </c>
      <c r="AQ125" s="28">
        <f t="shared" si="36"/>
        <v>0</v>
      </c>
      <c r="AR125" s="29">
        <f t="shared" si="37"/>
        <v>1.036635416394613E-2</v>
      </c>
      <c r="AT125" s="12"/>
      <c r="AU125">
        <f t="shared" si="30"/>
        <v>0</v>
      </c>
      <c r="AV125">
        <f t="shared" si="31"/>
        <v>1</v>
      </c>
      <c r="AW125">
        <f t="shared" si="38"/>
        <v>0</v>
      </c>
      <c r="AX125">
        <f t="shared" si="25"/>
        <v>1</v>
      </c>
      <c r="AY125">
        <f t="shared" si="39"/>
        <v>0</v>
      </c>
      <c r="AZ125" s="28">
        <f t="shared" si="32"/>
        <v>0</v>
      </c>
      <c r="BA125" s="28">
        <f t="shared" si="33"/>
        <v>0</v>
      </c>
      <c r="BB125" s="28">
        <f t="shared" si="40"/>
        <v>0</v>
      </c>
      <c r="BC125" s="29">
        <f t="shared" si="41"/>
        <v>1.0247873441356583E-2</v>
      </c>
      <c r="BE125" s="29">
        <f t="shared" si="42"/>
        <v>0</v>
      </c>
      <c r="BF125" s="29">
        <f t="shared" si="43"/>
        <v>2.061422760530271E-2</v>
      </c>
      <c r="BH125" s="29"/>
    </row>
    <row r="126" spans="1:60" x14ac:dyDescent="0.25">
      <c r="A126" s="1">
        <v>46205</v>
      </c>
      <c r="B126" s="33">
        <v>25.34</v>
      </c>
      <c r="C126" s="33">
        <v>25.36</v>
      </c>
      <c r="D126" s="15">
        <v>2.3706056143362199E-3</v>
      </c>
      <c r="E126" s="15">
        <v>2.3687338355506101E-3</v>
      </c>
      <c r="F126" s="33">
        <v>0</v>
      </c>
      <c r="G126" s="33">
        <v>0.80900000000000005</v>
      </c>
      <c r="H126" s="33">
        <v>0</v>
      </c>
      <c r="I126" s="33">
        <v>0.776559</v>
      </c>
      <c r="J126" s="33">
        <v>0.80900000000000005</v>
      </c>
      <c r="K126" s="33">
        <v>0.776559</v>
      </c>
      <c r="L126" s="33">
        <v>26.149000000000001</v>
      </c>
      <c r="M126" s="33">
        <v>26.136558999999998</v>
      </c>
      <c r="N126" s="34">
        <v>1.0007892659826301</v>
      </c>
      <c r="O126" s="34">
        <v>1.0011576279691501</v>
      </c>
      <c r="P126" s="34">
        <v>1.0040017606328699</v>
      </c>
      <c r="Q126" s="34">
        <v>1.00156654660488</v>
      </c>
      <c r="R126" s="33">
        <v>25.369334292738401</v>
      </c>
      <c r="S126" s="33">
        <v>25.440405799739398</v>
      </c>
      <c r="T126" s="33">
        <v>25.377695501078399</v>
      </c>
      <c r="U126" s="15">
        <v>3.6800375853149401E-4</v>
      </c>
      <c r="V126" s="15">
        <v>3.16556002329449E-3</v>
      </c>
      <c r="W126" s="15">
        <v>6.9752879476193302E-4</v>
      </c>
      <c r="X126" s="34">
        <v>0.99952422654786</v>
      </c>
      <c r="Y126" s="34">
        <v>0.99838446436414396</v>
      </c>
      <c r="Z126" s="34">
        <v>0.99908389691314203</v>
      </c>
      <c r="AA126" s="34">
        <v>0.99859488650812001</v>
      </c>
      <c r="AB126" s="33">
        <v>26.106755358657999</v>
      </c>
      <c r="AC126" s="33">
        <v>26.124552464136801</v>
      </c>
      <c r="AD126" s="33">
        <v>26.1105027246868</v>
      </c>
      <c r="AE126" s="15">
        <v>-1.14095535250763E-3</v>
      </c>
      <c r="AF126" s="15">
        <v>-4.5948261481777199E-4</v>
      </c>
      <c r="AG126" s="15">
        <v>-9.9742556282370509E-4</v>
      </c>
      <c r="AI126" s="12"/>
      <c r="AJ126">
        <f t="shared" si="26"/>
        <v>0</v>
      </c>
      <c r="AK126">
        <f t="shared" si="27"/>
        <v>0</v>
      </c>
      <c r="AL126">
        <f t="shared" si="34"/>
        <v>1</v>
      </c>
      <c r="AM126">
        <f t="shared" si="24"/>
        <v>1</v>
      </c>
      <c r="AN126">
        <f t="shared" si="35"/>
        <v>1</v>
      </c>
      <c r="AO126" s="28">
        <f t="shared" si="28"/>
        <v>2.3706056143362199E-3</v>
      </c>
      <c r="AP126" s="28">
        <f t="shared" si="29"/>
        <v>-2.3687338355506101E-3</v>
      </c>
      <c r="AQ126" s="28">
        <f t="shared" si="36"/>
        <v>1.8717787856098629E-6</v>
      </c>
      <c r="AR126" s="29">
        <f t="shared" si="37"/>
        <v>1.036822594273174E-2</v>
      </c>
      <c r="AT126" s="12"/>
      <c r="AU126">
        <f t="shared" si="30"/>
        <v>0</v>
      </c>
      <c r="AV126">
        <f t="shared" si="31"/>
        <v>1</v>
      </c>
      <c r="AW126">
        <f t="shared" si="38"/>
        <v>0</v>
      </c>
      <c r="AX126">
        <f t="shared" si="25"/>
        <v>1</v>
      </c>
      <c r="AY126">
        <f t="shared" si="39"/>
        <v>0</v>
      </c>
      <c r="AZ126" s="28">
        <f t="shared" si="32"/>
        <v>0</v>
      </c>
      <c r="BA126" s="28">
        <f t="shared" si="33"/>
        <v>0</v>
      </c>
      <c r="BB126" s="28">
        <f t="shared" si="40"/>
        <v>0</v>
      </c>
      <c r="BC126" s="29">
        <f t="shared" si="41"/>
        <v>1.0247873441356583E-2</v>
      </c>
      <c r="BE126" s="29">
        <f t="shared" si="42"/>
        <v>1.8717787856098629E-6</v>
      </c>
      <c r="BF126" s="29">
        <f t="shared" si="43"/>
        <v>2.0616099384088319E-2</v>
      </c>
      <c r="BH126" s="29"/>
    </row>
    <row r="127" spans="1:60" x14ac:dyDescent="0.25">
      <c r="A127" s="1">
        <v>46209</v>
      </c>
      <c r="B127" s="33">
        <v>25.37</v>
      </c>
      <c r="C127" s="33">
        <v>25.39</v>
      </c>
      <c r="D127" s="15">
        <v>1.18319871819761E-3</v>
      </c>
      <c r="E127" s="15">
        <v>1.1822661475619899E-3</v>
      </c>
      <c r="F127" s="33">
        <v>0</v>
      </c>
      <c r="G127" s="33">
        <v>0.80900000000000005</v>
      </c>
      <c r="H127" s="33">
        <v>0</v>
      </c>
      <c r="I127" s="33">
        <v>0.776559</v>
      </c>
      <c r="J127" s="33">
        <v>0.80900000000000005</v>
      </c>
      <c r="K127" s="33">
        <v>0.776559</v>
      </c>
      <c r="L127" s="33">
        <v>26.178999999999998</v>
      </c>
      <c r="M127" s="33">
        <v>26.166558999999999</v>
      </c>
      <c r="N127" s="34">
        <v>1.00078833267638</v>
      </c>
      <c r="O127" s="34">
        <v>1.0011576279691501</v>
      </c>
      <c r="P127" s="34">
        <v>1.0041593030701299</v>
      </c>
      <c r="Q127" s="34">
        <v>1.0016256871045801</v>
      </c>
      <c r="R127" s="33">
        <v>25.3993690215774</v>
      </c>
      <c r="S127" s="33">
        <v>25.471524667256102</v>
      </c>
      <c r="T127" s="33">
        <v>25.409743287365998</v>
      </c>
      <c r="U127" s="15">
        <v>3.6893632916696202E-4</v>
      </c>
      <c r="V127" s="15">
        <v>3.2057527810086298E-3</v>
      </c>
      <c r="W127" s="15">
        <v>7.7729874532615002E-4</v>
      </c>
      <c r="X127" s="34">
        <v>0.99952477176362697</v>
      </c>
      <c r="Y127" s="34">
        <v>0.99838446436414396</v>
      </c>
      <c r="Z127" s="34">
        <v>0.99921755195845197</v>
      </c>
      <c r="AA127" s="34">
        <v>0.99864270766422802</v>
      </c>
      <c r="AB127" s="33">
        <v>26.136706892588901</v>
      </c>
      <c r="AC127" s="33">
        <v>26.155017337289099</v>
      </c>
      <c r="AD127" s="33">
        <v>26.142215533896099</v>
      </c>
      <c r="AE127" s="15">
        <v>-1.1415008276486199E-3</v>
      </c>
      <c r="AF127" s="15">
        <v>-4.4118177264524001E-4</v>
      </c>
      <c r="AG127" s="15">
        <v>-9.3076039644365404E-4</v>
      </c>
      <c r="AI127" s="12"/>
      <c r="AJ127">
        <f t="shared" si="26"/>
        <v>0</v>
      </c>
      <c r="AK127">
        <f t="shared" si="27"/>
        <v>0</v>
      </c>
      <c r="AL127">
        <f t="shared" si="34"/>
        <v>1</v>
      </c>
      <c r="AM127">
        <f t="shared" si="24"/>
        <v>1</v>
      </c>
      <c r="AN127">
        <f t="shared" si="35"/>
        <v>1</v>
      </c>
      <c r="AO127" s="28">
        <f t="shared" si="28"/>
        <v>1.18319871819761E-3</v>
      </c>
      <c r="AP127" s="28">
        <f t="shared" si="29"/>
        <v>-1.1822661475619899E-3</v>
      </c>
      <c r="AQ127" s="28">
        <f t="shared" si="36"/>
        <v>9.3257063562006588E-7</v>
      </c>
      <c r="AR127" s="29">
        <f t="shared" si="37"/>
        <v>1.0369158513367361E-2</v>
      </c>
      <c r="AT127" s="12"/>
      <c r="AU127">
        <f t="shared" si="30"/>
        <v>0</v>
      </c>
      <c r="AV127">
        <f t="shared" si="31"/>
        <v>1</v>
      </c>
      <c r="AW127">
        <f t="shared" si="38"/>
        <v>0</v>
      </c>
      <c r="AX127">
        <f t="shared" si="25"/>
        <v>1</v>
      </c>
      <c r="AY127">
        <f t="shared" si="39"/>
        <v>0</v>
      </c>
      <c r="AZ127" s="28">
        <f t="shared" si="32"/>
        <v>0</v>
      </c>
      <c r="BA127" s="28">
        <f t="shared" si="33"/>
        <v>0</v>
      </c>
      <c r="BB127" s="28">
        <f t="shared" si="40"/>
        <v>0</v>
      </c>
      <c r="BC127" s="29">
        <f t="shared" si="41"/>
        <v>1.0247873441356583E-2</v>
      </c>
      <c r="BE127" s="29">
        <f t="shared" si="42"/>
        <v>9.3257063562006588E-7</v>
      </c>
      <c r="BF127" s="29">
        <f t="shared" si="43"/>
        <v>2.061703195472394E-2</v>
      </c>
      <c r="BH127" s="29"/>
    </row>
    <row r="128" spans="1:60" x14ac:dyDescent="0.25">
      <c r="A128" s="1">
        <v>46210</v>
      </c>
      <c r="B128" s="33">
        <v>25.36</v>
      </c>
      <c r="C128" s="33">
        <v>25.36</v>
      </c>
      <c r="D128" s="15">
        <v>-3.9424404216539198E-4</v>
      </c>
      <c r="E128" s="15">
        <v>-1.1822661475618999E-3</v>
      </c>
      <c r="F128" s="33">
        <v>0</v>
      </c>
      <c r="G128" s="33">
        <v>0.80900000000000005</v>
      </c>
      <c r="H128" s="33">
        <v>0</v>
      </c>
      <c r="I128" s="33">
        <v>0.776559</v>
      </c>
      <c r="J128" s="33">
        <v>0.80900000000000005</v>
      </c>
      <c r="K128" s="33">
        <v>0.776559</v>
      </c>
      <c r="L128" s="33">
        <v>26.169</v>
      </c>
      <c r="M128" s="33">
        <v>26.136558999999998</v>
      </c>
      <c r="N128" s="34">
        <v>1</v>
      </c>
      <c r="O128" s="34">
        <v>1.0011576279691501</v>
      </c>
      <c r="P128" s="34">
        <v>1.00356477274908</v>
      </c>
      <c r="Q128" s="34">
        <v>1.00172469700557</v>
      </c>
      <c r="R128" s="33">
        <v>25.389357445297801</v>
      </c>
      <c r="S128" s="33">
        <v>25.465479925858599</v>
      </c>
      <c r="T128" s="33">
        <v>25.401227424972198</v>
      </c>
      <c r="U128" s="15">
        <v>1.1569584345636401E-3</v>
      </c>
      <c r="V128" s="15">
        <v>4.1506770795884896E-3</v>
      </c>
      <c r="W128" s="15">
        <v>1.6243671057146599E-3</v>
      </c>
      <c r="X128" s="34">
        <v>0.99876032710458895</v>
      </c>
      <c r="Y128" s="34">
        <v>0.99838446436414396</v>
      </c>
      <c r="Z128" s="34">
        <v>0.999152162187249</v>
      </c>
      <c r="AA128" s="34">
        <v>0.99872974026111405</v>
      </c>
      <c r="AB128" s="33">
        <v>26.126723047945301</v>
      </c>
      <c r="AC128" s="33">
        <v>26.148524117200701</v>
      </c>
      <c r="AD128" s="33">
        <v>26.133481016865101</v>
      </c>
      <c r="AE128" s="15">
        <v>-3.7640009526384102E-4</v>
      </c>
      <c r="AF128" s="15">
        <v>4.5768761169575402E-4</v>
      </c>
      <c r="AG128" s="15">
        <v>-1.1777236586680199E-4</v>
      </c>
      <c r="AI128" s="12"/>
      <c r="AJ128">
        <f t="shared" si="26"/>
        <v>0</v>
      </c>
      <c r="AK128">
        <f t="shared" si="27"/>
        <v>1</v>
      </c>
      <c r="AL128">
        <f t="shared" si="34"/>
        <v>1</v>
      </c>
      <c r="AM128">
        <f t="shared" si="24"/>
        <v>1</v>
      </c>
      <c r="AN128">
        <f t="shared" si="35"/>
        <v>1</v>
      </c>
      <c r="AO128" s="28">
        <f t="shared" si="28"/>
        <v>-3.9424404216539198E-4</v>
      </c>
      <c r="AP128" s="28">
        <f t="shared" si="29"/>
        <v>1.1822661475618999E-3</v>
      </c>
      <c r="AQ128" s="28">
        <f t="shared" si="36"/>
        <v>7.8802210539650791E-4</v>
      </c>
      <c r="AR128" s="29">
        <f t="shared" si="37"/>
        <v>1.1157180618763869E-2</v>
      </c>
      <c r="AT128" s="12"/>
      <c r="AU128">
        <f t="shared" si="30"/>
        <v>0</v>
      </c>
      <c r="AV128">
        <f t="shared" si="31"/>
        <v>1</v>
      </c>
      <c r="AW128">
        <f t="shared" si="38"/>
        <v>0</v>
      </c>
      <c r="AX128">
        <f t="shared" si="25"/>
        <v>1</v>
      </c>
      <c r="AY128">
        <f t="shared" si="39"/>
        <v>0</v>
      </c>
      <c r="AZ128" s="28">
        <f t="shared" si="32"/>
        <v>0</v>
      </c>
      <c r="BA128" s="28">
        <f t="shared" si="33"/>
        <v>0</v>
      </c>
      <c r="BB128" s="28">
        <f t="shared" si="40"/>
        <v>0</v>
      </c>
      <c r="BC128" s="29">
        <f t="shared" si="41"/>
        <v>1.0247873441356583E-2</v>
      </c>
      <c r="BE128" s="29">
        <f t="shared" si="42"/>
        <v>7.8802210539650791E-4</v>
      </c>
      <c r="BF128" s="29">
        <f t="shared" si="43"/>
        <v>2.1405054060120447E-2</v>
      </c>
      <c r="BH128" s="29"/>
    </row>
    <row r="129" spans="1:60" x14ac:dyDescent="0.25">
      <c r="A129" s="1">
        <v>46211</v>
      </c>
      <c r="B129" s="33">
        <v>25.32</v>
      </c>
      <c r="C129" s="33">
        <v>25.24</v>
      </c>
      <c r="D129" s="15">
        <v>-1.57853229304972E-3</v>
      </c>
      <c r="E129" s="15">
        <v>-4.7430918960128399E-3</v>
      </c>
      <c r="F129" s="33">
        <v>0</v>
      </c>
      <c r="G129" s="33">
        <v>0.80900000000000005</v>
      </c>
      <c r="H129" s="33">
        <v>0</v>
      </c>
      <c r="I129" s="33">
        <v>0.776559</v>
      </c>
      <c r="J129" s="33">
        <v>0.80900000000000005</v>
      </c>
      <c r="K129" s="33">
        <v>0.776559</v>
      </c>
      <c r="L129" s="33">
        <v>26.129000000000001</v>
      </c>
      <c r="M129" s="33">
        <v>26.016558999999901</v>
      </c>
      <c r="N129" s="34">
        <v>0.99684044233807201</v>
      </c>
      <c r="O129" s="34">
        <v>1.0011576279691501</v>
      </c>
      <c r="P129" s="34">
        <v>1.0027335573713201</v>
      </c>
      <c r="Q129" s="34">
        <v>1.0016260780460999</v>
      </c>
      <c r="R129" s="33">
        <v>25.349311140179001</v>
      </c>
      <c r="S129" s="33">
        <v>25.410260046006901</v>
      </c>
      <c r="T129" s="33">
        <v>25.3636693281811</v>
      </c>
      <c r="U129" s="15">
        <v>4.3215180375266197E-3</v>
      </c>
      <c r="V129" s="15">
        <v>6.72299360932797E-3</v>
      </c>
      <c r="W129" s="15">
        <v>4.8877710265323501E-3</v>
      </c>
      <c r="X129" s="34">
        <v>0.99569669715641596</v>
      </c>
      <c r="Y129" s="34">
        <v>0.99838446436414396</v>
      </c>
      <c r="Z129" s="34">
        <v>0.99885721728635402</v>
      </c>
      <c r="AA129" s="34">
        <v>0.99862492745693299</v>
      </c>
      <c r="AB129" s="33">
        <v>26.0867876693707</v>
      </c>
      <c r="AC129" s="33">
        <v>26.106846845790599</v>
      </c>
      <c r="AD129" s="33">
        <v>26.095809383282599</v>
      </c>
      <c r="AE129" s="15">
        <v>2.6957466799967899E-3</v>
      </c>
      <c r="AF129" s="15">
        <v>3.4643912702359901E-3</v>
      </c>
      <c r="AG129" s="15">
        <v>3.0415214980926701E-3</v>
      </c>
      <c r="AI129" s="12"/>
      <c r="AJ129">
        <f t="shared" si="26"/>
        <v>0</v>
      </c>
      <c r="AK129">
        <f t="shared" si="27"/>
        <v>1</v>
      </c>
      <c r="AL129">
        <f t="shared" si="34"/>
        <v>0</v>
      </c>
      <c r="AM129">
        <f t="shared" si="24"/>
        <v>1</v>
      </c>
      <c r="AN129">
        <f t="shared" si="35"/>
        <v>0</v>
      </c>
      <c r="AO129" s="28">
        <f t="shared" si="28"/>
        <v>0</v>
      </c>
      <c r="AP129" s="28">
        <f t="shared" si="29"/>
        <v>0</v>
      </c>
      <c r="AQ129" s="28">
        <f t="shared" si="36"/>
        <v>0</v>
      </c>
      <c r="AR129" s="29">
        <f t="shared" si="37"/>
        <v>1.1157180618763869E-2</v>
      </c>
      <c r="AT129" s="12"/>
      <c r="AU129">
        <f t="shared" si="30"/>
        <v>1</v>
      </c>
      <c r="AV129">
        <f t="shared" si="31"/>
        <v>0</v>
      </c>
      <c r="AW129">
        <f t="shared" si="38"/>
        <v>0</v>
      </c>
      <c r="AX129">
        <f t="shared" si="25"/>
        <v>1</v>
      </c>
      <c r="AY129">
        <f t="shared" si="39"/>
        <v>0</v>
      </c>
      <c r="AZ129" s="28">
        <f t="shared" si="32"/>
        <v>0</v>
      </c>
      <c r="BA129" s="28">
        <f t="shared" si="33"/>
        <v>0</v>
      </c>
      <c r="BB129" s="28">
        <f t="shared" si="40"/>
        <v>0</v>
      </c>
      <c r="BC129" s="29">
        <f t="shared" si="41"/>
        <v>1.0247873441356583E-2</v>
      </c>
      <c r="BE129" s="29">
        <f t="shared" si="42"/>
        <v>0</v>
      </c>
      <c r="BF129" s="29">
        <f t="shared" si="43"/>
        <v>2.1405054060120447E-2</v>
      </c>
      <c r="BH129" s="29"/>
    </row>
    <row r="130" spans="1:60" x14ac:dyDescent="0.25">
      <c r="A130" s="1">
        <v>46212</v>
      </c>
      <c r="B130" s="33">
        <v>25.34</v>
      </c>
      <c r="C130" s="33">
        <v>25.36</v>
      </c>
      <c r="D130" s="15">
        <v>7.8957761701758196E-4</v>
      </c>
      <c r="E130" s="15">
        <v>4.7430918960128503E-3</v>
      </c>
      <c r="F130" s="33">
        <v>0</v>
      </c>
      <c r="G130" s="33">
        <v>0.80900000000000005</v>
      </c>
      <c r="H130" s="33">
        <v>0</v>
      </c>
      <c r="I130" s="33">
        <v>0.776559</v>
      </c>
      <c r="J130" s="33">
        <v>0.80900000000000005</v>
      </c>
      <c r="K130" s="33">
        <v>0.776559</v>
      </c>
      <c r="L130" s="33">
        <v>26.149000000000001</v>
      </c>
      <c r="M130" s="33">
        <v>26.136558999999998</v>
      </c>
      <c r="N130" s="34">
        <v>1.0007892659826301</v>
      </c>
      <c r="O130" s="34">
        <v>1.0011576279691501</v>
      </c>
      <c r="P130" s="34">
        <v>1.00217806684032</v>
      </c>
      <c r="Q130" s="34">
        <v>1.00176435557448</v>
      </c>
      <c r="R130" s="33">
        <v>25.369334292738401</v>
      </c>
      <c r="S130" s="33">
        <v>25.4092683437893</v>
      </c>
      <c r="T130" s="33">
        <v>25.3812048176882</v>
      </c>
      <c r="U130" s="15">
        <v>3.6800375853149401E-4</v>
      </c>
      <c r="V130" s="15">
        <v>1.94087332209766E-3</v>
      </c>
      <c r="W130" s="15">
        <v>8.3580273660749599E-4</v>
      </c>
      <c r="X130" s="34">
        <v>0.99952422654786</v>
      </c>
      <c r="Y130" s="34">
        <v>0.99838446436414396</v>
      </c>
      <c r="Z130" s="34">
        <v>0.99882982127734099</v>
      </c>
      <c r="AA130" s="34">
        <v>0.99874986813629596</v>
      </c>
      <c r="AB130" s="33">
        <v>26.106755358657999</v>
      </c>
      <c r="AC130" s="33">
        <v>26.119117374820799</v>
      </c>
      <c r="AD130" s="33">
        <v>26.113043228071302</v>
      </c>
      <c r="AE130" s="15">
        <v>-1.14095535250763E-3</v>
      </c>
      <c r="AF130" s="15">
        <v>-6.6754951947121098E-4</v>
      </c>
      <c r="AG130" s="15">
        <v>-9.0013215464414796E-4</v>
      </c>
      <c r="AI130" s="12"/>
      <c r="AJ130">
        <f t="shared" si="26"/>
        <v>0</v>
      </c>
      <c r="AK130">
        <f t="shared" si="27"/>
        <v>0</v>
      </c>
      <c r="AL130">
        <f t="shared" si="34"/>
        <v>0</v>
      </c>
      <c r="AM130">
        <f t="shared" si="24"/>
        <v>1</v>
      </c>
      <c r="AN130">
        <f t="shared" si="35"/>
        <v>0</v>
      </c>
      <c r="AO130" s="28">
        <f t="shared" si="28"/>
        <v>0</v>
      </c>
      <c r="AP130" s="28">
        <f t="shared" si="29"/>
        <v>0</v>
      </c>
      <c r="AQ130" s="28">
        <f t="shared" si="36"/>
        <v>0</v>
      </c>
      <c r="AR130" s="29">
        <f t="shared" si="37"/>
        <v>1.1157180618763869E-2</v>
      </c>
      <c r="AT130" s="12"/>
      <c r="AU130">
        <f t="shared" si="30"/>
        <v>0</v>
      </c>
      <c r="AV130">
        <f t="shared" si="31"/>
        <v>1</v>
      </c>
      <c r="AW130">
        <f t="shared" si="38"/>
        <v>1</v>
      </c>
      <c r="AX130">
        <f t="shared" si="25"/>
        <v>1</v>
      </c>
      <c r="AY130">
        <f t="shared" si="39"/>
        <v>1</v>
      </c>
      <c r="AZ130" s="28">
        <f t="shared" si="32"/>
        <v>-7.8957761701758196E-4</v>
      </c>
      <c r="BA130" s="28">
        <f t="shared" si="33"/>
        <v>4.7430918960128503E-3</v>
      </c>
      <c r="BB130" s="28">
        <f t="shared" si="40"/>
        <v>3.9535142789952687E-3</v>
      </c>
      <c r="BC130" s="29">
        <f t="shared" si="41"/>
        <v>1.420138772035185E-2</v>
      </c>
      <c r="BE130" s="29">
        <f t="shared" si="42"/>
        <v>3.9535142789952687E-3</v>
      </c>
      <c r="BF130" s="29">
        <f t="shared" si="43"/>
        <v>2.5358568339115716E-2</v>
      </c>
      <c r="BH130" s="29"/>
    </row>
    <row r="131" spans="1:60" x14ac:dyDescent="0.25">
      <c r="A131" s="1">
        <v>46213</v>
      </c>
      <c r="B131" s="33">
        <v>25.32</v>
      </c>
      <c r="C131" s="33">
        <v>25.3</v>
      </c>
      <c r="D131" s="15">
        <v>-7.8957761701758499E-4</v>
      </c>
      <c r="E131" s="15">
        <v>-2.3687338355506001E-3</v>
      </c>
      <c r="F131" s="33">
        <v>0</v>
      </c>
      <c r="G131" s="33">
        <v>0.80900000000000005</v>
      </c>
      <c r="H131" s="33">
        <v>0</v>
      </c>
      <c r="I131" s="33">
        <v>0.776559</v>
      </c>
      <c r="J131" s="33">
        <v>0.80900000000000005</v>
      </c>
      <c r="K131" s="33">
        <v>0.776559</v>
      </c>
      <c r="L131" s="33">
        <v>26.129000000000001</v>
      </c>
      <c r="M131" s="33">
        <v>26.076559</v>
      </c>
      <c r="N131" s="34">
        <v>0.99921011058451803</v>
      </c>
      <c r="O131" s="34">
        <v>1.0011576279691501</v>
      </c>
      <c r="P131" s="34">
        <v>1.0014644091165401</v>
      </c>
      <c r="Q131" s="34">
        <v>1.00174467092938</v>
      </c>
      <c r="R131" s="33">
        <v>25.349311140179001</v>
      </c>
      <c r="S131" s="33">
        <v>25.375148652397002</v>
      </c>
      <c r="T131" s="33">
        <v>25.3646734831459</v>
      </c>
      <c r="U131" s="15">
        <v>1.9471599770644399E-3</v>
      </c>
      <c r="V131" s="15">
        <v>2.9658998338600801E-3</v>
      </c>
      <c r="W131" s="15">
        <v>2.5530024700540599E-3</v>
      </c>
      <c r="X131" s="34">
        <v>0.99799299628764904</v>
      </c>
      <c r="Y131" s="34">
        <v>0.99838446436414396</v>
      </c>
      <c r="Z131" s="34">
        <v>0.99864930999869295</v>
      </c>
      <c r="AA131" s="34">
        <v>0.99872140440816703</v>
      </c>
      <c r="AB131" s="33">
        <v>26.0867876693707</v>
      </c>
      <c r="AC131" s="33">
        <v>26.098424400155601</v>
      </c>
      <c r="AD131" s="33">
        <v>26.096335304533198</v>
      </c>
      <c r="AE131" s="15">
        <v>3.9217842239576401E-4</v>
      </c>
      <c r="AF131" s="15">
        <v>8.38156526779261E-4</v>
      </c>
      <c r="AG131" s="15">
        <v>7.5810651274243503E-4</v>
      </c>
      <c r="AI131" s="12"/>
      <c r="AJ131">
        <f t="shared" si="26"/>
        <v>0</v>
      </c>
      <c r="AK131">
        <f t="shared" si="27"/>
        <v>1</v>
      </c>
      <c r="AL131">
        <f t="shared" si="34"/>
        <v>0</v>
      </c>
      <c r="AM131">
        <f t="shared" si="24"/>
        <v>1</v>
      </c>
      <c r="AN131">
        <f t="shared" si="35"/>
        <v>0</v>
      </c>
      <c r="AO131" s="28">
        <f t="shared" si="28"/>
        <v>0</v>
      </c>
      <c r="AP131" s="28">
        <f t="shared" si="29"/>
        <v>0</v>
      </c>
      <c r="AQ131" s="28">
        <f t="shared" si="36"/>
        <v>0</v>
      </c>
      <c r="AR131" s="29">
        <f t="shared" si="37"/>
        <v>1.1157180618763869E-2</v>
      </c>
      <c r="AT131" s="12"/>
      <c r="AU131">
        <f t="shared" si="30"/>
        <v>0</v>
      </c>
      <c r="AV131">
        <f t="shared" si="31"/>
        <v>0</v>
      </c>
      <c r="AW131">
        <f t="shared" si="38"/>
        <v>0</v>
      </c>
      <c r="AX131">
        <f t="shared" si="25"/>
        <v>1</v>
      </c>
      <c r="AY131">
        <f t="shared" si="39"/>
        <v>0</v>
      </c>
      <c r="AZ131" s="28">
        <f t="shared" si="32"/>
        <v>0</v>
      </c>
      <c r="BA131" s="28">
        <f t="shared" si="33"/>
        <v>0</v>
      </c>
      <c r="BB131" s="28">
        <f t="shared" si="40"/>
        <v>0</v>
      </c>
      <c r="BC131" s="29">
        <f t="shared" si="41"/>
        <v>1.420138772035185E-2</v>
      </c>
      <c r="BE131" s="29">
        <f t="shared" si="42"/>
        <v>0</v>
      </c>
      <c r="BF131" s="29">
        <f t="shared" si="43"/>
        <v>2.5358568339115716E-2</v>
      </c>
      <c r="BH131" s="29"/>
    </row>
    <row r="132" spans="1:60" x14ac:dyDescent="0.25">
      <c r="A132" s="1">
        <v>46216</v>
      </c>
      <c r="B132" s="33">
        <v>25.27</v>
      </c>
      <c r="C132" s="33">
        <v>25.28</v>
      </c>
      <c r="D132" s="15">
        <v>-1.9766758758726398E-3</v>
      </c>
      <c r="E132" s="15">
        <v>-7.9082645481787304E-4</v>
      </c>
      <c r="F132" s="33">
        <v>0</v>
      </c>
      <c r="G132" s="33">
        <v>0.80900000000000005</v>
      </c>
      <c r="H132" s="33">
        <v>0</v>
      </c>
      <c r="I132" s="33">
        <v>0.776559</v>
      </c>
      <c r="J132" s="33">
        <v>0.80900000000000005</v>
      </c>
      <c r="K132" s="33">
        <v>0.776559</v>
      </c>
      <c r="L132" s="33">
        <v>26.079000000000001</v>
      </c>
      <c r="M132" s="33">
        <v>26.056559</v>
      </c>
      <c r="N132" s="34">
        <v>1.0003957261574901</v>
      </c>
      <c r="O132" s="34">
        <v>1.0011576279691501</v>
      </c>
      <c r="P132" s="34">
        <v>1.00090945141125</v>
      </c>
      <c r="Q132" s="34">
        <v>1.0018038428221301</v>
      </c>
      <c r="R132" s="33">
        <v>25.299253258780499</v>
      </c>
      <c r="S132" s="33">
        <v>25.307005618375101</v>
      </c>
      <c r="T132" s="33">
        <v>25.3140878343855</v>
      </c>
      <c r="U132" s="15">
        <v>7.6131055600986398E-4</v>
      </c>
      <c r="V132" s="15">
        <v>1.0676900366199699E-3</v>
      </c>
      <c r="W132" s="15">
        <v>1.3475028803794299E-3</v>
      </c>
      <c r="X132" s="34">
        <v>0.99913949921392597</v>
      </c>
      <c r="Y132" s="34">
        <v>0.99838446436414396</v>
      </c>
      <c r="Z132" s="34">
        <v>0.99862183743842303</v>
      </c>
      <c r="AA132" s="34">
        <v>0.99876903782402604</v>
      </c>
      <c r="AB132" s="33">
        <v>26.0368684461525</v>
      </c>
      <c r="AC132" s="33">
        <v>26.0437753554559</v>
      </c>
      <c r="AD132" s="33">
        <v>26.0456555055606</v>
      </c>
      <c r="AE132" s="15">
        <v>-7.55970791346959E-4</v>
      </c>
      <c r="AF132" s="15">
        <v>-4.9073177586198696E-4</v>
      </c>
      <c r="AG132" s="15">
        <v>-4.1854246319639697E-4</v>
      </c>
      <c r="AI132" s="12"/>
      <c r="AJ132">
        <f t="shared" si="26"/>
        <v>0</v>
      </c>
      <c r="AK132">
        <f t="shared" si="27"/>
        <v>0</v>
      </c>
      <c r="AL132">
        <f t="shared" si="34"/>
        <v>0</v>
      </c>
      <c r="AM132">
        <f t="shared" si="24"/>
        <v>1</v>
      </c>
      <c r="AN132">
        <f t="shared" si="35"/>
        <v>0</v>
      </c>
      <c r="AO132" s="28">
        <f t="shared" si="28"/>
        <v>0</v>
      </c>
      <c r="AP132" s="28">
        <f t="shared" si="29"/>
        <v>0</v>
      </c>
      <c r="AQ132" s="28">
        <f t="shared" si="36"/>
        <v>0</v>
      </c>
      <c r="AR132" s="29">
        <f t="shared" si="37"/>
        <v>1.1157180618763869E-2</v>
      </c>
      <c r="AT132" s="12"/>
      <c r="AU132">
        <f t="shared" si="30"/>
        <v>0</v>
      </c>
      <c r="AV132">
        <f t="shared" si="31"/>
        <v>1</v>
      </c>
      <c r="AW132">
        <f t="shared" si="38"/>
        <v>0</v>
      </c>
      <c r="AX132">
        <f t="shared" si="25"/>
        <v>1</v>
      </c>
      <c r="AY132">
        <f t="shared" si="39"/>
        <v>0</v>
      </c>
      <c r="AZ132" s="28">
        <f t="shared" si="32"/>
        <v>0</v>
      </c>
      <c r="BA132" s="28">
        <f t="shared" si="33"/>
        <v>0</v>
      </c>
      <c r="BB132" s="28">
        <f t="shared" si="40"/>
        <v>0</v>
      </c>
      <c r="BC132" s="29">
        <f t="shared" si="41"/>
        <v>1.420138772035185E-2</v>
      </c>
      <c r="BE132" s="29">
        <f t="shared" si="42"/>
        <v>0</v>
      </c>
      <c r="BF132" s="29">
        <f t="shared" si="43"/>
        <v>2.5358568339115716E-2</v>
      </c>
      <c r="BH132" s="29"/>
    </row>
    <row r="133" spans="1:60" x14ac:dyDescent="0.25">
      <c r="A133" s="1">
        <v>46217</v>
      </c>
      <c r="B133" s="33">
        <v>25.3</v>
      </c>
      <c r="C133" s="33">
        <v>25.21</v>
      </c>
      <c r="D133" s="15">
        <v>1.1864743333717101E-3</v>
      </c>
      <c r="E133" s="15">
        <v>-2.7728280788281699E-3</v>
      </c>
      <c r="F133" s="33">
        <v>0</v>
      </c>
      <c r="G133" s="33">
        <v>0.80900000000000005</v>
      </c>
      <c r="H133" s="33">
        <v>0</v>
      </c>
      <c r="I133" s="33">
        <v>0.776559</v>
      </c>
      <c r="J133" s="33">
        <v>0.80900000000000005</v>
      </c>
      <c r="K133" s="33">
        <v>0.776559</v>
      </c>
      <c r="L133" s="33">
        <v>26.109000000000002</v>
      </c>
      <c r="M133" s="33">
        <v>25.986559</v>
      </c>
      <c r="N133" s="34">
        <v>0.99644268774703504</v>
      </c>
      <c r="O133" s="34">
        <v>1.0011576279691501</v>
      </c>
      <c r="P133" s="34">
        <v>1.0000394796796199</v>
      </c>
      <c r="Q133" s="34">
        <v>1.0016456700019201</v>
      </c>
      <c r="R133" s="33">
        <v>25.329287987619601</v>
      </c>
      <c r="S133" s="33">
        <v>25.323009120704601</v>
      </c>
      <c r="T133" s="33">
        <v>25.345637223400001</v>
      </c>
      <c r="U133" s="15">
        <v>4.7206129682097796E-3</v>
      </c>
      <c r="V133" s="15">
        <v>4.4726926445275402E-3</v>
      </c>
      <c r="W133" s="15">
        <v>5.3658723851522502E-3</v>
      </c>
      <c r="X133" s="34">
        <v>0.99531039105289298</v>
      </c>
      <c r="Y133" s="34">
        <v>0.99838446436414396</v>
      </c>
      <c r="Z133" s="34">
        <v>0.99828800245884897</v>
      </c>
      <c r="AA133" s="34">
        <v>0.99860603007533999</v>
      </c>
      <c r="AB133" s="33">
        <v>26.066819980083402</v>
      </c>
      <c r="AC133" s="33">
        <v>26.073017553679801</v>
      </c>
      <c r="AD133" s="33">
        <v>26.076860808547501</v>
      </c>
      <c r="AE133" s="15">
        <v>3.0837976424044999E-3</v>
      </c>
      <c r="AF133" s="15">
        <v>3.32152656212062E-3</v>
      </c>
      <c r="AG133" s="15">
        <v>3.4689192309193002E-3</v>
      </c>
      <c r="AI133" s="12"/>
      <c r="AJ133">
        <f t="shared" si="26"/>
        <v>0</v>
      </c>
      <c r="AK133">
        <f t="shared" si="27"/>
        <v>1</v>
      </c>
      <c r="AL133">
        <f t="shared" si="34"/>
        <v>0</v>
      </c>
      <c r="AM133">
        <f t="shared" si="24"/>
        <v>1</v>
      </c>
      <c r="AN133">
        <f t="shared" si="35"/>
        <v>0</v>
      </c>
      <c r="AO133" s="28">
        <f t="shared" si="28"/>
        <v>0</v>
      </c>
      <c r="AP133" s="28">
        <f t="shared" si="29"/>
        <v>0</v>
      </c>
      <c r="AQ133" s="28">
        <f t="shared" si="36"/>
        <v>0</v>
      </c>
      <c r="AR133" s="29">
        <f t="shared" si="37"/>
        <v>1.1157180618763869E-2</v>
      </c>
      <c r="AT133" s="12"/>
      <c r="AU133">
        <f t="shared" si="30"/>
        <v>1</v>
      </c>
      <c r="AV133">
        <f t="shared" si="31"/>
        <v>0</v>
      </c>
      <c r="AW133">
        <f t="shared" si="38"/>
        <v>0</v>
      </c>
      <c r="AX133">
        <f t="shared" si="25"/>
        <v>1</v>
      </c>
      <c r="AY133">
        <f t="shared" si="39"/>
        <v>0</v>
      </c>
      <c r="AZ133" s="28">
        <f t="shared" si="32"/>
        <v>0</v>
      </c>
      <c r="BA133" s="28">
        <f t="shared" si="33"/>
        <v>0</v>
      </c>
      <c r="BB133" s="28">
        <f t="shared" si="40"/>
        <v>0</v>
      </c>
      <c r="BC133" s="29">
        <f t="shared" si="41"/>
        <v>1.420138772035185E-2</v>
      </c>
      <c r="BE133" s="29">
        <f t="shared" si="42"/>
        <v>0</v>
      </c>
      <c r="BF133" s="29">
        <f t="shared" si="43"/>
        <v>2.5358568339115716E-2</v>
      </c>
      <c r="BH133" s="29"/>
    </row>
    <row r="134" spans="1:60" x14ac:dyDescent="0.25">
      <c r="A134" s="1">
        <v>46218</v>
      </c>
      <c r="B134" s="33">
        <v>25.36</v>
      </c>
      <c r="C134" s="33">
        <v>25.38</v>
      </c>
      <c r="D134" s="15">
        <v>2.3687338355506101E-3</v>
      </c>
      <c r="E134" s="15">
        <v>6.7207210864131204E-3</v>
      </c>
      <c r="F134" s="33">
        <v>0</v>
      </c>
      <c r="G134" s="33">
        <v>0.80900000000000005</v>
      </c>
      <c r="H134" s="33">
        <v>0</v>
      </c>
      <c r="I134" s="33">
        <v>0.776559</v>
      </c>
      <c r="J134" s="33">
        <v>0.80900000000000005</v>
      </c>
      <c r="K134" s="33">
        <v>0.776559</v>
      </c>
      <c r="L134" s="33">
        <v>26.169</v>
      </c>
      <c r="M134" s="33">
        <v>26.156558999999898</v>
      </c>
      <c r="N134" s="34">
        <v>1.0007886435331199</v>
      </c>
      <c r="O134" s="34">
        <v>1.0011576279691501</v>
      </c>
      <c r="P134" s="34">
        <v>0.99968356142424097</v>
      </c>
      <c r="Q134" s="34">
        <v>1.0017244103546801</v>
      </c>
      <c r="R134" s="33">
        <v>25.389357445297801</v>
      </c>
      <c r="S134" s="33">
        <v>25.361001204675201</v>
      </c>
      <c r="T134" s="33">
        <v>25.401734191248799</v>
      </c>
      <c r="U134" s="15">
        <v>3.6862571734721199E-4</v>
      </c>
      <c r="V134" s="15">
        <v>-7.4885381689367798E-4</v>
      </c>
      <c r="W134" s="15">
        <v>8.5598465361768998E-4</v>
      </c>
      <c r="X134" s="34">
        <v>0.99952459016393402</v>
      </c>
      <c r="Y134" s="34">
        <v>0.99838446436414396</v>
      </c>
      <c r="Z134" s="34">
        <v>0.99845208581933897</v>
      </c>
      <c r="AA134" s="34">
        <v>0.99867274443666298</v>
      </c>
      <c r="AB134" s="33">
        <v>26.126723047945301</v>
      </c>
      <c r="AC134" s="33">
        <v>26.124198736345601</v>
      </c>
      <c r="AD134" s="33">
        <v>26.132521201041499</v>
      </c>
      <c r="AE134" s="15">
        <v>-1.1413191415967699E-3</v>
      </c>
      <c r="AF134" s="15">
        <v>-1.23794180452509E-3</v>
      </c>
      <c r="AG134" s="15">
        <v>-9.1941952542774004E-4</v>
      </c>
      <c r="AI134" s="12"/>
      <c r="AJ134">
        <f t="shared" si="26"/>
        <v>0</v>
      </c>
      <c r="AK134">
        <f t="shared" si="27"/>
        <v>0</v>
      </c>
      <c r="AL134">
        <f t="shared" si="34"/>
        <v>0</v>
      </c>
      <c r="AM134">
        <f t="shared" si="24"/>
        <v>1</v>
      </c>
      <c r="AN134">
        <f t="shared" si="35"/>
        <v>0</v>
      </c>
      <c r="AO134" s="28">
        <f t="shared" si="28"/>
        <v>0</v>
      </c>
      <c r="AP134" s="28">
        <f t="shared" si="29"/>
        <v>0</v>
      </c>
      <c r="AQ134" s="28">
        <f t="shared" si="36"/>
        <v>0</v>
      </c>
      <c r="AR134" s="29">
        <f t="shared" si="37"/>
        <v>1.1157180618763869E-2</v>
      </c>
      <c r="AT134" s="12"/>
      <c r="AU134">
        <f t="shared" si="30"/>
        <v>0</v>
      </c>
      <c r="AV134">
        <f t="shared" si="31"/>
        <v>1</v>
      </c>
      <c r="AW134">
        <f t="shared" si="38"/>
        <v>1</v>
      </c>
      <c r="AX134">
        <f t="shared" si="25"/>
        <v>1</v>
      </c>
      <c r="AY134">
        <f t="shared" si="39"/>
        <v>1</v>
      </c>
      <c r="AZ134" s="28">
        <f t="shared" si="32"/>
        <v>-2.3687338355506101E-3</v>
      </c>
      <c r="BA134" s="28">
        <f t="shared" si="33"/>
        <v>6.7207210864131204E-3</v>
      </c>
      <c r="BB134" s="28">
        <f t="shared" si="40"/>
        <v>4.3519872508625103E-3</v>
      </c>
      <c r="BC134" s="29">
        <f t="shared" si="41"/>
        <v>1.855337497121436E-2</v>
      </c>
      <c r="BE134" s="29">
        <f t="shared" si="42"/>
        <v>4.3519872508625103E-3</v>
      </c>
      <c r="BF134" s="29">
        <f t="shared" si="43"/>
        <v>2.9710555589978226E-2</v>
      </c>
      <c r="BH134" s="29"/>
    </row>
    <row r="135" spans="1:60" x14ac:dyDescent="0.25">
      <c r="A135" s="1">
        <v>46219</v>
      </c>
      <c r="B135" s="33">
        <v>25.36</v>
      </c>
      <c r="C135" s="33">
        <v>25.36</v>
      </c>
      <c r="D135" s="15">
        <v>0</v>
      </c>
      <c r="E135" s="15">
        <v>-7.8833271721642903E-4</v>
      </c>
      <c r="F135" s="33">
        <v>0</v>
      </c>
      <c r="G135" s="33">
        <v>0.80900000000000005</v>
      </c>
      <c r="H135" s="33">
        <v>0</v>
      </c>
      <c r="I135" s="33">
        <v>0.776559</v>
      </c>
      <c r="J135" s="33">
        <v>0.80900000000000005</v>
      </c>
      <c r="K135" s="33">
        <v>0.776559</v>
      </c>
      <c r="L135" s="33">
        <v>26.169</v>
      </c>
      <c r="M135" s="33">
        <v>26.136558999999998</v>
      </c>
      <c r="N135" s="34">
        <v>1</v>
      </c>
      <c r="O135" s="34">
        <v>1.0011576279691501</v>
      </c>
      <c r="P135" s="34">
        <v>0.99960444750019095</v>
      </c>
      <c r="Q135" s="34">
        <v>1.00178339580493</v>
      </c>
      <c r="R135" s="33">
        <v>25.389357445297801</v>
      </c>
      <c r="S135" s="33">
        <v>25.351975117718698</v>
      </c>
      <c r="T135" s="33">
        <v>25.4037310465947</v>
      </c>
      <c r="U135" s="15">
        <v>1.1569584345636401E-3</v>
      </c>
      <c r="V135" s="15">
        <v>-3.1648865300911198E-4</v>
      </c>
      <c r="W135" s="15">
        <v>1.7229252661692901E-3</v>
      </c>
      <c r="X135" s="34">
        <v>0.99876032710458895</v>
      </c>
      <c r="Y135" s="34">
        <v>0.99838446436414396</v>
      </c>
      <c r="Z135" s="34">
        <v>0.99837580529433401</v>
      </c>
      <c r="AA135" s="34">
        <v>0.99872043666638</v>
      </c>
      <c r="AB135" s="33">
        <v>26.126723047945301</v>
      </c>
      <c r="AC135" s="33">
        <v>26.1284926338062</v>
      </c>
      <c r="AD135" s="33">
        <v>26.134267049163</v>
      </c>
      <c r="AE135" s="15">
        <v>-3.7640009526384102E-4</v>
      </c>
      <c r="AF135" s="15">
        <v>-3.0867151205659401E-4</v>
      </c>
      <c r="AG135" s="15">
        <v>-8.7695221661844295E-5</v>
      </c>
      <c r="AI135" s="12"/>
      <c r="AJ135">
        <f t="shared" si="26"/>
        <v>0</v>
      </c>
      <c r="AK135">
        <f t="shared" si="27"/>
        <v>1</v>
      </c>
      <c r="AL135">
        <f t="shared" si="34"/>
        <v>0</v>
      </c>
      <c r="AM135">
        <f t="shared" si="24"/>
        <v>1</v>
      </c>
      <c r="AN135">
        <f t="shared" si="35"/>
        <v>0</v>
      </c>
      <c r="AO135" s="28">
        <f t="shared" si="28"/>
        <v>0</v>
      </c>
      <c r="AP135" s="28">
        <f t="shared" si="29"/>
        <v>0</v>
      </c>
      <c r="AQ135" s="28">
        <f t="shared" si="36"/>
        <v>0</v>
      </c>
      <c r="AR135" s="29">
        <f t="shared" si="37"/>
        <v>1.1157180618763869E-2</v>
      </c>
      <c r="AT135" s="12"/>
      <c r="AU135">
        <f t="shared" si="30"/>
        <v>0</v>
      </c>
      <c r="AV135">
        <f t="shared" si="31"/>
        <v>1</v>
      </c>
      <c r="AW135">
        <f t="shared" si="38"/>
        <v>0</v>
      </c>
      <c r="AX135">
        <f t="shared" si="25"/>
        <v>1</v>
      </c>
      <c r="AY135">
        <f t="shared" si="39"/>
        <v>0</v>
      </c>
      <c r="AZ135" s="28">
        <f t="shared" si="32"/>
        <v>0</v>
      </c>
      <c r="BA135" s="28">
        <f t="shared" si="33"/>
        <v>0</v>
      </c>
      <c r="BB135" s="28">
        <f t="shared" si="40"/>
        <v>0</v>
      </c>
      <c r="BC135" s="29">
        <f t="shared" si="41"/>
        <v>1.855337497121436E-2</v>
      </c>
      <c r="BE135" s="29">
        <f t="shared" si="42"/>
        <v>0</v>
      </c>
      <c r="BF135" s="29">
        <f t="shared" si="43"/>
        <v>2.9710555589978226E-2</v>
      </c>
      <c r="BH135" s="29"/>
    </row>
    <row r="136" spans="1:60" x14ac:dyDescent="0.25">
      <c r="A136" s="1">
        <v>46220</v>
      </c>
      <c r="B136" s="33">
        <v>25.38</v>
      </c>
      <c r="C136" s="33">
        <v>25.36</v>
      </c>
      <c r="D136" s="15">
        <v>7.8833271721642296E-4</v>
      </c>
      <c r="E136" s="15">
        <v>0</v>
      </c>
      <c r="F136" s="33">
        <v>0</v>
      </c>
      <c r="G136" s="33">
        <v>0.80900000000000005</v>
      </c>
      <c r="H136" s="33">
        <v>0</v>
      </c>
      <c r="I136" s="33">
        <v>0.776559</v>
      </c>
      <c r="J136" s="33">
        <v>0.80900000000000005</v>
      </c>
      <c r="K136" s="33">
        <v>0.776559</v>
      </c>
      <c r="L136" s="33">
        <v>26.189</v>
      </c>
      <c r="M136" s="33">
        <v>26.136558999999998</v>
      </c>
      <c r="N136" s="34">
        <v>0.99921197793538197</v>
      </c>
      <c r="O136" s="34">
        <v>1.0011576279691501</v>
      </c>
      <c r="P136" s="34">
        <v>0.99944671869546498</v>
      </c>
      <c r="Q136" s="34">
        <v>1.0017242396641699</v>
      </c>
      <c r="R136" s="33">
        <v>25.409380597857101</v>
      </c>
      <c r="S136" s="33">
        <v>25.369960877554799</v>
      </c>
      <c r="T136" s="33">
        <v>25.4252625855293</v>
      </c>
      <c r="U136" s="15">
        <v>1.9452911517800499E-3</v>
      </c>
      <c r="V136" s="15">
        <v>3.92701965881673E-4</v>
      </c>
      <c r="W136" s="15">
        <v>2.5701401600274698E-3</v>
      </c>
      <c r="X136" s="34">
        <v>0.99799759440986602</v>
      </c>
      <c r="Y136" s="34">
        <v>0.99838446436414396</v>
      </c>
      <c r="Z136" s="34">
        <v>0.99822314208053498</v>
      </c>
      <c r="AA136" s="34">
        <v>0.998653519496839</v>
      </c>
      <c r="AB136" s="33">
        <v>26.1466907372325</v>
      </c>
      <c r="AC136" s="33">
        <v>26.1464639648533</v>
      </c>
      <c r="AD136" s="33">
        <v>26.155489515855798</v>
      </c>
      <c r="AE136" s="15">
        <v>3.8757106378548999E-4</v>
      </c>
      <c r="AF136" s="15">
        <v>3.7889794469205402E-4</v>
      </c>
      <c r="AG136" s="15">
        <v>7.2403041074533495E-4</v>
      </c>
      <c r="AI136" s="12"/>
      <c r="AJ136">
        <f t="shared" si="26"/>
        <v>0</v>
      </c>
      <c r="AK136">
        <f t="shared" si="27"/>
        <v>1</v>
      </c>
      <c r="AL136">
        <f t="shared" si="34"/>
        <v>0</v>
      </c>
      <c r="AM136">
        <f t="shared" si="24"/>
        <v>0</v>
      </c>
      <c r="AN136">
        <f t="shared" si="35"/>
        <v>0</v>
      </c>
      <c r="AO136" s="28">
        <f t="shared" si="28"/>
        <v>0</v>
      </c>
      <c r="AP136" s="28">
        <f t="shared" si="29"/>
        <v>0</v>
      </c>
      <c r="AQ136" s="28">
        <f t="shared" si="36"/>
        <v>0</v>
      </c>
      <c r="AR136" s="29">
        <f t="shared" si="37"/>
        <v>1.1157180618763869E-2</v>
      </c>
      <c r="AT136" s="12"/>
      <c r="AU136">
        <f t="shared" si="30"/>
        <v>0</v>
      </c>
      <c r="AV136">
        <f t="shared" si="31"/>
        <v>0</v>
      </c>
      <c r="AW136">
        <f t="shared" si="38"/>
        <v>0</v>
      </c>
      <c r="AX136">
        <f t="shared" si="25"/>
        <v>0</v>
      </c>
      <c r="AY136">
        <f t="shared" si="39"/>
        <v>0</v>
      </c>
      <c r="AZ136" s="28">
        <f t="shared" si="32"/>
        <v>0</v>
      </c>
      <c r="BA136" s="28">
        <f t="shared" si="33"/>
        <v>0</v>
      </c>
      <c r="BB136" s="28">
        <f t="shared" si="40"/>
        <v>0</v>
      </c>
      <c r="BC136" s="29">
        <f t="shared" si="41"/>
        <v>1.855337497121436E-2</v>
      </c>
      <c r="BE136" s="29">
        <f t="shared" si="42"/>
        <v>0</v>
      </c>
      <c r="BF136" s="29">
        <f t="shared" si="43"/>
        <v>2.9710555589978226E-2</v>
      </c>
      <c r="BH136" s="29"/>
    </row>
    <row r="137" spans="1:60" x14ac:dyDescent="0.25">
      <c r="A137" s="1">
        <v>46223</v>
      </c>
      <c r="B137" s="33">
        <v>25.23</v>
      </c>
      <c r="C137" s="33">
        <v>25.37</v>
      </c>
      <c r="D137" s="15">
        <v>-5.92769963327517E-3</v>
      </c>
      <c r="E137" s="15">
        <v>3.9424404216544001E-4</v>
      </c>
      <c r="F137" s="33">
        <v>0.13800000000000001</v>
      </c>
      <c r="G137" s="33">
        <v>0.94699999999999995</v>
      </c>
      <c r="H137" s="33">
        <v>0</v>
      </c>
      <c r="I137" s="33">
        <v>0.776559</v>
      </c>
      <c r="J137" s="33">
        <v>0.94699999999999995</v>
      </c>
      <c r="K137" s="33">
        <v>0.776559</v>
      </c>
      <c r="L137" s="33">
        <v>26.177</v>
      </c>
      <c r="M137" s="33">
        <v>26.146559</v>
      </c>
      <c r="N137" s="34">
        <v>1.0055489496630901</v>
      </c>
      <c r="O137" s="34">
        <v>1.0011576279691501</v>
      </c>
      <c r="P137" s="34">
        <v>0.99992278039413596</v>
      </c>
      <c r="Q137" s="34">
        <v>1.0020410417321299</v>
      </c>
      <c r="R137" s="33">
        <v>25.259206953661799</v>
      </c>
      <c r="S137" s="33">
        <v>25.2160407126865</v>
      </c>
      <c r="T137" s="33">
        <v>25.273502566727</v>
      </c>
      <c r="U137" s="15">
        <v>-4.3766525236605298E-3</v>
      </c>
      <c r="V137" s="15">
        <v>-6.0870453793400404E-3</v>
      </c>
      <c r="W137" s="15">
        <v>-3.8108560887455301E-3</v>
      </c>
      <c r="X137" s="34">
        <v>0.99883710891240396</v>
      </c>
      <c r="Y137" s="34">
        <v>0.99838446436414396</v>
      </c>
      <c r="Z137" s="34">
        <v>0.998154375795413</v>
      </c>
      <c r="AA137" s="34">
        <v>0.99868596387693198</v>
      </c>
      <c r="AB137" s="33">
        <v>26.134710123660199</v>
      </c>
      <c r="AC137" s="33">
        <v>26.1304871902421</v>
      </c>
      <c r="AD137" s="33">
        <v>26.141753179868701</v>
      </c>
      <c r="AE137" s="15">
        <v>-4.5327425065490702E-4</v>
      </c>
      <c r="AF137" s="15">
        <v>-6.1487063387971196E-4</v>
      </c>
      <c r="AG137" s="15">
        <v>-1.8382005249078799E-4</v>
      </c>
      <c r="AI137" s="12"/>
      <c r="AJ137">
        <f t="shared" si="26"/>
        <v>0</v>
      </c>
      <c r="AK137">
        <f t="shared" si="27"/>
        <v>1</v>
      </c>
      <c r="AL137">
        <f t="shared" si="34"/>
        <v>0</v>
      </c>
      <c r="AM137">
        <f t="shared" si="24"/>
        <v>1</v>
      </c>
      <c r="AN137">
        <f t="shared" si="35"/>
        <v>0</v>
      </c>
      <c r="AO137" s="28">
        <f t="shared" si="28"/>
        <v>0</v>
      </c>
      <c r="AP137" s="28">
        <f t="shared" si="29"/>
        <v>0</v>
      </c>
      <c r="AQ137" s="28">
        <f t="shared" si="36"/>
        <v>0</v>
      </c>
      <c r="AR137" s="29">
        <f t="shared" si="37"/>
        <v>1.1157180618763869E-2</v>
      </c>
      <c r="AT137" s="12"/>
      <c r="AU137">
        <f t="shared" si="30"/>
        <v>0</v>
      </c>
      <c r="AV137">
        <f t="shared" si="31"/>
        <v>1</v>
      </c>
      <c r="AW137">
        <f t="shared" si="38"/>
        <v>0</v>
      </c>
      <c r="AX137">
        <f t="shared" si="25"/>
        <v>1</v>
      </c>
      <c r="AY137">
        <f t="shared" si="39"/>
        <v>0</v>
      </c>
      <c r="AZ137" s="28">
        <f t="shared" si="32"/>
        <v>0</v>
      </c>
      <c r="BA137" s="28">
        <f t="shared" si="33"/>
        <v>0</v>
      </c>
      <c r="BB137" s="28">
        <f t="shared" si="40"/>
        <v>0</v>
      </c>
      <c r="BC137" s="29">
        <f t="shared" si="41"/>
        <v>1.855337497121436E-2</v>
      </c>
      <c r="BE137" s="29">
        <f t="shared" si="42"/>
        <v>0</v>
      </c>
      <c r="BF137" s="29">
        <f t="shared" si="43"/>
        <v>2.9710555589978226E-2</v>
      </c>
      <c r="BH137" s="29"/>
    </row>
    <row r="138" spans="1:60" x14ac:dyDescent="0.25">
      <c r="A138" s="1">
        <v>46224</v>
      </c>
      <c r="B138" s="33">
        <v>25.19</v>
      </c>
      <c r="C138" s="33">
        <v>25.27</v>
      </c>
      <c r="D138" s="15">
        <v>-1.58667228844757E-3</v>
      </c>
      <c r="E138" s="15">
        <v>-3.9494522110877003E-3</v>
      </c>
      <c r="F138" s="33">
        <v>0</v>
      </c>
      <c r="G138" s="33">
        <v>0.94699999999999995</v>
      </c>
      <c r="H138" s="33">
        <v>0</v>
      </c>
      <c r="I138" s="33">
        <v>0.776559</v>
      </c>
      <c r="J138" s="33">
        <v>0.94699999999999995</v>
      </c>
      <c r="K138" s="33">
        <v>0.776559</v>
      </c>
      <c r="L138" s="33">
        <v>26.137</v>
      </c>
      <c r="M138" s="33">
        <v>26.046558999999998</v>
      </c>
      <c r="N138" s="34">
        <v>1.00317586343787</v>
      </c>
      <c r="O138" s="34">
        <v>1.0011576279691501</v>
      </c>
      <c r="P138" s="34">
        <v>1.0002403667379201</v>
      </c>
      <c r="Q138" s="34">
        <v>1.0019025697435</v>
      </c>
      <c r="R138" s="33">
        <v>25.219160648542999</v>
      </c>
      <c r="S138" s="33">
        <v>25.188054838128298</v>
      </c>
      <c r="T138" s="33">
        <v>25.2414138412325</v>
      </c>
      <c r="U138" s="15">
        <v>-2.0138726010203402E-3</v>
      </c>
      <c r="V138" s="15">
        <v>-3.2480536230346498E-3</v>
      </c>
      <c r="W138" s="15">
        <v>-1.1318693992300099E-3</v>
      </c>
      <c r="X138" s="34">
        <v>0.99653973294563203</v>
      </c>
      <c r="Y138" s="34">
        <v>0.99838446436414396</v>
      </c>
      <c r="Z138" s="34">
        <v>0.99793231637951696</v>
      </c>
      <c r="AA138" s="34">
        <v>0.99854223928338304</v>
      </c>
      <c r="AB138" s="33">
        <v>26.094774745085601</v>
      </c>
      <c r="AC138" s="33">
        <v>26.088760920164699</v>
      </c>
      <c r="AD138" s="33">
        <v>26.102655037851299</v>
      </c>
      <c r="AE138" s="15">
        <v>1.84942560404622E-3</v>
      </c>
      <c r="AF138" s="15">
        <v>1.618938157349E-3</v>
      </c>
      <c r="AG138" s="15">
        <v>2.1513673992029701E-3</v>
      </c>
      <c r="AI138" s="12"/>
      <c r="AJ138">
        <f t="shared" si="26"/>
        <v>0</v>
      </c>
      <c r="AK138">
        <f t="shared" si="27"/>
        <v>1</v>
      </c>
      <c r="AL138">
        <f t="shared" si="34"/>
        <v>0</v>
      </c>
      <c r="AM138">
        <f t="shared" si="24"/>
        <v>1</v>
      </c>
      <c r="AN138">
        <f t="shared" si="35"/>
        <v>0</v>
      </c>
      <c r="AO138" s="28">
        <f t="shared" si="28"/>
        <v>0</v>
      </c>
      <c r="AP138" s="28">
        <f t="shared" si="29"/>
        <v>0</v>
      </c>
      <c r="AQ138" s="28">
        <f t="shared" si="36"/>
        <v>0</v>
      </c>
      <c r="AR138" s="29">
        <f t="shared" si="37"/>
        <v>1.1157180618763869E-2</v>
      </c>
      <c r="AT138" s="12"/>
      <c r="AU138">
        <f t="shared" si="30"/>
        <v>1</v>
      </c>
      <c r="AV138">
        <f t="shared" si="31"/>
        <v>0</v>
      </c>
      <c r="AW138">
        <f t="shared" si="38"/>
        <v>0</v>
      </c>
      <c r="AX138">
        <f t="shared" si="25"/>
        <v>1</v>
      </c>
      <c r="AY138">
        <f t="shared" si="39"/>
        <v>0</v>
      </c>
      <c r="AZ138" s="28">
        <f t="shared" si="32"/>
        <v>0</v>
      </c>
      <c r="BA138" s="28">
        <f t="shared" si="33"/>
        <v>0</v>
      </c>
      <c r="BB138" s="28">
        <f t="shared" si="40"/>
        <v>0</v>
      </c>
      <c r="BC138" s="29">
        <f t="shared" si="41"/>
        <v>1.855337497121436E-2</v>
      </c>
      <c r="BE138" s="29">
        <f t="shared" si="42"/>
        <v>0</v>
      </c>
      <c r="BF138" s="29">
        <f t="shared" si="43"/>
        <v>2.9710555589978226E-2</v>
      </c>
      <c r="BH138" s="29"/>
    </row>
    <row r="139" spans="1:60" x14ac:dyDescent="0.25">
      <c r="A139" s="1">
        <v>46225</v>
      </c>
      <c r="B139" s="33">
        <v>25.13</v>
      </c>
      <c r="C139" s="33">
        <v>25.27</v>
      </c>
      <c r="D139" s="15">
        <v>-2.3847388090181198E-3</v>
      </c>
      <c r="E139" s="15">
        <v>0</v>
      </c>
      <c r="F139" s="33">
        <v>0</v>
      </c>
      <c r="G139" s="33">
        <v>0.94699999999999995</v>
      </c>
      <c r="H139" s="33">
        <v>0</v>
      </c>
      <c r="I139" s="33">
        <v>0.776559</v>
      </c>
      <c r="J139" s="33">
        <v>0.94699999999999995</v>
      </c>
      <c r="K139" s="33">
        <v>0.776559</v>
      </c>
      <c r="L139" s="33">
        <v>26.076999999999899</v>
      </c>
      <c r="M139" s="33">
        <v>26.046558999999998</v>
      </c>
      <c r="N139" s="34">
        <v>1.00557103064066</v>
      </c>
      <c r="O139" s="34">
        <v>1.0011576279691501</v>
      </c>
      <c r="P139" s="34">
        <v>1.0011134255681799</v>
      </c>
      <c r="Q139" s="34">
        <v>1.0019234914697499</v>
      </c>
      <c r="R139" s="33">
        <v>25.1590911908648</v>
      </c>
      <c r="S139" s="33">
        <v>25.136040416124001</v>
      </c>
      <c r="T139" s="33">
        <v>25.1778115776543</v>
      </c>
      <c r="U139" s="15">
        <v>-4.39861141003844E-3</v>
      </c>
      <c r="V139" s="15">
        <v>-5.31523199013421E-3</v>
      </c>
      <c r="W139" s="15">
        <v>-3.6548076945579701E-3</v>
      </c>
      <c r="X139" s="34">
        <v>0.99883264946121098</v>
      </c>
      <c r="Y139" s="34">
        <v>0.99838446436414396</v>
      </c>
      <c r="Z139" s="34">
        <v>0.99824591160999598</v>
      </c>
      <c r="AA139" s="34">
        <v>0.99855156444817506</v>
      </c>
      <c r="AB139" s="33">
        <v>26.034871677223698</v>
      </c>
      <c r="AC139" s="33">
        <v>26.023081014228602</v>
      </c>
      <c r="AD139" s="33">
        <v>26.038985973792698</v>
      </c>
      <c r="AE139" s="15">
        <v>-4.4880959760166498E-4</v>
      </c>
      <c r="AF139" s="15">
        <v>-9.0179180635747199E-4</v>
      </c>
      <c r="AG139" s="15">
        <v>-2.9079186036713202E-4</v>
      </c>
      <c r="AI139" s="12"/>
      <c r="AJ139">
        <f t="shared" si="26"/>
        <v>0</v>
      </c>
      <c r="AK139">
        <f t="shared" si="27"/>
        <v>0</v>
      </c>
      <c r="AL139">
        <f t="shared" si="34"/>
        <v>0</v>
      </c>
      <c r="AM139">
        <f t="shared" si="24"/>
        <v>1</v>
      </c>
      <c r="AN139">
        <f t="shared" si="35"/>
        <v>0</v>
      </c>
      <c r="AO139" s="28">
        <f t="shared" si="28"/>
        <v>0</v>
      </c>
      <c r="AP139" s="28">
        <f t="shared" si="29"/>
        <v>0</v>
      </c>
      <c r="AQ139" s="28">
        <f t="shared" si="36"/>
        <v>0</v>
      </c>
      <c r="AR139" s="29">
        <f t="shared" si="37"/>
        <v>1.1157180618763869E-2</v>
      </c>
      <c r="AT139" s="12"/>
      <c r="AU139">
        <f t="shared" si="30"/>
        <v>0</v>
      </c>
      <c r="AV139">
        <f t="shared" si="31"/>
        <v>1</v>
      </c>
      <c r="AW139">
        <f t="shared" si="38"/>
        <v>1</v>
      </c>
      <c r="AX139">
        <f t="shared" si="25"/>
        <v>1</v>
      </c>
      <c r="AY139">
        <f t="shared" si="39"/>
        <v>1</v>
      </c>
      <c r="AZ139" s="28">
        <f t="shared" si="32"/>
        <v>2.3847388090181198E-3</v>
      </c>
      <c r="BA139" s="28">
        <f t="shared" si="33"/>
        <v>0</v>
      </c>
      <c r="BB139" s="28">
        <f t="shared" si="40"/>
        <v>2.3847388090181198E-3</v>
      </c>
      <c r="BC139" s="29">
        <f t="shared" si="41"/>
        <v>2.0938113780232481E-2</v>
      </c>
      <c r="BE139" s="29">
        <f t="shared" si="42"/>
        <v>2.3847388090181198E-3</v>
      </c>
      <c r="BF139" s="29">
        <f t="shared" si="43"/>
        <v>3.2095294398996346E-2</v>
      </c>
      <c r="BH139" s="29"/>
    </row>
    <row r="140" spans="1:60" x14ac:dyDescent="0.25">
      <c r="A140" s="1">
        <v>46226</v>
      </c>
      <c r="B140" s="33">
        <v>25.04</v>
      </c>
      <c r="C140" s="33">
        <v>25.22</v>
      </c>
      <c r="D140" s="15">
        <v>-3.58780532360307E-3</v>
      </c>
      <c r="E140" s="15">
        <v>-1.9805908633293498E-3</v>
      </c>
      <c r="F140" s="33">
        <v>0</v>
      </c>
      <c r="G140" s="33">
        <v>0.94699999999999995</v>
      </c>
      <c r="H140" s="33">
        <v>0</v>
      </c>
      <c r="I140" s="33">
        <v>0.776559</v>
      </c>
      <c r="J140" s="33">
        <v>0.94699999999999995</v>
      </c>
      <c r="K140" s="33">
        <v>0.776559</v>
      </c>
      <c r="L140" s="33">
        <v>25.986999999999998</v>
      </c>
      <c r="M140" s="33">
        <v>25.996558999999898</v>
      </c>
      <c r="N140" s="34">
        <v>1.0071884984025501</v>
      </c>
      <c r="O140" s="34">
        <v>1.0011576279691501</v>
      </c>
      <c r="P140" s="34">
        <v>1.00175334881017</v>
      </c>
      <c r="Q140" s="34">
        <v>1.00196570782524</v>
      </c>
      <c r="R140" s="33">
        <v>25.068987004347601</v>
      </c>
      <c r="S140" s="33">
        <v>25.067880176227298</v>
      </c>
      <c r="T140" s="33">
        <v>25.088164226402601</v>
      </c>
      <c r="U140" s="15">
        <v>-6.0058258703121099E-3</v>
      </c>
      <c r="V140" s="15">
        <v>-6.04997813521341E-3</v>
      </c>
      <c r="W140" s="15">
        <v>-5.2411403760660603E-3</v>
      </c>
      <c r="X140" s="34">
        <v>1.00036783776503</v>
      </c>
      <c r="Y140" s="34">
        <v>0.99838446436414396</v>
      </c>
      <c r="Z140" s="34">
        <v>0.99833027273171404</v>
      </c>
      <c r="AA140" s="34">
        <v>0.99858004700452796</v>
      </c>
      <c r="AB140" s="33">
        <v>25.945017075431</v>
      </c>
      <c r="AC140" s="33">
        <v>25.941416505008899</v>
      </c>
      <c r="AD140" s="33">
        <v>25.9493595053147</v>
      </c>
      <c r="AE140" s="15">
        <v>-1.98461215005905E-3</v>
      </c>
      <c r="AF140" s="15">
        <v>-2.1233987337326101E-3</v>
      </c>
      <c r="AG140" s="15">
        <v>-1.81725567793374E-3</v>
      </c>
      <c r="AI140" s="12"/>
      <c r="AJ140">
        <f t="shared" si="26"/>
        <v>1</v>
      </c>
      <c r="AK140">
        <f t="shared" si="27"/>
        <v>0</v>
      </c>
      <c r="AL140">
        <f t="shared" si="34"/>
        <v>0</v>
      </c>
      <c r="AM140">
        <f t="shared" si="24"/>
        <v>1</v>
      </c>
      <c r="AN140">
        <f t="shared" si="35"/>
        <v>0</v>
      </c>
      <c r="AO140" s="28">
        <f t="shared" si="28"/>
        <v>0</v>
      </c>
      <c r="AP140" s="28">
        <f t="shared" si="29"/>
        <v>0</v>
      </c>
      <c r="AQ140" s="28">
        <f t="shared" si="36"/>
        <v>0</v>
      </c>
      <c r="AR140" s="29">
        <f t="shared" si="37"/>
        <v>1.1157180618763869E-2</v>
      </c>
      <c r="AT140" s="12"/>
      <c r="AU140">
        <f t="shared" si="30"/>
        <v>0</v>
      </c>
      <c r="AV140">
        <f t="shared" si="31"/>
        <v>1</v>
      </c>
      <c r="AW140">
        <f t="shared" si="38"/>
        <v>0</v>
      </c>
      <c r="AX140">
        <f t="shared" si="25"/>
        <v>1</v>
      </c>
      <c r="AY140">
        <f t="shared" si="39"/>
        <v>0</v>
      </c>
      <c r="AZ140" s="28">
        <f t="shared" si="32"/>
        <v>0</v>
      </c>
      <c r="BA140" s="28">
        <f t="shared" si="33"/>
        <v>0</v>
      </c>
      <c r="BB140" s="28">
        <f t="shared" si="40"/>
        <v>0</v>
      </c>
      <c r="BC140" s="29">
        <f t="shared" si="41"/>
        <v>2.0938113780232481E-2</v>
      </c>
      <c r="BE140" s="29">
        <f t="shared" si="42"/>
        <v>0</v>
      </c>
      <c r="BF140" s="29">
        <f t="shared" si="43"/>
        <v>3.2095294398996346E-2</v>
      </c>
      <c r="BH140" s="29"/>
    </row>
    <row r="141" spans="1:60" x14ac:dyDescent="0.25">
      <c r="A141" s="1">
        <v>46227</v>
      </c>
      <c r="B141" s="33">
        <v>25.04</v>
      </c>
      <c r="C141" s="33">
        <v>25.18</v>
      </c>
      <c r="D141" s="15">
        <v>0</v>
      </c>
      <c r="E141" s="15">
        <v>-1.58730192057238E-3</v>
      </c>
      <c r="F141" s="33">
        <v>0</v>
      </c>
      <c r="G141" s="33">
        <v>0.94699999999999995</v>
      </c>
      <c r="H141" s="33">
        <v>0</v>
      </c>
      <c r="I141" s="33">
        <v>0.776559</v>
      </c>
      <c r="J141" s="33">
        <v>0.94699999999999995</v>
      </c>
      <c r="K141" s="33">
        <v>0.776559</v>
      </c>
      <c r="L141" s="33">
        <v>25.986999999999998</v>
      </c>
      <c r="M141" s="33">
        <v>25.956558999999999</v>
      </c>
      <c r="N141" s="34">
        <v>1.0055910543130899</v>
      </c>
      <c r="O141" s="34">
        <v>1.0011576279691501</v>
      </c>
      <c r="P141" s="34">
        <v>1.0023914431830301</v>
      </c>
      <c r="Q141" s="34">
        <v>1.00192792614979</v>
      </c>
      <c r="R141" s="33">
        <v>25.068987004347601</v>
      </c>
      <c r="S141" s="33">
        <v>25.083903854206699</v>
      </c>
      <c r="T141" s="33">
        <v>25.089221323944201</v>
      </c>
      <c r="U141" s="15">
        <v>-4.4185239497397102E-3</v>
      </c>
      <c r="V141" s="15">
        <v>-3.8236688957785699E-3</v>
      </c>
      <c r="W141" s="15">
        <v>-3.61170403457118E-3</v>
      </c>
      <c r="X141" s="34">
        <v>0.99882860661099704</v>
      </c>
      <c r="Y141" s="34">
        <v>0.99838446436414396</v>
      </c>
      <c r="Z141" s="34">
        <v>0.99841383376404902</v>
      </c>
      <c r="AA141" s="34">
        <v>0.99853157188137098</v>
      </c>
      <c r="AB141" s="33">
        <v>25.945017075431</v>
      </c>
      <c r="AC141" s="33">
        <v>25.943608797479001</v>
      </c>
      <c r="AD141" s="33">
        <v>25.9500996815066</v>
      </c>
      <c r="AE141" s="15">
        <v>-4.44762014257954E-4</v>
      </c>
      <c r="AF141" s="15">
        <v>-4.9904281004394696E-4</v>
      </c>
      <c r="AG141" s="15">
        <v>-2.4888207758866999E-4</v>
      </c>
      <c r="AI141" s="12"/>
      <c r="AJ141">
        <f t="shared" si="26"/>
        <v>0</v>
      </c>
      <c r="AK141">
        <f t="shared" si="27"/>
        <v>0</v>
      </c>
      <c r="AL141">
        <f t="shared" si="34"/>
        <v>1</v>
      </c>
      <c r="AM141">
        <f t="shared" si="24"/>
        <v>1</v>
      </c>
      <c r="AN141">
        <f t="shared" si="35"/>
        <v>1</v>
      </c>
      <c r="AO141" s="28">
        <f t="shared" si="28"/>
        <v>0</v>
      </c>
      <c r="AP141" s="28">
        <f t="shared" si="29"/>
        <v>1.58730192057238E-3</v>
      </c>
      <c r="AQ141" s="28">
        <f t="shared" si="36"/>
        <v>1.58730192057238E-3</v>
      </c>
      <c r="AR141" s="29">
        <f t="shared" si="37"/>
        <v>1.2744482539336249E-2</v>
      </c>
      <c r="AT141" s="12"/>
      <c r="AU141">
        <f t="shared" si="30"/>
        <v>0</v>
      </c>
      <c r="AV141">
        <f t="shared" si="31"/>
        <v>1</v>
      </c>
      <c r="AW141">
        <f t="shared" si="38"/>
        <v>0</v>
      </c>
      <c r="AX141">
        <f t="shared" si="25"/>
        <v>1</v>
      </c>
      <c r="AY141">
        <f t="shared" si="39"/>
        <v>0</v>
      </c>
      <c r="AZ141" s="28">
        <f t="shared" si="32"/>
        <v>0</v>
      </c>
      <c r="BA141" s="28">
        <f t="shared" si="33"/>
        <v>0</v>
      </c>
      <c r="BB141" s="28">
        <f t="shared" si="40"/>
        <v>0</v>
      </c>
      <c r="BC141" s="29">
        <f t="shared" si="41"/>
        <v>2.0938113780232481E-2</v>
      </c>
      <c r="BE141" s="29">
        <f t="shared" si="42"/>
        <v>1.58730192057238E-3</v>
      </c>
      <c r="BF141" s="29">
        <f t="shared" si="43"/>
        <v>3.3682596319568728E-2</v>
      </c>
      <c r="BH141" s="29"/>
    </row>
    <row r="142" spans="1:60" x14ac:dyDescent="0.25">
      <c r="A142" s="1">
        <v>46230</v>
      </c>
      <c r="B142" s="33">
        <v>25.05</v>
      </c>
      <c r="C142" s="33">
        <v>25.19</v>
      </c>
      <c r="D142" s="15">
        <v>3.9928129897607499E-4</v>
      </c>
      <c r="E142" s="15">
        <v>3.9706174831772098E-4</v>
      </c>
      <c r="F142" s="33">
        <v>0</v>
      </c>
      <c r="G142" s="33">
        <v>0.94699999999999995</v>
      </c>
      <c r="H142" s="33">
        <v>0</v>
      </c>
      <c r="I142" s="33">
        <v>0.776559</v>
      </c>
      <c r="J142" s="33">
        <v>0.94699999999999995</v>
      </c>
      <c r="K142" s="33">
        <v>0.776559</v>
      </c>
      <c r="L142" s="33">
        <v>25.997</v>
      </c>
      <c r="M142" s="33">
        <v>25.966559</v>
      </c>
      <c r="N142" s="34">
        <v>1.00558882235528</v>
      </c>
      <c r="O142" s="34">
        <v>1.0011576279691501</v>
      </c>
      <c r="P142" s="34">
        <v>1.0029107528028101</v>
      </c>
      <c r="Q142" s="34">
        <v>1.00191010210703</v>
      </c>
      <c r="R142" s="33">
        <v>25.078998580627299</v>
      </c>
      <c r="S142" s="33">
        <v>25.109905651734898</v>
      </c>
      <c r="T142" s="33">
        <v>25.098294550052199</v>
      </c>
      <c r="U142" s="15">
        <v>-4.4163043990814096E-3</v>
      </c>
      <c r="V142" s="15">
        <v>-3.1846746001333499E-3</v>
      </c>
      <c r="W142" s="15">
        <v>-3.6471927482868501E-3</v>
      </c>
      <c r="X142" s="34">
        <v>0.99882905719890702</v>
      </c>
      <c r="Y142" s="34">
        <v>0.99838446436414396</v>
      </c>
      <c r="Z142" s="34">
        <v>0.998382789562547</v>
      </c>
      <c r="AA142" s="34">
        <v>0.99850231350048502</v>
      </c>
      <c r="AB142" s="33">
        <v>25.9550009200746</v>
      </c>
      <c r="AC142" s="33">
        <v>25.9557644363639</v>
      </c>
      <c r="AD142" s="33">
        <v>25.958825274199999</v>
      </c>
      <c r="AE142" s="15">
        <v>-4.4521313050065398E-4</v>
      </c>
      <c r="AF142" s="15">
        <v>-4.1579663917642502E-4</v>
      </c>
      <c r="AG142" s="15">
        <v>-2.9787842556315E-4</v>
      </c>
      <c r="AI142" s="12"/>
      <c r="AJ142">
        <f t="shared" si="26"/>
        <v>0</v>
      </c>
      <c r="AK142">
        <f t="shared" si="27"/>
        <v>0</v>
      </c>
      <c r="AL142">
        <f t="shared" si="34"/>
        <v>1</v>
      </c>
      <c r="AM142">
        <f t="shared" si="24"/>
        <v>1</v>
      </c>
      <c r="AN142">
        <f t="shared" si="35"/>
        <v>1</v>
      </c>
      <c r="AO142" s="28">
        <f t="shared" si="28"/>
        <v>3.9928129897607499E-4</v>
      </c>
      <c r="AP142" s="28">
        <f t="shared" si="29"/>
        <v>-3.9706174831772098E-4</v>
      </c>
      <c r="AQ142" s="28">
        <f t="shared" si="36"/>
        <v>2.2195506583540118E-6</v>
      </c>
      <c r="AR142" s="29">
        <f t="shared" si="37"/>
        <v>1.2746702089994602E-2</v>
      </c>
      <c r="AT142" s="12"/>
      <c r="AU142">
        <f t="shared" si="30"/>
        <v>0</v>
      </c>
      <c r="AV142">
        <f t="shared" si="31"/>
        <v>1</v>
      </c>
      <c r="AW142">
        <f t="shared" si="38"/>
        <v>0</v>
      </c>
      <c r="AX142">
        <f t="shared" si="25"/>
        <v>1</v>
      </c>
      <c r="AY142">
        <f t="shared" si="39"/>
        <v>0</v>
      </c>
      <c r="AZ142" s="28">
        <f t="shared" si="32"/>
        <v>0</v>
      </c>
      <c r="BA142" s="28">
        <f t="shared" si="33"/>
        <v>0</v>
      </c>
      <c r="BB142" s="28">
        <f t="shared" si="40"/>
        <v>0</v>
      </c>
      <c r="BC142" s="29">
        <f t="shared" si="41"/>
        <v>2.0938113780232481E-2</v>
      </c>
      <c r="BE142" s="29">
        <f t="shared" si="42"/>
        <v>2.2195506583540118E-6</v>
      </c>
      <c r="BF142" s="29">
        <f t="shared" si="43"/>
        <v>3.3684815870227085E-2</v>
      </c>
      <c r="BH142" s="29"/>
    </row>
    <row r="143" spans="1:60" x14ac:dyDescent="0.25">
      <c r="A143" s="1">
        <v>46231</v>
      </c>
      <c r="B143" s="33">
        <v>25.11</v>
      </c>
      <c r="C143" s="33">
        <v>25.28</v>
      </c>
      <c r="D143" s="15">
        <v>2.3923456386196799E-3</v>
      </c>
      <c r="E143" s="15">
        <v>3.5664789141377799E-3</v>
      </c>
      <c r="F143" s="33">
        <v>0</v>
      </c>
      <c r="G143" s="33">
        <v>0.94699999999999995</v>
      </c>
      <c r="H143" s="33">
        <v>0</v>
      </c>
      <c r="I143" s="33">
        <v>0.776559</v>
      </c>
      <c r="J143" s="33">
        <v>0.94699999999999995</v>
      </c>
      <c r="K143" s="33">
        <v>0.776559</v>
      </c>
      <c r="L143" s="33">
        <v>26.056999999999999</v>
      </c>
      <c r="M143" s="33">
        <v>26.056559</v>
      </c>
      <c r="N143" s="34">
        <v>1.00677021107128</v>
      </c>
      <c r="O143" s="34">
        <v>1.0011576279691501</v>
      </c>
      <c r="P143" s="34">
        <v>1.0039435051352299</v>
      </c>
      <c r="Q143" s="34">
        <v>1.00199149240743</v>
      </c>
      <c r="R143" s="33">
        <v>25.139068038305499</v>
      </c>
      <c r="S143" s="33">
        <v>25.183089002878599</v>
      </c>
      <c r="T143" s="33">
        <v>25.157962663907501</v>
      </c>
      <c r="U143" s="15">
        <v>-5.5904376745995197E-3</v>
      </c>
      <c r="V143" s="15">
        <v>-3.8408713447606901E-3</v>
      </c>
      <c r="W143" s="15">
        <v>-4.8391159274877903E-3</v>
      </c>
      <c r="X143" s="34">
        <v>0.99998307556510702</v>
      </c>
      <c r="Y143" s="34">
        <v>0.99838446436414396</v>
      </c>
      <c r="Z143" s="34">
        <v>0.99885005801376803</v>
      </c>
      <c r="AA143" s="34">
        <v>0.99856903023630905</v>
      </c>
      <c r="AB143" s="33">
        <v>26.014903987936499</v>
      </c>
      <c r="AC143" s="33">
        <v>26.014860347631199</v>
      </c>
      <c r="AD143" s="33">
        <v>26.017974782882099</v>
      </c>
      <c r="AE143" s="15">
        <v>-1.5999174426352201E-3</v>
      </c>
      <c r="AF143" s="15">
        <v>-1.6015949557196499E-3</v>
      </c>
      <c r="AG143" s="15">
        <v>-1.48188457488945E-3</v>
      </c>
      <c r="AI143" s="12"/>
      <c r="AJ143">
        <f t="shared" si="26"/>
        <v>1</v>
      </c>
      <c r="AK143">
        <f t="shared" si="27"/>
        <v>0</v>
      </c>
      <c r="AL143">
        <f t="shared" si="34"/>
        <v>1</v>
      </c>
      <c r="AM143">
        <f t="shared" si="24"/>
        <v>1</v>
      </c>
      <c r="AN143">
        <f t="shared" si="35"/>
        <v>1</v>
      </c>
      <c r="AO143" s="28">
        <f t="shared" si="28"/>
        <v>2.3923456386196799E-3</v>
      </c>
      <c r="AP143" s="28">
        <f t="shared" si="29"/>
        <v>-3.5664789141377799E-3</v>
      </c>
      <c r="AQ143" s="28">
        <f t="shared" si="36"/>
        <v>-1.1741332755181E-3</v>
      </c>
      <c r="AR143" s="29">
        <f t="shared" si="37"/>
        <v>1.1572568814476502E-2</v>
      </c>
      <c r="AT143" s="12"/>
      <c r="AU143">
        <f t="shared" si="30"/>
        <v>0</v>
      </c>
      <c r="AV143">
        <f t="shared" si="31"/>
        <v>1</v>
      </c>
      <c r="AW143">
        <f t="shared" si="38"/>
        <v>0</v>
      </c>
      <c r="AX143">
        <f t="shared" si="25"/>
        <v>1</v>
      </c>
      <c r="AY143">
        <f t="shared" si="39"/>
        <v>0</v>
      </c>
      <c r="AZ143" s="28">
        <f t="shared" si="32"/>
        <v>0</v>
      </c>
      <c r="BA143" s="28">
        <f t="shared" si="33"/>
        <v>0</v>
      </c>
      <c r="BB143" s="28">
        <f t="shared" si="40"/>
        <v>0</v>
      </c>
      <c r="BC143" s="29">
        <f t="shared" si="41"/>
        <v>2.0938113780232481E-2</v>
      </c>
      <c r="BE143" s="29">
        <f t="shared" si="42"/>
        <v>-1.1741332755181E-3</v>
      </c>
      <c r="BF143" s="29">
        <f t="shared" si="43"/>
        <v>3.2510682594708983E-2</v>
      </c>
      <c r="BH143" s="29"/>
    </row>
    <row r="144" spans="1:60" x14ac:dyDescent="0.25">
      <c r="A144" s="1">
        <v>46232</v>
      </c>
      <c r="B144" s="33">
        <v>25.05</v>
      </c>
      <c r="C144" s="33">
        <v>25.16</v>
      </c>
      <c r="D144" s="15">
        <v>-2.3923456386198199E-3</v>
      </c>
      <c r="E144" s="15">
        <v>-4.7581374464169199E-3</v>
      </c>
      <c r="F144" s="33">
        <v>0</v>
      </c>
      <c r="G144" s="33">
        <v>0.94699999999999995</v>
      </c>
      <c r="H144" s="33">
        <v>0</v>
      </c>
      <c r="I144" s="33">
        <v>0.776559</v>
      </c>
      <c r="J144" s="33">
        <v>0.94699999999999995</v>
      </c>
      <c r="K144" s="33">
        <v>0.776559</v>
      </c>
      <c r="L144" s="33">
        <v>25.997</v>
      </c>
      <c r="M144" s="33">
        <v>25.936558999999999</v>
      </c>
      <c r="N144" s="34">
        <v>1.0043912175648699</v>
      </c>
      <c r="O144" s="34">
        <v>1.0011576279691501</v>
      </c>
      <c r="P144" s="34">
        <v>1.0043037625384099</v>
      </c>
      <c r="Q144" s="34">
        <v>1.0019936619813199</v>
      </c>
      <c r="R144" s="33">
        <v>25.078998580627299</v>
      </c>
      <c r="S144" s="33">
        <v>25.1487848036377</v>
      </c>
      <c r="T144" s="33">
        <v>25.0998868848061</v>
      </c>
      <c r="U144" s="15">
        <v>-3.2246458668022098E-3</v>
      </c>
      <c r="V144" s="15">
        <v>-4.4585440065221602E-4</v>
      </c>
      <c r="W144" s="15">
        <v>-2.3920922860845898E-3</v>
      </c>
      <c r="X144" s="34">
        <v>0.99767507789360299</v>
      </c>
      <c r="Y144" s="34">
        <v>0.99838446436414396</v>
      </c>
      <c r="Z144" s="34">
        <v>0.99866510678673504</v>
      </c>
      <c r="AA144" s="34">
        <v>0.998558596303037</v>
      </c>
      <c r="AB144" s="33">
        <v>25.9550009200746</v>
      </c>
      <c r="AC144" s="33">
        <v>25.967104958183899</v>
      </c>
      <c r="AD144" s="33">
        <v>25.959799079053301</v>
      </c>
      <c r="AE144" s="15">
        <v>7.1078691330567396E-4</v>
      </c>
      <c r="AF144" s="15">
        <v>1.1770252572172301E-3</v>
      </c>
      <c r="AG144" s="15">
        <v>8.9563435536061298E-4</v>
      </c>
      <c r="AI144" s="12"/>
      <c r="AJ144">
        <f t="shared" si="26"/>
        <v>0</v>
      </c>
      <c r="AK144">
        <f t="shared" si="27"/>
        <v>1</v>
      </c>
      <c r="AL144">
        <f t="shared" si="34"/>
        <v>1</v>
      </c>
      <c r="AM144">
        <f t="shared" si="24"/>
        <v>1</v>
      </c>
      <c r="AN144">
        <f t="shared" si="35"/>
        <v>1</v>
      </c>
      <c r="AO144" s="28">
        <f t="shared" si="28"/>
        <v>-2.3923456386198199E-3</v>
      </c>
      <c r="AP144" s="28">
        <f t="shared" si="29"/>
        <v>4.7581374464169199E-3</v>
      </c>
      <c r="AQ144" s="28">
        <f t="shared" si="36"/>
        <v>2.3657918077970999E-3</v>
      </c>
      <c r="AR144" s="29">
        <f t="shared" si="37"/>
        <v>1.3938360622273601E-2</v>
      </c>
      <c r="AT144" s="12"/>
      <c r="AU144">
        <f t="shared" si="30"/>
        <v>0</v>
      </c>
      <c r="AV144">
        <f t="shared" si="31"/>
        <v>0</v>
      </c>
      <c r="AW144">
        <f t="shared" si="38"/>
        <v>0</v>
      </c>
      <c r="AX144">
        <f t="shared" si="25"/>
        <v>1</v>
      </c>
      <c r="AY144">
        <f t="shared" si="39"/>
        <v>0</v>
      </c>
      <c r="AZ144" s="28">
        <f t="shared" si="32"/>
        <v>0</v>
      </c>
      <c r="BA144" s="28">
        <f t="shared" si="33"/>
        <v>0</v>
      </c>
      <c r="BB144" s="28">
        <f t="shared" si="40"/>
        <v>0</v>
      </c>
      <c r="BC144" s="29">
        <f t="shared" si="41"/>
        <v>2.0938113780232481E-2</v>
      </c>
      <c r="BE144" s="29">
        <f t="shared" si="42"/>
        <v>2.3657918077970999E-3</v>
      </c>
      <c r="BF144" s="29">
        <f t="shared" si="43"/>
        <v>3.4876474402506082E-2</v>
      </c>
      <c r="BH144" s="29"/>
    </row>
    <row r="145" spans="1:60" x14ac:dyDescent="0.25">
      <c r="A145" s="1">
        <v>46233</v>
      </c>
      <c r="B145" s="33">
        <v>25.14</v>
      </c>
      <c r="C145" s="33">
        <v>25.28</v>
      </c>
      <c r="D145" s="15">
        <v>3.5863756312276502E-3</v>
      </c>
      <c r="E145" s="15">
        <v>4.7581374464170101E-3</v>
      </c>
      <c r="F145" s="33">
        <v>0</v>
      </c>
      <c r="G145" s="33">
        <v>0.94699999999999995</v>
      </c>
      <c r="H145" s="33">
        <v>0</v>
      </c>
      <c r="I145" s="33">
        <v>0.776559</v>
      </c>
      <c r="J145" s="33">
        <v>0.94699999999999995</v>
      </c>
      <c r="K145" s="33">
        <v>0.776559</v>
      </c>
      <c r="L145" s="33">
        <v>26.087</v>
      </c>
      <c r="M145" s="33">
        <v>26.056559</v>
      </c>
      <c r="N145" s="34">
        <v>1.0055688146380199</v>
      </c>
      <c r="O145" s="34">
        <v>1.0011576279691501</v>
      </c>
      <c r="P145" s="34">
        <v>1.0048606440022101</v>
      </c>
      <c r="Q145" s="34">
        <v>1.0022325457512</v>
      </c>
      <c r="R145" s="33">
        <v>25.169102767144501</v>
      </c>
      <c r="S145" s="33">
        <v>25.248196590215599</v>
      </c>
      <c r="T145" s="33">
        <v>25.1901206622105</v>
      </c>
      <c r="U145" s="15">
        <v>-4.3964076819916703E-3</v>
      </c>
      <c r="V145" s="15">
        <v>-1.2588382776482199E-3</v>
      </c>
      <c r="W145" s="15">
        <v>-3.5616888418246399E-3</v>
      </c>
      <c r="X145" s="34">
        <v>0.99883309694483802</v>
      </c>
      <c r="Y145" s="34">
        <v>0.99838446436414396</v>
      </c>
      <c r="Z145" s="34">
        <v>0.99867238377075995</v>
      </c>
      <c r="AA145" s="34">
        <v>0.99852409453254698</v>
      </c>
      <c r="AB145" s="33">
        <v>26.044855521867401</v>
      </c>
      <c r="AC145" s="33">
        <v>26.0521766407455</v>
      </c>
      <c r="AD145" s="33">
        <v>26.049398101757301</v>
      </c>
      <c r="AE145" s="15">
        <v>-4.4925760410947799E-4</v>
      </c>
      <c r="AF145" s="15">
        <v>-1.6820056026593699E-4</v>
      </c>
      <c r="AG145" s="15">
        <v>-2.7485910195506599E-4</v>
      </c>
      <c r="AI145" s="12"/>
      <c r="AJ145">
        <f t="shared" si="26"/>
        <v>0</v>
      </c>
      <c r="AK145">
        <f t="shared" si="27"/>
        <v>0</v>
      </c>
      <c r="AL145">
        <f t="shared" si="34"/>
        <v>0</v>
      </c>
      <c r="AM145">
        <f t="shared" si="24"/>
        <v>1</v>
      </c>
      <c r="AN145">
        <f t="shared" si="35"/>
        <v>0</v>
      </c>
      <c r="AO145" s="28">
        <f t="shared" si="28"/>
        <v>0</v>
      </c>
      <c r="AP145" s="28">
        <f t="shared" si="29"/>
        <v>0</v>
      </c>
      <c r="AQ145" s="28">
        <f t="shared" si="36"/>
        <v>0</v>
      </c>
      <c r="AR145" s="29">
        <f t="shared" si="37"/>
        <v>1.3938360622273601E-2</v>
      </c>
      <c r="AT145" s="12"/>
      <c r="AU145">
        <f t="shared" si="30"/>
        <v>0</v>
      </c>
      <c r="AV145">
        <f t="shared" si="31"/>
        <v>1</v>
      </c>
      <c r="AW145">
        <f t="shared" si="38"/>
        <v>0</v>
      </c>
      <c r="AX145">
        <f t="shared" si="25"/>
        <v>1</v>
      </c>
      <c r="AY145">
        <f t="shared" si="39"/>
        <v>0</v>
      </c>
      <c r="AZ145" s="28">
        <f t="shared" si="32"/>
        <v>0</v>
      </c>
      <c r="BA145" s="28">
        <f t="shared" si="33"/>
        <v>0</v>
      </c>
      <c r="BB145" s="28">
        <f t="shared" si="40"/>
        <v>0</v>
      </c>
      <c r="BC145" s="29">
        <f t="shared" si="41"/>
        <v>2.0938113780232481E-2</v>
      </c>
      <c r="BE145" s="29">
        <f t="shared" si="42"/>
        <v>0</v>
      </c>
      <c r="BF145" s="29">
        <f t="shared" si="43"/>
        <v>3.4876474402506082E-2</v>
      </c>
      <c r="BH145" s="29"/>
    </row>
    <row r="146" spans="1:60" x14ac:dyDescent="0.25">
      <c r="A146" s="1">
        <v>46234</v>
      </c>
      <c r="B146" s="33">
        <v>25.13</v>
      </c>
      <c r="C146" s="33">
        <v>25.23</v>
      </c>
      <c r="D146" s="15">
        <v>-3.9785160660061702E-4</v>
      </c>
      <c r="E146" s="15">
        <v>-1.97980662569036E-3</v>
      </c>
      <c r="F146" s="33">
        <v>0</v>
      </c>
      <c r="G146" s="33">
        <v>0.94699999999999995</v>
      </c>
      <c r="H146" s="33">
        <v>0</v>
      </c>
      <c r="I146" s="33">
        <v>0.776559</v>
      </c>
      <c r="J146" s="33">
        <v>0.94699999999999995</v>
      </c>
      <c r="K146" s="33">
        <v>0.776559</v>
      </c>
      <c r="L146" s="33">
        <v>26.076999999999899</v>
      </c>
      <c r="M146" s="33">
        <v>26.006558999999999</v>
      </c>
      <c r="N146" s="34">
        <v>1.0039793076004699</v>
      </c>
      <c r="O146" s="34">
        <v>1.0011576279691501</v>
      </c>
      <c r="P146" s="34">
        <v>1.0053373769687199</v>
      </c>
      <c r="Q146" s="34">
        <v>1.00239204783209</v>
      </c>
      <c r="R146" s="33">
        <v>25.1590911908648</v>
      </c>
      <c r="S146" s="33">
        <v>25.2521479837756</v>
      </c>
      <c r="T146" s="33">
        <v>25.186103874727699</v>
      </c>
      <c r="U146" s="15">
        <v>-2.8144526629019701E-3</v>
      </c>
      <c r="V146" s="15">
        <v>8.7745811465144504E-4</v>
      </c>
      <c r="W146" s="15">
        <v>-1.74135377353111E-3</v>
      </c>
      <c r="X146" s="34">
        <v>0.99729873068220998</v>
      </c>
      <c r="Y146" s="34">
        <v>0.99838446436414396</v>
      </c>
      <c r="Z146" s="34">
        <v>0.998602497397994</v>
      </c>
      <c r="AA146" s="34">
        <v>0.99841281973926499</v>
      </c>
      <c r="AB146" s="33">
        <v>26.034871677223698</v>
      </c>
      <c r="AC146" s="33">
        <v>26.042379751590101</v>
      </c>
      <c r="AD146" s="33">
        <v>26.038512813125202</v>
      </c>
      <c r="AE146" s="15">
        <v>1.0880823086029199E-3</v>
      </c>
      <c r="AF146" s="15">
        <v>1.3764260369044201E-3</v>
      </c>
      <c r="AG146" s="15">
        <v>1.2279286405827801E-3</v>
      </c>
      <c r="AI146" s="12"/>
      <c r="AJ146">
        <f t="shared" si="26"/>
        <v>0</v>
      </c>
      <c r="AK146">
        <f t="shared" si="27"/>
        <v>1</v>
      </c>
      <c r="AL146">
        <f t="shared" si="34"/>
        <v>0</v>
      </c>
      <c r="AM146">
        <f t="shared" si="24"/>
        <v>0</v>
      </c>
      <c r="AN146">
        <f t="shared" si="35"/>
        <v>0</v>
      </c>
      <c r="AO146" s="28">
        <f t="shared" si="28"/>
        <v>0</v>
      </c>
      <c r="AP146" s="28">
        <f t="shared" si="29"/>
        <v>0</v>
      </c>
      <c r="AQ146" s="28">
        <f t="shared" si="36"/>
        <v>0</v>
      </c>
      <c r="AR146" s="29">
        <f t="shared" si="37"/>
        <v>1.3938360622273601E-2</v>
      </c>
      <c r="AT146" s="12"/>
      <c r="AU146">
        <f t="shared" si="30"/>
        <v>1</v>
      </c>
      <c r="AV146">
        <f t="shared" si="31"/>
        <v>0</v>
      </c>
      <c r="AW146">
        <f t="shared" si="38"/>
        <v>0</v>
      </c>
      <c r="AX146">
        <f t="shared" si="25"/>
        <v>0</v>
      </c>
      <c r="AY146">
        <f t="shared" si="39"/>
        <v>0</v>
      </c>
      <c r="AZ146" s="28">
        <f t="shared" si="32"/>
        <v>0</v>
      </c>
      <c r="BA146" s="28">
        <f t="shared" si="33"/>
        <v>0</v>
      </c>
      <c r="BB146" s="28">
        <f t="shared" si="40"/>
        <v>0</v>
      </c>
      <c r="BC146" s="29">
        <f t="shared" si="41"/>
        <v>2.0938113780232481E-2</v>
      </c>
      <c r="BE146" s="29">
        <f t="shared" si="42"/>
        <v>0</v>
      </c>
      <c r="BF146" s="29">
        <f t="shared" si="43"/>
        <v>3.4876474402506082E-2</v>
      </c>
      <c r="BH146" s="29"/>
    </row>
    <row r="147" spans="1:60" x14ac:dyDescent="0.25">
      <c r="A147" s="1">
        <v>46237</v>
      </c>
      <c r="B147" s="33">
        <v>25.22</v>
      </c>
      <c r="C147" s="33">
        <v>25.23</v>
      </c>
      <c r="D147" s="15">
        <v>3.5749789812727301E-3</v>
      </c>
      <c r="E147" s="15">
        <v>0</v>
      </c>
      <c r="F147" s="33">
        <v>0</v>
      </c>
      <c r="G147" s="33">
        <v>0.94699999999999995</v>
      </c>
      <c r="H147" s="33">
        <v>0.12787899999999999</v>
      </c>
      <c r="I147" s="33">
        <v>0.90443799999999996</v>
      </c>
      <c r="J147" s="33">
        <v>0.94699999999999995</v>
      </c>
      <c r="K147" s="33">
        <v>0.90443799999999996</v>
      </c>
      <c r="L147" s="33">
        <v>26.166999999999899</v>
      </c>
      <c r="M147" s="33">
        <v>26.134437999999999</v>
      </c>
      <c r="N147" s="34">
        <v>1.00039651070578</v>
      </c>
      <c r="O147" s="34">
        <v>1.0011576279691501</v>
      </c>
      <c r="P147" s="34">
        <v>1.0048221330729901</v>
      </c>
      <c r="Q147" s="34">
        <v>1.0023724567335599</v>
      </c>
      <c r="R147" s="33">
        <v>25.249195377382101</v>
      </c>
      <c r="S147" s="33">
        <v>25.354608647151199</v>
      </c>
      <c r="T147" s="33">
        <v>25.280327446325401</v>
      </c>
      <c r="U147" s="15">
        <v>7.60526318370754E-4</v>
      </c>
      <c r="V147" s="15">
        <v>4.9267515370626201E-3</v>
      </c>
      <c r="W147" s="15">
        <v>1.99275932366445E-3</v>
      </c>
      <c r="X147" s="34">
        <v>0.99875560820881204</v>
      </c>
      <c r="Y147" s="34">
        <v>0.99838446436414396</v>
      </c>
      <c r="Z147" s="34">
        <v>0.99859434732763497</v>
      </c>
      <c r="AA147" s="34">
        <v>0.99837436156152404</v>
      </c>
      <c r="AB147" s="33">
        <v>26.1247262790165</v>
      </c>
      <c r="AC147" s="33">
        <v>26.130431549413299</v>
      </c>
      <c r="AD147" s="33">
        <v>26.125468254117301</v>
      </c>
      <c r="AE147" s="15">
        <v>-3.7167533117744801E-4</v>
      </c>
      <c r="AF147" s="15">
        <v>-1.53313329931149E-4</v>
      </c>
      <c r="AG147" s="15">
        <v>-3.4327447611995202E-4</v>
      </c>
      <c r="AI147" s="12"/>
      <c r="AJ147">
        <f t="shared" si="26"/>
        <v>0</v>
      </c>
      <c r="AK147">
        <f t="shared" si="27"/>
        <v>0</v>
      </c>
      <c r="AL147">
        <f t="shared" si="34"/>
        <v>0</v>
      </c>
      <c r="AM147">
        <f t="shared" si="24"/>
        <v>1</v>
      </c>
      <c r="AN147">
        <f t="shared" si="35"/>
        <v>0</v>
      </c>
      <c r="AO147" s="28">
        <f t="shared" si="28"/>
        <v>0</v>
      </c>
      <c r="AP147" s="28">
        <f t="shared" si="29"/>
        <v>0</v>
      </c>
      <c r="AQ147" s="28">
        <f t="shared" si="36"/>
        <v>0</v>
      </c>
      <c r="AR147" s="29">
        <f t="shared" si="37"/>
        <v>1.3938360622273601E-2</v>
      </c>
      <c r="AT147" s="12"/>
      <c r="AU147">
        <f t="shared" si="30"/>
        <v>0</v>
      </c>
      <c r="AV147">
        <f t="shared" si="31"/>
        <v>1</v>
      </c>
      <c r="AW147">
        <f t="shared" si="38"/>
        <v>0</v>
      </c>
      <c r="AX147">
        <f t="shared" si="25"/>
        <v>1</v>
      </c>
      <c r="AY147">
        <f t="shared" si="39"/>
        <v>0</v>
      </c>
      <c r="AZ147" s="28">
        <f t="shared" si="32"/>
        <v>0</v>
      </c>
      <c r="BA147" s="28">
        <f t="shared" si="33"/>
        <v>0</v>
      </c>
      <c r="BB147" s="28">
        <f t="shared" si="40"/>
        <v>0</v>
      </c>
      <c r="BC147" s="29">
        <f t="shared" si="41"/>
        <v>2.0938113780232481E-2</v>
      </c>
      <c r="BE147" s="29">
        <f t="shared" si="42"/>
        <v>0</v>
      </c>
      <c r="BF147" s="29">
        <f t="shared" si="43"/>
        <v>3.4876474402506082E-2</v>
      </c>
      <c r="BH147" s="29"/>
    </row>
    <row r="148" spans="1:60" x14ac:dyDescent="0.25">
      <c r="A148" s="1">
        <v>46238</v>
      </c>
      <c r="B148" s="33">
        <v>25.32</v>
      </c>
      <c r="C148" s="33">
        <v>25.32</v>
      </c>
      <c r="D148" s="15">
        <v>3.9572667392019202E-3</v>
      </c>
      <c r="E148" s="15">
        <v>3.5608346230089601E-3</v>
      </c>
      <c r="F148" s="33">
        <v>0</v>
      </c>
      <c r="G148" s="33">
        <v>0.94699999999999995</v>
      </c>
      <c r="H148" s="33">
        <v>0</v>
      </c>
      <c r="I148" s="33">
        <v>0.90443799999999996</v>
      </c>
      <c r="J148" s="33">
        <v>0.94699999999999995</v>
      </c>
      <c r="K148" s="33">
        <v>0.90443799999999996</v>
      </c>
      <c r="L148" s="33">
        <v>26.266999999999999</v>
      </c>
      <c r="M148" s="33">
        <v>26.224437999999999</v>
      </c>
      <c r="N148" s="34">
        <v>1</v>
      </c>
      <c r="O148" s="34">
        <v>1.0011576279691501</v>
      </c>
      <c r="P148" s="34">
        <v>1.0045045467292</v>
      </c>
      <c r="Q148" s="34">
        <v>1.0023724567335599</v>
      </c>
      <c r="R148" s="33">
        <v>25.349311140179001</v>
      </c>
      <c r="S148" s="33">
        <v>25.442096409408101</v>
      </c>
      <c r="T148" s="33">
        <v>25.380070604493799</v>
      </c>
      <c r="U148" s="15">
        <v>1.1569584345636401E-3</v>
      </c>
      <c r="V148" s="15">
        <v>4.8105438309520498E-3</v>
      </c>
      <c r="W148" s="15">
        <v>2.3696469013482998E-3</v>
      </c>
      <c r="X148" s="34">
        <v>0.99837963985228595</v>
      </c>
      <c r="Y148" s="34">
        <v>0.99838446436414396</v>
      </c>
      <c r="Z148" s="34">
        <v>0.99877833801830096</v>
      </c>
      <c r="AA148" s="34">
        <v>0.99835532719890896</v>
      </c>
      <c r="AB148" s="33">
        <v>26.2245647254529</v>
      </c>
      <c r="AC148" s="33">
        <v>26.230077721255</v>
      </c>
      <c r="AD148" s="33">
        <v>26.224299355136498</v>
      </c>
      <c r="AE148" s="15">
        <v>4.8323303170506399E-6</v>
      </c>
      <c r="AF148" s="15">
        <v>2.1503282221540599E-4</v>
      </c>
      <c r="AG148" s="15">
        <v>-5.2868713502552303E-6</v>
      </c>
      <c r="AI148" s="12"/>
      <c r="AJ148">
        <f t="shared" si="26"/>
        <v>0</v>
      </c>
      <c r="AK148">
        <f t="shared" si="27"/>
        <v>1</v>
      </c>
      <c r="AL148">
        <f t="shared" si="34"/>
        <v>0</v>
      </c>
      <c r="AM148">
        <f t="shared" si="24"/>
        <v>1</v>
      </c>
      <c r="AN148">
        <f t="shared" si="35"/>
        <v>0</v>
      </c>
      <c r="AO148" s="28">
        <f t="shared" si="28"/>
        <v>0</v>
      </c>
      <c r="AP148" s="28">
        <f t="shared" si="29"/>
        <v>0</v>
      </c>
      <c r="AQ148" s="28">
        <f t="shared" si="36"/>
        <v>0</v>
      </c>
      <c r="AR148" s="29">
        <f t="shared" si="37"/>
        <v>1.3938360622273601E-2</v>
      </c>
      <c r="AT148" s="12"/>
      <c r="AU148">
        <f t="shared" si="30"/>
        <v>0</v>
      </c>
      <c r="AV148">
        <f t="shared" si="31"/>
        <v>1</v>
      </c>
      <c r="AW148">
        <f t="shared" si="38"/>
        <v>0</v>
      </c>
      <c r="AX148">
        <f t="shared" si="25"/>
        <v>1</v>
      </c>
      <c r="AY148">
        <f t="shared" si="39"/>
        <v>0</v>
      </c>
      <c r="AZ148" s="28">
        <f t="shared" si="32"/>
        <v>0</v>
      </c>
      <c r="BA148" s="28">
        <f t="shared" si="33"/>
        <v>0</v>
      </c>
      <c r="BB148" s="28">
        <f t="shared" si="40"/>
        <v>0</v>
      </c>
      <c r="BC148" s="29">
        <f t="shared" si="41"/>
        <v>2.0938113780232481E-2</v>
      </c>
      <c r="BE148" s="29">
        <f t="shared" si="42"/>
        <v>0</v>
      </c>
      <c r="BF148" s="29">
        <f t="shared" si="43"/>
        <v>3.4876474402506082E-2</v>
      </c>
      <c r="BH148" s="29"/>
    </row>
    <row r="149" spans="1:60" x14ac:dyDescent="0.25">
      <c r="A149" s="1">
        <v>46239</v>
      </c>
      <c r="B149" s="33">
        <v>25.34</v>
      </c>
      <c r="C149" s="33">
        <v>25.3</v>
      </c>
      <c r="D149" s="15">
        <v>7.8957761701758196E-4</v>
      </c>
      <c r="E149" s="15">
        <v>-7.9020154250091304E-4</v>
      </c>
      <c r="F149" s="33">
        <v>0</v>
      </c>
      <c r="G149" s="33">
        <v>0.94699999999999995</v>
      </c>
      <c r="H149" s="33">
        <v>0</v>
      </c>
      <c r="I149" s="33">
        <v>0.90443799999999996</v>
      </c>
      <c r="J149" s="33">
        <v>0.94699999999999995</v>
      </c>
      <c r="K149" s="33">
        <v>0.90443799999999996</v>
      </c>
      <c r="L149" s="33">
        <v>26.286999999999999</v>
      </c>
      <c r="M149" s="33">
        <v>26.204438</v>
      </c>
      <c r="N149" s="34">
        <v>0.99842146803472698</v>
      </c>
      <c r="O149" s="34">
        <v>1.0011576279691501</v>
      </c>
      <c r="P149" s="34">
        <v>1.00378959046861</v>
      </c>
      <c r="Q149" s="34">
        <v>1.00245150801839</v>
      </c>
      <c r="R149" s="33">
        <v>25.369334292738401</v>
      </c>
      <c r="S149" s="33">
        <v>25.454145214118</v>
      </c>
      <c r="T149" s="33">
        <v>25.4001180536285</v>
      </c>
      <c r="U149" s="15">
        <v>2.7367375940821302E-3</v>
      </c>
      <c r="V149" s="15">
        <v>6.0742107827101597E-3</v>
      </c>
      <c r="W149" s="15">
        <v>3.9494260608666804E-3</v>
      </c>
      <c r="X149" s="34">
        <v>0.99685920797352301</v>
      </c>
      <c r="Y149" s="34">
        <v>0.99838446436414396</v>
      </c>
      <c r="Z149" s="34">
        <v>0.99858099386953203</v>
      </c>
      <c r="AA149" s="34">
        <v>0.99841345273976401</v>
      </c>
      <c r="AB149" s="33">
        <v>26.244532414740199</v>
      </c>
      <c r="AC149" s="33">
        <v>26.254886171487001</v>
      </c>
      <c r="AD149" s="33">
        <v>26.2437664860777</v>
      </c>
      <c r="AE149" s="15">
        <v>1.52889264492042E-3</v>
      </c>
      <c r="AF149" s="15">
        <v>1.92332584665338E-3</v>
      </c>
      <c r="AG149" s="15">
        <v>1.4997079055161901E-3</v>
      </c>
      <c r="AI149" s="12"/>
      <c r="AJ149">
        <f t="shared" si="26"/>
        <v>0</v>
      </c>
      <c r="AK149">
        <f t="shared" si="27"/>
        <v>1</v>
      </c>
      <c r="AL149">
        <f t="shared" si="34"/>
        <v>0</v>
      </c>
      <c r="AM149">
        <f t="shared" ref="AM149:AM176" si="44">IF(F150+H150&gt;0,0,1)</f>
        <v>1</v>
      </c>
      <c r="AN149">
        <f t="shared" si="35"/>
        <v>0</v>
      </c>
      <c r="AO149" s="28">
        <f t="shared" si="28"/>
        <v>0</v>
      </c>
      <c r="AP149" s="28">
        <f t="shared" si="29"/>
        <v>0</v>
      </c>
      <c r="AQ149" s="28">
        <f t="shared" si="36"/>
        <v>0</v>
      </c>
      <c r="AR149" s="29">
        <f t="shared" si="37"/>
        <v>1.3938360622273601E-2</v>
      </c>
      <c r="AT149" s="12"/>
      <c r="AU149">
        <f t="shared" si="30"/>
        <v>1</v>
      </c>
      <c r="AV149">
        <f t="shared" si="31"/>
        <v>0</v>
      </c>
      <c r="AW149">
        <f t="shared" si="38"/>
        <v>0</v>
      </c>
      <c r="AX149">
        <f t="shared" ref="AX149:AX176" si="45">IF(F150+H150&gt;0,0,1)</f>
        <v>1</v>
      </c>
      <c r="AY149">
        <f t="shared" si="39"/>
        <v>0</v>
      </c>
      <c r="AZ149" s="28">
        <f t="shared" si="32"/>
        <v>0</v>
      </c>
      <c r="BA149" s="28">
        <f t="shared" si="33"/>
        <v>0</v>
      </c>
      <c r="BB149" s="28">
        <f t="shared" si="40"/>
        <v>0</v>
      </c>
      <c r="BC149" s="29">
        <f t="shared" si="41"/>
        <v>2.0938113780232481E-2</v>
      </c>
      <c r="BE149" s="29">
        <f t="shared" si="42"/>
        <v>0</v>
      </c>
      <c r="BF149" s="29">
        <f t="shared" si="43"/>
        <v>3.4876474402506082E-2</v>
      </c>
      <c r="BH149" s="29"/>
    </row>
    <row r="150" spans="1:60" x14ac:dyDescent="0.25">
      <c r="A150" s="1">
        <v>46240</v>
      </c>
      <c r="B150" s="33">
        <v>25.29</v>
      </c>
      <c r="C150" s="33">
        <v>25.34</v>
      </c>
      <c r="D150" s="15">
        <v>-1.9751142111192302E-3</v>
      </c>
      <c r="E150" s="15">
        <v>1.5797791595184301E-3</v>
      </c>
      <c r="F150" s="33">
        <v>0</v>
      </c>
      <c r="G150" s="33">
        <v>0.94699999999999995</v>
      </c>
      <c r="H150" s="33">
        <v>0</v>
      </c>
      <c r="I150" s="33">
        <v>0.90443799999999996</v>
      </c>
      <c r="J150" s="33">
        <v>0.94699999999999995</v>
      </c>
      <c r="K150" s="33">
        <v>0.90443799999999996</v>
      </c>
      <c r="L150" s="33">
        <v>26.236999999999998</v>
      </c>
      <c r="M150" s="33">
        <v>26.244437999999999</v>
      </c>
      <c r="N150" s="34">
        <v>1.0019770660339999</v>
      </c>
      <c r="O150" s="34">
        <v>1.0011576279691501</v>
      </c>
      <c r="P150" s="34">
        <v>1.0032684472317499</v>
      </c>
      <c r="Q150" s="34">
        <v>1.0025108980209601</v>
      </c>
      <c r="R150" s="33">
        <v>25.319276411339899</v>
      </c>
      <c r="S150" s="33">
        <v>25.385838742951201</v>
      </c>
      <c r="T150" s="33">
        <v>25.351998637785201</v>
      </c>
      <c r="U150" s="15">
        <v>-8.1815577655557797E-4</v>
      </c>
      <c r="V150" s="15">
        <v>1.80731384889393E-3</v>
      </c>
      <c r="W150" s="15">
        <v>4.7339376358386401E-4</v>
      </c>
      <c r="X150" s="34">
        <v>1.0002834927773701</v>
      </c>
      <c r="Y150" s="34">
        <v>0.99838446436414396</v>
      </c>
      <c r="Z150" s="34">
        <v>0.99857255937076606</v>
      </c>
      <c r="AA150" s="34">
        <v>0.99845141605123999</v>
      </c>
      <c r="AB150" s="33">
        <v>26.194613191521999</v>
      </c>
      <c r="AC150" s="33">
        <v>26.1997695361549</v>
      </c>
      <c r="AD150" s="33">
        <v>26.195373759533201</v>
      </c>
      <c r="AE150" s="15">
        <v>-1.9002946216388999E-3</v>
      </c>
      <c r="AF150" s="15">
        <v>-1.70346647399935E-3</v>
      </c>
      <c r="AG150" s="15">
        <v>-1.8712597599998999E-3</v>
      </c>
      <c r="AI150" s="12"/>
      <c r="AJ150">
        <f t="shared" ref="AJ150:AJ176" si="46">IF($AG150&lt;AI$21,1,0)</f>
        <v>1</v>
      </c>
      <c r="AK150">
        <f t="shared" ref="AK150:AK176" si="47">IF($AG150&gt;AI$22,1,0)</f>
        <v>0</v>
      </c>
      <c r="AL150">
        <f t="shared" si="34"/>
        <v>0</v>
      </c>
      <c r="AM150">
        <f t="shared" si="44"/>
        <v>1</v>
      </c>
      <c r="AN150">
        <f t="shared" si="35"/>
        <v>0</v>
      </c>
      <c r="AO150" s="28">
        <f t="shared" ref="AO150:AO176" si="48">AN150*D150</f>
        <v>0</v>
      </c>
      <c r="AP150" s="28">
        <f t="shared" ref="AP150:AP176" si="49">-AN150*$E150</f>
        <v>0</v>
      </c>
      <c r="AQ150" s="28">
        <f t="shared" si="36"/>
        <v>0</v>
      </c>
      <c r="AR150" s="29">
        <f t="shared" si="37"/>
        <v>1.3938360622273601E-2</v>
      </c>
      <c r="AT150" s="12"/>
      <c r="AU150">
        <f t="shared" ref="AU150:AU176" si="50">IF($AG150&gt;AT$21,1,0)</f>
        <v>0</v>
      </c>
      <c r="AV150">
        <f t="shared" ref="AV150:AV176" si="51">IF($AG150&lt;AT$22,1,0)</f>
        <v>1</v>
      </c>
      <c r="AW150">
        <f t="shared" si="38"/>
        <v>1</v>
      </c>
      <c r="AX150">
        <f t="shared" si="45"/>
        <v>1</v>
      </c>
      <c r="AY150">
        <f t="shared" si="39"/>
        <v>1</v>
      </c>
      <c r="AZ150" s="28">
        <f t="shared" ref="AZ150:AZ176" si="52">-AY150*D150</f>
        <v>1.9751142111192302E-3</v>
      </c>
      <c r="BA150" s="28">
        <f t="shared" ref="BA150:BA176" si="53">AY150*$E150</f>
        <v>1.5797791595184301E-3</v>
      </c>
      <c r="BB150" s="28">
        <f t="shared" si="40"/>
        <v>3.5548933706376603E-3</v>
      </c>
      <c r="BC150" s="29">
        <f t="shared" si="41"/>
        <v>2.449300715087014E-2</v>
      </c>
      <c r="BE150" s="29">
        <f t="shared" si="42"/>
        <v>3.5548933706376603E-3</v>
      </c>
      <c r="BF150" s="29">
        <f t="shared" si="43"/>
        <v>3.8431367773143744E-2</v>
      </c>
      <c r="BH150" s="29"/>
    </row>
    <row r="151" spans="1:60" x14ac:dyDescent="0.25">
      <c r="A151" s="1">
        <v>46241</v>
      </c>
      <c r="B151" s="33">
        <v>25.32</v>
      </c>
      <c r="C151" s="33">
        <v>25.31</v>
      </c>
      <c r="D151" s="15">
        <v>1.18553659410176E-3</v>
      </c>
      <c r="E151" s="15">
        <v>-1.1846003359604E-3</v>
      </c>
      <c r="F151" s="33">
        <v>0</v>
      </c>
      <c r="G151" s="33">
        <v>0.94699999999999995</v>
      </c>
      <c r="H151" s="33">
        <v>0</v>
      </c>
      <c r="I151" s="33">
        <v>0.90443799999999996</v>
      </c>
      <c r="J151" s="33">
        <v>0.94699999999999995</v>
      </c>
      <c r="K151" s="33">
        <v>0.90443799999999996</v>
      </c>
      <c r="L151" s="33">
        <v>26.266999999999999</v>
      </c>
      <c r="M151" s="33">
        <v>26.214437999999902</v>
      </c>
      <c r="N151" s="34">
        <v>0.99960505529225896</v>
      </c>
      <c r="O151" s="34">
        <v>1.0011576279691501</v>
      </c>
      <c r="P151" s="34">
        <v>1.00266984732967</v>
      </c>
      <c r="Q151" s="34">
        <v>1.0025306452563501</v>
      </c>
      <c r="R151" s="33">
        <v>25.349311140179001</v>
      </c>
      <c r="S151" s="33">
        <v>25.402757083908</v>
      </c>
      <c r="T151" s="33">
        <v>25.3835759378908</v>
      </c>
      <c r="U151" s="15">
        <v>1.55198115350651E-3</v>
      </c>
      <c r="V151" s="15">
        <v>3.6581401872560399E-3</v>
      </c>
      <c r="W151" s="15">
        <v>2.9027737022995501E-3</v>
      </c>
      <c r="X151" s="34">
        <v>0.99799893402367901</v>
      </c>
      <c r="Y151" s="34">
        <v>0.99838446436414396</v>
      </c>
      <c r="Z151" s="34">
        <v>0.99848959211203403</v>
      </c>
      <c r="AA151" s="34">
        <v>0.99845171293804102</v>
      </c>
      <c r="AB151" s="33">
        <v>26.2245647254529</v>
      </c>
      <c r="AC151" s="33">
        <v>26.229505416991898</v>
      </c>
      <c r="AD151" s="33">
        <v>26.226323345417899</v>
      </c>
      <c r="AE151" s="15">
        <v>3.86228763040961E-4</v>
      </c>
      <c r="AF151" s="15">
        <v>5.7461039062961798E-4</v>
      </c>
      <c r="AG151" s="15">
        <v>4.5328653957367102E-4</v>
      </c>
      <c r="AI151" s="12"/>
      <c r="AJ151">
        <f t="shared" si="46"/>
        <v>0</v>
      </c>
      <c r="AK151">
        <f t="shared" si="47"/>
        <v>1</v>
      </c>
      <c r="AL151">
        <f t="shared" ref="AL151:AL176" si="54">AN151</f>
        <v>1</v>
      </c>
      <c r="AM151">
        <f t="shared" si="44"/>
        <v>1</v>
      </c>
      <c r="AN151">
        <f t="shared" ref="AN151:AN176" si="55">IF(AJ150,1,IF(AK150,0,AL150))*AM150</f>
        <v>1</v>
      </c>
      <c r="AO151" s="28">
        <f t="shared" si="48"/>
        <v>1.18553659410176E-3</v>
      </c>
      <c r="AP151" s="28">
        <f t="shared" si="49"/>
        <v>1.1846003359604E-3</v>
      </c>
      <c r="AQ151" s="28">
        <f t="shared" ref="AQ151:AQ176" si="56">AO151+AP151</f>
        <v>2.3701369300621602E-3</v>
      </c>
      <c r="AR151" s="29">
        <f t="shared" ref="AR151:AR176" si="57">AR150+AQ151</f>
        <v>1.6308497552335762E-2</v>
      </c>
      <c r="AT151" s="12"/>
      <c r="AU151">
        <f t="shared" si="50"/>
        <v>0</v>
      </c>
      <c r="AV151">
        <f t="shared" si="51"/>
        <v>0</v>
      </c>
      <c r="AW151">
        <f t="shared" ref="AW151:AW176" si="58">AY151</f>
        <v>0</v>
      </c>
      <c r="AX151">
        <f t="shared" si="45"/>
        <v>1</v>
      </c>
      <c r="AY151">
        <f t="shared" ref="AY151:AY176" si="59">IF(AU150,1,IF(AV150,0,AW150))*AX150</f>
        <v>0</v>
      </c>
      <c r="AZ151" s="28">
        <f t="shared" si="52"/>
        <v>0</v>
      </c>
      <c r="BA151" s="28">
        <f t="shared" si="53"/>
        <v>0</v>
      </c>
      <c r="BB151" s="28">
        <f t="shared" ref="BB151:BB176" si="60">AZ151+BA151</f>
        <v>0</v>
      </c>
      <c r="BC151" s="29">
        <f t="shared" ref="BC151:BC176" si="61">BC150+BB151</f>
        <v>2.449300715087014E-2</v>
      </c>
      <c r="BE151" s="29">
        <f t="shared" ref="BE151:BE176" si="62">AQ151+BB151</f>
        <v>2.3701369300621602E-3</v>
      </c>
      <c r="BF151" s="29">
        <f t="shared" ref="BF151:BF176" si="63">BF150+BE151</f>
        <v>4.0801504703205906E-2</v>
      </c>
      <c r="BH151" s="29"/>
    </row>
    <row r="152" spans="1:60" x14ac:dyDescent="0.25">
      <c r="A152" s="1">
        <v>46244</v>
      </c>
      <c r="B152" s="33">
        <v>25.27</v>
      </c>
      <c r="C152" s="33">
        <v>25.32</v>
      </c>
      <c r="D152" s="15">
        <v>-1.9766758758726398E-3</v>
      </c>
      <c r="E152" s="15">
        <v>3.9502271894281698E-4</v>
      </c>
      <c r="F152" s="33">
        <v>0</v>
      </c>
      <c r="G152" s="33">
        <v>0.94699999999999995</v>
      </c>
      <c r="H152" s="33">
        <v>0</v>
      </c>
      <c r="I152" s="33">
        <v>0.90443799999999996</v>
      </c>
      <c r="J152" s="33">
        <v>0.94699999999999995</v>
      </c>
      <c r="K152" s="33">
        <v>0.90443799999999996</v>
      </c>
      <c r="L152" s="33">
        <v>26.216999999999999</v>
      </c>
      <c r="M152" s="33">
        <v>26.224437999999999</v>
      </c>
      <c r="N152" s="34">
        <v>1.0019786307874901</v>
      </c>
      <c r="O152" s="34">
        <v>1.0011576279691501</v>
      </c>
      <c r="P152" s="34">
        <v>1.00230882817289</v>
      </c>
      <c r="Q152" s="34">
        <v>1.0026097904878499</v>
      </c>
      <c r="R152" s="33">
        <v>25.299253258780499</v>
      </c>
      <c r="S152" s="33">
        <v>25.337467042020801</v>
      </c>
      <c r="T152" s="33">
        <v>25.333949405628001</v>
      </c>
      <c r="U152" s="15">
        <v>-8.1971744130893305E-4</v>
      </c>
      <c r="V152" s="15">
        <v>6.8961374237610899E-4</v>
      </c>
      <c r="W152" s="15">
        <v>5.50772689764796E-4</v>
      </c>
      <c r="X152" s="34">
        <v>1.00028370904375</v>
      </c>
      <c r="Y152" s="34">
        <v>0.99838446436414396</v>
      </c>
      <c r="Z152" s="34">
        <v>0.99863505729651803</v>
      </c>
      <c r="AA152" s="34">
        <v>0.99850892342953301</v>
      </c>
      <c r="AB152" s="33">
        <v>26.1746455022347</v>
      </c>
      <c r="AC152" s="33">
        <v>26.1774016364012</v>
      </c>
      <c r="AD152" s="33">
        <v>26.1764085580966</v>
      </c>
      <c r="AE152" s="15">
        <v>-1.90051082669773E-3</v>
      </c>
      <c r="AF152" s="15">
        <v>-1.79521850979275E-3</v>
      </c>
      <c r="AG152" s="15">
        <v>-1.83315570294058E-3</v>
      </c>
      <c r="AI152" s="12"/>
      <c r="AJ152">
        <f t="shared" si="46"/>
        <v>1</v>
      </c>
      <c r="AK152">
        <f t="shared" si="47"/>
        <v>0</v>
      </c>
      <c r="AL152">
        <f t="shared" si="54"/>
        <v>0</v>
      </c>
      <c r="AM152">
        <f t="shared" si="44"/>
        <v>1</v>
      </c>
      <c r="AN152">
        <f t="shared" si="55"/>
        <v>0</v>
      </c>
      <c r="AO152" s="28">
        <f t="shared" si="48"/>
        <v>0</v>
      </c>
      <c r="AP152" s="28">
        <f t="shared" si="49"/>
        <v>0</v>
      </c>
      <c r="AQ152" s="28">
        <f t="shared" si="56"/>
        <v>0</v>
      </c>
      <c r="AR152" s="29">
        <f t="shared" si="57"/>
        <v>1.6308497552335762E-2</v>
      </c>
      <c r="AT152" s="12"/>
      <c r="AU152">
        <f t="shared" si="50"/>
        <v>0</v>
      </c>
      <c r="AV152">
        <f t="shared" si="51"/>
        <v>1</v>
      </c>
      <c r="AW152">
        <f t="shared" si="58"/>
        <v>0</v>
      </c>
      <c r="AX152">
        <f t="shared" si="45"/>
        <v>1</v>
      </c>
      <c r="AY152">
        <f t="shared" si="59"/>
        <v>0</v>
      </c>
      <c r="AZ152" s="28">
        <f t="shared" si="52"/>
        <v>0</v>
      </c>
      <c r="BA152" s="28">
        <f t="shared" si="53"/>
        <v>0</v>
      </c>
      <c r="BB152" s="28">
        <f t="shared" si="60"/>
        <v>0</v>
      </c>
      <c r="BC152" s="29">
        <f t="shared" si="61"/>
        <v>2.449300715087014E-2</v>
      </c>
      <c r="BE152" s="29">
        <f t="shared" si="62"/>
        <v>0</v>
      </c>
      <c r="BF152" s="29">
        <f t="shared" si="63"/>
        <v>4.0801504703205906E-2</v>
      </c>
      <c r="BH152" s="29"/>
    </row>
    <row r="153" spans="1:60" x14ac:dyDescent="0.25">
      <c r="A153" s="1">
        <v>46245</v>
      </c>
      <c r="B153" s="33">
        <v>25.28</v>
      </c>
      <c r="C153" s="33">
        <v>25.3</v>
      </c>
      <c r="D153" s="15">
        <v>3.9564787855396997E-4</v>
      </c>
      <c r="E153" s="15">
        <v>-7.9020154250091304E-4</v>
      </c>
      <c r="F153" s="33">
        <v>0</v>
      </c>
      <c r="G153" s="33">
        <v>0.94699999999999995</v>
      </c>
      <c r="H153" s="33">
        <v>0</v>
      </c>
      <c r="I153" s="33">
        <v>0.90443799999999996</v>
      </c>
      <c r="J153" s="33">
        <v>0.94699999999999995</v>
      </c>
      <c r="K153" s="33">
        <v>0.90443799999999996</v>
      </c>
      <c r="L153" s="33">
        <v>26.227</v>
      </c>
      <c r="M153" s="33">
        <v>26.204438</v>
      </c>
      <c r="N153" s="34">
        <v>1.0007911392405</v>
      </c>
      <c r="O153" s="34">
        <v>1.0011576279691501</v>
      </c>
      <c r="P153" s="34">
        <v>1.0017109209898101</v>
      </c>
      <c r="Q153" s="34">
        <v>1.00282721306252</v>
      </c>
      <c r="R153" s="33">
        <v>25.309264835060201</v>
      </c>
      <c r="S153" s="33">
        <v>25.338367176210699</v>
      </c>
      <c r="T153" s="33">
        <v>25.345975503532902</v>
      </c>
      <c r="U153" s="15">
        <v>3.66131979745861E-4</v>
      </c>
      <c r="V153" s="15">
        <v>1.5153404697662799E-3</v>
      </c>
      <c r="W153" s="15">
        <v>1.81556444336676E-3</v>
      </c>
      <c r="X153" s="34">
        <v>0.99913974148777895</v>
      </c>
      <c r="Y153" s="34">
        <v>0.99838446436414396</v>
      </c>
      <c r="Z153" s="34">
        <v>0.99855072388878496</v>
      </c>
      <c r="AA153" s="34">
        <v>0.99870039095127705</v>
      </c>
      <c r="AB153" s="33">
        <v>26.184629346878399</v>
      </c>
      <c r="AC153" s="33">
        <v>26.191201647715701</v>
      </c>
      <c r="AD153" s="33">
        <v>26.187893534786301</v>
      </c>
      <c r="AE153" s="15">
        <v>-7.56213273826766E-4</v>
      </c>
      <c r="AF153" s="15">
        <v>-5.0524633938151204E-4</v>
      </c>
      <c r="AG153" s="15">
        <v>-6.3156058449411595E-4</v>
      </c>
      <c r="AI153" s="12"/>
      <c r="AJ153">
        <f t="shared" si="46"/>
        <v>0</v>
      </c>
      <c r="AK153">
        <f t="shared" si="47"/>
        <v>0</v>
      </c>
      <c r="AL153">
        <f t="shared" si="54"/>
        <v>1</v>
      </c>
      <c r="AM153">
        <f t="shared" si="44"/>
        <v>1</v>
      </c>
      <c r="AN153">
        <f t="shared" si="55"/>
        <v>1</v>
      </c>
      <c r="AO153" s="28">
        <f t="shared" si="48"/>
        <v>3.9564787855396997E-4</v>
      </c>
      <c r="AP153" s="28">
        <f t="shared" si="49"/>
        <v>7.9020154250091304E-4</v>
      </c>
      <c r="AQ153" s="28">
        <f t="shared" si="56"/>
        <v>1.1858494210548829E-3</v>
      </c>
      <c r="AR153" s="29">
        <f t="shared" si="57"/>
        <v>1.7494346973390647E-2</v>
      </c>
      <c r="AT153" s="12"/>
      <c r="AU153">
        <f t="shared" si="50"/>
        <v>0</v>
      </c>
      <c r="AV153">
        <f t="shared" si="51"/>
        <v>1</v>
      </c>
      <c r="AW153">
        <f t="shared" si="58"/>
        <v>0</v>
      </c>
      <c r="AX153">
        <f t="shared" si="45"/>
        <v>1</v>
      </c>
      <c r="AY153">
        <f t="shared" si="59"/>
        <v>0</v>
      </c>
      <c r="AZ153" s="28">
        <f t="shared" si="52"/>
        <v>0</v>
      </c>
      <c r="BA153" s="28">
        <f t="shared" si="53"/>
        <v>0</v>
      </c>
      <c r="BB153" s="28">
        <f t="shared" si="60"/>
        <v>0</v>
      </c>
      <c r="BC153" s="29">
        <f t="shared" si="61"/>
        <v>2.449300715087014E-2</v>
      </c>
      <c r="BE153" s="29">
        <f t="shared" si="62"/>
        <v>1.1858494210548829E-3</v>
      </c>
      <c r="BF153" s="29">
        <f t="shared" si="63"/>
        <v>4.1987354124260787E-2</v>
      </c>
      <c r="BH153" s="29"/>
    </row>
    <row r="154" spans="1:60" x14ac:dyDescent="0.25">
      <c r="A154" s="1">
        <v>46246</v>
      </c>
      <c r="B154" s="33">
        <v>25.32</v>
      </c>
      <c r="C154" s="33">
        <v>25.32</v>
      </c>
      <c r="D154" s="15">
        <v>1.5810279973187699E-3</v>
      </c>
      <c r="E154" s="15">
        <v>7.9020154250088203E-4</v>
      </c>
      <c r="F154" s="33">
        <v>0</v>
      </c>
      <c r="G154" s="33">
        <v>0.94699999999999995</v>
      </c>
      <c r="H154" s="33">
        <v>0</v>
      </c>
      <c r="I154" s="33">
        <v>0.90443799999999996</v>
      </c>
      <c r="J154" s="33">
        <v>0.94699999999999995</v>
      </c>
      <c r="K154" s="33">
        <v>0.90443799999999996</v>
      </c>
      <c r="L154" s="33">
        <v>26.266999999999999</v>
      </c>
      <c r="M154" s="33">
        <v>26.224437999999999</v>
      </c>
      <c r="N154" s="34">
        <v>1</v>
      </c>
      <c r="O154" s="34">
        <v>1.0011576279691501</v>
      </c>
      <c r="P154" s="34">
        <v>1.00127179923332</v>
      </c>
      <c r="Q154" s="34">
        <v>1.0027877808858701</v>
      </c>
      <c r="R154" s="33">
        <v>25.349311140179001</v>
      </c>
      <c r="S154" s="33">
        <v>25.3633205194621</v>
      </c>
      <c r="T154" s="33">
        <v>25.391585034743098</v>
      </c>
      <c r="U154" s="15">
        <v>1.1569584345636401E-3</v>
      </c>
      <c r="V154" s="15">
        <v>1.70945903179139E-3</v>
      </c>
      <c r="W154" s="15">
        <v>2.82322401250368E-3</v>
      </c>
      <c r="X154" s="34">
        <v>0.99837963985228595</v>
      </c>
      <c r="Y154" s="34">
        <v>0.99838446436414396</v>
      </c>
      <c r="Z154" s="34">
        <v>0.99862118008465395</v>
      </c>
      <c r="AA154" s="34">
        <v>0.99864314343569405</v>
      </c>
      <c r="AB154" s="33">
        <v>26.2245647254529</v>
      </c>
      <c r="AC154" s="33">
        <v>26.228931864386698</v>
      </c>
      <c r="AD154" s="33">
        <v>26.232863169117199</v>
      </c>
      <c r="AE154" s="15">
        <v>4.8323303170506399E-6</v>
      </c>
      <c r="AF154" s="15">
        <v>1.71347023436378E-4</v>
      </c>
      <c r="AG154" s="15">
        <v>3.2122007811577702E-4</v>
      </c>
      <c r="AI154" s="12"/>
      <c r="AJ154">
        <f t="shared" si="46"/>
        <v>0</v>
      </c>
      <c r="AK154">
        <f t="shared" si="47"/>
        <v>1</v>
      </c>
      <c r="AL154">
        <f t="shared" si="54"/>
        <v>1</v>
      </c>
      <c r="AM154">
        <f t="shared" si="44"/>
        <v>1</v>
      </c>
      <c r="AN154">
        <f t="shared" si="55"/>
        <v>1</v>
      </c>
      <c r="AO154" s="28">
        <f t="shared" si="48"/>
        <v>1.5810279973187699E-3</v>
      </c>
      <c r="AP154" s="28">
        <f t="shared" si="49"/>
        <v>-7.9020154250088203E-4</v>
      </c>
      <c r="AQ154" s="28">
        <f t="shared" si="56"/>
        <v>7.9082645481788789E-4</v>
      </c>
      <c r="AR154" s="29">
        <f t="shared" si="57"/>
        <v>1.8285173428208533E-2</v>
      </c>
      <c r="AT154" s="12"/>
      <c r="AU154">
        <f t="shared" si="50"/>
        <v>0</v>
      </c>
      <c r="AV154">
        <f t="shared" si="51"/>
        <v>0</v>
      </c>
      <c r="AW154">
        <f t="shared" si="58"/>
        <v>0</v>
      </c>
      <c r="AX154">
        <f t="shared" si="45"/>
        <v>1</v>
      </c>
      <c r="AY154">
        <f t="shared" si="59"/>
        <v>0</v>
      </c>
      <c r="AZ154" s="28">
        <f t="shared" si="52"/>
        <v>0</v>
      </c>
      <c r="BA154" s="28">
        <f t="shared" si="53"/>
        <v>0</v>
      </c>
      <c r="BB154" s="28">
        <f t="shared" si="60"/>
        <v>0</v>
      </c>
      <c r="BC154" s="29">
        <f t="shared" si="61"/>
        <v>2.449300715087014E-2</v>
      </c>
      <c r="BE154" s="29">
        <f t="shared" si="62"/>
        <v>7.9082645481788789E-4</v>
      </c>
      <c r="BF154" s="29">
        <f t="shared" si="63"/>
        <v>4.2778180579078673E-2</v>
      </c>
      <c r="BH154" s="29"/>
    </row>
    <row r="155" spans="1:60" x14ac:dyDescent="0.25">
      <c r="A155" s="1">
        <v>46247</v>
      </c>
      <c r="B155" s="33">
        <v>25.39</v>
      </c>
      <c r="C155" s="33">
        <v>25.41</v>
      </c>
      <c r="D155" s="15">
        <v>2.7607984406117199E-3</v>
      </c>
      <c r="E155" s="15">
        <v>3.5482000560971699E-3</v>
      </c>
      <c r="F155" s="33">
        <v>0</v>
      </c>
      <c r="G155" s="33">
        <v>0.94699999999999995</v>
      </c>
      <c r="H155" s="33">
        <v>0</v>
      </c>
      <c r="I155" s="33">
        <v>0.90443799999999996</v>
      </c>
      <c r="J155" s="33">
        <v>0.94699999999999995</v>
      </c>
      <c r="K155" s="33">
        <v>0.90443799999999996</v>
      </c>
      <c r="L155" s="33">
        <v>26.337</v>
      </c>
      <c r="M155" s="33">
        <v>26.314437999999999</v>
      </c>
      <c r="N155" s="34">
        <v>1.0007877116975099</v>
      </c>
      <c r="O155" s="34">
        <v>1.0011576279691501</v>
      </c>
      <c r="P155" s="34">
        <v>1.0007936889392699</v>
      </c>
      <c r="Q155" s="34">
        <v>1.00282716647074</v>
      </c>
      <c r="R155" s="33">
        <v>25.419392174136799</v>
      </c>
      <c r="S155" s="33">
        <v>25.4222909825342</v>
      </c>
      <c r="T155" s="33">
        <v>25.460781756692199</v>
      </c>
      <c r="U155" s="15">
        <v>3.6955681907791801E-4</v>
      </c>
      <c r="V155" s="15">
        <v>4.8358956624525802E-4</v>
      </c>
      <c r="W155" s="15">
        <v>1.99650061613766E-3</v>
      </c>
      <c r="X155" s="34">
        <v>0.99914333447241499</v>
      </c>
      <c r="Y155" s="34">
        <v>0.99838446436414396</v>
      </c>
      <c r="Z155" s="34">
        <v>0.99865220383741105</v>
      </c>
      <c r="AA155" s="34">
        <v>0.998662293804086</v>
      </c>
      <c r="AB155" s="33">
        <v>26.294451637958399</v>
      </c>
      <c r="AC155" s="33">
        <v>26.3006860198895</v>
      </c>
      <c r="AD155" s="33">
        <v>26.301264468665799</v>
      </c>
      <c r="AE155" s="15">
        <v>-7.5980934555320504E-4</v>
      </c>
      <c r="AF155" s="15">
        <v>-5.2273868701385598E-4</v>
      </c>
      <c r="AG155" s="15">
        <v>-5.00745252511465E-4</v>
      </c>
      <c r="AI155" s="12"/>
      <c r="AJ155">
        <f t="shared" si="46"/>
        <v>0</v>
      </c>
      <c r="AK155">
        <f t="shared" si="47"/>
        <v>0</v>
      </c>
      <c r="AL155">
        <f t="shared" si="54"/>
        <v>0</v>
      </c>
      <c r="AM155">
        <f t="shared" si="44"/>
        <v>1</v>
      </c>
      <c r="AN155">
        <f t="shared" si="55"/>
        <v>0</v>
      </c>
      <c r="AO155" s="28">
        <f t="shared" si="48"/>
        <v>0</v>
      </c>
      <c r="AP155" s="28">
        <f t="shared" si="49"/>
        <v>0</v>
      </c>
      <c r="AQ155" s="28">
        <f t="shared" si="56"/>
        <v>0</v>
      </c>
      <c r="AR155" s="29">
        <f t="shared" si="57"/>
        <v>1.8285173428208533E-2</v>
      </c>
      <c r="AT155" s="12"/>
      <c r="AU155">
        <f t="shared" si="50"/>
        <v>0</v>
      </c>
      <c r="AV155">
        <f t="shared" si="51"/>
        <v>1</v>
      </c>
      <c r="AW155">
        <f t="shared" si="58"/>
        <v>0</v>
      </c>
      <c r="AX155">
        <f t="shared" si="45"/>
        <v>1</v>
      </c>
      <c r="AY155">
        <f t="shared" si="59"/>
        <v>0</v>
      </c>
      <c r="AZ155" s="28">
        <f t="shared" si="52"/>
        <v>0</v>
      </c>
      <c r="BA155" s="28">
        <f t="shared" si="53"/>
        <v>0</v>
      </c>
      <c r="BB155" s="28">
        <f t="shared" si="60"/>
        <v>0</v>
      </c>
      <c r="BC155" s="29">
        <f t="shared" si="61"/>
        <v>2.449300715087014E-2</v>
      </c>
      <c r="BE155" s="29">
        <f t="shared" si="62"/>
        <v>0</v>
      </c>
      <c r="BF155" s="29">
        <f t="shared" si="63"/>
        <v>4.2778180579078673E-2</v>
      </c>
      <c r="BH155" s="29"/>
    </row>
    <row r="156" spans="1:60" x14ac:dyDescent="0.25">
      <c r="A156" s="1">
        <v>46248</v>
      </c>
      <c r="B156" s="33">
        <v>25.3</v>
      </c>
      <c r="C156" s="33">
        <v>25.36</v>
      </c>
      <c r="D156" s="15">
        <v>-3.5509999831125402E-3</v>
      </c>
      <c r="E156" s="15">
        <v>-1.9696677630475401E-3</v>
      </c>
      <c r="F156" s="33">
        <v>0</v>
      </c>
      <c r="G156" s="33">
        <v>0.94699999999999995</v>
      </c>
      <c r="H156" s="33">
        <v>0</v>
      </c>
      <c r="I156" s="33">
        <v>0.90443799999999996</v>
      </c>
      <c r="J156" s="33">
        <v>0.94699999999999995</v>
      </c>
      <c r="K156" s="33">
        <v>0.90443799999999996</v>
      </c>
      <c r="L156" s="33">
        <v>26.247</v>
      </c>
      <c r="M156" s="33">
        <v>26.264437999999998</v>
      </c>
      <c r="N156" s="34">
        <v>1.0023715415019701</v>
      </c>
      <c r="O156" s="34">
        <v>1.0011576279691501</v>
      </c>
      <c r="P156" s="34">
        <v>1.00063291232942</v>
      </c>
      <c r="Q156" s="34">
        <v>1.0029851446490701</v>
      </c>
      <c r="R156" s="33">
        <v>25.329287987619601</v>
      </c>
      <c r="S156" s="33">
        <v>25.320080330163702</v>
      </c>
      <c r="T156" s="33">
        <v>25.371527311709801</v>
      </c>
      <c r="U156" s="15">
        <v>-1.2117754009869999E-3</v>
      </c>
      <c r="V156" s="15">
        <v>-1.5753597007786399E-3</v>
      </c>
      <c r="W156" s="15">
        <v>4.5444371652536E-4</v>
      </c>
      <c r="X156" s="34">
        <v>1.00066438069112</v>
      </c>
      <c r="Y156" s="34">
        <v>0.99838446436414396</v>
      </c>
      <c r="Z156" s="34">
        <v>0.99898876883830301</v>
      </c>
      <c r="AA156" s="34">
        <v>0.99879563311814901</v>
      </c>
      <c r="AB156" s="33">
        <v>26.204597036165701</v>
      </c>
      <c r="AC156" s="33">
        <v>26.211624394120498</v>
      </c>
      <c r="AD156" s="33">
        <v>26.211889225475801</v>
      </c>
      <c r="AE156" s="15">
        <v>-2.2810021087272801E-3</v>
      </c>
      <c r="AF156" s="15">
        <v>-2.0128653447563502E-3</v>
      </c>
      <c r="AG156" s="15">
        <v>-2.0027618115507299E-3</v>
      </c>
      <c r="AI156" s="12"/>
      <c r="AJ156">
        <f t="shared" si="46"/>
        <v>1</v>
      </c>
      <c r="AK156">
        <f t="shared" si="47"/>
        <v>0</v>
      </c>
      <c r="AL156">
        <f t="shared" si="54"/>
        <v>0</v>
      </c>
      <c r="AM156">
        <f t="shared" si="44"/>
        <v>1</v>
      </c>
      <c r="AN156">
        <f t="shared" si="55"/>
        <v>0</v>
      </c>
      <c r="AO156" s="28">
        <f t="shared" si="48"/>
        <v>0</v>
      </c>
      <c r="AP156" s="28">
        <f t="shared" si="49"/>
        <v>0</v>
      </c>
      <c r="AQ156" s="28">
        <f t="shared" si="56"/>
        <v>0</v>
      </c>
      <c r="AR156" s="29">
        <f t="shared" si="57"/>
        <v>1.8285173428208533E-2</v>
      </c>
      <c r="AT156" s="12"/>
      <c r="AU156">
        <f t="shared" si="50"/>
        <v>0</v>
      </c>
      <c r="AV156">
        <f t="shared" si="51"/>
        <v>1</v>
      </c>
      <c r="AW156">
        <f t="shared" si="58"/>
        <v>0</v>
      </c>
      <c r="AX156">
        <f t="shared" si="45"/>
        <v>1</v>
      </c>
      <c r="AY156">
        <f t="shared" si="59"/>
        <v>0</v>
      </c>
      <c r="AZ156" s="28">
        <f t="shared" si="52"/>
        <v>0</v>
      </c>
      <c r="BA156" s="28">
        <f t="shared" si="53"/>
        <v>0</v>
      </c>
      <c r="BB156" s="28">
        <f t="shared" si="60"/>
        <v>0</v>
      </c>
      <c r="BC156" s="29">
        <f t="shared" si="61"/>
        <v>2.449300715087014E-2</v>
      </c>
      <c r="BE156" s="29">
        <f t="shared" si="62"/>
        <v>0</v>
      </c>
      <c r="BF156" s="29">
        <f t="shared" si="63"/>
        <v>4.2778180579078673E-2</v>
      </c>
      <c r="BH156" s="29"/>
    </row>
    <row r="157" spans="1:60" x14ac:dyDescent="0.25">
      <c r="A157" s="1">
        <v>46251</v>
      </c>
      <c r="B157" s="33">
        <v>25.32</v>
      </c>
      <c r="C157" s="33">
        <v>25.32</v>
      </c>
      <c r="D157" s="15">
        <v>7.9020154250088203E-4</v>
      </c>
      <c r="E157" s="15">
        <v>-1.57853229304972E-3</v>
      </c>
      <c r="F157" s="33">
        <v>0</v>
      </c>
      <c r="G157" s="33">
        <v>0.94699999999999995</v>
      </c>
      <c r="H157" s="33">
        <v>0</v>
      </c>
      <c r="I157" s="33">
        <v>0.90443799999999996</v>
      </c>
      <c r="J157" s="33">
        <v>0.94699999999999995</v>
      </c>
      <c r="K157" s="33">
        <v>0.90443799999999996</v>
      </c>
      <c r="L157" s="33">
        <v>26.266999999999999</v>
      </c>
      <c r="M157" s="33">
        <v>26.224437999999999</v>
      </c>
      <c r="N157" s="34">
        <v>1</v>
      </c>
      <c r="O157" s="34">
        <v>1.0011576279691501</v>
      </c>
      <c r="P157" s="34">
        <v>1.00059326125884</v>
      </c>
      <c r="Q157" s="34">
        <v>1.0027076971659199</v>
      </c>
      <c r="R157" s="33">
        <v>25.349311140179001</v>
      </c>
      <c r="S157" s="33">
        <v>25.336025340181099</v>
      </c>
      <c r="T157" s="33">
        <v>25.395583862514599</v>
      </c>
      <c r="U157" s="15">
        <v>1.1569584345636401E-3</v>
      </c>
      <c r="V157" s="15">
        <v>6.3271212488975903E-4</v>
      </c>
      <c r="W157" s="15">
        <v>2.98069795194632E-3</v>
      </c>
      <c r="X157" s="34">
        <v>0.99837963985228595</v>
      </c>
      <c r="Y157" s="34">
        <v>0.99838446436414396</v>
      </c>
      <c r="Z157" s="34">
        <v>0.99895117200265005</v>
      </c>
      <c r="AA157" s="34">
        <v>0.99877275966514301</v>
      </c>
      <c r="AB157" s="33">
        <v>26.2245647254529</v>
      </c>
      <c r="AC157" s="33">
        <v>26.240437991075702</v>
      </c>
      <c r="AD157" s="33">
        <v>26.235364895114401</v>
      </c>
      <c r="AE157" s="15">
        <v>4.8323303170506399E-6</v>
      </c>
      <c r="AF157" s="15">
        <v>6.0993155018468804E-4</v>
      </c>
      <c r="AG157" s="15">
        <v>4.1658163658347199E-4</v>
      </c>
      <c r="AI157" s="12"/>
      <c r="AJ157">
        <f t="shared" si="46"/>
        <v>0</v>
      </c>
      <c r="AK157">
        <f t="shared" si="47"/>
        <v>1</v>
      </c>
      <c r="AL157">
        <f t="shared" si="54"/>
        <v>1</v>
      </c>
      <c r="AM157">
        <f t="shared" si="44"/>
        <v>1</v>
      </c>
      <c r="AN157">
        <f t="shared" si="55"/>
        <v>1</v>
      </c>
      <c r="AO157" s="28">
        <f t="shared" si="48"/>
        <v>7.9020154250088203E-4</v>
      </c>
      <c r="AP157" s="28">
        <f t="shared" si="49"/>
        <v>1.57853229304972E-3</v>
      </c>
      <c r="AQ157" s="28">
        <f t="shared" si="56"/>
        <v>2.3687338355506023E-3</v>
      </c>
      <c r="AR157" s="29">
        <f t="shared" si="57"/>
        <v>2.0653907263759135E-2</v>
      </c>
      <c r="AT157" s="12"/>
      <c r="AU157">
        <f t="shared" si="50"/>
        <v>0</v>
      </c>
      <c r="AV157">
        <f t="shared" si="51"/>
        <v>0</v>
      </c>
      <c r="AW157">
        <f t="shared" si="58"/>
        <v>0</v>
      </c>
      <c r="AX157">
        <f t="shared" si="45"/>
        <v>1</v>
      </c>
      <c r="AY157">
        <f t="shared" si="59"/>
        <v>0</v>
      </c>
      <c r="AZ157" s="28">
        <f t="shared" si="52"/>
        <v>0</v>
      </c>
      <c r="BA157" s="28">
        <f t="shared" si="53"/>
        <v>0</v>
      </c>
      <c r="BB157" s="28">
        <f t="shared" si="60"/>
        <v>0</v>
      </c>
      <c r="BC157" s="29">
        <f t="shared" si="61"/>
        <v>2.449300715087014E-2</v>
      </c>
      <c r="BE157" s="29">
        <f t="shared" si="62"/>
        <v>2.3687338355506023E-3</v>
      </c>
      <c r="BF157" s="29">
        <f t="shared" si="63"/>
        <v>4.5146914414629272E-2</v>
      </c>
      <c r="BH157" s="29"/>
    </row>
    <row r="158" spans="1:60" x14ac:dyDescent="0.25">
      <c r="A158" s="1">
        <v>46252</v>
      </c>
      <c r="B158" s="33">
        <v>25.3</v>
      </c>
      <c r="C158" s="33">
        <v>25.33</v>
      </c>
      <c r="D158" s="15">
        <v>-7.9020154250091304E-4</v>
      </c>
      <c r="E158" s="15">
        <v>3.9486673760842801E-4</v>
      </c>
      <c r="F158" s="33">
        <v>0</v>
      </c>
      <c r="G158" s="33">
        <v>0.94699999999999995</v>
      </c>
      <c r="H158" s="33">
        <v>0</v>
      </c>
      <c r="I158" s="33">
        <v>0.90443799999999996</v>
      </c>
      <c r="J158" s="33">
        <v>0.94699999999999995</v>
      </c>
      <c r="K158" s="33">
        <v>0.90443799999999996</v>
      </c>
      <c r="L158" s="33">
        <v>26.247</v>
      </c>
      <c r="M158" s="33">
        <v>26.234437999999901</v>
      </c>
      <c r="N158" s="34">
        <v>1.0011857707509799</v>
      </c>
      <c r="O158" s="34">
        <v>1.0011576279691501</v>
      </c>
      <c r="P158" s="34">
        <v>1.00071183833394</v>
      </c>
      <c r="Q158" s="34">
        <v>1.00260819253157</v>
      </c>
      <c r="R158" s="33">
        <v>25.329287987619601</v>
      </c>
      <c r="S158" s="33">
        <v>25.315009509848799</v>
      </c>
      <c r="T158" s="33">
        <v>25.368504738297801</v>
      </c>
      <c r="U158" s="15">
        <v>-2.81098455456124E-5</v>
      </c>
      <c r="V158" s="15">
        <v>-5.9198293115065703E-4</v>
      </c>
      <c r="W158" s="15">
        <v>1.51896967770413E-3</v>
      </c>
      <c r="X158" s="34">
        <v>0.99952139292109499</v>
      </c>
      <c r="Y158" s="34">
        <v>0.99838446436414396</v>
      </c>
      <c r="Z158" s="34">
        <v>0.999065347309531</v>
      </c>
      <c r="AA158" s="34">
        <v>0.99892184266391604</v>
      </c>
      <c r="AB158" s="33">
        <v>26.204597036165701</v>
      </c>
      <c r="AC158" s="33">
        <v>26.219471411553499</v>
      </c>
      <c r="AD158" s="33">
        <v>26.214788622931</v>
      </c>
      <c r="AE158" s="15">
        <v>-1.1381203729183399E-3</v>
      </c>
      <c r="AF158" s="15">
        <v>-5.7065675449075395E-4</v>
      </c>
      <c r="AG158" s="15">
        <v>-7.4927236313785197E-4</v>
      </c>
      <c r="AI158" s="12"/>
      <c r="AJ158">
        <f t="shared" si="46"/>
        <v>0</v>
      </c>
      <c r="AK158">
        <f t="shared" si="47"/>
        <v>0</v>
      </c>
      <c r="AL158">
        <f t="shared" si="54"/>
        <v>0</v>
      </c>
      <c r="AM158">
        <f t="shared" si="44"/>
        <v>1</v>
      </c>
      <c r="AN158">
        <f t="shared" si="55"/>
        <v>0</v>
      </c>
      <c r="AO158" s="28">
        <f t="shared" si="48"/>
        <v>0</v>
      </c>
      <c r="AP158" s="28">
        <f t="shared" si="49"/>
        <v>0</v>
      </c>
      <c r="AQ158" s="28">
        <f t="shared" si="56"/>
        <v>0</v>
      </c>
      <c r="AR158" s="29">
        <f t="shared" si="57"/>
        <v>2.0653907263759135E-2</v>
      </c>
      <c r="AT158" s="12"/>
      <c r="AU158">
        <f t="shared" si="50"/>
        <v>0</v>
      </c>
      <c r="AV158">
        <f t="shared" si="51"/>
        <v>1</v>
      </c>
      <c r="AW158">
        <f t="shared" si="58"/>
        <v>0</v>
      </c>
      <c r="AX158">
        <f t="shared" si="45"/>
        <v>1</v>
      </c>
      <c r="AY158">
        <f t="shared" si="59"/>
        <v>0</v>
      </c>
      <c r="AZ158" s="28">
        <f t="shared" si="52"/>
        <v>0</v>
      </c>
      <c r="BA158" s="28">
        <f t="shared" si="53"/>
        <v>0</v>
      </c>
      <c r="BB158" s="28">
        <f t="shared" si="60"/>
        <v>0</v>
      </c>
      <c r="BC158" s="29">
        <f t="shared" si="61"/>
        <v>2.449300715087014E-2</v>
      </c>
      <c r="BE158" s="29">
        <f t="shared" si="62"/>
        <v>0</v>
      </c>
      <c r="BF158" s="29">
        <f t="shared" si="63"/>
        <v>4.5146914414629272E-2</v>
      </c>
      <c r="BH158" s="29"/>
    </row>
    <row r="159" spans="1:60" x14ac:dyDescent="0.25">
      <c r="A159" s="1">
        <v>46253</v>
      </c>
      <c r="B159" s="33">
        <v>25.36</v>
      </c>
      <c r="C159" s="33">
        <v>25.38</v>
      </c>
      <c r="D159" s="15">
        <v>2.3687338355506101E-3</v>
      </c>
      <c r="E159" s="15">
        <v>1.9719982726578099E-3</v>
      </c>
      <c r="F159" s="33">
        <v>0</v>
      </c>
      <c r="G159" s="33">
        <v>0.94699999999999995</v>
      </c>
      <c r="H159" s="33">
        <v>0</v>
      </c>
      <c r="I159" s="33">
        <v>0.90443799999999996</v>
      </c>
      <c r="J159" s="33">
        <v>0.94699999999999995</v>
      </c>
      <c r="K159" s="33">
        <v>0.90443799999999996</v>
      </c>
      <c r="L159" s="33">
        <v>26.306999999999999</v>
      </c>
      <c r="M159" s="33">
        <v>26.284437999999898</v>
      </c>
      <c r="N159" s="34">
        <v>1.0007886435331199</v>
      </c>
      <c r="O159" s="34">
        <v>1.0011576279691501</v>
      </c>
      <c r="P159" s="34">
        <v>1.0009485558837801</v>
      </c>
      <c r="Q159" s="34">
        <v>1.0023690731761901</v>
      </c>
      <c r="R159" s="33">
        <v>25.389357445297801</v>
      </c>
      <c r="S159" s="33">
        <v>25.378052220148898</v>
      </c>
      <c r="T159" s="33">
        <v>25.426143762600699</v>
      </c>
      <c r="U159" s="15">
        <v>3.6862571734721199E-4</v>
      </c>
      <c r="V159" s="15">
        <v>-7.6747620006999696E-5</v>
      </c>
      <c r="W159" s="15">
        <v>1.8164643828973699E-3</v>
      </c>
      <c r="X159" s="34">
        <v>0.99914235754741998</v>
      </c>
      <c r="Y159" s="34">
        <v>0.99838446436414396</v>
      </c>
      <c r="Z159" s="34">
        <v>0.99929366226692096</v>
      </c>
      <c r="AA159" s="34">
        <v>0.99893732806822599</v>
      </c>
      <c r="AB159" s="33">
        <v>26.264500104027501</v>
      </c>
      <c r="AC159" s="33">
        <v>26.282412091671802</v>
      </c>
      <c r="AD159" s="33">
        <v>26.278636914959598</v>
      </c>
      <c r="AE159" s="15">
        <v>-7.5883158246532897E-4</v>
      </c>
      <c r="AF159" s="15">
        <v>-7.7079312365724498E-5</v>
      </c>
      <c r="AG159" s="15">
        <v>-2.20728527518021E-4</v>
      </c>
      <c r="AI159" s="12"/>
      <c r="AJ159">
        <f t="shared" si="46"/>
        <v>0</v>
      </c>
      <c r="AK159">
        <f t="shared" si="47"/>
        <v>0</v>
      </c>
      <c r="AL159">
        <f t="shared" si="54"/>
        <v>0</v>
      </c>
      <c r="AM159">
        <f t="shared" si="44"/>
        <v>1</v>
      </c>
      <c r="AN159">
        <f t="shared" si="55"/>
        <v>0</v>
      </c>
      <c r="AO159" s="28">
        <f t="shared" si="48"/>
        <v>0</v>
      </c>
      <c r="AP159" s="28">
        <f t="shared" si="49"/>
        <v>0</v>
      </c>
      <c r="AQ159" s="28">
        <f t="shared" si="56"/>
        <v>0</v>
      </c>
      <c r="AR159" s="29">
        <f t="shared" si="57"/>
        <v>2.0653907263759135E-2</v>
      </c>
      <c r="AT159" s="12"/>
      <c r="AU159">
        <f t="shared" si="50"/>
        <v>0</v>
      </c>
      <c r="AV159">
        <f t="shared" si="51"/>
        <v>1</v>
      </c>
      <c r="AW159">
        <f t="shared" si="58"/>
        <v>0</v>
      </c>
      <c r="AX159">
        <f t="shared" si="45"/>
        <v>1</v>
      </c>
      <c r="AY159">
        <f t="shared" si="59"/>
        <v>0</v>
      </c>
      <c r="AZ159" s="28">
        <f t="shared" si="52"/>
        <v>0</v>
      </c>
      <c r="BA159" s="28">
        <f t="shared" si="53"/>
        <v>0</v>
      </c>
      <c r="BB159" s="28">
        <f t="shared" si="60"/>
        <v>0</v>
      </c>
      <c r="BC159" s="29">
        <f t="shared" si="61"/>
        <v>2.449300715087014E-2</v>
      </c>
      <c r="BE159" s="29">
        <f t="shared" si="62"/>
        <v>0</v>
      </c>
      <c r="BF159" s="29">
        <f t="shared" si="63"/>
        <v>4.5146914414629272E-2</v>
      </c>
      <c r="BH159" s="29"/>
    </row>
    <row r="160" spans="1:60" x14ac:dyDescent="0.25">
      <c r="A160" s="1">
        <v>46254</v>
      </c>
      <c r="B160" s="33">
        <v>25.3</v>
      </c>
      <c r="C160" s="33">
        <v>25.32</v>
      </c>
      <c r="D160" s="15">
        <v>-2.3687338355506001E-3</v>
      </c>
      <c r="E160" s="15">
        <v>-2.36686501026616E-3</v>
      </c>
      <c r="F160" s="33">
        <v>0</v>
      </c>
      <c r="G160" s="33">
        <v>0.94699999999999995</v>
      </c>
      <c r="H160" s="33">
        <v>0</v>
      </c>
      <c r="I160" s="33">
        <v>0.90443799999999996</v>
      </c>
      <c r="J160" s="33">
        <v>0.94699999999999995</v>
      </c>
      <c r="K160" s="33">
        <v>0.90443799999999996</v>
      </c>
      <c r="L160" s="33">
        <v>26.247</v>
      </c>
      <c r="M160" s="33">
        <v>26.224437999999999</v>
      </c>
      <c r="N160" s="34">
        <v>1.0007905138339901</v>
      </c>
      <c r="O160" s="34">
        <v>1.0011576279691501</v>
      </c>
      <c r="P160" s="34">
        <v>1.00082990066378</v>
      </c>
      <c r="Q160" s="34">
        <v>1.0020491739477699</v>
      </c>
      <c r="R160" s="33">
        <v>25.329287987619601</v>
      </c>
      <c r="S160" s="33">
        <v>25.323998463859802</v>
      </c>
      <c r="T160" s="33">
        <v>25.359937551357799</v>
      </c>
      <c r="U160" s="15">
        <v>3.6675689206271703E-4</v>
      </c>
      <c r="V160" s="15">
        <v>1.5790474644197401E-4</v>
      </c>
      <c r="W160" s="15">
        <v>1.5760698041286799E-3</v>
      </c>
      <c r="X160" s="34">
        <v>0.99914039699775203</v>
      </c>
      <c r="Y160" s="34">
        <v>0.99838446436414396</v>
      </c>
      <c r="Z160" s="34">
        <v>0.99917935268895897</v>
      </c>
      <c r="AA160" s="34">
        <v>0.99887595602986201</v>
      </c>
      <c r="AB160" s="33">
        <v>26.204597036165701</v>
      </c>
      <c r="AC160" s="33">
        <v>26.228460753519801</v>
      </c>
      <c r="AD160" s="33">
        <v>26.2191080498067</v>
      </c>
      <c r="AE160" s="15">
        <v>-7.5686934797748403E-4</v>
      </c>
      <c r="AF160" s="15">
        <v>1.5338536566599301E-4</v>
      </c>
      <c r="AG160" s="15">
        <v>-2.0326429515421201E-4</v>
      </c>
      <c r="AI160" s="12"/>
      <c r="AJ160">
        <f t="shared" si="46"/>
        <v>0</v>
      </c>
      <c r="AK160">
        <f t="shared" si="47"/>
        <v>0</v>
      </c>
      <c r="AL160">
        <f t="shared" si="54"/>
        <v>0</v>
      </c>
      <c r="AM160">
        <f t="shared" si="44"/>
        <v>1</v>
      </c>
      <c r="AN160">
        <f t="shared" si="55"/>
        <v>0</v>
      </c>
      <c r="AO160" s="28">
        <f t="shared" si="48"/>
        <v>0</v>
      </c>
      <c r="AP160" s="28">
        <f t="shared" si="49"/>
        <v>0</v>
      </c>
      <c r="AQ160" s="28">
        <f t="shared" si="56"/>
        <v>0</v>
      </c>
      <c r="AR160" s="29">
        <f t="shared" si="57"/>
        <v>2.0653907263759135E-2</v>
      </c>
      <c r="AT160" s="12"/>
      <c r="AU160">
        <f t="shared" si="50"/>
        <v>0</v>
      </c>
      <c r="AV160">
        <f t="shared" si="51"/>
        <v>1</v>
      </c>
      <c r="AW160">
        <f t="shared" si="58"/>
        <v>0</v>
      </c>
      <c r="AX160">
        <f t="shared" si="45"/>
        <v>1</v>
      </c>
      <c r="AY160">
        <f t="shared" si="59"/>
        <v>0</v>
      </c>
      <c r="AZ160" s="28">
        <f t="shared" si="52"/>
        <v>0</v>
      </c>
      <c r="BA160" s="28">
        <f t="shared" si="53"/>
        <v>0</v>
      </c>
      <c r="BB160" s="28">
        <f t="shared" si="60"/>
        <v>0</v>
      </c>
      <c r="BC160" s="29">
        <f t="shared" si="61"/>
        <v>2.449300715087014E-2</v>
      </c>
      <c r="BE160" s="29">
        <f t="shared" si="62"/>
        <v>0</v>
      </c>
      <c r="BF160" s="29">
        <f t="shared" si="63"/>
        <v>4.5146914414629272E-2</v>
      </c>
      <c r="BH160" s="29"/>
    </row>
    <row r="161" spans="1:60" x14ac:dyDescent="0.25">
      <c r="A161" s="1">
        <v>46255</v>
      </c>
      <c r="B161" s="33">
        <v>25.34</v>
      </c>
      <c r="C161" s="33">
        <v>25.37</v>
      </c>
      <c r="D161" s="15">
        <v>1.5797791595184301E-3</v>
      </c>
      <c r="E161" s="15">
        <v>1.9727763352151298E-3</v>
      </c>
      <c r="F161" s="33">
        <v>0</v>
      </c>
      <c r="G161" s="33">
        <v>0.94699999999999995</v>
      </c>
      <c r="H161" s="33">
        <v>0</v>
      </c>
      <c r="I161" s="33">
        <v>0.90443799999999996</v>
      </c>
      <c r="J161" s="33">
        <v>0.94699999999999995</v>
      </c>
      <c r="K161" s="33">
        <v>0.90443799999999996</v>
      </c>
      <c r="L161" s="33">
        <v>26.286999999999999</v>
      </c>
      <c r="M161" s="33">
        <v>26.274438</v>
      </c>
      <c r="N161" s="34">
        <v>1.0011838989739501</v>
      </c>
      <c r="O161" s="34">
        <v>1.0011576279691501</v>
      </c>
      <c r="P161" s="34">
        <v>1.00098778503195</v>
      </c>
      <c r="Q161" s="34">
        <v>1.00182881618081</v>
      </c>
      <c r="R161" s="33">
        <v>25.369334292738401</v>
      </c>
      <c r="S161" s="33">
        <v>25.361029682820298</v>
      </c>
      <c r="T161" s="33">
        <v>25.391926067836501</v>
      </c>
      <c r="U161" s="15">
        <v>-2.6240283633804001E-5</v>
      </c>
      <c r="V161" s="15">
        <v>-3.5364223155863402E-4</v>
      </c>
      <c r="W161" s="15">
        <v>8.6387853647746098E-4</v>
      </c>
      <c r="X161" s="34">
        <v>0.99952212120059303</v>
      </c>
      <c r="Y161" s="34">
        <v>0.99838446436414396</v>
      </c>
      <c r="Z161" s="34">
        <v>0.99933167140665002</v>
      </c>
      <c r="AA161" s="34">
        <v>0.99891063175934203</v>
      </c>
      <c r="AB161" s="33">
        <v>26.244532414740199</v>
      </c>
      <c r="AC161" s="33">
        <v>26.265427644134601</v>
      </c>
      <c r="AD161" s="33">
        <v>26.257452256156999</v>
      </c>
      <c r="AE161" s="15">
        <v>-1.13884900087735E-3</v>
      </c>
      <c r="AF161" s="15">
        <v>-3.4299120651323502E-4</v>
      </c>
      <c r="AG161" s="15">
        <v>-6.4668316149015903E-4</v>
      </c>
      <c r="AI161" s="12"/>
      <c r="AJ161">
        <f t="shared" si="46"/>
        <v>0</v>
      </c>
      <c r="AK161">
        <f t="shared" si="47"/>
        <v>0</v>
      </c>
      <c r="AL161">
        <f t="shared" si="54"/>
        <v>0</v>
      </c>
      <c r="AM161">
        <f t="shared" si="44"/>
        <v>0</v>
      </c>
      <c r="AN161">
        <f t="shared" si="55"/>
        <v>0</v>
      </c>
      <c r="AO161" s="28">
        <f t="shared" si="48"/>
        <v>0</v>
      </c>
      <c r="AP161" s="28">
        <f t="shared" si="49"/>
        <v>0</v>
      </c>
      <c r="AQ161" s="28">
        <f t="shared" si="56"/>
        <v>0</v>
      </c>
      <c r="AR161" s="29">
        <f t="shared" si="57"/>
        <v>2.0653907263759135E-2</v>
      </c>
      <c r="AT161" s="12"/>
      <c r="AU161">
        <f t="shared" si="50"/>
        <v>0</v>
      </c>
      <c r="AV161">
        <f t="shared" si="51"/>
        <v>1</v>
      </c>
      <c r="AW161">
        <f t="shared" si="58"/>
        <v>0</v>
      </c>
      <c r="AX161">
        <f t="shared" si="45"/>
        <v>0</v>
      </c>
      <c r="AY161">
        <f t="shared" si="59"/>
        <v>0</v>
      </c>
      <c r="AZ161" s="28">
        <f t="shared" si="52"/>
        <v>0</v>
      </c>
      <c r="BA161" s="28">
        <f t="shared" si="53"/>
        <v>0</v>
      </c>
      <c r="BB161" s="28">
        <f t="shared" si="60"/>
        <v>0</v>
      </c>
      <c r="BC161" s="29">
        <f t="shared" si="61"/>
        <v>2.449300715087014E-2</v>
      </c>
      <c r="BE161" s="29">
        <f t="shared" si="62"/>
        <v>0</v>
      </c>
      <c r="BF161" s="29">
        <f t="shared" si="63"/>
        <v>4.5146914414629272E-2</v>
      </c>
      <c r="BH161" s="29"/>
    </row>
    <row r="162" spans="1:60" x14ac:dyDescent="0.25">
      <c r="A162" s="1">
        <v>46258</v>
      </c>
      <c r="B162" s="33">
        <v>25.21</v>
      </c>
      <c r="C162" s="33">
        <v>25.38</v>
      </c>
      <c r="D162" s="15">
        <v>-5.1434336931644497E-3</v>
      </c>
      <c r="E162" s="15">
        <v>3.9408867505093498E-4</v>
      </c>
      <c r="F162" s="33">
        <v>0.14099999999999999</v>
      </c>
      <c r="G162" s="33">
        <v>1.0880000000000001</v>
      </c>
      <c r="H162" s="33">
        <v>0</v>
      </c>
      <c r="I162" s="33">
        <v>0.90443799999999996</v>
      </c>
      <c r="J162" s="33">
        <v>1.0880000000000001</v>
      </c>
      <c r="K162" s="33">
        <v>0.90443799999999996</v>
      </c>
      <c r="L162" s="33">
        <v>26.297999999999998</v>
      </c>
      <c r="M162" s="33">
        <v>26.284437999999898</v>
      </c>
      <c r="N162" s="34">
        <v>1.00674335581118</v>
      </c>
      <c r="O162" s="34">
        <v>1.0011576279691501</v>
      </c>
      <c r="P162" s="34">
        <v>1.00146425753432</v>
      </c>
      <c r="Q162" s="34">
        <v>1.0018865428535999</v>
      </c>
      <c r="R162" s="33">
        <v>25.239183801102399</v>
      </c>
      <c r="S162" s="33">
        <v>25.2349020606555</v>
      </c>
      <c r="T162" s="33">
        <v>25.256104455918301</v>
      </c>
      <c r="U162" s="15">
        <v>-5.5637626518494597E-3</v>
      </c>
      <c r="V162" s="15">
        <v>-5.7334235930633099E-3</v>
      </c>
      <c r="W162" s="15">
        <v>-4.8935751538358996E-3</v>
      </c>
      <c r="X162" s="34">
        <v>0.999484295383679</v>
      </c>
      <c r="Y162" s="34">
        <v>0.99838446436414396</v>
      </c>
      <c r="Z162" s="34">
        <v>0.99925173004064305</v>
      </c>
      <c r="AA162" s="34">
        <v>0.99894339366858098</v>
      </c>
      <c r="AB162" s="33">
        <v>26.255514643848201</v>
      </c>
      <c r="AC162" s="33">
        <v>26.2804242946521</v>
      </c>
      <c r="AD162" s="33">
        <v>26.2693517940071</v>
      </c>
      <c r="AE162" s="15">
        <v>-1.1010043830664399E-3</v>
      </c>
      <c r="AF162" s="15">
        <v>-1.5271438677795699E-4</v>
      </c>
      <c r="AG162" s="15">
        <v>-5.7412439583646698E-4</v>
      </c>
      <c r="AI162" s="12"/>
      <c r="AJ162">
        <f t="shared" si="46"/>
        <v>0</v>
      </c>
      <c r="AK162">
        <f t="shared" si="47"/>
        <v>0</v>
      </c>
      <c r="AL162">
        <f t="shared" si="54"/>
        <v>0</v>
      </c>
      <c r="AM162">
        <f t="shared" si="44"/>
        <v>1</v>
      </c>
      <c r="AN162">
        <f t="shared" si="55"/>
        <v>0</v>
      </c>
      <c r="AO162" s="28">
        <f t="shared" si="48"/>
        <v>0</v>
      </c>
      <c r="AP162" s="28">
        <f t="shared" si="49"/>
        <v>0</v>
      </c>
      <c r="AQ162" s="28">
        <f t="shared" si="56"/>
        <v>0</v>
      </c>
      <c r="AR162" s="29">
        <f t="shared" si="57"/>
        <v>2.0653907263759135E-2</v>
      </c>
      <c r="AT162" s="12"/>
      <c r="AU162">
        <f t="shared" si="50"/>
        <v>0</v>
      </c>
      <c r="AV162">
        <f t="shared" si="51"/>
        <v>1</v>
      </c>
      <c r="AW162">
        <f t="shared" si="58"/>
        <v>0</v>
      </c>
      <c r="AX162">
        <f t="shared" si="45"/>
        <v>1</v>
      </c>
      <c r="AY162">
        <f t="shared" si="59"/>
        <v>0</v>
      </c>
      <c r="AZ162" s="28">
        <f t="shared" si="52"/>
        <v>0</v>
      </c>
      <c r="BA162" s="28">
        <f t="shared" si="53"/>
        <v>0</v>
      </c>
      <c r="BB162" s="28">
        <f t="shared" si="60"/>
        <v>0</v>
      </c>
      <c r="BC162" s="29">
        <f t="shared" si="61"/>
        <v>2.449300715087014E-2</v>
      </c>
      <c r="BE162" s="29">
        <f t="shared" si="62"/>
        <v>0</v>
      </c>
      <c r="BF162" s="29">
        <f t="shared" si="63"/>
        <v>4.5146914414629272E-2</v>
      </c>
      <c r="BH162" s="29"/>
    </row>
    <row r="163" spans="1:60" x14ac:dyDescent="0.25">
      <c r="A163" s="1">
        <v>46259</v>
      </c>
      <c r="B163" s="33">
        <v>25.29</v>
      </c>
      <c r="C163" s="33">
        <v>25.41</v>
      </c>
      <c r="D163" s="15">
        <v>3.1683194820452702E-3</v>
      </c>
      <c r="E163" s="15">
        <v>1.18133504583117E-3</v>
      </c>
      <c r="F163" s="33">
        <v>0</v>
      </c>
      <c r="G163" s="33">
        <v>1.0880000000000001</v>
      </c>
      <c r="H163" s="33">
        <v>0</v>
      </c>
      <c r="I163" s="33">
        <v>0.90443799999999996</v>
      </c>
      <c r="J163" s="33">
        <v>1.0880000000000001</v>
      </c>
      <c r="K163" s="33">
        <v>0.90443799999999996</v>
      </c>
      <c r="L163" s="33">
        <v>26.378</v>
      </c>
      <c r="M163" s="33">
        <v>26.314437999999999</v>
      </c>
      <c r="N163" s="34">
        <v>1.0047449584816099</v>
      </c>
      <c r="O163" s="34">
        <v>1.0011576279691501</v>
      </c>
      <c r="P163" s="34">
        <v>1.00185963945843</v>
      </c>
      <c r="Q163" s="34">
        <v>1.0017852802241201</v>
      </c>
      <c r="R163" s="33">
        <v>25.319276411339899</v>
      </c>
      <c r="S163" s="33">
        <v>25.327031073042999</v>
      </c>
      <c r="T163" s="33">
        <v>25.337710668767699</v>
      </c>
      <c r="U163" s="15">
        <v>-3.57677821563533E-3</v>
      </c>
      <c r="V163" s="15">
        <v>-3.2705500956053601E-3</v>
      </c>
      <c r="W163" s="15">
        <v>-2.8489710836248701E-3</v>
      </c>
      <c r="X163" s="34">
        <v>0.997590340435211</v>
      </c>
      <c r="Y163" s="34">
        <v>0.99838446436414396</v>
      </c>
      <c r="Z163" s="34">
        <v>0.99909678993538598</v>
      </c>
      <c r="AA163" s="34">
        <v>0.99882375691208602</v>
      </c>
      <c r="AB163" s="33">
        <v>26.335385400997399</v>
      </c>
      <c r="AC163" s="33">
        <v>26.358262135012101</v>
      </c>
      <c r="AD163" s="33">
        <v>26.3501288381898</v>
      </c>
      <c r="AE163" s="15">
        <v>7.9572544595846802E-4</v>
      </c>
      <c r="AF163" s="15">
        <v>1.6640174136514001E-3</v>
      </c>
      <c r="AG163" s="15">
        <v>1.35540253330155E-3</v>
      </c>
      <c r="AI163" s="12"/>
      <c r="AJ163">
        <f t="shared" si="46"/>
        <v>0</v>
      </c>
      <c r="AK163">
        <f t="shared" si="47"/>
        <v>1</v>
      </c>
      <c r="AL163">
        <f t="shared" si="54"/>
        <v>0</v>
      </c>
      <c r="AM163">
        <f t="shared" si="44"/>
        <v>1</v>
      </c>
      <c r="AN163">
        <f t="shared" si="55"/>
        <v>0</v>
      </c>
      <c r="AO163" s="28">
        <f t="shared" si="48"/>
        <v>0</v>
      </c>
      <c r="AP163" s="28">
        <f t="shared" si="49"/>
        <v>0</v>
      </c>
      <c r="AQ163" s="28">
        <f t="shared" si="56"/>
        <v>0</v>
      </c>
      <c r="AR163" s="29">
        <f t="shared" si="57"/>
        <v>2.0653907263759135E-2</v>
      </c>
      <c r="AT163" s="12"/>
      <c r="AU163">
        <f t="shared" si="50"/>
        <v>1</v>
      </c>
      <c r="AV163">
        <f t="shared" si="51"/>
        <v>0</v>
      </c>
      <c r="AW163">
        <f t="shared" si="58"/>
        <v>0</v>
      </c>
      <c r="AX163">
        <f t="shared" si="45"/>
        <v>1</v>
      </c>
      <c r="AY163">
        <f t="shared" si="59"/>
        <v>0</v>
      </c>
      <c r="AZ163" s="28">
        <f t="shared" si="52"/>
        <v>0</v>
      </c>
      <c r="BA163" s="28">
        <f t="shared" si="53"/>
        <v>0</v>
      </c>
      <c r="BB163" s="28">
        <f t="shared" si="60"/>
        <v>0</v>
      </c>
      <c r="BC163" s="29">
        <f t="shared" si="61"/>
        <v>2.449300715087014E-2</v>
      </c>
      <c r="BE163" s="29">
        <f t="shared" si="62"/>
        <v>0</v>
      </c>
      <c r="BF163" s="29">
        <f t="shared" si="63"/>
        <v>4.5146914414629272E-2</v>
      </c>
      <c r="BH163" s="29"/>
    </row>
    <row r="164" spans="1:60" x14ac:dyDescent="0.25">
      <c r="A164" s="1">
        <v>46260</v>
      </c>
      <c r="B164" s="33">
        <v>25.27</v>
      </c>
      <c r="C164" s="33">
        <v>25.44</v>
      </c>
      <c r="D164" s="15">
        <v>-7.9113928177088305E-4</v>
      </c>
      <c r="E164" s="15">
        <v>1.1799411398487601E-3</v>
      </c>
      <c r="F164" s="33">
        <v>0</v>
      </c>
      <c r="G164" s="33">
        <v>1.0880000000000001</v>
      </c>
      <c r="H164" s="33">
        <v>0</v>
      </c>
      <c r="I164" s="33">
        <v>0.90443799999999996</v>
      </c>
      <c r="J164" s="33">
        <v>1.0880000000000001</v>
      </c>
      <c r="K164" s="33">
        <v>0.90443799999999996</v>
      </c>
      <c r="L164" s="33">
        <v>26.358000000000001</v>
      </c>
      <c r="M164" s="33">
        <v>26.344438</v>
      </c>
      <c r="N164" s="34">
        <v>1.00672734467748</v>
      </c>
      <c r="O164" s="34">
        <v>1.0011576279691501</v>
      </c>
      <c r="P164" s="34">
        <v>1.00253237392618</v>
      </c>
      <c r="Q164" s="34">
        <v>1.0019020865797501</v>
      </c>
      <c r="R164" s="33">
        <v>25.299253258780499</v>
      </c>
      <c r="S164" s="33">
        <v>25.3169930891146</v>
      </c>
      <c r="T164" s="33">
        <v>25.315114031263601</v>
      </c>
      <c r="U164" s="15">
        <v>-5.5478586372549104E-3</v>
      </c>
      <c r="V164" s="15">
        <v>-4.8469046021216702E-3</v>
      </c>
      <c r="W164" s="15">
        <v>-4.9211285662713903E-3</v>
      </c>
      <c r="X164" s="34">
        <v>0.99948546930723103</v>
      </c>
      <c r="Y164" s="34">
        <v>0.99838446436414396</v>
      </c>
      <c r="Z164" s="34">
        <v>0.99920737288088102</v>
      </c>
      <c r="AA164" s="34">
        <v>0.99891427648276698</v>
      </c>
      <c r="AB164" s="33">
        <v>26.315417711710101</v>
      </c>
      <c r="AC164" s="33">
        <v>26.334193189116899</v>
      </c>
      <c r="AD164" s="33">
        <v>26.3269965846887</v>
      </c>
      <c r="AE164" s="15">
        <v>-1.1021789116387199E-3</v>
      </c>
      <c r="AF164" s="15">
        <v>-3.88955095490595E-4</v>
      </c>
      <c r="AG164" s="15">
        <v>-6.6227229564734405E-4</v>
      </c>
      <c r="AI164" s="12"/>
      <c r="AJ164">
        <f t="shared" si="46"/>
        <v>0</v>
      </c>
      <c r="AK164">
        <f t="shared" si="47"/>
        <v>0</v>
      </c>
      <c r="AL164">
        <f t="shared" si="54"/>
        <v>0</v>
      </c>
      <c r="AM164">
        <f t="shared" si="44"/>
        <v>1</v>
      </c>
      <c r="AN164">
        <f t="shared" si="55"/>
        <v>0</v>
      </c>
      <c r="AO164" s="28">
        <f t="shared" si="48"/>
        <v>0</v>
      </c>
      <c r="AP164" s="28">
        <f t="shared" si="49"/>
        <v>0</v>
      </c>
      <c r="AQ164" s="28">
        <f t="shared" si="56"/>
        <v>0</v>
      </c>
      <c r="AR164" s="29">
        <f t="shared" si="57"/>
        <v>2.0653907263759135E-2</v>
      </c>
      <c r="AT164" s="12"/>
      <c r="AU164">
        <f t="shared" si="50"/>
        <v>0</v>
      </c>
      <c r="AV164">
        <f t="shared" si="51"/>
        <v>1</v>
      </c>
      <c r="AW164">
        <f t="shared" si="58"/>
        <v>1</v>
      </c>
      <c r="AX164">
        <f t="shared" si="45"/>
        <v>1</v>
      </c>
      <c r="AY164">
        <f t="shared" si="59"/>
        <v>1</v>
      </c>
      <c r="AZ164" s="28">
        <f t="shared" si="52"/>
        <v>7.9113928177088305E-4</v>
      </c>
      <c r="BA164" s="28">
        <f t="shared" si="53"/>
        <v>1.1799411398487601E-3</v>
      </c>
      <c r="BB164" s="28">
        <f t="shared" si="60"/>
        <v>1.9710804216196429E-3</v>
      </c>
      <c r="BC164" s="29">
        <f t="shared" si="61"/>
        <v>2.6464087572489782E-2</v>
      </c>
      <c r="BE164" s="29">
        <f t="shared" si="62"/>
        <v>1.9710804216196429E-3</v>
      </c>
      <c r="BF164" s="29">
        <f t="shared" si="63"/>
        <v>4.7117994836248914E-2</v>
      </c>
      <c r="BH164" s="29"/>
    </row>
    <row r="165" spans="1:60" x14ac:dyDescent="0.25">
      <c r="A165" s="1">
        <v>46261</v>
      </c>
      <c r="B165" s="33">
        <v>25.25</v>
      </c>
      <c r="C165" s="33">
        <v>25.43</v>
      </c>
      <c r="D165" s="15">
        <v>-7.9176567873400102E-4</v>
      </c>
      <c r="E165" s="15">
        <v>-3.9315903789322401E-4</v>
      </c>
      <c r="F165" s="33">
        <v>0</v>
      </c>
      <c r="G165" s="33">
        <v>1.0880000000000001</v>
      </c>
      <c r="H165" s="33">
        <v>0</v>
      </c>
      <c r="I165" s="33">
        <v>0.90443799999999996</v>
      </c>
      <c r="J165" s="33">
        <v>1.0880000000000001</v>
      </c>
      <c r="K165" s="33">
        <v>0.90443799999999996</v>
      </c>
      <c r="L165" s="33">
        <v>26.338000000000001</v>
      </c>
      <c r="M165" s="33">
        <v>26.334437999999999</v>
      </c>
      <c r="N165" s="34">
        <v>1.00712871287128</v>
      </c>
      <c r="O165" s="34">
        <v>1.0011576279691501</v>
      </c>
      <c r="P165" s="34">
        <v>1.00316647404356</v>
      </c>
      <c r="Q165" s="34">
        <v>1.0019800814914099</v>
      </c>
      <c r="R165" s="33">
        <v>25.2792301062211</v>
      </c>
      <c r="S165" s="33">
        <v>25.313942441636101</v>
      </c>
      <c r="T165" s="33">
        <v>25.298027686138798</v>
      </c>
      <c r="U165" s="15">
        <v>-5.9464652780958204E-3</v>
      </c>
      <c r="V165" s="15">
        <v>-4.5742508422858402E-3</v>
      </c>
      <c r="W165" s="15">
        <v>-5.2031438089749499E-3</v>
      </c>
      <c r="X165" s="34">
        <v>0.99986475814412601</v>
      </c>
      <c r="Y165" s="34">
        <v>0.99838446436414396</v>
      </c>
      <c r="Z165" s="34">
        <v>0.99927951524805203</v>
      </c>
      <c r="AA165" s="34">
        <v>0.99896585954273198</v>
      </c>
      <c r="AB165" s="33">
        <v>26.295450022422798</v>
      </c>
      <c r="AC165" s="33">
        <v>26.317123786936602</v>
      </c>
      <c r="AD165" s="33">
        <v>26.309404214003099</v>
      </c>
      <c r="AE165" s="15">
        <v>-1.4815910188697701E-3</v>
      </c>
      <c r="AF165" s="15">
        <v>-6.5769041220592797E-4</v>
      </c>
      <c r="AG165" s="15">
        <v>-9.51062340095212E-4</v>
      </c>
      <c r="AI165" s="12"/>
      <c r="AJ165">
        <f t="shared" si="46"/>
        <v>0</v>
      </c>
      <c r="AK165">
        <f t="shared" si="47"/>
        <v>0</v>
      </c>
      <c r="AL165">
        <f t="shared" si="54"/>
        <v>0</v>
      </c>
      <c r="AM165">
        <f t="shared" si="44"/>
        <v>1</v>
      </c>
      <c r="AN165">
        <f t="shared" si="55"/>
        <v>0</v>
      </c>
      <c r="AO165" s="28">
        <f t="shared" si="48"/>
        <v>0</v>
      </c>
      <c r="AP165" s="28">
        <f t="shared" si="49"/>
        <v>0</v>
      </c>
      <c r="AQ165" s="28">
        <f t="shared" si="56"/>
        <v>0</v>
      </c>
      <c r="AR165" s="29">
        <f t="shared" si="57"/>
        <v>2.0653907263759135E-2</v>
      </c>
      <c r="AT165" s="12"/>
      <c r="AU165">
        <f t="shared" si="50"/>
        <v>0</v>
      </c>
      <c r="AV165">
        <f t="shared" si="51"/>
        <v>1</v>
      </c>
      <c r="AW165">
        <f t="shared" si="58"/>
        <v>0</v>
      </c>
      <c r="AX165">
        <f t="shared" si="45"/>
        <v>1</v>
      </c>
      <c r="AY165">
        <f t="shared" si="59"/>
        <v>0</v>
      </c>
      <c r="AZ165" s="28">
        <f t="shared" si="52"/>
        <v>0</v>
      </c>
      <c r="BA165" s="28">
        <f t="shared" si="53"/>
        <v>0</v>
      </c>
      <c r="BB165" s="28">
        <f t="shared" si="60"/>
        <v>0</v>
      </c>
      <c r="BC165" s="29">
        <f t="shared" si="61"/>
        <v>2.6464087572489782E-2</v>
      </c>
      <c r="BE165" s="29">
        <f t="shared" si="62"/>
        <v>0</v>
      </c>
      <c r="BF165" s="29">
        <f t="shared" si="63"/>
        <v>4.7117994836248914E-2</v>
      </c>
      <c r="BH165" s="29"/>
    </row>
    <row r="166" spans="1:60" x14ac:dyDescent="0.25">
      <c r="A166" s="1">
        <v>46262</v>
      </c>
      <c r="B166" s="33">
        <v>25.21</v>
      </c>
      <c r="C166" s="33">
        <v>25.38</v>
      </c>
      <c r="D166" s="15">
        <v>-1.58541452154037E-3</v>
      </c>
      <c r="E166" s="15">
        <v>-1.9681171477866802E-3</v>
      </c>
      <c r="F166" s="33">
        <v>0</v>
      </c>
      <c r="G166" s="33">
        <v>1.0880000000000001</v>
      </c>
      <c r="H166" s="33">
        <v>0</v>
      </c>
      <c r="I166" s="33">
        <v>0.90443799999999996</v>
      </c>
      <c r="J166" s="33">
        <v>1.0880000000000001</v>
      </c>
      <c r="K166" s="33">
        <v>0.90443799999999996</v>
      </c>
      <c r="L166" s="33">
        <v>26.297999999999998</v>
      </c>
      <c r="M166" s="33">
        <v>26.284437999999898</v>
      </c>
      <c r="N166" s="34">
        <v>1.00674335581118</v>
      </c>
      <c r="O166" s="34">
        <v>1.0011576279691501</v>
      </c>
      <c r="P166" s="34">
        <v>1.00360365547448</v>
      </c>
      <c r="Q166" s="34">
        <v>1.00211828390195</v>
      </c>
      <c r="R166" s="33">
        <v>25.239183801102399</v>
      </c>
      <c r="S166" s="33">
        <v>25.2898268106381</v>
      </c>
      <c r="T166" s="33">
        <v>25.259917854398601</v>
      </c>
      <c r="U166" s="15">
        <v>-5.5637626518494597E-3</v>
      </c>
      <c r="V166" s="15">
        <v>-3.5592497639114302E-3</v>
      </c>
      <c r="W166" s="15">
        <v>-4.7425973724037904E-3</v>
      </c>
      <c r="X166" s="34">
        <v>0.999484295383679</v>
      </c>
      <c r="Y166" s="34">
        <v>0.99838446436414396</v>
      </c>
      <c r="Z166" s="34">
        <v>0.99916150671730697</v>
      </c>
      <c r="AA166" s="34">
        <v>0.99907513777780499</v>
      </c>
      <c r="AB166" s="33">
        <v>26.255514643848201</v>
      </c>
      <c r="AC166" s="33">
        <v>26.279052691993201</v>
      </c>
      <c r="AD166" s="33">
        <v>26.2708041742547</v>
      </c>
      <c r="AE166" s="15">
        <v>-1.1010043830664399E-3</v>
      </c>
      <c r="AF166" s="15">
        <v>-2.0490678813992299E-4</v>
      </c>
      <c r="AG166" s="15">
        <v>-5.1883791176790702E-4</v>
      </c>
      <c r="AI166" s="12"/>
      <c r="AJ166">
        <f t="shared" si="46"/>
        <v>0</v>
      </c>
      <c r="AK166">
        <f t="shared" si="47"/>
        <v>0</v>
      </c>
      <c r="AL166">
        <f t="shared" si="54"/>
        <v>0</v>
      </c>
      <c r="AM166">
        <f t="shared" si="44"/>
        <v>1</v>
      </c>
      <c r="AN166">
        <f t="shared" si="55"/>
        <v>0</v>
      </c>
      <c r="AO166" s="28">
        <f t="shared" si="48"/>
        <v>0</v>
      </c>
      <c r="AP166" s="28">
        <f t="shared" si="49"/>
        <v>0</v>
      </c>
      <c r="AQ166" s="28">
        <f t="shared" si="56"/>
        <v>0</v>
      </c>
      <c r="AR166" s="29">
        <f t="shared" si="57"/>
        <v>2.0653907263759135E-2</v>
      </c>
      <c r="AT166" s="12"/>
      <c r="AU166">
        <f t="shared" si="50"/>
        <v>0</v>
      </c>
      <c r="AV166">
        <f t="shared" si="51"/>
        <v>1</v>
      </c>
      <c r="AW166">
        <f t="shared" si="58"/>
        <v>0</v>
      </c>
      <c r="AX166">
        <f t="shared" si="45"/>
        <v>1</v>
      </c>
      <c r="AY166">
        <f t="shared" si="59"/>
        <v>0</v>
      </c>
      <c r="AZ166" s="28">
        <f t="shared" si="52"/>
        <v>0</v>
      </c>
      <c r="BA166" s="28">
        <f t="shared" si="53"/>
        <v>0</v>
      </c>
      <c r="BB166" s="28">
        <f t="shared" si="60"/>
        <v>0</v>
      </c>
      <c r="BC166" s="29">
        <f t="shared" si="61"/>
        <v>2.6464087572489782E-2</v>
      </c>
      <c r="BE166" s="29">
        <f t="shared" si="62"/>
        <v>0</v>
      </c>
      <c r="BF166" s="29">
        <f t="shared" si="63"/>
        <v>4.7117994836248914E-2</v>
      </c>
      <c r="BH166" s="29"/>
    </row>
    <row r="167" spans="1:60" x14ac:dyDescent="0.25">
      <c r="A167" s="1">
        <v>46265</v>
      </c>
      <c r="B167" s="33">
        <v>25.26</v>
      </c>
      <c r="C167" s="33">
        <v>25.41</v>
      </c>
      <c r="D167" s="15">
        <v>1.9813757225165302E-3</v>
      </c>
      <c r="E167" s="15">
        <v>1.18133504583117E-3</v>
      </c>
      <c r="F167" s="33">
        <v>0</v>
      </c>
      <c r="G167" s="33">
        <v>1.0880000000000001</v>
      </c>
      <c r="H167" s="33">
        <v>0</v>
      </c>
      <c r="I167" s="33">
        <v>0.90443799999999996</v>
      </c>
      <c r="J167" s="33">
        <v>1.0880000000000001</v>
      </c>
      <c r="K167" s="33">
        <v>0.90443799999999996</v>
      </c>
      <c r="L167" s="33">
        <v>26.347999999999999</v>
      </c>
      <c r="M167" s="33">
        <v>26.314437999999999</v>
      </c>
      <c r="N167" s="34">
        <v>1.0059382422802801</v>
      </c>
      <c r="O167" s="34">
        <v>1.0011576279691501</v>
      </c>
      <c r="P167" s="34">
        <v>1.0041974797025</v>
      </c>
      <c r="Q167" s="34">
        <v>1.0023953704806701</v>
      </c>
      <c r="R167" s="33">
        <v>25.289241682500801</v>
      </c>
      <c r="S167" s="33">
        <v>25.351028337285399</v>
      </c>
      <c r="T167" s="33">
        <v>25.313507851363301</v>
      </c>
      <c r="U167" s="15">
        <v>-4.7637219751639603E-3</v>
      </c>
      <c r="V167" s="15">
        <v>-2.3235025442524802E-3</v>
      </c>
      <c r="W167" s="15">
        <v>-3.8046369078066798E-3</v>
      </c>
      <c r="X167" s="34">
        <v>0.99872620312737104</v>
      </c>
      <c r="Y167" s="34">
        <v>0.99838446436414396</v>
      </c>
      <c r="Z167" s="34">
        <v>0.99919616304481595</v>
      </c>
      <c r="AA167" s="34">
        <v>0.99907366752373306</v>
      </c>
      <c r="AB167" s="33">
        <v>26.305433867066402</v>
      </c>
      <c r="AC167" s="33">
        <v>26.325907378987601</v>
      </c>
      <c r="AD167" s="33">
        <v>26.323631730169598</v>
      </c>
      <c r="AE167" s="15">
        <v>-3.4223317928798301E-4</v>
      </c>
      <c r="AF167" s="15">
        <v>4.3576382664455401E-4</v>
      </c>
      <c r="AG167" s="15">
        <v>3.49318670317169E-4</v>
      </c>
      <c r="AI167" s="12"/>
      <c r="AJ167">
        <f t="shared" si="46"/>
        <v>0</v>
      </c>
      <c r="AK167">
        <f t="shared" si="47"/>
        <v>1</v>
      </c>
      <c r="AL167">
        <f t="shared" si="54"/>
        <v>0</v>
      </c>
      <c r="AM167">
        <f t="shared" si="44"/>
        <v>0</v>
      </c>
      <c r="AN167">
        <f t="shared" si="55"/>
        <v>0</v>
      </c>
      <c r="AO167" s="28">
        <f t="shared" si="48"/>
        <v>0</v>
      </c>
      <c r="AP167" s="28">
        <f t="shared" si="49"/>
        <v>0</v>
      </c>
      <c r="AQ167" s="28">
        <f t="shared" si="56"/>
        <v>0</v>
      </c>
      <c r="AR167" s="29">
        <f t="shared" si="57"/>
        <v>2.0653907263759135E-2</v>
      </c>
      <c r="AT167" s="12"/>
      <c r="AU167">
        <f t="shared" si="50"/>
        <v>0</v>
      </c>
      <c r="AV167">
        <f t="shared" si="51"/>
        <v>0</v>
      </c>
      <c r="AW167">
        <f t="shared" si="58"/>
        <v>0</v>
      </c>
      <c r="AX167">
        <f t="shared" si="45"/>
        <v>0</v>
      </c>
      <c r="AY167">
        <f t="shared" si="59"/>
        <v>0</v>
      </c>
      <c r="AZ167" s="28">
        <f t="shared" si="52"/>
        <v>0</v>
      </c>
      <c r="BA167" s="28">
        <f t="shared" si="53"/>
        <v>0</v>
      </c>
      <c r="BB167" s="28">
        <f t="shared" si="60"/>
        <v>0</v>
      </c>
      <c r="BC167" s="29">
        <f t="shared" si="61"/>
        <v>2.6464087572489782E-2</v>
      </c>
      <c r="BE167" s="29">
        <f t="shared" si="62"/>
        <v>0</v>
      </c>
      <c r="BF167" s="29">
        <f t="shared" si="63"/>
        <v>4.7117994836248914E-2</v>
      </c>
      <c r="BH167" s="29"/>
    </row>
    <row r="168" spans="1:60" x14ac:dyDescent="0.25">
      <c r="A168" s="1">
        <v>46266</v>
      </c>
      <c r="B168" s="33">
        <v>25.15</v>
      </c>
      <c r="C168" s="33">
        <v>25.21</v>
      </c>
      <c r="D168" s="15">
        <v>-4.3642203765970004E-3</v>
      </c>
      <c r="E168" s="15">
        <v>-7.9020561322442704E-3</v>
      </c>
      <c r="F168" s="33">
        <v>0</v>
      </c>
      <c r="G168" s="33">
        <v>1.0880000000000001</v>
      </c>
      <c r="H168" s="33">
        <v>0.1391</v>
      </c>
      <c r="I168" s="33">
        <v>1.0435379999999901</v>
      </c>
      <c r="J168" s="33">
        <v>1.0880000000000001</v>
      </c>
      <c r="K168" s="33">
        <v>1.0435379999999901</v>
      </c>
      <c r="L168" s="33">
        <v>26.238</v>
      </c>
      <c r="M168" s="33">
        <v>26.253537999999999</v>
      </c>
      <c r="N168" s="34">
        <v>1.00238568588469</v>
      </c>
      <c r="O168" s="34">
        <v>1.0011576279691501</v>
      </c>
      <c r="P168" s="34">
        <v>1.00431747121588</v>
      </c>
      <c r="Q168" s="34">
        <v>1.00251465477491</v>
      </c>
      <c r="R168" s="33">
        <v>25.1791143434242</v>
      </c>
      <c r="S168" s="33">
        <v>25.255566614518099</v>
      </c>
      <c r="T168" s="33">
        <v>25.210243567589</v>
      </c>
      <c r="U168" s="15">
        <v>-1.22588621951661E-3</v>
      </c>
      <c r="V168" s="15">
        <v>1.80585020472539E-3</v>
      </c>
      <c r="W168" s="15">
        <v>9.6614998996745706E-6</v>
      </c>
      <c r="X168" s="34">
        <v>1.00059219452702</v>
      </c>
      <c r="Y168" s="34">
        <v>0.99838446436414396</v>
      </c>
      <c r="Z168" s="34">
        <v>0.99930324320540798</v>
      </c>
      <c r="AA168" s="34">
        <v>0.99918429525746999</v>
      </c>
      <c r="AB168" s="33">
        <v>26.195611575986401</v>
      </c>
      <c r="AC168" s="33">
        <v>26.2169089259698</v>
      </c>
      <c r="AD168" s="33">
        <v>26.213694888487701</v>
      </c>
      <c r="AE168" s="15">
        <v>-2.2088612697865099E-3</v>
      </c>
      <c r="AF168" s="15">
        <v>-1.3961794543864499E-3</v>
      </c>
      <c r="AG168" s="15">
        <v>-1.51878103637708E-3</v>
      </c>
      <c r="AI168" s="12"/>
      <c r="AJ168">
        <f t="shared" si="46"/>
        <v>1</v>
      </c>
      <c r="AK168">
        <f t="shared" si="47"/>
        <v>0</v>
      </c>
      <c r="AL168">
        <f t="shared" si="54"/>
        <v>0</v>
      </c>
      <c r="AM168">
        <f t="shared" si="44"/>
        <v>1</v>
      </c>
      <c r="AN168">
        <f t="shared" si="55"/>
        <v>0</v>
      </c>
      <c r="AO168" s="28">
        <f t="shared" si="48"/>
        <v>0</v>
      </c>
      <c r="AP168" s="28">
        <f t="shared" si="49"/>
        <v>0</v>
      </c>
      <c r="AQ168" s="28">
        <f t="shared" si="56"/>
        <v>0</v>
      </c>
      <c r="AR168" s="29">
        <f t="shared" si="57"/>
        <v>2.0653907263759135E-2</v>
      </c>
      <c r="AT168" s="12"/>
      <c r="AU168">
        <f t="shared" si="50"/>
        <v>0</v>
      </c>
      <c r="AV168">
        <f t="shared" si="51"/>
        <v>1</v>
      </c>
      <c r="AW168">
        <f t="shared" si="58"/>
        <v>0</v>
      </c>
      <c r="AX168">
        <f t="shared" si="45"/>
        <v>1</v>
      </c>
      <c r="AY168">
        <f t="shared" si="59"/>
        <v>0</v>
      </c>
      <c r="AZ168" s="28">
        <f t="shared" si="52"/>
        <v>0</v>
      </c>
      <c r="BA168" s="28">
        <f t="shared" si="53"/>
        <v>0</v>
      </c>
      <c r="BB168" s="28">
        <f t="shared" si="60"/>
        <v>0</v>
      </c>
      <c r="BC168" s="29">
        <f t="shared" si="61"/>
        <v>2.6464087572489782E-2</v>
      </c>
      <c r="BE168" s="29">
        <f t="shared" si="62"/>
        <v>0</v>
      </c>
      <c r="BF168" s="29">
        <f t="shared" si="63"/>
        <v>4.7117994836248914E-2</v>
      </c>
      <c r="BH168" s="29"/>
    </row>
    <row r="169" spans="1:60" x14ac:dyDescent="0.25">
      <c r="A169" s="1">
        <v>46267</v>
      </c>
      <c r="B169" s="33">
        <v>25.17</v>
      </c>
      <c r="C169" s="33">
        <v>25.2</v>
      </c>
      <c r="D169" s="15">
        <v>7.9491260147634198E-4</v>
      </c>
      <c r="E169" s="15">
        <v>-3.9674668245091101E-4</v>
      </c>
      <c r="F169" s="33">
        <v>0</v>
      </c>
      <c r="G169" s="33">
        <v>1.0880000000000001</v>
      </c>
      <c r="H169" s="33">
        <v>0</v>
      </c>
      <c r="I169" s="33">
        <v>1.0435379999999901</v>
      </c>
      <c r="J169" s="33">
        <v>1.0880000000000001</v>
      </c>
      <c r="K169" s="33">
        <v>1.0435379999999901</v>
      </c>
      <c r="L169" s="33">
        <v>26.257999999999999</v>
      </c>
      <c r="M169" s="33">
        <v>26.243538000000001</v>
      </c>
      <c r="N169" s="34">
        <v>1.0011918951132299</v>
      </c>
      <c r="O169" s="34">
        <v>1.0011576279691501</v>
      </c>
      <c r="P169" s="34">
        <v>1.0043577963738901</v>
      </c>
      <c r="Q169" s="34">
        <v>1.00265317612883</v>
      </c>
      <c r="R169" s="33">
        <v>25.199137495983599</v>
      </c>
      <c r="S169" s="33">
        <v>25.2786707505037</v>
      </c>
      <c r="T169" s="33">
        <v>25.233293860684501</v>
      </c>
      <c r="U169" s="15">
        <v>-3.4226935589382003E-5</v>
      </c>
      <c r="V169" s="15">
        <v>3.11699230699912E-3</v>
      </c>
      <c r="W169" s="15">
        <v>1.3203129509292001E-3</v>
      </c>
      <c r="X169" s="34">
        <v>0.99944923451900303</v>
      </c>
      <c r="Y169" s="34">
        <v>0.99838446436414396</v>
      </c>
      <c r="Z169" s="34">
        <v>0.99933393090256695</v>
      </c>
      <c r="AA169" s="34">
        <v>0.99931379658474395</v>
      </c>
      <c r="AB169" s="33">
        <v>26.2155792652737</v>
      </c>
      <c r="AC169" s="33">
        <v>26.239704560087599</v>
      </c>
      <c r="AD169" s="33">
        <v>26.236581224870601</v>
      </c>
      <c r="AE169" s="15">
        <v>-1.0659248127307501E-3</v>
      </c>
      <c r="AF169" s="15">
        <v>-1.4608243440006501E-4</v>
      </c>
      <c r="AG169" s="15">
        <v>-2.6512040265326699E-4</v>
      </c>
      <c r="AI169" s="12"/>
      <c r="AJ169">
        <f t="shared" si="46"/>
        <v>0</v>
      </c>
      <c r="AK169">
        <f t="shared" si="47"/>
        <v>0</v>
      </c>
      <c r="AL169">
        <f t="shared" si="54"/>
        <v>1</v>
      </c>
      <c r="AM169">
        <f t="shared" si="44"/>
        <v>1</v>
      </c>
      <c r="AN169">
        <f t="shared" si="55"/>
        <v>1</v>
      </c>
      <c r="AO169" s="28">
        <f t="shared" si="48"/>
        <v>7.9491260147634198E-4</v>
      </c>
      <c r="AP169" s="28">
        <f t="shared" si="49"/>
        <v>3.9674668245091101E-4</v>
      </c>
      <c r="AQ169" s="28">
        <f t="shared" si="56"/>
        <v>1.1916592839272531E-3</v>
      </c>
      <c r="AR169" s="29">
        <f t="shared" si="57"/>
        <v>2.184556654768639E-2</v>
      </c>
      <c r="AT169" s="12"/>
      <c r="AU169">
        <f t="shared" si="50"/>
        <v>0</v>
      </c>
      <c r="AV169">
        <f t="shared" si="51"/>
        <v>1</v>
      </c>
      <c r="AW169">
        <f t="shared" si="58"/>
        <v>0</v>
      </c>
      <c r="AX169">
        <f t="shared" si="45"/>
        <v>1</v>
      </c>
      <c r="AY169">
        <f t="shared" si="59"/>
        <v>0</v>
      </c>
      <c r="AZ169" s="28">
        <f t="shared" si="52"/>
        <v>0</v>
      </c>
      <c r="BA169" s="28">
        <f t="shared" si="53"/>
        <v>0</v>
      </c>
      <c r="BB169" s="28">
        <f t="shared" si="60"/>
        <v>0</v>
      </c>
      <c r="BC169" s="29">
        <f t="shared" si="61"/>
        <v>2.6464087572489782E-2</v>
      </c>
      <c r="BE169" s="29">
        <f t="shared" si="62"/>
        <v>1.1916592839272531E-3</v>
      </c>
      <c r="BF169" s="29">
        <f t="shared" si="63"/>
        <v>4.8309654120176168E-2</v>
      </c>
      <c r="BH169" s="29"/>
    </row>
    <row r="170" spans="1:60" x14ac:dyDescent="0.25">
      <c r="A170" s="1">
        <v>46268</v>
      </c>
      <c r="B170" s="33">
        <v>25.21</v>
      </c>
      <c r="C170" s="33">
        <v>25.22</v>
      </c>
      <c r="D170" s="15">
        <v>1.58793205260388E-3</v>
      </c>
      <c r="E170" s="15">
        <v>7.9333601939587397E-4</v>
      </c>
      <c r="F170" s="33">
        <v>0</v>
      </c>
      <c r="G170" s="33">
        <v>1.0880000000000001</v>
      </c>
      <c r="H170" s="33">
        <v>0</v>
      </c>
      <c r="I170" s="33">
        <v>1.0435379999999901</v>
      </c>
      <c r="J170" s="33">
        <v>1.0880000000000001</v>
      </c>
      <c r="K170" s="33">
        <v>1.0435379999999901</v>
      </c>
      <c r="L170" s="33">
        <v>26.297999999999998</v>
      </c>
      <c r="M170" s="33">
        <v>26.263537999999901</v>
      </c>
      <c r="N170" s="34">
        <v>1.00039666798889</v>
      </c>
      <c r="O170" s="34">
        <v>1.0011576279691501</v>
      </c>
      <c r="P170" s="34">
        <v>1.00431841178938</v>
      </c>
      <c r="Q170" s="34">
        <v>1.00257415622658</v>
      </c>
      <c r="R170" s="33">
        <v>25.239183801102399</v>
      </c>
      <c r="S170" s="33">
        <v>25.319860046585699</v>
      </c>
      <c r="T170" s="33">
        <v>25.276886570207999</v>
      </c>
      <c r="U170" s="15">
        <v>7.6036909761875195E-4</v>
      </c>
      <c r="V170" s="15">
        <v>3.9517393378987499E-3</v>
      </c>
      <c r="W170" s="15">
        <v>2.2530733332861499E-3</v>
      </c>
      <c r="X170" s="34">
        <v>0.998689558141303</v>
      </c>
      <c r="Y170" s="34">
        <v>0.99838446436414396</v>
      </c>
      <c r="Z170" s="34">
        <v>0.999288847016922</v>
      </c>
      <c r="AA170" s="34">
        <v>0.99923409985293998</v>
      </c>
      <c r="AB170" s="33">
        <v>26.255514643848201</v>
      </c>
      <c r="AC170" s="33">
        <v>26.2804837148757</v>
      </c>
      <c r="AD170" s="33">
        <v>26.279954222585602</v>
      </c>
      <c r="AE170" s="15">
        <v>-3.0554078225857902E-4</v>
      </c>
      <c r="AF170" s="15">
        <v>6.4501021848567704E-4</v>
      </c>
      <c r="AG170" s="15">
        <v>6.2486227790922299E-4</v>
      </c>
      <c r="AI170" s="12"/>
      <c r="AJ170">
        <f t="shared" si="46"/>
        <v>0</v>
      </c>
      <c r="AK170">
        <f t="shared" si="47"/>
        <v>1</v>
      </c>
      <c r="AL170">
        <f t="shared" si="54"/>
        <v>1</v>
      </c>
      <c r="AM170">
        <f t="shared" si="44"/>
        <v>1</v>
      </c>
      <c r="AN170">
        <f t="shared" si="55"/>
        <v>1</v>
      </c>
      <c r="AO170" s="28">
        <f t="shared" si="48"/>
        <v>1.58793205260388E-3</v>
      </c>
      <c r="AP170" s="28">
        <f t="shared" si="49"/>
        <v>-7.9333601939587397E-4</v>
      </c>
      <c r="AQ170" s="28">
        <f t="shared" si="56"/>
        <v>7.9459603320800607E-4</v>
      </c>
      <c r="AR170" s="29">
        <f t="shared" si="57"/>
        <v>2.2640162580894397E-2</v>
      </c>
      <c r="AT170" s="12"/>
      <c r="AU170">
        <f t="shared" si="50"/>
        <v>0</v>
      </c>
      <c r="AV170">
        <f t="shared" si="51"/>
        <v>0</v>
      </c>
      <c r="AW170">
        <f t="shared" si="58"/>
        <v>0</v>
      </c>
      <c r="AX170">
        <f t="shared" si="45"/>
        <v>1</v>
      </c>
      <c r="AY170">
        <f t="shared" si="59"/>
        <v>0</v>
      </c>
      <c r="AZ170" s="28">
        <f t="shared" si="52"/>
        <v>0</v>
      </c>
      <c r="BA170" s="28">
        <f t="shared" si="53"/>
        <v>0</v>
      </c>
      <c r="BB170" s="28">
        <f t="shared" si="60"/>
        <v>0</v>
      </c>
      <c r="BC170" s="29">
        <f t="shared" si="61"/>
        <v>2.6464087572489782E-2</v>
      </c>
      <c r="BE170" s="29">
        <f t="shared" si="62"/>
        <v>7.9459603320800607E-4</v>
      </c>
      <c r="BF170" s="29">
        <f t="shared" si="63"/>
        <v>4.9104250153384175E-2</v>
      </c>
      <c r="BH170" s="29"/>
    </row>
    <row r="171" spans="1:60" x14ac:dyDescent="0.25">
      <c r="A171" s="1">
        <v>46269</v>
      </c>
      <c r="B171" s="33">
        <v>25.19</v>
      </c>
      <c r="C171" s="33">
        <v>25.22</v>
      </c>
      <c r="D171" s="15">
        <v>-7.9365083530956405E-4</v>
      </c>
      <c r="E171" s="15">
        <v>0</v>
      </c>
      <c r="F171" s="33">
        <v>0</v>
      </c>
      <c r="G171" s="33">
        <v>1.0880000000000001</v>
      </c>
      <c r="H171" s="33">
        <v>0</v>
      </c>
      <c r="I171" s="33">
        <v>1.0435379999999901</v>
      </c>
      <c r="J171" s="33">
        <v>1.0880000000000001</v>
      </c>
      <c r="K171" s="33">
        <v>1.0435379999999901</v>
      </c>
      <c r="L171" s="33">
        <v>26.277999999999999</v>
      </c>
      <c r="M171" s="33">
        <v>26.263537999999901</v>
      </c>
      <c r="N171" s="34">
        <v>1.0011909487891999</v>
      </c>
      <c r="O171" s="34">
        <v>1.0011576279691501</v>
      </c>
      <c r="P171" s="34">
        <v>1.0043191167709</v>
      </c>
      <c r="Q171" s="34">
        <v>1.00265345090143</v>
      </c>
      <c r="R171" s="33">
        <v>25.219160648542999</v>
      </c>
      <c r="S171" s="33">
        <v>25.298780792974501</v>
      </c>
      <c r="T171" s="33">
        <v>25.254842995347602</v>
      </c>
      <c r="U171" s="15">
        <v>-3.3281737690922103E-5</v>
      </c>
      <c r="V171" s="15">
        <v>3.1188740345182899E-3</v>
      </c>
      <c r="W171" s="15">
        <v>1.38060858892847E-3</v>
      </c>
      <c r="X171" s="34">
        <v>0.99944965370271599</v>
      </c>
      <c r="Y171" s="34">
        <v>0.99838446436414396</v>
      </c>
      <c r="Z171" s="34">
        <v>0.99928160026713397</v>
      </c>
      <c r="AA171" s="34">
        <v>0.99930663583689205</v>
      </c>
      <c r="AB171" s="33">
        <v>26.235546954560899</v>
      </c>
      <c r="AC171" s="33">
        <v>26.259312321910599</v>
      </c>
      <c r="AD171" s="33">
        <v>26.2578736759355</v>
      </c>
      <c r="AE171" s="15">
        <v>-1.0663442273551799E-3</v>
      </c>
      <c r="AF171" s="15">
        <v>-1.60908178917759E-4</v>
      </c>
      <c r="AG171" s="15">
        <v>-2.1569580502999101E-4</v>
      </c>
      <c r="AI171" s="12"/>
      <c r="AJ171">
        <f t="shared" si="46"/>
        <v>0</v>
      </c>
      <c r="AK171">
        <f t="shared" si="47"/>
        <v>0</v>
      </c>
      <c r="AL171">
        <f t="shared" si="54"/>
        <v>0</v>
      </c>
      <c r="AM171">
        <f t="shared" si="44"/>
        <v>1</v>
      </c>
      <c r="AN171">
        <f t="shared" si="55"/>
        <v>0</v>
      </c>
      <c r="AO171" s="28">
        <f t="shared" si="48"/>
        <v>0</v>
      </c>
      <c r="AP171" s="28">
        <f t="shared" si="49"/>
        <v>0</v>
      </c>
      <c r="AQ171" s="28">
        <f t="shared" si="56"/>
        <v>0</v>
      </c>
      <c r="AR171" s="29">
        <f t="shared" si="57"/>
        <v>2.2640162580894397E-2</v>
      </c>
      <c r="AT171" s="12"/>
      <c r="AU171">
        <f t="shared" si="50"/>
        <v>0</v>
      </c>
      <c r="AV171">
        <f t="shared" si="51"/>
        <v>1</v>
      </c>
      <c r="AW171">
        <f t="shared" si="58"/>
        <v>0</v>
      </c>
      <c r="AX171">
        <f t="shared" si="45"/>
        <v>1</v>
      </c>
      <c r="AY171">
        <f t="shared" si="59"/>
        <v>0</v>
      </c>
      <c r="AZ171" s="28">
        <f t="shared" si="52"/>
        <v>0</v>
      </c>
      <c r="BA171" s="28">
        <f t="shared" si="53"/>
        <v>0</v>
      </c>
      <c r="BB171" s="28">
        <f t="shared" si="60"/>
        <v>0</v>
      </c>
      <c r="BC171" s="29">
        <f t="shared" si="61"/>
        <v>2.6464087572489782E-2</v>
      </c>
      <c r="BE171" s="29">
        <f t="shared" si="62"/>
        <v>0</v>
      </c>
      <c r="BF171" s="29">
        <f t="shared" si="63"/>
        <v>4.9104250153384175E-2</v>
      </c>
      <c r="BH171" s="29"/>
    </row>
    <row r="172" spans="1:60" x14ac:dyDescent="0.25">
      <c r="A172" s="1">
        <v>46273</v>
      </c>
      <c r="B172" s="33">
        <v>25.16</v>
      </c>
      <c r="C172" s="33">
        <v>25.24</v>
      </c>
      <c r="D172" s="15">
        <v>-1.1916585322791001E-3</v>
      </c>
      <c r="E172" s="15">
        <v>7.9270713623890495E-4</v>
      </c>
      <c r="F172" s="33">
        <v>0</v>
      </c>
      <c r="G172" s="33">
        <v>1.0880000000000001</v>
      </c>
      <c r="H172" s="33">
        <v>0</v>
      </c>
      <c r="I172" s="33">
        <v>1.0435379999999901</v>
      </c>
      <c r="J172" s="33">
        <v>1.0880000000000001</v>
      </c>
      <c r="K172" s="33">
        <v>1.0435379999999901</v>
      </c>
      <c r="L172" s="33">
        <v>26.248000000000001</v>
      </c>
      <c r="M172" s="33">
        <v>26.283538</v>
      </c>
      <c r="N172" s="34">
        <v>1.00317965023847</v>
      </c>
      <c r="O172" s="34">
        <v>1.0011576279691501</v>
      </c>
      <c r="P172" s="34">
        <v>1.00396274621363</v>
      </c>
      <c r="Q172" s="34">
        <v>1.0027135018739699</v>
      </c>
      <c r="R172" s="33">
        <v>25.189125919703901</v>
      </c>
      <c r="S172" s="33">
        <v>25.268668977955901</v>
      </c>
      <c r="T172" s="33">
        <v>25.2267608246799</v>
      </c>
      <c r="U172" s="15">
        <v>-2.0176474062089198E-3</v>
      </c>
      <c r="V172" s="15">
        <v>1.1352103159684599E-3</v>
      </c>
      <c r="W172" s="15">
        <v>-5.2466912507812902E-4</v>
      </c>
      <c r="X172" s="34">
        <v>1.0013539317281299</v>
      </c>
      <c r="Y172" s="34">
        <v>0.99838446436414396</v>
      </c>
      <c r="Z172" s="34">
        <v>0.99946856390157901</v>
      </c>
      <c r="AA172" s="34">
        <v>0.99936014697111097</v>
      </c>
      <c r="AB172" s="33">
        <v>26.205595420630001</v>
      </c>
      <c r="AC172" s="33">
        <v>26.229143443811701</v>
      </c>
      <c r="AD172" s="33">
        <v>26.229800577446699</v>
      </c>
      <c r="AE172" s="15">
        <v>-2.9698580097896098E-3</v>
      </c>
      <c r="AF172" s="15">
        <v>-2.0716738946501799E-3</v>
      </c>
      <c r="AG172" s="15">
        <v>-2.0466206402507199E-3</v>
      </c>
      <c r="AI172" s="12"/>
      <c r="AJ172">
        <f t="shared" si="46"/>
        <v>1</v>
      </c>
      <c r="AK172">
        <f t="shared" si="47"/>
        <v>0</v>
      </c>
      <c r="AL172">
        <f t="shared" si="54"/>
        <v>0</v>
      </c>
      <c r="AM172">
        <f t="shared" si="44"/>
        <v>1</v>
      </c>
      <c r="AN172">
        <f t="shared" si="55"/>
        <v>0</v>
      </c>
      <c r="AO172" s="28">
        <f t="shared" si="48"/>
        <v>0</v>
      </c>
      <c r="AP172" s="28">
        <f t="shared" si="49"/>
        <v>0</v>
      </c>
      <c r="AQ172" s="28">
        <f t="shared" si="56"/>
        <v>0</v>
      </c>
      <c r="AR172" s="29">
        <f t="shared" si="57"/>
        <v>2.2640162580894397E-2</v>
      </c>
      <c r="AT172" s="12"/>
      <c r="AU172">
        <f t="shared" si="50"/>
        <v>0</v>
      </c>
      <c r="AV172">
        <f t="shared" si="51"/>
        <v>1</v>
      </c>
      <c r="AW172">
        <f t="shared" si="58"/>
        <v>0</v>
      </c>
      <c r="AX172">
        <f t="shared" si="45"/>
        <v>1</v>
      </c>
      <c r="AY172">
        <f t="shared" si="59"/>
        <v>0</v>
      </c>
      <c r="AZ172" s="28">
        <f t="shared" si="52"/>
        <v>0</v>
      </c>
      <c r="BA172" s="28">
        <f t="shared" si="53"/>
        <v>0</v>
      </c>
      <c r="BB172" s="28">
        <f t="shared" si="60"/>
        <v>0</v>
      </c>
      <c r="BC172" s="29">
        <f t="shared" si="61"/>
        <v>2.6464087572489782E-2</v>
      </c>
      <c r="BE172" s="29">
        <f t="shared" si="62"/>
        <v>0</v>
      </c>
      <c r="BF172" s="29">
        <f t="shared" si="63"/>
        <v>4.9104250153384175E-2</v>
      </c>
      <c r="BH172" s="29"/>
    </row>
    <row r="173" spans="1:60" x14ac:dyDescent="0.25">
      <c r="A173" s="1">
        <v>46274</v>
      </c>
      <c r="B173" s="33">
        <v>25.16</v>
      </c>
      <c r="C173" s="33">
        <v>25.18</v>
      </c>
      <c r="D173" s="15">
        <v>0</v>
      </c>
      <c r="E173" s="15">
        <v>-2.38000905681123E-3</v>
      </c>
      <c r="F173" s="33">
        <v>0</v>
      </c>
      <c r="G173" s="33">
        <v>1.0880000000000001</v>
      </c>
      <c r="H173" s="33">
        <v>0</v>
      </c>
      <c r="I173" s="33">
        <v>1.0435379999999901</v>
      </c>
      <c r="J173" s="33">
        <v>1.0880000000000001</v>
      </c>
      <c r="K173" s="33">
        <v>1.0435379999999901</v>
      </c>
      <c r="L173" s="33">
        <v>26.248000000000001</v>
      </c>
      <c r="M173" s="33">
        <v>26.223537999999898</v>
      </c>
      <c r="N173" s="34">
        <v>1.0007949125596101</v>
      </c>
      <c r="O173" s="34">
        <v>1.0011576279691501</v>
      </c>
      <c r="P173" s="34">
        <v>1.0035677416214299</v>
      </c>
      <c r="Q173" s="34">
        <v>1.0027136905399301</v>
      </c>
      <c r="R173" s="33">
        <v>25.189125919703901</v>
      </c>
      <c r="S173" s="33">
        <v>25.259702694735001</v>
      </c>
      <c r="T173" s="33">
        <v>25.2282717071493</v>
      </c>
      <c r="U173" s="15">
        <v>3.62361650602249E-4</v>
      </c>
      <c r="V173" s="15">
        <v>3.1603184322491701E-3</v>
      </c>
      <c r="W173" s="15">
        <v>1.91523019020524E-3</v>
      </c>
      <c r="X173" s="34">
        <v>0.99906804327948695</v>
      </c>
      <c r="Y173" s="34">
        <v>0.99838446436414396</v>
      </c>
      <c r="Z173" s="34">
        <v>0.99961633418600704</v>
      </c>
      <c r="AA173" s="34">
        <v>0.99935656206069701</v>
      </c>
      <c r="AB173" s="33">
        <v>26.205595420630001</v>
      </c>
      <c r="AC173" s="33">
        <v>26.234050865288602</v>
      </c>
      <c r="AD173" s="33">
        <v>26.2312051376977</v>
      </c>
      <c r="AE173" s="15">
        <v>-6.8445075856765104E-4</v>
      </c>
      <c r="AF173" s="15">
        <v>4.0081390154664401E-4</v>
      </c>
      <c r="AG173" s="15">
        <v>2.9233343997947498E-4</v>
      </c>
      <c r="AI173" s="12"/>
      <c r="AJ173">
        <f t="shared" si="46"/>
        <v>0</v>
      </c>
      <c r="AK173">
        <f t="shared" si="47"/>
        <v>1</v>
      </c>
      <c r="AL173">
        <f t="shared" si="54"/>
        <v>1</v>
      </c>
      <c r="AM173">
        <f t="shared" si="44"/>
        <v>1</v>
      </c>
      <c r="AN173">
        <f t="shared" si="55"/>
        <v>1</v>
      </c>
      <c r="AO173" s="28">
        <f t="shared" si="48"/>
        <v>0</v>
      </c>
      <c r="AP173" s="28">
        <f t="shared" si="49"/>
        <v>2.38000905681123E-3</v>
      </c>
      <c r="AQ173" s="28">
        <f t="shared" si="56"/>
        <v>2.38000905681123E-3</v>
      </c>
      <c r="AR173" s="29">
        <f t="shared" si="57"/>
        <v>2.5020171637705625E-2</v>
      </c>
      <c r="AT173" s="12"/>
      <c r="AU173">
        <f t="shared" si="50"/>
        <v>0</v>
      </c>
      <c r="AV173">
        <f t="shared" si="51"/>
        <v>0</v>
      </c>
      <c r="AW173">
        <f t="shared" si="58"/>
        <v>0</v>
      </c>
      <c r="AX173">
        <f t="shared" si="45"/>
        <v>1</v>
      </c>
      <c r="AY173">
        <f t="shared" si="59"/>
        <v>0</v>
      </c>
      <c r="AZ173" s="28">
        <f t="shared" si="52"/>
        <v>0</v>
      </c>
      <c r="BA173" s="28">
        <f t="shared" si="53"/>
        <v>0</v>
      </c>
      <c r="BB173" s="28">
        <f t="shared" si="60"/>
        <v>0</v>
      </c>
      <c r="BC173" s="29">
        <f t="shared" si="61"/>
        <v>2.6464087572489782E-2</v>
      </c>
      <c r="BE173" s="29">
        <f t="shared" si="62"/>
        <v>2.38000905681123E-3</v>
      </c>
      <c r="BF173" s="29">
        <f t="shared" si="63"/>
        <v>5.1484259210195407E-2</v>
      </c>
      <c r="BH173" s="29"/>
    </row>
    <row r="174" spans="1:60" x14ac:dyDescent="0.25">
      <c r="A174" s="1">
        <v>46275</v>
      </c>
      <c r="B174" s="33">
        <v>25.05</v>
      </c>
      <c r="C174" s="33">
        <v>25.03</v>
      </c>
      <c r="D174" s="15">
        <v>-4.3816043013659503E-3</v>
      </c>
      <c r="E174" s="15">
        <v>-5.9749231725182098E-3</v>
      </c>
      <c r="F174" s="33">
        <v>0</v>
      </c>
      <c r="G174" s="33">
        <v>1.0880000000000001</v>
      </c>
      <c r="H174" s="33">
        <v>0</v>
      </c>
      <c r="I174" s="33">
        <v>1.0435379999999901</v>
      </c>
      <c r="J174" s="33">
        <v>1.0880000000000001</v>
      </c>
      <c r="K174" s="33">
        <v>1.0435379999999901</v>
      </c>
      <c r="L174" s="33">
        <v>26.138000000000002</v>
      </c>
      <c r="M174" s="33">
        <v>26.073537999999999</v>
      </c>
      <c r="N174" s="34">
        <v>0.99920159680638698</v>
      </c>
      <c r="O174" s="34">
        <v>1.0011576279691501</v>
      </c>
      <c r="P174" s="34">
        <v>1.0028151668343199</v>
      </c>
      <c r="Q174" s="34">
        <v>1.00267377038025</v>
      </c>
      <c r="R174" s="33">
        <v>25.078998580627299</v>
      </c>
      <c r="S174" s="33">
        <v>25.139371927616899</v>
      </c>
      <c r="T174" s="33">
        <v>25.117977948025299</v>
      </c>
      <c r="U174" s="15">
        <v>1.9556805217547002E-3</v>
      </c>
      <c r="V174" s="15">
        <v>4.3601144157634801E-3</v>
      </c>
      <c r="W174" s="15">
        <v>3.5087372167355202E-3</v>
      </c>
      <c r="X174" s="34">
        <v>0.99753378223276401</v>
      </c>
      <c r="Y174" s="34">
        <v>0.99838446436414396</v>
      </c>
      <c r="Z174" s="34">
        <v>0.99942116547855997</v>
      </c>
      <c r="AA174" s="34">
        <v>0.99931426917972099</v>
      </c>
      <c r="AB174" s="33">
        <v>26.09577312955</v>
      </c>
      <c r="AC174" s="33">
        <v>26.1279717429538</v>
      </c>
      <c r="AD174" s="33">
        <v>26.1211818191425</v>
      </c>
      <c r="AE174" s="15">
        <v>8.5242187082678797E-4</v>
      </c>
      <c r="AF174" s="15">
        <v>2.0855244590232301E-3</v>
      </c>
      <c r="AG174" s="15">
        <v>1.82561885724071E-3</v>
      </c>
      <c r="AI174" s="12"/>
      <c r="AJ174">
        <f t="shared" si="46"/>
        <v>0</v>
      </c>
      <c r="AK174">
        <f t="shared" si="47"/>
        <v>1</v>
      </c>
      <c r="AL174">
        <f t="shared" si="54"/>
        <v>0</v>
      </c>
      <c r="AM174">
        <f t="shared" si="44"/>
        <v>1</v>
      </c>
      <c r="AN174">
        <f t="shared" si="55"/>
        <v>0</v>
      </c>
      <c r="AO174" s="28">
        <f t="shared" si="48"/>
        <v>0</v>
      </c>
      <c r="AP174" s="28">
        <f t="shared" si="49"/>
        <v>0</v>
      </c>
      <c r="AQ174" s="28">
        <f t="shared" si="56"/>
        <v>0</v>
      </c>
      <c r="AR174" s="29">
        <f t="shared" si="57"/>
        <v>2.5020171637705625E-2</v>
      </c>
      <c r="AT174" s="12"/>
      <c r="AU174">
        <f t="shared" si="50"/>
        <v>1</v>
      </c>
      <c r="AV174">
        <f t="shared" si="51"/>
        <v>0</v>
      </c>
      <c r="AW174">
        <f t="shared" si="58"/>
        <v>0</v>
      </c>
      <c r="AX174">
        <f t="shared" si="45"/>
        <v>1</v>
      </c>
      <c r="AY174">
        <f t="shared" si="59"/>
        <v>0</v>
      </c>
      <c r="AZ174" s="28">
        <f t="shared" si="52"/>
        <v>0</v>
      </c>
      <c r="BA174" s="28">
        <f t="shared" si="53"/>
        <v>0</v>
      </c>
      <c r="BB174" s="28">
        <f t="shared" si="60"/>
        <v>0</v>
      </c>
      <c r="BC174" s="29">
        <f t="shared" si="61"/>
        <v>2.6464087572489782E-2</v>
      </c>
      <c r="BE174" s="29">
        <f t="shared" si="62"/>
        <v>0</v>
      </c>
      <c r="BF174" s="29">
        <f t="shared" si="63"/>
        <v>5.1484259210195407E-2</v>
      </c>
      <c r="BH174" s="29"/>
    </row>
    <row r="175" spans="1:60" x14ac:dyDescent="0.25">
      <c r="A175" s="1">
        <v>46276</v>
      </c>
      <c r="B175" s="33">
        <v>24.96</v>
      </c>
      <c r="C175" s="33">
        <v>25.02</v>
      </c>
      <c r="D175" s="15">
        <v>-3.5992840296468699E-3</v>
      </c>
      <c r="E175" s="15">
        <v>-3.9960040491781099E-4</v>
      </c>
      <c r="F175" s="33">
        <v>0</v>
      </c>
      <c r="G175" s="33">
        <v>1.0880000000000001</v>
      </c>
      <c r="H175" s="33">
        <v>0</v>
      </c>
      <c r="I175" s="33">
        <v>1.0435379999999901</v>
      </c>
      <c r="J175" s="33">
        <v>1.0880000000000001</v>
      </c>
      <c r="K175" s="33">
        <v>1.0435379999999901</v>
      </c>
      <c r="L175" s="33">
        <v>26.047999999999998</v>
      </c>
      <c r="M175" s="33">
        <v>26.063538000000001</v>
      </c>
      <c r="N175" s="34">
        <v>1.00240384615384</v>
      </c>
      <c r="O175" s="34">
        <v>1.0011576279691501</v>
      </c>
      <c r="P175" s="34">
        <v>1.0023426801625801</v>
      </c>
      <c r="Q175" s="34">
        <v>1.0027545771030699</v>
      </c>
      <c r="R175" s="33">
        <v>24.988894394110101</v>
      </c>
      <c r="S175" s="33">
        <v>25.0302665641847</v>
      </c>
      <c r="T175" s="33">
        <v>25.0267373086911</v>
      </c>
      <c r="U175" s="15">
        <v>-1.2440031029744001E-3</v>
      </c>
      <c r="V175" s="15">
        <v>4.1025013585459702E-4</v>
      </c>
      <c r="W175" s="15">
        <v>2.6924067758088102E-4</v>
      </c>
      <c r="X175" s="34">
        <v>1.00059651412776</v>
      </c>
      <c r="Y175" s="34">
        <v>0.99838446436414396</v>
      </c>
      <c r="Z175" s="34">
        <v>0.99949434107692403</v>
      </c>
      <c r="AA175" s="34">
        <v>0.99938692816248798</v>
      </c>
      <c r="AB175" s="33">
        <v>26.005918527757199</v>
      </c>
      <c r="AC175" s="33">
        <v>26.032922518385501</v>
      </c>
      <c r="AD175" s="33">
        <v>26.0301380835933</v>
      </c>
      <c r="AE175" s="15">
        <v>-2.2131783046804199E-3</v>
      </c>
      <c r="AF175" s="15">
        <v>-1.1753383947475399E-3</v>
      </c>
      <c r="AG175" s="15">
        <v>-1.2823023251287799E-3</v>
      </c>
      <c r="AI175" s="12"/>
      <c r="AJ175">
        <f t="shared" si="46"/>
        <v>1</v>
      </c>
      <c r="AK175">
        <f t="shared" si="47"/>
        <v>0</v>
      </c>
      <c r="AL175">
        <f t="shared" si="54"/>
        <v>0</v>
      </c>
      <c r="AM175">
        <f t="shared" si="44"/>
        <v>1</v>
      </c>
      <c r="AN175">
        <f t="shared" si="55"/>
        <v>0</v>
      </c>
      <c r="AO175" s="28">
        <f t="shared" si="48"/>
        <v>0</v>
      </c>
      <c r="AP175" s="28">
        <f t="shared" si="49"/>
        <v>0</v>
      </c>
      <c r="AQ175" s="28">
        <f t="shared" si="56"/>
        <v>0</v>
      </c>
      <c r="AR175" s="29">
        <f t="shared" si="57"/>
        <v>2.5020171637705625E-2</v>
      </c>
      <c r="AT175" s="12"/>
      <c r="AU175">
        <f t="shared" si="50"/>
        <v>0</v>
      </c>
      <c r="AV175">
        <f t="shared" si="51"/>
        <v>1</v>
      </c>
      <c r="AW175">
        <f t="shared" si="58"/>
        <v>1</v>
      </c>
      <c r="AX175">
        <f t="shared" si="45"/>
        <v>1</v>
      </c>
      <c r="AY175">
        <f t="shared" si="59"/>
        <v>1</v>
      </c>
      <c r="AZ175" s="28">
        <f t="shared" si="52"/>
        <v>3.5992840296468699E-3</v>
      </c>
      <c r="BA175" s="28">
        <f t="shared" si="53"/>
        <v>-3.9960040491781099E-4</v>
      </c>
      <c r="BB175" s="28">
        <f t="shared" si="60"/>
        <v>3.1996836247290589E-3</v>
      </c>
      <c r="BC175" s="29">
        <f t="shared" si="61"/>
        <v>2.966377119721884E-2</v>
      </c>
      <c r="BE175" s="29">
        <f t="shared" si="62"/>
        <v>3.1996836247290589E-3</v>
      </c>
      <c r="BF175" s="29">
        <f t="shared" si="63"/>
        <v>5.4683942834924469E-2</v>
      </c>
      <c r="BH175" s="29"/>
    </row>
    <row r="176" spans="1:60" x14ac:dyDescent="0.25">
      <c r="A176" s="1">
        <v>46279</v>
      </c>
      <c r="B176" s="33">
        <v>24.89</v>
      </c>
      <c r="C176" s="33">
        <v>24.98</v>
      </c>
      <c r="D176" s="15">
        <v>-2.8084271217263201E-3</v>
      </c>
      <c r="E176" s="15">
        <v>-1.60000034133338E-3</v>
      </c>
      <c r="F176" s="33">
        <v>0</v>
      </c>
      <c r="G176" s="33">
        <v>1.0880000000000001</v>
      </c>
      <c r="H176" s="33">
        <v>0</v>
      </c>
      <c r="I176" s="33">
        <v>1.0435379999999901</v>
      </c>
      <c r="J176" s="33">
        <v>1.0880000000000001</v>
      </c>
      <c r="K176" s="33">
        <v>1.0435379999999901</v>
      </c>
      <c r="L176" s="33">
        <v>25.978000000000002</v>
      </c>
      <c r="M176" s="33">
        <v>26.023537999999999</v>
      </c>
      <c r="N176" s="34">
        <v>1.0036159100040101</v>
      </c>
      <c r="O176" s="34">
        <v>1.0011576279691501</v>
      </c>
      <c r="P176" s="34">
        <v>1.00202993558186</v>
      </c>
      <c r="Q176" s="34">
        <v>1.0028167955281699</v>
      </c>
      <c r="R176" s="33">
        <v>24.918813360152299</v>
      </c>
      <c r="S176" s="33">
        <v>24.9483093092466</v>
      </c>
      <c r="T176" s="33">
        <v>24.9585614240954</v>
      </c>
      <c r="U176" s="15">
        <v>-2.4524298833672699E-3</v>
      </c>
      <c r="V176" s="15">
        <v>-1.2694479523771599E-3</v>
      </c>
      <c r="W176" s="15">
        <v>-8.5859810976650895E-4</v>
      </c>
      <c r="X176" s="34">
        <v>1.00175294479944</v>
      </c>
      <c r="Y176" s="34">
        <v>0.99838446436414396</v>
      </c>
      <c r="Z176" s="34">
        <v>0.99972120601850101</v>
      </c>
      <c r="AA176" s="34">
        <v>0.99944135636790399</v>
      </c>
      <c r="AB176" s="33">
        <v>25.9360316152517</v>
      </c>
      <c r="AC176" s="33">
        <v>25.964863992496301</v>
      </c>
      <c r="AD176" s="33">
        <v>25.9620736198051</v>
      </c>
      <c r="AE176" s="15">
        <v>-3.3682522055933401E-3</v>
      </c>
      <c r="AF176" s="15">
        <v>-2.2571969965080301E-3</v>
      </c>
      <c r="AG176" s="15">
        <v>-2.3646700277406901E-3</v>
      </c>
      <c r="AI176" s="12"/>
      <c r="AJ176">
        <f t="shared" si="46"/>
        <v>1</v>
      </c>
      <c r="AK176">
        <f t="shared" si="47"/>
        <v>0</v>
      </c>
      <c r="AL176">
        <f t="shared" si="54"/>
        <v>1</v>
      </c>
      <c r="AM176">
        <f t="shared" si="44"/>
        <v>1</v>
      </c>
      <c r="AN176">
        <f t="shared" si="55"/>
        <v>1</v>
      </c>
      <c r="AO176" s="28">
        <f t="shared" si="48"/>
        <v>-2.8084271217263201E-3</v>
      </c>
      <c r="AP176" s="28">
        <f t="shared" si="49"/>
        <v>1.60000034133338E-3</v>
      </c>
      <c r="AQ176" s="28">
        <f t="shared" si="56"/>
        <v>-1.20842678039294E-3</v>
      </c>
      <c r="AR176" s="29">
        <f t="shared" si="57"/>
        <v>2.3811744857312685E-2</v>
      </c>
      <c r="AT176" s="12"/>
      <c r="AU176">
        <f t="shared" si="50"/>
        <v>0</v>
      </c>
      <c r="AV176">
        <f t="shared" si="51"/>
        <v>1</v>
      </c>
      <c r="AW176">
        <f t="shared" si="58"/>
        <v>0</v>
      </c>
      <c r="AX176">
        <f t="shared" si="45"/>
        <v>1</v>
      </c>
      <c r="AY176">
        <f t="shared" si="59"/>
        <v>0</v>
      </c>
      <c r="AZ176" s="28">
        <f t="shared" si="52"/>
        <v>0</v>
      </c>
      <c r="BA176" s="28">
        <f t="shared" si="53"/>
        <v>0</v>
      </c>
      <c r="BB176" s="28">
        <f t="shared" si="60"/>
        <v>0</v>
      </c>
      <c r="BC176" s="29">
        <f t="shared" si="61"/>
        <v>2.966377119721884E-2</v>
      </c>
      <c r="BE176" s="29">
        <f t="shared" si="62"/>
        <v>-1.20842678039294E-3</v>
      </c>
      <c r="BF176" s="29">
        <f t="shared" si="63"/>
        <v>5.3475516054531526E-2</v>
      </c>
      <c r="BH176" s="29"/>
    </row>
    <row r="177" spans="1:100" x14ac:dyDescent="0.25">
      <c r="A177">
        <v>46280</v>
      </c>
      <c r="B177" s="33">
        <v>24.84</v>
      </c>
      <c r="C177" s="33">
        <v>24.95</v>
      </c>
      <c r="D177" s="15">
        <v>-2.0108593142226E-3</v>
      </c>
      <c r="E177" s="15">
        <v>-1.20168249990403E-3</v>
      </c>
      <c r="F177" s="33">
        <v>0</v>
      </c>
      <c r="G177" s="33">
        <v>1.0880000000000001</v>
      </c>
      <c r="H177" s="33">
        <v>0</v>
      </c>
      <c r="I177" s="33">
        <v>1.0435379999999901</v>
      </c>
      <c r="J177" s="33">
        <v>1.0880000000000001</v>
      </c>
      <c r="K177" s="33">
        <v>1.0435379999999901</v>
      </c>
      <c r="L177" s="33">
        <v>25.928000000000001</v>
      </c>
      <c r="M177" s="33">
        <v>25.993538000000001</v>
      </c>
      <c r="N177" s="34">
        <v>1.00442834138486</v>
      </c>
      <c r="O177" s="34">
        <v>1.0011576279691501</v>
      </c>
      <c r="P177" s="34">
        <v>1.00187894549232</v>
      </c>
      <c r="Q177" s="34">
        <v>1.00303821259741</v>
      </c>
      <c r="R177" s="33">
        <v>24.868755478753801</v>
      </c>
      <c r="S177" s="33">
        <v>24.890423599853499</v>
      </c>
      <c r="T177" s="33">
        <v>24.9099692009198</v>
      </c>
      <c r="U177" s="15">
        <v>-3.2616066976858902E-3</v>
      </c>
      <c r="V177" s="15">
        <v>-2.39068708564638E-3</v>
      </c>
      <c r="W177" s="15">
        <v>-1.60572933850185E-3</v>
      </c>
      <c r="X177" s="34">
        <v>1.0025276920703401</v>
      </c>
      <c r="Y177" s="34">
        <v>0.99838446436414396</v>
      </c>
      <c r="Z177" s="34">
        <v>1.00010135491279</v>
      </c>
      <c r="AA177" s="34">
        <v>0.99964875897880701</v>
      </c>
      <c r="AB177" s="33">
        <v>25.8861123920335</v>
      </c>
      <c r="AC177" s="33">
        <v>25.920771429647701</v>
      </c>
      <c r="AD177" s="33">
        <v>25.913515487906999</v>
      </c>
      <c r="AE177" s="15">
        <v>-4.1413448506432797E-3</v>
      </c>
      <c r="AF177" s="15">
        <v>-2.80333568166096E-3</v>
      </c>
      <c r="AG177" s="15">
        <v>-3.0833025614835099E-3</v>
      </c>
      <c r="CG177" s="28"/>
      <c r="CH177" s="28"/>
      <c r="CI177" s="28"/>
      <c r="CJ177" s="29"/>
      <c r="CL177" s="28"/>
      <c r="CS177" s="28"/>
      <c r="CT177" s="28"/>
      <c r="CU177" s="28"/>
      <c r="CV177" s="29"/>
    </row>
    <row r="178" spans="1:100" x14ac:dyDescent="0.25">
      <c r="A178">
        <v>46281</v>
      </c>
      <c r="B178" s="33">
        <v>24.85</v>
      </c>
      <c r="C178" s="33">
        <v>24.91</v>
      </c>
      <c r="D178" s="15">
        <v>4.0249547735971897E-4</v>
      </c>
      <c r="E178" s="15">
        <v>-1.60449292343859E-3</v>
      </c>
      <c r="F178" s="33">
        <v>0</v>
      </c>
      <c r="G178" s="33">
        <v>1.0880000000000001</v>
      </c>
      <c r="H178" s="33">
        <v>0</v>
      </c>
      <c r="I178" s="33">
        <v>1.0435379999999901</v>
      </c>
      <c r="J178" s="33">
        <v>1.0880000000000001</v>
      </c>
      <c r="K178" s="33">
        <v>1.0435379999999901</v>
      </c>
      <c r="L178" s="33">
        <v>25.937999999999999</v>
      </c>
      <c r="M178" s="33">
        <v>25.953538000000002</v>
      </c>
      <c r="N178" s="34">
        <v>1.0024144869215199</v>
      </c>
      <c r="O178" s="34">
        <v>1.0011576279691501</v>
      </c>
      <c r="P178" s="34">
        <v>1.001881825596</v>
      </c>
      <c r="Q178" s="34">
        <v>1.00309964840594</v>
      </c>
      <c r="R178" s="33">
        <v>24.878767055033499</v>
      </c>
      <c r="S178" s="33">
        <v>24.896691795484202</v>
      </c>
      <c r="T178" s="33">
        <v>24.925499583045699</v>
      </c>
      <c r="U178" s="15">
        <v>-1.25461829688765E-3</v>
      </c>
      <c r="V178" s="15">
        <v>-5.34394249155878E-4</v>
      </c>
      <c r="W178" s="15">
        <v>6.2202982513375501E-4</v>
      </c>
      <c r="X178" s="34">
        <v>1.0005990438738499</v>
      </c>
      <c r="Y178" s="34">
        <v>0.99838446436414396</v>
      </c>
      <c r="Z178" s="34">
        <v>1.00010203984748</v>
      </c>
      <c r="AA178" s="34">
        <v>0.99970264152644495</v>
      </c>
      <c r="AB178" s="33">
        <v>25.896096236677099</v>
      </c>
      <c r="AC178" s="33">
        <v>25.9406289437281</v>
      </c>
      <c r="AD178" s="33">
        <v>25.928889510392299</v>
      </c>
      <c r="AE178" s="15">
        <v>-2.2157065394437501E-3</v>
      </c>
      <c r="AF178" s="15">
        <v>-4.9751474195885298E-4</v>
      </c>
      <c r="AG178" s="15">
        <v>-9.5016723946390695E-4</v>
      </c>
      <c r="CG178" s="28"/>
      <c r="CH178" s="28"/>
      <c r="CI178" s="28"/>
      <c r="CJ178" s="29"/>
      <c r="CL178" s="28"/>
      <c r="CS178" s="28"/>
      <c r="CT178" s="28"/>
      <c r="CU178" s="28"/>
      <c r="CV178" s="29"/>
    </row>
    <row r="179" spans="1:100" x14ac:dyDescent="0.25">
      <c r="A179">
        <v>46282</v>
      </c>
      <c r="B179" s="33">
        <v>24.94</v>
      </c>
      <c r="C179" s="33">
        <v>25.05</v>
      </c>
      <c r="D179" s="15">
        <v>3.61518770925274E-3</v>
      </c>
      <c r="E179" s="15">
        <v>5.6044982567847196E-3</v>
      </c>
      <c r="F179" s="33">
        <v>0</v>
      </c>
      <c r="G179" s="33">
        <v>1.0880000000000001</v>
      </c>
      <c r="H179" s="33">
        <v>0</v>
      </c>
      <c r="I179" s="33">
        <v>1.0435379999999901</v>
      </c>
      <c r="J179" s="33">
        <v>1.0880000000000001</v>
      </c>
      <c r="K179" s="33">
        <v>1.0435379999999901</v>
      </c>
      <c r="L179" s="33">
        <v>26.027999999999999</v>
      </c>
      <c r="M179" s="33">
        <v>26.093537999999999</v>
      </c>
      <c r="N179" s="34">
        <v>1.0044105854049701</v>
      </c>
      <c r="O179" s="34">
        <v>1.0011576279691501</v>
      </c>
      <c r="P179" s="34">
        <v>1.00220369462518</v>
      </c>
      <c r="Q179" s="34">
        <v>1.0032807454995301</v>
      </c>
      <c r="R179" s="33">
        <v>24.968871241550701</v>
      </c>
      <c r="S179" s="33">
        <v>24.986932730364298</v>
      </c>
      <c r="T179" s="33">
        <v>25.017305231244201</v>
      </c>
      <c r="U179" s="15">
        <v>-3.2439288444198302E-3</v>
      </c>
      <c r="V179" s="15">
        <v>-2.5208300985454101E-3</v>
      </c>
      <c r="W179" s="15">
        <v>-1.30603287922579E-3</v>
      </c>
      <c r="X179" s="34">
        <v>1.0025179806362301</v>
      </c>
      <c r="Y179" s="34">
        <v>0.99838446436414396</v>
      </c>
      <c r="Z179" s="34">
        <v>1.0004089144592001</v>
      </c>
      <c r="AA179" s="34">
        <v>0.99987142268088602</v>
      </c>
      <c r="AB179" s="33">
        <v>25.985950838469901</v>
      </c>
      <c r="AC179" s="33">
        <v>26.0306558931502</v>
      </c>
      <c r="AD179" s="33">
        <v>26.020260353650301</v>
      </c>
      <c r="AE179" s="15">
        <v>-4.1316578552366302E-3</v>
      </c>
      <c r="AF179" s="15">
        <v>-2.4127811927178002E-3</v>
      </c>
      <c r="AG179" s="15">
        <v>-2.8122185278407598E-3</v>
      </c>
      <c r="CG179" s="28"/>
      <c r="CH179" s="28"/>
      <c r="CI179" s="28"/>
      <c r="CJ179" s="29"/>
      <c r="CL179" s="28"/>
      <c r="CS179" s="28"/>
      <c r="CT179" s="28"/>
      <c r="CU179" s="28"/>
      <c r="CV179" s="29"/>
    </row>
    <row r="180" spans="1:100" x14ac:dyDescent="0.25">
      <c r="A180">
        <v>46283</v>
      </c>
      <c r="B180" s="33">
        <v>24.89</v>
      </c>
      <c r="C180" s="33">
        <v>24.97</v>
      </c>
      <c r="D180" s="15">
        <v>-2.0068238723898301E-3</v>
      </c>
      <c r="E180" s="15">
        <v>-3.19872323919203E-3</v>
      </c>
      <c r="F180" s="33">
        <v>0</v>
      </c>
      <c r="G180" s="33">
        <v>1.0880000000000001</v>
      </c>
      <c r="H180" s="33">
        <v>0</v>
      </c>
      <c r="I180" s="33">
        <v>1.0435379999999901</v>
      </c>
      <c r="J180" s="33">
        <v>1.0880000000000001</v>
      </c>
      <c r="K180" s="33">
        <v>1.0435379999999901</v>
      </c>
      <c r="L180" s="33">
        <v>25.978000000000002</v>
      </c>
      <c r="M180" s="33">
        <v>26.013537999999901</v>
      </c>
      <c r="N180" s="34">
        <v>1.0032141422257901</v>
      </c>
      <c r="O180" s="34">
        <v>1.0011576279691501</v>
      </c>
      <c r="P180" s="34">
        <v>1.00248544204887</v>
      </c>
      <c r="Q180" s="34">
        <v>1.0034019269191199</v>
      </c>
      <c r="R180" s="33">
        <v>24.918813360152299</v>
      </c>
      <c r="S180" s="33">
        <v>24.944849959220701</v>
      </c>
      <c r="T180" s="33">
        <v>24.971657755483399</v>
      </c>
      <c r="U180" s="15">
        <v>-2.05202947761738E-3</v>
      </c>
      <c r="V180" s="15">
        <v>-1.0077178606415201E-3</v>
      </c>
      <c r="W180" s="15">
        <v>6.6387683491396794E-5</v>
      </c>
      <c r="X180" s="34">
        <v>1.00136800369543</v>
      </c>
      <c r="Y180" s="34">
        <v>0.99838446436414396</v>
      </c>
      <c r="Z180" s="34">
        <v>1.00067675901461</v>
      </c>
      <c r="AA180" s="34">
        <v>0.99998280301577003</v>
      </c>
      <c r="AB180" s="33">
        <v>25.9360316152517</v>
      </c>
      <c r="AC180" s="33">
        <v>25.988622779821199</v>
      </c>
      <c r="AD180" s="33">
        <v>25.974659818404</v>
      </c>
      <c r="AE180" s="15">
        <v>-2.9839108516286502E-3</v>
      </c>
      <c r="AF180" s="15">
        <v>-9.5823795440799699E-4</v>
      </c>
      <c r="AG180" s="15">
        <v>-1.4956544167667499E-3</v>
      </c>
    </row>
    <row r="181" spans="1:100" x14ac:dyDescent="0.25">
      <c r="A181">
        <v>46286</v>
      </c>
      <c r="B181" s="33">
        <v>24.82</v>
      </c>
      <c r="C181" s="33">
        <v>25.02</v>
      </c>
      <c r="D181" s="15">
        <v>-2.8163366030394999E-3</v>
      </c>
      <c r="E181" s="15">
        <v>2.0004007470832801E-3</v>
      </c>
      <c r="F181" s="33">
        <v>0.13300000000000001</v>
      </c>
      <c r="G181" s="33">
        <v>1.2210000000000001</v>
      </c>
      <c r="H181" s="33">
        <v>0</v>
      </c>
      <c r="I181" s="33">
        <v>1.0435379999999901</v>
      </c>
      <c r="J181" s="33">
        <v>1.2210000000000001</v>
      </c>
      <c r="K181" s="33">
        <v>1.0435379999999901</v>
      </c>
      <c r="L181" s="33">
        <v>26.041</v>
      </c>
      <c r="M181" s="33">
        <v>26.063538000000001</v>
      </c>
      <c r="N181" s="34">
        <v>1.0080580177276299</v>
      </c>
      <c r="O181" s="34">
        <v>1.0011576279691501</v>
      </c>
      <c r="P181" s="34">
        <v>1.0031721489427099</v>
      </c>
      <c r="Q181" s="34">
        <v>1.00374563285681</v>
      </c>
      <c r="R181" s="33">
        <v>24.848732326194401</v>
      </c>
      <c r="S181" s="33">
        <v>24.881688671652899</v>
      </c>
      <c r="T181" s="33">
        <v>24.904435826132602</v>
      </c>
      <c r="U181" s="15">
        <v>-6.8687668277403104E-3</v>
      </c>
      <c r="V181" s="15">
        <v>-5.5433668161692104E-3</v>
      </c>
      <c r="W181" s="15">
        <v>-4.6295718063321502E-3</v>
      </c>
      <c r="X181" s="34">
        <v>1.00086548135632</v>
      </c>
      <c r="Y181" s="34">
        <v>0.99838446436414396</v>
      </c>
      <c r="Z181" s="34">
        <v>1.0008183417799701</v>
      </c>
      <c r="AA181" s="34">
        <v>1.00004997102355</v>
      </c>
      <c r="AB181" s="33">
        <v>25.998929836506601</v>
      </c>
      <c r="AC181" s="33">
        <v>26.058623481499598</v>
      </c>
      <c r="AD181" s="33">
        <v>26.040552173333602</v>
      </c>
      <c r="AE181" s="15">
        <v>-2.4819490640399801E-3</v>
      </c>
      <c r="AF181" s="15">
        <v>-1.8857692678870601E-4</v>
      </c>
      <c r="AG181" s="15">
        <v>-8.8230417539164998E-4</v>
      </c>
    </row>
    <row r="182" spans="1:100" x14ac:dyDescent="0.25">
      <c r="A182">
        <v>46287</v>
      </c>
      <c r="B182" s="33">
        <v>24.81</v>
      </c>
      <c r="C182" s="33">
        <v>25.02</v>
      </c>
      <c r="D182" s="15">
        <v>-4.0298207275162501E-4</v>
      </c>
      <c r="E182" s="15">
        <v>0</v>
      </c>
      <c r="F182" s="33">
        <v>0</v>
      </c>
      <c r="G182" s="33">
        <v>1.2210000000000001</v>
      </c>
      <c r="H182" s="33">
        <v>0</v>
      </c>
      <c r="I182" s="33">
        <v>1.0435379999999901</v>
      </c>
      <c r="J182" s="33">
        <v>1.2210000000000001</v>
      </c>
      <c r="K182" s="33">
        <v>1.0435379999999901</v>
      </c>
      <c r="L182" s="33">
        <v>26.030999999999999</v>
      </c>
      <c r="M182" s="33">
        <v>26.063538000000001</v>
      </c>
      <c r="N182" s="34">
        <v>1.00846432889963</v>
      </c>
      <c r="O182" s="34">
        <v>1.0011576279691501</v>
      </c>
      <c r="P182" s="34">
        <v>1.00370061680883</v>
      </c>
      <c r="Q182" s="34">
        <v>1.00383168151123</v>
      </c>
      <c r="R182" s="33">
        <v>24.8387207499147</v>
      </c>
      <c r="S182" s="33">
        <v>24.888701015268701</v>
      </c>
      <c r="T182" s="33">
        <v>24.9029291511774</v>
      </c>
      <c r="U182" s="15">
        <v>-7.2717489004918397E-3</v>
      </c>
      <c r="V182" s="15">
        <v>-5.2615790421017402E-3</v>
      </c>
      <c r="W182" s="15">
        <v>-4.6900718932725701E-3</v>
      </c>
      <c r="X182" s="34">
        <v>1.0012499711881899</v>
      </c>
      <c r="Y182" s="34">
        <v>0.99838446436414396</v>
      </c>
      <c r="Z182" s="34">
        <v>1.00080794572598</v>
      </c>
      <c r="AA182" s="34">
        <v>1.00013825481378</v>
      </c>
      <c r="AB182" s="33">
        <v>25.988945991863002</v>
      </c>
      <c r="AC182" s="33">
        <v>26.052302254874601</v>
      </c>
      <c r="AD182" s="33">
        <v>26.0323007957142</v>
      </c>
      <c r="AE182" s="15">
        <v>-2.8660326453479098E-3</v>
      </c>
      <c r="AF182" s="15">
        <v>-4.3118350369076501E-4</v>
      </c>
      <c r="AG182" s="15">
        <v>-1.19922084955323E-3</v>
      </c>
    </row>
    <row r="183" spans="1:100" x14ac:dyDescent="0.25">
      <c r="A183">
        <v>46288</v>
      </c>
      <c r="B183" s="33">
        <v>24.59</v>
      </c>
      <c r="C183" s="33">
        <v>24.8</v>
      </c>
      <c r="D183" s="15">
        <v>-8.9069414756083893E-3</v>
      </c>
      <c r="E183" s="15">
        <v>-8.8318518678285694E-3</v>
      </c>
      <c r="F183" s="33">
        <v>0</v>
      </c>
      <c r="G183" s="33">
        <v>1.2210000000000001</v>
      </c>
      <c r="H183" s="33">
        <v>0</v>
      </c>
      <c r="I183" s="33">
        <v>1.0435379999999901</v>
      </c>
      <c r="J183" s="33">
        <v>1.2210000000000001</v>
      </c>
      <c r="K183" s="33">
        <v>1.0435379999999901</v>
      </c>
      <c r="L183" s="33">
        <v>25.811</v>
      </c>
      <c r="M183" s="33">
        <v>25.843537999999999</v>
      </c>
      <c r="N183" s="34">
        <v>1.00854005693371</v>
      </c>
      <c r="O183" s="34">
        <v>1.0011576279691501</v>
      </c>
      <c r="P183" s="34">
        <v>1.0044751312462299</v>
      </c>
      <c r="Q183" s="34">
        <v>1.00402143643383</v>
      </c>
      <c r="R183" s="33">
        <v>24.6184660717615</v>
      </c>
      <c r="S183" s="33">
        <v>24.680998167329101</v>
      </c>
      <c r="T183" s="33">
        <v>24.684221048361199</v>
      </c>
      <c r="U183" s="15">
        <v>-7.3468385082717204E-3</v>
      </c>
      <c r="V183" s="15">
        <v>-4.8100105703557097E-3</v>
      </c>
      <c r="W183" s="15">
        <v>-4.6794376249562697E-3</v>
      </c>
      <c r="X183" s="34">
        <v>1.00126062531478</v>
      </c>
      <c r="Y183" s="34">
        <v>0.99838446436414396</v>
      </c>
      <c r="Z183" s="34">
        <v>1.0010272039295101</v>
      </c>
      <c r="AA183" s="34">
        <v>1.0003217690577599</v>
      </c>
      <c r="AB183" s="33">
        <v>25.769301409702901</v>
      </c>
      <c r="AC183" s="33">
        <v>25.831853887133398</v>
      </c>
      <c r="AD183" s="33">
        <v>25.8145684949985</v>
      </c>
      <c r="AE183" s="15">
        <v>-2.87667341459857E-3</v>
      </c>
      <c r="AF183" s="15">
        <v>-4.5221188031683098E-4</v>
      </c>
      <c r="AG183" s="15">
        <v>-1.12158613638398E-3</v>
      </c>
    </row>
  </sheetData>
  <conditionalFormatting sqref="AJ2:AQ9">
    <cfRule type="top10" dxfId="2" priority="3" rank="3"/>
  </conditionalFormatting>
  <conditionalFormatting sqref="AU2:BB9">
    <cfRule type="top10" dxfId="1" priority="2" rank="3"/>
  </conditionalFormatting>
  <conditionalFormatting sqref="DM33:DT33 DM26:DP32 DR26:DT32">
    <cfRule type="top10" dxfId="0" priority="1" rank="3"/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Hyland</cp:lastModifiedBy>
  <dcterms:created xsi:type="dcterms:W3CDTF">2026-09-28T18:06:21Z</dcterms:created>
  <dcterms:modified xsi:type="dcterms:W3CDTF">2026-09-28T18:12:00Z</dcterms:modified>
</cp:coreProperties>
</file>