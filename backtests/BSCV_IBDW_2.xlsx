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3143794F-3AF9-4D29-90E3-A4ED70F2AE19}" xr6:coauthVersionLast="47" xr6:coauthVersionMax="47" xr10:uidLastSave="{00000000-0000-0000-0000-000000000000}"/>
  <bookViews>
    <workbookView xWindow="165" yWindow="1890" windowWidth="28440" windowHeight="12225" xr2:uid="{BB499E11-6623-427A-BF55-A67B81631A19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N146" i="1" s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N141" i="1" s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X131" i="1"/>
  <c r="AV131" i="1"/>
  <c r="AU131" i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N122" i="1" s="1"/>
  <c r="AX120" i="1"/>
  <c r="AV120" i="1"/>
  <c r="AU120" i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N92" i="1" s="1"/>
  <c r="AX90" i="1"/>
  <c r="AV90" i="1"/>
  <c r="AU90" i="1"/>
  <c r="AY91" i="1" s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M88" i="1"/>
  <c r="AK88" i="1"/>
  <c r="AJ88" i="1"/>
  <c r="AN89" i="1" s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Y79" i="1" s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N70" i="1" s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Y66" i="1" s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Y61" i="1" s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Y59" i="1" s="1"/>
  <c r="AM58" i="1"/>
  <c r="AK58" i="1"/>
  <c r="AJ58" i="1"/>
  <c r="AN59" i="1" s="1"/>
  <c r="AX57" i="1"/>
  <c r="AV57" i="1"/>
  <c r="AU57" i="1"/>
  <c r="AY58" i="1" s="1"/>
  <c r="AM57" i="1"/>
  <c r="AK57" i="1"/>
  <c r="AJ57" i="1"/>
  <c r="AX56" i="1"/>
  <c r="AV56" i="1"/>
  <c r="AU56" i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N51" i="1" s="1"/>
  <c r="AX49" i="1"/>
  <c r="AV49" i="1"/>
  <c r="AU49" i="1"/>
  <c r="AY50" i="1" s="1"/>
  <c r="AM49" i="1"/>
  <c r="AK49" i="1"/>
  <c r="AJ49" i="1"/>
  <c r="AN50" i="1" s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N36" i="1" s="1"/>
  <c r="AX34" i="1"/>
  <c r="AV34" i="1"/>
  <c r="AU34" i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N32" i="1" s="1"/>
  <c r="AX30" i="1"/>
  <c r="AV30" i="1"/>
  <c r="AU30" i="1"/>
  <c r="AM30" i="1"/>
  <c r="AK30" i="1"/>
  <c r="AJ30" i="1"/>
  <c r="AN31" i="1" s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N28" i="1" s="1"/>
  <c r="AX26" i="1"/>
  <c r="AV26" i="1"/>
  <c r="AU26" i="1"/>
  <c r="AM26" i="1"/>
  <c r="AK26" i="1"/>
  <c r="AJ26" i="1"/>
  <c r="AN27" i="1" s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N25" i="1" s="1"/>
  <c r="AX23" i="1"/>
  <c r="AV23" i="1"/>
  <c r="AU23" i="1"/>
  <c r="AM23" i="1"/>
  <c r="AK23" i="1"/>
  <c r="AJ23" i="1"/>
  <c r="AN24" i="1" s="1"/>
  <c r="AL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30" i="1" l="1"/>
  <c r="AN107" i="1"/>
  <c r="AY171" i="1"/>
  <c r="AN168" i="1"/>
  <c r="AZ176" i="1"/>
  <c r="BA176" i="1"/>
  <c r="AW176" i="1"/>
  <c r="BA175" i="1"/>
  <c r="AZ175" i="1"/>
  <c r="BB175" i="1" s="1"/>
  <c r="AW175" i="1"/>
  <c r="BA174" i="1"/>
  <c r="AZ174" i="1"/>
  <c r="BB174" i="1" s="1"/>
  <c r="AW174" i="1"/>
  <c r="AP174" i="1"/>
  <c r="AO174" i="1"/>
  <c r="AQ174" i="1" s="1"/>
  <c r="BE174" i="1" s="1"/>
  <c r="AL174" i="1"/>
  <c r="AN175" i="1" s="1"/>
  <c r="BA173" i="1"/>
  <c r="AZ173" i="1"/>
  <c r="BB173" i="1" s="1"/>
  <c r="AW173" i="1"/>
  <c r="AL173" i="1"/>
  <c r="AP173" i="1"/>
  <c r="AO173" i="1"/>
  <c r="AQ173" i="1" s="1"/>
  <c r="BE173" i="1" s="1"/>
  <c r="BA172" i="1"/>
  <c r="AZ172" i="1"/>
  <c r="BB172" i="1" s="1"/>
  <c r="AW172" i="1"/>
  <c r="BA171" i="1"/>
  <c r="AW171" i="1"/>
  <c r="AZ171" i="1"/>
  <c r="BB171" i="1" s="1"/>
  <c r="BA170" i="1"/>
  <c r="AZ170" i="1"/>
  <c r="BB170" i="1" s="1"/>
  <c r="AW170" i="1"/>
  <c r="BA169" i="1"/>
  <c r="AW169" i="1"/>
  <c r="AZ169" i="1"/>
  <c r="AL169" i="1"/>
  <c r="AN170" i="1" s="1"/>
  <c r="AO169" i="1"/>
  <c r="AP169" i="1"/>
  <c r="AW168" i="1"/>
  <c r="AZ168" i="1"/>
  <c r="BA168" i="1"/>
  <c r="AL168" i="1"/>
  <c r="AO168" i="1"/>
  <c r="AP168" i="1"/>
  <c r="AP167" i="1"/>
  <c r="AL167" i="1"/>
  <c r="AO167" i="1"/>
  <c r="AQ167" i="1" s="1"/>
  <c r="AW166" i="1"/>
  <c r="AY167" i="1" s="1"/>
  <c r="AZ166" i="1"/>
  <c r="BA166" i="1"/>
  <c r="AW165" i="1"/>
  <c r="AZ165" i="1"/>
  <c r="BA165" i="1"/>
  <c r="BA164" i="1"/>
  <c r="AW164" i="1"/>
  <c r="AZ164" i="1"/>
  <c r="BA163" i="1"/>
  <c r="AZ163" i="1"/>
  <c r="BB163" i="1" s="1"/>
  <c r="AW163" i="1"/>
  <c r="AP163" i="1"/>
  <c r="AO163" i="1"/>
  <c r="AQ163" i="1" s="1"/>
  <c r="BE163" i="1" s="1"/>
  <c r="AL163" i="1"/>
  <c r="AN164" i="1" s="1"/>
  <c r="BA162" i="1"/>
  <c r="AZ162" i="1"/>
  <c r="BB162" i="1" s="1"/>
  <c r="AW162" i="1"/>
  <c r="AO162" i="1"/>
  <c r="AQ162" i="1" s="1"/>
  <c r="BE162" i="1" s="1"/>
  <c r="AP162" i="1"/>
  <c r="AL162" i="1"/>
  <c r="AZ161" i="1"/>
  <c r="BB161" i="1" s="1"/>
  <c r="BA161" i="1"/>
  <c r="AW161" i="1"/>
  <c r="BA160" i="1"/>
  <c r="AW160" i="1"/>
  <c r="AZ160" i="1"/>
  <c r="BB160" i="1" s="1"/>
  <c r="AW159" i="1"/>
  <c r="BA159" i="1"/>
  <c r="AZ159" i="1"/>
  <c r="BB159" i="1" s="1"/>
  <c r="AL158" i="1"/>
  <c r="AN159" i="1" s="1"/>
  <c r="AP158" i="1"/>
  <c r="AO158" i="1"/>
  <c r="AQ158" i="1" s="1"/>
  <c r="BA157" i="1"/>
  <c r="AW157" i="1"/>
  <c r="AY158" i="1" s="1"/>
  <c r="AZ157" i="1"/>
  <c r="BB157" i="1" s="1"/>
  <c r="AP157" i="1"/>
  <c r="AO157" i="1"/>
  <c r="AQ157" i="1" s="1"/>
  <c r="BE157" i="1" s="1"/>
  <c r="AL157" i="1"/>
  <c r="AZ156" i="1"/>
  <c r="BB156" i="1" s="1"/>
  <c r="AW156" i="1"/>
  <c r="BA156" i="1"/>
  <c r="AL156" i="1"/>
  <c r="AO156" i="1"/>
  <c r="AQ156" i="1" s="1"/>
  <c r="BE156" i="1" s="1"/>
  <c r="AP156" i="1"/>
  <c r="AW155" i="1"/>
  <c r="AZ155" i="1"/>
  <c r="BA155" i="1"/>
  <c r="AP155" i="1"/>
  <c r="AL155" i="1"/>
  <c r="AO155" i="1"/>
  <c r="AQ155" i="1" s="1"/>
  <c r="AW154" i="1"/>
  <c r="AZ154" i="1"/>
  <c r="BA154" i="1"/>
  <c r="AP154" i="1"/>
  <c r="AL154" i="1"/>
  <c r="AO154" i="1"/>
  <c r="AQ154" i="1" s="1"/>
  <c r="AZ153" i="1"/>
  <c r="BA153" i="1"/>
  <c r="AW153" i="1"/>
  <c r="AZ152" i="1"/>
  <c r="AW152" i="1"/>
  <c r="BA152" i="1"/>
  <c r="BA151" i="1"/>
  <c r="AZ151" i="1"/>
  <c r="BB151" i="1" s="1"/>
  <c r="AW151" i="1"/>
  <c r="AO151" i="1"/>
  <c r="AL151" i="1"/>
  <c r="AN152" i="1" s="1"/>
  <c r="AP151" i="1"/>
  <c r="AP150" i="1"/>
  <c r="AL150" i="1"/>
  <c r="AO150" i="1"/>
  <c r="AQ150" i="1" s="1"/>
  <c r="AP149" i="1"/>
  <c r="AL149" i="1"/>
  <c r="AO149" i="1"/>
  <c r="AQ149" i="1" s="1"/>
  <c r="AO148" i="1"/>
  <c r="AL148" i="1"/>
  <c r="AP148" i="1"/>
  <c r="BA147" i="1"/>
  <c r="AW147" i="1"/>
  <c r="AY148" i="1" s="1"/>
  <c r="AZ147" i="1"/>
  <c r="BB147" i="1" s="1"/>
  <c r="AP146" i="1"/>
  <c r="AL146" i="1"/>
  <c r="AN147" i="1" s="1"/>
  <c r="AO146" i="1"/>
  <c r="AQ146" i="1" s="1"/>
  <c r="AP145" i="1"/>
  <c r="AL145" i="1"/>
  <c r="AO145" i="1"/>
  <c r="AQ145" i="1" s="1"/>
  <c r="AL144" i="1"/>
  <c r="AP144" i="1"/>
  <c r="AO144" i="1"/>
  <c r="AQ144" i="1" s="1"/>
  <c r="BA143" i="1"/>
  <c r="AW143" i="1"/>
  <c r="AY144" i="1" s="1"/>
  <c r="AZ143" i="1"/>
  <c r="BB143" i="1" s="1"/>
  <c r="AL142" i="1"/>
  <c r="AN143" i="1" s="1"/>
  <c r="AO142" i="1"/>
  <c r="AP142" i="1"/>
  <c r="AW141" i="1"/>
  <c r="AY142" i="1" s="1"/>
  <c r="AZ141" i="1"/>
  <c r="BB141" i="1" s="1"/>
  <c r="BA141" i="1"/>
  <c r="AL141" i="1"/>
  <c r="AO141" i="1"/>
  <c r="AP141" i="1"/>
  <c r="AW139" i="1"/>
  <c r="AZ139" i="1"/>
  <c r="BB139" i="1" s="1"/>
  <c r="BA139" i="1"/>
  <c r="AW140" i="1"/>
  <c r="AZ140" i="1"/>
  <c r="BA140" i="1"/>
  <c r="AO138" i="1"/>
  <c r="AP138" i="1"/>
  <c r="AL138" i="1"/>
  <c r="AN139" i="1" s="1"/>
  <c r="AZ137" i="1"/>
  <c r="BB137" i="1" s="1"/>
  <c r="BA137" i="1"/>
  <c r="AW137" i="1"/>
  <c r="AY138" i="1" s="1"/>
  <c r="AO137" i="1"/>
  <c r="AQ137" i="1" s="1"/>
  <c r="BE137" i="1" s="1"/>
  <c r="AP137" i="1"/>
  <c r="AL137" i="1"/>
  <c r="AZ136" i="1"/>
  <c r="BB136" i="1" s="1"/>
  <c r="BA136" i="1"/>
  <c r="AW136" i="1"/>
  <c r="AZ135" i="1"/>
  <c r="BA135" i="1"/>
  <c r="AW135" i="1"/>
  <c r="AO135" i="1"/>
  <c r="AQ135" i="1" s="1"/>
  <c r="AP135" i="1"/>
  <c r="AL135" i="1"/>
  <c r="AN136" i="1" s="1"/>
  <c r="AZ134" i="1"/>
  <c r="BB134" i="1" s="1"/>
  <c r="BA134" i="1"/>
  <c r="AW134" i="1"/>
  <c r="AO134" i="1"/>
  <c r="AP134" i="1"/>
  <c r="AL134" i="1"/>
  <c r="AZ133" i="1"/>
  <c r="BA133" i="1"/>
  <c r="AW133" i="1"/>
  <c r="AO132" i="1"/>
  <c r="AP132" i="1"/>
  <c r="AL132" i="1"/>
  <c r="AN133" i="1" s="1"/>
  <c r="AZ131" i="1"/>
  <c r="BA131" i="1"/>
  <c r="AW131" i="1"/>
  <c r="AY132" i="1" s="1"/>
  <c r="AO131" i="1"/>
  <c r="AP131" i="1"/>
  <c r="AL131" i="1"/>
  <c r="AZ130" i="1"/>
  <c r="BA130" i="1"/>
  <c r="AW130" i="1"/>
  <c r="AO129" i="1"/>
  <c r="AP129" i="1"/>
  <c r="AL129" i="1"/>
  <c r="AN130" i="1" s="1"/>
  <c r="AZ128" i="1"/>
  <c r="BB128" i="1" s="1"/>
  <c r="BA128" i="1"/>
  <c r="AW128" i="1"/>
  <c r="AY129" i="1" s="1"/>
  <c r="AO127" i="1"/>
  <c r="AP127" i="1"/>
  <c r="AL127" i="1"/>
  <c r="AN128" i="1" s="1"/>
  <c r="AZ126" i="1"/>
  <c r="BB126" i="1" s="1"/>
  <c r="BA126" i="1"/>
  <c r="AW126" i="1"/>
  <c r="AY127" i="1" s="1"/>
  <c r="AO126" i="1"/>
  <c r="AP126" i="1"/>
  <c r="AL126" i="1"/>
  <c r="AZ125" i="1"/>
  <c r="BA125" i="1"/>
  <c r="AW125" i="1"/>
  <c r="AO125" i="1"/>
  <c r="AQ125" i="1" s="1"/>
  <c r="AP125" i="1"/>
  <c r="AL125" i="1"/>
  <c r="AZ124" i="1"/>
  <c r="BB124" i="1" s="1"/>
  <c r="BA124" i="1"/>
  <c r="AW124" i="1"/>
  <c r="AO124" i="1"/>
  <c r="AP124" i="1"/>
  <c r="AL124" i="1"/>
  <c r="AO123" i="1"/>
  <c r="AP123" i="1"/>
  <c r="AL123" i="1"/>
  <c r="AO122" i="1"/>
  <c r="AP122" i="1"/>
  <c r="AL122" i="1"/>
  <c r="AO121" i="1"/>
  <c r="AQ121" i="1" s="1"/>
  <c r="AP121" i="1"/>
  <c r="AL121" i="1"/>
  <c r="AZ120" i="1"/>
  <c r="BB120" i="1" s="1"/>
  <c r="BA120" i="1"/>
  <c r="AW120" i="1"/>
  <c r="AY121" i="1" s="1"/>
  <c r="AO120" i="1"/>
  <c r="AP120" i="1"/>
  <c r="AL120" i="1"/>
  <c r="AZ119" i="1"/>
  <c r="BA119" i="1"/>
  <c r="AW119" i="1"/>
  <c r="AZ118" i="1"/>
  <c r="BB118" i="1" s="1"/>
  <c r="BA118" i="1"/>
  <c r="AW118" i="1"/>
  <c r="BA117" i="1"/>
  <c r="AW117" i="1"/>
  <c r="AZ117" i="1"/>
  <c r="BB117" i="1" s="1"/>
  <c r="AP117" i="1"/>
  <c r="AL117" i="1"/>
  <c r="AN118" i="1" s="1"/>
  <c r="AO117" i="1"/>
  <c r="AQ117" i="1" s="1"/>
  <c r="BE117" i="1" s="1"/>
  <c r="AW116" i="1"/>
  <c r="BA116" i="1"/>
  <c r="AZ116" i="1"/>
  <c r="BB116" i="1" s="1"/>
  <c r="AP116" i="1"/>
  <c r="AL116" i="1"/>
  <c r="AO116" i="1"/>
  <c r="AQ116" i="1" s="1"/>
  <c r="BE116" i="1" s="1"/>
  <c r="AZ115" i="1"/>
  <c r="BA115" i="1"/>
  <c r="AW115" i="1"/>
  <c r="AO115" i="1"/>
  <c r="AL115" i="1"/>
  <c r="AP115" i="1"/>
  <c r="AL114" i="1"/>
  <c r="AP114" i="1"/>
  <c r="AO114" i="1"/>
  <c r="AQ114" i="1" s="1"/>
  <c r="AL113" i="1"/>
  <c r="AO113" i="1"/>
  <c r="AP113" i="1"/>
  <c r="BA112" i="1"/>
  <c r="AZ112" i="1"/>
  <c r="BB112" i="1" s="1"/>
  <c r="AW112" i="1"/>
  <c r="AY113" i="1" s="1"/>
  <c r="AP112" i="1"/>
  <c r="AL112" i="1"/>
  <c r="AO112" i="1"/>
  <c r="AQ112" i="1" s="1"/>
  <c r="BE112" i="1" s="1"/>
  <c r="AO111" i="1"/>
  <c r="AL111" i="1"/>
  <c r="AP111" i="1"/>
  <c r="BA110" i="1"/>
  <c r="AZ110" i="1"/>
  <c r="BB110" i="1" s="1"/>
  <c r="AW110" i="1"/>
  <c r="AY111" i="1" s="1"/>
  <c r="AL109" i="1"/>
  <c r="AN110" i="1" s="1"/>
  <c r="AP109" i="1"/>
  <c r="AO109" i="1"/>
  <c r="AQ109" i="1" s="1"/>
  <c r="AZ108" i="1"/>
  <c r="AW108" i="1"/>
  <c r="AY109" i="1" s="1"/>
  <c r="BA108" i="1"/>
  <c r="AZ107" i="1"/>
  <c r="AW107" i="1"/>
  <c r="BA107" i="1"/>
  <c r="AO107" i="1"/>
  <c r="AL107" i="1"/>
  <c r="AN108" i="1" s="1"/>
  <c r="AP107" i="1"/>
  <c r="BA106" i="1"/>
  <c r="AW106" i="1"/>
  <c r="AZ106" i="1"/>
  <c r="BB106" i="1" s="1"/>
  <c r="AO105" i="1"/>
  <c r="AL105" i="1"/>
  <c r="AN106" i="1" s="1"/>
  <c r="AP105" i="1"/>
  <c r="AW104" i="1"/>
  <c r="AY105" i="1" s="1"/>
  <c r="BA104" i="1"/>
  <c r="AZ104" i="1"/>
  <c r="BB104" i="1" s="1"/>
  <c r="AZ103" i="1"/>
  <c r="AW103" i="1"/>
  <c r="BA103" i="1"/>
  <c r="BA102" i="1"/>
  <c r="AZ102" i="1"/>
  <c r="BB102" i="1" s="1"/>
  <c r="AW102" i="1"/>
  <c r="AL101" i="1"/>
  <c r="AN102" i="1" s="1"/>
  <c r="AP101" i="1"/>
  <c r="AO101" i="1"/>
  <c r="AQ101" i="1" s="1"/>
  <c r="AO102" i="1"/>
  <c r="AL102" i="1"/>
  <c r="AN103" i="1" s="1"/>
  <c r="AP102" i="1"/>
  <c r="BA100" i="1"/>
  <c r="AW100" i="1"/>
  <c r="AY101" i="1" s="1"/>
  <c r="AZ100" i="1"/>
  <c r="BB100" i="1" s="1"/>
  <c r="AZ101" i="1"/>
  <c r="AW101" i="1"/>
  <c r="BA101" i="1"/>
  <c r="AO100" i="1"/>
  <c r="AP100" i="1"/>
  <c r="AL100" i="1"/>
  <c r="AZ99" i="1"/>
  <c r="BA99" i="1"/>
  <c r="AW99" i="1"/>
  <c r="AO99" i="1"/>
  <c r="AP99" i="1"/>
  <c r="AL99" i="1"/>
  <c r="AO98" i="1"/>
  <c r="AP98" i="1"/>
  <c r="AL98" i="1"/>
  <c r="AZ97" i="1"/>
  <c r="BA97" i="1"/>
  <c r="AW97" i="1"/>
  <c r="AY98" i="1" s="1"/>
  <c r="AO97" i="1"/>
  <c r="AP97" i="1"/>
  <c r="AL97" i="1"/>
  <c r="AL96" i="1"/>
  <c r="AP96" i="1"/>
  <c r="AO96" i="1"/>
  <c r="AQ96" i="1" s="1"/>
  <c r="AZ95" i="1"/>
  <c r="AW95" i="1"/>
  <c r="AY96" i="1" s="1"/>
  <c r="BA95" i="1"/>
  <c r="AO95" i="1"/>
  <c r="AP95" i="1"/>
  <c r="AL95" i="1"/>
  <c r="AO94" i="1"/>
  <c r="AL94" i="1"/>
  <c r="AP94" i="1"/>
  <c r="AW93" i="1"/>
  <c r="AY94" i="1" s="1"/>
  <c r="AZ93" i="1"/>
  <c r="BA93" i="1"/>
  <c r="AP92" i="1"/>
  <c r="AL92" i="1"/>
  <c r="AN93" i="1" s="1"/>
  <c r="AO92" i="1"/>
  <c r="AQ92" i="1" s="1"/>
  <c r="AZ91" i="1"/>
  <c r="AW91" i="1"/>
  <c r="AY92" i="1" s="1"/>
  <c r="BA91" i="1"/>
  <c r="AO91" i="1"/>
  <c r="AP91" i="1"/>
  <c r="AL91" i="1"/>
  <c r="AP90" i="1"/>
  <c r="AL90" i="1"/>
  <c r="AO90" i="1"/>
  <c r="AQ90" i="1" s="1"/>
  <c r="AP89" i="1"/>
  <c r="AO89" i="1"/>
  <c r="AQ89" i="1" s="1"/>
  <c r="AL89" i="1"/>
  <c r="AL88" i="1"/>
  <c r="AO88" i="1"/>
  <c r="AP88" i="1"/>
  <c r="AW87" i="1"/>
  <c r="AY88" i="1" s="1"/>
  <c r="BA87" i="1"/>
  <c r="AZ87" i="1"/>
  <c r="BB87" i="1" s="1"/>
  <c r="AP87" i="1"/>
  <c r="AL87" i="1"/>
  <c r="AO87" i="1"/>
  <c r="AQ87" i="1" s="1"/>
  <c r="BE87" i="1" s="1"/>
  <c r="BA86" i="1"/>
  <c r="AZ86" i="1"/>
  <c r="BB86" i="1" s="1"/>
  <c r="AW86" i="1"/>
  <c r="AO85" i="1"/>
  <c r="AL85" i="1"/>
  <c r="AN86" i="1" s="1"/>
  <c r="AP85" i="1"/>
  <c r="AL84" i="1"/>
  <c r="AO84" i="1"/>
  <c r="AP84" i="1"/>
  <c r="AZ83" i="1"/>
  <c r="AW83" i="1"/>
  <c r="AY84" i="1" s="1"/>
  <c r="BA83" i="1"/>
  <c r="BA82" i="1"/>
  <c r="AW82" i="1"/>
  <c r="AZ82" i="1"/>
  <c r="BB82" i="1" s="1"/>
  <c r="AZ81" i="1"/>
  <c r="AW81" i="1"/>
  <c r="BA81" i="1"/>
  <c r="AL81" i="1"/>
  <c r="AN82" i="1" s="1"/>
  <c r="AP81" i="1"/>
  <c r="AO81" i="1"/>
  <c r="AQ81" i="1" s="1"/>
  <c r="AZ80" i="1"/>
  <c r="BA80" i="1"/>
  <c r="AW80" i="1"/>
  <c r="AL80" i="1"/>
  <c r="AP80" i="1"/>
  <c r="AO80" i="1"/>
  <c r="AQ80" i="1" s="1"/>
  <c r="AW79" i="1"/>
  <c r="AZ79" i="1"/>
  <c r="BA79" i="1"/>
  <c r="AZ78" i="1"/>
  <c r="BA78" i="1"/>
  <c r="AW78" i="1"/>
  <c r="AO77" i="1"/>
  <c r="AP77" i="1"/>
  <c r="AL77" i="1"/>
  <c r="AN78" i="1" s="1"/>
  <c r="BA76" i="1"/>
  <c r="AW76" i="1"/>
  <c r="AY77" i="1" s="1"/>
  <c r="AZ76" i="1"/>
  <c r="BB76" i="1" s="1"/>
  <c r="AO76" i="1"/>
  <c r="AP76" i="1"/>
  <c r="AL76" i="1"/>
  <c r="AP75" i="1"/>
  <c r="AO75" i="1"/>
  <c r="AQ75" i="1" s="1"/>
  <c r="AL75" i="1"/>
  <c r="BA74" i="1"/>
  <c r="AW74" i="1"/>
  <c r="AY75" i="1" s="1"/>
  <c r="AZ74" i="1"/>
  <c r="BB74" i="1" s="1"/>
  <c r="AL74" i="1"/>
  <c r="AP74" i="1"/>
  <c r="AO74" i="1"/>
  <c r="AQ74" i="1" s="1"/>
  <c r="BE74" i="1" s="1"/>
  <c r="AL73" i="1"/>
  <c r="AO73" i="1"/>
  <c r="AP73" i="1"/>
  <c r="AW72" i="1"/>
  <c r="AY73" i="1" s="1"/>
  <c r="BA72" i="1"/>
  <c r="AZ72" i="1"/>
  <c r="BB72" i="1" s="1"/>
  <c r="AO72" i="1"/>
  <c r="AL72" i="1"/>
  <c r="AP72" i="1"/>
  <c r="AZ71" i="1"/>
  <c r="AW71" i="1"/>
  <c r="BA71" i="1"/>
  <c r="AW70" i="1"/>
  <c r="AZ70" i="1"/>
  <c r="BA70" i="1"/>
  <c r="AL70" i="1"/>
  <c r="AN71" i="1" s="1"/>
  <c r="AO70" i="1"/>
  <c r="AP70" i="1"/>
  <c r="BA69" i="1"/>
  <c r="AW69" i="1"/>
  <c r="AZ69" i="1"/>
  <c r="BB69" i="1" s="1"/>
  <c r="AW68" i="1"/>
  <c r="BA68" i="1"/>
  <c r="AZ68" i="1"/>
  <c r="BB68" i="1" s="1"/>
  <c r="AP68" i="1"/>
  <c r="AL68" i="1"/>
  <c r="AN69" i="1" s="1"/>
  <c r="AO68" i="1"/>
  <c r="AQ68" i="1" s="1"/>
  <c r="BE68" i="1" s="1"/>
  <c r="BA67" i="1"/>
  <c r="AW67" i="1"/>
  <c r="AZ67" i="1"/>
  <c r="BB67" i="1" s="1"/>
  <c r="AL67" i="1"/>
  <c r="AP67" i="1"/>
  <c r="AO67" i="1"/>
  <c r="AQ67" i="1" s="1"/>
  <c r="BE67" i="1" s="1"/>
  <c r="AW66" i="1"/>
  <c r="BA66" i="1"/>
  <c r="AZ66" i="1"/>
  <c r="BB66" i="1" s="1"/>
  <c r="AP66" i="1"/>
  <c r="AO66" i="1"/>
  <c r="AQ66" i="1" s="1"/>
  <c r="BE66" i="1" s="1"/>
  <c r="AL66" i="1"/>
  <c r="AO65" i="1"/>
  <c r="AL65" i="1"/>
  <c r="AP65" i="1"/>
  <c r="AZ64" i="1"/>
  <c r="AW64" i="1"/>
  <c r="AY65" i="1" s="1"/>
  <c r="BA64" i="1"/>
  <c r="AL63" i="1"/>
  <c r="AN64" i="1" s="1"/>
  <c r="AO63" i="1"/>
  <c r="AP63" i="1"/>
  <c r="AL64" i="1"/>
  <c r="AP64" i="1"/>
  <c r="AO64" i="1"/>
  <c r="AQ64" i="1" s="1"/>
  <c r="AO62" i="1"/>
  <c r="AP62" i="1"/>
  <c r="AL62" i="1"/>
  <c r="AZ61" i="1"/>
  <c r="BA61" i="1"/>
  <c r="AW61" i="1"/>
  <c r="AY62" i="1" s="1"/>
  <c r="AO61" i="1"/>
  <c r="AP61" i="1"/>
  <c r="AL61" i="1"/>
  <c r="AO60" i="1"/>
  <c r="AP60" i="1"/>
  <c r="AL60" i="1"/>
  <c r="AZ59" i="1"/>
  <c r="BA59" i="1"/>
  <c r="AW59" i="1"/>
  <c r="AY60" i="1" s="1"/>
  <c r="AO59" i="1"/>
  <c r="AP59" i="1"/>
  <c r="AL59" i="1"/>
  <c r="AZ58" i="1"/>
  <c r="BA58" i="1"/>
  <c r="AW58" i="1"/>
  <c r="AO57" i="1"/>
  <c r="AP57" i="1"/>
  <c r="AL57" i="1"/>
  <c r="AN58" i="1" s="1"/>
  <c r="AO56" i="1"/>
  <c r="AP56" i="1"/>
  <c r="AL56" i="1"/>
  <c r="AZ55" i="1"/>
  <c r="BA55" i="1"/>
  <c r="AW55" i="1"/>
  <c r="AY56" i="1" s="1"/>
  <c r="AZ54" i="1"/>
  <c r="BA54" i="1"/>
  <c r="AW54" i="1"/>
  <c r="AO53" i="1"/>
  <c r="AP53" i="1"/>
  <c r="AL53" i="1"/>
  <c r="AN54" i="1" s="1"/>
  <c r="AZ52" i="1"/>
  <c r="BA52" i="1"/>
  <c r="AW52" i="1"/>
  <c r="AY53" i="1" s="1"/>
  <c r="AO52" i="1"/>
  <c r="AP52" i="1"/>
  <c r="AL52" i="1"/>
  <c r="AZ51" i="1"/>
  <c r="BA51" i="1"/>
  <c r="AW51" i="1"/>
  <c r="AO51" i="1"/>
  <c r="AP51" i="1"/>
  <c r="AL51" i="1"/>
  <c r="AZ50" i="1"/>
  <c r="BA50" i="1"/>
  <c r="AW50" i="1"/>
  <c r="AO50" i="1"/>
  <c r="AP50" i="1"/>
  <c r="AL50" i="1"/>
  <c r="AZ49" i="1"/>
  <c r="BA49" i="1"/>
  <c r="AW49" i="1"/>
  <c r="AZ48" i="1"/>
  <c r="BA48" i="1"/>
  <c r="AW48" i="1"/>
  <c r="AZ47" i="1"/>
  <c r="BA47" i="1"/>
  <c r="AW47" i="1"/>
  <c r="AZ46" i="1"/>
  <c r="BA46" i="1"/>
  <c r="AW46" i="1"/>
  <c r="AZ45" i="1"/>
  <c r="BA45" i="1"/>
  <c r="AW45" i="1"/>
  <c r="AO45" i="1"/>
  <c r="AP45" i="1"/>
  <c r="AL45" i="1"/>
  <c r="AN46" i="1" s="1"/>
  <c r="AZ44" i="1"/>
  <c r="BA44" i="1"/>
  <c r="AW44" i="1"/>
  <c r="AO44" i="1"/>
  <c r="AP44" i="1"/>
  <c r="AL44" i="1"/>
  <c r="AZ43" i="1"/>
  <c r="BA43" i="1"/>
  <c r="AW43" i="1"/>
  <c r="AO43" i="1"/>
  <c r="AP43" i="1"/>
  <c r="AL43" i="1"/>
  <c r="AZ42" i="1"/>
  <c r="BA42" i="1"/>
  <c r="AW42" i="1"/>
  <c r="AO42" i="1"/>
  <c r="AP42" i="1"/>
  <c r="AL42" i="1"/>
  <c r="AZ41" i="1"/>
  <c r="BA41" i="1"/>
  <c r="AW41" i="1"/>
  <c r="AO41" i="1"/>
  <c r="AP41" i="1"/>
  <c r="AL41" i="1"/>
  <c r="AZ40" i="1"/>
  <c r="BA40" i="1"/>
  <c r="AW40" i="1"/>
  <c r="AZ39" i="1"/>
  <c r="BA39" i="1"/>
  <c r="AW39" i="1"/>
  <c r="AO39" i="1"/>
  <c r="AP39" i="1"/>
  <c r="AL39" i="1"/>
  <c r="AN40" i="1" s="1"/>
  <c r="AZ38" i="1"/>
  <c r="BA38" i="1"/>
  <c r="AW38" i="1"/>
  <c r="AZ37" i="1"/>
  <c r="BA37" i="1"/>
  <c r="AW37" i="1"/>
  <c r="AZ36" i="1"/>
  <c r="BA36" i="1"/>
  <c r="AW36" i="1"/>
  <c r="AO36" i="1"/>
  <c r="AP36" i="1"/>
  <c r="AL36" i="1"/>
  <c r="AN37" i="1" s="1"/>
  <c r="AO35" i="1"/>
  <c r="AP35" i="1"/>
  <c r="AL35" i="1"/>
  <c r="AZ34" i="1"/>
  <c r="BA34" i="1"/>
  <c r="AW34" i="1"/>
  <c r="AY35" i="1" s="1"/>
  <c r="AO34" i="1"/>
  <c r="AP34" i="1"/>
  <c r="AL34" i="1"/>
  <c r="AZ33" i="1"/>
  <c r="BA33" i="1"/>
  <c r="AW33" i="1"/>
  <c r="AZ32" i="1"/>
  <c r="BB32" i="1" s="1"/>
  <c r="BA32" i="1"/>
  <c r="AW32" i="1"/>
  <c r="AO32" i="1"/>
  <c r="AQ32" i="1" s="1"/>
  <c r="BE32" i="1" s="1"/>
  <c r="AP32" i="1"/>
  <c r="AL32" i="1"/>
  <c r="AN33" i="1" s="1"/>
  <c r="AO31" i="1"/>
  <c r="AQ31" i="1" s="1"/>
  <c r="AP31" i="1"/>
  <c r="AL31" i="1"/>
  <c r="AO30" i="1"/>
  <c r="AP30" i="1"/>
  <c r="AL30" i="1"/>
  <c r="AO29" i="1"/>
  <c r="AQ29" i="1" s="1"/>
  <c r="AP29" i="1"/>
  <c r="AL29" i="1"/>
  <c r="AO28" i="1"/>
  <c r="AP28" i="1"/>
  <c r="AL28" i="1"/>
  <c r="AO27" i="1"/>
  <c r="AQ27" i="1" s="1"/>
  <c r="AP27" i="1"/>
  <c r="AL27" i="1"/>
  <c r="AO26" i="1"/>
  <c r="AP26" i="1"/>
  <c r="AL26" i="1"/>
  <c r="AO24" i="1"/>
  <c r="AP24" i="1"/>
  <c r="AO25" i="1"/>
  <c r="AP25" i="1"/>
  <c r="AL25" i="1"/>
  <c r="AZ23" i="1"/>
  <c r="BA23" i="1"/>
  <c r="AW23" i="1"/>
  <c r="AY24" i="1" s="1"/>
  <c r="AO23" i="1"/>
  <c r="AP23" i="1"/>
  <c r="AL23" i="1"/>
  <c r="AZ22" i="1"/>
  <c r="BA22" i="1"/>
  <c r="AO22" i="1"/>
  <c r="AP22" i="1"/>
  <c r="BB166" i="1" l="1"/>
  <c r="BB133" i="1"/>
  <c r="BB130" i="1"/>
  <c r="BB115" i="1"/>
  <c r="AQ115" i="1"/>
  <c r="BE115" i="1" s="1"/>
  <c r="AQ30" i="1"/>
  <c r="AQ44" i="1"/>
  <c r="BB39" i="1"/>
  <c r="AQ39" i="1"/>
  <c r="BE39" i="1" s="1"/>
  <c r="BB38" i="1"/>
  <c r="BB37" i="1"/>
  <c r="BB36" i="1"/>
  <c r="AQ36" i="1"/>
  <c r="BE36" i="1" s="1"/>
  <c r="AQ35" i="1"/>
  <c r="BB34" i="1"/>
  <c r="BB33" i="1"/>
  <c r="AQ24" i="1"/>
  <c r="BB23" i="1"/>
  <c r="BB22" i="1"/>
  <c r="AQ22" i="1"/>
  <c r="BB165" i="1"/>
  <c r="BB154" i="1"/>
  <c r="BE154" i="1" s="1"/>
  <c r="BB140" i="1"/>
  <c r="AQ132" i="1"/>
  <c r="BB125" i="1"/>
  <c r="BE125" i="1" s="1"/>
  <c r="AQ113" i="1"/>
  <c r="AQ148" i="1"/>
  <c r="BB135" i="1"/>
  <c r="BE135" i="1" s="1"/>
  <c r="AQ134" i="1"/>
  <c r="BE134" i="1" s="1"/>
  <c r="AQ120" i="1"/>
  <c r="BE120" i="1" s="1"/>
  <c r="BB119" i="1"/>
  <c r="BB131" i="1"/>
  <c r="AQ127" i="1"/>
  <c r="AQ126" i="1"/>
  <c r="BE126" i="1" s="1"/>
  <c r="AL175" i="1"/>
  <c r="AN176" i="1" s="1"/>
  <c r="AO175" i="1"/>
  <c r="AP175" i="1"/>
  <c r="AO170" i="1"/>
  <c r="AL170" i="1"/>
  <c r="AN171" i="1" s="1"/>
  <c r="AP170" i="1"/>
  <c r="AW167" i="1"/>
  <c r="AZ167" i="1"/>
  <c r="BA167" i="1"/>
  <c r="AO164" i="1"/>
  <c r="AL164" i="1"/>
  <c r="AN165" i="1" s="1"/>
  <c r="AP164" i="1"/>
  <c r="AO159" i="1"/>
  <c r="AL159" i="1"/>
  <c r="AN160" i="1" s="1"/>
  <c r="AP159" i="1"/>
  <c r="BA158" i="1"/>
  <c r="AZ158" i="1"/>
  <c r="BB158" i="1" s="1"/>
  <c r="BE158" i="1" s="1"/>
  <c r="AW158" i="1"/>
  <c r="AO152" i="1"/>
  <c r="AL152" i="1"/>
  <c r="AN153" i="1" s="1"/>
  <c r="AP152" i="1"/>
  <c r="AZ148" i="1"/>
  <c r="AW148" i="1"/>
  <c r="AY149" i="1" s="1"/>
  <c r="BA148" i="1"/>
  <c r="AO147" i="1"/>
  <c r="AL147" i="1"/>
  <c r="AP147" i="1"/>
  <c r="AW144" i="1"/>
  <c r="AY145" i="1" s="1"/>
  <c r="BA144" i="1"/>
  <c r="AZ144" i="1"/>
  <c r="BB144" i="1" s="1"/>
  <c r="BE144" i="1" s="1"/>
  <c r="AO143" i="1"/>
  <c r="AL143" i="1"/>
  <c r="AP143" i="1"/>
  <c r="AZ142" i="1"/>
  <c r="AW142" i="1"/>
  <c r="BA142" i="1"/>
  <c r="AP139" i="1"/>
  <c r="AL139" i="1"/>
  <c r="AN140" i="1" s="1"/>
  <c r="AO139" i="1"/>
  <c r="AQ139" i="1" s="1"/>
  <c r="BE139" i="1" s="1"/>
  <c r="AW138" i="1"/>
  <c r="BA138" i="1"/>
  <c r="AZ138" i="1"/>
  <c r="BB138" i="1" s="1"/>
  <c r="AL136" i="1"/>
  <c r="AP136" i="1"/>
  <c r="AO136" i="1"/>
  <c r="AQ136" i="1" s="1"/>
  <c r="BE136" i="1" s="1"/>
  <c r="AL133" i="1"/>
  <c r="AP133" i="1"/>
  <c r="AO133" i="1"/>
  <c r="AQ133" i="1" s="1"/>
  <c r="BE133" i="1" s="1"/>
  <c r="AW132" i="1"/>
  <c r="BA132" i="1"/>
  <c r="AZ132" i="1"/>
  <c r="BB132" i="1" s="1"/>
  <c r="BE132" i="1" s="1"/>
  <c r="AL130" i="1"/>
  <c r="AP130" i="1"/>
  <c r="AO130" i="1"/>
  <c r="AQ130" i="1" s="1"/>
  <c r="BE130" i="1" s="1"/>
  <c r="AW129" i="1"/>
  <c r="BA129" i="1"/>
  <c r="AZ129" i="1"/>
  <c r="BB129" i="1" s="1"/>
  <c r="AL128" i="1"/>
  <c r="AP128" i="1"/>
  <c r="AO128" i="1"/>
  <c r="AQ128" i="1" s="1"/>
  <c r="BE128" i="1" s="1"/>
  <c r="AW127" i="1"/>
  <c r="BA127" i="1"/>
  <c r="AZ127" i="1"/>
  <c r="BB127" i="1" s="1"/>
  <c r="BE127" i="1" s="1"/>
  <c r="AW121" i="1"/>
  <c r="AY122" i="1" s="1"/>
  <c r="BA121" i="1"/>
  <c r="AZ121" i="1"/>
  <c r="BB121" i="1" s="1"/>
  <c r="BE121" i="1" s="1"/>
  <c r="AP118" i="1"/>
  <c r="AO118" i="1"/>
  <c r="AQ118" i="1" s="1"/>
  <c r="BE118" i="1" s="1"/>
  <c r="AL118" i="1"/>
  <c r="AN119" i="1" s="1"/>
  <c r="AZ113" i="1"/>
  <c r="AW113" i="1"/>
  <c r="AY114" i="1" s="1"/>
  <c r="BA113" i="1"/>
  <c r="AW111" i="1"/>
  <c r="AZ111" i="1"/>
  <c r="BA111" i="1"/>
  <c r="AL110" i="1"/>
  <c r="AO110" i="1"/>
  <c r="AP110" i="1"/>
  <c r="AW109" i="1"/>
  <c r="AZ109" i="1"/>
  <c r="BA109" i="1"/>
  <c r="AL108" i="1"/>
  <c r="AP108" i="1"/>
  <c r="AO108" i="1"/>
  <c r="AQ108" i="1" s="1"/>
  <c r="AO106" i="1"/>
  <c r="AL106" i="1"/>
  <c r="AP106" i="1"/>
  <c r="BA105" i="1"/>
  <c r="AW105" i="1"/>
  <c r="AZ105" i="1"/>
  <c r="BB105" i="1" s="1"/>
  <c r="AP103" i="1"/>
  <c r="AL103" i="1"/>
  <c r="AN104" i="1" s="1"/>
  <c r="AO103" i="1"/>
  <c r="AQ103" i="1" s="1"/>
  <c r="AW98" i="1"/>
  <c r="BA98" i="1"/>
  <c r="AZ98" i="1"/>
  <c r="BB98" i="1" s="1"/>
  <c r="AW96" i="1"/>
  <c r="BA96" i="1"/>
  <c r="AZ96" i="1"/>
  <c r="BB96" i="1" s="1"/>
  <c r="BE96" i="1" s="1"/>
  <c r="AZ94" i="1"/>
  <c r="BA94" i="1"/>
  <c r="AW94" i="1"/>
  <c r="AP93" i="1"/>
  <c r="AO93" i="1"/>
  <c r="AQ93" i="1" s="1"/>
  <c r="AL93" i="1"/>
  <c r="BA92" i="1"/>
  <c r="AW92" i="1"/>
  <c r="AZ92" i="1"/>
  <c r="BB92" i="1" s="1"/>
  <c r="BE92" i="1" s="1"/>
  <c r="AZ88" i="1"/>
  <c r="AW88" i="1"/>
  <c r="AY89" i="1" s="1"/>
  <c r="BA88" i="1"/>
  <c r="AP86" i="1"/>
  <c r="AL86" i="1"/>
  <c r="AO86" i="1"/>
  <c r="AQ86" i="1" s="1"/>
  <c r="BE86" i="1" s="1"/>
  <c r="AW84" i="1"/>
  <c r="AY85" i="1" s="1"/>
  <c r="AZ84" i="1"/>
  <c r="BA84" i="1"/>
  <c r="AO82" i="1"/>
  <c r="AL82" i="1"/>
  <c r="AN83" i="1" s="1"/>
  <c r="AP82" i="1"/>
  <c r="AP78" i="1"/>
  <c r="AL78" i="1"/>
  <c r="AN79" i="1" s="1"/>
  <c r="AO78" i="1"/>
  <c r="AQ78" i="1" s="1"/>
  <c r="AZ77" i="1"/>
  <c r="AW77" i="1"/>
  <c r="BA77" i="1"/>
  <c r="BA75" i="1"/>
  <c r="AZ75" i="1"/>
  <c r="BB75" i="1" s="1"/>
  <c r="BE75" i="1" s="1"/>
  <c r="AW75" i="1"/>
  <c r="BA73" i="1"/>
  <c r="AZ73" i="1"/>
  <c r="AW73" i="1"/>
  <c r="AP71" i="1"/>
  <c r="AL71" i="1"/>
  <c r="AO71" i="1"/>
  <c r="AQ71" i="1" s="1"/>
  <c r="AL69" i="1"/>
  <c r="AO69" i="1"/>
  <c r="AP69" i="1"/>
  <c r="AW65" i="1"/>
  <c r="BA65" i="1"/>
  <c r="AZ65" i="1"/>
  <c r="BA62" i="1"/>
  <c r="AW62" i="1"/>
  <c r="AY63" i="1" s="1"/>
  <c r="AZ62" i="1"/>
  <c r="BB62" i="1" s="1"/>
  <c r="AW60" i="1"/>
  <c r="BA60" i="1"/>
  <c r="AZ60" i="1"/>
  <c r="BB60" i="1" s="1"/>
  <c r="AL58" i="1"/>
  <c r="AP58" i="1"/>
  <c r="AO58" i="1"/>
  <c r="AQ58" i="1" s="1"/>
  <c r="AW56" i="1"/>
  <c r="AY57" i="1" s="1"/>
  <c r="BA56" i="1"/>
  <c r="AZ56" i="1"/>
  <c r="BB56" i="1" s="1"/>
  <c r="AL54" i="1"/>
  <c r="AN55" i="1" s="1"/>
  <c r="AP54" i="1"/>
  <c r="AO54" i="1"/>
  <c r="AQ54" i="1" s="1"/>
  <c r="AW53" i="1"/>
  <c r="BA53" i="1"/>
  <c r="AZ53" i="1"/>
  <c r="BB53" i="1" s="1"/>
  <c r="AL46" i="1"/>
  <c r="AN47" i="1" s="1"/>
  <c r="AP46" i="1"/>
  <c r="AO46" i="1"/>
  <c r="AQ46" i="1" s="1"/>
  <c r="AL40" i="1"/>
  <c r="AP40" i="1"/>
  <c r="AO40" i="1"/>
  <c r="AQ40" i="1" s="1"/>
  <c r="AL37" i="1"/>
  <c r="AN38" i="1" s="1"/>
  <c r="AP37" i="1"/>
  <c r="AO37" i="1"/>
  <c r="AQ37" i="1" s="1"/>
  <c r="BE37" i="1" s="1"/>
  <c r="AW35" i="1"/>
  <c r="BA35" i="1"/>
  <c r="AZ35" i="1"/>
  <c r="BB35" i="1" s="1"/>
  <c r="BE35" i="1" s="1"/>
  <c r="AL33" i="1"/>
  <c r="AP33" i="1"/>
  <c r="AO33" i="1"/>
  <c r="AZ24" i="1"/>
  <c r="BA24" i="1"/>
  <c r="AW24" i="1"/>
  <c r="AY25" i="1" s="1"/>
  <c r="BC22" i="1"/>
  <c r="BC23" i="1" s="1"/>
  <c r="AR22" i="1"/>
  <c r="BE22" i="1"/>
  <c r="BB176" i="1"/>
  <c r="BB169" i="1"/>
  <c r="AQ169" i="1"/>
  <c r="BE169" i="1" s="1"/>
  <c r="BB168" i="1"/>
  <c r="AQ168" i="1"/>
  <c r="BE168" i="1" s="1"/>
  <c r="BB164" i="1"/>
  <c r="BB153" i="1"/>
  <c r="AQ142" i="1"/>
  <c r="AQ129" i="1"/>
  <c r="AQ111" i="1"/>
  <c r="AQ34" i="1"/>
  <c r="BE34" i="1" s="1"/>
  <c r="BB108" i="1"/>
  <c r="BB107" i="1"/>
  <c r="AQ107" i="1"/>
  <c r="BE107" i="1" s="1"/>
  <c r="AQ105" i="1"/>
  <c r="BB103" i="1"/>
  <c r="AQ102" i="1"/>
  <c r="BE102" i="1" s="1"/>
  <c r="BB101" i="1"/>
  <c r="BE101" i="1" s="1"/>
  <c r="AQ100" i="1"/>
  <c r="BE100" i="1" s="1"/>
  <c r="BB99" i="1"/>
  <c r="AQ99" i="1"/>
  <c r="BE99" i="1" s="1"/>
  <c r="AQ98" i="1"/>
  <c r="BB97" i="1"/>
  <c r="AQ97" i="1"/>
  <c r="BE97" i="1" s="1"/>
  <c r="BB95" i="1"/>
  <c r="AQ95" i="1"/>
  <c r="BE95" i="1" s="1"/>
  <c r="AQ94" i="1"/>
  <c r="BB93" i="1"/>
  <c r="BB91" i="1"/>
  <c r="AQ91" i="1"/>
  <c r="BE91" i="1" s="1"/>
  <c r="AQ88" i="1"/>
  <c r="AQ85" i="1"/>
  <c r="AQ84" i="1"/>
  <c r="BB83" i="1"/>
  <c r="BB81" i="1"/>
  <c r="BE81" i="1" s="1"/>
  <c r="BB80" i="1"/>
  <c r="BE80" i="1" s="1"/>
  <c r="BB79" i="1"/>
  <c r="BB78" i="1"/>
  <c r="AQ77" i="1"/>
  <c r="AQ76" i="1"/>
  <c r="BE76" i="1" s="1"/>
  <c r="AQ73" i="1"/>
  <c r="AQ72" i="1"/>
  <c r="BE72" i="1" s="1"/>
  <c r="BB71" i="1"/>
  <c r="BB70" i="1"/>
  <c r="AQ70" i="1"/>
  <c r="AQ65" i="1"/>
  <c r="BB64" i="1"/>
  <c r="BE64" i="1" s="1"/>
  <c r="AQ63" i="1"/>
  <c r="AQ62" i="1"/>
  <c r="BB61" i="1"/>
  <c r="AQ61" i="1"/>
  <c r="BE61" i="1" s="1"/>
  <c r="AQ60" i="1"/>
  <c r="BB59" i="1"/>
  <c r="AQ59" i="1"/>
  <c r="BE59" i="1" s="1"/>
  <c r="BB58" i="1"/>
  <c r="AQ57" i="1"/>
  <c r="AQ56" i="1"/>
  <c r="BB55" i="1"/>
  <c r="BB54" i="1"/>
  <c r="AQ53" i="1"/>
  <c r="BB52" i="1"/>
  <c r="AQ52" i="1"/>
  <c r="BE52" i="1" s="1"/>
  <c r="BB51" i="1"/>
  <c r="AQ51" i="1"/>
  <c r="BE51" i="1" s="1"/>
  <c r="BB50" i="1"/>
  <c r="AQ50" i="1"/>
  <c r="BE50" i="1" s="1"/>
  <c r="BB49" i="1"/>
  <c r="BB48" i="1"/>
  <c r="BB47" i="1"/>
  <c r="BB46" i="1"/>
  <c r="BB45" i="1"/>
  <c r="AQ45" i="1"/>
  <c r="BE45" i="1" s="1"/>
  <c r="BB43" i="1"/>
  <c r="AQ43" i="1"/>
  <c r="BE43" i="1" s="1"/>
  <c r="BB42" i="1"/>
  <c r="AQ42" i="1"/>
  <c r="BE42" i="1" s="1"/>
  <c r="BB41" i="1"/>
  <c r="AQ41" i="1"/>
  <c r="BE41" i="1" s="1"/>
  <c r="BB40" i="1"/>
  <c r="AQ23" i="1"/>
  <c r="BB44" i="1"/>
  <c r="BE44" i="1" s="1"/>
  <c r="AQ151" i="1"/>
  <c r="BE151" i="1" s="1"/>
  <c r="AQ138" i="1"/>
  <c r="AQ131" i="1"/>
  <c r="BE131" i="1" s="1"/>
  <c r="AQ123" i="1"/>
  <c r="AQ25" i="1"/>
  <c r="AQ124" i="1"/>
  <c r="BE124" i="1" s="1"/>
  <c r="AQ122" i="1"/>
  <c r="AQ28" i="1"/>
  <c r="AQ26" i="1"/>
  <c r="AQ141" i="1"/>
  <c r="BE141" i="1" s="1"/>
  <c r="BB155" i="1"/>
  <c r="BE155" i="1" s="1"/>
  <c r="BB152" i="1"/>
  <c r="BE46" i="1" l="1"/>
  <c r="AR23" i="1"/>
  <c r="AR24" i="1" s="1"/>
  <c r="AR25" i="1" s="1"/>
  <c r="AR26" i="1" s="1"/>
  <c r="AR27" i="1" s="1"/>
  <c r="AR28" i="1" s="1"/>
  <c r="AR29" i="1" s="1"/>
  <c r="AR30" i="1" s="1"/>
  <c r="AR31" i="1" s="1"/>
  <c r="AR32" i="1" s="1"/>
  <c r="BE70" i="1"/>
  <c r="BE108" i="1"/>
  <c r="BE103" i="1"/>
  <c r="BE93" i="1"/>
  <c r="BE78" i="1"/>
  <c r="BB73" i="1"/>
  <c r="BE73" i="1" s="1"/>
  <c r="BE71" i="1"/>
  <c r="AQ69" i="1"/>
  <c r="BE69" i="1" s="1"/>
  <c r="BB65" i="1"/>
  <c r="BE65" i="1" s="1"/>
  <c r="BE54" i="1"/>
  <c r="BE40" i="1"/>
  <c r="AQ33" i="1"/>
  <c r="BE33" i="1" s="1"/>
  <c r="BE58" i="1"/>
  <c r="AL176" i="1"/>
  <c r="AO176" i="1"/>
  <c r="AP176" i="1"/>
  <c r="AL171" i="1"/>
  <c r="AN172" i="1" s="1"/>
  <c r="AO171" i="1"/>
  <c r="AP171" i="1"/>
  <c r="AO165" i="1"/>
  <c r="AL165" i="1"/>
  <c r="AN166" i="1" s="1"/>
  <c r="AP165" i="1"/>
  <c r="AO160" i="1"/>
  <c r="AL160" i="1"/>
  <c r="AN161" i="1" s="1"/>
  <c r="AP160" i="1"/>
  <c r="AP153" i="1"/>
  <c r="AL153" i="1"/>
  <c r="AO153" i="1"/>
  <c r="AQ153" i="1" s="1"/>
  <c r="BE153" i="1" s="1"/>
  <c r="AW149" i="1"/>
  <c r="AY150" i="1" s="1"/>
  <c r="AZ149" i="1"/>
  <c r="BA149" i="1"/>
  <c r="AZ145" i="1"/>
  <c r="AW145" i="1"/>
  <c r="AY146" i="1" s="1"/>
  <c r="BA145" i="1"/>
  <c r="AP140" i="1"/>
  <c r="AL140" i="1"/>
  <c r="AO140" i="1"/>
  <c r="AQ140" i="1" s="1"/>
  <c r="BE140" i="1" s="1"/>
  <c r="AW122" i="1"/>
  <c r="AY123" i="1" s="1"/>
  <c r="BA122" i="1"/>
  <c r="AZ122" i="1"/>
  <c r="BB122" i="1" s="1"/>
  <c r="BE122" i="1" s="1"/>
  <c r="AL119" i="1"/>
  <c r="AP119" i="1"/>
  <c r="AO119" i="1"/>
  <c r="AQ119" i="1" s="1"/>
  <c r="BE119" i="1" s="1"/>
  <c r="AZ114" i="1"/>
  <c r="BA114" i="1"/>
  <c r="AW114" i="1"/>
  <c r="AP104" i="1"/>
  <c r="AL104" i="1"/>
  <c r="AO104" i="1"/>
  <c r="AQ104" i="1" s="1"/>
  <c r="BE104" i="1" s="1"/>
  <c r="AW89" i="1"/>
  <c r="AY90" i="1" s="1"/>
  <c r="AZ89" i="1"/>
  <c r="BA89" i="1"/>
  <c r="BA85" i="1"/>
  <c r="AW85" i="1"/>
  <c r="AZ85" i="1"/>
  <c r="BB85" i="1" s="1"/>
  <c r="BE85" i="1" s="1"/>
  <c r="AL83" i="1"/>
  <c r="AO83" i="1"/>
  <c r="AP83" i="1"/>
  <c r="AL79" i="1"/>
  <c r="AP79" i="1"/>
  <c r="AO79" i="1"/>
  <c r="AQ79" i="1" s="1"/>
  <c r="BE79" i="1" s="1"/>
  <c r="AZ63" i="1"/>
  <c r="AW63" i="1"/>
  <c r="BA63" i="1"/>
  <c r="AW57" i="1"/>
  <c r="BA57" i="1"/>
  <c r="AZ57" i="1"/>
  <c r="BB57" i="1" s="1"/>
  <c r="BE57" i="1" s="1"/>
  <c r="AL55" i="1"/>
  <c r="AP55" i="1"/>
  <c r="AO55" i="1"/>
  <c r="AQ55" i="1" s="1"/>
  <c r="BE55" i="1" s="1"/>
  <c r="AL47" i="1"/>
  <c r="AN48" i="1" s="1"/>
  <c r="AP47" i="1"/>
  <c r="AO47" i="1"/>
  <c r="AQ47" i="1" s="1"/>
  <c r="BE47" i="1" s="1"/>
  <c r="AL38" i="1"/>
  <c r="AP38" i="1"/>
  <c r="AO38" i="1"/>
  <c r="AQ38" i="1" s="1"/>
  <c r="AW25" i="1"/>
  <c r="AY26" i="1" s="1"/>
  <c r="BA25" i="1"/>
  <c r="AZ25" i="1"/>
  <c r="BB25" i="1" s="1"/>
  <c r="BE25" i="1" s="1"/>
  <c r="BF22" i="1"/>
  <c r="BF23" i="1" s="1"/>
  <c r="AQ175" i="1"/>
  <c r="BE175" i="1" s="1"/>
  <c r="AQ170" i="1"/>
  <c r="BE170" i="1" s="1"/>
  <c r="BB167" i="1"/>
  <c r="BE167" i="1" s="1"/>
  <c r="AQ164" i="1"/>
  <c r="BE164" i="1" s="1"/>
  <c r="AQ159" i="1"/>
  <c r="BE159" i="1" s="1"/>
  <c r="AQ152" i="1"/>
  <c r="BE152" i="1" s="1"/>
  <c r="BB148" i="1"/>
  <c r="BE148" i="1" s="1"/>
  <c r="AQ147" i="1"/>
  <c r="BE147" i="1" s="1"/>
  <c r="AQ143" i="1"/>
  <c r="BE143" i="1" s="1"/>
  <c r="BB142" i="1"/>
  <c r="BE142" i="1" s="1"/>
  <c r="BB113" i="1"/>
  <c r="BE113" i="1" s="1"/>
  <c r="BB111" i="1"/>
  <c r="BE111" i="1" s="1"/>
  <c r="AQ110" i="1"/>
  <c r="BE110" i="1" s="1"/>
  <c r="BB109" i="1"/>
  <c r="BE109" i="1" s="1"/>
  <c r="AQ106" i="1"/>
  <c r="BE106" i="1" s="1"/>
  <c r="BB94" i="1"/>
  <c r="BE94" i="1" s="1"/>
  <c r="BB88" i="1"/>
  <c r="BE88" i="1" s="1"/>
  <c r="BB84" i="1"/>
  <c r="BE84" i="1" s="1"/>
  <c r="AQ82" i="1"/>
  <c r="BE82" i="1" s="1"/>
  <c r="BB77" i="1"/>
  <c r="BE77" i="1" s="1"/>
  <c r="BB24" i="1"/>
  <c r="BE129" i="1"/>
  <c r="BE105" i="1"/>
  <c r="BE98" i="1"/>
  <c r="BE62" i="1"/>
  <c r="BE60" i="1"/>
  <c r="BE56" i="1"/>
  <c r="BE53" i="1"/>
  <c r="BE138" i="1"/>
  <c r="BE23" i="1"/>
  <c r="AR33" i="1" l="1"/>
  <c r="AR34" i="1" s="1"/>
  <c r="AR35" i="1" s="1"/>
  <c r="AR36" i="1" s="1"/>
  <c r="AR37" i="1" s="1"/>
  <c r="AQ83" i="1"/>
  <c r="BE83" i="1" s="1"/>
  <c r="AL172" i="1"/>
  <c r="AO172" i="1"/>
  <c r="AP172" i="1"/>
  <c r="AO166" i="1"/>
  <c r="AL166" i="1"/>
  <c r="AP166" i="1"/>
  <c r="AL161" i="1"/>
  <c r="AO161" i="1"/>
  <c r="AP161" i="1"/>
  <c r="AZ150" i="1"/>
  <c r="BB150" i="1" s="1"/>
  <c r="BE150" i="1" s="1"/>
  <c r="AW150" i="1"/>
  <c r="BA150" i="1"/>
  <c r="AZ146" i="1"/>
  <c r="AW146" i="1"/>
  <c r="BA146" i="1"/>
  <c r="AW123" i="1"/>
  <c r="BA123" i="1"/>
  <c r="AZ123" i="1"/>
  <c r="BB123" i="1" s="1"/>
  <c r="BE123" i="1" s="1"/>
  <c r="AZ90" i="1"/>
  <c r="AW90" i="1"/>
  <c r="BA90" i="1"/>
  <c r="AL48" i="1"/>
  <c r="AN49" i="1" s="1"/>
  <c r="AP48" i="1"/>
  <c r="AO48" i="1"/>
  <c r="AQ48" i="1" s="1"/>
  <c r="AR38" i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BE38" i="1"/>
  <c r="AW26" i="1"/>
  <c r="AY27" i="1" s="1"/>
  <c r="BA26" i="1"/>
  <c r="AZ26" i="1"/>
  <c r="BB26" i="1" s="1"/>
  <c r="BE26" i="1" s="1"/>
  <c r="BC24" i="1"/>
  <c r="BC25" i="1" s="1"/>
  <c r="BC26" i="1" s="1"/>
  <c r="BE24" i="1"/>
  <c r="BB63" i="1"/>
  <c r="BE63" i="1" s="1"/>
  <c r="AQ176" i="1"/>
  <c r="BE176" i="1" s="1"/>
  <c r="AQ171" i="1"/>
  <c r="BE171" i="1" s="1"/>
  <c r="AQ165" i="1"/>
  <c r="BE165" i="1" s="1"/>
  <c r="AQ160" i="1"/>
  <c r="BE160" i="1" s="1"/>
  <c r="BB149" i="1"/>
  <c r="BE149" i="1" s="1"/>
  <c r="BB145" i="1"/>
  <c r="BE145" i="1" s="1"/>
  <c r="BB114" i="1"/>
  <c r="BE114" i="1" s="1"/>
  <c r="BB89" i="1"/>
  <c r="BE89" i="1" s="1"/>
  <c r="AQ166" i="1" l="1"/>
  <c r="BE166" i="1" s="1"/>
  <c r="AL49" i="1"/>
  <c r="AP49" i="1"/>
  <c r="AO49" i="1"/>
  <c r="AQ49" i="1" s="1"/>
  <c r="AW27" i="1"/>
  <c r="AY28" i="1" s="1"/>
  <c r="BA27" i="1"/>
  <c r="AZ27" i="1"/>
  <c r="BB27" i="1" s="1"/>
  <c r="BF24" i="1"/>
  <c r="BF25" i="1" s="1"/>
  <c r="BF26" i="1" s="1"/>
  <c r="AQ161" i="1"/>
  <c r="BE161" i="1" s="1"/>
  <c r="BB146" i="1"/>
  <c r="BE146" i="1" s="1"/>
  <c r="AQ172" i="1"/>
  <c r="BE172" i="1" s="1"/>
  <c r="BB90" i="1"/>
  <c r="BE90" i="1" s="1"/>
  <c r="BE48" i="1"/>
  <c r="AQ14" i="1"/>
  <c r="AQ15" i="1"/>
  <c r="AQ19" i="1"/>
  <c r="AR49" i="1" l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49" i="1"/>
  <c r="AW28" i="1"/>
  <c r="AY29" i="1" s="1"/>
  <c r="BA28" i="1"/>
  <c r="AZ28" i="1"/>
  <c r="BB28" i="1" s="1"/>
  <c r="BE28" i="1" s="1"/>
  <c r="BC27" i="1"/>
  <c r="BC28" i="1" s="1"/>
  <c r="BE27" i="1"/>
  <c r="AQ16" i="1"/>
  <c r="AI1" i="1" s="1"/>
  <c r="AW29" i="1" l="1"/>
  <c r="AY30" i="1" s="1"/>
  <c r="BA29" i="1"/>
  <c r="AZ29" i="1"/>
  <c r="BB29" i="1" s="1"/>
  <c r="BF27" i="1"/>
  <c r="BF28" i="1" s="1"/>
  <c r="AW30" i="1" l="1"/>
  <c r="AY31" i="1" s="1"/>
  <c r="BA30" i="1"/>
  <c r="AZ30" i="1"/>
  <c r="BC29" i="1"/>
  <c r="BE29" i="1"/>
  <c r="AW31" i="1" l="1"/>
  <c r="BA31" i="1"/>
  <c r="AZ31" i="1"/>
  <c r="BB31" i="1" s="1"/>
  <c r="BF29" i="1"/>
  <c r="BB30" i="1"/>
  <c r="BB15" i="1" l="1"/>
  <c r="BB14" i="1"/>
  <c r="BB16" i="1" s="1"/>
  <c r="AT1" i="1" s="1"/>
  <c r="BB19" i="1"/>
  <c r="BE31" i="1"/>
  <c r="BC30" i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30" i="1"/>
  <c r="BF30" i="1" s="1"/>
  <c r="BE18" i="1" l="1"/>
  <c r="BE14" i="1"/>
  <c r="BE15" i="1"/>
  <c r="BF31" i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<sst xmlns="http://schemas.openxmlformats.org/spreadsheetml/2006/main" count="74" uniqueCount="53">
  <si>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</si>
  <si>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BSCV</t>
  </si>
  <si>
    <t>IBDW</t>
  </si>
  <si>
    <t>BSCV log rtn</t>
  </si>
  <si>
    <t>IBDW log rtn</t>
  </si>
  <si>
    <t>BSCV div</t>
  </si>
  <si>
    <t>BSCV div cumsum</t>
  </si>
  <si>
    <t>IBDW div</t>
  </si>
  <si>
    <t>IBDW div cumsum</t>
  </si>
  <si>
    <t>BSCV div adjustment</t>
  </si>
  <si>
    <t>IBDW div adjustment</t>
  </si>
  <si>
    <t>BSCV*</t>
  </si>
  <si>
    <t>IBDW*</t>
  </si>
  <si>
    <t>IBDW/BSCV</t>
  </si>
  <si>
    <t>IBDW/BSCV avg</t>
  </si>
  <si>
    <t>IBDW/BSCV 10 dma</t>
  </si>
  <si>
    <t>IBDW/BSCV 20 dma</t>
  </si>
  <si>
    <t>BSCV x avg</t>
  </si>
  <si>
    <t>BSCV x 10 dma</t>
  </si>
  <si>
    <t>BSCV x 20 dma</t>
  </si>
  <si>
    <t>log diff BSCV x avg / IBDW</t>
  </si>
  <si>
    <t>log diff BSCV x 10 dma / IBDW</t>
  </si>
  <si>
    <t>log diff BSCV x 20 dma / IBDW</t>
  </si>
  <si>
    <t>IBDW*/BSCV*</t>
  </si>
  <si>
    <t>IBDW*/BSCV* avg</t>
  </si>
  <si>
    <t>IBDW*/BSCV* 10 dma</t>
  </si>
  <si>
    <t>IBDW*/BSCV* 20 dma</t>
  </si>
  <si>
    <t>BSCV* x avg</t>
  </si>
  <si>
    <t>BSCV* x 10 dma</t>
  </si>
  <si>
    <t>BSCV* x 20 dma</t>
  </si>
  <si>
    <t>log diff BSCV* x avg / IBDW*</t>
  </si>
  <si>
    <t>log diff BSCV* x 10 dma / IBDW*</t>
  </si>
  <si>
    <t>log diff BSCV* x 20 dma / IBDW*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</si>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</sst>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IBDW/BSCV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1.26844555541175</c:v>
                </c:pt>
                <c:pt idx="1">
                  <c:v>1.26844555541175</c:v>
                </c:pt>
                <c:pt idx="2">
                  <c:v>1.26844555541175</c:v>
                </c:pt>
                <c:pt idx="3">
                  <c:v>1.26844555541175</c:v>
                </c:pt>
                <c:pt idx="4">
                  <c:v>1.26844555541175</c:v>
                </c:pt>
                <c:pt idx="5">
                  <c:v>1.26844555541175</c:v>
                </c:pt>
                <c:pt idx="6">
                  <c:v>1.26844555541175</c:v>
                </c:pt>
                <c:pt idx="7">
                  <c:v>1.26844555541175</c:v>
                </c:pt>
                <c:pt idx="8">
                  <c:v>1.26844555541175</c:v>
                </c:pt>
                <c:pt idx="9">
                  <c:v>1.26844555541175</c:v>
                </c:pt>
                <c:pt idx="10">
                  <c:v>1.26844555541175</c:v>
                </c:pt>
                <c:pt idx="11">
                  <c:v>1.26844555541175</c:v>
                </c:pt>
                <c:pt idx="12">
                  <c:v>1.26844555541175</c:v>
                </c:pt>
                <c:pt idx="13">
                  <c:v>1.26844555541175</c:v>
                </c:pt>
                <c:pt idx="14">
                  <c:v>1.26844555541175</c:v>
                </c:pt>
                <c:pt idx="15">
                  <c:v>1.26844555541175</c:v>
                </c:pt>
                <c:pt idx="16">
                  <c:v>1.26844555541175</c:v>
                </c:pt>
                <c:pt idx="17">
                  <c:v>1.26844555541175</c:v>
                </c:pt>
                <c:pt idx="18">
                  <c:v>1.26844555541175</c:v>
                </c:pt>
                <c:pt idx="19">
                  <c:v>1.26844555541175</c:v>
                </c:pt>
                <c:pt idx="20">
                  <c:v>1.26844555541175</c:v>
                </c:pt>
                <c:pt idx="21">
                  <c:v>1.26844555541175</c:v>
                </c:pt>
                <c:pt idx="22">
                  <c:v>1.26844555541175</c:v>
                </c:pt>
                <c:pt idx="23">
                  <c:v>1.26844555541175</c:v>
                </c:pt>
                <c:pt idx="24">
                  <c:v>1.26844555541175</c:v>
                </c:pt>
                <c:pt idx="25">
                  <c:v>1.26844555541175</c:v>
                </c:pt>
                <c:pt idx="26">
                  <c:v>1.26844555541175</c:v>
                </c:pt>
                <c:pt idx="27">
                  <c:v>1.26844555541175</c:v>
                </c:pt>
                <c:pt idx="28">
                  <c:v>1.26844555541175</c:v>
                </c:pt>
                <c:pt idx="29">
                  <c:v>1.26844555541175</c:v>
                </c:pt>
                <c:pt idx="30">
                  <c:v>1.26844555541175</c:v>
                </c:pt>
                <c:pt idx="31">
                  <c:v>1.26844555541175</c:v>
                </c:pt>
                <c:pt idx="32">
                  <c:v>1.26844555541175</c:v>
                </c:pt>
                <c:pt idx="33">
                  <c:v>1.26844555541175</c:v>
                </c:pt>
                <c:pt idx="34">
                  <c:v>1.26844555541175</c:v>
                </c:pt>
                <c:pt idx="35">
                  <c:v>1.26844555541175</c:v>
                </c:pt>
                <c:pt idx="36">
                  <c:v>1.26844555541175</c:v>
                </c:pt>
                <c:pt idx="37">
                  <c:v>1.26844555541175</c:v>
                </c:pt>
                <c:pt idx="38">
                  <c:v>1.26844555541175</c:v>
                </c:pt>
                <c:pt idx="39">
                  <c:v>1.26844555541175</c:v>
                </c:pt>
                <c:pt idx="40">
                  <c:v>1.26844555541175</c:v>
                </c:pt>
                <c:pt idx="41">
                  <c:v>1.26844555541175</c:v>
                </c:pt>
                <c:pt idx="42">
                  <c:v>1.26844555541175</c:v>
                </c:pt>
                <c:pt idx="43">
                  <c:v>1.26844555541175</c:v>
                </c:pt>
                <c:pt idx="44">
                  <c:v>1.26844555541175</c:v>
                </c:pt>
                <c:pt idx="45">
                  <c:v>1.26844555541175</c:v>
                </c:pt>
                <c:pt idx="46">
                  <c:v>1.26844555541175</c:v>
                </c:pt>
                <c:pt idx="47">
                  <c:v>1.26844555541175</c:v>
                </c:pt>
                <c:pt idx="48">
                  <c:v>1.26844555541175</c:v>
                </c:pt>
                <c:pt idx="49">
                  <c:v>1.26844555541175</c:v>
                </c:pt>
                <c:pt idx="50">
                  <c:v>1.26844555541175</c:v>
                </c:pt>
                <c:pt idx="51">
                  <c:v>1.26844555541175</c:v>
                </c:pt>
                <c:pt idx="52">
                  <c:v>1.26844555541175</c:v>
                </c:pt>
                <c:pt idx="53">
                  <c:v>1.26844555541175</c:v>
                </c:pt>
                <c:pt idx="54">
                  <c:v>1.26844555541175</c:v>
                </c:pt>
                <c:pt idx="55">
                  <c:v>1.26844555541175</c:v>
                </c:pt>
                <c:pt idx="56">
                  <c:v>1.26844555541175</c:v>
                </c:pt>
                <c:pt idx="57">
                  <c:v>1.26844555541175</c:v>
                </c:pt>
                <c:pt idx="58">
                  <c:v>1.26844555541175</c:v>
                </c:pt>
                <c:pt idx="59">
                  <c:v>1.26844555541175</c:v>
                </c:pt>
                <c:pt idx="60">
                  <c:v>1.26844555541175</c:v>
                </c:pt>
                <c:pt idx="61">
                  <c:v>1.26844555541175</c:v>
                </c:pt>
                <c:pt idx="62">
                  <c:v>1.26844555541175</c:v>
                </c:pt>
                <c:pt idx="63">
                  <c:v>1.26844555541175</c:v>
                </c:pt>
                <c:pt idx="64">
                  <c:v>1.26844555541175</c:v>
                </c:pt>
                <c:pt idx="65">
                  <c:v>1.26844555541175</c:v>
                </c:pt>
                <c:pt idx="66">
                  <c:v>1.26844555541175</c:v>
                </c:pt>
                <c:pt idx="67">
                  <c:v>1.26844555541175</c:v>
                </c:pt>
                <c:pt idx="68">
                  <c:v>1.26844555541175</c:v>
                </c:pt>
                <c:pt idx="69">
                  <c:v>1.26844555541175</c:v>
                </c:pt>
                <c:pt idx="70">
                  <c:v>1.26844555541175</c:v>
                </c:pt>
                <c:pt idx="71">
                  <c:v>1.26844555541175</c:v>
                </c:pt>
                <c:pt idx="72">
                  <c:v>1.26844555541175</c:v>
                </c:pt>
                <c:pt idx="73">
                  <c:v>1.26844555541175</c:v>
                </c:pt>
                <c:pt idx="74">
                  <c:v>1.26844555541175</c:v>
                </c:pt>
                <c:pt idx="75">
                  <c:v>1.26844555541175</c:v>
                </c:pt>
                <c:pt idx="76">
                  <c:v>1.26844555541175</c:v>
                </c:pt>
                <c:pt idx="77">
                  <c:v>1.26844555541175</c:v>
                </c:pt>
                <c:pt idx="78">
                  <c:v>1.26844555541175</c:v>
                </c:pt>
                <c:pt idx="79">
                  <c:v>1.26844555541175</c:v>
                </c:pt>
                <c:pt idx="80">
                  <c:v>1.26844555541175</c:v>
                </c:pt>
                <c:pt idx="81">
                  <c:v>1.26844555541175</c:v>
                </c:pt>
                <c:pt idx="82">
                  <c:v>1.26844555541175</c:v>
                </c:pt>
                <c:pt idx="83">
                  <c:v>1.26844555541175</c:v>
                </c:pt>
                <c:pt idx="84">
                  <c:v>1.26844555541175</c:v>
                </c:pt>
                <c:pt idx="85">
                  <c:v>1.26844555541175</c:v>
                </c:pt>
                <c:pt idx="86">
                  <c:v>1.26844555541175</c:v>
                </c:pt>
                <c:pt idx="87">
                  <c:v>1.26844555541175</c:v>
                </c:pt>
                <c:pt idx="88">
                  <c:v>1.26844555541175</c:v>
                </c:pt>
                <c:pt idx="89">
                  <c:v>1.26844555541175</c:v>
                </c:pt>
                <c:pt idx="90">
                  <c:v>1.26844555541175</c:v>
                </c:pt>
                <c:pt idx="91">
                  <c:v>1.26844555541175</c:v>
                </c:pt>
                <c:pt idx="92">
                  <c:v>1.26844555541175</c:v>
                </c:pt>
                <c:pt idx="93">
                  <c:v>1.26844555541175</c:v>
                </c:pt>
                <c:pt idx="94">
                  <c:v>1.26844555541175</c:v>
                </c:pt>
                <c:pt idx="95">
                  <c:v>1.26844555541175</c:v>
                </c:pt>
                <c:pt idx="96">
                  <c:v>1.26844555541175</c:v>
                </c:pt>
                <c:pt idx="97">
                  <c:v>1.26844555541175</c:v>
                </c:pt>
                <c:pt idx="98">
                  <c:v>1.26844555541175</c:v>
                </c:pt>
                <c:pt idx="99">
                  <c:v>1.26844555541175</c:v>
                </c:pt>
                <c:pt idx="100">
                  <c:v>1.26844555541175</c:v>
                </c:pt>
                <c:pt idx="101">
                  <c:v>1.26844555541175</c:v>
                </c:pt>
                <c:pt idx="102">
                  <c:v>1.26844555541175</c:v>
                </c:pt>
                <c:pt idx="103">
                  <c:v>1.26844555541175</c:v>
                </c:pt>
                <c:pt idx="104">
                  <c:v>1.26844555541175</c:v>
                </c:pt>
                <c:pt idx="105">
                  <c:v>1.26844555541175</c:v>
                </c:pt>
                <c:pt idx="106">
                  <c:v>1.26844555541175</c:v>
                </c:pt>
                <c:pt idx="107">
                  <c:v>1.26844555541175</c:v>
                </c:pt>
                <c:pt idx="108">
                  <c:v>1.26844555541175</c:v>
                </c:pt>
                <c:pt idx="109">
                  <c:v>1.26844555541175</c:v>
                </c:pt>
                <c:pt idx="110">
                  <c:v>1.26844555541175</c:v>
                </c:pt>
                <c:pt idx="111">
                  <c:v>1.26844555541175</c:v>
                </c:pt>
                <c:pt idx="112">
                  <c:v>1.26844555541175</c:v>
                </c:pt>
                <c:pt idx="113">
                  <c:v>1.26844555541175</c:v>
                </c:pt>
                <c:pt idx="114">
                  <c:v>1.26844555541175</c:v>
                </c:pt>
                <c:pt idx="115">
                  <c:v>1.26844555541175</c:v>
                </c:pt>
                <c:pt idx="116">
                  <c:v>1.26844555541175</c:v>
                </c:pt>
                <c:pt idx="117">
                  <c:v>1.26844555541175</c:v>
                </c:pt>
                <c:pt idx="118">
                  <c:v>1.26844555541175</c:v>
                </c:pt>
                <c:pt idx="119">
                  <c:v>1.26844555541175</c:v>
                </c:pt>
                <c:pt idx="120">
                  <c:v>1.26844555541175</c:v>
                </c:pt>
                <c:pt idx="121">
                  <c:v>1.26844555541175</c:v>
                </c:pt>
                <c:pt idx="122">
                  <c:v>1.26844555541175</c:v>
                </c:pt>
                <c:pt idx="123">
                  <c:v>1.26844555541175</c:v>
                </c:pt>
                <c:pt idx="124">
                  <c:v>1.26844555541175</c:v>
                </c:pt>
                <c:pt idx="125">
                  <c:v>1.26844555541175</c:v>
                </c:pt>
                <c:pt idx="126">
                  <c:v>1.26844555541175</c:v>
                </c:pt>
                <c:pt idx="127">
                  <c:v>1.26844555541175</c:v>
                </c:pt>
                <c:pt idx="128">
                  <c:v>1.26844555541175</c:v>
                </c:pt>
                <c:pt idx="129">
                  <c:v>1.26844555541175</c:v>
                </c:pt>
                <c:pt idx="130">
                  <c:v>1.26844555541175</c:v>
                </c:pt>
                <c:pt idx="131">
                  <c:v>1.26844555541175</c:v>
                </c:pt>
                <c:pt idx="132">
                  <c:v>1.26844555541175</c:v>
                </c:pt>
                <c:pt idx="133">
                  <c:v>1.26844555541175</c:v>
                </c:pt>
                <c:pt idx="134">
                  <c:v>1.26844555541175</c:v>
                </c:pt>
                <c:pt idx="135">
                  <c:v>1.26844555541175</c:v>
                </c:pt>
                <c:pt idx="136">
                  <c:v>1.26844555541175</c:v>
                </c:pt>
                <c:pt idx="137">
                  <c:v>1.26844555541175</c:v>
                </c:pt>
                <c:pt idx="138">
                  <c:v>1.26844555541175</c:v>
                </c:pt>
                <c:pt idx="139">
                  <c:v>1.26844555541175</c:v>
                </c:pt>
                <c:pt idx="140">
                  <c:v>1.26844555541175</c:v>
                </c:pt>
                <c:pt idx="141">
                  <c:v>1.26844555541175</c:v>
                </c:pt>
                <c:pt idx="142">
                  <c:v>1.26844555541175</c:v>
                </c:pt>
                <c:pt idx="143">
                  <c:v>1.26844555541175</c:v>
                </c:pt>
                <c:pt idx="144">
                  <c:v>1.26844555541175</c:v>
                </c:pt>
                <c:pt idx="145">
                  <c:v>1.26844555541175</c:v>
                </c:pt>
                <c:pt idx="146">
                  <c:v>1.26844555541175</c:v>
                </c:pt>
                <c:pt idx="147">
                  <c:v>1.26844555541175</c:v>
                </c:pt>
                <c:pt idx="148">
                  <c:v>1.26844555541175</c:v>
                </c:pt>
                <c:pt idx="149">
                  <c:v>1.26844555541175</c:v>
                </c:pt>
                <c:pt idx="150">
                  <c:v>1.26844555541175</c:v>
                </c:pt>
                <c:pt idx="151">
                  <c:v>1.26844555541175</c:v>
                </c:pt>
                <c:pt idx="152">
                  <c:v>1.26844555541175</c:v>
                </c:pt>
                <c:pt idx="153">
                  <c:v>1.26844555541175</c:v>
                </c:pt>
                <c:pt idx="154">
                  <c:v>1.26844555541175</c:v>
                </c:pt>
                <c:pt idx="155">
                  <c:v>1.26844555541175</c:v>
                </c:pt>
                <c:pt idx="156">
                  <c:v>1.26844555541175</c:v>
                </c:pt>
                <c:pt idx="157">
                  <c:v>1.26844555541175</c:v>
                </c:pt>
                <c:pt idx="158">
                  <c:v>1.26844555541175</c:v>
                </c:pt>
                <c:pt idx="159">
                  <c:v>1.26844555541175</c:v>
                </c:pt>
                <c:pt idx="160">
                  <c:v>1.26844555541175</c:v>
                </c:pt>
                <c:pt idx="161">
                  <c:v>1.26844555541175</c:v>
                </c:pt>
                <c:pt idx="162">
                  <c:v>1.26844555541175</c:v>
                </c:pt>
                <c:pt idx="163">
                  <c:v>1.26844555541175</c:v>
                </c:pt>
                <c:pt idx="164">
                  <c:v>1.26844555541175</c:v>
                </c:pt>
                <c:pt idx="165">
                  <c:v>1.26844555541175</c:v>
                </c:pt>
                <c:pt idx="166">
                  <c:v>1.26844555541175</c:v>
                </c:pt>
                <c:pt idx="167">
                  <c:v>1.26844555541175</c:v>
                </c:pt>
                <c:pt idx="168">
                  <c:v>1.26844555541175</c:v>
                </c:pt>
                <c:pt idx="169">
                  <c:v>1.26844555541175</c:v>
                </c:pt>
                <c:pt idx="170">
                  <c:v>1.26844555541175</c:v>
                </c:pt>
                <c:pt idx="171">
                  <c:v>1.26844555541175</c:v>
                </c:pt>
                <c:pt idx="172">
                  <c:v>1.26844555541175</c:v>
                </c:pt>
                <c:pt idx="173">
                  <c:v>1.26844555541175</c:v>
                </c:pt>
                <c:pt idx="174">
                  <c:v>1.26844555541175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C-4854-8F0B-37AB11A27CC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IBDW/BSCV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1.26684634316047</c:v>
                </c:pt>
                <c:pt idx="10">
                  <c:v>1.2669821051894401</c:v>
                </c:pt>
                <c:pt idx="11">
                  <c:v>1.2672798491274899</c:v>
                </c:pt>
                <c:pt idx="12">
                  <c:v>1.2678013071540299</c:v>
                </c:pt>
                <c:pt idx="13">
                  <c:v>1.26836584460403</c:v>
                </c:pt>
                <c:pt idx="14">
                  <c:v>1.2688668139200701</c:v>
                </c:pt>
                <c:pt idx="15">
                  <c:v>1.269351432751</c:v>
                </c:pt>
                <c:pt idx="16">
                  <c:v>1.2698796368427001</c:v>
                </c:pt>
                <c:pt idx="17">
                  <c:v>1.27041284185582</c:v>
                </c:pt>
                <c:pt idx="18">
                  <c:v>1.27088464713634</c:v>
                </c:pt>
                <c:pt idx="19">
                  <c:v>1.27133604390618</c:v>
                </c:pt>
                <c:pt idx="20">
                  <c:v>1.27118814059289</c:v>
                </c:pt>
                <c:pt idx="21">
                  <c:v>1.2707305840763099</c:v>
                </c:pt>
                <c:pt idx="22">
                  <c:v>1.2700812924895599</c:v>
                </c:pt>
                <c:pt idx="23">
                  <c:v>1.2695326634869899</c:v>
                </c:pt>
                <c:pt idx="24">
                  <c:v>1.2689239383305599</c:v>
                </c:pt>
                <c:pt idx="25">
                  <c:v>1.26831565521182</c:v>
                </c:pt>
                <c:pt idx="26">
                  <c:v>1.26775164453292</c:v>
                </c:pt>
                <c:pt idx="27">
                  <c:v>1.26706691477523</c:v>
                </c:pt>
                <c:pt idx="28">
                  <c:v>1.2665474480066901</c:v>
                </c:pt>
                <c:pt idx="29">
                  <c:v>1.26605624990176</c:v>
                </c:pt>
                <c:pt idx="30">
                  <c:v>1.26620775531497</c:v>
                </c:pt>
                <c:pt idx="31">
                  <c:v>1.2662837857271301</c:v>
                </c:pt>
                <c:pt idx="32">
                  <c:v>1.2662844641662601</c:v>
                </c:pt>
                <c:pt idx="33">
                  <c:v>1.26632043472378</c:v>
                </c:pt>
                <c:pt idx="34">
                  <c:v>1.26688081076954</c:v>
                </c:pt>
                <c:pt idx="35">
                  <c:v>1.2674895239125701</c:v>
                </c:pt>
                <c:pt idx="36">
                  <c:v>1.2679671358528699</c:v>
                </c:pt>
                <c:pt idx="37">
                  <c:v>1.2685596250023301</c:v>
                </c:pt>
                <c:pt idx="38">
                  <c:v>1.2690639786529401</c:v>
                </c:pt>
                <c:pt idx="39">
                  <c:v>1.26919141823737</c:v>
                </c:pt>
                <c:pt idx="40">
                  <c:v>1.2691239247127599</c:v>
                </c:pt>
                <c:pt idx="41">
                  <c:v>1.26926755128368</c:v>
                </c:pt>
                <c:pt idx="42">
                  <c:v>1.26947479774112</c:v>
                </c:pt>
                <c:pt idx="43">
                  <c:v>1.2695346789214299</c:v>
                </c:pt>
                <c:pt idx="44">
                  <c:v>1.2690660571661401</c:v>
                </c:pt>
                <c:pt idx="45">
                  <c:v>1.26856910420834</c:v>
                </c:pt>
                <c:pt idx="46">
                  <c:v>1.26822773690382</c:v>
                </c:pt>
                <c:pt idx="47">
                  <c:v>1.2677029903325601</c:v>
                </c:pt>
                <c:pt idx="48">
                  <c:v>1.26730255549213</c:v>
                </c:pt>
                <c:pt idx="49">
                  <c:v>1.2672192280685399</c:v>
                </c:pt>
                <c:pt idx="50">
                  <c:v>1.2672191559661701</c:v>
                </c:pt>
                <c:pt idx="51">
                  <c:v>1.2671361354558599</c:v>
                </c:pt>
                <c:pt idx="52">
                  <c:v>1.26707683625276</c:v>
                </c:pt>
                <c:pt idx="53">
                  <c:v>1.26704093882436</c:v>
                </c:pt>
                <c:pt idx="54">
                  <c:v>1.2674354482221299</c:v>
                </c:pt>
                <c:pt idx="55">
                  <c:v>1.2679697242416399</c:v>
                </c:pt>
                <c:pt idx="56">
                  <c:v>1.26838516359906</c:v>
                </c:pt>
                <c:pt idx="57">
                  <c:v>1.2688631047755301</c:v>
                </c:pt>
                <c:pt idx="58">
                  <c:v>1.2693699580022599</c:v>
                </c:pt>
                <c:pt idx="59">
                  <c:v>1.2698423199152999</c:v>
                </c:pt>
                <c:pt idx="60">
                  <c:v>1.2703404386869801</c:v>
                </c:pt>
                <c:pt idx="61">
                  <c:v>1.2703446361905699</c:v>
                </c:pt>
                <c:pt idx="62">
                  <c:v>1.2702114348486599</c:v>
                </c:pt>
                <c:pt idx="63">
                  <c:v>1.27019117137918</c:v>
                </c:pt>
                <c:pt idx="64">
                  <c:v>1.26974058999456</c:v>
                </c:pt>
                <c:pt idx="65">
                  <c:v>1.2691421553811</c:v>
                </c:pt>
                <c:pt idx="66">
                  <c:v>1.26873097731747</c:v>
                </c:pt>
                <c:pt idx="67">
                  <c:v>1.2683861274900601</c:v>
                </c:pt>
                <c:pt idx="68">
                  <c:v>1.26791530850465</c:v>
                </c:pt>
                <c:pt idx="69">
                  <c:v>1.2674187116504401</c:v>
                </c:pt>
                <c:pt idx="70">
                  <c:v>1.2668724436466301</c:v>
                </c:pt>
                <c:pt idx="71">
                  <c:v>1.2668156867531299</c:v>
                </c:pt>
                <c:pt idx="72">
                  <c:v>1.2668322223009101</c:v>
                </c:pt>
                <c:pt idx="73">
                  <c:v>1.26733521250384</c:v>
                </c:pt>
                <c:pt idx="74">
                  <c:v>1.2678033417321399</c:v>
                </c:pt>
                <c:pt idx="75">
                  <c:v>1.2683800465424</c:v>
                </c:pt>
                <c:pt idx="76">
                  <c:v>1.26888540221392</c:v>
                </c:pt>
                <c:pt idx="77">
                  <c:v>1.26938588632894</c:v>
                </c:pt>
                <c:pt idx="78">
                  <c:v>1.2698464619680701</c:v>
                </c:pt>
                <c:pt idx="79">
                  <c:v>1.27040440506313</c:v>
                </c:pt>
                <c:pt idx="80">
                  <c:v>1.27106112360307</c:v>
                </c:pt>
                <c:pt idx="81">
                  <c:v>1.2715101966734801</c:v>
                </c:pt>
                <c:pt idx="82">
                  <c:v>1.27152595003419</c:v>
                </c:pt>
                <c:pt idx="83">
                  <c:v>1.27114871643109</c:v>
                </c:pt>
                <c:pt idx="84">
                  <c:v>1.27070078925272</c:v>
                </c:pt>
                <c:pt idx="85">
                  <c:v>1.2700514086416399</c:v>
                </c:pt>
                <c:pt idx="86">
                  <c:v>1.26941703088348</c:v>
                </c:pt>
                <c:pt idx="87">
                  <c:v>1.2686906386316601</c:v>
                </c:pt>
                <c:pt idx="88">
                  <c:v>1.2681940287512099</c:v>
                </c:pt>
                <c:pt idx="89">
                  <c:v>1.2675307548871599</c:v>
                </c:pt>
                <c:pt idx="90">
                  <c:v>1.2670112810948699</c:v>
                </c:pt>
                <c:pt idx="91">
                  <c:v>1.26652983045353</c:v>
                </c:pt>
                <c:pt idx="92">
                  <c:v>1.2665866550379199</c:v>
                </c:pt>
                <c:pt idx="93">
                  <c:v>1.2669229394794499</c:v>
                </c:pt>
                <c:pt idx="94">
                  <c:v>1.26731249319272</c:v>
                </c:pt>
                <c:pt idx="95">
                  <c:v>1.2678500264227199</c:v>
                </c:pt>
                <c:pt idx="96">
                  <c:v>1.2683842595274999</c:v>
                </c:pt>
                <c:pt idx="97">
                  <c:v>1.2689829922679099</c:v>
                </c:pt>
                <c:pt idx="98">
                  <c:v>1.2693736519763501</c:v>
                </c:pt>
                <c:pt idx="99">
                  <c:v>1.270081029705</c:v>
                </c:pt>
                <c:pt idx="100">
                  <c:v>1.27057279745726</c:v>
                </c:pt>
                <c:pt idx="101">
                  <c:v>1.2711976558478699</c:v>
                </c:pt>
                <c:pt idx="102">
                  <c:v>1.27110016890654</c:v>
                </c:pt>
                <c:pt idx="103">
                  <c:v>1.2706746465369001</c:v>
                </c:pt>
                <c:pt idx="104">
                  <c:v>1.2702607173976099</c:v>
                </c:pt>
                <c:pt idx="105">
                  <c:v>1.2698403763362001</c:v>
                </c:pt>
                <c:pt idx="106">
                  <c:v>1.2692895807425699</c:v>
                </c:pt>
                <c:pt idx="107">
                  <c:v>1.2687999846593401</c:v>
                </c:pt>
                <c:pt idx="108">
                  <c:v>1.26832812244251</c:v>
                </c:pt>
                <c:pt idx="109">
                  <c:v>1.2677057619179499</c:v>
                </c:pt>
                <c:pt idx="110">
                  <c:v>1.2670477823167601</c:v>
                </c:pt>
                <c:pt idx="111">
                  <c:v>1.26637827531737</c:v>
                </c:pt>
                <c:pt idx="112">
                  <c:v>1.26642292392616</c:v>
                </c:pt>
                <c:pt idx="113">
                  <c:v>1.26635802169625</c:v>
                </c:pt>
                <c:pt idx="114">
                  <c:v>1.2663457669768801</c:v>
                </c:pt>
                <c:pt idx="115">
                  <c:v>1.2663457669768801</c:v>
                </c:pt>
                <c:pt idx="116">
                  <c:v>1.2669298623041201</c:v>
                </c:pt>
                <c:pt idx="117">
                  <c:v>1.2674194583873499</c:v>
                </c:pt>
                <c:pt idx="118">
                  <c:v>1.2678303077914901</c:v>
                </c:pt>
                <c:pt idx="119">
                  <c:v>1.2682366138038299</c:v>
                </c:pt>
                <c:pt idx="120">
                  <c:v>1.2687397066270301</c:v>
                </c:pt>
                <c:pt idx="121">
                  <c:v>1.26928748508108</c:v>
                </c:pt>
                <c:pt idx="122">
                  <c:v>1.269795850962</c:v>
                </c:pt>
                <c:pt idx="123">
                  <c:v>1.2697875377622001</c:v>
                </c:pt>
                <c:pt idx="124">
                  <c:v>1.26972261616136</c:v>
                </c:pt>
                <c:pt idx="125">
                  <c:v>1.26972261616136</c:v>
                </c:pt>
                <c:pt idx="126">
                  <c:v>1.2691059758622101</c:v>
                </c:pt>
                <c:pt idx="127">
                  <c:v>1.2686327196360101</c:v>
                </c:pt>
                <c:pt idx="128">
                  <c:v>1.26825441036221</c:v>
                </c:pt>
                <c:pt idx="129">
                  <c:v>1.2677583251169999</c:v>
                </c:pt>
                <c:pt idx="130">
                  <c:v>1.2674100483016499</c:v>
                </c:pt>
                <c:pt idx="131">
                  <c:v>1.2669189944546699</c:v>
                </c:pt>
                <c:pt idx="132">
                  <c:v>1.2664023795513699</c:v>
                </c:pt>
                <c:pt idx="133">
                  <c:v>1.26649604437609</c:v>
                </c:pt>
                <c:pt idx="134">
                  <c:v>1.26657724598105</c:v>
                </c:pt>
                <c:pt idx="135">
                  <c:v>1.26699130534716</c:v>
                </c:pt>
                <c:pt idx="136">
                  <c:v>1.2676188120618399</c:v>
                </c:pt>
                <c:pt idx="137">
                  <c:v>1.26818660473101</c:v>
                </c:pt>
                <c:pt idx="138">
                  <c:v>1.2686685000347599</c:v>
                </c:pt>
                <c:pt idx="139">
                  <c:v>1.2692066779515601</c:v>
                </c:pt>
                <c:pt idx="140">
                  <c:v>1.26967578217558</c:v>
                </c:pt>
                <c:pt idx="141">
                  <c:v>1.2700982934878</c:v>
                </c:pt>
                <c:pt idx="142">
                  <c:v>1.27051288203642</c:v>
                </c:pt>
                <c:pt idx="143">
                  <c:v>1.2708949866529899</c:v>
                </c:pt>
                <c:pt idx="144">
                  <c:v>1.27145004865251</c:v>
                </c:pt>
                <c:pt idx="145">
                  <c:v>1.27092956262348</c:v>
                </c:pt>
                <c:pt idx="146">
                  <c:v>1.2702609438366199</c:v>
                </c:pt>
                <c:pt idx="147">
                  <c:v>1.2695256875194101</c:v>
                </c:pt>
                <c:pt idx="148">
                  <c:v>1.2690068243611601</c:v>
                </c:pt>
                <c:pt idx="149">
                  <c:v>1.2685951754934801</c:v>
                </c:pt>
                <c:pt idx="150">
                  <c:v>1.26809743905348</c:v>
                </c:pt>
                <c:pt idx="151">
                  <c:v>1.26763391487023</c:v>
                </c:pt>
                <c:pt idx="152">
                  <c:v>1.26722735130255</c:v>
                </c:pt>
                <c:pt idx="153">
                  <c:v>1.26678816700814</c:v>
                </c:pt>
                <c:pt idx="154">
                  <c:v>1.2662085051316201</c:v>
                </c:pt>
                <c:pt idx="155">
                  <c:v>1.2662046141177801</c:v>
                </c:pt>
                <c:pt idx="156">
                  <c:v>1.2663763858560799</c:v>
                </c:pt>
                <c:pt idx="157">
                  <c:v>1.2665929893686501</c:v>
                </c:pt>
                <c:pt idx="158">
                  <c:v>1.26665445218365</c:v>
                </c:pt>
                <c:pt idx="159">
                  <c:v>1.2665807345129001</c:v>
                </c:pt>
                <c:pt idx="160">
                  <c:v>1.2670167806382699</c:v>
                </c:pt>
                <c:pt idx="161">
                  <c:v>1.2676481541923299</c:v>
                </c:pt>
                <c:pt idx="162">
                  <c:v>1.26820604246734</c:v>
                </c:pt>
                <c:pt idx="163">
                  <c:v>1.26884676317337</c:v>
                </c:pt>
                <c:pt idx="164">
                  <c:v>1.2693532583541201</c:v>
                </c:pt>
                <c:pt idx="165">
                  <c:v>1.26996660073241</c:v>
                </c:pt>
                <c:pt idx="166">
                  <c:v>1.26976466679442</c:v>
                </c:pt>
                <c:pt idx="167">
                  <c:v>1.26972004192461</c:v>
                </c:pt>
                <c:pt idx="168">
                  <c:v>1.26977785348327</c:v>
                </c:pt>
                <c:pt idx="169">
                  <c:v>1.2699302538460999</c:v>
                </c:pt>
                <c:pt idx="170">
                  <c:v>1.26949035680089</c:v>
                </c:pt>
                <c:pt idx="171">
                  <c:v>1.2689205223184301</c:v>
                </c:pt>
                <c:pt idx="172">
                  <c:v>1.2685162749730201</c:v>
                </c:pt>
                <c:pt idx="173">
                  <c:v>1.2679711425022899</c:v>
                </c:pt>
                <c:pt idx="174">
                  <c:v>1.2674805314822699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7C-4854-8F0B-37AB11A27CC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IBDW/BSCV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1.26909119353332</c:v>
                </c:pt>
                <c:pt idx="20">
                  <c:v>1.2690851228911699</c:v>
                </c:pt>
                <c:pt idx="21">
                  <c:v>1.2690052166018999</c:v>
                </c:pt>
                <c:pt idx="22">
                  <c:v>1.2689412998217999</c:v>
                </c:pt>
                <c:pt idx="23">
                  <c:v>1.2689492540455101</c:v>
                </c:pt>
                <c:pt idx="24">
                  <c:v>1.2688953761253099</c:v>
                </c:pt>
                <c:pt idx="25">
                  <c:v>1.26883354398141</c:v>
                </c:pt>
                <c:pt idx="26">
                  <c:v>1.2688156406878099</c:v>
                </c:pt>
                <c:pt idx="27">
                  <c:v>1.2687398783155299</c:v>
                </c:pt>
                <c:pt idx="28">
                  <c:v>1.26871604757152</c:v>
                </c:pt>
                <c:pt idx="29">
                  <c:v>1.2686961469039699</c:v>
                </c:pt>
                <c:pt idx="30">
                  <c:v>1.26869794795393</c:v>
                </c:pt>
                <c:pt idx="31">
                  <c:v>1.26850718490172</c:v>
                </c:pt>
                <c:pt idx="32">
                  <c:v>1.2681828783279101</c:v>
                </c:pt>
                <c:pt idx="33">
                  <c:v>1.2679265491053799</c:v>
                </c:pt>
                <c:pt idx="34">
                  <c:v>1.2679023745500499</c:v>
                </c:pt>
                <c:pt idx="35">
                  <c:v>1.2679025895622</c:v>
                </c:pt>
                <c:pt idx="36">
                  <c:v>1.2678593901929001</c:v>
                </c:pt>
                <c:pt idx="37">
                  <c:v>1.2678132698887801</c:v>
                </c:pt>
                <c:pt idx="38">
                  <c:v>1.26780571332981</c:v>
                </c:pt>
                <c:pt idx="39">
                  <c:v>1.26762383406957</c:v>
                </c:pt>
                <c:pt idx="40">
                  <c:v>1.2676658400138601</c:v>
                </c:pt>
                <c:pt idx="41">
                  <c:v>1.2677756685054</c:v>
                </c:pt>
                <c:pt idx="42">
                  <c:v>1.2678796309536899</c:v>
                </c:pt>
                <c:pt idx="43">
                  <c:v>1.26792755682261</c:v>
                </c:pt>
                <c:pt idx="44">
                  <c:v>1.2679734339678399</c:v>
                </c:pt>
                <c:pt idx="45">
                  <c:v>1.2680293140604599</c:v>
                </c:pt>
                <c:pt idx="46">
                  <c:v>1.2680974363783499</c:v>
                </c:pt>
                <c:pt idx="47">
                  <c:v>1.2681313076674501</c:v>
                </c:pt>
                <c:pt idx="48">
                  <c:v>1.2681832670725299</c:v>
                </c:pt>
                <c:pt idx="49">
                  <c:v>1.26820532315295</c:v>
                </c:pt>
                <c:pt idx="50">
                  <c:v>1.26817154033947</c:v>
                </c:pt>
                <c:pt idx="51">
                  <c:v>1.2682018433697699</c:v>
                </c:pt>
                <c:pt idx="52">
                  <c:v>1.2682758169969399</c:v>
                </c:pt>
                <c:pt idx="53">
                  <c:v>1.2682878088728999</c:v>
                </c:pt>
                <c:pt idx="54">
                  <c:v>1.26825075269413</c:v>
                </c:pt>
                <c:pt idx="55">
                  <c:v>1.26826941422499</c:v>
                </c:pt>
                <c:pt idx="56">
                  <c:v>1.2683064502514401</c:v>
                </c:pt>
                <c:pt idx="57">
                  <c:v>1.2682830475540401</c:v>
                </c:pt>
                <c:pt idx="58">
                  <c:v>1.2683362567471901</c:v>
                </c:pt>
                <c:pt idx="59">
                  <c:v>1.26853077399192</c:v>
                </c:pt>
                <c:pt idx="60">
                  <c:v>1.26877979732658</c:v>
                </c:pt>
                <c:pt idx="61">
                  <c:v>1.26874038582322</c:v>
                </c:pt>
                <c:pt idx="62">
                  <c:v>1.2686441355507101</c:v>
                </c:pt>
                <c:pt idx="63">
                  <c:v>1.26861605510177</c:v>
                </c:pt>
                <c:pt idx="64">
                  <c:v>1.2685880191083401</c:v>
                </c:pt>
                <c:pt idx="65">
                  <c:v>1.2685559398113699</c:v>
                </c:pt>
                <c:pt idx="66">
                  <c:v>1.26855807045826</c:v>
                </c:pt>
                <c:pt idx="67">
                  <c:v>1.2686246161327901</c:v>
                </c:pt>
                <c:pt idx="68">
                  <c:v>1.2686426332534499</c:v>
                </c:pt>
                <c:pt idx="69">
                  <c:v>1.2686305157828699</c:v>
                </c:pt>
                <c:pt idx="70">
                  <c:v>1.2686064411668101</c:v>
                </c:pt>
                <c:pt idx="71">
                  <c:v>1.2685801614718499</c:v>
                </c:pt>
                <c:pt idx="72">
                  <c:v>1.2685218285747899</c:v>
                </c:pt>
                <c:pt idx="73">
                  <c:v>1.2687631919415101</c:v>
                </c:pt>
                <c:pt idx="74">
                  <c:v>1.2687719658633501</c:v>
                </c:pt>
                <c:pt idx="75">
                  <c:v>1.2687611009617501</c:v>
                </c:pt>
                <c:pt idx="76">
                  <c:v>1.26880818976569</c:v>
                </c:pt>
                <c:pt idx="77">
                  <c:v>1.2688860069095</c:v>
                </c:pt>
                <c:pt idx="78">
                  <c:v>1.26888088523636</c:v>
                </c:pt>
                <c:pt idx="79">
                  <c:v>1.26891155835678</c:v>
                </c:pt>
                <c:pt idx="80">
                  <c:v>1.2689667836248499</c:v>
                </c:pt>
                <c:pt idx="81">
                  <c:v>1.2691629417132999</c:v>
                </c:pt>
                <c:pt idx="82">
                  <c:v>1.26917908616755</c:v>
                </c:pt>
                <c:pt idx="83">
                  <c:v>1.26924196446746</c:v>
                </c:pt>
                <c:pt idx="84">
                  <c:v>1.26925206549243</c:v>
                </c:pt>
                <c:pt idx="85">
                  <c:v>1.2692157275920199</c:v>
                </c:pt>
                <c:pt idx="86">
                  <c:v>1.2691512165487</c:v>
                </c:pt>
                <c:pt idx="87">
                  <c:v>1.2690382624803</c:v>
                </c:pt>
                <c:pt idx="88">
                  <c:v>1.26902024535964</c:v>
                </c:pt>
                <c:pt idx="89">
                  <c:v>1.2689675799751501</c:v>
                </c:pt>
                <c:pt idx="90">
                  <c:v>1.2690362023489701</c:v>
                </c:pt>
                <c:pt idx="91">
                  <c:v>1.2690200135634999</c:v>
                </c:pt>
                <c:pt idx="92">
                  <c:v>1.2690563025360599</c:v>
                </c:pt>
                <c:pt idx="93">
                  <c:v>1.26903582795527</c:v>
                </c:pt>
                <c:pt idx="94">
                  <c:v>1.2690066412227201</c:v>
                </c:pt>
                <c:pt idx="95">
                  <c:v>1.2689507175321799</c:v>
                </c:pt>
                <c:pt idx="96">
                  <c:v>1.2689006452054901</c:v>
                </c:pt>
                <c:pt idx="97">
                  <c:v>1.26883681544978</c:v>
                </c:pt>
                <c:pt idx="98">
                  <c:v>1.2687838403637799</c:v>
                </c:pt>
                <c:pt idx="99">
                  <c:v>1.2688058922960801</c:v>
                </c:pt>
                <c:pt idx="100">
                  <c:v>1.2687920392760701</c:v>
                </c:pt>
                <c:pt idx="101">
                  <c:v>1.2688637431506999</c:v>
                </c:pt>
                <c:pt idx="102">
                  <c:v>1.2688434119722301</c:v>
                </c:pt>
                <c:pt idx="103">
                  <c:v>1.2687987930081699</c:v>
                </c:pt>
                <c:pt idx="104">
                  <c:v>1.26878660529517</c:v>
                </c:pt>
                <c:pt idx="105">
                  <c:v>1.26884520137946</c:v>
                </c:pt>
                <c:pt idx="106">
                  <c:v>1.26883692013504</c:v>
                </c:pt>
                <c:pt idx="107">
                  <c:v>1.26889148846362</c:v>
                </c:pt>
                <c:pt idx="108">
                  <c:v>1.26885088720943</c:v>
                </c:pt>
                <c:pt idx="109">
                  <c:v>1.2688933958114701</c:v>
                </c:pt>
                <c:pt idx="110">
                  <c:v>1.2688102898870099</c:v>
                </c:pt>
                <c:pt idx="111">
                  <c:v>1.26878796558262</c:v>
                </c:pt>
                <c:pt idx="112">
                  <c:v>1.26876154641635</c:v>
                </c:pt>
                <c:pt idx="113">
                  <c:v>1.2685163341165799</c:v>
                </c:pt>
                <c:pt idx="114">
                  <c:v>1.26830324218724</c:v>
                </c:pt>
                <c:pt idx="115">
                  <c:v>1.2680930716565399</c:v>
                </c:pt>
                <c:pt idx="116">
                  <c:v>1.2681097215233399</c:v>
                </c:pt>
                <c:pt idx="117">
                  <c:v>1.2681097215233399</c:v>
                </c:pt>
                <c:pt idx="118">
                  <c:v>1.2680792151169999</c:v>
                </c:pt>
                <c:pt idx="119">
                  <c:v>1.2679711878608899</c:v>
                </c:pt>
                <c:pt idx="120">
                  <c:v>1.2678937444719001</c:v>
                </c:pt>
                <c:pt idx="121">
                  <c:v>1.26783288019923</c:v>
                </c:pt>
                <c:pt idx="122">
                  <c:v>1.2681093874440801</c:v>
                </c:pt>
                <c:pt idx="123">
                  <c:v>1.2680727797292299</c:v>
                </c:pt>
                <c:pt idx="124">
                  <c:v>1.26803419156912</c:v>
                </c:pt>
                <c:pt idx="125">
                  <c:v>1.26803419156912</c:v>
                </c:pt>
                <c:pt idx="126">
                  <c:v>1.26801791908316</c:v>
                </c:pt>
                <c:pt idx="127">
                  <c:v>1.2680260890116799</c:v>
                </c:pt>
                <c:pt idx="128">
                  <c:v>1.2680423590768499</c:v>
                </c:pt>
                <c:pt idx="129">
                  <c:v>1.2679974694604199</c:v>
                </c:pt>
                <c:pt idx="130">
                  <c:v>1.26807487746434</c:v>
                </c:pt>
                <c:pt idx="131">
                  <c:v>1.26810323976788</c:v>
                </c:pt>
                <c:pt idx="132">
                  <c:v>1.2680991152566901</c:v>
                </c:pt>
                <c:pt idx="133">
                  <c:v>1.2681417910691399</c:v>
                </c:pt>
                <c:pt idx="134">
                  <c:v>1.2681499310712001</c:v>
                </c:pt>
                <c:pt idx="135">
                  <c:v>1.26835696075426</c:v>
                </c:pt>
                <c:pt idx="136">
                  <c:v>1.2683623939620301</c:v>
                </c:pt>
                <c:pt idx="137">
                  <c:v>1.2684096621835099</c:v>
                </c:pt>
                <c:pt idx="138">
                  <c:v>1.2684614551984901</c:v>
                </c:pt>
                <c:pt idx="139">
                  <c:v>1.26848250153428</c:v>
                </c:pt>
                <c:pt idx="140">
                  <c:v>1.2685429152386201</c:v>
                </c:pt>
                <c:pt idx="141">
                  <c:v>1.2685086439712301</c:v>
                </c:pt>
                <c:pt idx="142">
                  <c:v>1.2684576307938999</c:v>
                </c:pt>
                <c:pt idx="143">
                  <c:v>1.2686955155145401</c:v>
                </c:pt>
                <c:pt idx="144">
                  <c:v>1.2690136473167799</c:v>
                </c:pt>
                <c:pt idx="145">
                  <c:v>1.26896043398532</c:v>
                </c:pt>
                <c:pt idx="146">
                  <c:v>1.26893987794923</c:v>
                </c:pt>
                <c:pt idx="147">
                  <c:v>1.2688561461252099</c:v>
                </c:pt>
                <c:pt idx="148">
                  <c:v>1.26883766219796</c:v>
                </c:pt>
                <c:pt idx="149">
                  <c:v>1.26890092672252</c:v>
                </c:pt>
                <c:pt idx="150">
                  <c:v>1.26888661061453</c:v>
                </c:pt>
                <c:pt idx="151">
                  <c:v>1.2688661041790099</c:v>
                </c:pt>
                <c:pt idx="152">
                  <c:v>1.26887011666948</c:v>
                </c:pt>
                <c:pt idx="153">
                  <c:v>1.2688415768305701</c:v>
                </c:pt>
                <c:pt idx="154">
                  <c:v>1.2688292768920699</c:v>
                </c:pt>
                <c:pt idx="155">
                  <c:v>1.2685670883706299</c:v>
                </c:pt>
                <c:pt idx="156">
                  <c:v>1.26831866484635</c:v>
                </c:pt>
                <c:pt idx="157">
                  <c:v>1.26805933844403</c:v>
                </c:pt>
                <c:pt idx="158">
                  <c:v>1.2678306382724001</c:v>
                </c:pt>
                <c:pt idx="159">
                  <c:v>1.2675879550031901</c:v>
                </c:pt>
                <c:pt idx="160">
                  <c:v>1.26755710984588</c:v>
                </c:pt>
                <c:pt idx="161">
                  <c:v>1.2676410345312801</c:v>
                </c:pt>
                <c:pt idx="162">
                  <c:v>1.26771669688495</c:v>
                </c:pt>
                <c:pt idx="163">
                  <c:v>1.2678174650907601</c:v>
                </c:pt>
                <c:pt idx="164">
                  <c:v>1.26778088174287</c:v>
                </c:pt>
                <c:pt idx="165">
                  <c:v>1.2680856074250999</c:v>
                </c:pt>
                <c:pt idx="166">
                  <c:v>1.2680705263252501</c:v>
                </c:pt>
                <c:pt idx="167">
                  <c:v>1.2681565156466299</c:v>
                </c:pt>
                <c:pt idx="168">
                  <c:v>1.2682161528334599</c:v>
                </c:pt>
                <c:pt idx="169">
                  <c:v>1.2682554941794999</c:v>
                </c:pt>
                <c:pt idx="170">
                  <c:v>1.2682535687195799</c:v>
                </c:pt>
                <c:pt idx="171">
                  <c:v>1.2682843382553799</c:v>
                </c:pt>
                <c:pt idx="172">
                  <c:v>1.26836115872018</c:v>
                </c:pt>
                <c:pt idx="173">
                  <c:v>1.26840895283783</c:v>
                </c:pt>
                <c:pt idx="174">
                  <c:v>1.26841689491819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7C-4854-8F0B-37AB11A27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BSCV* x 10 dma / IBDW*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-2.9954995052137198E-4</c:v>
                </c:pt>
                <c:pt idx="11">
                  <c:v>9.9406712324002795E-4</c:v>
                </c:pt>
                <c:pt idx="12">
                  <c:v>-6.6130213392497496E-4</c:v>
                </c:pt>
                <c:pt idx="13">
                  <c:v>-2.6308612180776299E-5</c:v>
                </c:pt>
                <c:pt idx="14">
                  <c:v>-4.2823615783076601E-4</c:v>
                </c:pt>
                <c:pt idx="15">
                  <c:v>-2.8175825052382402E-4</c:v>
                </c:pt>
                <c:pt idx="16">
                  <c:v>-1.4804822531367401E-4</c:v>
                </c:pt>
                <c:pt idx="17">
                  <c:v>-8.3049596610648897E-4</c:v>
                </c:pt>
                <c:pt idx="18">
                  <c:v>5.3746737131909995E-4</c:v>
                </c:pt>
                <c:pt idx="19">
                  <c:v>3.15448568590095E-4</c:v>
                </c:pt>
                <c:pt idx="20">
                  <c:v>9.1040569215012604E-4</c:v>
                </c:pt>
                <c:pt idx="21">
                  <c:v>6.8076802388790803E-4</c:v>
                </c:pt>
                <c:pt idx="22">
                  <c:v>7.0788261586960603E-4</c:v>
                </c:pt>
                <c:pt idx="23">
                  <c:v>3.9361354062503802E-4</c:v>
                </c:pt>
                <c:pt idx="24">
                  <c:v>3.4816274954440501E-4</c:v>
                </c:pt>
                <c:pt idx="25">
                  <c:v>3.8068695790659203E-4</c:v>
                </c:pt>
                <c:pt idx="26">
                  <c:v>6.8385115150423705E-5</c:v>
                </c:pt>
                <c:pt idx="27">
                  <c:v>2.3004124422512401E-4</c:v>
                </c:pt>
                <c:pt idx="28">
                  <c:v>1.07802456849821E-4</c:v>
                </c:pt>
                <c:pt idx="29">
                  <c:v>-3.5328547827187301E-4</c:v>
                </c:pt>
                <c:pt idx="30">
                  <c:v>-9.4761454582299297E-4</c:v>
                </c:pt>
                <c:pt idx="31">
                  <c:v>-3.6049205682578699E-4</c:v>
                </c:pt>
                <c:pt idx="32">
                  <c:v>2.9207627934048802E-4</c:v>
                </c:pt>
                <c:pt idx="33">
                  <c:v>-1.75520879457233E-4</c:v>
                </c:pt>
                <c:pt idx="34">
                  <c:v>-5.8162036811180799E-4</c:v>
                </c:pt>
                <c:pt idx="35">
                  <c:v>-7.5968929244152295E-4</c:v>
                </c:pt>
                <c:pt idx="36">
                  <c:v>1.5979865095467201E-4</c:v>
                </c:pt>
                <c:pt idx="37">
                  <c:v>-5.1941050292845104E-4</c:v>
                </c:pt>
                <c:pt idx="38">
                  <c:v>2.9344488879614E-4</c:v>
                </c:pt>
                <c:pt idx="39">
                  <c:v>-9.1356860364132499E-4</c:v>
                </c:pt>
                <c:pt idx="40">
                  <c:v>1.3050732402145E-4</c:v>
                </c:pt>
                <c:pt idx="41">
                  <c:v>-1.10193338761896E-3</c:v>
                </c:pt>
                <c:pt idx="42">
                  <c:v>-8.8998217276576002E-4</c:v>
                </c:pt>
                <c:pt idx="43">
                  <c:v>-3.1653722693179697E-5</c:v>
                </c:pt>
                <c:pt idx="44">
                  <c:v>5.5888692956399203E-5</c:v>
                </c:pt>
                <c:pt idx="45">
                  <c:v>3.16162404548287E-5</c:v>
                </c:pt>
                <c:pt idx="46">
                  <c:v>-3.9314158084692103E-4</c:v>
                </c:pt>
                <c:pt idx="47">
                  <c:v>4.6975847037877198E-4</c:v>
                </c:pt>
                <c:pt idx="48">
                  <c:v>1.8081830463468799E-4</c:v>
                </c:pt>
                <c:pt idx="49">
                  <c:v>2.7527971721365399E-4</c:v>
                </c:pt>
                <c:pt idx="50">
                  <c:v>4.9529607651415503E-4</c:v>
                </c:pt>
                <c:pt idx="51">
                  <c:v>-4.3240432383845097E-5</c:v>
                </c:pt>
                <c:pt idx="52">
                  <c:v>-2.0151896283176999E-4</c:v>
                </c:pt>
                <c:pt idx="53">
                  <c:v>2.5580103103615601E-4</c:v>
                </c:pt>
                <c:pt idx="54">
                  <c:v>6.5149655364616602E-4</c:v>
                </c:pt>
                <c:pt idx="55">
                  <c:v>-5.2708827922825499E-4</c:v>
                </c:pt>
                <c:pt idx="56">
                  <c:v>2.3259092625628202E-5</c:v>
                </c:pt>
                <c:pt idx="57">
                  <c:v>2.56598017346521E-4</c:v>
                </c:pt>
                <c:pt idx="58">
                  <c:v>-2.25578903131354E-4</c:v>
                </c:pt>
                <c:pt idx="59">
                  <c:v>8.0865522774405802E-5</c:v>
                </c:pt>
                <c:pt idx="60">
                  <c:v>1.3857664667083199E-4</c:v>
                </c:pt>
                <c:pt idx="61">
                  <c:v>-4.8874228521653899E-4</c:v>
                </c:pt>
                <c:pt idx="62">
                  <c:v>5.1598335945448898E-4</c:v>
                </c:pt>
                <c:pt idx="63">
                  <c:v>5.4799523681951802E-5</c:v>
                </c:pt>
                <c:pt idx="64">
                  <c:v>9.3208279158561995E-5</c:v>
                </c:pt>
                <c:pt idx="65">
                  <c:v>1.7056983446785099E-4</c:v>
                </c:pt>
                <c:pt idx="66">
                  <c:v>-8.41304735091527E-4</c:v>
                </c:pt>
                <c:pt idx="67">
                  <c:v>-1.01821024382568E-3</c:v>
                </c:pt>
                <c:pt idx="68">
                  <c:v>-3.8295756939803698E-4</c:v>
                </c:pt>
                <c:pt idx="69">
                  <c:v>1.5175823179640799E-4</c:v>
                </c:pt>
                <c:pt idx="70">
                  <c:v>6.3158679917197703E-4</c:v>
                </c:pt>
                <c:pt idx="71">
                  <c:v>9.8633071272913897E-5</c:v>
                </c:pt>
                <c:pt idx="72">
                  <c:v>4.6260054953697199E-4</c:v>
                </c:pt>
                <c:pt idx="73">
                  <c:v>6.7973738385706495E-5</c:v>
                </c:pt>
                <c:pt idx="74">
                  <c:v>3.9563184924758298E-4</c:v>
                </c:pt>
                <c:pt idx="75">
                  <c:v>-4.3193108757081099E-4</c:v>
                </c:pt>
                <c:pt idx="76">
                  <c:v>-7.3824090899804505E-4</c:v>
                </c:pt>
                <c:pt idx="77">
                  <c:v>-9.4032729962765702E-4</c:v>
                </c:pt>
                <c:pt idx="78">
                  <c:v>-1.1362080977783899E-4</c:v>
                </c:pt>
                <c:pt idx="79">
                  <c:v>-3.8464005349212398E-4</c:v>
                </c:pt>
                <c:pt idx="80">
                  <c:v>-6.1520777498858296E-4</c:v>
                </c:pt>
                <c:pt idx="81">
                  <c:v>6.2141220098848498E-4</c:v>
                </c:pt>
                <c:pt idx="82">
                  <c:v>4.6577580842461499E-4</c:v>
                </c:pt>
                <c:pt idx="83">
                  <c:v>-6.1321815306332797E-4</c:v>
                </c:pt>
                <c:pt idx="84">
                  <c:v>3.3407573372484301E-4</c:v>
                </c:pt>
                <c:pt idx="85">
                  <c:v>1.13037294369922E-3</c:v>
                </c:pt>
                <c:pt idx="86">
                  <c:v>5.1167821490716899E-4</c:v>
                </c:pt>
                <c:pt idx="87">
                  <c:v>9.11176109219552E-4</c:v>
                </c:pt>
                <c:pt idx="88">
                  <c:v>-2.38821882817698E-4</c:v>
                </c:pt>
                <c:pt idx="89">
                  <c:v>8.0291447274543704E-4</c:v>
                </c:pt>
                <c:pt idx="90">
                  <c:v>-7.4022068770486504E-4</c:v>
                </c:pt>
                <c:pt idx="91">
                  <c:v>6.5752337246747594E-5</c:v>
                </c:pt>
                <c:pt idx="92">
                  <c:v>-3.31249415598495E-4</c:v>
                </c:pt>
                <c:pt idx="93">
                  <c:v>4.2292572287330299E-4</c:v>
                </c:pt>
                <c:pt idx="94">
                  <c:v>7.3043585468017601E-4</c:v>
                </c:pt>
                <c:pt idx="95">
                  <c:v>2.21682145658517E-4</c:v>
                </c:pt>
                <c:pt idx="96">
                  <c:v>-2.3150384286935901E-4</c:v>
                </c:pt>
                <c:pt idx="97">
                  <c:v>-2.1372596327071201E-4</c:v>
                </c:pt>
                <c:pt idx="98">
                  <c:v>4.8582479209128898E-4</c:v>
                </c:pt>
                <c:pt idx="99">
                  <c:v>-1.02359088554602E-3</c:v>
                </c:pt>
                <c:pt idx="100">
                  <c:v>-6.1759358644697404E-4</c:v>
                </c:pt>
                <c:pt idx="101">
                  <c:v>-8.50185762113619E-4</c:v>
                </c:pt>
                <c:pt idx="102">
                  <c:v>5.0921782083055095E-4</c:v>
                </c:pt>
                <c:pt idx="103">
                  <c:v>-2.9288819469835303E-4</c:v>
                </c:pt>
                <c:pt idx="104">
                  <c:v>1.17510249411283E-4</c:v>
                </c:pt>
                <c:pt idx="105">
                  <c:v>-1.5371438350241301E-4</c:v>
                </c:pt>
                <c:pt idx="106">
                  <c:v>4.4806486549451397E-4</c:v>
                </c:pt>
                <c:pt idx="107">
                  <c:v>-5.8647554976964899E-5</c:v>
                </c:pt>
                <c:pt idx="108">
                  <c:v>4.6154114604384601E-4</c:v>
                </c:pt>
                <c:pt idx="109">
                  <c:v>2.3594932735801599E-4</c:v>
                </c:pt>
                <c:pt idx="110">
                  <c:v>6.8234662132393503E-4</c:v>
                </c:pt>
                <c:pt idx="111">
                  <c:v>4.3901715206648298E-4</c:v>
                </c:pt>
                <c:pt idx="112">
                  <c:v>-3.3455418934455598E-5</c:v>
                </c:pt>
                <c:pt idx="113">
                  <c:v>1.2681954275489999E-4</c:v>
                </c:pt>
                <c:pt idx="114">
                  <c:v>1.23589302380037E-5</c:v>
                </c:pt>
                <c:pt idx="115">
                  <c:v>-4.3669800862829899E-4</c:v>
                </c:pt>
                <c:pt idx="116">
                  <c:v>-5.7038310166175198E-4</c:v>
                </c:pt>
                <c:pt idx="117">
                  <c:v>-2.5094967278564099E-4</c:v>
                </c:pt>
                <c:pt idx="118">
                  <c:v>8.4334007484494604E-4</c:v>
                </c:pt>
                <c:pt idx="119">
                  <c:v>5.5793078022818305E-4</c:v>
                </c:pt>
                <c:pt idx="120">
                  <c:v>2.6982598840621301E-4</c:v>
                </c:pt>
                <c:pt idx="121">
                  <c:v>-1.9277604629069499E-4</c:v>
                </c:pt>
                <c:pt idx="122">
                  <c:v>-1.8375758083966101E-4</c:v>
                </c:pt>
                <c:pt idx="123">
                  <c:v>1.4305967107759401E-4</c:v>
                </c:pt>
                <c:pt idx="124">
                  <c:v>5.1040065451200996E-4</c:v>
                </c:pt>
                <c:pt idx="125">
                  <c:v>-4.8290165625857698E-4</c:v>
                </c:pt>
                <c:pt idx="126">
                  <c:v>2.9778073135584702E-4</c:v>
                </c:pt>
                <c:pt idx="127">
                  <c:v>-6.4699938108342295E-4</c:v>
                </c:pt>
                <c:pt idx="128">
                  <c:v>-2.5310949676162999E-4</c:v>
                </c:pt>
                <c:pt idx="129">
                  <c:v>5.2656471348488303E-4</c:v>
                </c:pt>
                <c:pt idx="130">
                  <c:v>-8.34425379397515E-4</c:v>
                </c:pt>
                <c:pt idx="131">
                  <c:v>-9.12261577747433E-5</c:v>
                </c:pt>
                <c:pt idx="132">
                  <c:v>6.6992873787998498E-5</c:v>
                </c:pt>
                <c:pt idx="133">
                  <c:v>-5.4930205200494396E-4</c:v>
                </c:pt>
                <c:pt idx="134">
                  <c:v>-5.6779121867370799E-6</c:v>
                </c:pt>
                <c:pt idx="135">
                  <c:v>4.5186518269888502E-4</c:v>
                </c:pt>
                <c:pt idx="136">
                  <c:v>-4.7013108435137001E-4</c:v>
                </c:pt>
                <c:pt idx="137">
                  <c:v>-7.5764150478968095E-4</c:v>
                </c:pt>
                <c:pt idx="138">
                  <c:v>3.3003724333189401E-4</c:v>
                </c:pt>
                <c:pt idx="139">
                  <c:v>5.6269492786950495E-4</c:v>
                </c:pt>
                <c:pt idx="140">
                  <c:v>-2.3533416444354601E-4</c:v>
                </c:pt>
                <c:pt idx="141">
                  <c:v>7.1324870706493697E-4</c:v>
                </c:pt>
                <c:pt idx="142">
                  <c:v>8.6979452471681797E-4</c:v>
                </c:pt>
                <c:pt idx="143">
                  <c:v>4.5137014793573602E-4</c:v>
                </c:pt>
                <c:pt idx="144">
                  <c:v>-4.9746147577205103E-4</c:v>
                </c:pt>
                <c:pt idx="145">
                  <c:v>4.2086329579015799E-4</c:v>
                </c:pt>
                <c:pt idx="146">
                  <c:v>6.9074080952175097E-4</c:v>
                </c:pt>
                <c:pt idx="147">
                  <c:v>6.9037178517867496E-4</c:v>
                </c:pt>
                <c:pt idx="148">
                  <c:v>-1.1423619132691701E-4</c:v>
                </c:pt>
                <c:pt idx="149">
                  <c:v>-6.8897577405233697E-4</c:v>
                </c:pt>
                <c:pt idx="150">
                  <c:v>-7.7583528171361999E-4</c:v>
                </c:pt>
                <c:pt idx="151">
                  <c:v>-4.4633951712176397E-5</c:v>
                </c:pt>
                <c:pt idx="152">
                  <c:v>-2.32917178523768E-4</c:v>
                </c:pt>
                <c:pt idx="153">
                  <c:v>-2.5068010284529601E-4</c:v>
                </c:pt>
                <c:pt idx="154">
                  <c:v>1.93127213771361E-5</c:v>
                </c:pt>
                <c:pt idx="155">
                  <c:v>3.0842180653329601E-4</c:v>
                </c:pt>
                <c:pt idx="156">
                  <c:v>-7.6413207559165701E-4</c:v>
                </c:pt>
                <c:pt idx="157">
                  <c:v>-8.5079969194152096E-4</c:v>
                </c:pt>
                <c:pt idx="158">
                  <c:v>-1.20025420846922E-4</c:v>
                </c:pt>
                <c:pt idx="159">
                  <c:v>3.9934971578131298E-4</c:v>
                </c:pt>
                <c:pt idx="160">
                  <c:v>3.0130222332150998E-4</c:v>
                </c:pt>
                <c:pt idx="161">
                  <c:v>-5.5079783677903604E-4</c:v>
                </c:pt>
                <c:pt idx="162">
                  <c:v>-1.2366318227126499E-4</c:v>
                </c:pt>
                <c:pt idx="163">
                  <c:v>-8.2063260137586204E-4</c:v>
                </c:pt>
                <c:pt idx="164">
                  <c:v>5.2497665295574798E-4</c:v>
                </c:pt>
                <c:pt idx="165">
                  <c:v>3.7446364032229803E-5</c:v>
                </c:pt>
                <c:pt idx="166">
                  <c:v>1.3460283206786199E-3</c:v>
                </c:pt>
                <c:pt idx="167">
                  <c:v>-2.4015104286426701E-4</c:v>
                </c:pt>
                <c:pt idx="168">
                  <c:v>-5.0373039744961996E-4</c:v>
                </c:pt>
                <c:pt idx="169">
                  <c:v>-7.22515827303951E-4</c:v>
                </c:pt>
                <c:pt idx="170">
                  <c:v>-1.41389378385529E-4</c:v>
                </c:pt>
                <c:pt idx="171">
                  <c:v>1.3510942271547201E-4</c:v>
                </c:pt>
                <c:pt idx="172">
                  <c:v>-8.3535755187484097E-4</c:v>
                </c:pt>
                <c:pt idx="173">
                  <c:v>-4.0341061884325999E-4</c:v>
                </c:pt>
                <c:pt idx="174">
                  <c:v>3.9998884074556301E-4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4-4297-873A-CE85C6D860B1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BSCV* x 20 dma / IBDW*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8.2577656072155303E-4</c:v>
                </c:pt>
                <c:pt idx="21">
                  <c:v>7.0173226007260098E-4</c:v>
                </c:pt>
                <c:pt idx="22">
                  <c:v>6.4499245890568498E-4</c:v>
                </c:pt>
                <c:pt idx="23">
                  <c:v>4.1093920413769701E-4</c:v>
                </c:pt>
                <c:pt idx="24">
                  <c:v>4.2349180104269102E-4</c:v>
                </c:pt>
                <c:pt idx="25">
                  <c:v>5.1247997079567197E-4</c:v>
                </c:pt>
                <c:pt idx="26">
                  <c:v>2.50274298916683E-4</c:v>
                </c:pt>
                <c:pt idx="27">
                  <c:v>4.6207490355660902E-4</c:v>
                </c:pt>
                <c:pt idx="28">
                  <c:v>4.38867232098005E-4</c:v>
                </c:pt>
                <c:pt idx="29">
                  <c:v>-1.15137126385222E-5</c:v>
                </c:pt>
                <c:pt idx="30">
                  <c:v>-6.1389556855617397E-4</c:v>
                </c:pt>
                <c:pt idx="31">
                  <c:v>-1.3837312194111799E-4</c:v>
                </c:pt>
                <c:pt idx="32">
                  <c:v>4.9789448784545297E-4</c:v>
                </c:pt>
                <c:pt idx="33">
                  <c:v>-3.2092649474729799E-5</c:v>
                </c:pt>
                <c:pt idx="34">
                  <c:v>-4.7503735106663099E-4</c:v>
                </c:pt>
                <c:pt idx="35">
                  <c:v>-7.35309863680532E-4</c:v>
                </c:pt>
                <c:pt idx="36">
                  <c:v>8.3284462137157302E-5</c:v>
                </c:pt>
                <c:pt idx="37">
                  <c:v>-6.2801836479805205E-4</c:v>
                </c:pt>
                <c:pt idx="38">
                  <c:v>6.0251010333049001E-5</c:v>
                </c:pt>
                <c:pt idx="39">
                  <c:v>-1.1724078554091199E-3</c:v>
                </c:pt>
                <c:pt idx="40">
                  <c:v>-1.82969907515196E-4</c:v>
                </c:pt>
                <c:pt idx="41">
                  <c:v>-1.3333247702167299E-3</c:v>
                </c:pt>
                <c:pt idx="42">
                  <c:v>-1.15175188544062E-3</c:v>
                </c:pt>
                <c:pt idx="43">
                  <c:v>-3.7846622067170399E-4</c:v>
                </c:pt>
                <c:pt idx="44">
                  <c:v>-3.0429032986407098E-4</c:v>
                </c:pt>
                <c:pt idx="45">
                  <c:v>-2.9688407230142301E-4</c:v>
                </c:pt>
                <c:pt idx="46">
                  <c:v>-6.60360427010196E-4</c:v>
                </c:pt>
                <c:pt idx="47">
                  <c:v>1.5127375434550701E-4</c:v>
                </c:pt>
                <c:pt idx="48">
                  <c:v>-7.1751823655641695E-5</c:v>
                </c:pt>
                <c:pt idx="49">
                  <c:v>5.8722294209131497E-6</c:v>
                </c:pt>
                <c:pt idx="50">
                  <c:v>3.1228846729918202E-4</c:v>
                </c:pt>
                <c:pt idx="51">
                  <c:v>-2.4886272055478698E-4</c:v>
                </c:pt>
                <c:pt idx="52">
                  <c:v>-3.1453241571486798E-4</c:v>
                </c:pt>
                <c:pt idx="53">
                  <c:v>2.5119214781228099E-4</c:v>
                </c:pt>
                <c:pt idx="54">
                  <c:v>6.8828521991580796E-4</c:v>
                </c:pt>
                <c:pt idx="55">
                  <c:v>-4.5269929639205601E-4</c:v>
                </c:pt>
                <c:pt idx="56">
                  <c:v>7.0433502763893297E-5</c:v>
                </c:pt>
                <c:pt idx="57">
                  <c:v>3.83684661684147E-4</c:v>
                </c:pt>
                <c:pt idx="58">
                  <c:v>-1.14044803117265E-4</c:v>
                </c:pt>
                <c:pt idx="59">
                  <c:v>2.1410951814416801E-4</c:v>
                </c:pt>
                <c:pt idx="60">
                  <c:v>2.4291915370656101E-4</c:v>
                </c:pt>
                <c:pt idx="61">
                  <c:v>-3.9173818668467502E-4</c:v>
                </c:pt>
                <c:pt idx="62">
                  <c:v>5.6802131298495299E-4</c:v>
                </c:pt>
                <c:pt idx="63">
                  <c:v>1.2478299611967799E-4</c:v>
                </c:pt>
                <c:pt idx="64">
                  <c:v>1.46228586459302E-4</c:v>
                </c:pt>
                <c:pt idx="65">
                  <c:v>1.67534238121883E-4</c:v>
                </c:pt>
                <c:pt idx="66">
                  <c:v>-7.8924959149793397E-4</c:v>
                </c:pt>
                <c:pt idx="67">
                  <c:v>-1.0297392349334299E-3</c:v>
                </c:pt>
                <c:pt idx="68">
                  <c:v>-4.6144597865490202E-4</c:v>
                </c:pt>
                <c:pt idx="69">
                  <c:v>6.6717189910930398E-5</c:v>
                </c:pt>
                <c:pt idx="70">
                  <c:v>5.3798506117885402E-4</c:v>
                </c:pt>
                <c:pt idx="71">
                  <c:v>2.7712916033739302E-5</c:v>
                </c:pt>
                <c:pt idx="72">
                  <c:v>4.2653785284067801E-4</c:v>
                </c:pt>
                <c:pt idx="73">
                  <c:v>-1.54344130693893E-5</c:v>
                </c:pt>
                <c:pt idx="74">
                  <c:v>3.0759451700211599E-4</c:v>
                </c:pt>
                <c:pt idx="75">
                  <c:v>-4.9105075703099999E-4</c:v>
                </c:pt>
                <c:pt idx="76">
                  <c:v>-8.6797897986485401E-4</c:v>
                </c:pt>
                <c:pt idx="77">
                  <c:v>-1.03985649246081E-3</c:v>
                </c:pt>
                <c:pt idx="78">
                  <c:v>-1.5430561449621401E-4</c:v>
                </c:pt>
                <c:pt idx="79">
                  <c:v>-4.0020386594984402E-4</c:v>
                </c:pt>
                <c:pt idx="80">
                  <c:v>-6.5419050683873702E-4</c:v>
                </c:pt>
                <c:pt idx="81">
                  <c:v>5.0092258555962596E-4</c:v>
                </c:pt>
                <c:pt idx="82">
                  <c:v>3.3709015034439699E-4</c:v>
                </c:pt>
                <c:pt idx="83">
                  <c:v>-7.4833375895809202E-4</c:v>
                </c:pt>
                <c:pt idx="84">
                  <c:v>1.5907124761464699E-4</c:v>
                </c:pt>
                <c:pt idx="85">
                  <c:v>9.2849027068711597E-4</c:v>
                </c:pt>
                <c:pt idx="86">
                  <c:v>4.03715792832282E-4</c:v>
                </c:pt>
                <c:pt idx="87">
                  <c:v>8.62737673215114E-4</c:v>
                </c:pt>
                <c:pt idx="88">
                  <c:v>-1.93459952629766E-4</c:v>
                </c:pt>
                <c:pt idx="89">
                  <c:v>8.3715130316522996E-4</c:v>
                </c:pt>
                <c:pt idx="90">
                  <c:v>-6.14803899550141E-4</c:v>
                </c:pt>
                <c:pt idx="91">
                  <c:v>2.6370676258357902E-4</c:v>
                </c:pt>
                <c:pt idx="92">
                  <c:v>-1.55370096298071E-4</c:v>
                </c:pt>
                <c:pt idx="93">
                  <c:v>5.8923954378191205E-4</c:v>
                </c:pt>
                <c:pt idx="94">
                  <c:v>1.0128118323447699E-3</c:v>
                </c:pt>
                <c:pt idx="95">
                  <c:v>5.7269002410352098E-4</c:v>
                </c:pt>
                <c:pt idx="96">
                  <c:v>5.1249638648313301E-5</c:v>
                </c:pt>
                <c:pt idx="97">
                  <c:v>8.42120305320559E-6</c:v>
                </c:pt>
                <c:pt idx="98">
                  <c:v>5.8618898984735997E-4</c:v>
                </c:pt>
                <c:pt idx="99">
                  <c:v>-8.7522705529086598E-4</c:v>
                </c:pt>
                <c:pt idx="100">
                  <c:v>-6.0853896372010702E-4</c:v>
                </c:pt>
                <c:pt idx="101">
                  <c:v>-8.4038476711598403E-4</c:v>
                </c:pt>
                <c:pt idx="102">
                  <c:v>4.8217459316737598E-4</c:v>
                </c:pt>
                <c:pt idx="103">
                  <c:v>-2.58348406033829E-4</c:v>
                </c:pt>
                <c:pt idx="104">
                  <c:v>5.1257110455325998E-5</c:v>
                </c:pt>
                <c:pt idx="105">
                  <c:v>-3.0525231364625399E-4</c:v>
                </c:pt>
                <c:pt idx="106">
                  <c:v>2.7294990519834302E-4</c:v>
                </c:pt>
                <c:pt idx="107">
                  <c:v>-2.0841668262641501E-4</c:v>
                </c:pt>
                <c:pt idx="108">
                  <c:v>3.3857178760797002E-4</c:v>
                </c:pt>
                <c:pt idx="109">
                  <c:v>5.3216151987169303E-5</c:v>
                </c:pt>
                <c:pt idx="110">
                  <c:v>6.2081603002673397E-4</c:v>
                </c:pt>
                <c:pt idx="111">
                  <c:v>4.292847113079E-4</c:v>
                </c:pt>
                <c:pt idx="112">
                  <c:v>6.5153145704638599E-5</c:v>
                </c:pt>
                <c:pt idx="113">
                  <c:v>1.6883755353952099E-4</c:v>
                </c:pt>
                <c:pt idx="114">
                  <c:v>1.1190664314854401E-4</c:v>
                </c:pt>
                <c:pt idx="115">
                  <c:v>-2.9519618609887802E-4</c:v>
                </c:pt>
                <c:pt idx="116">
                  <c:v>-3.9495858043289201E-4</c:v>
                </c:pt>
                <c:pt idx="117">
                  <c:v>-1.2538193258749799E-4</c:v>
                </c:pt>
                <c:pt idx="118">
                  <c:v>9.7907481992789806E-4</c:v>
                </c:pt>
                <c:pt idx="119">
                  <c:v>7.3982317982400705E-4</c:v>
                </c:pt>
                <c:pt idx="120">
                  <c:v>4.4128354608422802E-4</c:v>
                </c:pt>
                <c:pt idx="121">
                  <c:v>-8.3649606019197998E-5</c:v>
                </c:pt>
                <c:pt idx="122">
                  <c:v>-1.58817046488982E-4</c:v>
                </c:pt>
                <c:pt idx="123">
                  <c:v>1.8024944265012299E-4</c:v>
                </c:pt>
                <c:pt idx="124">
                  <c:v>5.2692947884469001E-4</c:v>
                </c:pt>
                <c:pt idx="125">
                  <c:v>-4.44519967549797E-4</c:v>
                </c:pt>
                <c:pt idx="126">
                  <c:v>3.3769115644300502E-4</c:v>
                </c:pt>
                <c:pt idx="127">
                  <c:v>-5.2628444192151405E-4</c:v>
                </c:pt>
                <c:pt idx="128">
                  <c:v>-1.4307356867175101E-4</c:v>
                </c:pt>
                <c:pt idx="129">
                  <c:v>5.6013899491181803E-4</c:v>
                </c:pt>
                <c:pt idx="130">
                  <c:v>-8.3334396057772897E-4</c:v>
                </c:pt>
                <c:pt idx="131">
                  <c:v>-1.4177979789915601E-4</c:v>
                </c:pt>
                <c:pt idx="132">
                  <c:v>3.7137300466471203E-5</c:v>
                </c:pt>
                <c:pt idx="133">
                  <c:v>-5.6458393853231102E-4</c:v>
                </c:pt>
                <c:pt idx="134">
                  <c:v>-6.1640612171203296E-5</c:v>
                </c:pt>
                <c:pt idx="135">
                  <c:v>3.3796855467073801E-4</c:v>
                </c:pt>
                <c:pt idx="136">
                  <c:v>-5.5021386605401098E-4</c:v>
                </c:pt>
                <c:pt idx="137">
                  <c:v>-9.31524450627658E-4</c:v>
                </c:pt>
                <c:pt idx="138">
                  <c:v>1.4095961913818499E-4</c:v>
                </c:pt>
                <c:pt idx="139">
                  <c:v>4.2766356666940303E-4</c:v>
                </c:pt>
                <c:pt idx="140">
                  <c:v>-3.8384122943137098E-4</c:v>
                </c:pt>
                <c:pt idx="141">
                  <c:v>6.3495950318190797E-4</c:v>
                </c:pt>
                <c:pt idx="142">
                  <c:v>8.2386426292482503E-4</c:v>
                </c:pt>
                <c:pt idx="143">
                  <c:v>4.31416681792431E-4</c:v>
                </c:pt>
                <c:pt idx="144">
                  <c:v>-4.3321935998466999E-4</c:v>
                </c:pt>
                <c:pt idx="145">
                  <c:v>4.9832545770962604E-4</c:v>
                </c:pt>
                <c:pt idx="146">
                  <c:v>7.3904897222526098E-4</c:v>
                </c:pt>
                <c:pt idx="147">
                  <c:v>8.4796787153268601E-4</c:v>
                </c:pt>
                <c:pt idx="148">
                  <c:v>1.54500759570831E-4</c:v>
                </c:pt>
                <c:pt idx="149">
                  <c:v>-4.2582868529167698E-4</c:v>
                </c:pt>
                <c:pt idx="150">
                  <c:v>-5.3728771636236895E-4</c:v>
                </c:pt>
                <c:pt idx="151">
                  <c:v>1.7562510784760899E-4</c:v>
                </c:pt>
                <c:pt idx="152">
                  <c:v>-6.0919128352291703E-5</c:v>
                </c:pt>
                <c:pt idx="153">
                  <c:v>-1.5215218990581299E-4</c:v>
                </c:pt>
                <c:pt idx="154">
                  <c:v>4.4544628939989999E-5</c:v>
                </c:pt>
                <c:pt idx="155">
                  <c:v>3.8019672314032601E-4</c:v>
                </c:pt>
                <c:pt idx="156">
                  <c:v>-6.9699641141574497E-4</c:v>
                </c:pt>
                <c:pt idx="157">
                  <c:v>-9.1257153038821299E-4</c:v>
                </c:pt>
                <c:pt idx="158">
                  <c:v>-3.5318622235623397E-4</c:v>
                </c:pt>
                <c:pt idx="159">
                  <c:v>1.3793375646059501E-4</c:v>
                </c:pt>
                <c:pt idx="160">
                  <c:v>1.04423041206142E-4</c:v>
                </c:pt>
                <c:pt idx="161">
                  <c:v>-7.1033861284973995E-4</c:v>
                </c:pt>
                <c:pt idx="162">
                  <c:v>-3.0859853750037601E-4</c:v>
                </c:pt>
                <c:pt idx="163">
                  <c:v>-9.8067427552654208E-4</c:v>
                </c:pt>
                <c:pt idx="164">
                  <c:v>3.4566996034792098E-4</c:v>
                </c:pt>
                <c:pt idx="165">
                  <c:v>-1.62878853474758E-4</c:v>
                </c:pt>
                <c:pt idx="166">
                  <c:v>1.11058640951235E-3</c:v>
                </c:pt>
                <c:pt idx="167">
                  <c:v>-3.2765940168541703E-4</c:v>
                </c:pt>
                <c:pt idx="168">
                  <c:v>-4.8622020088563299E-4</c:v>
                </c:pt>
                <c:pt idx="169">
                  <c:v>-6.9884022407697805E-4</c:v>
                </c:pt>
                <c:pt idx="170">
                  <c:v>-1.9971393158269601E-4</c:v>
                </c:pt>
                <c:pt idx="171">
                  <c:v>1.4658300751404599E-5</c:v>
                </c:pt>
                <c:pt idx="172">
                  <c:v>-8.9229479865617404E-4</c:v>
                </c:pt>
                <c:pt idx="173">
                  <c:v>-4.8860791560421403E-4</c:v>
                </c:pt>
                <c:pt idx="174">
                  <c:v>3.7165378939629898E-4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14-4297-873A-CE85C6D8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IBDW*/BSCV*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1.2671331732903199</c:v>
                </c:pt>
                <c:pt idx="1">
                  <c:v>1.2671331732903199</c:v>
                </c:pt>
                <c:pt idx="2">
                  <c:v>1.2671331732903199</c:v>
                </c:pt>
                <c:pt idx="3">
                  <c:v>1.2671331732903199</c:v>
                </c:pt>
                <c:pt idx="4">
                  <c:v>1.2671331732903199</c:v>
                </c:pt>
                <c:pt idx="5">
                  <c:v>1.2671331732903199</c:v>
                </c:pt>
                <c:pt idx="6">
                  <c:v>1.2671331732903199</c:v>
                </c:pt>
                <c:pt idx="7">
                  <c:v>1.2671331732903199</c:v>
                </c:pt>
                <c:pt idx="8">
                  <c:v>1.2671331732903199</c:v>
                </c:pt>
                <c:pt idx="9">
                  <c:v>1.2671331732903199</c:v>
                </c:pt>
                <c:pt idx="10">
                  <c:v>1.2671331732903199</c:v>
                </c:pt>
                <c:pt idx="11">
                  <c:v>1.2671331732903199</c:v>
                </c:pt>
                <c:pt idx="12">
                  <c:v>1.2671331732903199</c:v>
                </c:pt>
                <c:pt idx="13">
                  <c:v>1.2671331732903199</c:v>
                </c:pt>
                <c:pt idx="14">
                  <c:v>1.2671331732903199</c:v>
                </c:pt>
                <c:pt idx="15">
                  <c:v>1.2671331732903199</c:v>
                </c:pt>
                <c:pt idx="16">
                  <c:v>1.2671331732903199</c:v>
                </c:pt>
                <c:pt idx="17">
                  <c:v>1.2671331732903199</c:v>
                </c:pt>
                <c:pt idx="18">
                  <c:v>1.2671331732903199</c:v>
                </c:pt>
                <c:pt idx="19">
                  <c:v>1.2671331732903199</c:v>
                </c:pt>
                <c:pt idx="20">
                  <c:v>1.2671331732903199</c:v>
                </c:pt>
                <c:pt idx="21">
                  <c:v>1.2671331732903199</c:v>
                </c:pt>
                <c:pt idx="22">
                  <c:v>1.2671331732903199</c:v>
                </c:pt>
                <c:pt idx="23">
                  <c:v>1.2671331732903199</c:v>
                </c:pt>
                <c:pt idx="24">
                  <c:v>1.2671331732903199</c:v>
                </c:pt>
                <c:pt idx="25">
                  <c:v>1.2671331732903199</c:v>
                </c:pt>
                <c:pt idx="26">
                  <c:v>1.2671331732903199</c:v>
                </c:pt>
                <c:pt idx="27">
                  <c:v>1.2671331732903199</c:v>
                </c:pt>
                <c:pt idx="28">
                  <c:v>1.2671331732903199</c:v>
                </c:pt>
                <c:pt idx="29">
                  <c:v>1.2671331732903199</c:v>
                </c:pt>
                <c:pt idx="30">
                  <c:v>1.2671331732903199</c:v>
                </c:pt>
                <c:pt idx="31">
                  <c:v>1.2671331732903199</c:v>
                </c:pt>
                <c:pt idx="32">
                  <c:v>1.2671331732903199</c:v>
                </c:pt>
                <c:pt idx="33">
                  <c:v>1.2671331732903199</c:v>
                </c:pt>
                <c:pt idx="34">
                  <c:v>1.2671331732903199</c:v>
                </c:pt>
                <c:pt idx="35">
                  <c:v>1.2671331732903199</c:v>
                </c:pt>
                <c:pt idx="36">
                  <c:v>1.2671331732903199</c:v>
                </c:pt>
                <c:pt idx="37">
                  <c:v>1.2671331732903199</c:v>
                </c:pt>
                <c:pt idx="38">
                  <c:v>1.2671331732903199</c:v>
                </c:pt>
                <c:pt idx="39">
                  <c:v>1.2671331732903199</c:v>
                </c:pt>
                <c:pt idx="40">
                  <c:v>1.2671331732903199</c:v>
                </c:pt>
                <c:pt idx="41">
                  <c:v>1.2671331732903199</c:v>
                </c:pt>
                <c:pt idx="42">
                  <c:v>1.2671331732903199</c:v>
                </c:pt>
                <c:pt idx="43">
                  <c:v>1.2671331732903199</c:v>
                </c:pt>
                <c:pt idx="44">
                  <c:v>1.2671331732903199</c:v>
                </c:pt>
                <c:pt idx="45">
                  <c:v>1.2671331732903199</c:v>
                </c:pt>
                <c:pt idx="46">
                  <c:v>1.2671331732903199</c:v>
                </c:pt>
                <c:pt idx="47">
                  <c:v>1.2671331732903199</c:v>
                </c:pt>
                <c:pt idx="48">
                  <c:v>1.2671331732903199</c:v>
                </c:pt>
                <c:pt idx="49">
                  <c:v>1.2671331732903199</c:v>
                </c:pt>
                <c:pt idx="50">
                  <c:v>1.2671331732903199</c:v>
                </c:pt>
                <c:pt idx="51">
                  <c:v>1.2671331732903199</c:v>
                </c:pt>
                <c:pt idx="52">
                  <c:v>1.2671331732903199</c:v>
                </c:pt>
                <c:pt idx="53">
                  <c:v>1.2671331732903199</c:v>
                </c:pt>
                <c:pt idx="54">
                  <c:v>1.2671331732903199</c:v>
                </c:pt>
                <c:pt idx="55">
                  <c:v>1.2671331732903199</c:v>
                </c:pt>
                <c:pt idx="56">
                  <c:v>1.2671331732903199</c:v>
                </c:pt>
                <c:pt idx="57">
                  <c:v>1.2671331732903199</c:v>
                </c:pt>
                <c:pt idx="58">
                  <c:v>1.2671331732903199</c:v>
                </c:pt>
                <c:pt idx="59">
                  <c:v>1.2671331732903199</c:v>
                </c:pt>
                <c:pt idx="60">
                  <c:v>1.2671331732903199</c:v>
                </c:pt>
                <c:pt idx="61">
                  <c:v>1.2671331732903199</c:v>
                </c:pt>
                <c:pt idx="62">
                  <c:v>1.2671331732903199</c:v>
                </c:pt>
                <c:pt idx="63">
                  <c:v>1.2671331732903199</c:v>
                </c:pt>
                <c:pt idx="64">
                  <c:v>1.2671331732903199</c:v>
                </c:pt>
                <c:pt idx="65">
                  <c:v>1.2671331732903199</c:v>
                </c:pt>
                <c:pt idx="66">
                  <c:v>1.2671331732903199</c:v>
                </c:pt>
                <c:pt idx="67">
                  <c:v>1.2671331732903199</c:v>
                </c:pt>
                <c:pt idx="68">
                  <c:v>1.2671331732903199</c:v>
                </c:pt>
                <c:pt idx="69">
                  <c:v>1.2671331732903199</c:v>
                </c:pt>
                <c:pt idx="70">
                  <c:v>1.2671331732903199</c:v>
                </c:pt>
                <c:pt idx="71">
                  <c:v>1.2671331732903199</c:v>
                </c:pt>
                <c:pt idx="72">
                  <c:v>1.2671331732903199</c:v>
                </c:pt>
                <c:pt idx="73">
                  <c:v>1.2671331732903199</c:v>
                </c:pt>
                <c:pt idx="74">
                  <c:v>1.2671331732903199</c:v>
                </c:pt>
                <c:pt idx="75">
                  <c:v>1.2671331732903199</c:v>
                </c:pt>
                <c:pt idx="76">
                  <c:v>1.2671331732903199</c:v>
                </c:pt>
                <c:pt idx="77">
                  <c:v>1.2671331732903199</c:v>
                </c:pt>
                <c:pt idx="78">
                  <c:v>1.2671331732903199</c:v>
                </c:pt>
                <c:pt idx="79">
                  <c:v>1.2671331732903199</c:v>
                </c:pt>
                <c:pt idx="80">
                  <c:v>1.2671331732903199</c:v>
                </c:pt>
                <c:pt idx="81">
                  <c:v>1.2671331732903199</c:v>
                </c:pt>
                <c:pt idx="82">
                  <c:v>1.2671331732903199</c:v>
                </c:pt>
                <c:pt idx="83">
                  <c:v>1.2671331732903199</c:v>
                </c:pt>
                <c:pt idx="84">
                  <c:v>1.2671331732903199</c:v>
                </c:pt>
                <c:pt idx="85">
                  <c:v>1.2671331732903199</c:v>
                </c:pt>
                <c:pt idx="86">
                  <c:v>1.2671331732903199</c:v>
                </c:pt>
                <c:pt idx="87">
                  <c:v>1.2671331732903199</c:v>
                </c:pt>
                <c:pt idx="88">
                  <c:v>1.2671331732903199</c:v>
                </c:pt>
                <c:pt idx="89">
                  <c:v>1.2671331732903199</c:v>
                </c:pt>
                <c:pt idx="90">
                  <c:v>1.2671331732903199</c:v>
                </c:pt>
                <c:pt idx="91">
                  <c:v>1.2671331732903199</c:v>
                </c:pt>
                <c:pt idx="92">
                  <c:v>1.2671331732903199</c:v>
                </c:pt>
                <c:pt idx="93">
                  <c:v>1.2671331732903199</c:v>
                </c:pt>
                <c:pt idx="94">
                  <c:v>1.2671331732903199</c:v>
                </c:pt>
                <c:pt idx="95">
                  <c:v>1.2671331732903199</c:v>
                </c:pt>
                <c:pt idx="96">
                  <c:v>1.2671331732903199</c:v>
                </c:pt>
                <c:pt idx="97">
                  <c:v>1.2671331732903199</c:v>
                </c:pt>
                <c:pt idx="98">
                  <c:v>1.2671331732903199</c:v>
                </c:pt>
                <c:pt idx="99">
                  <c:v>1.2671331732903199</c:v>
                </c:pt>
                <c:pt idx="100">
                  <c:v>1.2671331732903199</c:v>
                </c:pt>
                <c:pt idx="101">
                  <c:v>1.2671331732903199</c:v>
                </c:pt>
                <c:pt idx="102">
                  <c:v>1.2671331732903199</c:v>
                </c:pt>
                <c:pt idx="103">
                  <c:v>1.2671331732903199</c:v>
                </c:pt>
                <c:pt idx="104">
                  <c:v>1.2671331732903199</c:v>
                </c:pt>
                <c:pt idx="105">
                  <c:v>1.2671331732903199</c:v>
                </c:pt>
                <c:pt idx="106">
                  <c:v>1.2671331732903199</c:v>
                </c:pt>
                <c:pt idx="107">
                  <c:v>1.2671331732903199</c:v>
                </c:pt>
                <c:pt idx="108">
                  <c:v>1.2671331732903199</c:v>
                </c:pt>
                <c:pt idx="109">
                  <c:v>1.2671331732903199</c:v>
                </c:pt>
                <c:pt idx="110">
                  <c:v>1.2671331732903199</c:v>
                </c:pt>
                <c:pt idx="111">
                  <c:v>1.2671331732903199</c:v>
                </c:pt>
                <c:pt idx="112">
                  <c:v>1.2671331732903199</c:v>
                </c:pt>
                <c:pt idx="113">
                  <c:v>1.2671331732903199</c:v>
                </c:pt>
                <c:pt idx="114">
                  <c:v>1.2671331732903199</c:v>
                </c:pt>
                <c:pt idx="115">
                  <c:v>1.2671331732903199</c:v>
                </c:pt>
                <c:pt idx="116">
                  <c:v>1.2671331732903199</c:v>
                </c:pt>
                <c:pt idx="117">
                  <c:v>1.2671331732903199</c:v>
                </c:pt>
                <c:pt idx="118">
                  <c:v>1.2671331732903199</c:v>
                </c:pt>
                <c:pt idx="119">
                  <c:v>1.2671331732903199</c:v>
                </c:pt>
                <c:pt idx="120">
                  <c:v>1.2671331732903199</c:v>
                </c:pt>
                <c:pt idx="121">
                  <c:v>1.2671331732903199</c:v>
                </c:pt>
                <c:pt idx="122">
                  <c:v>1.2671331732903199</c:v>
                </c:pt>
                <c:pt idx="123">
                  <c:v>1.2671331732903199</c:v>
                </c:pt>
                <c:pt idx="124">
                  <c:v>1.2671331732903199</c:v>
                </c:pt>
                <c:pt idx="125">
                  <c:v>1.2671331732903199</c:v>
                </c:pt>
                <c:pt idx="126">
                  <c:v>1.2671331732903199</c:v>
                </c:pt>
                <c:pt idx="127">
                  <c:v>1.2671331732903199</c:v>
                </c:pt>
                <c:pt idx="128">
                  <c:v>1.2671331732903199</c:v>
                </c:pt>
                <c:pt idx="129">
                  <c:v>1.2671331732903199</c:v>
                </c:pt>
                <c:pt idx="130">
                  <c:v>1.2671331732903199</c:v>
                </c:pt>
                <c:pt idx="131">
                  <c:v>1.2671331732903199</c:v>
                </c:pt>
                <c:pt idx="132">
                  <c:v>1.2671331732903199</c:v>
                </c:pt>
                <c:pt idx="133">
                  <c:v>1.2671331732903199</c:v>
                </c:pt>
                <c:pt idx="134">
                  <c:v>1.2671331732903199</c:v>
                </c:pt>
                <c:pt idx="135">
                  <c:v>1.2671331732903199</c:v>
                </c:pt>
                <c:pt idx="136">
                  <c:v>1.2671331732903199</c:v>
                </c:pt>
                <c:pt idx="137">
                  <c:v>1.2671331732903199</c:v>
                </c:pt>
                <c:pt idx="138">
                  <c:v>1.2671331732903199</c:v>
                </c:pt>
                <c:pt idx="139">
                  <c:v>1.2671331732903199</c:v>
                </c:pt>
                <c:pt idx="140">
                  <c:v>1.2671331732903199</c:v>
                </c:pt>
                <c:pt idx="141">
                  <c:v>1.2671331732903199</c:v>
                </c:pt>
                <c:pt idx="142">
                  <c:v>1.2671331732903199</c:v>
                </c:pt>
                <c:pt idx="143">
                  <c:v>1.2671331732903199</c:v>
                </c:pt>
                <c:pt idx="144">
                  <c:v>1.2671331732903199</c:v>
                </c:pt>
                <c:pt idx="145">
                  <c:v>1.2671331732903199</c:v>
                </c:pt>
                <c:pt idx="146">
                  <c:v>1.2671331732903199</c:v>
                </c:pt>
                <c:pt idx="147">
                  <c:v>1.2671331732903199</c:v>
                </c:pt>
                <c:pt idx="148">
                  <c:v>1.2671331732903199</c:v>
                </c:pt>
                <c:pt idx="149">
                  <c:v>1.2671331732903199</c:v>
                </c:pt>
                <c:pt idx="150">
                  <c:v>1.2671331732903199</c:v>
                </c:pt>
                <c:pt idx="151">
                  <c:v>1.2671331732903199</c:v>
                </c:pt>
                <c:pt idx="152">
                  <c:v>1.2671331732903199</c:v>
                </c:pt>
                <c:pt idx="153">
                  <c:v>1.2671331732903199</c:v>
                </c:pt>
                <c:pt idx="154">
                  <c:v>1.2671331732903199</c:v>
                </c:pt>
                <c:pt idx="155">
                  <c:v>1.2671331732903199</c:v>
                </c:pt>
                <c:pt idx="156">
                  <c:v>1.2671331732903199</c:v>
                </c:pt>
                <c:pt idx="157">
                  <c:v>1.2671331732903199</c:v>
                </c:pt>
                <c:pt idx="158">
                  <c:v>1.2671331732903199</c:v>
                </c:pt>
                <c:pt idx="159">
                  <c:v>1.2671331732903199</c:v>
                </c:pt>
                <c:pt idx="160">
                  <c:v>1.2671331732903199</c:v>
                </c:pt>
                <c:pt idx="161">
                  <c:v>1.2671331732903199</c:v>
                </c:pt>
                <c:pt idx="162">
                  <c:v>1.2671331732903199</c:v>
                </c:pt>
                <c:pt idx="163">
                  <c:v>1.2671331732903199</c:v>
                </c:pt>
                <c:pt idx="164">
                  <c:v>1.2671331732903199</c:v>
                </c:pt>
                <c:pt idx="165">
                  <c:v>1.2671331732903199</c:v>
                </c:pt>
                <c:pt idx="166">
                  <c:v>1.2671331732903199</c:v>
                </c:pt>
                <c:pt idx="167">
                  <c:v>1.2671331732903199</c:v>
                </c:pt>
                <c:pt idx="168">
                  <c:v>1.2671331732903199</c:v>
                </c:pt>
                <c:pt idx="169">
                  <c:v>1.2671331732903199</c:v>
                </c:pt>
                <c:pt idx="170">
                  <c:v>1.2671331732903199</c:v>
                </c:pt>
                <c:pt idx="171">
                  <c:v>1.2671331732903199</c:v>
                </c:pt>
                <c:pt idx="172">
                  <c:v>1.2671331732903199</c:v>
                </c:pt>
                <c:pt idx="173">
                  <c:v>1.2671331732903199</c:v>
                </c:pt>
                <c:pt idx="174">
                  <c:v>1.2671331732903199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78-44B5-8893-36E245AD039A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IBDW*/BSCV*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1.26684634316047</c:v>
                </c:pt>
                <c:pt idx="10">
                  <c:v>1.2669821051894401</c:v>
                </c:pt>
                <c:pt idx="11">
                  <c:v>1.26680398292861</c:v>
                </c:pt>
                <c:pt idx="12">
                  <c:v>1.2668497131305601</c:v>
                </c:pt>
                <c:pt idx="13">
                  <c:v>1.2669390933047699</c:v>
                </c:pt>
                <c:pt idx="14">
                  <c:v>1.2669646807905499</c:v>
                </c:pt>
                <c:pt idx="15">
                  <c:v>1.2669742632980701</c:v>
                </c:pt>
                <c:pt idx="16">
                  <c:v>1.2670277760867199</c:v>
                </c:pt>
                <c:pt idx="17">
                  <c:v>1.2670853747151001</c:v>
                </c:pt>
                <c:pt idx="18">
                  <c:v>1.2670830569759299</c:v>
                </c:pt>
                <c:pt idx="19">
                  <c:v>1.2670607945949499</c:v>
                </c:pt>
                <c:pt idx="20">
                  <c:v>1.2669289842357101</c:v>
                </c:pt>
                <c:pt idx="21">
                  <c:v>1.2669633369639099</c:v>
                </c:pt>
                <c:pt idx="22">
                  <c:v>1.2668058162476701</c:v>
                </c:pt>
                <c:pt idx="23">
                  <c:v>1.26674824022963</c:v>
                </c:pt>
                <c:pt idx="24">
                  <c:v>1.26663079261221</c:v>
                </c:pt>
                <c:pt idx="25">
                  <c:v>1.2665134911843201</c:v>
                </c:pt>
                <c:pt idx="26">
                  <c:v>1.2664399944843101</c:v>
                </c:pt>
                <c:pt idx="27">
                  <c:v>1.2662468164788001</c:v>
                </c:pt>
                <c:pt idx="28">
                  <c:v>1.26621739434575</c:v>
                </c:pt>
                <c:pt idx="29">
                  <c:v>1.2662155332574001</c:v>
                </c:pt>
                <c:pt idx="30">
                  <c:v>1.26636635386121</c:v>
                </c:pt>
                <c:pt idx="31">
                  <c:v>1.2664419696775699</c:v>
                </c:pt>
                <c:pt idx="32">
                  <c:v>1.26644250298045</c:v>
                </c:pt>
                <c:pt idx="33">
                  <c:v>1.2664782556949701</c:v>
                </c:pt>
                <c:pt idx="34">
                  <c:v>1.2665690354002701</c:v>
                </c:pt>
                <c:pt idx="35">
                  <c:v>1.2667073259357</c:v>
                </c:pt>
                <c:pt idx="36">
                  <c:v>1.26671512998683</c:v>
                </c:pt>
                <c:pt idx="37">
                  <c:v>1.2668375851340199</c:v>
                </c:pt>
                <c:pt idx="38">
                  <c:v>1.26687314246798</c:v>
                </c:pt>
                <c:pt idx="39">
                  <c:v>1.2670097661916</c:v>
                </c:pt>
                <c:pt idx="40">
                  <c:v>1.26695260986346</c:v>
                </c:pt>
                <c:pt idx="41">
                  <c:v>1.2671052624197501</c:v>
                </c:pt>
                <c:pt idx="42">
                  <c:v>1.2673213963644701</c:v>
                </c:pt>
                <c:pt idx="43">
                  <c:v>1.26739106664926</c:v>
                </c:pt>
                <c:pt idx="44">
                  <c:v>1.26740158227916</c:v>
                </c:pt>
                <c:pt idx="45">
                  <c:v>1.2673845735317799</c:v>
                </c:pt>
                <c:pt idx="46">
                  <c:v>1.2675223744394799</c:v>
                </c:pt>
                <c:pt idx="47">
                  <c:v>1.2674777583263599</c:v>
                </c:pt>
                <c:pt idx="48">
                  <c:v>1.2675560286471499</c:v>
                </c:pt>
                <c:pt idx="49">
                  <c:v>1.26747363838484</c:v>
                </c:pt>
                <c:pt idx="50">
                  <c:v>1.2674737980027599</c:v>
                </c:pt>
                <c:pt idx="51">
                  <c:v>1.2673917108599799</c:v>
                </c:pt>
                <c:pt idx="52">
                  <c:v>1.26733307831787</c:v>
                </c:pt>
                <c:pt idx="53">
                  <c:v>1.2672978205409</c:v>
                </c:pt>
                <c:pt idx="54">
                  <c:v>1.26721304188814</c:v>
                </c:pt>
                <c:pt idx="55">
                  <c:v>1.26726500575326</c:v>
                </c:pt>
                <c:pt idx="56">
                  <c:v>1.26720026551314</c:v>
                </c:pt>
                <c:pt idx="57">
                  <c:v>1.26719507163833</c:v>
                </c:pt>
                <c:pt idx="58">
                  <c:v>1.26721830768736</c:v>
                </c:pt>
                <c:pt idx="59">
                  <c:v>1.26720917702286</c:v>
                </c:pt>
                <c:pt idx="60">
                  <c:v>1.2672279334713801</c:v>
                </c:pt>
                <c:pt idx="61">
                  <c:v>1.2672598162133899</c:v>
                </c:pt>
                <c:pt idx="62">
                  <c:v>1.26715571219788</c:v>
                </c:pt>
                <c:pt idx="63">
                  <c:v>1.2671634461880099</c:v>
                </c:pt>
                <c:pt idx="64">
                  <c:v>1.2672207354177301</c:v>
                </c:pt>
                <c:pt idx="65">
                  <c:v>1.26713308073066</c:v>
                </c:pt>
                <c:pt idx="66">
                  <c:v>1.26722948509964</c:v>
                </c:pt>
                <c:pt idx="67">
                  <c:v>1.26739401531117</c:v>
                </c:pt>
                <c:pt idx="68">
                  <c:v>1.2674338663145901</c:v>
                </c:pt>
                <c:pt idx="69">
                  <c:v>1.26744643629725</c:v>
                </c:pt>
                <c:pt idx="70">
                  <c:v>1.2674076965980801</c:v>
                </c:pt>
                <c:pt idx="71">
                  <c:v>1.26735122277071</c:v>
                </c:pt>
                <c:pt idx="72">
                  <c:v>1.2673671208786901</c:v>
                </c:pt>
                <c:pt idx="73">
                  <c:v>1.26738659103413</c:v>
                </c:pt>
                <c:pt idx="74">
                  <c:v>1.2673705840482099</c:v>
                </c:pt>
                <c:pt idx="75">
                  <c:v>1.2674619355305301</c:v>
                </c:pt>
                <c:pt idx="76">
                  <c:v>1.26748177542038</c:v>
                </c:pt>
                <c:pt idx="77">
                  <c:v>1.26749714896115</c:v>
                </c:pt>
                <c:pt idx="78">
                  <c:v>1.2674733194416501</c:v>
                </c:pt>
                <c:pt idx="79">
                  <c:v>1.2675452591249301</c:v>
                </c:pt>
                <c:pt idx="80">
                  <c:v>1.2677131707393099</c:v>
                </c:pt>
                <c:pt idx="81">
                  <c:v>1.2676774655966601</c:v>
                </c:pt>
                <c:pt idx="82">
                  <c:v>1.26770967245712</c:v>
                </c:pt>
                <c:pt idx="83">
                  <c:v>1.2678303041888199</c:v>
                </c:pt>
                <c:pt idx="84">
                  <c:v>1.2678824593770199</c:v>
                </c:pt>
                <c:pt idx="85">
                  <c:v>1.26773565637851</c:v>
                </c:pt>
                <c:pt idx="86">
                  <c:v>1.2676045740123401</c:v>
                </c:pt>
                <c:pt idx="87">
                  <c:v>1.26738216455067</c:v>
                </c:pt>
                <c:pt idx="88">
                  <c:v>1.26738653536028</c:v>
                </c:pt>
                <c:pt idx="89">
                  <c:v>1.2672273760166901</c:v>
                </c:pt>
                <c:pt idx="90">
                  <c:v>1.26721142086195</c:v>
                </c:pt>
                <c:pt idx="91">
                  <c:v>1.2672316667085299</c:v>
                </c:pt>
                <c:pt idx="92">
                  <c:v>1.26728810234864</c:v>
                </c:pt>
                <c:pt idx="93">
                  <c:v>1.26711459769774</c:v>
                </c:pt>
                <c:pt idx="94">
                  <c:v>1.26699285430937</c:v>
                </c:pt>
                <c:pt idx="95">
                  <c:v>1.26701904697802</c:v>
                </c:pt>
                <c:pt idx="96">
                  <c:v>1.2670415720903101</c:v>
                </c:pt>
                <c:pt idx="97">
                  <c:v>1.2671278032556399</c:v>
                </c:pt>
                <c:pt idx="98">
                  <c:v>1.2670105503932201</c:v>
                </c:pt>
                <c:pt idx="99">
                  <c:v>1.26720442779677</c:v>
                </c:pt>
                <c:pt idx="100">
                  <c:v>1.26718658136153</c:v>
                </c:pt>
                <c:pt idx="101">
                  <c:v>1.26730020955789</c:v>
                </c:pt>
                <c:pt idx="102">
                  <c:v>1.26720056315756</c:v>
                </c:pt>
                <c:pt idx="103">
                  <c:v>1.2672825150242799</c:v>
                </c:pt>
                <c:pt idx="104">
                  <c:v>1.2673769365624801</c:v>
                </c:pt>
                <c:pt idx="105">
                  <c:v>1.26746291154809</c:v>
                </c:pt>
                <c:pt idx="106">
                  <c:v>1.26742118479289</c:v>
                </c:pt>
                <c:pt idx="107">
                  <c:v>1.26743949653438</c:v>
                </c:pt>
                <c:pt idx="108">
                  <c:v>1.2674737270707499</c:v>
                </c:pt>
                <c:pt idx="109">
                  <c:v>1.2673603858664799</c:v>
                </c:pt>
                <c:pt idx="110">
                  <c:v>1.2672112473582899</c:v>
                </c:pt>
                <c:pt idx="111">
                  <c:v>1.2670503132117099</c:v>
                </c:pt>
                <c:pt idx="112">
                  <c:v>1.26709407937507</c:v>
                </c:pt>
                <c:pt idx="113">
                  <c:v>1.2670302425422499</c:v>
                </c:pt>
                <c:pt idx="114">
                  <c:v>1.2670183403833799</c:v>
                </c:pt>
                <c:pt idx="115">
                  <c:v>1.2670183403833799</c:v>
                </c:pt>
                <c:pt idx="116">
                  <c:v>1.2671029503051801</c:v>
                </c:pt>
                <c:pt idx="117">
                  <c:v>1.26709549542032</c:v>
                </c:pt>
                <c:pt idx="118">
                  <c:v>1.2670127651649401</c:v>
                </c:pt>
                <c:pt idx="119">
                  <c:v>1.26692590057831</c:v>
                </c:pt>
                <c:pt idx="120">
                  <c:v>1.2669347201182199</c:v>
                </c:pt>
                <c:pt idx="121">
                  <c:v>1.2669871137523301</c:v>
                </c:pt>
                <c:pt idx="122">
                  <c:v>1.26699983875352</c:v>
                </c:pt>
                <c:pt idx="123">
                  <c:v>1.2669883585400801</c:v>
                </c:pt>
                <c:pt idx="124">
                  <c:v>1.2669210853755599</c:v>
                </c:pt>
                <c:pt idx="125">
                  <c:v>1.2669172119564001</c:v>
                </c:pt>
                <c:pt idx="126">
                  <c:v>1.26679708917745</c:v>
                </c:pt>
                <c:pt idx="127">
                  <c:v>1.26681668938099</c:v>
                </c:pt>
                <c:pt idx="128">
                  <c:v>1.26692769136309</c:v>
                </c:pt>
                <c:pt idx="129">
                  <c:v>1.26692316042773</c:v>
                </c:pt>
                <c:pt idx="130">
                  <c:v>1.2670628261563399</c:v>
                </c:pt>
                <c:pt idx="131">
                  <c:v>1.26706277039383</c:v>
                </c:pt>
                <c:pt idx="132">
                  <c:v>1.2670385639367401</c:v>
                </c:pt>
                <c:pt idx="133">
                  <c:v>1.2671301786237801</c:v>
                </c:pt>
                <c:pt idx="134">
                  <c:v>1.2672097307680501</c:v>
                </c:pt>
                <c:pt idx="135">
                  <c:v>1.2671201528434399</c:v>
                </c:pt>
                <c:pt idx="136">
                  <c:v>1.26723775293149</c:v>
                </c:pt>
                <c:pt idx="137">
                  <c:v>1.2672958786653601</c:v>
                </c:pt>
                <c:pt idx="138">
                  <c:v>1.26726991061948</c:v>
                </c:pt>
                <c:pt idx="139">
                  <c:v>1.2672995383494501</c:v>
                </c:pt>
                <c:pt idx="140">
                  <c:v>1.2672612441370801</c:v>
                </c:pt>
                <c:pt idx="141">
                  <c:v>1.26717917146281</c:v>
                </c:pt>
                <c:pt idx="142">
                  <c:v>1.2670891290723401</c:v>
                </c:pt>
                <c:pt idx="143">
                  <c:v>1.2669673880635499</c:v>
                </c:pt>
                <c:pt idx="144">
                  <c:v>1.26701343196605</c:v>
                </c:pt>
                <c:pt idx="145">
                  <c:v>1.26699773722096</c:v>
                </c:pt>
                <c:pt idx="146">
                  <c:v>1.26683842391067</c:v>
                </c:pt>
                <c:pt idx="147">
                  <c:v>1.26661501466879</c:v>
                </c:pt>
                <c:pt idx="148">
                  <c:v>1.26660321700574</c:v>
                </c:pt>
                <c:pt idx="149">
                  <c:v>1.2666951321828599</c:v>
                </c:pt>
                <c:pt idx="150">
                  <c:v>1.2667031769786501</c:v>
                </c:pt>
                <c:pt idx="151">
                  <c:v>1.26674337920359</c:v>
                </c:pt>
                <c:pt idx="152">
                  <c:v>1.26683947867405</c:v>
                </c:pt>
                <c:pt idx="153">
                  <c:v>1.26690345447526</c:v>
                </c:pt>
                <c:pt idx="154">
                  <c:v>1.26683157197876</c:v>
                </c:pt>
                <c:pt idx="155">
                  <c:v>1.2668276328819299</c:v>
                </c:pt>
                <c:pt idx="156">
                  <c:v>1.2669949482907401</c:v>
                </c:pt>
                <c:pt idx="157">
                  <c:v>1.26720587125705</c:v>
                </c:pt>
                <c:pt idx="158">
                  <c:v>1.26726569736649</c:v>
                </c:pt>
                <c:pt idx="159">
                  <c:v>1.26719405132466</c:v>
                </c:pt>
                <c:pt idx="160">
                  <c:v>1.2671074553419299</c:v>
                </c:pt>
                <c:pt idx="161">
                  <c:v>1.26721204048395</c:v>
                </c:pt>
                <c:pt idx="162">
                  <c:v>1.2672450702626099</c:v>
                </c:pt>
                <c:pt idx="163">
                  <c:v>1.2673579052396899</c:v>
                </c:pt>
                <c:pt idx="164">
                  <c:v>1.2673392811579001</c:v>
                </c:pt>
                <c:pt idx="165">
                  <c:v>1.26742437226337</c:v>
                </c:pt>
                <c:pt idx="166">
                  <c:v>1.2672167226983899</c:v>
                </c:pt>
                <c:pt idx="167">
                  <c:v>1.2671614943748399</c:v>
                </c:pt>
                <c:pt idx="168">
                  <c:v>1.26720569293778</c:v>
                </c:pt>
                <c:pt idx="169">
                  <c:v>1.26734188131151</c:v>
                </c:pt>
                <c:pt idx="170">
                  <c:v>1.2674127595322</c:v>
                </c:pt>
                <c:pt idx="171">
                  <c:v>1.26735635593864</c:v>
                </c:pt>
                <c:pt idx="172">
                  <c:v>1.2674610295698501</c:v>
                </c:pt>
                <c:pt idx="173">
                  <c:v>1.2674297295950501</c:v>
                </c:pt>
                <c:pt idx="174">
                  <c:v>1.26745274226323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8-44B5-8893-36E245AD039A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IBDW*/BSCV*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1.26695356887771</c:v>
                </c:pt>
                <c:pt idx="20">
                  <c:v>1.26695554471257</c:v>
                </c:pt>
                <c:pt idx="21">
                  <c:v>1.2668836599462601</c:v>
                </c:pt>
                <c:pt idx="22">
                  <c:v>1.26682776468912</c:v>
                </c:pt>
                <c:pt idx="23">
                  <c:v>1.2668436667672001</c:v>
                </c:pt>
                <c:pt idx="24">
                  <c:v>1.2667977367013801</c:v>
                </c:pt>
                <c:pt idx="25">
                  <c:v>1.2667438772411901</c:v>
                </c:pt>
                <c:pt idx="26">
                  <c:v>1.2667338852855099</c:v>
                </c:pt>
                <c:pt idx="27">
                  <c:v>1.26666609559695</c:v>
                </c:pt>
                <c:pt idx="28">
                  <c:v>1.2666502256608401</c:v>
                </c:pt>
                <c:pt idx="29">
                  <c:v>1.2666381639261799</c:v>
                </c:pt>
                <c:pt idx="30">
                  <c:v>1.26664766904846</c:v>
                </c:pt>
                <c:pt idx="31">
                  <c:v>1.2667026533207399</c:v>
                </c:pt>
                <c:pt idx="32">
                  <c:v>1.2666241596140599</c:v>
                </c:pt>
                <c:pt idx="33">
                  <c:v>1.2666132479623</c:v>
                </c:pt>
                <c:pt idx="34">
                  <c:v>1.2665999140062401</c:v>
                </c:pt>
                <c:pt idx="35">
                  <c:v>1.2666104085600101</c:v>
                </c:pt>
                <c:pt idx="36">
                  <c:v>1.2665775622355699</c:v>
                </c:pt>
                <c:pt idx="37">
                  <c:v>1.26654220080641</c:v>
                </c:pt>
                <c:pt idx="38">
                  <c:v>1.2665452684068701</c:v>
                </c:pt>
                <c:pt idx="39">
                  <c:v>1.2666126497245001</c:v>
                </c:pt>
                <c:pt idx="40">
                  <c:v>1.26665948186233</c:v>
                </c:pt>
                <c:pt idx="41">
                  <c:v>1.26677361604866</c:v>
                </c:pt>
                <c:pt idx="42">
                  <c:v>1.2668819496724599</c:v>
                </c:pt>
                <c:pt idx="43">
                  <c:v>1.26693466117211</c:v>
                </c:pt>
                <c:pt idx="44">
                  <c:v>1.26698530883972</c:v>
                </c:pt>
                <c:pt idx="45">
                  <c:v>1.2670459497337401</c:v>
                </c:pt>
                <c:pt idx="46">
                  <c:v>1.26711875221315</c:v>
                </c:pt>
                <c:pt idx="47">
                  <c:v>1.26715767173019</c:v>
                </c:pt>
                <c:pt idx="48">
                  <c:v>1.2672145855575601</c:v>
                </c:pt>
                <c:pt idx="49">
                  <c:v>1.2672417022882201</c:v>
                </c:pt>
                <c:pt idx="50">
                  <c:v>1.2672132039331101</c:v>
                </c:pt>
                <c:pt idx="51">
                  <c:v>1.2672484866398599</c:v>
                </c:pt>
                <c:pt idx="52">
                  <c:v>1.2673272373411699</c:v>
                </c:pt>
                <c:pt idx="53">
                  <c:v>1.26734444359508</c:v>
                </c:pt>
                <c:pt idx="54">
                  <c:v>1.26730731208365</c:v>
                </c:pt>
                <c:pt idx="55">
                  <c:v>1.2673247896425199</c:v>
                </c:pt>
                <c:pt idx="56">
                  <c:v>1.2673613199763101</c:v>
                </c:pt>
                <c:pt idx="57">
                  <c:v>1.2673364149823501</c:v>
                </c:pt>
                <c:pt idx="58">
                  <c:v>1.2673871681672599</c:v>
                </c:pt>
                <c:pt idx="59">
                  <c:v>1.2673414077038501</c:v>
                </c:pt>
                <c:pt idx="60">
                  <c:v>1.26735086573707</c:v>
                </c:pt>
                <c:pt idx="61">
                  <c:v>1.2673257635366799</c:v>
                </c:pt>
                <c:pt idx="62">
                  <c:v>1.26724439525788</c:v>
                </c:pt>
                <c:pt idx="63">
                  <c:v>1.2672306333644601</c:v>
                </c:pt>
                <c:pt idx="64">
                  <c:v>1.26721688865294</c:v>
                </c:pt>
                <c:pt idx="65">
                  <c:v>1.26719904324196</c:v>
                </c:pt>
                <c:pt idx="66">
                  <c:v>1.2672148753063901</c:v>
                </c:pt>
                <c:pt idx="67">
                  <c:v>1.26729454347475</c:v>
                </c:pt>
                <c:pt idx="68">
                  <c:v>1.2673260870009799</c:v>
                </c:pt>
                <c:pt idx="69">
                  <c:v>1.26732780666006</c:v>
                </c:pt>
                <c:pt idx="70">
                  <c:v>1.26731781503473</c:v>
                </c:pt>
                <c:pt idx="71">
                  <c:v>1.2673055194920499</c:v>
                </c:pt>
                <c:pt idx="72">
                  <c:v>1.2672614165382801</c:v>
                </c:pt>
                <c:pt idx="73">
                  <c:v>1.2672750186110699</c:v>
                </c:pt>
                <c:pt idx="74">
                  <c:v>1.2672956597329701</c:v>
                </c:pt>
                <c:pt idx="75">
                  <c:v>1.2672975081305999</c:v>
                </c:pt>
                <c:pt idx="76">
                  <c:v>1.26735563026001</c:v>
                </c:pt>
                <c:pt idx="77">
                  <c:v>1.2674455821361601</c:v>
                </c:pt>
                <c:pt idx="78">
                  <c:v>1.2674535928781201</c:v>
                </c:pt>
                <c:pt idx="79">
                  <c:v>1.26749584771109</c:v>
                </c:pt>
                <c:pt idx="80">
                  <c:v>1.2675604336686901</c:v>
                </c:pt>
                <c:pt idx="81">
                  <c:v>1.26751434418368</c:v>
                </c:pt>
                <c:pt idx="82">
                  <c:v>1.2675383966678999</c:v>
                </c:pt>
                <c:pt idx="83">
                  <c:v>1.26760844761147</c:v>
                </c:pt>
                <c:pt idx="84">
                  <c:v>1.2676265217126199</c:v>
                </c:pt>
                <c:pt idx="85">
                  <c:v>1.2675987959545201</c:v>
                </c:pt>
                <c:pt idx="86">
                  <c:v>1.2675431747163599</c:v>
                </c:pt>
                <c:pt idx="87">
                  <c:v>1.2674396567559101</c:v>
                </c:pt>
                <c:pt idx="88">
                  <c:v>1.2674299274009599</c:v>
                </c:pt>
                <c:pt idx="89">
                  <c:v>1.26738631757081</c:v>
                </c:pt>
                <c:pt idx="90">
                  <c:v>1.2674622958006301</c:v>
                </c:pt>
                <c:pt idx="91">
                  <c:v>1.2674545661526</c:v>
                </c:pt>
                <c:pt idx="92">
                  <c:v>1.2674988874028801</c:v>
                </c:pt>
                <c:pt idx="93">
                  <c:v>1.26747245094328</c:v>
                </c:pt>
                <c:pt idx="94">
                  <c:v>1.2674376568432</c:v>
                </c:pt>
                <c:pt idx="95">
                  <c:v>1.26737735167826</c:v>
                </c:pt>
                <c:pt idx="96">
                  <c:v>1.2673230730513301</c:v>
                </c:pt>
                <c:pt idx="97">
                  <c:v>1.2672549839031599</c:v>
                </c:pt>
                <c:pt idx="98">
                  <c:v>1.26719854287675</c:v>
                </c:pt>
                <c:pt idx="99">
                  <c:v>1.2672159019067299</c:v>
                </c:pt>
                <c:pt idx="100">
                  <c:v>1.26719900111174</c:v>
                </c:pt>
                <c:pt idx="101">
                  <c:v>1.2672659381332101</c:v>
                </c:pt>
                <c:pt idx="102">
                  <c:v>1.2672443327531</c:v>
                </c:pt>
                <c:pt idx="103">
                  <c:v>1.26719855636101</c:v>
                </c:pt>
                <c:pt idx="104">
                  <c:v>1.2671848954359199</c:v>
                </c:pt>
                <c:pt idx="105">
                  <c:v>1.2672409792630499</c:v>
                </c:pt>
                <c:pt idx="106">
                  <c:v>1.2672313784416001</c:v>
                </c:pt>
                <c:pt idx="107">
                  <c:v>1.26728364989501</c:v>
                </c:pt>
                <c:pt idx="108">
                  <c:v>1.2672421387319901</c:v>
                </c:pt>
                <c:pt idx="109">
                  <c:v>1.26728240683163</c:v>
                </c:pt>
                <c:pt idx="110">
                  <c:v>1.2671989143599101</c:v>
                </c:pt>
                <c:pt idx="111">
                  <c:v>1.2671752613848</c:v>
                </c:pt>
                <c:pt idx="112">
                  <c:v>1.26714732126632</c:v>
                </c:pt>
                <c:pt idx="113">
                  <c:v>1.26715637878326</c:v>
                </c:pt>
                <c:pt idx="114">
                  <c:v>1.26719763847293</c:v>
                </c:pt>
                <c:pt idx="115">
                  <c:v>1.2672406259657401</c:v>
                </c:pt>
                <c:pt idx="116">
                  <c:v>1.26726206754904</c:v>
                </c:pt>
                <c:pt idx="117">
                  <c:v>1.26726749597735</c:v>
                </c:pt>
                <c:pt idx="118">
                  <c:v>1.26724324611785</c:v>
                </c:pt>
                <c:pt idx="119">
                  <c:v>1.2671431432224001</c:v>
                </c:pt>
                <c:pt idx="120">
                  <c:v>1.2670729837382599</c:v>
                </c:pt>
                <c:pt idx="121">
                  <c:v>1.2670187134820201</c:v>
                </c:pt>
                <c:pt idx="122">
                  <c:v>1.2670469590643001</c:v>
                </c:pt>
                <c:pt idx="123">
                  <c:v>1.26700930054116</c:v>
                </c:pt>
                <c:pt idx="124">
                  <c:v>1.2669697128794699</c:v>
                </c:pt>
                <c:pt idx="125">
                  <c:v>1.2669677761698901</c:v>
                </c:pt>
                <c:pt idx="126">
                  <c:v>1.2669500197413099</c:v>
                </c:pt>
                <c:pt idx="127">
                  <c:v>1.26695609240066</c:v>
                </c:pt>
                <c:pt idx="128">
                  <c:v>1.2669702282640101</c:v>
                </c:pt>
                <c:pt idx="129">
                  <c:v>1.2669245305030199</c:v>
                </c:pt>
                <c:pt idx="130">
                  <c:v>1.26699877313728</c:v>
                </c:pt>
                <c:pt idx="131">
                  <c:v>1.2670249420730799</c:v>
                </c:pt>
                <c:pt idx="132">
                  <c:v>1.26701920134513</c:v>
                </c:pt>
                <c:pt idx="133">
                  <c:v>1.26705926858193</c:v>
                </c:pt>
                <c:pt idx="134">
                  <c:v>1.26706540807181</c:v>
                </c:pt>
                <c:pt idx="135">
                  <c:v>1.2670186823999201</c:v>
                </c:pt>
                <c:pt idx="136">
                  <c:v>1.26701742105447</c:v>
                </c:pt>
                <c:pt idx="137">
                  <c:v>1.2670562840231701</c:v>
                </c:pt>
                <c:pt idx="138">
                  <c:v>1.26709880099128</c:v>
                </c:pt>
                <c:pt idx="139">
                  <c:v>1.2671113493885899</c:v>
                </c:pt>
                <c:pt idx="140">
                  <c:v>1.2671620351467101</c:v>
                </c:pt>
                <c:pt idx="141">
                  <c:v>1.26712097092832</c:v>
                </c:pt>
                <c:pt idx="142">
                  <c:v>1.2670638465045401</c:v>
                </c:pt>
                <c:pt idx="143">
                  <c:v>1.2670487833436701</c:v>
                </c:pt>
                <c:pt idx="144">
                  <c:v>1.2671115813670499</c:v>
                </c:pt>
                <c:pt idx="145">
                  <c:v>1.2670589450322001</c:v>
                </c:pt>
                <c:pt idx="146">
                  <c:v>1.2670380884210799</c:v>
                </c:pt>
                <c:pt idx="147">
                  <c:v>1.2669554466670701</c:v>
                </c:pt>
                <c:pt idx="148">
                  <c:v>1.26693656381261</c:v>
                </c:pt>
                <c:pt idx="149">
                  <c:v>1.2669973352661501</c:v>
                </c:pt>
                <c:pt idx="150">
                  <c:v>1.2669822105578601</c:v>
                </c:pt>
                <c:pt idx="151">
                  <c:v>1.2669612753332</c:v>
                </c:pt>
                <c:pt idx="152">
                  <c:v>1.2669643038731899</c:v>
                </c:pt>
                <c:pt idx="153">
                  <c:v>1.2669354212694</c:v>
                </c:pt>
                <c:pt idx="154">
                  <c:v>1.2669225019724</c:v>
                </c:pt>
                <c:pt idx="155">
                  <c:v>1.2669126850514401</c:v>
                </c:pt>
                <c:pt idx="156">
                  <c:v>1.26691668610071</c:v>
                </c:pt>
                <c:pt idx="157">
                  <c:v>1.2669104429629201</c:v>
                </c:pt>
                <c:pt idx="158">
                  <c:v>1.2669344571861101</c:v>
                </c:pt>
                <c:pt idx="159">
                  <c:v>1.2669445917537601</c:v>
                </c:pt>
                <c:pt idx="160">
                  <c:v>1.2669053161602899</c:v>
                </c:pt>
                <c:pt idx="161">
                  <c:v>1.26697770984377</c:v>
                </c:pt>
                <c:pt idx="162">
                  <c:v>1.2670422744683301</c:v>
                </c:pt>
                <c:pt idx="163">
                  <c:v>1.26713067985747</c:v>
                </c:pt>
                <c:pt idx="164">
                  <c:v>1.26708542656833</c:v>
                </c:pt>
                <c:pt idx="165">
                  <c:v>1.2671260025726501</c:v>
                </c:pt>
                <c:pt idx="166">
                  <c:v>1.2671058354945599</c:v>
                </c:pt>
                <c:pt idx="167">
                  <c:v>1.26718368281595</c:v>
                </c:pt>
                <c:pt idx="168">
                  <c:v>1.26723569515213</c:v>
                </c:pt>
                <c:pt idx="169">
                  <c:v>1.2672679663180899</c:v>
                </c:pt>
                <c:pt idx="170">
                  <c:v>1.26726010743707</c:v>
                </c:pt>
                <c:pt idx="171">
                  <c:v>1.2672841982112999</c:v>
                </c:pt>
                <c:pt idx="172">
                  <c:v>1.26735304991623</c:v>
                </c:pt>
                <c:pt idx="173">
                  <c:v>1.26739381741737</c:v>
                </c:pt>
                <c:pt idx="174">
                  <c:v>1.26739601171056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78-44B5-8893-36E245AD0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BSCV x avg / IBDW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7.4218112217024198E-4</c:v>
                </c:pt>
                <c:pt idx="2">
                  <c:v>9.9451200889407202E-4</c:v>
                </c:pt>
                <c:pt idx="3">
                  <c:v>1.9383535136004799E-3</c:v>
                </c:pt>
                <c:pt idx="4">
                  <c:v>9.6201086958503399E-4</c:v>
                </c:pt>
                <c:pt idx="5">
                  <c:v>9.6201086958503399E-4</c:v>
                </c:pt>
                <c:pt idx="6">
                  <c:v>1.43493591978028E-3</c:v>
                </c:pt>
                <c:pt idx="7">
                  <c:v>7.4218112217024198E-4</c:v>
                </c:pt>
                <c:pt idx="8">
                  <c:v>1.59206207149055E-3</c:v>
                </c:pt>
                <c:pt idx="9">
                  <c:v>1.21443614865667E-3</c:v>
                </c:pt>
                <c:pt idx="10">
                  <c:v>9.6201086958503399E-4</c:v>
                </c:pt>
                <c:pt idx="11">
                  <c:v>-1.6041204400573401E-3</c:v>
                </c:pt>
                <c:pt idx="12">
                  <c:v>-3.11213509713411E-3</c:v>
                </c:pt>
                <c:pt idx="13">
                  <c:v>-2.5109929089077998E-3</c:v>
                </c:pt>
                <c:pt idx="14">
                  <c:v>-2.9834710655830899E-3</c:v>
                </c:pt>
                <c:pt idx="15">
                  <c:v>-2.8549450586793299E-3</c:v>
                </c:pt>
                <c:pt idx="16">
                  <c:v>-2.7265568533829301E-3</c:v>
                </c:pt>
                <c:pt idx="17">
                  <c:v>-3.4557260920696198E-3</c:v>
                </c:pt>
                <c:pt idx="18">
                  <c:v>-2.12649682937687E-3</c:v>
                </c:pt>
                <c:pt idx="19">
                  <c:v>-2.3422168239650601E-3</c:v>
                </c:pt>
                <c:pt idx="20">
                  <c:v>2.12983496881011E-3</c:v>
                </c:pt>
                <c:pt idx="21">
                  <c:v>2.0038209361417001E-3</c:v>
                </c:pt>
                <c:pt idx="22">
                  <c:v>2.0038209361417001E-3</c:v>
                </c:pt>
                <c:pt idx="23">
                  <c:v>1.8127011979099199E-3</c:v>
                </c:pt>
                <c:pt idx="24">
                  <c:v>1.8127011979099199E-3</c:v>
                </c:pt>
                <c:pt idx="25">
                  <c:v>1.9383535136004799E-3</c:v>
                </c:pt>
                <c:pt idx="26">
                  <c:v>1.71766838261248E-3</c:v>
                </c:pt>
                <c:pt idx="27">
                  <c:v>1.9383535136004799E-3</c:v>
                </c:pt>
                <c:pt idx="28">
                  <c:v>1.9684788080809698E-3</c:v>
                </c:pt>
                <c:pt idx="29">
                  <c:v>1.5286472032641401E-3</c:v>
                </c:pt>
                <c:pt idx="30">
                  <c:v>9.3358619195334897E-4</c:v>
                </c:pt>
                <c:pt idx="31">
                  <c:v>1.4034006238977199E-3</c:v>
                </c:pt>
                <c:pt idx="32">
                  <c:v>1.9984616352087198E-3</c:v>
                </c:pt>
                <c:pt idx="33">
                  <c:v>1.5286472032641401E-3</c:v>
                </c:pt>
                <c:pt idx="34">
                  <c:v>-2.6033661464189201E-3</c:v>
                </c:pt>
                <c:pt idx="35">
                  <c:v>-2.8583255555786002E-3</c:v>
                </c:pt>
                <c:pt idx="36">
                  <c:v>-2.0470419461844202E-3</c:v>
                </c:pt>
                <c:pt idx="37">
                  <c:v>-2.73077796001347E-3</c:v>
                </c:pt>
                <c:pt idx="38">
                  <c:v>-2.0075960960297201E-3</c:v>
                </c:pt>
                <c:pt idx="39">
                  <c:v>5.2292511026977003E-4</c:v>
                </c:pt>
                <c:pt idx="40">
                  <c:v>1.46632140665314E-3</c:v>
                </c:pt>
                <c:pt idx="41">
                  <c:v>2.7014901522275802E-4</c:v>
                </c:pt>
                <c:pt idx="42">
                  <c:v>3.6267012644198698E-4</c:v>
                </c:pt>
                <c:pt idx="43">
                  <c:v>1.05595356659575E-3</c:v>
                </c:pt>
                <c:pt idx="44">
                  <c:v>1.08829112073904E-3</c:v>
                </c:pt>
                <c:pt idx="45">
                  <c:v>1.05595356659575E-3</c:v>
                </c:pt>
                <c:pt idx="46">
                  <c:v>6.4229317587284303E-4</c:v>
                </c:pt>
                <c:pt idx="47">
                  <c:v>1.40340062389794E-3</c:v>
                </c:pt>
                <c:pt idx="48">
                  <c:v>1.1479401550159301E-3</c:v>
                </c:pt>
                <c:pt idx="49">
                  <c:v>1.1804103230517E-3</c:v>
                </c:pt>
                <c:pt idx="50">
                  <c:v>1.4668906718539299E-3</c:v>
                </c:pt>
                <c:pt idx="51">
                  <c:v>9.2504615412089802E-4</c:v>
                </c:pt>
                <c:pt idx="52">
                  <c:v>8.3044415291435398E-4</c:v>
                </c:pt>
                <c:pt idx="53">
                  <c:v>1.33929600513812E-3</c:v>
                </c:pt>
                <c:pt idx="54">
                  <c:v>-2.0204383766989102E-3</c:v>
                </c:pt>
                <c:pt idx="55">
                  <c:v>-3.15168520170872E-3</c:v>
                </c:pt>
                <c:pt idx="56">
                  <c:v>-2.6296372989816599E-3</c:v>
                </c:pt>
                <c:pt idx="57">
                  <c:v>-2.3627184526181901E-3</c:v>
                </c:pt>
                <c:pt idx="58">
                  <c:v>-2.8445300735988701E-3</c:v>
                </c:pt>
                <c:pt idx="59">
                  <c:v>-2.54099815982912E-3</c:v>
                </c:pt>
                <c:pt idx="60">
                  <c:v>-2.4581625208563401E-3</c:v>
                </c:pt>
                <c:pt idx="61">
                  <c:v>8.9192436442562801E-4</c:v>
                </c:pt>
                <c:pt idx="62">
                  <c:v>1.8819840261885901E-3</c:v>
                </c:pt>
                <c:pt idx="63">
                  <c:v>1.4992733050506299E-3</c:v>
                </c:pt>
                <c:pt idx="64">
                  <c:v>1.53092317962259E-3</c:v>
                </c:pt>
                <c:pt idx="65">
                  <c:v>1.5624210583585301E-3</c:v>
                </c:pt>
                <c:pt idx="66">
                  <c:v>6.0867754304901002E-4</c:v>
                </c:pt>
                <c:pt idx="67">
                  <c:v>3.5323106821946899E-4</c:v>
                </c:pt>
                <c:pt idx="68">
                  <c:v>8.6357240317659503E-4</c:v>
                </c:pt>
                <c:pt idx="69">
                  <c:v>1.3717144438225701E-3</c:v>
                </c:pt>
                <c:pt idx="70">
                  <c:v>1.8471125987230099E-3</c:v>
                </c:pt>
                <c:pt idx="71">
                  <c:v>1.33987629405824E-3</c:v>
                </c:pt>
                <c:pt idx="72">
                  <c:v>1.7513862650930601E-3</c:v>
                </c:pt>
                <c:pt idx="73">
                  <c:v>-2.4642176894979898E-3</c:v>
                </c:pt>
                <c:pt idx="74">
                  <c:v>-2.1584909424628598E-3</c:v>
                </c:pt>
                <c:pt idx="75">
                  <c:v>-2.9808991935473899E-3</c:v>
                </c:pt>
                <c:pt idx="76">
                  <c:v>-3.3698781287598602E-3</c:v>
                </c:pt>
                <c:pt idx="77">
                  <c:v>-3.5860429336483099E-3</c:v>
                </c:pt>
                <c:pt idx="78">
                  <c:v>-2.7640011032580699E-3</c:v>
                </c:pt>
                <c:pt idx="79">
                  <c:v>-3.0232877085154398E-3</c:v>
                </c:pt>
                <c:pt idx="80">
                  <c:v>-3.3264027032373E-3</c:v>
                </c:pt>
                <c:pt idx="81">
                  <c:v>-2.1989431986928899E-3</c:v>
                </c:pt>
                <c:pt idx="82">
                  <c:v>1.6269820803443899E-3</c:v>
                </c:pt>
                <c:pt idx="83">
                  <c:v>5.0685546442442195E-4</c:v>
                </c:pt>
                <c:pt idx="84">
                  <c:v>1.37142569224147E-3</c:v>
                </c:pt>
                <c:pt idx="85">
                  <c:v>2.13643334041794E-3</c:v>
                </c:pt>
                <c:pt idx="86">
                  <c:v>1.6269820803443899E-3</c:v>
                </c:pt>
                <c:pt idx="87">
                  <c:v>2.13643334041794E-3</c:v>
                </c:pt>
                <c:pt idx="88">
                  <c:v>1.1479401550159301E-3</c:v>
                </c:pt>
                <c:pt idx="89">
                  <c:v>2.2035927126861999E-3</c:v>
                </c:pt>
                <c:pt idx="90">
                  <c:v>7.6370765469858405E-4</c:v>
                </c:pt>
                <c:pt idx="91">
                  <c:v>1.5955051293392801E-3</c:v>
                </c:pt>
                <c:pt idx="92">
                  <c:v>1.17836726979063E-3</c:v>
                </c:pt>
                <c:pt idx="93">
                  <c:v>-2.14213089043739E-3</c:v>
                </c:pt>
                <c:pt idx="94">
                  <c:v>-1.6991808836996801E-3</c:v>
                </c:pt>
                <c:pt idx="95">
                  <c:v>-2.1013697680359301E-3</c:v>
                </c:pt>
                <c:pt idx="96">
                  <c:v>-2.5827175510964801E-3</c:v>
                </c:pt>
                <c:pt idx="97">
                  <c:v>-2.5827175510964801E-3</c:v>
                </c:pt>
                <c:pt idx="98">
                  <c:v>-1.93068382901395E-3</c:v>
                </c:pt>
                <c:pt idx="99">
                  <c:v>-3.36987812875975E-3</c:v>
                </c:pt>
                <c:pt idx="100">
                  <c:v>-3.1086792243101399E-3</c:v>
                </c:pt>
                <c:pt idx="101">
                  <c:v>-3.3264027032373E-3</c:v>
                </c:pt>
                <c:pt idx="102">
                  <c:v>1.9481240300325501E-3</c:v>
                </c:pt>
                <c:pt idx="103">
                  <c:v>1.2109819202062401E-3</c:v>
                </c:pt>
                <c:pt idx="104">
                  <c:v>1.5638756302600401E-3</c:v>
                </c:pt>
                <c:pt idx="105">
                  <c:v>1.2109819202062401E-3</c:v>
                </c:pt>
                <c:pt idx="106">
                  <c:v>1.7577763625331701E-3</c:v>
                </c:pt>
                <c:pt idx="107">
                  <c:v>1.2745678486615699E-3</c:v>
                </c:pt>
                <c:pt idx="108">
                  <c:v>1.7890543116701699E-3</c:v>
                </c:pt>
                <c:pt idx="109">
                  <c:v>1.5320924714468101E-3</c:v>
                </c:pt>
                <c:pt idx="110">
                  <c:v>2.0759279106191499E-3</c:v>
                </c:pt>
                <c:pt idx="111">
                  <c:v>1.9481240300325501E-3</c:v>
                </c:pt>
                <c:pt idx="112">
                  <c:v>1.5955051293392801E-3</c:v>
                </c:pt>
                <c:pt idx="113">
                  <c:v>1.7234006266285901E-3</c:v>
                </c:pt>
                <c:pt idx="114">
                  <c:v>1.66064362348364E-3</c:v>
                </c:pt>
                <c:pt idx="115">
                  <c:v>1.2109819202062401E-3</c:v>
                </c:pt>
                <c:pt idx="116">
                  <c:v>-2.8445300735988701E-3</c:v>
                </c:pt>
                <c:pt idx="117">
                  <c:v>-2.5827175510964801E-3</c:v>
                </c:pt>
                <c:pt idx="118">
                  <c:v>-1.45049174295618E-3</c:v>
                </c:pt>
                <c:pt idx="119">
                  <c:v>-1.6708644546826999E-3</c:v>
                </c:pt>
                <c:pt idx="120">
                  <c:v>-1.890652277133E-3</c:v>
                </c:pt>
                <c:pt idx="121">
                  <c:v>-2.3694648311695199E-3</c:v>
                </c:pt>
                <c:pt idx="122">
                  <c:v>-2.4106454412995098E-3</c:v>
                </c:pt>
                <c:pt idx="123">
                  <c:v>1.7890543116701699E-3</c:v>
                </c:pt>
                <c:pt idx="124">
                  <c:v>2.1734459021068302E-3</c:v>
                </c:pt>
                <c:pt idx="125">
                  <c:v>1.2109819202062401E-3</c:v>
                </c:pt>
                <c:pt idx="126">
                  <c:v>2.0148344552361999E-3</c:v>
                </c:pt>
                <c:pt idx="127">
                  <c:v>1.1455939130500901E-3</c:v>
                </c:pt>
                <c:pt idx="128">
                  <c:v>1.5320924714468101E-3</c:v>
                </c:pt>
                <c:pt idx="129">
                  <c:v>2.2412184797565601E-3</c:v>
                </c:pt>
                <c:pt idx="130">
                  <c:v>8.5362133026066901E-4</c:v>
                </c:pt>
                <c:pt idx="131">
                  <c:v>1.5001545304121401E-3</c:v>
                </c:pt>
                <c:pt idx="132">
                  <c:v>1.66064362348364E-3</c:v>
                </c:pt>
                <c:pt idx="133">
                  <c:v>1.04958341504077E-3</c:v>
                </c:pt>
                <c:pt idx="134">
                  <c:v>1.5320924714468101E-3</c:v>
                </c:pt>
                <c:pt idx="135">
                  <c:v>-2.05194972115375E-3</c:v>
                </c:pt>
                <c:pt idx="136">
                  <c:v>-2.9299502698324599E-3</c:v>
                </c:pt>
                <c:pt idx="137">
                  <c:v>-3.3258126474474E-3</c:v>
                </c:pt>
                <c:pt idx="138">
                  <c:v>-2.2656133463919799E-3</c:v>
                </c:pt>
                <c:pt idx="139">
                  <c:v>-2.0021001132315098E-3</c:v>
                </c:pt>
                <c:pt idx="140">
                  <c:v>-2.84096415310092E-3</c:v>
                </c:pt>
                <c:pt idx="141">
                  <c:v>-1.8302319431670201E-3</c:v>
                </c:pt>
                <c:pt idx="142">
                  <c:v>-1.6079183741858399E-3</c:v>
                </c:pt>
                <c:pt idx="143">
                  <c:v>-1.9614271917020101E-3</c:v>
                </c:pt>
                <c:pt idx="144">
                  <c:v>-2.84096415310092E-3</c:v>
                </c:pt>
                <c:pt idx="145">
                  <c:v>2.0513837990088399E-3</c:v>
                </c:pt>
                <c:pt idx="146">
                  <c:v>2.3396547076884999E-3</c:v>
                </c:pt>
                <c:pt idx="147">
                  <c:v>2.4682088170473598E-3</c:v>
                </c:pt>
                <c:pt idx="148">
                  <c:v>1.82402412353918E-3</c:v>
                </c:pt>
                <c:pt idx="149">
                  <c:v>1.2419670938032101E-3</c:v>
                </c:pt>
                <c:pt idx="150">
                  <c:v>1.0795664241766601E-3</c:v>
                </c:pt>
                <c:pt idx="151">
                  <c:v>1.82402412353918E-3</c:v>
                </c:pt>
                <c:pt idx="152">
                  <c:v>1.5972742189214401E-3</c:v>
                </c:pt>
                <c:pt idx="153">
                  <c:v>1.5001545304121401E-3</c:v>
                </c:pt>
                <c:pt idx="154">
                  <c:v>1.72634588748277E-3</c:v>
                </c:pt>
                <c:pt idx="155">
                  <c:v>2.0821227132679599E-3</c:v>
                </c:pt>
                <c:pt idx="156">
                  <c:v>9.8321217936196193E-4</c:v>
                </c:pt>
                <c:pt idx="157">
                  <c:v>7.5782280935239197E-4</c:v>
                </c:pt>
                <c:pt idx="158">
                  <c:v>1.3387050167069699E-3</c:v>
                </c:pt>
                <c:pt idx="159">
                  <c:v>1.82402412353918E-3</c:v>
                </c:pt>
                <c:pt idx="160">
                  <c:v>-2.35588046665469E-3</c:v>
                </c:pt>
                <c:pt idx="161">
                  <c:v>-3.15020894965889E-3</c:v>
                </c:pt>
                <c:pt idx="162">
                  <c:v>-2.7982862298022498E-3</c:v>
                </c:pt>
                <c:pt idx="163">
                  <c:v>-3.5459034768644702E-3</c:v>
                </c:pt>
                <c:pt idx="164">
                  <c:v>-2.2656133463919799E-3</c:v>
                </c:pt>
                <c:pt idx="165">
                  <c:v>-2.7516400874296001E-3</c:v>
                </c:pt>
                <c:pt idx="166">
                  <c:v>2.57802879341139E-3</c:v>
                </c:pt>
                <c:pt idx="167">
                  <c:v>1.10995904112033E-3</c:v>
                </c:pt>
                <c:pt idx="168">
                  <c:v>8.8243160977045704E-4</c:v>
                </c:pt>
                <c:pt idx="169">
                  <c:v>6.21081006450512E-4</c:v>
                </c:pt>
                <c:pt idx="170">
                  <c:v>1.10995904112033E-3</c:v>
                </c:pt>
                <c:pt idx="171">
                  <c:v>1.3381030300909601E-3</c:v>
                </c:pt>
                <c:pt idx="172">
                  <c:v>3.8481964900999299E-4</c:v>
                </c:pt>
                <c:pt idx="173">
                  <c:v>7.4572220492703995E-4</c:v>
                </c:pt>
                <c:pt idx="174">
                  <c:v>1.6009119814427901E-3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D-4774-9E98-87479BA79D8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BSCV x 10 dma / IBDW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-2.9954995052137198E-4</c:v>
                </c:pt>
                <c:pt idx="11">
                  <c:v>-2.7585216541644699E-3</c:v>
                </c:pt>
                <c:pt idx="12">
                  <c:v>-4.0315614390398699E-3</c:v>
                </c:pt>
                <c:pt idx="13">
                  <c:v>-3.0190256884347899E-3</c:v>
                </c:pt>
                <c:pt idx="14">
                  <c:v>-3.0463143717502799E-3</c:v>
                </c:pt>
                <c:pt idx="15">
                  <c:v>-2.5228940922527201E-3</c:v>
                </c:pt>
                <c:pt idx="16">
                  <c:v>-2.0126483871462202E-3</c:v>
                </c:pt>
                <c:pt idx="17">
                  <c:v>-2.3257829406510598E-3</c:v>
                </c:pt>
                <c:pt idx="18">
                  <c:v>-5.7675554414383598E-4</c:v>
                </c:pt>
                <c:pt idx="19">
                  <c:v>-4.2116498734202402E-4</c:v>
                </c:pt>
                <c:pt idx="20">
                  <c:v>4.4060068594632398E-3</c:v>
                </c:pt>
                <c:pt idx="21">
                  <c:v>4.1636491441236099E-3</c:v>
                </c:pt>
                <c:pt idx="22">
                  <c:v>3.8036403703703599E-3</c:v>
                </c:pt>
                <c:pt idx="23">
                  <c:v>3.1014307660441002E-3</c:v>
                </c:pt>
                <c:pt idx="24">
                  <c:v>2.6693737521661502E-3</c:v>
                </c:pt>
                <c:pt idx="25">
                  <c:v>2.31542348756881E-3</c:v>
                </c:pt>
                <c:pt idx="26">
                  <c:v>1.61525417073917E-3</c:v>
                </c:pt>
                <c:pt idx="27">
                  <c:v>1.3911477236378601E-3</c:v>
                </c:pt>
                <c:pt idx="28">
                  <c:v>8.8101362019764101E-4</c:v>
                </c:pt>
                <c:pt idx="29">
                  <c:v>3.1122155086357301E-5</c:v>
                </c:pt>
                <c:pt idx="30">
                  <c:v>-9.5183855919825497E-4</c:v>
                </c:pt>
                <c:pt idx="31">
                  <c:v>-3.6236408148331597E-4</c:v>
                </c:pt>
                <c:pt idx="32">
                  <c:v>2.9274089124277001E-4</c:v>
                </c:pt>
                <c:pt idx="33">
                  <c:v>-1.7653776905290401E-4</c:v>
                </c:pt>
                <c:pt idx="34">
                  <c:v>-4.2801451423206301E-3</c:v>
                </c:pt>
                <c:pt idx="35">
                  <c:v>-4.0926793348516101E-3</c:v>
                </c:pt>
                <c:pt idx="36">
                  <c:v>-2.8010293429960799E-3</c:v>
                </c:pt>
                <c:pt idx="37">
                  <c:v>-3.1080190660862398E-3</c:v>
                </c:pt>
                <c:pt idx="38">
                  <c:v>-1.9176714939535199E-3</c:v>
                </c:pt>
                <c:pt idx="39">
                  <c:v>1.0103504737045601E-3</c:v>
                </c:pt>
                <c:pt idx="40">
                  <c:v>2.0541618699162398E-3</c:v>
                </c:pt>
                <c:pt idx="41">
                  <c:v>8.04809699378118E-4</c:v>
                </c:pt>
                <c:pt idx="42">
                  <c:v>1.0104942626706799E-3</c:v>
                </c:pt>
                <c:pt idx="43">
                  <c:v>1.86704472988931E-3</c:v>
                </c:pt>
                <c:pt idx="44">
                  <c:v>1.94655121417961E-3</c:v>
                </c:pt>
                <c:pt idx="45">
                  <c:v>1.5450167603754199E-3</c:v>
                </c:pt>
                <c:pt idx="46">
                  <c:v>7.3969016663696702E-4</c:v>
                </c:pt>
                <c:pt idx="47">
                  <c:v>1.2316650605259799E-3</c:v>
                </c:pt>
                <c:pt idx="48">
                  <c:v>5.6235529117862901E-4</c:v>
                </c:pt>
                <c:pt idx="49">
                  <c:v>2.7890122431644499E-4</c:v>
                </c:pt>
                <c:pt idx="50">
                  <c:v>4.9962761183268997E-4</c:v>
                </c:pt>
                <c:pt idx="51">
                  <c:v>-4.2273804003419302E-5</c:v>
                </c:pt>
                <c:pt idx="52">
                  <c:v>-2.02391883890885E-4</c:v>
                </c:pt>
                <c:pt idx="53">
                  <c:v>2.5966105776113301E-4</c:v>
                </c:pt>
                <c:pt idx="54">
                  <c:v>-3.1284046263971199E-3</c:v>
                </c:pt>
                <c:pt idx="55">
                  <c:v>-3.9483371278866298E-3</c:v>
                </c:pt>
                <c:pt idx="56">
                  <c:v>-3.0048370381713799E-3</c:v>
                </c:pt>
                <c:pt idx="57">
                  <c:v>-2.41033046886629E-3</c:v>
                </c:pt>
                <c:pt idx="58">
                  <c:v>-2.5154023059787201E-3</c:v>
                </c:pt>
                <c:pt idx="59">
                  <c:v>-1.8124955350319501E-3</c:v>
                </c:pt>
                <c:pt idx="60">
                  <c:v>-1.3576059936764001E-3</c:v>
                </c:pt>
                <c:pt idx="61">
                  <c:v>2.3846721828667001E-3</c:v>
                </c:pt>
                <c:pt idx="62">
                  <c:v>3.3780360743682299E-3</c:v>
                </c:pt>
                <c:pt idx="63">
                  <c:v>2.8904653632829398E-3</c:v>
                </c:pt>
                <c:pt idx="64">
                  <c:v>2.9061622787242601E-3</c:v>
                </c:pt>
                <c:pt idx="65">
                  <c:v>2.5828621300452098E-3</c:v>
                </c:pt>
                <c:pt idx="66">
                  <c:v>1.1577028901347799E-3</c:v>
                </c:pt>
                <c:pt idx="67">
                  <c:v>5.7822282833845402E-4</c:v>
                </c:pt>
                <c:pt idx="68">
                  <c:v>8.1672032220616697E-4</c:v>
                </c:pt>
                <c:pt idx="69">
                  <c:v>9.5359813996784195E-4</c:v>
                </c:pt>
                <c:pt idx="70">
                  <c:v>1.03725551703341E-3</c:v>
                </c:pt>
                <c:pt idx="71">
                  <c:v>9.8917986197597397E-5</c:v>
                </c:pt>
                <c:pt idx="72">
                  <c:v>4.6562615796250702E-4</c:v>
                </c:pt>
                <c:pt idx="73">
                  <c:v>-3.7369250376189998E-3</c:v>
                </c:pt>
                <c:pt idx="74">
                  <c:v>-3.03423145830667E-3</c:v>
                </c:pt>
                <c:pt idx="75">
                  <c:v>-3.4873271660245302E-3</c:v>
                </c:pt>
                <c:pt idx="76">
                  <c:v>-3.4215244613400001E-3</c:v>
                </c:pt>
                <c:pt idx="77">
                  <c:v>-3.23934255130415E-3</c:v>
                </c:pt>
                <c:pt idx="78">
                  <c:v>-2.0229503425548199E-3</c:v>
                </c:pt>
                <c:pt idx="79">
                  <c:v>-1.9194693227930801E-3</c:v>
                </c:pt>
                <c:pt idx="80">
                  <c:v>-1.78330242510383E-3</c:v>
                </c:pt>
                <c:pt idx="81">
                  <c:v>-1.3903988141440799E-4</c:v>
                </c:pt>
                <c:pt idx="82">
                  <c:v>4.0401286451168597E-3</c:v>
                </c:pt>
                <c:pt idx="83">
                  <c:v>2.93239144075691E-3</c:v>
                </c:pt>
                <c:pt idx="84">
                  <c:v>3.5002397868130601E-3</c:v>
                </c:pt>
                <c:pt idx="85">
                  <c:v>3.9128054969417101E-3</c:v>
                </c:pt>
                <c:pt idx="86">
                  <c:v>2.89218228884297E-3</c:v>
                </c:pt>
                <c:pt idx="87">
                  <c:v>2.90201893549079E-3</c:v>
                </c:pt>
                <c:pt idx="88">
                  <c:v>1.34113689490111E-3</c:v>
                </c:pt>
                <c:pt idx="89">
                  <c:v>2.00527785318544E-3</c:v>
                </c:pt>
                <c:pt idx="90">
                  <c:v>4.2249366179045299E-5</c:v>
                </c:pt>
                <c:pt idx="91">
                  <c:v>4.6413152500535999E-4</c:v>
                </c:pt>
                <c:pt idx="92">
                  <c:v>-3.3306777893384E-4</c:v>
                </c:pt>
                <c:pt idx="93">
                  <c:v>-3.60870058477842E-3</c:v>
                </c:pt>
                <c:pt idx="94">
                  <c:v>-2.9002813299856202E-3</c:v>
                </c:pt>
                <c:pt idx="95">
                  <c:v>-2.99503728104092E-3</c:v>
                </c:pt>
                <c:pt idx="96">
                  <c:v>-3.0523229111652202E-3</c:v>
                </c:pt>
                <c:pt idx="97">
                  <c:v>-2.6310423412771199E-3</c:v>
                </c:pt>
                <c:pt idx="98">
                  <c:v>-1.50707634286125E-3</c:v>
                </c:pt>
                <c:pt idx="99">
                  <c:v>-2.6384654235005901E-3</c:v>
                </c:pt>
                <c:pt idx="100">
                  <c:v>-1.8201565599302301E-3</c:v>
                </c:pt>
                <c:pt idx="101">
                  <c:v>-1.65076098064957E-3</c:v>
                </c:pt>
                <c:pt idx="102">
                  <c:v>4.1154375339030698E-3</c:v>
                </c:pt>
                <c:pt idx="103">
                  <c:v>3.3016034327437902E-3</c:v>
                </c:pt>
                <c:pt idx="104">
                  <c:v>3.3196741120272602E-3</c:v>
                </c:pt>
                <c:pt idx="105">
                  <c:v>2.6409719230739599E-3</c:v>
                </c:pt>
                <c:pt idx="106">
                  <c:v>2.8568023212714E-3</c:v>
                </c:pt>
                <c:pt idx="107">
                  <c:v>1.9397478746706099E-3</c:v>
                </c:pt>
                <c:pt idx="108">
                  <c:v>2.0684354313065998E-3</c:v>
                </c:pt>
                <c:pt idx="109">
                  <c:v>1.4395079651075E-3</c:v>
                </c:pt>
                <c:pt idx="110">
                  <c:v>1.4925293493945301E-3</c:v>
                </c:pt>
                <c:pt idx="111">
                  <c:v>8.4555892698581401E-4</c:v>
                </c:pt>
                <c:pt idx="112">
                  <c:v>-3.5598798007727702E-5</c:v>
                </c:pt>
                <c:pt idx="113">
                  <c:v>1.2755300664786699E-4</c:v>
                </c:pt>
                <c:pt idx="114">
                  <c:v>1.35462260367376E-5</c:v>
                </c:pt>
                <c:pt idx="115">
                  <c:v>-4.4579266051468502E-4</c:v>
                </c:pt>
                <c:pt idx="116">
                  <c:v>-4.5013046543197202E-3</c:v>
                </c:pt>
                <c:pt idx="117">
                  <c:v>-3.7783537299498401E-3</c:v>
                </c:pt>
                <c:pt idx="118">
                  <c:v>-2.2597596454837802E-3</c:v>
                </c:pt>
                <c:pt idx="119">
                  <c:v>-2.1560227462238202E-3</c:v>
                </c:pt>
                <c:pt idx="120">
                  <c:v>-2.0553884123326099E-3</c:v>
                </c:pt>
                <c:pt idx="121">
                  <c:v>-2.1375927475680199E-3</c:v>
                </c:pt>
                <c:pt idx="122">
                  <c:v>-1.7471164673835799E-3</c:v>
                </c:pt>
                <c:pt idx="123">
                  <c:v>2.8530158988047498E-3</c:v>
                </c:pt>
                <c:pt idx="124">
                  <c:v>3.2308605888009502E-3</c:v>
                </c:pt>
                <c:pt idx="125">
                  <c:v>2.2172673757357001E-3</c:v>
                </c:pt>
                <c:pt idx="126">
                  <c:v>3.0211199107658599E-3</c:v>
                </c:pt>
                <c:pt idx="127">
                  <c:v>1.6661117880390501E-3</c:v>
                </c:pt>
                <c:pt idx="128">
                  <c:v>1.6796355933429701E-3</c:v>
                </c:pt>
                <c:pt idx="129">
                  <c:v>2.0905147682564302E-3</c:v>
                </c:pt>
                <c:pt idx="130">
                  <c:v>3.1168515797740901E-4</c:v>
                </c:pt>
                <c:pt idx="131">
                  <c:v>6.8346199780694699E-4</c:v>
                </c:pt>
                <c:pt idx="132">
                  <c:v>4.5642930910419098E-4</c:v>
                </c:pt>
                <c:pt idx="133">
                  <c:v>-5.6248670142041303E-4</c:v>
                </c:pt>
                <c:pt idx="134">
                  <c:v>-6.0190339037973004E-6</c:v>
                </c:pt>
                <c:pt idx="135">
                  <c:v>-3.5259481151326101E-3</c:v>
                </c:pt>
                <c:pt idx="136">
                  <c:v>-4.0770900362191199E-3</c:v>
                </c:pt>
                <c:pt idx="137">
                  <c:v>-3.9778019185419504E-3</c:v>
                </c:pt>
                <c:pt idx="138">
                  <c:v>-2.46978223277191E-3</c:v>
                </c:pt>
                <c:pt idx="139">
                  <c:v>-1.8263534824496401E-3</c:v>
                </c:pt>
                <c:pt idx="140">
                  <c:v>-2.2411005842330601E-3</c:v>
                </c:pt>
                <c:pt idx="141">
                  <c:v>-8.6083237826236399E-4</c:v>
                </c:pt>
                <c:pt idx="142">
                  <c:v>-3.05803139676116E-4</c:v>
                </c:pt>
                <c:pt idx="143">
                  <c:v>-3.3294280925042798E-4</c:v>
                </c:pt>
                <c:pt idx="144">
                  <c:v>-9.1177666497517301E-4</c:v>
                </c:pt>
                <c:pt idx="145">
                  <c:v>4.4172248495987498E-3</c:v>
                </c:pt>
                <c:pt idx="146">
                  <c:v>4.2960478269057096E-3</c:v>
                </c:pt>
                <c:pt idx="147">
                  <c:v>3.8983770817361098E-3</c:v>
                </c:pt>
                <c:pt idx="148">
                  <c:v>2.67520175281615E-3</c:v>
                </c:pt>
                <c:pt idx="149">
                  <c:v>1.68435487064099E-3</c:v>
                </c:pt>
                <c:pt idx="150">
                  <c:v>1.1975149301465099E-3</c:v>
                </c:pt>
                <c:pt idx="151">
                  <c:v>1.54954317745191E-3</c:v>
                </c:pt>
                <c:pt idx="152">
                  <c:v>9.5719919071761699E-4</c:v>
                </c:pt>
                <c:pt idx="153">
                  <c:v>5.3930173295117702E-4</c:v>
                </c:pt>
                <c:pt idx="154">
                  <c:v>4.1886198564884902E-4</c:v>
                </c:pt>
                <c:pt idx="155">
                  <c:v>3.1695018277090597E-4</c:v>
                </c:pt>
                <c:pt idx="156">
                  <c:v>-7.8503332039580698E-4</c:v>
                </c:pt>
                <c:pt idx="157">
                  <c:v>-8.7477313877375098E-4</c:v>
                </c:pt>
                <c:pt idx="158">
                  <c:v>-1.2286358681947899E-4</c:v>
                </c:pt>
                <c:pt idx="159">
                  <c:v>4.1098044024036199E-4</c:v>
                </c:pt>
                <c:pt idx="160">
                  <c:v>-3.8271245658924799E-3</c:v>
                </c:pt>
                <c:pt idx="161">
                  <c:v>-4.2772419995321604E-3</c:v>
                </c:pt>
                <c:pt idx="162">
                  <c:v>-3.4271283287237099E-3</c:v>
                </c:pt>
                <c:pt idx="163">
                  <c:v>-3.73474529126576E-3</c:v>
                </c:pt>
                <c:pt idx="164">
                  <c:v>-1.9493645941133699E-3</c:v>
                </c:pt>
                <c:pt idx="165">
                  <c:v>-2.0362934049820299E-3</c:v>
                </c:pt>
                <c:pt idx="166">
                  <c:v>3.7764515940770199E-3</c:v>
                </c:pt>
                <c:pt idx="167">
                  <c:v>2.1493619163308001E-3</c:v>
                </c:pt>
                <c:pt idx="168">
                  <c:v>1.8866896623609001E-3</c:v>
                </c:pt>
                <c:pt idx="169">
                  <c:v>1.6708689716866201E-3</c:v>
                </c:pt>
                <c:pt idx="170">
                  <c:v>2.2797610840209199E-3</c:v>
                </c:pt>
                <c:pt idx="171">
                  <c:v>2.1614504149757401E-3</c:v>
                </c:pt>
                <c:pt idx="172">
                  <c:v>7.5919756506409803E-4</c:v>
                </c:pt>
                <c:pt idx="173">
                  <c:v>8.0147358473744198E-4</c:v>
                </c:pt>
                <c:pt idx="174">
                  <c:v>1.22683077042672E-3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D-4774-9E98-87479BA79D88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BSCV x 20 dma / IBDW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2.6387049473593298E-3</c:v>
                </c:pt>
                <c:pt idx="21">
                  <c:v>2.5079074470335402E-3</c:v>
                </c:pt>
                <c:pt idx="22">
                  <c:v>2.4449417692173499E-3</c:v>
                </c:pt>
                <c:pt idx="23">
                  <c:v>2.2034531365260198E-3</c:v>
                </c:pt>
                <c:pt idx="24">
                  <c:v>2.2097215106277302E-3</c:v>
                </c:pt>
                <c:pt idx="25">
                  <c:v>2.2929142371371099E-3</c:v>
                </c:pt>
                <c:pt idx="26">
                  <c:v>2.0234988076309902E-3</c:v>
                </c:pt>
                <c:pt idx="27">
                  <c:v>2.2300737978587599E-3</c:v>
                </c:pt>
                <c:pt idx="28">
                  <c:v>2.20048621375142E-3</c:v>
                </c:pt>
                <c:pt idx="29">
                  <c:v>1.74187143026515E-3</c:v>
                </c:pt>
                <c:pt idx="30">
                  <c:v>1.1311246209680401E-3</c:v>
                </c:pt>
                <c:pt idx="31">
                  <c:v>1.60235865892671E-3</c:v>
                </c:pt>
                <c:pt idx="32">
                  <c:v>2.0470470810462198E-3</c:v>
                </c:pt>
                <c:pt idx="33">
                  <c:v>1.3215399412886801E-3</c:v>
                </c:pt>
                <c:pt idx="34">
                  <c:v>-3.0126170703613201E-3</c:v>
                </c:pt>
                <c:pt idx="35">
                  <c:v>-3.2866428724520301E-3</c:v>
                </c:pt>
                <c:pt idx="36">
                  <c:v>-2.4751896820757202E-3</c:v>
                </c:pt>
                <c:pt idx="37">
                  <c:v>-3.19299779703173E-3</c:v>
                </c:pt>
                <c:pt idx="38">
                  <c:v>-2.50619310810366E-3</c:v>
                </c:pt>
                <c:pt idx="39">
                  <c:v>1.8367771334200699E-5</c:v>
                </c:pt>
                <c:pt idx="40">
                  <c:v>8.1829389261640895E-4</c:v>
                </c:pt>
                <c:pt idx="41">
                  <c:v>-3.44741500914451E-4</c:v>
                </c:pt>
                <c:pt idx="42">
                  <c:v>-1.6558578089857E-4</c:v>
                </c:pt>
                <c:pt idx="43">
                  <c:v>6.0969811757387597E-4</c:v>
                </c:pt>
                <c:pt idx="44">
                  <c:v>6.7983497219146799E-4</c:v>
                </c:pt>
                <c:pt idx="45">
                  <c:v>6.8367954456090101E-4</c:v>
                </c:pt>
                <c:pt idx="46">
                  <c:v>3.14088579768587E-4</c:v>
                </c:pt>
                <c:pt idx="47">
                  <c:v>1.1289175682416301E-3</c:v>
                </c:pt>
                <c:pt idx="48">
                  <c:v>9.0016706326406998E-4</c:v>
                </c:pt>
                <c:pt idx="49">
                  <c:v>9.73609597749595E-4</c:v>
                </c:pt>
                <c:pt idx="50">
                  <c:v>1.2774816668156099E-3</c:v>
                </c:pt>
                <c:pt idx="51">
                  <c:v>7.0899851034128103E-4</c:v>
                </c:pt>
                <c:pt idx="52">
                  <c:v>6.3829127991175299E-4</c:v>
                </c:pt>
                <c:pt idx="53">
                  <c:v>1.2054709686831399E-3</c:v>
                </c:pt>
                <c:pt idx="54">
                  <c:v>-2.1448081991512799E-3</c:v>
                </c:pt>
                <c:pt idx="55">
                  <c:v>-3.3052729350006899E-3</c:v>
                </c:pt>
                <c:pt idx="56">
                  <c:v>-2.7685107547359899E-3</c:v>
                </c:pt>
                <c:pt idx="57">
                  <c:v>-2.4723903165963998E-3</c:v>
                </c:pt>
                <c:pt idx="58">
                  <c:v>-2.9726540343113302E-3</c:v>
                </c:pt>
                <c:pt idx="59">
                  <c:v>-2.6271692795576201E-3</c:v>
                </c:pt>
                <c:pt idx="60">
                  <c:v>-2.3909813026415502E-3</c:v>
                </c:pt>
                <c:pt idx="61">
                  <c:v>1.15539478607635E-3</c:v>
                </c:pt>
                <c:pt idx="62">
                  <c:v>2.1143914410309802E-3</c:v>
                </c:pt>
                <c:pt idx="63">
                  <c:v>1.6558149835457401E-3</c:v>
                </c:pt>
                <c:pt idx="64">
                  <c:v>1.6653303927268101E-3</c:v>
                </c:pt>
                <c:pt idx="65">
                  <c:v>1.67472835942665E-3</c:v>
                </c:pt>
                <c:pt idx="66">
                  <c:v>6.9569712099450804E-4</c:v>
                </c:pt>
                <c:pt idx="67">
                  <c:v>4.4193022925727201E-4</c:v>
                </c:pt>
                <c:pt idx="68">
                  <c:v>1.00472791660721E-3</c:v>
                </c:pt>
                <c:pt idx="69">
                  <c:v>1.5270719461557101E-3</c:v>
                </c:pt>
                <c:pt idx="70">
                  <c:v>1.9929185314185101E-3</c:v>
                </c:pt>
                <c:pt idx="71">
                  <c:v>1.4667051927059499E-3</c:v>
                </c:pt>
                <c:pt idx="72">
                  <c:v>1.8574995451638801E-3</c:v>
                </c:pt>
                <c:pt idx="73">
                  <c:v>-2.4040882896985802E-3</c:v>
                </c:pt>
                <c:pt idx="74">
                  <c:v>-1.90810828731426E-3</c:v>
                </c:pt>
                <c:pt idx="75">
                  <c:v>-2.7236012278364099E-3</c:v>
                </c:pt>
                <c:pt idx="76">
                  <c:v>-3.1211435206991698E-3</c:v>
                </c:pt>
                <c:pt idx="77">
                  <c:v>-3.3001950107932501E-3</c:v>
                </c:pt>
                <c:pt idx="78">
                  <c:v>-2.4168241645325401E-3</c:v>
                </c:pt>
                <c:pt idx="79">
                  <c:v>-2.6801471319596801E-3</c:v>
                </c:pt>
                <c:pt idx="80">
                  <c:v>-2.9590890541328599E-3</c:v>
                </c:pt>
                <c:pt idx="81">
                  <c:v>-1.7881087336687901E-3</c:v>
                </c:pt>
                <c:pt idx="82">
                  <c:v>2.19238554701139E-3</c:v>
                </c:pt>
                <c:pt idx="83">
                  <c:v>1.08497940301676E-3</c:v>
                </c:pt>
                <c:pt idx="84">
                  <c:v>1.9990908997317299E-3</c:v>
                </c:pt>
                <c:pt idx="85">
                  <c:v>2.7720568293533102E-3</c:v>
                </c:pt>
                <c:pt idx="86">
                  <c:v>2.2339757788896399E-3</c:v>
                </c:pt>
                <c:pt idx="87">
                  <c:v>2.6925982622289998E-3</c:v>
                </c:pt>
                <c:pt idx="88">
                  <c:v>1.6151014233131301E-3</c:v>
                </c:pt>
                <c:pt idx="89">
                  <c:v>2.6565564196555599E-3</c:v>
                </c:pt>
                <c:pt idx="90">
                  <c:v>1.17516967755617E-3</c:v>
                </c:pt>
                <c:pt idx="91">
                  <c:v>2.0610430163200601E-3</c:v>
                </c:pt>
                <c:pt idx="92">
                  <c:v>1.6311483191841099E-3</c:v>
                </c:pt>
                <c:pt idx="93">
                  <c:v>-1.66075418981786E-3</c:v>
                </c:pt>
                <c:pt idx="94">
                  <c:v>-1.2339380188411901E-3</c:v>
                </c:pt>
                <c:pt idx="95">
                  <c:v>-1.6591263075615701E-3</c:v>
                </c:pt>
                <c:pt idx="96">
                  <c:v>-2.1845439331335901E-3</c:v>
                </c:pt>
                <c:pt idx="97">
                  <c:v>-2.2240043423882401E-3</c:v>
                </c:pt>
                <c:pt idx="98">
                  <c:v>-1.6222750798561801E-3</c:v>
                </c:pt>
                <c:pt idx="99">
                  <c:v>-3.10322115671641E-3</c:v>
                </c:pt>
                <c:pt idx="100">
                  <c:v>-2.8246420335361899E-3</c:v>
                </c:pt>
                <c:pt idx="101">
                  <c:v>-3.0532837275530902E-3</c:v>
                </c:pt>
                <c:pt idx="102">
                  <c:v>2.2777549055158202E-3</c:v>
                </c:pt>
                <c:pt idx="103">
                  <c:v>1.52458952963088E-3</c:v>
                </c:pt>
                <c:pt idx="104">
                  <c:v>1.84231755401136E-3</c:v>
                </c:pt>
                <c:pt idx="105">
                  <c:v>1.47981808801703E-3</c:v>
                </c:pt>
                <c:pt idx="106">
                  <c:v>2.0727942373632898E-3</c:v>
                </c:pt>
                <c:pt idx="107">
                  <c:v>1.5830591027147999E-3</c:v>
                </c:pt>
                <c:pt idx="108">
                  <c:v>2.1405512147202399E-3</c:v>
                </c:pt>
                <c:pt idx="109">
                  <c:v>1.8515914423300501E-3</c:v>
                </c:pt>
                <c:pt idx="110">
                  <c:v>2.4289279732671101E-3</c:v>
                </c:pt>
                <c:pt idx="111">
                  <c:v>2.23562714363849E-3</c:v>
                </c:pt>
                <c:pt idx="112">
                  <c:v>1.86541341338958E-3</c:v>
                </c:pt>
                <c:pt idx="113">
                  <c:v>1.97248632877829E-3</c:v>
                </c:pt>
                <c:pt idx="114">
                  <c:v>1.7164416274910799E-3</c:v>
                </c:pt>
                <c:pt idx="115">
                  <c:v>1.0987806452560499E-3</c:v>
                </c:pt>
                <c:pt idx="116">
                  <c:v>-3.1224550803138299E-3</c:v>
                </c:pt>
                <c:pt idx="117">
                  <c:v>-2.8475127979624799E-3</c:v>
                </c:pt>
                <c:pt idx="118">
                  <c:v>-1.7152869898224899E-3</c:v>
                </c:pt>
                <c:pt idx="119">
                  <c:v>-1.95971658935086E-3</c:v>
                </c:pt>
                <c:pt idx="120">
                  <c:v>-2.2646977155669902E-3</c:v>
                </c:pt>
                <c:pt idx="121">
                  <c:v>-2.8045887505830001E-3</c:v>
                </c:pt>
                <c:pt idx="122">
                  <c:v>-2.8937747506407501E-3</c:v>
                </c:pt>
                <c:pt idx="123">
                  <c:v>1.5239956181137501E-3</c:v>
                </c:pt>
                <c:pt idx="124">
                  <c:v>1.8795188446534201E-3</c:v>
                </c:pt>
                <c:pt idx="125">
                  <c:v>8.8662384344308795E-4</c:v>
                </c:pt>
                <c:pt idx="126">
                  <c:v>1.6904763784732399E-3</c:v>
                </c:pt>
                <c:pt idx="127">
                  <c:v>8.0840290916472295E-4</c:v>
                </c:pt>
                <c:pt idx="128">
                  <c:v>1.20134451704393E-3</c:v>
                </c:pt>
                <c:pt idx="129">
                  <c:v>1.9233014607192599E-3</c:v>
                </c:pt>
                <c:pt idx="130">
                  <c:v>5.0030296150268205E-4</c:v>
                </c:pt>
                <c:pt idx="131">
                  <c:v>1.2078817418734399E-3</c:v>
                </c:pt>
                <c:pt idx="132">
                  <c:v>1.3907370113123299E-3</c:v>
                </c:pt>
                <c:pt idx="133">
                  <c:v>7.7642429332034897E-4</c:v>
                </c:pt>
                <c:pt idx="134">
                  <c:v>1.29258615640899E-3</c:v>
                </c:pt>
                <c:pt idx="135">
                  <c:v>-2.2850372145789399E-3</c:v>
                </c:pt>
                <c:pt idx="136">
                  <c:v>-2.9997977703498401E-3</c:v>
                </c:pt>
                <c:pt idx="137">
                  <c:v>-3.3913764988840801E-3</c:v>
                </c:pt>
                <c:pt idx="138">
                  <c:v>-2.2939107659668998E-3</c:v>
                </c:pt>
                <c:pt idx="139">
                  <c:v>-1.9895653323622601E-3</c:v>
                </c:pt>
                <c:pt idx="140">
                  <c:v>-2.81183749148638E-3</c:v>
                </c:pt>
                <c:pt idx="141">
                  <c:v>-1.7534796614476001E-3</c:v>
                </c:pt>
                <c:pt idx="142">
                  <c:v>-1.5581827033503499E-3</c:v>
                </c:pt>
                <c:pt idx="143">
                  <c:v>-1.9519074100985999E-3</c:v>
                </c:pt>
                <c:pt idx="144">
                  <c:v>-2.6439233921773599E-3</c:v>
                </c:pt>
                <c:pt idx="145">
                  <c:v>2.4991481720522402E-3</c:v>
                </c:pt>
                <c:pt idx="146">
                  <c:v>2.74548537316705E-3</c:v>
                </c:pt>
                <c:pt idx="147">
                  <c:v>2.85784023624708E-3</c:v>
                </c:pt>
                <c:pt idx="148">
                  <c:v>2.1476677145145099E-3</c:v>
                </c:pt>
                <c:pt idx="149">
                  <c:v>1.55104318480041E-3</c:v>
                </c:pt>
                <c:pt idx="150">
                  <c:v>1.43850149186112E-3</c:v>
                </c:pt>
                <c:pt idx="151">
                  <c:v>2.17167683777619E-3</c:v>
                </c:pt>
                <c:pt idx="152">
                  <c:v>1.9287658348769599E-3</c:v>
                </c:pt>
                <c:pt idx="153">
                  <c:v>1.83480840605243E-3</c:v>
                </c:pt>
                <c:pt idx="154">
                  <c:v>2.03850718526813E-3</c:v>
                </c:pt>
                <c:pt idx="155">
                  <c:v>2.38459013094873E-3</c:v>
                </c:pt>
                <c:pt idx="156">
                  <c:v>1.0790201046946099E-3</c:v>
                </c:pt>
                <c:pt idx="157">
                  <c:v>6.5778153275311004E-4</c:v>
                </c:pt>
                <c:pt idx="158">
                  <c:v>1.03417812882549E-3</c:v>
                </c:pt>
                <c:pt idx="159">
                  <c:v>1.3391264984846201E-3</c:v>
                </c:pt>
                <c:pt idx="160">
                  <c:v>-3.0322125716797598E-3</c:v>
                </c:pt>
                <c:pt idx="161">
                  <c:v>-3.8508750920055201E-3</c:v>
                </c:pt>
                <c:pt idx="162">
                  <c:v>-3.4327447775927E-3</c:v>
                </c:pt>
                <c:pt idx="163">
                  <c:v>-4.1206762826776801E-3</c:v>
                </c:pt>
                <c:pt idx="164">
                  <c:v>-2.7609013577393499E-3</c:v>
                </c:pt>
                <c:pt idx="165">
                  <c:v>-3.27578388970595E-3</c:v>
                </c:pt>
                <c:pt idx="166">
                  <c:v>2.2942175835625198E-3</c:v>
                </c:pt>
                <c:pt idx="167">
                  <c:v>8.1425495161081395E-4</c:v>
                </c:pt>
                <c:pt idx="168">
                  <c:v>6.54536371747465E-4</c:v>
                </c:pt>
                <c:pt idx="169">
                  <c:v>4.4021133969370598E-4</c:v>
                </c:pt>
                <c:pt idx="170">
                  <c:v>9.6010990328901597E-4</c:v>
                </c:pt>
                <c:pt idx="171">
                  <c:v>1.1867356955015101E-3</c:v>
                </c:pt>
                <c:pt idx="172">
                  <c:v>2.5771336387094598E-4</c:v>
                </c:pt>
                <c:pt idx="173">
                  <c:v>6.7918446586040396E-4</c:v>
                </c:pt>
                <c:pt idx="174">
                  <c:v>1.5720553215053099E-3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D-4774-9E98-87479BA7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9.4339629638337205E-4</c:v>
                </c:pt>
                <c:pt idx="21">
                  <c:v>9.4339629638337205E-4</c:v>
                </c:pt>
                <c:pt idx="22">
                  <c:v>1.035917407602492E-3</c:v>
                </c:pt>
                <c:pt idx="23">
                  <c:v>1.7292008477561621E-3</c:v>
                </c:pt>
                <c:pt idx="24">
                  <c:v>1.761538401899552E-3</c:v>
                </c:pt>
                <c:pt idx="25">
                  <c:v>1.7292008477562723E-3</c:v>
                </c:pt>
                <c:pt idx="26">
                  <c:v>1.3155404570335523E-3</c:v>
                </c:pt>
                <c:pt idx="27">
                  <c:v>2.0766479050585524E-3</c:v>
                </c:pt>
                <c:pt idx="28">
                  <c:v>2.0766479050585524E-3</c:v>
                </c:pt>
                <c:pt idx="29">
                  <c:v>2.0766479050585524E-3</c:v>
                </c:pt>
                <c:pt idx="30">
                  <c:v>2.0766479050585524E-3</c:v>
                </c:pt>
                <c:pt idx="31">
                  <c:v>2.0766479050585524E-3</c:v>
                </c:pt>
                <c:pt idx="32">
                  <c:v>2.0766479050585524E-3</c:v>
                </c:pt>
                <c:pt idx="33">
                  <c:v>2.0766479050585524E-3</c:v>
                </c:pt>
                <c:pt idx="34">
                  <c:v>2.0766479050585524E-3</c:v>
                </c:pt>
                <c:pt idx="35">
                  <c:v>2.0766479050585524E-3</c:v>
                </c:pt>
                <c:pt idx="36">
                  <c:v>2.0766479050585524E-3</c:v>
                </c:pt>
                <c:pt idx="37">
                  <c:v>2.0766479050585524E-3</c:v>
                </c:pt>
                <c:pt idx="38">
                  <c:v>2.0766479050585524E-3</c:v>
                </c:pt>
                <c:pt idx="39">
                  <c:v>2.0766479050585524E-3</c:v>
                </c:pt>
                <c:pt idx="40">
                  <c:v>2.0766479050585524E-3</c:v>
                </c:pt>
                <c:pt idx="41">
                  <c:v>2.0766479050585524E-3</c:v>
                </c:pt>
                <c:pt idx="42">
                  <c:v>2.0766479050585524E-3</c:v>
                </c:pt>
                <c:pt idx="43">
                  <c:v>2.0766479050585524E-3</c:v>
                </c:pt>
                <c:pt idx="44">
                  <c:v>2.0766479050585524E-3</c:v>
                </c:pt>
                <c:pt idx="45">
                  <c:v>2.0766479050585524E-3</c:v>
                </c:pt>
                <c:pt idx="46">
                  <c:v>2.0766479050585524E-3</c:v>
                </c:pt>
                <c:pt idx="47">
                  <c:v>2.0766479050585524E-3</c:v>
                </c:pt>
                <c:pt idx="48">
                  <c:v>2.5869892400157825E-3</c:v>
                </c:pt>
                <c:pt idx="49">
                  <c:v>3.0951312806617127E-3</c:v>
                </c:pt>
                <c:pt idx="50">
                  <c:v>3.0951312806617127E-3</c:v>
                </c:pt>
                <c:pt idx="51">
                  <c:v>3.0951312806617127E-3</c:v>
                </c:pt>
                <c:pt idx="52">
                  <c:v>3.0951312806617127E-3</c:v>
                </c:pt>
                <c:pt idx="53">
                  <c:v>3.0951312806617127E-3</c:v>
                </c:pt>
                <c:pt idx="54">
                  <c:v>3.0951312806617127E-3</c:v>
                </c:pt>
                <c:pt idx="55">
                  <c:v>3.0951312806617127E-3</c:v>
                </c:pt>
                <c:pt idx="56">
                  <c:v>3.0951312806617127E-3</c:v>
                </c:pt>
                <c:pt idx="57">
                  <c:v>3.0951312806617127E-3</c:v>
                </c:pt>
                <c:pt idx="58">
                  <c:v>3.9171731110519475E-3</c:v>
                </c:pt>
                <c:pt idx="59">
                  <c:v>3.9171731110519475E-3</c:v>
                </c:pt>
                <c:pt idx="60">
                  <c:v>3.9171731110519475E-3</c:v>
                </c:pt>
                <c:pt idx="61">
                  <c:v>3.9171731110519475E-3</c:v>
                </c:pt>
                <c:pt idx="62">
                  <c:v>3.9171731110519475E-3</c:v>
                </c:pt>
                <c:pt idx="63">
                  <c:v>3.9171731110519475E-3</c:v>
                </c:pt>
                <c:pt idx="64">
                  <c:v>3.9171731110519475E-3</c:v>
                </c:pt>
                <c:pt idx="65">
                  <c:v>3.9171731110519475E-3</c:v>
                </c:pt>
                <c:pt idx="66">
                  <c:v>3.9171731110519475E-3</c:v>
                </c:pt>
                <c:pt idx="67">
                  <c:v>3.9171731110519475E-3</c:v>
                </c:pt>
                <c:pt idx="68">
                  <c:v>3.9171731110519475E-3</c:v>
                </c:pt>
                <c:pt idx="69">
                  <c:v>3.9171731110519475E-3</c:v>
                </c:pt>
                <c:pt idx="70">
                  <c:v>3.9171731110519475E-3</c:v>
                </c:pt>
                <c:pt idx="71">
                  <c:v>3.9171731110519475E-3</c:v>
                </c:pt>
                <c:pt idx="72">
                  <c:v>3.9171731110519475E-3</c:v>
                </c:pt>
                <c:pt idx="73">
                  <c:v>3.9171731110519475E-3</c:v>
                </c:pt>
                <c:pt idx="74">
                  <c:v>3.9171731110519475E-3</c:v>
                </c:pt>
                <c:pt idx="75">
                  <c:v>3.9171731110519475E-3</c:v>
                </c:pt>
                <c:pt idx="76">
                  <c:v>3.9171731110519475E-3</c:v>
                </c:pt>
                <c:pt idx="77">
                  <c:v>3.9171731110519475E-3</c:v>
                </c:pt>
                <c:pt idx="78">
                  <c:v>3.9171731110519475E-3</c:v>
                </c:pt>
                <c:pt idx="79">
                  <c:v>3.9171731110519475E-3</c:v>
                </c:pt>
                <c:pt idx="80">
                  <c:v>3.9171731110519475E-3</c:v>
                </c:pt>
                <c:pt idx="81">
                  <c:v>3.9171731110519475E-3</c:v>
                </c:pt>
                <c:pt idx="82">
                  <c:v>3.9171731110519475E-3</c:v>
                </c:pt>
                <c:pt idx="83">
                  <c:v>3.9171731110519475E-3</c:v>
                </c:pt>
                <c:pt idx="84">
                  <c:v>3.9171731110519475E-3</c:v>
                </c:pt>
                <c:pt idx="85">
                  <c:v>3.9171731110519475E-3</c:v>
                </c:pt>
                <c:pt idx="86">
                  <c:v>3.9171731110519475E-3</c:v>
                </c:pt>
                <c:pt idx="87">
                  <c:v>3.9171731110519475E-3</c:v>
                </c:pt>
                <c:pt idx="88">
                  <c:v>3.9171731110519475E-3</c:v>
                </c:pt>
                <c:pt idx="89">
                  <c:v>3.9171731110519475E-3</c:v>
                </c:pt>
                <c:pt idx="90">
                  <c:v>3.9171731110519475E-3</c:v>
                </c:pt>
                <c:pt idx="91">
                  <c:v>3.9171731110519475E-3</c:v>
                </c:pt>
                <c:pt idx="92">
                  <c:v>3.9171731110519475E-3</c:v>
                </c:pt>
                <c:pt idx="93">
                  <c:v>3.9171731110519475E-3</c:v>
                </c:pt>
                <c:pt idx="94">
                  <c:v>3.9171731110519475E-3</c:v>
                </c:pt>
                <c:pt idx="95">
                  <c:v>3.9171731110519475E-3</c:v>
                </c:pt>
                <c:pt idx="96">
                  <c:v>3.9171731110519475E-3</c:v>
                </c:pt>
                <c:pt idx="97">
                  <c:v>3.9171731110519475E-3</c:v>
                </c:pt>
                <c:pt idx="98">
                  <c:v>3.9171731110519475E-3</c:v>
                </c:pt>
                <c:pt idx="99">
                  <c:v>3.9171731110519475E-3</c:v>
                </c:pt>
                <c:pt idx="100">
                  <c:v>3.9171731110519475E-3</c:v>
                </c:pt>
                <c:pt idx="101">
                  <c:v>3.9171731110519475E-3</c:v>
                </c:pt>
                <c:pt idx="102">
                  <c:v>3.9171731110519475E-3</c:v>
                </c:pt>
                <c:pt idx="103">
                  <c:v>3.9171731110519475E-3</c:v>
                </c:pt>
                <c:pt idx="104">
                  <c:v>3.9171731110519475E-3</c:v>
                </c:pt>
                <c:pt idx="105">
                  <c:v>3.9171731110519475E-3</c:v>
                </c:pt>
                <c:pt idx="106">
                  <c:v>3.9171731110519475E-3</c:v>
                </c:pt>
                <c:pt idx="107">
                  <c:v>3.9171731110519475E-3</c:v>
                </c:pt>
                <c:pt idx="108">
                  <c:v>3.9171731110519475E-3</c:v>
                </c:pt>
                <c:pt idx="109">
                  <c:v>3.9171731110519475E-3</c:v>
                </c:pt>
                <c:pt idx="110">
                  <c:v>3.9171731110519475E-3</c:v>
                </c:pt>
                <c:pt idx="111">
                  <c:v>3.9171731110519475E-3</c:v>
                </c:pt>
                <c:pt idx="112">
                  <c:v>3.9171731110519475E-3</c:v>
                </c:pt>
                <c:pt idx="113">
                  <c:v>3.9171731110519475E-3</c:v>
                </c:pt>
                <c:pt idx="114">
                  <c:v>3.9171731110519475E-3</c:v>
                </c:pt>
                <c:pt idx="115">
                  <c:v>3.9171731110519475E-3</c:v>
                </c:pt>
                <c:pt idx="116">
                  <c:v>3.9171731110519475E-3</c:v>
                </c:pt>
                <c:pt idx="117">
                  <c:v>3.9171731110519475E-3</c:v>
                </c:pt>
                <c:pt idx="118">
                  <c:v>3.9171731110519475E-3</c:v>
                </c:pt>
                <c:pt idx="119">
                  <c:v>3.9171731110519475E-3</c:v>
                </c:pt>
                <c:pt idx="120">
                  <c:v>3.9171731110519475E-3</c:v>
                </c:pt>
                <c:pt idx="121">
                  <c:v>3.9171731110519475E-3</c:v>
                </c:pt>
                <c:pt idx="122">
                  <c:v>3.9171731110519475E-3</c:v>
                </c:pt>
                <c:pt idx="123">
                  <c:v>3.9171731110519475E-3</c:v>
                </c:pt>
                <c:pt idx="124">
                  <c:v>3.9171731110519475E-3</c:v>
                </c:pt>
                <c:pt idx="125">
                  <c:v>3.9171731110519475E-3</c:v>
                </c:pt>
                <c:pt idx="126">
                  <c:v>3.9171731110519475E-3</c:v>
                </c:pt>
                <c:pt idx="127">
                  <c:v>3.9171731110519475E-3</c:v>
                </c:pt>
                <c:pt idx="128">
                  <c:v>3.9171731110519475E-3</c:v>
                </c:pt>
                <c:pt idx="129">
                  <c:v>3.9171731110519475E-3</c:v>
                </c:pt>
                <c:pt idx="130">
                  <c:v>3.9171731110519475E-3</c:v>
                </c:pt>
                <c:pt idx="131">
                  <c:v>3.9171731110519475E-3</c:v>
                </c:pt>
                <c:pt idx="132">
                  <c:v>3.9171731110519475E-3</c:v>
                </c:pt>
                <c:pt idx="133">
                  <c:v>3.9171731110519475E-3</c:v>
                </c:pt>
                <c:pt idx="134">
                  <c:v>3.9171731110519475E-3</c:v>
                </c:pt>
                <c:pt idx="135">
                  <c:v>3.9171731110519475E-3</c:v>
                </c:pt>
                <c:pt idx="136">
                  <c:v>3.9171731110519475E-3</c:v>
                </c:pt>
                <c:pt idx="137">
                  <c:v>3.9171731110519475E-3</c:v>
                </c:pt>
                <c:pt idx="138">
                  <c:v>3.9171731110519475E-3</c:v>
                </c:pt>
                <c:pt idx="139">
                  <c:v>3.9171731110519475E-3</c:v>
                </c:pt>
                <c:pt idx="140">
                  <c:v>3.9171731110519475E-3</c:v>
                </c:pt>
                <c:pt idx="141">
                  <c:v>3.9171731110519475E-3</c:v>
                </c:pt>
                <c:pt idx="142">
                  <c:v>3.9171731110519475E-3</c:v>
                </c:pt>
                <c:pt idx="143">
                  <c:v>3.9171731110519475E-3</c:v>
                </c:pt>
                <c:pt idx="144">
                  <c:v>3.9171731110519475E-3</c:v>
                </c:pt>
                <c:pt idx="145">
                  <c:v>3.9171731110519475E-3</c:v>
                </c:pt>
                <c:pt idx="146">
                  <c:v>3.9171731110519475E-3</c:v>
                </c:pt>
                <c:pt idx="147">
                  <c:v>3.9171731110519475E-3</c:v>
                </c:pt>
                <c:pt idx="148">
                  <c:v>3.9171731110519475E-3</c:v>
                </c:pt>
                <c:pt idx="149">
                  <c:v>3.9171731110519475E-3</c:v>
                </c:pt>
                <c:pt idx="150">
                  <c:v>3.9171731110519475E-3</c:v>
                </c:pt>
                <c:pt idx="151">
                  <c:v>3.9171731110519475E-3</c:v>
                </c:pt>
                <c:pt idx="152">
                  <c:v>3.9171731110519475E-3</c:v>
                </c:pt>
                <c:pt idx="153">
                  <c:v>3.9171731110519475E-3</c:v>
                </c:pt>
                <c:pt idx="154">
                  <c:v>3.9171731110519475E-3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D-45C9-BB10-9D0D2F229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4.0218888433612987E-4</c:v>
                </c:pt>
                <c:pt idx="76">
                  <c:v>8.8353666739659185E-4</c:v>
                </c:pt>
                <c:pt idx="77">
                  <c:v>8.8353666739659185E-4</c:v>
                </c:pt>
                <c:pt idx="78">
                  <c:v>8.8353666739659185E-4</c:v>
                </c:pt>
                <c:pt idx="79">
                  <c:v>8.8353666739659185E-4</c:v>
                </c:pt>
                <c:pt idx="80">
                  <c:v>8.8353666739659185E-4</c:v>
                </c:pt>
                <c:pt idx="81">
                  <c:v>8.8353666739659185E-4</c:v>
                </c:pt>
                <c:pt idx="82">
                  <c:v>8.8353666739659185E-4</c:v>
                </c:pt>
                <c:pt idx="83">
                  <c:v>8.8353666739659185E-4</c:v>
                </c:pt>
                <c:pt idx="84">
                  <c:v>8.8353666739659185E-4</c:v>
                </c:pt>
                <c:pt idx="85">
                  <c:v>8.8353666739659185E-4</c:v>
                </c:pt>
                <c:pt idx="86">
                  <c:v>8.8353666739659185E-4</c:v>
                </c:pt>
                <c:pt idx="87">
                  <c:v>8.8353666739659185E-4</c:v>
                </c:pt>
                <c:pt idx="88">
                  <c:v>8.8353666739659185E-4</c:v>
                </c:pt>
                <c:pt idx="89">
                  <c:v>8.8353666739659185E-4</c:v>
                </c:pt>
                <c:pt idx="90">
                  <c:v>8.8353666739659185E-4</c:v>
                </c:pt>
                <c:pt idx="91">
                  <c:v>8.8353666739659185E-4</c:v>
                </c:pt>
                <c:pt idx="92">
                  <c:v>8.8353666739659185E-4</c:v>
                </c:pt>
                <c:pt idx="93">
                  <c:v>8.8353666739659185E-4</c:v>
                </c:pt>
                <c:pt idx="94">
                  <c:v>8.8353666739659185E-4</c:v>
                </c:pt>
                <c:pt idx="95">
                  <c:v>8.8353666739659185E-4</c:v>
                </c:pt>
                <c:pt idx="96">
                  <c:v>8.8353666739659185E-4</c:v>
                </c:pt>
                <c:pt idx="97">
                  <c:v>8.8353666739659185E-4</c:v>
                </c:pt>
                <c:pt idx="98">
                  <c:v>8.8353666739659185E-4</c:v>
                </c:pt>
                <c:pt idx="99">
                  <c:v>8.8353666739659185E-4</c:v>
                </c:pt>
                <c:pt idx="100">
                  <c:v>8.8353666739659185E-4</c:v>
                </c:pt>
                <c:pt idx="101">
                  <c:v>8.8353666739659185E-4</c:v>
                </c:pt>
                <c:pt idx="102">
                  <c:v>8.8353666739659185E-4</c:v>
                </c:pt>
                <c:pt idx="103">
                  <c:v>8.8353666739659185E-4</c:v>
                </c:pt>
                <c:pt idx="104">
                  <c:v>8.8353666739659185E-4</c:v>
                </c:pt>
                <c:pt idx="105">
                  <c:v>8.8353666739659185E-4</c:v>
                </c:pt>
                <c:pt idx="106">
                  <c:v>8.8353666739659185E-4</c:v>
                </c:pt>
                <c:pt idx="107">
                  <c:v>8.8353666739659185E-4</c:v>
                </c:pt>
                <c:pt idx="108">
                  <c:v>8.8353666739659185E-4</c:v>
                </c:pt>
                <c:pt idx="109">
                  <c:v>8.8353666739659185E-4</c:v>
                </c:pt>
                <c:pt idx="110">
                  <c:v>8.8353666739659185E-4</c:v>
                </c:pt>
                <c:pt idx="111">
                  <c:v>8.8353666739659185E-4</c:v>
                </c:pt>
                <c:pt idx="112">
                  <c:v>8.8353666739659185E-4</c:v>
                </c:pt>
                <c:pt idx="113">
                  <c:v>8.8353666739659185E-4</c:v>
                </c:pt>
                <c:pt idx="114">
                  <c:v>8.8353666739659185E-4</c:v>
                </c:pt>
                <c:pt idx="115">
                  <c:v>8.8353666739659185E-4</c:v>
                </c:pt>
                <c:pt idx="116">
                  <c:v>8.8353666739659185E-4</c:v>
                </c:pt>
                <c:pt idx="117">
                  <c:v>8.8353666739659185E-4</c:v>
                </c:pt>
                <c:pt idx="118">
                  <c:v>8.8353666739659185E-4</c:v>
                </c:pt>
                <c:pt idx="119">
                  <c:v>8.8353666739659185E-4</c:v>
                </c:pt>
                <c:pt idx="120">
                  <c:v>8.8353666739659185E-4</c:v>
                </c:pt>
                <c:pt idx="121">
                  <c:v>8.8353666739659185E-4</c:v>
                </c:pt>
                <c:pt idx="122">
                  <c:v>8.8353666739659185E-4</c:v>
                </c:pt>
                <c:pt idx="123">
                  <c:v>8.8353666739659185E-4</c:v>
                </c:pt>
                <c:pt idx="124">
                  <c:v>8.8353666739659185E-4</c:v>
                </c:pt>
                <c:pt idx="125">
                  <c:v>8.8353666739659185E-4</c:v>
                </c:pt>
                <c:pt idx="126">
                  <c:v>8.8353666739659185E-4</c:v>
                </c:pt>
                <c:pt idx="127">
                  <c:v>8.8353666739659185E-4</c:v>
                </c:pt>
                <c:pt idx="128">
                  <c:v>8.8353666739659185E-4</c:v>
                </c:pt>
                <c:pt idx="129">
                  <c:v>8.8353666739659185E-4</c:v>
                </c:pt>
                <c:pt idx="130">
                  <c:v>8.8353666739659185E-4</c:v>
                </c:pt>
                <c:pt idx="131">
                  <c:v>8.8353666739659185E-4</c:v>
                </c:pt>
                <c:pt idx="132">
                  <c:v>8.8353666739659185E-4</c:v>
                </c:pt>
                <c:pt idx="133">
                  <c:v>8.8353666739659185E-4</c:v>
                </c:pt>
                <c:pt idx="134">
                  <c:v>8.8353666739659185E-4</c:v>
                </c:pt>
                <c:pt idx="135">
                  <c:v>8.8353666739659185E-4</c:v>
                </c:pt>
                <c:pt idx="136">
                  <c:v>8.8353666739659185E-4</c:v>
                </c:pt>
                <c:pt idx="137">
                  <c:v>8.8353666739659185E-4</c:v>
                </c:pt>
                <c:pt idx="138">
                  <c:v>8.8353666739659185E-4</c:v>
                </c:pt>
                <c:pt idx="139">
                  <c:v>8.8353666739659185E-4</c:v>
                </c:pt>
                <c:pt idx="140">
                  <c:v>8.8353666739659185E-4</c:v>
                </c:pt>
                <c:pt idx="141">
                  <c:v>8.8353666739659185E-4</c:v>
                </c:pt>
                <c:pt idx="142">
                  <c:v>8.8353666739659185E-4</c:v>
                </c:pt>
                <c:pt idx="143">
                  <c:v>8.8353666739659185E-4</c:v>
                </c:pt>
                <c:pt idx="144">
                  <c:v>8.8353666739659185E-4</c:v>
                </c:pt>
                <c:pt idx="145">
                  <c:v>8.8353666739659185E-4</c:v>
                </c:pt>
                <c:pt idx="146">
                  <c:v>8.8353666739659185E-4</c:v>
                </c:pt>
                <c:pt idx="147">
                  <c:v>2.3516064196877516E-3</c:v>
                </c:pt>
                <c:pt idx="148">
                  <c:v>2.3516064196877516E-3</c:v>
                </c:pt>
                <c:pt idx="149">
                  <c:v>2.3516064196877516E-3</c:v>
                </c:pt>
                <c:pt idx="150">
                  <c:v>2.3516064196877516E-3</c:v>
                </c:pt>
                <c:pt idx="151">
                  <c:v>2.3516064196877516E-3</c:v>
                </c:pt>
                <c:pt idx="152">
                  <c:v>2.3516064196877516E-3</c:v>
                </c:pt>
                <c:pt idx="153">
                  <c:v>2.3516064196877516E-3</c:v>
                </c:pt>
                <c:pt idx="154">
                  <c:v>2.3516064196877516E-3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A-4CBC-A09F-A60589E32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9.4339629638337205E-4</c:v>
                </c:pt>
                <c:pt idx="21">
                  <c:v>9.4339629638337205E-4</c:v>
                </c:pt>
                <c:pt idx="22">
                  <c:v>1.035917407602492E-3</c:v>
                </c:pt>
                <c:pt idx="23">
                  <c:v>1.7292008477561621E-3</c:v>
                </c:pt>
                <c:pt idx="24">
                  <c:v>1.761538401899552E-3</c:v>
                </c:pt>
                <c:pt idx="25">
                  <c:v>1.7292008477562723E-3</c:v>
                </c:pt>
                <c:pt idx="26">
                  <c:v>1.3155404570335523E-3</c:v>
                </c:pt>
                <c:pt idx="27">
                  <c:v>2.0766479050585524E-3</c:v>
                </c:pt>
                <c:pt idx="28">
                  <c:v>2.0766479050585524E-3</c:v>
                </c:pt>
                <c:pt idx="29">
                  <c:v>2.0766479050585524E-3</c:v>
                </c:pt>
                <c:pt idx="30">
                  <c:v>2.0766479050585524E-3</c:v>
                </c:pt>
                <c:pt idx="31">
                  <c:v>2.0766479050585524E-3</c:v>
                </c:pt>
                <c:pt idx="32">
                  <c:v>2.0766479050585524E-3</c:v>
                </c:pt>
                <c:pt idx="33">
                  <c:v>2.0766479050585524E-3</c:v>
                </c:pt>
                <c:pt idx="34">
                  <c:v>2.0766479050585524E-3</c:v>
                </c:pt>
                <c:pt idx="35">
                  <c:v>2.0766479050585524E-3</c:v>
                </c:pt>
                <c:pt idx="36">
                  <c:v>2.0766479050585524E-3</c:v>
                </c:pt>
                <c:pt idx="37">
                  <c:v>2.0766479050585524E-3</c:v>
                </c:pt>
                <c:pt idx="38">
                  <c:v>2.0766479050585524E-3</c:v>
                </c:pt>
                <c:pt idx="39">
                  <c:v>2.0766479050585524E-3</c:v>
                </c:pt>
                <c:pt idx="40">
                  <c:v>2.0766479050585524E-3</c:v>
                </c:pt>
                <c:pt idx="41">
                  <c:v>2.0766479050585524E-3</c:v>
                </c:pt>
                <c:pt idx="42">
                  <c:v>2.0766479050585524E-3</c:v>
                </c:pt>
                <c:pt idx="43">
                  <c:v>2.0766479050585524E-3</c:v>
                </c:pt>
                <c:pt idx="44">
                  <c:v>2.0766479050585524E-3</c:v>
                </c:pt>
                <c:pt idx="45">
                  <c:v>2.0766479050585524E-3</c:v>
                </c:pt>
                <c:pt idx="46">
                  <c:v>2.0766479050585524E-3</c:v>
                </c:pt>
                <c:pt idx="47">
                  <c:v>2.0766479050585524E-3</c:v>
                </c:pt>
                <c:pt idx="48">
                  <c:v>2.5869892400157825E-3</c:v>
                </c:pt>
                <c:pt idx="49">
                  <c:v>3.0951312806617127E-3</c:v>
                </c:pt>
                <c:pt idx="50">
                  <c:v>3.0951312806617127E-3</c:v>
                </c:pt>
                <c:pt idx="51">
                  <c:v>3.0951312806617127E-3</c:v>
                </c:pt>
                <c:pt idx="52">
                  <c:v>3.0951312806617127E-3</c:v>
                </c:pt>
                <c:pt idx="53">
                  <c:v>3.0951312806617127E-3</c:v>
                </c:pt>
                <c:pt idx="54">
                  <c:v>3.0951312806617127E-3</c:v>
                </c:pt>
                <c:pt idx="55">
                  <c:v>3.0951312806617127E-3</c:v>
                </c:pt>
                <c:pt idx="56">
                  <c:v>3.0951312806617127E-3</c:v>
                </c:pt>
                <c:pt idx="57">
                  <c:v>3.0951312806617127E-3</c:v>
                </c:pt>
                <c:pt idx="58">
                  <c:v>3.9171731110519475E-3</c:v>
                </c:pt>
                <c:pt idx="59">
                  <c:v>3.9171731110519475E-3</c:v>
                </c:pt>
                <c:pt idx="60">
                  <c:v>3.9171731110519475E-3</c:v>
                </c:pt>
                <c:pt idx="61">
                  <c:v>3.9171731110519475E-3</c:v>
                </c:pt>
                <c:pt idx="62">
                  <c:v>3.9171731110519475E-3</c:v>
                </c:pt>
                <c:pt idx="63">
                  <c:v>3.9171731110519475E-3</c:v>
                </c:pt>
                <c:pt idx="64">
                  <c:v>3.9171731110519475E-3</c:v>
                </c:pt>
                <c:pt idx="65">
                  <c:v>3.9171731110519475E-3</c:v>
                </c:pt>
                <c:pt idx="66">
                  <c:v>3.9171731110519475E-3</c:v>
                </c:pt>
                <c:pt idx="67">
                  <c:v>3.9171731110519475E-3</c:v>
                </c:pt>
                <c:pt idx="68">
                  <c:v>3.9171731110519475E-3</c:v>
                </c:pt>
                <c:pt idx="69">
                  <c:v>3.9171731110519475E-3</c:v>
                </c:pt>
                <c:pt idx="70">
                  <c:v>3.9171731110519475E-3</c:v>
                </c:pt>
                <c:pt idx="71">
                  <c:v>3.9171731110519475E-3</c:v>
                </c:pt>
                <c:pt idx="72">
                  <c:v>3.9171731110519475E-3</c:v>
                </c:pt>
                <c:pt idx="73">
                  <c:v>3.9171731110519475E-3</c:v>
                </c:pt>
                <c:pt idx="74">
                  <c:v>3.9171731110519475E-3</c:v>
                </c:pt>
                <c:pt idx="75">
                  <c:v>4.3193619953880774E-3</c:v>
                </c:pt>
                <c:pt idx="76">
                  <c:v>4.8007097784485394E-3</c:v>
                </c:pt>
                <c:pt idx="77">
                  <c:v>4.8007097784485394E-3</c:v>
                </c:pt>
                <c:pt idx="78">
                  <c:v>4.8007097784485394E-3</c:v>
                </c:pt>
                <c:pt idx="79">
                  <c:v>4.8007097784485394E-3</c:v>
                </c:pt>
                <c:pt idx="80">
                  <c:v>4.8007097784485394E-3</c:v>
                </c:pt>
                <c:pt idx="81">
                  <c:v>4.8007097784485394E-3</c:v>
                </c:pt>
                <c:pt idx="82">
                  <c:v>4.8007097784485394E-3</c:v>
                </c:pt>
                <c:pt idx="83">
                  <c:v>4.8007097784485394E-3</c:v>
                </c:pt>
                <c:pt idx="84">
                  <c:v>4.8007097784485394E-3</c:v>
                </c:pt>
                <c:pt idx="85">
                  <c:v>4.8007097784485394E-3</c:v>
                </c:pt>
                <c:pt idx="86">
                  <c:v>4.8007097784485394E-3</c:v>
                </c:pt>
                <c:pt idx="87">
                  <c:v>4.8007097784485394E-3</c:v>
                </c:pt>
                <c:pt idx="88">
                  <c:v>4.8007097784485394E-3</c:v>
                </c:pt>
                <c:pt idx="89">
                  <c:v>4.8007097784485394E-3</c:v>
                </c:pt>
                <c:pt idx="90">
                  <c:v>4.8007097784485394E-3</c:v>
                </c:pt>
                <c:pt idx="91">
                  <c:v>4.8007097784485394E-3</c:v>
                </c:pt>
                <c:pt idx="92">
                  <c:v>4.8007097784485394E-3</c:v>
                </c:pt>
                <c:pt idx="93">
                  <c:v>4.8007097784485394E-3</c:v>
                </c:pt>
                <c:pt idx="94">
                  <c:v>4.8007097784485394E-3</c:v>
                </c:pt>
                <c:pt idx="95">
                  <c:v>4.8007097784485394E-3</c:v>
                </c:pt>
                <c:pt idx="96">
                  <c:v>4.8007097784485394E-3</c:v>
                </c:pt>
                <c:pt idx="97">
                  <c:v>4.8007097784485394E-3</c:v>
                </c:pt>
                <c:pt idx="98">
                  <c:v>4.8007097784485394E-3</c:v>
                </c:pt>
                <c:pt idx="99">
                  <c:v>4.8007097784485394E-3</c:v>
                </c:pt>
                <c:pt idx="100">
                  <c:v>4.8007097784485394E-3</c:v>
                </c:pt>
                <c:pt idx="101">
                  <c:v>4.8007097784485394E-3</c:v>
                </c:pt>
                <c:pt idx="102">
                  <c:v>4.8007097784485394E-3</c:v>
                </c:pt>
                <c:pt idx="103">
                  <c:v>4.8007097784485394E-3</c:v>
                </c:pt>
                <c:pt idx="104">
                  <c:v>4.8007097784485394E-3</c:v>
                </c:pt>
                <c:pt idx="105">
                  <c:v>4.8007097784485394E-3</c:v>
                </c:pt>
                <c:pt idx="106">
                  <c:v>4.8007097784485394E-3</c:v>
                </c:pt>
                <c:pt idx="107">
                  <c:v>4.8007097784485394E-3</c:v>
                </c:pt>
                <c:pt idx="108">
                  <c:v>4.8007097784485394E-3</c:v>
                </c:pt>
                <c:pt idx="109">
                  <c:v>4.8007097784485394E-3</c:v>
                </c:pt>
                <c:pt idx="110">
                  <c:v>4.8007097784485394E-3</c:v>
                </c:pt>
                <c:pt idx="111">
                  <c:v>4.8007097784485394E-3</c:v>
                </c:pt>
                <c:pt idx="112">
                  <c:v>4.8007097784485394E-3</c:v>
                </c:pt>
                <c:pt idx="113">
                  <c:v>4.8007097784485394E-3</c:v>
                </c:pt>
                <c:pt idx="114">
                  <c:v>4.8007097784485394E-3</c:v>
                </c:pt>
                <c:pt idx="115">
                  <c:v>4.8007097784485394E-3</c:v>
                </c:pt>
                <c:pt idx="116">
                  <c:v>4.8007097784485394E-3</c:v>
                </c:pt>
                <c:pt idx="117">
                  <c:v>4.8007097784485394E-3</c:v>
                </c:pt>
                <c:pt idx="118">
                  <c:v>4.8007097784485394E-3</c:v>
                </c:pt>
                <c:pt idx="119">
                  <c:v>4.8007097784485394E-3</c:v>
                </c:pt>
                <c:pt idx="120">
                  <c:v>4.8007097784485394E-3</c:v>
                </c:pt>
                <c:pt idx="121">
                  <c:v>4.8007097784485394E-3</c:v>
                </c:pt>
                <c:pt idx="122">
                  <c:v>4.8007097784485394E-3</c:v>
                </c:pt>
                <c:pt idx="123">
                  <c:v>4.8007097784485394E-3</c:v>
                </c:pt>
                <c:pt idx="124">
                  <c:v>4.8007097784485394E-3</c:v>
                </c:pt>
                <c:pt idx="125">
                  <c:v>4.8007097784485394E-3</c:v>
                </c:pt>
                <c:pt idx="126">
                  <c:v>4.8007097784485394E-3</c:v>
                </c:pt>
                <c:pt idx="127">
                  <c:v>4.8007097784485394E-3</c:v>
                </c:pt>
                <c:pt idx="128">
                  <c:v>4.8007097784485394E-3</c:v>
                </c:pt>
                <c:pt idx="129">
                  <c:v>4.8007097784485394E-3</c:v>
                </c:pt>
                <c:pt idx="130">
                  <c:v>4.8007097784485394E-3</c:v>
                </c:pt>
                <c:pt idx="131">
                  <c:v>4.8007097784485394E-3</c:v>
                </c:pt>
                <c:pt idx="132">
                  <c:v>4.8007097784485394E-3</c:v>
                </c:pt>
                <c:pt idx="133">
                  <c:v>4.8007097784485394E-3</c:v>
                </c:pt>
                <c:pt idx="134">
                  <c:v>4.8007097784485394E-3</c:v>
                </c:pt>
                <c:pt idx="135">
                  <c:v>4.8007097784485394E-3</c:v>
                </c:pt>
                <c:pt idx="136">
                  <c:v>4.8007097784485394E-3</c:v>
                </c:pt>
                <c:pt idx="137">
                  <c:v>4.8007097784485394E-3</c:v>
                </c:pt>
                <c:pt idx="138">
                  <c:v>4.8007097784485394E-3</c:v>
                </c:pt>
                <c:pt idx="139">
                  <c:v>4.8007097784485394E-3</c:v>
                </c:pt>
                <c:pt idx="140">
                  <c:v>4.8007097784485394E-3</c:v>
                </c:pt>
                <c:pt idx="141">
                  <c:v>4.8007097784485394E-3</c:v>
                </c:pt>
                <c:pt idx="142">
                  <c:v>4.8007097784485394E-3</c:v>
                </c:pt>
                <c:pt idx="143">
                  <c:v>4.8007097784485394E-3</c:v>
                </c:pt>
                <c:pt idx="144">
                  <c:v>4.8007097784485394E-3</c:v>
                </c:pt>
                <c:pt idx="145">
                  <c:v>4.8007097784485394E-3</c:v>
                </c:pt>
                <c:pt idx="146">
                  <c:v>4.8007097784485394E-3</c:v>
                </c:pt>
                <c:pt idx="147">
                  <c:v>6.2687795307396991E-3</c:v>
                </c:pt>
                <c:pt idx="148">
                  <c:v>6.2687795307396991E-3</c:v>
                </c:pt>
                <c:pt idx="149">
                  <c:v>6.2687795307396991E-3</c:v>
                </c:pt>
                <c:pt idx="150">
                  <c:v>6.2687795307396991E-3</c:v>
                </c:pt>
                <c:pt idx="151">
                  <c:v>6.2687795307396991E-3</c:v>
                </c:pt>
                <c:pt idx="152">
                  <c:v>6.2687795307396991E-3</c:v>
                </c:pt>
                <c:pt idx="153">
                  <c:v>6.2687795307396991E-3</c:v>
                </c:pt>
                <c:pt idx="154">
                  <c:v>6.2687795307396991E-3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4-407E-A769-21C29BF9A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BF35F-A6F7-4321-B295-DAF170214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43C2D6-2862-4998-A0A2-204644354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51A280-C7D1-4330-8810-DC013B659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DA23A7-B39A-494D-ACB0-F5D750BE2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678520-750D-482F-B35A-3BC32B773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86B168-6E32-496F-85BE-6D5A7CE96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45B85C-6AE6-4B20-9E74-592251BB7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W_IBDX_2.xlsx" TargetMode="External"/><Relationship Id="rId1" Type="http://schemas.openxmlformats.org/officeDocument/2006/relationships/externalLinkPath" Target="BSCW_IBDX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IBDX/BSCW avg</v>
          </cell>
          <cell r="P1" t="str">
            <v>IBDX/BSCW 10 dma</v>
          </cell>
          <cell r="Q1" t="str">
            <v>IBDX/BSCW 20 dma</v>
          </cell>
          <cell r="U1" t="str">
            <v>log diff BSCW x avg / IBDX</v>
          </cell>
          <cell r="V1" t="str">
            <v>log diff BSCW x 10 dma / IBDX</v>
          </cell>
          <cell r="W1" t="str">
            <v>log diff BSCW x 20 dma / IBDX</v>
          </cell>
          <cell r="Y1" t="str">
            <v>IBDX*/BSCW* avg</v>
          </cell>
          <cell r="Z1" t="str">
            <v>IBDX*/BSCW* 10 dma</v>
          </cell>
          <cell r="AA1" t="str">
            <v>IBDX*/BSCW* 20 dma</v>
          </cell>
          <cell r="AF1" t="str">
            <v>log diff BSCW* x 10 dma / IBDX*</v>
          </cell>
          <cell r="AG1" t="str">
            <v>log diff BSCW* x 20 dma / IBDX*</v>
          </cell>
        </row>
        <row r="2">
          <cell r="O2">
            <v>1.2246984145589499</v>
          </cell>
          <cell r="Y2">
            <v>1.2232106064414101</v>
          </cell>
        </row>
        <row r="3">
          <cell r="O3">
            <v>1.2246984145589499</v>
          </cell>
          <cell r="U3">
            <v>1.11133877949208E-3</v>
          </cell>
          <cell r="Y3">
            <v>1.2232106064414101</v>
          </cell>
        </row>
        <row r="4">
          <cell r="O4">
            <v>1.2246984145589499</v>
          </cell>
          <cell r="U4">
            <v>8.0790920085174495E-4</v>
          </cell>
          <cell r="Y4">
            <v>1.2232106064414101</v>
          </cell>
        </row>
        <row r="5">
          <cell r="O5">
            <v>1.2246984145589499</v>
          </cell>
          <cell r="U5">
            <v>2.0673617968582502E-3</v>
          </cell>
          <cell r="Y5">
            <v>1.2232106064414101</v>
          </cell>
        </row>
        <row r="6">
          <cell r="O6">
            <v>1.2246984145589499</v>
          </cell>
          <cell r="U6">
            <v>1.15311132536327E-3</v>
          </cell>
          <cell r="Y6">
            <v>1.2232106064414101</v>
          </cell>
        </row>
        <row r="7">
          <cell r="O7">
            <v>1.2246984145589499</v>
          </cell>
          <cell r="U7">
            <v>8.49067854370949E-4</v>
          </cell>
          <cell r="Y7">
            <v>1.2232106064414101</v>
          </cell>
        </row>
        <row r="8">
          <cell r="O8">
            <v>1.2246984145589499</v>
          </cell>
          <cell r="U8">
            <v>1.54488410216672E-3</v>
          </cell>
          <cell r="Y8">
            <v>1.2232106064414101</v>
          </cell>
        </row>
        <row r="9">
          <cell r="O9">
            <v>1.2246984145589499</v>
          </cell>
          <cell r="U9">
            <v>1.19861051467124E-3</v>
          </cell>
          <cell r="Y9">
            <v>1.2232106064414101</v>
          </cell>
        </row>
        <row r="10">
          <cell r="O10">
            <v>1.2246984145589499</v>
          </cell>
          <cell r="U10">
            <v>1.45997138920495E-3</v>
          </cell>
          <cell r="Y10">
            <v>1.2232106064414101</v>
          </cell>
        </row>
        <row r="11">
          <cell r="O11">
            <v>1.2246984145589499</v>
          </cell>
          <cell r="P11">
            <v>1.22298238093895</v>
          </cell>
          <cell r="U11">
            <v>1.80646381069814E-3</v>
          </cell>
          <cell r="Y11">
            <v>1.2232106064414101</v>
          </cell>
          <cell r="Z11">
            <v>1.22298238093895</v>
          </cell>
        </row>
        <row r="12">
          <cell r="O12">
            <v>1.2246984145589499</v>
          </cell>
          <cell r="P12">
            <v>1.22298238093895</v>
          </cell>
          <cell r="U12">
            <v>2.0239260274953E-3</v>
          </cell>
          <cell r="V12">
            <v>6.2175471143423896E-4</v>
          </cell>
          <cell r="Y12">
            <v>1.2232106064414101</v>
          </cell>
          <cell r="Z12">
            <v>1.22298238093895</v>
          </cell>
          <cell r="AF12">
            <v>6.2175471143423896E-4</v>
          </cell>
        </row>
        <row r="13">
          <cell r="O13">
            <v>1.2246984145589499</v>
          </cell>
          <cell r="P13">
            <v>1.22329917177518</v>
          </cell>
          <cell r="U13">
            <v>-1.4748748301780701E-3</v>
          </cell>
          <cell r="V13">
            <v>-2.8770461462389102E-3</v>
          </cell>
          <cell r="Y13">
            <v>1.2232106064414101</v>
          </cell>
          <cell r="Z13">
            <v>1.2228268863388201</v>
          </cell>
          <cell r="AF13">
            <v>9.8104401217341606E-4</v>
          </cell>
        </row>
        <row r="14">
          <cell r="O14">
            <v>1.2246984145589499</v>
          </cell>
          <cell r="P14">
            <v>1.2237057456848</v>
          </cell>
          <cell r="U14">
            <v>-2.5090547545240701E-3</v>
          </cell>
          <cell r="V14">
            <v>-3.6522282151271101E-3</v>
          </cell>
          <cell r="Y14">
            <v>1.2232106064414101</v>
          </cell>
          <cell r="Z14">
            <v>1.22276204401365</v>
          </cell>
          <cell r="AF14">
            <v>-1.9139016269063399E-4</v>
          </cell>
        </row>
        <row r="15">
          <cell r="O15">
            <v>1.2246984145589499</v>
          </cell>
          <cell r="P15">
            <v>1.22426634297565</v>
          </cell>
          <cell r="U15">
            <v>-2.5090547545240701E-3</v>
          </cell>
          <cell r="V15">
            <v>-3.3199249079581801E-3</v>
          </cell>
          <cell r="Y15">
            <v>1.2232106064414101</v>
          </cell>
          <cell r="Z15">
            <v>1.2228512250696999</v>
          </cell>
          <cell r="AF15">
            <v>-2.4441814656768902E-4</v>
          </cell>
        </row>
        <row r="16">
          <cell r="O16">
            <v>1.2246984145589499</v>
          </cell>
          <cell r="P16">
            <v>1.2247042120954501</v>
          </cell>
          <cell r="U16">
            <v>-2.4199448328648099E-3</v>
          </cell>
          <cell r="V16">
            <v>-2.7728054336207098E-3</v>
          </cell>
          <cell r="Y16">
            <v>1.2232106064414101</v>
          </cell>
          <cell r="Z16">
            <v>1.2228179454963499</v>
          </cell>
          <cell r="AF16">
            <v>-8.4220967684264699E-5</v>
          </cell>
        </row>
        <row r="17">
          <cell r="O17">
            <v>1.2246984145589499</v>
          </cell>
          <cell r="P17">
            <v>1.22504594493362</v>
          </cell>
          <cell r="U17">
            <v>-1.93975274680709E-3</v>
          </cell>
          <cell r="V17">
            <v>-1.93501890971992E-3</v>
          </cell>
          <cell r="Y17">
            <v>1.2232106064414101</v>
          </cell>
          <cell r="Z17">
            <v>1.22268898104068</v>
          </cell>
          <cell r="AF17">
            <v>3.66913590448404E-4</v>
          </cell>
        </row>
        <row r="18">
          <cell r="O18">
            <v>1.2246984145589499</v>
          </cell>
          <cell r="P18">
            <v>1.2255688077004301</v>
          </cell>
          <cell r="U18">
            <v>-2.7219193881696602E-3</v>
          </cell>
          <cell r="V18">
            <v>-2.4381915161928599E-3</v>
          </cell>
          <cell r="Y18">
            <v>1.2232106064414101</v>
          </cell>
          <cell r="Z18">
            <v>1.2227407782059001</v>
          </cell>
          <cell r="AF18">
            <v>-5.2072358087973402E-4</v>
          </cell>
        </row>
        <row r="19">
          <cell r="O19">
            <v>1.2246984145589499</v>
          </cell>
          <cell r="P19">
            <v>1.22604932052895</v>
          </cell>
          <cell r="U19">
            <v>-2.7219193881696602E-3</v>
          </cell>
          <cell r="V19">
            <v>-2.0114718335635801E-3</v>
          </cell>
          <cell r="Y19">
            <v>1.2232106064414101</v>
          </cell>
          <cell r="Z19">
            <v>1.22275022543284</v>
          </cell>
          <cell r="AF19">
            <v>-4.7836115763803398E-4</v>
          </cell>
        </row>
        <row r="20">
          <cell r="O20">
            <v>1.2246984145589499</v>
          </cell>
          <cell r="P20">
            <v>1.2265399256582099</v>
          </cell>
          <cell r="U20">
            <v>-2.5437817510598898E-3</v>
          </cell>
          <cell r="V20">
            <v>-1.44133771940439E-3</v>
          </cell>
          <cell r="Y20">
            <v>1.2232106064414101</v>
          </cell>
          <cell r="Z20">
            <v>1.22277029891721</v>
          </cell>
          <cell r="AF20">
            <v>-2.9617683037554501E-4</v>
          </cell>
        </row>
        <row r="21">
          <cell r="O21">
            <v>1.2246984145589499</v>
          </cell>
          <cell r="P21">
            <v>1.2270619751382299</v>
          </cell>
          <cell r="Q21">
            <v>1.2250221780385899</v>
          </cell>
          <cell r="U21">
            <v>-2.4548291491610298E-3</v>
          </cell>
          <cell r="V21">
            <v>-9.5231393838898705E-4</v>
          </cell>
          <cell r="Y21">
            <v>1.2232106064414101</v>
          </cell>
          <cell r="Z21">
            <v>1.2228220832879599</v>
          </cell>
          <cell r="AA21">
            <v>1.2229022321134499</v>
          </cell>
          <cell r="AF21">
            <v>-1.9264483013413101E-4</v>
          </cell>
        </row>
        <row r="22">
          <cell r="O22">
            <v>1.2246984145589499</v>
          </cell>
          <cell r="P22">
            <v>1.2271046281559299</v>
          </cell>
          <cell r="Q22">
            <v>1.2250435045474399</v>
          </cell>
          <cell r="U22">
            <v>1.6750076708499299E-3</v>
          </cell>
          <cell r="V22">
            <v>3.6030601195277002E-3</v>
          </cell>
          <cell r="W22">
            <v>1.93933453530824E-3</v>
          </cell>
          <cell r="Y22">
            <v>1.2232106064414101</v>
          </cell>
          <cell r="Z22">
            <v>1.22287411165882</v>
          </cell>
          <cell r="AA22">
            <v>1.22292824629888</v>
          </cell>
          <cell r="AF22">
            <v>6.5078924900568205E-5</v>
          </cell>
          <cell r="AG22">
            <v>1.3062091998147701E-4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1.2246984145589499</v>
          </cell>
          <cell r="P23">
            <v>1.22672958983654</v>
          </cell>
          <cell r="Q23">
            <v>1.22501438080586</v>
          </cell>
          <cell r="U23">
            <v>1.5875877711612699E-3</v>
          </cell>
          <cell r="V23">
            <v>3.5503998956068501E-3</v>
          </cell>
          <cell r="W23">
            <v>1.86932356388034E-3</v>
          </cell>
          <cell r="Y23">
            <v>1.2232106064414101</v>
          </cell>
          <cell r="Z23">
            <v>1.2229806976109501</v>
          </cell>
          <cell r="AA23">
            <v>1.22290379197489</v>
          </cell>
          <cell r="AF23">
            <v>2.05112379862611E-5</v>
          </cell>
          <cell r="AG23">
            <v>6.4778625247742695E-5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1.2246984145589499</v>
          </cell>
          <cell r="P24">
            <v>1.22627565079592</v>
          </cell>
          <cell r="Q24">
            <v>1.22499069824036</v>
          </cell>
          <cell r="U24">
            <v>1.1950460585643701E-3</v>
          </cell>
          <cell r="V24">
            <v>2.8521828284530201E-3</v>
          </cell>
          <cell r="W24">
            <v>1.45300793006033E-3</v>
          </cell>
          <cell r="Y24">
            <v>1.2232106064414101</v>
          </cell>
          <cell r="Z24">
            <v>1.2230073294864101</v>
          </cell>
          <cell r="AA24">
            <v>1.22288468675003</v>
          </cell>
          <cell r="AF24">
            <v>-2.8333874919803998E-4</v>
          </cell>
          <cell r="AG24">
            <v>-3.4622449578169999E-4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1.2246984145589499</v>
          </cell>
          <cell r="P25">
            <v>1.22587977556487</v>
          </cell>
          <cell r="Q25">
            <v>1.2250730592702599</v>
          </cell>
          <cell r="U25">
            <v>7.2048475849113597E-4</v>
          </cell>
          <cell r="V25">
            <v>2.0075130277631701E-3</v>
          </cell>
          <cell r="W25">
            <v>9.5911396353336805E-4</v>
          </cell>
          <cell r="Y25">
            <v>1.2232106064414101</v>
          </cell>
          <cell r="Z25">
            <v>1.2230917684006599</v>
          </cell>
          <cell r="AA25">
            <v>1.2229714967351799</v>
          </cell>
          <cell r="AF25">
            <v>-7.3399061815849196E-4</v>
          </cell>
          <cell r="AG25">
            <v>-8.3427528785604498E-4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1.2246984145589499</v>
          </cell>
          <cell r="P26">
            <v>1.22538853956771</v>
          </cell>
          <cell r="Q26">
            <v>1.2250463758315799</v>
          </cell>
          <cell r="U26">
            <v>1.58946453567214E-3</v>
          </cell>
          <cell r="V26">
            <v>2.5536134064918698E-3</v>
          </cell>
          <cell r="W26">
            <v>1.89532548493206E-3</v>
          </cell>
          <cell r="Y26">
            <v>1.2232106064414101</v>
          </cell>
          <cell r="Z26">
            <v>1.2230809807851399</v>
          </cell>
          <cell r="AA26">
            <v>1.22294946314074</v>
          </cell>
          <cell r="AF26">
            <v>2.00680005110085E-4</v>
          </cell>
          <cell r="AG26">
            <v>1.0234103956682801E-4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1.2246984145589499</v>
          </cell>
          <cell r="P27">
            <v>1.22494559817631</v>
          </cell>
          <cell r="Q27">
            <v>1.22499577155496</v>
          </cell>
          <cell r="U27">
            <v>1.6765077758573901E-3</v>
          </cell>
          <cell r="V27">
            <v>2.23985515081484E-3</v>
          </cell>
          <cell r="W27">
            <v>1.9605873880145499E-3</v>
          </cell>
          <cell r="Y27">
            <v>1.2232106064414101</v>
          </cell>
          <cell r="Z27">
            <v>1.2231180725803801</v>
          </cell>
          <cell r="AA27">
            <v>1.2229035268105299</v>
          </cell>
          <cell r="AF27">
            <v>2.7860053887030802E-4</v>
          </cell>
          <cell r="AG27">
            <v>1.7106496436325E-4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1.2246984145589499</v>
          </cell>
          <cell r="P28">
            <v>1.2243270640963499</v>
          </cell>
          <cell r="Q28">
            <v>1.2249479358983899</v>
          </cell>
          <cell r="U28">
            <v>2.3275807310539202E-3</v>
          </cell>
          <cell r="V28">
            <v>2.5293925999690602E-3</v>
          </cell>
          <cell r="W28">
            <v>2.57035144027872E-3</v>
          </cell>
          <cell r="Y28">
            <v>1.2232106064414101</v>
          </cell>
          <cell r="Z28">
            <v>1.22298023004993</v>
          </cell>
          <cell r="AA28">
            <v>1.2228605041279199</v>
          </cell>
          <cell r="AF28">
            <v>9.5757611684058204E-4</v>
          </cell>
          <cell r="AG28">
            <v>7.8215185202168099E-4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1.2246984145589499</v>
          </cell>
          <cell r="P29">
            <v>1.2237881073424901</v>
          </cell>
          <cell r="Q29">
            <v>1.22491871393572</v>
          </cell>
          <cell r="U29">
            <v>1.6765077758573901E-3</v>
          </cell>
          <cell r="V29">
            <v>1.37324391136555E-3</v>
          </cell>
          <cell r="W29">
            <v>1.8802280722637699E-3</v>
          </cell>
          <cell r="Y29">
            <v>1.2232106064414101</v>
          </cell>
          <cell r="Z29">
            <v>1.2229216747904501</v>
          </cell>
          <cell r="AA29">
            <v>1.2228359501116399</v>
          </cell>
          <cell r="AF29">
            <v>1.9622260423369999E-4</v>
          </cell>
          <cell r="AG29">
            <v>9.8320953946968003E-5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1.2246984145589499</v>
          </cell>
          <cell r="P30">
            <v>1.2233132917707299</v>
          </cell>
          <cell r="Q30">
            <v>1.2249266087144699</v>
          </cell>
          <cell r="U30">
            <v>1.3308652703071301E-3</v>
          </cell>
          <cell r="V30">
            <v>5.87297968412375E-4</v>
          </cell>
          <cell r="W30">
            <v>1.5107296048575401E-3</v>
          </cell>
          <cell r="Y30">
            <v>1.2232106064414101</v>
          </cell>
          <cell r="Z30">
            <v>1.2229265436126699</v>
          </cell>
          <cell r="AA30">
            <v>1.22284842126494</v>
          </cell>
          <cell r="AF30">
            <v>-1.9577651889524401E-4</v>
          </cell>
          <cell r="AG30">
            <v>-2.6587723367590201E-4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1.2246984145589499</v>
          </cell>
          <cell r="P31">
            <v>1.22282272349859</v>
          </cell>
          <cell r="Q31">
            <v>1.22494234931841</v>
          </cell>
          <cell r="U31">
            <v>1.5489794500562299E-3</v>
          </cell>
          <cell r="V31">
            <v>4.1734847586187199E-4</v>
          </cell>
          <cell r="W31">
            <v>1.7352889088600399E-3</v>
          </cell>
          <cell r="Y31">
            <v>1.2232106064414101</v>
          </cell>
          <cell r="Z31">
            <v>1.2229154641317901</v>
          </cell>
          <cell r="AA31">
            <v>1.22286877370987</v>
          </cell>
          <cell r="AF31">
            <v>2.5722592479772399E-5</v>
          </cell>
          <cell r="AG31">
            <v>-3.81609200078265E-5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1.2246984145589499</v>
          </cell>
          <cell r="P32">
            <v>1.2228381332942999</v>
          </cell>
          <cell r="Q32">
            <v>1.2249713807251099</v>
          </cell>
          <cell r="U32">
            <v>1.5489794500562299E-3</v>
          </cell>
          <cell r="V32">
            <v>1.62519909146349E-5</v>
          </cell>
          <cell r="W32">
            <v>1.7481390687735701E-3</v>
          </cell>
          <cell r="Y32">
            <v>1.2232106064414101</v>
          </cell>
          <cell r="Z32">
            <v>1.2229307222563099</v>
          </cell>
          <cell r="AA32">
            <v>1.22290241695757</v>
          </cell>
          <cell r="AF32">
            <v>1.6662742459615599E-5</v>
          </cell>
          <cell r="AG32">
            <v>-2.1517585305646199E-5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1.2246984145589499</v>
          </cell>
          <cell r="P33">
            <v>1.2228534437287599</v>
          </cell>
          <cell r="Q33">
            <v>1.22479151678265</v>
          </cell>
          <cell r="U33">
            <v>1.4623830655027101E-3</v>
          </cell>
          <cell r="V33">
            <v>-5.7742649890355903E-5</v>
          </cell>
          <cell r="W33">
            <v>1.68524262626189E-3</v>
          </cell>
          <cell r="Y33">
            <v>1.2232106064414101</v>
          </cell>
          <cell r="Z33">
            <v>1.2229458816882399</v>
          </cell>
          <cell r="AA33">
            <v>1.2229632896495899</v>
          </cell>
          <cell r="AF33">
            <v>-5.7157219202870301E-5</v>
          </cell>
          <cell r="AG33">
            <v>-8.03029508513389E-5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1.2246984145589499</v>
          </cell>
          <cell r="P34">
            <v>1.22279957756031</v>
          </cell>
          <cell r="Q34">
            <v>1.2245376141781199</v>
          </cell>
          <cell r="U34">
            <v>1.6355010857306701E-3</v>
          </cell>
          <cell r="V34">
            <v>1.2789570168634501E-4</v>
          </cell>
          <cell r="W34">
            <v>1.7115187272431201E-3</v>
          </cell>
          <cell r="Y34">
            <v>1.2232106064414101</v>
          </cell>
          <cell r="Z34">
            <v>1.22289212029778</v>
          </cell>
          <cell r="AA34">
            <v>1.22294972489209</v>
          </cell>
          <cell r="AF34">
            <v>1.2775793886197101E-4</v>
          </cell>
          <cell r="AG34">
            <v>1.41992287023617E-4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1.2246984145589499</v>
          </cell>
          <cell r="P35">
            <v>1.2226876475822901</v>
          </cell>
          <cell r="Q35">
            <v>1.2242837115735801</v>
          </cell>
          <cell r="U35">
            <v>1.6355010857306701E-3</v>
          </cell>
          <cell r="V35">
            <v>8.3845161413996597E-5</v>
          </cell>
          <cell r="W35">
            <v>1.5041945238638099E-3</v>
          </cell>
          <cell r="Y35">
            <v>1.2232106064414101</v>
          </cell>
          <cell r="Z35">
            <v>1.22278055186853</v>
          </cell>
          <cell r="AA35">
            <v>1.2229361601345901</v>
          </cell>
          <cell r="AF35">
            <v>8.3796408767557599E-5</v>
          </cell>
          <cell r="AG35">
            <v>1.30900512769896E-4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1.2246984145589499</v>
          </cell>
          <cell r="P36">
            <v>1.22309419599851</v>
          </cell>
          <cell r="Q36">
            <v>1.2242413677831101</v>
          </cell>
          <cell r="U36">
            <v>-1.72988072331697E-3</v>
          </cell>
          <cell r="V36">
            <v>-3.3730766703741E-3</v>
          </cell>
          <cell r="W36">
            <v>-2.0685544808013499E-3</v>
          </cell>
          <cell r="Y36">
            <v>1.2232106064414101</v>
          </cell>
          <cell r="Z36">
            <v>1.2227266975120299</v>
          </cell>
          <cell r="AA36">
            <v>1.22290383914859</v>
          </cell>
          <cell r="AF36">
            <v>3.8669561695499501E-4</v>
          </cell>
          <cell r="AG36">
            <v>5.1394524117367502E-4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1.2246984145589499</v>
          </cell>
          <cell r="P37">
            <v>1.22363902797813</v>
          </cell>
          <cell r="Q37">
            <v>1.2242923130772201</v>
          </cell>
          <cell r="U37">
            <v>-2.7697606801839899E-3</v>
          </cell>
          <cell r="V37">
            <v>-4.0805079903920198E-3</v>
          </cell>
          <cell r="W37">
            <v>-3.1430216190124201E-3</v>
          </cell>
          <cell r="Y37">
            <v>1.2232106064414101</v>
          </cell>
          <cell r="Z37">
            <v>1.22280948908283</v>
          </cell>
          <cell r="AA37">
            <v>1.2229637808316001</v>
          </cell>
          <cell r="AF37">
            <v>-6.8797548448571398E-4</v>
          </cell>
          <cell r="AG37">
            <v>-5.43111708694974E-4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1.2246984145589499</v>
          </cell>
          <cell r="P38">
            <v>1.2241681991886</v>
          </cell>
          <cell r="Q38">
            <v>1.22424763164247</v>
          </cell>
          <cell r="U38">
            <v>-1.9939654512042301E-3</v>
          </cell>
          <cell r="V38">
            <v>-2.8593581283195601E-3</v>
          </cell>
          <cell r="W38">
            <v>-2.3256134896181501E-3</v>
          </cell>
          <cell r="Y38">
            <v>1.2232106064414101</v>
          </cell>
          <cell r="Z38">
            <v>1.22287704750937</v>
          </cell>
          <cell r="AA38">
            <v>1.2229286387796501</v>
          </cell>
          <cell r="AF38">
            <v>1.52529503138862E-4</v>
          </cell>
          <cell r="AG38">
            <v>2.7869961946129003E-4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1.2246984145589499</v>
          </cell>
          <cell r="P39">
            <v>1.2245010335242399</v>
          </cell>
          <cell r="Q39">
            <v>1.22414457043336</v>
          </cell>
          <cell r="U39">
            <v>-1.0420377258222599E-3</v>
          </cell>
          <cell r="V39">
            <v>-1.47506692852717E-3</v>
          </cell>
          <cell r="W39">
            <v>-1.41018215454017E-3</v>
          </cell>
          <cell r="Y39">
            <v>1.2232106064414101</v>
          </cell>
          <cell r="Z39">
            <v>1.22274986495969</v>
          </cell>
          <cell r="AA39">
            <v>1.22283576987507</v>
          </cell>
          <cell r="AF39">
            <v>1.15253423495599E-3</v>
          </cell>
          <cell r="AG39">
            <v>1.1947217812315399E-3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1.2246984145589499</v>
          </cell>
          <cell r="P40">
            <v>1.22494941893372</v>
          </cell>
          <cell r="Q40">
            <v>1.22413135535222</v>
          </cell>
          <cell r="U40">
            <v>-2.32849729636429E-3</v>
          </cell>
          <cell r="V40">
            <v>-2.4896773385120999E-3</v>
          </cell>
          <cell r="W40">
            <v>-2.7808285715211602E-3</v>
          </cell>
          <cell r="Y40">
            <v>1.2232106064414101</v>
          </cell>
          <cell r="Z40">
            <v>1.2227378676415801</v>
          </cell>
          <cell r="AA40">
            <v>1.2228322056271199</v>
          </cell>
          <cell r="AF40">
            <v>-2.3818832934310399E-4</v>
          </cell>
          <cell r="AG40">
            <v>-1.6793528713454601E-4</v>
          </cell>
          <cell r="AR40">
            <v>0</v>
          </cell>
          <cell r="BC40">
            <v>1.2864595705418199E-3</v>
          </cell>
          <cell r="BF40">
            <v>1.2864595705418199E-3</v>
          </cell>
        </row>
        <row r="41">
          <cell r="O41">
            <v>1.2246984145589499</v>
          </cell>
          <cell r="P41">
            <v>1.22497609290667</v>
          </cell>
          <cell r="Q41">
            <v>1.22389940820263</v>
          </cell>
          <cell r="U41">
            <v>1.3308652703071301E-3</v>
          </cell>
          <cell r="V41">
            <v>1.53579625851803E-3</v>
          </cell>
          <cell r="W41">
            <v>8.6773857703366201E-4</v>
          </cell>
          <cell r="Y41">
            <v>1.2232106064414101</v>
          </cell>
          <cell r="Z41">
            <v>1.2227782728999701</v>
          </cell>
          <cell r="AA41">
            <v>1.22284686851588</v>
          </cell>
          <cell r="AF41">
            <v>-4.5892366026598601E-4</v>
          </cell>
          <cell r="AG41">
            <v>-3.8177356211534198E-4</v>
          </cell>
          <cell r="AR41">
            <v>0</v>
          </cell>
          <cell r="BC41">
            <v>1.2864595705418199E-3</v>
          </cell>
          <cell r="BF41">
            <v>1.2864595705418199E-3</v>
          </cell>
        </row>
        <row r="42">
          <cell r="O42">
            <v>1.2246984145589499</v>
          </cell>
          <cell r="P42">
            <v>1.22496571726541</v>
          </cell>
          <cell r="Q42">
            <v>1.22390192527985</v>
          </cell>
          <cell r="U42">
            <v>1.63383435100562E-3</v>
          </cell>
          <cell r="V42">
            <v>1.8605406730557801E-3</v>
          </cell>
          <cell r="W42">
            <v>9.8121073331400993E-4</v>
          </cell>
          <cell r="Y42">
            <v>1.2232106064414101</v>
          </cell>
          <cell r="Z42">
            <v>1.2227819189970801</v>
          </cell>
          <cell r="AA42">
            <v>1.2228563206267</v>
          </cell>
          <cell r="AF42">
            <v>-1.25342136802494E-4</v>
          </cell>
          <cell r="AG42">
            <v>-6.9245546390896102E-5</v>
          </cell>
          <cell r="AR42">
            <v>0</v>
          </cell>
          <cell r="BC42">
            <v>1.2864595705418199E-3</v>
          </cell>
          <cell r="BF42">
            <v>1.2864595705418199E-3</v>
          </cell>
        </row>
        <row r="43">
          <cell r="O43">
            <v>1.2246984145589499</v>
          </cell>
          <cell r="P43">
            <v>1.22490766716818</v>
          </cell>
          <cell r="Q43">
            <v>1.22388055544847</v>
          </cell>
          <cell r="U43">
            <v>1.9371844738995301E-3</v>
          </cell>
          <cell r="V43">
            <v>2.1554206835468202E-3</v>
          </cell>
          <cell r="W43">
            <v>1.2866174587517301E-3</v>
          </cell>
          <cell r="Y43">
            <v>1.2232106064414101</v>
          </cell>
          <cell r="Z43">
            <v>1.2227382174824699</v>
          </cell>
          <cell r="AA43">
            <v>1.22284204958536</v>
          </cell>
          <cell r="AF43">
            <v>1.7855192070931499E-4</v>
          </cell>
          <cell r="AG43">
            <v>2.3939626672590399E-4</v>
          </cell>
          <cell r="AR43">
            <v>0</v>
          </cell>
          <cell r="BC43">
            <v>1.2864595705418199E-3</v>
          </cell>
          <cell r="BF43">
            <v>1.2864595705418199E-3</v>
          </cell>
        </row>
        <row r="44">
          <cell r="O44">
            <v>1.2246984145589499</v>
          </cell>
          <cell r="P44">
            <v>1.2249239491308901</v>
          </cell>
          <cell r="Q44">
            <v>1.2238617633455999</v>
          </cell>
          <cell r="U44">
            <v>1.5023456270933E-3</v>
          </cell>
          <cell r="V44">
            <v>1.67319155313344E-3</v>
          </cell>
          <cell r="W44">
            <v>8.3431804789998803E-4</v>
          </cell>
          <cell r="Y44">
            <v>1.2232106064414101</v>
          </cell>
          <cell r="Z44">
            <v>1.22276842992598</v>
          </cell>
          <cell r="AA44">
            <v>1.22283027511188</v>
          </cell>
          <cell r="AF44">
            <v>-2.8911050993967998E-4</v>
          </cell>
          <cell r="AG44">
            <v>-2.0419642689609001E-4</v>
          </cell>
          <cell r="AR44">
            <v>0</v>
          </cell>
          <cell r="BC44">
            <v>1.2864595705418199E-3</v>
          </cell>
          <cell r="BF44">
            <v>1.2864595705418199E-3</v>
          </cell>
        </row>
        <row r="45">
          <cell r="O45">
            <v>1.2246984145589499</v>
          </cell>
          <cell r="P45">
            <v>1.2248871136763899</v>
          </cell>
          <cell r="Q45">
            <v>1.22378738062934</v>
          </cell>
          <cell r="U45">
            <v>1.93681042503585E-3</v>
          </cell>
          <cell r="V45">
            <v>2.1209486627687302E-3</v>
          </cell>
          <cell r="W45">
            <v>1.2534282043681099E-3</v>
          </cell>
          <cell r="Y45">
            <v>1.2232106064414101</v>
          </cell>
          <cell r="Z45">
            <v>1.2227459718098701</v>
          </cell>
          <cell r="AA45">
            <v>1.2227632618391999</v>
          </cell>
          <cell r="AF45">
            <v>1.6632534121982E-4</v>
          </cell>
          <cell r="AG45">
            <v>2.1690206567313901E-4</v>
          </cell>
          <cell r="AR45">
            <v>0</v>
          </cell>
          <cell r="BC45">
            <v>1.2864595705418199E-3</v>
          </cell>
          <cell r="BF45">
            <v>1.2864595705418199E-3</v>
          </cell>
        </row>
        <row r="46">
          <cell r="O46">
            <v>1.2246984145589499</v>
          </cell>
          <cell r="P46">
            <v>1.2244699224820501</v>
          </cell>
          <cell r="Q46">
            <v>1.2237820592402799</v>
          </cell>
          <cell r="U46">
            <v>1.6765077758573901E-3</v>
          </cell>
          <cell r="V46">
            <v>1.83057393573679E-3</v>
          </cell>
          <cell r="W46">
            <v>9.3234665109940195E-4</v>
          </cell>
          <cell r="Y46">
            <v>1.2232106064414101</v>
          </cell>
          <cell r="Z46">
            <v>1.2228032126574999</v>
          </cell>
          <cell r="AA46">
            <v>1.2227649550847699</v>
          </cell>
          <cell r="AF46">
            <v>-1.0977643911407E-4</v>
          </cell>
          <cell r="AG46">
            <v>-9.5636210903569799E-5</v>
          </cell>
          <cell r="AR46">
            <v>0</v>
          </cell>
          <cell r="BC46">
            <v>1.2864595705418199E-3</v>
          </cell>
          <cell r="BF46">
            <v>1.2864595705418199E-3</v>
          </cell>
        </row>
        <row r="47">
          <cell r="O47">
            <v>1.2246984145589499</v>
          </cell>
          <cell r="P47">
            <v>1.2239625569459101</v>
          </cell>
          <cell r="Q47">
            <v>1.22380079246202</v>
          </cell>
          <cell r="U47">
            <v>1.3701175700765299E-3</v>
          </cell>
          <cell r="V47">
            <v>1.1835300872104701E-3</v>
          </cell>
          <cell r="W47">
            <v>6.2160814044592903E-4</v>
          </cell>
          <cell r="Y47">
            <v>1.2232106064414101</v>
          </cell>
          <cell r="Z47">
            <v>1.22277168507796</v>
          </cell>
          <cell r="AA47">
            <v>1.2227905870803899</v>
          </cell>
          <cell r="AF47">
            <v>-3.67697602478602E-4</v>
          </cell>
          <cell r="AG47">
            <v>-3.9898486998805199E-4</v>
          </cell>
          <cell r="AR47">
            <v>0</v>
          </cell>
          <cell r="BC47">
            <v>1.2864595705418199E-3</v>
          </cell>
          <cell r="BF47">
            <v>1.2864595705418199E-3</v>
          </cell>
        </row>
        <row r="48">
          <cell r="O48">
            <v>1.2246984145589499</v>
          </cell>
          <cell r="P48">
            <v>1.22354003820322</v>
          </cell>
          <cell r="Q48">
            <v>1.22385411869591</v>
          </cell>
          <cell r="U48">
            <v>1.45508535317633E-3</v>
          </cell>
          <cell r="V48">
            <v>8.5405675529684401E-4</v>
          </cell>
          <cell r="W48">
            <v>7.21883451724707E-4</v>
          </cell>
          <cell r="Y48">
            <v>1.2232106064414101</v>
          </cell>
          <cell r="Z48">
            <v>1.22282445420195</v>
          </cell>
          <cell r="AA48">
            <v>1.2228507508556601</v>
          </cell>
          <cell r="AF48">
            <v>-3.0989940900928801E-4</v>
          </cell>
          <cell r="AG48">
            <v>-2.94441203223159E-4</v>
          </cell>
          <cell r="AR48">
            <v>0</v>
          </cell>
          <cell r="BC48">
            <v>1.2864595705418199E-3</v>
          </cell>
          <cell r="BF48">
            <v>1.2864595705418199E-3</v>
          </cell>
        </row>
        <row r="49">
          <cell r="O49">
            <v>1.2246984145589499</v>
          </cell>
          <cell r="P49">
            <v>1.22322933374309</v>
          </cell>
          <cell r="Q49">
            <v>1.22386518363367</v>
          </cell>
          <cell r="U49">
            <v>1.495524429996E-3</v>
          </cell>
          <cell r="V49">
            <v>5.4923062363284496E-4</v>
          </cell>
          <cell r="W49">
            <v>8.0589585553104102E-4</v>
          </cell>
          <cell r="Y49">
            <v>1.2232106064414101</v>
          </cell>
          <cell r="Z49">
            <v>1.2229879153110499</v>
          </cell>
          <cell r="AA49">
            <v>1.2228688901353699</v>
          </cell>
          <cell r="AF49">
            <v>-2.27814290231751E-4</v>
          </cell>
          <cell r="AG49">
            <v>-2.06309673708513E-4</v>
          </cell>
          <cell r="AR49">
            <v>0</v>
          </cell>
          <cell r="BC49">
            <v>1.2864595705418199E-3</v>
          </cell>
          <cell r="BF49">
            <v>1.2864595705418199E-3</v>
          </cell>
        </row>
        <row r="50">
          <cell r="O50">
            <v>1.2246984145589499</v>
          </cell>
          <cell r="P50">
            <v>1.2228149315299901</v>
          </cell>
          <cell r="Q50">
            <v>1.2238821752318501</v>
          </cell>
          <cell r="U50">
            <v>1.05305216482555E-3</v>
          </cell>
          <cell r="V50">
            <v>-1.47212829311027E-4</v>
          </cell>
          <cell r="W50">
            <v>3.7246460886931101E-4</v>
          </cell>
          <cell r="Y50">
            <v>1.2232106064414101</v>
          </cell>
          <cell r="Z50">
            <v>1.2230478683528001</v>
          </cell>
          <cell r="AA50">
            <v>1.22289286799719</v>
          </cell>
          <cell r="AF50">
            <v>-5.3359919043986196E-4</v>
          </cell>
          <cell r="AG50">
            <v>-6.3092719059797597E-4</v>
          </cell>
          <cell r="AR50">
            <v>0</v>
          </cell>
          <cell r="BC50">
            <v>1.2864595705418199E-3</v>
          </cell>
          <cell r="BF50">
            <v>1.2864595705418199E-3</v>
          </cell>
        </row>
        <row r="51">
          <cell r="O51">
            <v>1.2246984145589499</v>
          </cell>
          <cell r="P51">
            <v>1.2229184275068901</v>
          </cell>
          <cell r="Q51">
            <v>1.22394726020678</v>
          </cell>
          <cell r="U51">
            <v>4.8502449926516401E-4</v>
          </cell>
          <cell r="V51">
            <v>-1.0540750964740701E-3</v>
          </cell>
          <cell r="W51">
            <v>-1.8167959921279301E-4</v>
          </cell>
          <cell r="Y51">
            <v>1.2232106064414101</v>
          </cell>
          <cell r="Z51">
            <v>1.2231509245081</v>
          </cell>
          <cell r="AA51">
            <v>1.2229645987040301</v>
          </cell>
          <cell r="AF51">
            <v>-1.0475155883136E-3</v>
          </cell>
          <cell r="AG51">
            <v>-1.17425648069763E-3</v>
          </cell>
          <cell r="AR51">
            <v>0</v>
          </cell>
          <cell r="BC51">
            <v>1.2864595705418199E-3</v>
          </cell>
          <cell r="BF51">
            <v>1.2864595705418199E-3</v>
          </cell>
        </row>
        <row r="52">
          <cell r="O52">
            <v>1.2246984145589499</v>
          </cell>
          <cell r="P52">
            <v>1.22300996389565</v>
          </cell>
          <cell r="Q52">
            <v>1.22398784058053</v>
          </cell>
          <cell r="U52">
            <v>8.8547244976656199E-4</v>
          </cell>
          <cell r="V52">
            <v>-5.6899324540530703E-4</v>
          </cell>
          <cell r="W52">
            <v>2.7194605558310801E-4</v>
          </cell>
          <cell r="Y52">
            <v>1.2232106064414101</v>
          </cell>
          <cell r="Z52">
            <v>1.22324200744233</v>
          </cell>
          <cell r="AA52">
            <v>1.2230119632197101</v>
          </cell>
          <cell r="AF52">
            <v>-5.6514498780209301E-4</v>
          </cell>
          <cell r="AG52">
            <v>-7.1748922719573898E-4</v>
          </cell>
          <cell r="AR52">
            <v>4.0044795050137982E-4</v>
          </cell>
          <cell r="BC52">
            <v>1.2864595705418199E-3</v>
          </cell>
          <cell r="BF52">
            <v>1.6869075210431998E-3</v>
          </cell>
        </row>
        <row r="53">
          <cell r="O53">
            <v>1.2246984145589499</v>
          </cell>
          <cell r="P53">
            <v>1.2231124107860001</v>
          </cell>
          <cell r="Q53">
            <v>1.22401003897709</v>
          </cell>
          <cell r="U53">
            <v>1.09940638163966E-3</v>
          </cell>
          <cell r="V53">
            <v>-2.8021134241120002E-4</v>
          </cell>
          <cell r="W53">
            <v>5.1903476655314499E-4</v>
          </cell>
          <cell r="Y53">
            <v>1.2232106064414101</v>
          </cell>
          <cell r="Z53">
            <v>1.2233440310761201</v>
          </cell>
          <cell r="AA53">
            <v>1.22304112427929</v>
          </cell>
          <cell r="AF53">
            <v>-2.79412876648864E-4</v>
          </cell>
          <cell r="AG53">
            <v>-4.6749165020604E-4</v>
          </cell>
          <cell r="AR53">
            <v>6.1438188237432009E-4</v>
          </cell>
          <cell r="BC53">
            <v>1.2864595705418199E-3</v>
          </cell>
          <cell r="BF53">
            <v>1.90084145291614E-3</v>
          </cell>
        </row>
        <row r="54">
          <cell r="O54">
            <v>1.2246984145589499</v>
          </cell>
          <cell r="P54">
            <v>1.2231668487521501</v>
          </cell>
          <cell r="Q54">
            <v>1.2240453989415201</v>
          </cell>
          <cell r="U54">
            <v>1.05727539640025E-3</v>
          </cell>
          <cell r="V54">
            <v>-2.3857964147517199E-4</v>
          </cell>
          <cell r="W54">
            <v>4.9503974192314202E-4</v>
          </cell>
          <cell r="Y54">
            <v>1.2232106064414101</v>
          </cell>
          <cell r="Z54">
            <v>1.22339830845994</v>
          </cell>
          <cell r="AA54">
            <v>1.2230833691929599</v>
          </cell>
          <cell r="AF54">
            <v>-2.3745023684860599E-4</v>
          </cell>
          <cell r="AG54">
            <v>-4.8508646674109599E-4</v>
          </cell>
          <cell r="AR54">
            <v>5.7225089713500003E-4</v>
          </cell>
          <cell r="BC54">
            <v>1.2864595705418199E-3</v>
          </cell>
          <cell r="BF54">
            <v>1.85871046767682E-3</v>
          </cell>
        </row>
        <row r="55">
          <cell r="O55">
            <v>1.2246984145589499</v>
          </cell>
          <cell r="P55">
            <v>1.22314537655783</v>
          </cell>
          <cell r="Q55">
            <v>1.2240162451171099</v>
          </cell>
          <cell r="U55">
            <v>2.1124921421576798E-3</v>
          </cell>
          <cell r="V55">
            <v>8.6114385137889195E-4</v>
          </cell>
          <cell r="W55">
            <v>1.5791446933094699E-3</v>
          </cell>
          <cell r="Y55">
            <v>1.2232106064414101</v>
          </cell>
          <cell r="Z55">
            <v>1.22337739018332</v>
          </cell>
          <cell r="AA55">
            <v>1.2230616809966</v>
          </cell>
          <cell r="AF55">
            <v>8.5243384576864196E-4</v>
          </cell>
          <cell r="AG55">
            <v>5.9497083544098105E-4</v>
          </cell>
          <cell r="AR55">
            <v>1.6274676428925498E-3</v>
          </cell>
          <cell r="BC55">
            <v>1.2864595705418199E-3</v>
          </cell>
          <cell r="BF55">
            <v>2.9139272134343698E-3</v>
          </cell>
        </row>
        <row r="56">
          <cell r="O56">
            <v>1.2246984145589499</v>
          </cell>
          <cell r="P56">
            <v>1.2236168093627799</v>
          </cell>
          <cell r="Q56">
            <v>1.2240433659224199</v>
          </cell>
          <cell r="U56">
            <v>-2.1719152097700299E-3</v>
          </cell>
          <cell r="V56">
            <v>-3.44081824609886E-3</v>
          </cell>
          <cell r="W56">
            <v>-2.7290805428492899E-3</v>
          </cell>
          <cell r="Y56">
            <v>1.2232106064414101</v>
          </cell>
          <cell r="Z56">
            <v>1.22337473126785</v>
          </cell>
          <cell r="AA56">
            <v>1.2230889719626801</v>
          </cell>
          <cell r="AF56">
            <v>4.28227315885929E-4</v>
          </cell>
          <cell r="AG56">
            <v>1.7013040091079501E-4</v>
          </cell>
          <cell r="AR56">
            <v>1.6274676428925498E-3</v>
          </cell>
          <cell r="BC56">
            <v>1.2864595705418199E-3</v>
          </cell>
          <cell r="BF56">
            <v>2.9139272134343698E-3</v>
          </cell>
        </row>
        <row r="57">
          <cell r="O57">
            <v>1.2246984145589499</v>
          </cell>
          <cell r="P57">
            <v>1.2241285250512901</v>
          </cell>
          <cell r="Q57">
            <v>1.2240455409986</v>
          </cell>
          <cell r="U57">
            <v>-2.8051819992568699E-3</v>
          </cell>
          <cell r="V57">
            <v>-3.6887326597022001E-3</v>
          </cell>
          <cell r="W57">
            <v>-3.3401903512048298E-3</v>
          </cell>
          <cell r="Y57">
            <v>1.2232106064414101</v>
          </cell>
          <cell r="Z57">
            <v>1.2234101292197199</v>
          </cell>
          <cell r="AA57">
            <v>1.2230909071488401</v>
          </cell>
          <cell r="AF57">
            <v>-1.89756546169228E-4</v>
          </cell>
          <cell r="AG57">
            <v>-4.2336663905413502E-4</v>
          </cell>
          <cell r="AR57">
            <v>1.6274676428925498E-3</v>
          </cell>
          <cell r="BC57">
            <v>1.2864595705418199E-3</v>
          </cell>
          <cell r="BF57">
            <v>2.9139272134343698E-3</v>
          </cell>
        </row>
        <row r="58">
          <cell r="O58">
            <v>1.2246984145589499</v>
          </cell>
          <cell r="P58">
            <v>1.22463266650639</v>
          </cell>
          <cell r="Q58">
            <v>1.2240863523548</v>
          </cell>
          <cell r="U58">
            <v>-2.6588886793399401E-3</v>
          </cell>
          <cell r="V58">
            <v>-3.1243274645222901E-3</v>
          </cell>
          <cell r="W58">
            <v>-3.1921200727961299E-3</v>
          </cell>
          <cell r="Y58">
            <v>1.2232106064414101</v>
          </cell>
          <cell r="Z58">
            <v>1.22343930142746</v>
          </cell>
          <cell r="AA58">
            <v>1.2231318778147</v>
          </cell>
          <cell r="AF58">
            <v>-2.63790971492781E-5</v>
          </cell>
          <cell r="AG58">
            <v>-2.8734123691028998E-4</v>
          </cell>
          <cell r="AR58">
            <v>1.6274676428925498E-3</v>
          </cell>
          <cell r="BC58">
            <v>1.2864595705418199E-3</v>
          </cell>
          <cell r="BF58">
            <v>2.9139272134343698E-3</v>
          </cell>
        </row>
        <row r="59">
          <cell r="O59">
            <v>1.2246984145589499</v>
          </cell>
          <cell r="P59">
            <v>1.2251623315526801</v>
          </cell>
          <cell r="Q59">
            <v>1.2241958326478899</v>
          </cell>
          <cell r="U59">
            <v>-2.8264561594577801E-3</v>
          </cell>
          <cell r="V59">
            <v>-2.8801426970469098E-3</v>
          </cell>
          <cell r="W59">
            <v>-3.32634673797027E-3</v>
          </cell>
          <cell r="Y59">
            <v>1.2232106064414101</v>
          </cell>
          <cell r="Z59">
            <v>1.2234902892038499</v>
          </cell>
          <cell r="AA59">
            <v>1.22323910225745</v>
          </cell>
          <cell r="AF59">
            <v>-1.41917001368466E-4</v>
          </cell>
          <cell r="AG59">
            <v>-3.9322676662692101E-4</v>
          </cell>
          <cell r="AR59">
            <v>1.6274676428925498E-3</v>
          </cell>
          <cell r="BC59">
            <v>1.2864595705418199E-3</v>
          </cell>
          <cell r="BF59">
            <v>2.9139272134343698E-3</v>
          </cell>
        </row>
        <row r="60">
          <cell r="O60">
            <v>1.2246984145589499</v>
          </cell>
          <cell r="P60">
            <v>1.2256266860617999</v>
          </cell>
          <cell r="Q60">
            <v>1.2242208087958999</v>
          </cell>
          <cell r="U60">
            <v>-2.7353401558874702E-3</v>
          </cell>
          <cell r="V60">
            <v>-2.35661087503947E-3</v>
          </cell>
          <cell r="W60">
            <v>-3.1457963596991201E-3</v>
          </cell>
          <cell r="Y60">
            <v>1.2232106064414101</v>
          </cell>
          <cell r="Z60">
            <v>1.2234766761278699</v>
          </cell>
          <cell r="AA60">
            <v>1.2232622722403399</v>
          </cell>
          <cell r="AF60">
            <v>-1.1650902668319799E-5</v>
          </cell>
          <cell r="AG60">
            <v>-2.16975568452997E-4</v>
          </cell>
          <cell r="AR60">
            <v>1.6274676428925498E-3</v>
          </cell>
          <cell r="BC60">
            <v>1.2864595705418199E-3</v>
          </cell>
          <cell r="BF60">
            <v>2.9139272134343698E-3</v>
          </cell>
        </row>
        <row r="61">
          <cell r="O61">
            <v>1.2246984145589499</v>
          </cell>
          <cell r="P61">
            <v>1.2259812530597201</v>
          </cell>
          <cell r="Q61">
            <v>1.2244498402833</v>
          </cell>
          <cell r="U61">
            <v>-2.4073303926562301E-3</v>
          </cell>
          <cell r="V61">
            <v>-1.6496582396633699E-3</v>
          </cell>
          <cell r="W61">
            <v>-2.7973847191161698E-3</v>
          </cell>
          <cell r="Y61">
            <v>1.2232106064414101</v>
          </cell>
          <cell r="Z61">
            <v>1.22335610785159</v>
          </cell>
          <cell r="AA61">
            <v>1.2232535161798499</v>
          </cell>
          <cell r="AF61">
            <v>2.8828372429891698E-4</v>
          </cell>
          <cell r="AG61">
            <v>1.1302686804767799E-4</v>
          </cell>
          <cell r="AR61">
            <v>1.6274676428925498E-3</v>
          </cell>
          <cell r="BC61">
            <v>1.2864595705418199E-3</v>
          </cell>
          <cell r="BF61">
            <v>2.9139272134343698E-3</v>
          </cell>
        </row>
        <row r="62">
          <cell r="O62">
            <v>1.2246984145589499</v>
          </cell>
          <cell r="P62">
            <v>1.22634928760684</v>
          </cell>
          <cell r="Q62">
            <v>1.22467962575124</v>
          </cell>
          <cell r="U62">
            <v>-2.1177788707583398E-3</v>
          </cell>
          <cell r="V62">
            <v>-1.0708541054489499E-3</v>
          </cell>
          <cell r="W62">
            <v>-2.3207672166139599E-3</v>
          </cell>
          <cell r="Y62">
            <v>1.2232106064414101</v>
          </cell>
          <cell r="Z62">
            <v>1.22325174600738</v>
          </cell>
          <cell r="AA62">
            <v>1.2232468767248501</v>
          </cell>
          <cell r="AF62">
            <v>4.5569380857566401E-4</v>
          </cell>
          <cell r="AG62">
            <v>3.71829451302983E-4</v>
          </cell>
          <cell r="AR62">
            <v>1.6274676428925498E-3</v>
          </cell>
          <cell r="BC62">
            <v>1.2864595705418199E-3</v>
          </cell>
          <cell r="BF62">
            <v>2.9139272134343698E-3</v>
          </cell>
        </row>
        <row r="63">
          <cell r="O63">
            <v>1.2246984145589499</v>
          </cell>
          <cell r="P63">
            <v>1.2262955696870701</v>
          </cell>
          <cell r="Q63">
            <v>1.22470399023653</v>
          </cell>
          <cell r="U63">
            <v>1.53860692066306E-3</v>
          </cell>
          <cell r="V63">
            <v>2.88568253740548E-3</v>
          </cell>
          <cell r="W63">
            <v>1.52326522379281E-3</v>
          </cell>
          <cell r="Y63">
            <v>1.2232106064414101</v>
          </cell>
          <cell r="Z63">
            <v>1.22321609910762</v>
          </cell>
          <cell r="AA63">
            <v>1.22328006509187</v>
          </cell>
          <cell r="AF63">
            <v>1.9922704116854699E-5</v>
          </cell>
          <cell r="AG63">
            <v>1.5942090781585199E-5</v>
          </cell>
          <cell r="AR63">
            <v>1.6274676428925498E-3</v>
          </cell>
          <cell r="BC63">
            <v>1.2864595705418199E-3</v>
          </cell>
          <cell r="BF63">
            <v>2.9139272134343698E-3</v>
          </cell>
        </row>
        <row r="64">
          <cell r="O64">
            <v>1.2246984145589499</v>
          </cell>
          <cell r="P64">
            <v>1.2261935162481801</v>
          </cell>
          <cell r="Q64">
            <v>1.2246801825001701</v>
          </cell>
          <cell r="U64">
            <v>1.891799450042E-3</v>
          </cell>
          <cell r="V64">
            <v>3.1950709916692098E-3</v>
          </cell>
          <cell r="W64">
            <v>1.89635213405241E-3</v>
          </cell>
          <cell r="Y64">
            <v>1.2232106064414101</v>
          </cell>
          <cell r="Z64">
            <v>1.22313261620918</v>
          </cell>
          <cell r="AA64">
            <v>1.22326546233456</v>
          </cell>
          <cell r="AF64">
            <v>3.40455034102737E-4</v>
          </cell>
          <cell r="AG64">
            <v>3.9274694871899803E-4</v>
          </cell>
          <cell r="AR64">
            <v>1.6274676428925498E-3</v>
          </cell>
          <cell r="BC64">
            <v>1.2864595705418199E-3</v>
          </cell>
          <cell r="BF64">
            <v>2.9139272134343698E-3</v>
          </cell>
        </row>
        <row r="65">
          <cell r="O65">
            <v>1.2246984145589499</v>
          </cell>
          <cell r="P65">
            <v>1.2261935634928001</v>
          </cell>
          <cell r="Q65">
            <v>1.22466947002531</v>
          </cell>
          <cell r="U65">
            <v>2.1121055610826499E-3</v>
          </cell>
          <cell r="V65">
            <v>3.3321527250473899E-3</v>
          </cell>
          <cell r="W65">
            <v>2.0972184719180798E-3</v>
          </cell>
          <cell r="Y65">
            <v>1.2232106064414101</v>
          </cell>
          <cell r="Z65">
            <v>1.22315042125248</v>
          </cell>
          <cell r="AA65">
            <v>1.2232639057179</v>
          </cell>
          <cell r="AF65">
            <v>4.8958357917527895E-4</v>
          </cell>
          <cell r="AG65">
            <v>5.9818906466334299E-4</v>
          </cell>
          <cell r="AR65">
            <v>1.6274676428925498E-3</v>
          </cell>
          <cell r="BC65">
            <v>1.2864595705418199E-3</v>
          </cell>
          <cell r="BF65">
            <v>2.9139272134343698E-3</v>
          </cell>
        </row>
        <row r="66">
          <cell r="O66">
            <v>1.2246984145589499</v>
          </cell>
          <cell r="P66">
            <v>1.22572268571177</v>
          </cell>
          <cell r="Q66">
            <v>1.2246697475372701</v>
          </cell>
          <cell r="U66">
            <v>1.6719682587936901E-3</v>
          </cell>
          <cell r="V66">
            <v>2.89205395225741E-3</v>
          </cell>
          <cell r="W66">
            <v>1.64833397027326E-3</v>
          </cell>
          <cell r="Y66">
            <v>1.2232106064414101</v>
          </cell>
          <cell r="Z66">
            <v>1.2231715587802701</v>
          </cell>
          <cell r="AA66">
            <v>1.2232731450240599</v>
          </cell>
          <cell r="AF66">
            <v>6.9844423533294201E-5</v>
          </cell>
          <cell r="AG66">
            <v>1.6262058515855701E-4</v>
          </cell>
          <cell r="AR66">
            <v>1.6274676428925498E-3</v>
          </cell>
          <cell r="BC66">
            <v>1.2864595705418199E-3</v>
          </cell>
          <cell r="BF66">
            <v>2.9139272134343698E-3</v>
          </cell>
        </row>
        <row r="67">
          <cell r="O67">
            <v>1.2246984145589499</v>
          </cell>
          <cell r="P67">
            <v>1.2252168754871899</v>
          </cell>
          <cell r="Q67">
            <v>1.2246727002692399</v>
          </cell>
          <cell r="U67">
            <v>1.32183288355542E-3</v>
          </cell>
          <cell r="V67">
            <v>2.1578289597847101E-3</v>
          </cell>
          <cell r="W67">
            <v>1.2984251965242799E-3</v>
          </cell>
          <cell r="Y67">
            <v>1.2232106064414101</v>
          </cell>
          <cell r="Z67">
            <v>1.2231595981326899</v>
          </cell>
          <cell r="AA67">
            <v>1.2232848636761999</v>
          </cell>
          <cell r="AF67">
            <v>-2.5809189060383E-4</v>
          </cell>
          <cell r="AG67">
            <v>-1.75043830132307E-4</v>
          </cell>
          <cell r="AR67">
            <v>1.6274676428925498E-3</v>
          </cell>
          <cell r="BC67">
            <v>1.2864595705418199E-3</v>
          </cell>
          <cell r="BF67">
            <v>2.9139272134343698E-3</v>
          </cell>
        </row>
        <row r="68">
          <cell r="O68">
            <v>1.2246984145589499</v>
          </cell>
          <cell r="P68">
            <v>1.2246485466169099</v>
          </cell>
          <cell r="Q68">
            <v>1.22464060656165</v>
          </cell>
          <cell r="U68">
            <v>1.9800942538353E-3</v>
          </cell>
          <cell r="V68">
            <v>2.40334230497355E-3</v>
          </cell>
          <cell r="W68">
            <v>1.95909760734645E-3</v>
          </cell>
          <cell r="Y68">
            <v>1.2232106064414101</v>
          </cell>
          <cell r="Z68">
            <v>1.2230844621194299</v>
          </cell>
          <cell r="AA68">
            <v>1.22326188177344</v>
          </cell>
          <cell r="AF68">
            <v>3.8314373198871298E-4</v>
          </cell>
          <cell r="AG68">
            <v>4.8554993460411702E-4</v>
          </cell>
          <cell r="AR68">
            <v>1.6274676428925498E-3</v>
          </cell>
          <cell r="BC68">
            <v>1.2864595705418199E-3</v>
          </cell>
          <cell r="BF68">
            <v>2.9139272134343698E-3</v>
          </cell>
        </row>
        <row r="69">
          <cell r="O69">
            <v>1.2246984145589499</v>
          </cell>
          <cell r="P69">
            <v>1.2241025912661601</v>
          </cell>
          <cell r="Q69">
            <v>1.2246324614094199</v>
          </cell>
          <cell r="U69">
            <v>1.62874720393704E-3</v>
          </cell>
          <cell r="V69">
            <v>1.58802782621378E-3</v>
          </cell>
          <cell r="W69">
            <v>1.5815442672994101E-3</v>
          </cell>
          <cell r="Y69">
            <v>1.2232106064414101</v>
          </cell>
          <cell r="Z69">
            <v>1.2230348128451101</v>
          </cell>
          <cell r="AA69">
            <v>1.2232625510244799</v>
          </cell>
          <cell r="AF69">
            <v>-2.6151345677391399E-5</v>
          </cell>
          <cell r="AG69">
            <v>1.18897334587533E-4</v>
          </cell>
          <cell r="AR69">
            <v>1.6274676428925498E-3</v>
          </cell>
          <cell r="BC69">
            <v>1.2864595705418199E-3</v>
          </cell>
          <cell r="BF69">
            <v>2.9139272134343698E-3</v>
          </cell>
        </row>
        <row r="70">
          <cell r="O70">
            <v>1.2246984145589499</v>
          </cell>
          <cell r="P70">
            <v>1.2235034602553601</v>
          </cell>
          <cell r="Q70">
            <v>1.22456507315858</v>
          </cell>
          <cell r="U70">
            <v>2.15530617614369E-3</v>
          </cell>
          <cell r="V70">
            <v>1.6686816581625199E-3</v>
          </cell>
          <cell r="W70">
            <v>2.10145216222383E-3</v>
          </cell>
          <cell r="Y70">
            <v>1.2232106064414101</v>
          </cell>
          <cell r="Z70">
            <v>1.22293225311749</v>
          </cell>
          <cell r="AA70">
            <v>1.2232044646226801</v>
          </cell>
          <cell r="AF70">
            <v>4.5460065443009702E-4</v>
          </cell>
          <cell r="AG70">
            <v>6.4079075821127103E-4</v>
          </cell>
          <cell r="AR70">
            <v>1.6274676428925498E-3</v>
          </cell>
          <cell r="BC70">
            <v>1.2864595705418199E-3</v>
          </cell>
          <cell r="BF70">
            <v>2.9139272134343698E-3</v>
          </cell>
        </row>
        <row r="71">
          <cell r="O71">
            <v>1.2246984145589499</v>
          </cell>
          <cell r="P71">
            <v>1.22288060926141</v>
          </cell>
          <cell r="Q71">
            <v>1.2244309311605599</v>
          </cell>
          <cell r="U71">
            <v>2.6791052424408601E-3</v>
          </cell>
          <cell r="V71">
            <v>1.7029158106993899E-3</v>
          </cell>
          <cell r="W71">
            <v>2.5702223875189701E-3</v>
          </cell>
          <cell r="Y71">
            <v>1.2232106064414101</v>
          </cell>
          <cell r="Z71">
            <v>1.22280435909658</v>
          </cell>
          <cell r="AA71">
            <v>1.22308023347409</v>
          </cell>
          <cell r="AF71">
            <v>8.8938557631275199E-4</v>
          </cell>
          <cell r="AG71">
            <v>1.1119500015465301E-3</v>
          </cell>
          <cell r="AR71">
            <v>1.6274676428925498E-3</v>
          </cell>
          <cell r="BC71">
            <v>1.2864595705418199E-3</v>
          </cell>
          <cell r="BF71">
            <v>2.9139272134343698E-3</v>
          </cell>
        </row>
        <row r="72">
          <cell r="O72">
            <v>1.2246984145589499</v>
          </cell>
          <cell r="P72">
            <v>1.2223626673926899</v>
          </cell>
          <cell r="Q72">
            <v>1.2243559774997601</v>
          </cell>
          <cell r="U72">
            <v>2.1113424356107098E-3</v>
          </cell>
          <cell r="V72">
            <v>6.2595167675445404E-4</v>
          </cell>
          <cell r="W72">
            <v>1.89291101636226E-3</v>
          </cell>
          <cell r="Y72">
            <v>1.2232106064414101</v>
          </cell>
          <cell r="Z72">
            <v>1.2227776102178201</v>
          </cell>
          <cell r="AA72">
            <v>1.2230146781125999</v>
          </cell>
          <cell r="AF72">
            <v>2.23354892150019E-4</v>
          </cell>
          <cell r="AG72">
            <v>4.4893739061640798E-4</v>
          </cell>
          <cell r="AR72">
            <v>1.6274676428925498E-3</v>
          </cell>
          <cell r="BC72">
            <v>1.8542223773720841E-3</v>
          </cell>
          <cell r="BF72">
            <v>3.4816900202646337E-3</v>
          </cell>
        </row>
        <row r="73">
          <cell r="O73">
            <v>1.2246984145589499</v>
          </cell>
          <cell r="P73">
            <v>1.2223461742355901</v>
          </cell>
          <cell r="Q73">
            <v>1.2243208719613301</v>
          </cell>
          <cell r="U73">
            <v>1.67349455516308E-3</v>
          </cell>
          <cell r="V73">
            <v>-2.35528389014035E-4</v>
          </cell>
          <cell r="W73">
            <v>1.39384616309002E-3</v>
          </cell>
          <cell r="Y73">
            <v>1.2232106064414101</v>
          </cell>
          <cell r="Z73">
            <v>1.2227610106666</v>
          </cell>
          <cell r="AA73">
            <v>1.22298855488711</v>
          </cell>
          <cell r="AF73">
            <v>-2.3204310658288599E-4</v>
          </cell>
          <cell r="AG73">
            <v>-3.8185356152800002E-5</v>
          </cell>
          <cell r="AR73">
            <v>1.6274676428925498E-3</v>
          </cell>
          <cell r="BC73">
            <v>2.292070257819584E-3</v>
          </cell>
          <cell r="BF73">
            <v>3.9195379007121341E-3</v>
          </cell>
        </row>
        <row r="74">
          <cell r="O74">
            <v>1.2246984145589499</v>
          </cell>
          <cell r="P74">
            <v>1.2223246927375799</v>
          </cell>
          <cell r="Q74">
            <v>1.2242591044928799</v>
          </cell>
          <cell r="U74">
            <v>2.0675493834469401E-3</v>
          </cell>
          <cell r="V74">
            <v>1.4503349744040701E-4</v>
          </cell>
          <cell r="W74">
            <v>1.7592279237595499E-3</v>
          </cell>
          <cell r="Y74">
            <v>1.2232106064414101</v>
          </cell>
          <cell r="Z74">
            <v>1.2227393781917699</v>
          </cell>
          <cell r="AA74">
            <v>1.2229359972004801</v>
          </cell>
          <cell r="AF74">
            <v>1.45268292468937E-4</v>
          </cell>
          <cell r="AG74">
            <v>3.3134149012419901E-4</v>
          </cell>
          <cell r="AR74">
            <v>1.6274676428925498E-3</v>
          </cell>
          <cell r="BC74">
            <v>2.292070257819584E-3</v>
          </cell>
          <cell r="BF74">
            <v>3.9195379007121341E-3</v>
          </cell>
        </row>
        <row r="75">
          <cell r="O75">
            <v>1.2246984145589499</v>
          </cell>
          <cell r="P75">
            <v>1.22280110881042</v>
          </cell>
          <cell r="Q75">
            <v>1.22449733615161</v>
          </cell>
          <cell r="U75">
            <v>-1.7786092040313001E-3</v>
          </cell>
          <cell r="V75">
            <v>-3.7186992332928401E-3</v>
          </cell>
          <cell r="W75">
            <v>-2.1373823288142E-3</v>
          </cell>
          <cell r="Y75">
            <v>1.2232106064414101</v>
          </cell>
          <cell r="Z75">
            <v>1.22273730644335</v>
          </cell>
          <cell r="AA75">
            <v>1.22294386384791</v>
          </cell>
          <cell r="AF75">
            <v>1.8497765669842899E-4</v>
          </cell>
          <cell r="AG75">
            <v>3.4576678767563198E-4</v>
          </cell>
          <cell r="AR75">
            <v>1.6274676428925498E-3</v>
          </cell>
          <cell r="BC75">
            <v>2.292070257819584E-3</v>
          </cell>
          <cell r="BF75">
            <v>3.9195379007121341E-3</v>
          </cell>
        </row>
        <row r="76">
          <cell r="O76">
            <v>1.2246984145589499</v>
          </cell>
          <cell r="P76">
            <v>1.22326313468387</v>
          </cell>
          <cell r="Q76">
            <v>1.2244929101978199</v>
          </cell>
          <cell r="U76">
            <v>-2.09979115636675E-3</v>
          </cell>
          <cell r="V76">
            <v>-3.6501948320121899E-3</v>
          </cell>
          <cell r="W76">
            <v>-2.2639906963463899E-3</v>
          </cell>
          <cell r="Y76">
            <v>1.2232106064414101</v>
          </cell>
          <cell r="Z76">
            <v>1.22271927624653</v>
          </cell>
          <cell r="AA76">
            <v>1.2229454175134</v>
          </cell>
          <cell r="AF76">
            <v>-1.2053014614085099E-4</v>
          </cell>
          <cell r="AG76">
            <v>4.8385906829717497E-5</v>
          </cell>
          <cell r="AR76">
            <v>1.6274676428925498E-3</v>
          </cell>
          <cell r="BC76">
            <v>2.292070257819584E-3</v>
          </cell>
          <cell r="BF76">
            <v>3.9195379007121341E-3</v>
          </cell>
        </row>
        <row r="77">
          <cell r="O77">
            <v>1.2246984145589499</v>
          </cell>
          <cell r="P77">
            <v>1.22370869413495</v>
          </cell>
          <cell r="Q77">
            <v>1.2244627848110701</v>
          </cell>
          <cell r="U77">
            <v>-2.3144755711029799E-3</v>
          </cell>
          <cell r="V77">
            <v>-3.4871084010543001E-3</v>
          </cell>
          <cell r="W77">
            <v>-2.4822896242882898E-3</v>
          </cell>
          <cell r="Y77">
            <v>1.2232106064414101</v>
          </cell>
          <cell r="Z77">
            <v>1.22268538279017</v>
          </cell>
          <cell r="AA77">
            <v>1.22292249046143</v>
          </cell>
          <cell r="AF77">
            <v>-3.5086066893485498E-4</v>
          </cell>
          <cell r="AG77">
            <v>-1.6592831243542901E-4</v>
          </cell>
          <cell r="AR77">
            <v>1.6274676428925498E-3</v>
          </cell>
          <cell r="BC77">
            <v>2.292070257819584E-3</v>
          </cell>
          <cell r="BF77">
            <v>3.9195379007121341E-3</v>
          </cell>
        </row>
        <row r="78">
          <cell r="O78">
            <v>1.2246984145589499</v>
          </cell>
          <cell r="P78">
            <v>1.22423038853788</v>
          </cell>
          <cell r="Q78">
            <v>1.2244394675774</v>
          </cell>
          <cell r="U78">
            <v>-2.2790443878861902E-3</v>
          </cell>
          <cell r="V78">
            <v>-3.0875051004820202E-3</v>
          </cell>
          <cell r="W78">
            <v>-2.4714610803173E-3</v>
          </cell>
          <cell r="Y78">
            <v>1.2232106064414101</v>
          </cell>
          <cell r="Z78">
            <v>1.2227259947709801</v>
          </cell>
          <cell r="AA78">
            <v>1.2229052284452</v>
          </cell>
          <cell r="AF78">
            <v>-3.3672575686582301E-4</v>
          </cell>
          <cell r="AG78">
            <v>-1.42820859356983E-4</v>
          </cell>
          <cell r="AR78">
            <v>1.6274676428925498E-3</v>
          </cell>
          <cell r="BC78">
            <v>2.292070257819584E-3</v>
          </cell>
          <cell r="BF78">
            <v>3.9195379007121341E-3</v>
          </cell>
        </row>
        <row r="79">
          <cell r="O79">
            <v>1.2246984145589499</v>
          </cell>
          <cell r="P79">
            <v>1.2246168619678299</v>
          </cell>
          <cell r="Q79">
            <v>1.2243597266170001</v>
          </cell>
          <cell r="U79">
            <v>-1.5270739556172701E-3</v>
          </cell>
          <cell r="V79">
            <v>-1.9093031377638201E-3</v>
          </cell>
          <cell r="W79">
            <v>-1.7385336569340701E-3</v>
          </cell>
          <cell r="Y79">
            <v>1.2232106064414101</v>
          </cell>
          <cell r="Z79">
            <v>1.2226340397448401</v>
          </cell>
          <cell r="AA79">
            <v>1.22283442629498</v>
          </cell>
          <cell r="AF79">
            <v>4.3281299392114502E-4</v>
          </cell>
          <cell r="AG79">
            <v>5.7938756562296004E-4</v>
          </cell>
          <cell r="AR79">
            <v>1.6274676428925498E-3</v>
          </cell>
          <cell r="BC79">
            <v>2.292070257819584E-3</v>
          </cell>
          <cell r="BF79">
            <v>3.9195379007121341E-3</v>
          </cell>
        </row>
        <row r="80">
          <cell r="O80">
            <v>1.2246984145589499</v>
          </cell>
          <cell r="P80">
            <v>1.2251115675133399</v>
          </cell>
          <cell r="Q80">
            <v>1.22430751388435</v>
          </cell>
          <cell r="U80">
            <v>-1.8846448560533499E-3</v>
          </cell>
          <cell r="V80">
            <v>-1.95123701095735E-3</v>
          </cell>
          <cell r="W80">
            <v>-2.1612311390977702E-3</v>
          </cell>
          <cell r="Y80">
            <v>1.2232106064414101</v>
          </cell>
          <cell r="Z80">
            <v>1.22264819764296</v>
          </cell>
          <cell r="AA80">
            <v>1.2227902253802201</v>
          </cell>
          <cell r="AF80">
            <v>1.1053235036492201E-5</v>
          </cell>
          <cell r="AG80">
            <v>1.7493721339705999E-4</v>
          </cell>
          <cell r="AR80">
            <v>1.6274676428925498E-3</v>
          </cell>
          <cell r="BC80">
            <v>2.292070257819584E-3</v>
          </cell>
          <cell r="BF80">
            <v>3.9195379007121341E-3</v>
          </cell>
        </row>
        <row r="81">
          <cell r="O81">
            <v>1.2246984145589499</v>
          </cell>
          <cell r="P81">
            <v>1.22580022541388</v>
          </cell>
          <cell r="Q81">
            <v>1.22434041733764</v>
          </cell>
          <cell r="U81">
            <v>-2.9432263201860901E-3</v>
          </cell>
          <cell r="V81">
            <v>-2.6059324391641699E-3</v>
          </cell>
          <cell r="W81">
            <v>-3.26245844075978E-3</v>
          </cell>
          <cell r="Y81">
            <v>1.2232106064414101</v>
          </cell>
          <cell r="Z81">
            <v>1.22285308436368</v>
          </cell>
          <cell r="AA81">
            <v>1.2228287217301299</v>
          </cell>
          <cell r="AF81">
            <v>-1.01837445688043E-3</v>
          </cell>
          <cell r="AG81">
            <v>-9.0221717719921903E-4</v>
          </cell>
          <cell r="AR81">
            <v>1.6274676428925498E-3</v>
          </cell>
          <cell r="BC81">
            <v>2.292070257819584E-3</v>
          </cell>
          <cell r="BF81">
            <v>3.9195379007121341E-3</v>
          </cell>
        </row>
        <row r="82">
          <cell r="O82">
            <v>1.2246984145589499</v>
          </cell>
          <cell r="P82">
            <v>1.2264820137911101</v>
          </cell>
          <cell r="Q82">
            <v>1.2244223405918999</v>
          </cell>
          <cell r="U82">
            <v>-3.4519101324778198E-3</v>
          </cell>
          <cell r="V82">
            <v>-2.5526556614065398E-3</v>
          </cell>
          <cell r="W82">
            <v>-3.7442674599296099E-3</v>
          </cell>
          <cell r="Y82">
            <v>1.2232106064414101</v>
          </cell>
          <cell r="Z82">
            <v>1.2230487723946999</v>
          </cell>
          <cell r="AA82">
            <v>1.2229131913062601</v>
          </cell>
          <cell r="AF82">
            <v>-1.3361981780354399E-3</v>
          </cell>
          <cell r="AG82">
            <v>-1.35612115697001E-3</v>
          </cell>
          <cell r="AR82">
            <v>1.6274676428925498E-3</v>
          </cell>
          <cell r="BC82">
            <v>2.292070257819584E-3</v>
          </cell>
          <cell r="BF82">
            <v>3.9195379007121341E-3</v>
          </cell>
        </row>
        <row r="83">
          <cell r="O83">
            <v>1.2246984145589499</v>
          </cell>
          <cell r="P83">
            <v>1.2269839438414101</v>
          </cell>
          <cell r="Q83">
            <v>1.2246650590385</v>
          </cell>
          <cell r="U83">
            <v>-2.4233633966918699E-3</v>
          </cell>
          <cell r="V83">
            <v>-9.6806494022542403E-4</v>
          </cell>
          <cell r="W83">
            <v>-2.6488108089037202E-3</v>
          </cell>
          <cell r="Y83">
            <v>1.2232106064414101</v>
          </cell>
          <cell r="Z83">
            <v>1.2230685349149</v>
          </cell>
          <cell r="AA83">
            <v>1.2229147727907499</v>
          </cell>
          <cell r="AF83">
            <v>-1.7187785206508599E-4</v>
          </cell>
          <cell r="AG83">
            <v>-2.82739010650588E-4</v>
          </cell>
          <cell r="AR83">
            <v>2.6560143786785798E-3</v>
          </cell>
          <cell r="BC83">
            <v>2.292070257819584E-3</v>
          </cell>
          <cell r="BF83">
            <v>4.9480846364981642E-3</v>
          </cell>
        </row>
        <row r="84">
          <cell r="O84">
            <v>1.2246984145589499</v>
          </cell>
          <cell r="P84">
            <v>1.22698927546862</v>
          </cell>
          <cell r="Q84">
            <v>1.2246569841031001</v>
          </cell>
          <cell r="U84">
            <v>2.0239260274953E-3</v>
          </cell>
          <cell r="V84">
            <v>3.8883844771860198E-3</v>
          </cell>
          <cell r="W84">
            <v>1.9966899550936698E-3</v>
          </cell>
          <cell r="Y84">
            <v>1.2232106064414101</v>
          </cell>
          <cell r="Z84">
            <v>1.22308040849079</v>
          </cell>
          <cell r="AA84">
            <v>1.2229098933412801</v>
          </cell>
          <cell r="AF84">
            <v>2.9962252805812098E-4</v>
          </cell>
          <cell r="AG84">
            <v>1.73896302644154E-4</v>
          </cell>
          <cell r="AR84">
            <v>2.6560143786785798E-3</v>
          </cell>
          <cell r="BC84">
            <v>2.292070257819584E-3</v>
          </cell>
          <cell r="BF84">
            <v>4.9480846364981642E-3</v>
          </cell>
        </row>
        <row r="85">
          <cell r="O85">
            <v>1.2246984145589499</v>
          </cell>
          <cell r="P85">
            <v>1.22658851881982</v>
          </cell>
          <cell r="Q85">
            <v>1.2246948138151199</v>
          </cell>
          <cell r="U85">
            <v>1.49321087638935E-3</v>
          </cell>
          <cell r="V85">
            <v>3.3620146279528299E-3</v>
          </cell>
          <cell r="W85">
            <v>1.45938119542321E-3</v>
          </cell>
          <cell r="Y85">
            <v>1.2232106064414101</v>
          </cell>
          <cell r="Z85">
            <v>1.2231633240123001</v>
          </cell>
          <cell r="AA85">
            <v>1.2229503152278201</v>
          </cell>
          <cell r="AF85">
            <v>-2.1416279447259001E-4</v>
          </cell>
          <cell r="AG85">
            <v>-3.5358701840424302E-4</v>
          </cell>
          <cell r="AR85">
            <v>2.6560143786785798E-3</v>
          </cell>
          <cell r="BC85">
            <v>2.292070257819584E-3</v>
          </cell>
          <cell r="BF85">
            <v>4.9480846364981642E-3</v>
          </cell>
        </row>
        <row r="86">
          <cell r="O86">
            <v>1.2246984145589499</v>
          </cell>
          <cell r="P86">
            <v>1.22610505376617</v>
          </cell>
          <cell r="Q86">
            <v>1.2246840942250199</v>
          </cell>
          <cell r="U86">
            <v>1.84733338212007E-3</v>
          </cell>
          <cell r="V86">
            <v>3.3894658919549699E-3</v>
          </cell>
          <cell r="W86">
            <v>1.84439327124566E-3</v>
          </cell>
          <cell r="Y86">
            <v>1.2232106064414101</v>
          </cell>
          <cell r="Z86">
            <v>1.2231663685413201</v>
          </cell>
          <cell r="AA86">
            <v>1.22294282239393</v>
          </cell>
          <cell r="AF86">
            <v>2.0292619003114699E-4</v>
          </cell>
          <cell r="AG86">
            <v>2.8765201272727499E-5</v>
          </cell>
          <cell r="AR86">
            <v>2.6560143786785798E-3</v>
          </cell>
          <cell r="BC86">
            <v>2.292070257819584E-3</v>
          </cell>
          <cell r="BF86">
            <v>4.9480846364981642E-3</v>
          </cell>
        </row>
        <row r="87">
          <cell r="O87">
            <v>1.2246984145589499</v>
          </cell>
          <cell r="P87">
            <v>1.22560590566243</v>
          </cell>
          <cell r="Q87">
            <v>1.22465729989869</v>
          </cell>
          <cell r="U87">
            <v>1.7600737832205E-3</v>
          </cell>
          <cell r="V87">
            <v>2.9079743634657399E-3</v>
          </cell>
          <cell r="W87">
            <v>1.7483807676299699E-3</v>
          </cell>
          <cell r="Y87">
            <v>1.2232106064414101</v>
          </cell>
          <cell r="Z87">
            <v>1.2231533694882699</v>
          </cell>
          <cell r="AA87">
            <v>1.2229193761392201</v>
          </cell>
          <cell r="AF87">
            <v>1.21007584666625E-4</v>
          </cell>
          <cell r="AG87">
            <v>-6.1769332114009997E-5</v>
          </cell>
          <cell r="AR87">
            <v>2.6560143786785798E-3</v>
          </cell>
          <cell r="BC87">
            <v>2.292070257819584E-3</v>
          </cell>
          <cell r="BF87">
            <v>4.9480846364981642E-3</v>
          </cell>
        </row>
        <row r="88">
          <cell r="O88">
            <v>1.2246984145589499</v>
          </cell>
          <cell r="P88">
            <v>1.2251273740611699</v>
          </cell>
          <cell r="Q88">
            <v>1.22467888129952</v>
          </cell>
          <cell r="U88">
            <v>1.62702187463655E-3</v>
          </cell>
          <cell r="V88">
            <v>2.3677389663721801E-3</v>
          </cell>
          <cell r="W88">
            <v>1.59345005815999E-3</v>
          </cell>
          <cell r="Y88">
            <v>1.2232106064414101</v>
          </cell>
          <cell r="Z88">
            <v>1.2231616438670301</v>
          </cell>
          <cell r="AA88">
            <v>1.2229438193190001</v>
          </cell>
          <cell r="AF88">
            <v>-2.1694570451157698E-5</v>
          </cell>
          <cell r="AG88">
            <v>-2.1301623100443301E-4</v>
          </cell>
          <cell r="AR88">
            <v>2.6560143786785798E-3</v>
          </cell>
          <cell r="BC88">
            <v>2.292070257819584E-3</v>
          </cell>
          <cell r="BF88">
            <v>4.9480846364981642E-3</v>
          </cell>
        </row>
        <row r="89">
          <cell r="O89">
            <v>1.2246984145589499</v>
          </cell>
          <cell r="P89">
            <v>1.22483242150518</v>
          </cell>
          <cell r="Q89">
            <v>1.2247246417365001</v>
          </cell>
          <cell r="U89">
            <v>8.8051590248230396E-4</v>
          </cell>
          <cell r="V89">
            <v>1.2307118295495801E-3</v>
          </cell>
          <cell r="W89">
            <v>8.6456633075846997E-4</v>
          </cell>
          <cell r="Y89">
            <v>1.2232106064414101</v>
          </cell>
          <cell r="Z89">
            <v>1.2233497476798001</v>
          </cell>
          <cell r="AA89">
            <v>1.2229918937123201</v>
          </cell>
          <cell r="AF89">
            <v>-7.4883709131666704E-4</v>
          </cell>
          <cell r="AG89">
            <v>-9.2693615685139499E-4</v>
          </cell>
          <cell r="AR89">
            <v>2.6560143786785798E-3</v>
          </cell>
          <cell r="BC89">
            <v>2.292070257819584E-3</v>
          </cell>
          <cell r="BF89">
            <v>4.9480846364981642E-3</v>
          </cell>
        </row>
        <row r="90">
          <cell r="O90">
            <v>1.2246984145589499</v>
          </cell>
          <cell r="P90">
            <v>1.22433222887975</v>
          </cell>
          <cell r="Q90">
            <v>1.22472189819655</v>
          </cell>
          <cell r="U90">
            <v>2.2002073729783999E-3</v>
          </cell>
          <cell r="V90">
            <v>2.30962175093686E-3</v>
          </cell>
          <cell r="W90">
            <v>2.2216223567929302E-3</v>
          </cell>
          <cell r="Y90">
            <v>1.2232106064414101</v>
          </cell>
          <cell r="Z90">
            <v>1.2233366482251</v>
          </cell>
          <cell r="AA90">
            <v>1.2229924229340301</v>
          </cell>
          <cell r="AF90">
            <v>7.0341212650378395E-4</v>
          </cell>
          <cell r="AG90">
            <v>4.1084958006636898E-4</v>
          </cell>
          <cell r="AR90">
            <v>2.6560143786785798E-3</v>
          </cell>
          <cell r="BC90">
            <v>2.292070257819584E-3</v>
          </cell>
          <cell r="BF90">
            <v>4.9480846364981642E-3</v>
          </cell>
        </row>
        <row r="91">
          <cell r="O91">
            <v>1.2246984145589499</v>
          </cell>
          <cell r="P91">
            <v>1.2238154495765601</v>
          </cell>
          <cell r="Q91">
            <v>1.22480783749522</v>
          </cell>
          <cell r="U91">
            <v>1.27289332227256E-3</v>
          </cell>
          <cell r="V91">
            <v>9.7384791595163595E-4</v>
          </cell>
          <cell r="W91">
            <v>1.2920681755831001E-3</v>
          </cell>
          <cell r="Y91">
            <v>1.2232106064414101</v>
          </cell>
          <cell r="Z91">
            <v>1.2233079777742299</v>
          </cell>
          <cell r="AA91">
            <v>1.2230805310689601</v>
          </cell>
          <cell r="AF91">
            <v>-2.2116797770416899E-4</v>
          </cell>
          <cell r="AG91">
            <v>-5.0258988238470904E-4</v>
          </cell>
          <cell r="AR91">
            <v>2.6560143786785798E-3</v>
          </cell>
          <cell r="BC91">
            <v>2.292070257819584E-3</v>
          </cell>
          <cell r="BF91">
            <v>4.9480846364981642E-3</v>
          </cell>
        </row>
        <row r="92">
          <cell r="O92">
            <v>1.2246984145589499</v>
          </cell>
          <cell r="P92">
            <v>1.22321449767708</v>
          </cell>
          <cell r="Q92">
            <v>1.2248482557341001</v>
          </cell>
          <cell r="U92">
            <v>1.45011391314344E-3</v>
          </cell>
          <cell r="V92">
            <v>7.2888865598063897E-4</v>
          </cell>
          <cell r="W92">
            <v>1.5394567643803199E-3</v>
          </cell>
          <cell r="Y92">
            <v>1.2232106064414101</v>
          </cell>
          <cell r="Z92">
            <v>1.22319849961084</v>
          </cell>
          <cell r="AA92">
            <v>1.22312363600277</v>
          </cell>
          <cell r="AF92">
            <v>-6.9801050299004699E-5</v>
          </cell>
          <cell r="AG92">
            <v>-2.5574592790557002E-4</v>
          </cell>
          <cell r="AR92">
            <v>2.6560143786785798E-3</v>
          </cell>
          <cell r="BC92">
            <v>2.292070257819584E-3</v>
          </cell>
          <cell r="BF92">
            <v>4.9480846364981642E-3</v>
          </cell>
        </row>
        <row r="93">
          <cell r="O93">
            <v>1.2246984145589499</v>
          </cell>
          <cell r="P93">
            <v>1.2227129424854799</v>
          </cell>
          <cell r="Q93">
            <v>1.2248484431634401</v>
          </cell>
          <cell r="U93">
            <v>1.6704286087641401E-3</v>
          </cell>
          <cell r="V93">
            <v>4.5803493558936901E-4</v>
          </cell>
          <cell r="W93">
            <v>1.79277057280834E-3</v>
          </cell>
          <cell r="Y93">
            <v>1.2232106064414101</v>
          </cell>
          <cell r="Z93">
            <v>1.22318545422277</v>
          </cell>
          <cell r="AA93">
            <v>1.2231269945688299</v>
          </cell>
          <cell r="AF93">
            <v>5.7186167476926198E-5</v>
          </cell>
          <cell r="AG93">
            <v>-4.0188610862125098E-6</v>
          </cell>
          <cell r="AR93">
            <v>2.6560143786785798E-3</v>
          </cell>
          <cell r="BC93">
            <v>2.292070257819584E-3</v>
          </cell>
          <cell r="BF93">
            <v>4.9480846364981642E-3</v>
          </cell>
        </row>
        <row r="94">
          <cell r="O94">
            <v>1.2246984145589499</v>
          </cell>
          <cell r="P94">
            <v>1.2227563452632599</v>
          </cell>
          <cell r="Q94">
            <v>1.2248728103659401</v>
          </cell>
          <cell r="U94">
            <v>1.66887542905564E-3</v>
          </cell>
          <cell r="V94">
            <v>4.6367219859577001E-5</v>
          </cell>
          <cell r="W94">
            <v>1.79137041559298E-3</v>
          </cell>
          <cell r="Y94">
            <v>1.2232106064414101</v>
          </cell>
          <cell r="Z94">
            <v>1.2232284884429301</v>
          </cell>
          <cell r="AA94">
            <v>1.2231544484668599</v>
          </cell>
          <cell r="AF94">
            <v>4.3314973830934097E-5</v>
          </cell>
          <cell r="AG94">
            <v>-4.4791286531735296E-6</v>
          </cell>
          <cell r="AR94">
            <v>2.6560143786785798E-3</v>
          </cell>
          <cell r="BC94">
            <v>2.292070257819584E-3</v>
          </cell>
          <cell r="BF94">
            <v>4.9480846364981642E-3</v>
          </cell>
        </row>
        <row r="95">
          <cell r="O95">
            <v>1.2246984145589499</v>
          </cell>
          <cell r="P95">
            <v>1.22324783661486</v>
          </cell>
          <cell r="Q95">
            <v>1.2249181777173399</v>
          </cell>
          <cell r="U95">
            <v>-2.51789316116685E-3</v>
          </cell>
          <cell r="V95">
            <v>-4.1049048887676701E-3</v>
          </cell>
          <cell r="W95">
            <v>-2.3755043173501701E-3</v>
          </cell>
          <cell r="Y95">
            <v>1.2232106064414101</v>
          </cell>
          <cell r="Z95">
            <v>1.2232155220549601</v>
          </cell>
          <cell r="AA95">
            <v>1.22318942303363</v>
          </cell>
          <cell r="AF95">
            <v>1.2898297268981299E-5</v>
          </cell>
          <cell r="AG95">
            <v>-4.76318633785751E-5</v>
          </cell>
          <cell r="AR95">
            <v>2.6560143786785798E-3</v>
          </cell>
          <cell r="BC95">
            <v>2.292070257819584E-3</v>
          </cell>
          <cell r="BF95">
            <v>4.9480846364981642E-3</v>
          </cell>
        </row>
        <row r="96">
          <cell r="O96">
            <v>1.2246984145589499</v>
          </cell>
          <cell r="P96">
            <v>1.22376264963088</v>
          </cell>
          <cell r="Q96">
            <v>1.22493385169853</v>
          </cell>
          <cell r="U96">
            <v>-2.35518638186436E-3</v>
          </cell>
          <cell r="V96">
            <v>-3.5403252411706E-3</v>
          </cell>
          <cell r="W96">
            <v>-2.1757598057480102E-3</v>
          </cell>
          <cell r="Y96">
            <v>1.2232106064414101</v>
          </cell>
          <cell r="Z96">
            <v>1.2232241481958901</v>
          </cell>
          <cell r="AA96">
            <v>1.2231952583686001</v>
          </cell>
          <cell r="AF96">
            <v>1.7506487065495601E-4</v>
          </cell>
          <cell r="AG96">
            <v>1.5372823839848601E-4</v>
          </cell>
          <cell r="AR96">
            <v>2.6560143786785798E-3</v>
          </cell>
          <cell r="BC96">
            <v>2.292070257819584E-3</v>
          </cell>
          <cell r="BF96">
            <v>4.9480846364981642E-3</v>
          </cell>
        </row>
        <row r="97">
          <cell r="O97">
            <v>1.2246984145589499</v>
          </cell>
          <cell r="P97">
            <v>1.2242911240807599</v>
          </cell>
          <cell r="Q97">
            <v>1.2249485148715999</v>
          </cell>
          <cell r="U97">
            <v>-2.55335115652233E-3</v>
          </cell>
          <cell r="V97">
            <v>-3.3177210599811902E-3</v>
          </cell>
          <cell r="W97">
            <v>-2.36112872089845E-3</v>
          </cell>
          <cell r="Y97">
            <v>1.2232106064414101</v>
          </cell>
          <cell r="Z97">
            <v>1.2232487306031099</v>
          </cell>
          <cell r="AA97">
            <v>1.22320105004569</v>
          </cell>
          <cell r="AF97">
            <v>-3.2733419671327E-5</v>
          </cell>
          <cell r="AG97">
            <v>-5.6351469142766102E-5</v>
          </cell>
          <cell r="AR97">
            <v>2.6560143786785798E-3</v>
          </cell>
          <cell r="BC97">
            <v>2.292070257819584E-3</v>
          </cell>
          <cell r="BF97">
            <v>4.9480846364981642E-3</v>
          </cell>
        </row>
        <row r="98">
          <cell r="O98">
            <v>1.2246984145589499</v>
          </cell>
          <cell r="P98">
            <v>1.22480333125723</v>
          </cell>
          <cell r="Q98">
            <v>1.2249653526591999</v>
          </cell>
          <cell r="U98">
            <v>-2.55335115652233E-3</v>
          </cell>
          <cell r="V98">
            <v>-2.8859703658074901E-3</v>
          </cell>
          <cell r="W98">
            <v>-2.3491582089520601E-3</v>
          </cell>
          <cell r="Y98">
            <v>1.2232106064414101</v>
          </cell>
          <cell r="Z98">
            <v>1.22325715896287</v>
          </cell>
          <cell r="AA98">
            <v>1.2232094014149499</v>
          </cell>
          <cell r="AF98">
            <v>-1.2637217143228201E-5</v>
          </cell>
          <cell r="AG98">
            <v>-5.16166049931487E-5</v>
          </cell>
          <cell r="AR98">
            <v>2.6560143786785798E-3</v>
          </cell>
          <cell r="BC98">
            <v>2.292070257819584E-3</v>
          </cell>
          <cell r="BF98">
            <v>4.9480846364981642E-3</v>
          </cell>
        </row>
        <row r="99">
          <cell r="O99">
            <v>1.2246984145589499</v>
          </cell>
          <cell r="P99">
            <v>1.2253222196976301</v>
          </cell>
          <cell r="Q99">
            <v>1.2250773206014001</v>
          </cell>
          <cell r="U99">
            <v>-3.3511174533200501E-3</v>
          </cell>
          <cell r="V99">
            <v>-3.2654537476159702E-3</v>
          </cell>
          <cell r="W99">
            <v>-3.1331788897722098E-3</v>
          </cell>
          <cell r="Y99">
            <v>1.2232106064414101</v>
          </cell>
          <cell r="Z99">
            <v>1.22327187126293</v>
          </cell>
          <cell r="AA99">
            <v>1.2233108094713601</v>
          </cell>
          <cell r="AF99">
            <v>-7.9093510034528795E-4</v>
          </cell>
          <cell r="AG99">
            <v>-8.2997716100632695E-4</v>
          </cell>
          <cell r="AR99">
            <v>2.6560143786785798E-3</v>
          </cell>
          <cell r="BC99">
            <v>2.292070257819584E-3</v>
          </cell>
          <cell r="BF99">
            <v>4.9480846364981642E-3</v>
          </cell>
        </row>
        <row r="100">
          <cell r="O100">
            <v>1.2246984145589499</v>
          </cell>
          <cell r="P100">
            <v>1.22602193169927</v>
          </cell>
          <cell r="Q100">
            <v>1.2251770802895099</v>
          </cell>
          <cell r="U100">
            <v>-3.5093874862710799E-3</v>
          </cell>
          <cell r="V100">
            <v>-3.0001630793909302E-3</v>
          </cell>
          <cell r="W100">
            <v>-3.2000481128446698E-3</v>
          </cell>
          <cell r="Y100">
            <v>1.2232106064414101</v>
          </cell>
          <cell r="Z100">
            <v>1.2234660337951699</v>
          </cell>
          <cell r="AA100">
            <v>1.2234013410101301</v>
          </cell>
          <cell r="AF100">
            <v>-9.4724347197594797E-4</v>
          </cell>
          <cell r="AG100">
            <v>-9.1541278115939097E-4</v>
          </cell>
          <cell r="AR100">
            <v>2.6560143786785798E-3</v>
          </cell>
          <cell r="BC100">
            <v>2.292070257819584E-3</v>
          </cell>
          <cell r="BF100">
            <v>4.9480846364981642E-3</v>
          </cell>
        </row>
        <row r="101">
          <cell r="O101">
            <v>1.2246984145589499</v>
          </cell>
          <cell r="P101">
            <v>1.2265970963633499</v>
          </cell>
          <cell r="Q101">
            <v>1.22520627296995</v>
          </cell>
          <cell r="U101">
            <v>-3.4184448757464199E-3</v>
          </cell>
          <cell r="V101">
            <v>-2.3383401865197401E-3</v>
          </cell>
          <cell r="W101">
            <v>-3.0276774774389802E-3</v>
          </cell>
          <cell r="Y101">
            <v>1.2232106064414101</v>
          </cell>
          <cell r="Z101">
            <v>1.22353768417478</v>
          </cell>
          <cell r="AA101">
            <v>1.2234228309745101</v>
          </cell>
          <cell r="AF101">
            <v>-7.0080452445490905E-4</v>
          </cell>
          <cell r="AG101">
            <v>-7.5368257229319903E-4</v>
          </cell>
          <cell r="AR101">
            <v>2.6560143786785798E-3</v>
          </cell>
          <cell r="BC101">
            <v>2.292070257819584E-3</v>
          </cell>
          <cell r="BF101">
            <v>4.9480846364981642E-3</v>
          </cell>
        </row>
        <row r="102">
          <cell r="O102">
            <v>1.2246984145589499</v>
          </cell>
          <cell r="P102">
            <v>1.22708953155064</v>
          </cell>
          <cell r="Q102">
            <v>1.2251520146138599</v>
          </cell>
          <cell r="U102">
            <v>-2.5685045467149399E-3</v>
          </cell>
          <cell r="V102">
            <v>-1.0193790531642501E-3</v>
          </cell>
          <cell r="W102">
            <v>-2.1539101170930499E-3</v>
          </cell>
          <cell r="Y102">
            <v>1.2232106064414101</v>
          </cell>
          <cell r="Z102">
            <v>1.22352942449102</v>
          </cell>
          <cell r="AA102">
            <v>1.22336396205093</v>
          </cell>
          <cell r="AF102">
            <v>1.85472930646246E-4</v>
          </cell>
          <cell r="AG102">
            <v>9.1598755193531299E-5</v>
          </cell>
          <cell r="AR102">
            <v>2.6560143786785798E-3</v>
          </cell>
          <cell r="BC102">
            <v>2.292070257819584E-3</v>
          </cell>
          <cell r="BF102">
            <v>4.9480846364981642E-3</v>
          </cell>
        </row>
        <row r="103">
          <cell r="O103">
            <v>1.2246984145589499</v>
          </cell>
          <cell r="P103">
            <v>1.22757567642181</v>
          </cell>
          <cell r="Q103">
            <v>1.2251443094536401</v>
          </cell>
          <cell r="U103">
            <v>-2.2978305668565702E-3</v>
          </cell>
          <cell r="V103">
            <v>-3.4732114081794199E-4</v>
          </cell>
          <cell r="W103">
            <v>-1.92752219644411E-3</v>
          </cell>
          <cell r="Y103">
            <v>1.2232106064414101</v>
          </cell>
          <cell r="Z103">
            <v>1.2235157061891899</v>
          </cell>
          <cell r="AA103">
            <v>1.2233505802059801</v>
          </cell>
          <cell r="AF103">
            <v>4.3985396965749501E-4</v>
          </cell>
          <cell r="AG103">
            <v>3.0461110108575998E-4</v>
          </cell>
          <cell r="AR103">
            <v>2.6560143786785798E-3</v>
          </cell>
          <cell r="BC103">
            <v>2.292070257819584E-3</v>
          </cell>
          <cell r="BF103">
            <v>4.9480846364981642E-3</v>
          </cell>
        </row>
        <row r="104">
          <cell r="O104">
            <v>1.2246984145589499</v>
          </cell>
          <cell r="P104">
            <v>1.2276188677880999</v>
          </cell>
          <cell r="Q104">
            <v>1.2251876065256799</v>
          </cell>
          <cell r="U104">
            <v>1.3156793509950201E-3</v>
          </cell>
          <cell r="V104">
            <v>3.6622875003534199E-3</v>
          </cell>
          <cell r="W104">
            <v>1.6796985553668999E-3</v>
          </cell>
          <cell r="Y104">
            <v>1.2232106064414101</v>
          </cell>
          <cell r="Z104">
            <v>1.22354905645167</v>
          </cell>
          <cell r="AA104">
            <v>1.2233887724473</v>
          </cell>
          <cell r="AF104">
            <v>4.0646352582967898E-5</v>
          </cell>
          <cell r="AG104">
            <v>-9.4323003431142805E-5</v>
          </cell>
          <cell r="AR104">
            <v>2.6560143786785798E-3</v>
          </cell>
          <cell r="BC104">
            <v>2.292070257819584E-3</v>
          </cell>
          <cell r="BF104">
            <v>4.9480846364981642E-3</v>
          </cell>
        </row>
        <row r="105">
          <cell r="O105">
            <v>1.2246984145589499</v>
          </cell>
          <cell r="P105">
            <v>1.22713822702298</v>
          </cell>
          <cell r="Q105">
            <v>1.2251930318189199</v>
          </cell>
          <cell r="U105">
            <v>1.4044843900606E-3</v>
          </cell>
          <cell r="V105">
            <v>3.7862762004445302E-3</v>
          </cell>
          <cell r="W105">
            <v>1.80384335535023E-3</v>
          </cell>
          <cell r="Y105">
            <v>1.2232106064414101</v>
          </cell>
          <cell r="Z105">
            <v>1.2235637134836601</v>
          </cell>
          <cell r="AA105">
            <v>1.22338961776931</v>
          </cell>
          <cell r="AF105">
            <v>1.5511423066994599E-4</v>
          </cell>
          <cell r="AG105">
            <v>2.4106403082274199E-5</v>
          </cell>
          <cell r="AR105">
            <v>2.6560143786785798E-3</v>
          </cell>
          <cell r="BC105">
            <v>2.292070257819584E-3</v>
          </cell>
          <cell r="BF105">
            <v>4.9480846364981642E-3</v>
          </cell>
        </row>
        <row r="106">
          <cell r="O106">
            <v>1.2246984145589499</v>
          </cell>
          <cell r="P106">
            <v>1.22667228926015</v>
          </cell>
          <cell r="Q106">
            <v>1.22521746944552</v>
          </cell>
          <cell r="U106">
            <v>1.4475954638067899E-3</v>
          </cell>
          <cell r="V106">
            <v>3.4377878183565998E-3</v>
          </cell>
          <cell r="W106">
            <v>1.85138255193861E-3</v>
          </cell>
          <cell r="Y106">
            <v>1.2232106064414101</v>
          </cell>
          <cell r="Z106">
            <v>1.22359440413109</v>
          </cell>
          <cell r="AA106">
            <v>1.22340927616349</v>
          </cell>
          <cell r="AF106">
            <v>2.08763087936253E-4</v>
          </cell>
          <cell r="AG106">
            <v>6.64671868077257E-5</v>
          </cell>
          <cell r="AR106">
            <v>2.6560143786785798E-3</v>
          </cell>
          <cell r="BC106">
            <v>2.292070257819584E-3</v>
          </cell>
          <cell r="BF106">
            <v>4.9480846364981642E-3</v>
          </cell>
        </row>
        <row r="107">
          <cell r="O107">
            <v>1.2246984145589499</v>
          </cell>
          <cell r="P107">
            <v>1.2261981560919</v>
          </cell>
          <cell r="Q107">
            <v>1.2252446400863299</v>
          </cell>
          <cell r="U107">
            <v>1.3156793509950201E-3</v>
          </cell>
          <cell r="V107">
            <v>2.9261049995713E-3</v>
          </cell>
          <cell r="W107">
            <v>1.7394121801274399E-3</v>
          </cell>
          <cell r="Y107">
            <v>1.2232106064414101</v>
          </cell>
          <cell r="Z107">
            <v>1.2236145827899401</v>
          </cell>
          <cell r="AA107">
            <v>1.22343165669653</v>
          </cell>
          <cell r="AF107">
            <v>1.04965437854423E-4</v>
          </cell>
          <cell r="AG107">
            <v>-4.6344484109153801E-5</v>
          </cell>
          <cell r="AR107">
            <v>2.6560143786785798E-3</v>
          </cell>
          <cell r="BC107">
            <v>2.292070257819584E-3</v>
          </cell>
          <cell r="BF107">
            <v>4.9480846364981642E-3</v>
          </cell>
        </row>
        <row r="108">
          <cell r="O108">
            <v>1.2246984145589499</v>
          </cell>
          <cell r="P108">
            <v>1.22570820018793</v>
          </cell>
          <cell r="Q108">
            <v>1.22525576572258</v>
          </cell>
          <cell r="U108">
            <v>1.44505481017289E-3</v>
          </cell>
          <cell r="V108">
            <v>2.66888590782031E-3</v>
          </cell>
          <cell r="W108">
            <v>1.8909635715182299E-3</v>
          </cell>
          <cell r="Y108">
            <v>1.2232106064414101</v>
          </cell>
          <cell r="Z108">
            <v>1.22361946400725</v>
          </cell>
          <cell r="AA108">
            <v>1.22343831148506</v>
          </cell>
          <cell r="AF108">
            <v>2.4649806536239702E-4</v>
          </cell>
          <cell r="AG108">
            <v>9.6990392967578296E-5</v>
          </cell>
          <cell r="AR108">
            <v>2.6560143786785798E-3</v>
          </cell>
          <cell r="BC108">
            <v>2.292070257819584E-3</v>
          </cell>
          <cell r="BF108">
            <v>4.9480846364981642E-3</v>
          </cell>
        </row>
        <row r="109">
          <cell r="O109">
            <v>1.2246984145589499</v>
          </cell>
          <cell r="P109">
            <v>1.22500053406878</v>
          </cell>
          <cell r="Q109">
            <v>1.2251613768832099</v>
          </cell>
          <cell r="U109">
            <v>2.4244868179500198E-3</v>
          </cell>
          <cell r="V109">
            <v>3.2486648789021898E-3</v>
          </cell>
          <cell r="W109">
            <v>2.87947587670846E-3</v>
          </cell>
          <cell r="Y109">
            <v>1.2232106064414101</v>
          </cell>
          <cell r="Z109">
            <v>1.2234108266850101</v>
          </cell>
          <cell r="AA109">
            <v>1.22334134897397</v>
          </cell>
          <cell r="AF109">
            <v>1.2108954450306001E-3</v>
          </cell>
          <cell r="AG109">
            <v>1.0628380314840001E-3</v>
          </cell>
          <cell r="AR109">
            <v>2.6560143786785798E-3</v>
          </cell>
          <cell r="BC109">
            <v>2.292070257819584E-3</v>
          </cell>
          <cell r="BF109">
            <v>4.9480846364981642E-3</v>
          </cell>
        </row>
        <row r="110">
          <cell r="O110">
            <v>1.2246984145589499</v>
          </cell>
          <cell r="P110">
            <v>1.22438753347311</v>
          </cell>
          <cell r="Q110">
            <v>1.2252047325861899</v>
          </cell>
          <cell r="U110">
            <v>1.4908769743617099E-3</v>
          </cell>
          <cell r="V110">
            <v>1.73753545583017E-3</v>
          </cell>
          <cell r="W110">
            <v>1.86882703614404E-3</v>
          </cell>
          <cell r="Y110">
            <v>1.2232106064414101</v>
          </cell>
          <cell r="Z110">
            <v>1.2232934243971501</v>
          </cell>
          <cell r="AA110">
            <v>1.2233797290961601</v>
          </cell>
          <cell r="AF110">
            <v>1.25634563255498E-4</v>
          </cell>
          <cell r="AG110">
            <v>6.8842778826627298E-5</v>
          </cell>
          <cell r="AR110">
            <v>2.6560143786785798E-3</v>
          </cell>
          <cell r="BC110">
            <v>3.2256801014078841E-3</v>
          </cell>
          <cell r="BF110">
            <v>5.8816944800864643E-3</v>
          </cell>
        </row>
        <row r="111">
          <cell r="O111">
            <v>1.2246984145589499</v>
          </cell>
          <cell r="P111">
            <v>1.22380751687392</v>
          </cell>
          <cell r="Q111">
            <v>1.2252023066186299</v>
          </cell>
          <cell r="U111">
            <v>1.31256195694938E-3</v>
          </cell>
          <cell r="V111">
            <v>1.05868676096922E-3</v>
          </cell>
          <cell r="W111">
            <v>1.72589914134811E-3</v>
          </cell>
          <cell r="Y111">
            <v>1.2232106064414101</v>
          </cell>
          <cell r="Z111">
            <v>1.2232081845026701</v>
          </cell>
          <cell r="AA111">
            <v>1.2233729343387201</v>
          </cell>
          <cell r="AF111">
            <v>-1.4543408210880801E-4</v>
          </cell>
          <cell r="AG111">
            <v>-7.4885468846175302E-5</v>
          </cell>
          <cell r="AR111">
            <v>2.6560143786785798E-3</v>
          </cell>
          <cell r="BC111">
            <v>3.2256801014078841E-3</v>
          </cell>
          <cell r="BF111">
            <v>5.8816944800864643E-3</v>
          </cell>
        </row>
        <row r="112">
          <cell r="O112">
            <v>1.2246984145589499</v>
          </cell>
          <cell r="P112">
            <v>1.2232989713387701</v>
          </cell>
          <cell r="Q112">
            <v>1.2251942514447101</v>
          </cell>
          <cell r="U112">
            <v>1.58185891450927E-3</v>
          </cell>
          <cell r="V112">
            <v>8.5415169280042905E-4</v>
          </cell>
          <cell r="W112">
            <v>1.9932160461918198E-3</v>
          </cell>
          <cell r="Y112">
            <v>1.2232106064414101</v>
          </cell>
          <cell r="Z112">
            <v>1.22319172706875</v>
          </cell>
          <cell r="AA112">
            <v>1.22336057577988</v>
          </cell>
          <cell r="AF112">
            <v>5.0676830695485198E-5</v>
          </cell>
          <cell r="AG112">
            <v>1.85354430420458E-4</v>
          </cell>
          <cell r="AR112">
            <v>2.6560143786785798E-3</v>
          </cell>
          <cell r="BC112">
            <v>3.2256801014078841E-3</v>
          </cell>
          <cell r="BF112">
            <v>5.8816944800864643E-3</v>
          </cell>
        </row>
        <row r="113">
          <cell r="O113">
            <v>1.2246984145589499</v>
          </cell>
          <cell r="P113">
            <v>1.2228453465772899</v>
          </cell>
          <cell r="Q113">
            <v>1.22521051149955</v>
          </cell>
          <cell r="U113">
            <v>1.4044843900606E-3</v>
          </cell>
          <cell r="V113">
            <v>2.6114708039820902E-4</v>
          </cell>
          <cell r="W113">
            <v>1.8092669337244701E-3</v>
          </cell>
          <cell r="Y113">
            <v>1.2232106064414101</v>
          </cell>
          <cell r="Z113">
            <v>1.2232285183428999</v>
          </cell>
          <cell r="AA113">
            <v>1.2233721122660499</v>
          </cell>
          <cell r="AF113">
            <v>-1.3697178667366E-4</v>
          </cell>
          <cell r="AG113">
            <v>1.05813502999031E-6</v>
          </cell>
          <cell r="AR113">
            <v>2.6560143786785798E-3</v>
          </cell>
          <cell r="BC113">
            <v>3.2256801014078841E-3</v>
          </cell>
          <cell r="BF113">
            <v>5.8816944800864643E-3</v>
          </cell>
        </row>
        <row r="114">
          <cell r="O114">
            <v>1.2246984145589499</v>
          </cell>
          <cell r="P114">
            <v>1.22275335082354</v>
          </cell>
          <cell r="Q114">
            <v>1.2251861093058201</v>
          </cell>
          <cell r="U114">
            <v>2.0681219924109599E-3</v>
          </cell>
          <cell r="V114">
            <v>5.53895064044113E-4</v>
          </cell>
          <cell r="W114">
            <v>2.48617585768688E-3</v>
          </cell>
          <cell r="Y114">
            <v>1.2232106064414101</v>
          </cell>
          <cell r="Z114">
            <v>1.22313822461915</v>
          </cell>
          <cell r="AA114">
            <v>1.2233436405354099</v>
          </cell>
          <cell r="AF114">
            <v>5.4418361687567397E-4</v>
          </cell>
          <cell r="AG114">
            <v>6.6156601391529301E-4</v>
          </cell>
          <cell r="AR114">
            <v>2.6560143786785798E-3</v>
          </cell>
          <cell r="BC114">
            <v>3.2256801014078841E-3</v>
          </cell>
          <cell r="BF114">
            <v>5.8816944800864643E-3</v>
          </cell>
        </row>
        <row r="115">
          <cell r="O115">
            <v>1.2246984145589499</v>
          </cell>
          <cell r="P115">
            <v>1.22275860261128</v>
          </cell>
          <cell r="Q115">
            <v>1.2249484148171299</v>
          </cell>
          <cell r="U115">
            <v>1.3615427483253399E-3</v>
          </cell>
          <cell r="V115">
            <v>-2.27917908200951E-4</v>
          </cell>
          <cell r="W115">
            <v>1.7596796797281801E-3</v>
          </cell>
          <cell r="Y115">
            <v>1.2232106064414101</v>
          </cell>
          <cell r="Z115">
            <v>1.22314330279477</v>
          </cell>
          <cell r="AA115">
            <v>1.2233535081392199</v>
          </cell>
          <cell r="AF115">
            <v>-2.2222200923684699E-4</v>
          </cell>
          <cell r="AG115">
            <v>-5.4294407016526201E-5</v>
          </cell>
          <cell r="AR115">
            <v>2.6560143786785798E-3</v>
          </cell>
          <cell r="BC115">
            <v>3.2256801014078841E-3</v>
          </cell>
          <cell r="BF115">
            <v>5.8816944800864643E-3</v>
          </cell>
        </row>
        <row r="116">
          <cell r="O116">
            <v>1.2246984145589499</v>
          </cell>
          <cell r="P116">
            <v>1.2227533097137699</v>
          </cell>
          <cell r="Q116">
            <v>1.22471279948696</v>
          </cell>
          <cell r="U116">
            <v>1.4908769743617099E-3</v>
          </cell>
          <cell r="V116">
            <v>-9.4288640605170895E-5</v>
          </cell>
          <cell r="W116">
            <v>1.6949882413783001E-3</v>
          </cell>
          <cell r="Y116">
            <v>1.2232106064414101</v>
          </cell>
          <cell r="Z116">
            <v>1.2231381856397201</v>
          </cell>
          <cell r="AA116">
            <v>1.22336629488541</v>
          </cell>
          <cell r="AF116">
            <v>-9.3059875652837395E-5</v>
          </cell>
          <cell r="AG116">
            <v>7.8782036442378201E-5</v>
          </cell>
          <cell r="AR116">
            <v>2.6560143786785798E-3</v>
          </cell>
          <cell r="BC116">
            <v>3.2256801014078841E-3</v>
          </cell>
          <cell r="BF116">
            <v>5.8816944800864643E-3</v>
          </cell>
        </row>
        <row r="117">
          <cell r="O117">
            <v>1.2246984145589499</v>
          </cell>
          <cell r="P117">
            <v>1.2226558913016901</v>
          </cell>
          <cell r="Q117">
            <v>1.2244270236968</v>
          </cell>
          <cell r="U117">
            <v>2.1124921421576798E-3</v>
          </cell>
          <cell r="V117">
            <v>5.2299786497727999E-4</v>
          </cell>
          <cell r="W117">
            <v>2.1242377632510199E-3</v>
          </cell>
          <cell r="Y117">
            <v>1.2232106064414101</v>
          </cell>
          <cell r="Z117">
            <v>1.22304264947164</v>
          </cell>
          <cell r="AA117">
            <v>1.2233286161307899</v>
          </cell>
          <cell r="AF117">
            <v>5.1321480443369295E-4</v>
          </cell>
          <cell r="AG117">
            <v>6.9969248976949202E-4</v>
          </cell>
          <cell r="AR117">
            <v>2.6560143786785798E-3</v>
          </cell>
          <cell r="BC117">
            <v>3.2256801014078841E-3</v>
          </cell>
          <cell r="BF117">
            <v>5.8816944800864643E-3</v>
          </cell>
        </row>
        <row r="118">
          <cell r="O118">
            <v>1.2246984145589499</v>
          </cell>
          <cell r="P118">
            <v>1.2232662816828901</v>
          </cell>
          <cell r="Q118">
            <v>1.2244872409354099</v>
          </cell>
          <cell r="U118">
            <v>-3.5337433919119302E-3</v>
          </cell>
          <cell r="V118">
            <v>-5.2029121972579301E-3</v>
          </cell>
          <cell r="W118">
            <v>-3.7553660650711399E-3</v>
          </cell>
          <cell r="Y118">
            <v>1.2232106064414101</v>
          </cell>
          <cell r="Z118">
            <v>1.2231520176922399</v>
          </cell>
          <cell r="AA118">
            <v>1.2233857408497399</v>
          </cell>
          <cell r="AF118">
            <v>-1.1146577711208399E-3</v>
          </cell>
          <cell r="AG118">
            <v>-8.8086933150570499E-4</v>
          </cell>
          <cell r="AR118">
            <v>2.6560143786785798E-3</v>
          </cell>
          <cell r="BC118">
            <v>3.2256801014078841E-3</v>
          </cell>
          <cell r="BF118">
            <v>5.8816944800864643E-3</v>
          </cell>
        </row>
        <row r="119">
          <cell r="O119">
            <v>1.2246984145589499</v>
          </cell>
          <cell r="P119">
            <v>1.22390260082141</v>
          </cell>
          <cell r="Q119">
            <v>1.2244515674451</v>
          </cell>
          <cell r="U119">
            <v>-2.7703300591538698E-3</v>
          </cell>
          <cell r="V119">
            <v>-3.9403902660248499E-3</v>
          </cell>
          <cell r="W119">
            <v>-2.94277400891202E-3</v>
          </cell>
          <cell r="Y119">
            <v>1.2232106064414101</v>
          </cell>
          <cell r="Z119">
            <v>1.2232880981815899</v>
          </cell>
          <cell r="AA119">
            <v>1.2233494624332999</v>
          </cell>
          <cell r="AF119">
            <v>-2.8403938139954702E-4</v>
          </cell>
          <cell r="AG119">
            <v>-9.2974961976789806E-5</v>
          </cell>
          <cell r="AR119">
            <v>2.6560143786785798E-3</v>
          </cell>
          <cell r="BC119">
            <v>3.2256801014078841E-3</v>
          </cell>
          <cell r="BF119">
            <v>5.8816944800864643E-3</v>
          </cell>
        </row>
        <row r="120">
          <cell r="O120">
            <v>1.2246984145589499</v>
          </cell>
          <cell r="P120">
            <v>1.22434691810916</v>
          </cell>
          <cell r="Q120">
            <v>1.22436722579113</v>
          </cell>
          <cell r="U120">
            <v>-2.1359241982308701E-3</v>
          </cell>
          <cell r="V120">
            <v>-2.7859392562675799E-3</v>
          </cell>
          <cell r="W120">
            <v>-2.3375019835887201E-3</v>
          </cell>
          <cell r="Y120">
            <v>1.2232106064414101</v>
          </cell>
          <cell r="Z120">
            <v>1.22323778986557</v>
          </cell>
          <cell r="AA120">
            <v>1.2232656071313599</v>
          </cell>
          <cell r="AF120">
            <v>4.3666270893929398E-4</v>
          </cell>
          <cell r="AG120">
            <v>4.8682481934571997E-4</v>
          </cell>
          <cell r="AR120">
            <v>2.6560143786785798E-3</v>
          </cell>
          <cell r="BC120">
            <v>3.2256801014078841E-3</v>
          </cell>
          <cell r="BF120">
            <v>5.8816944800864643E-3</v>
          </cell>
        </row>
        <row r="121">
          <cell r="O121">
            <v>1.2246984145589499</v>
          </cell>
          <cell r="P121">
            <v>1.2248447380013601</v>
          </cell>
          <cell r="Q121">
            <v>1.22432612743764</v>
          </cell>
          <cell r="U121">
            <v>-2.74935272516248E-3</v>
          </cell>
          <cell r="V121">
            <v>-3.0364004555716098E-3</v>
          </cell>
          <cell r="W121">
            <v>-3.0198140508048898E-3</v>
          </cell>
          <cell r="Y121">
            <v>1.2232106064414101</v>
          </cell>
          <cell r="Z121">
            <v>1.2232400571108499</v>
          </cell>
          <cell r="AA121">
            <v>1.22322412080676</v>
          </cell>
          <cell r="AF121">
            <v>-2.0944549653816201E-4</v>
          </cell>
          <cell r="AG121">
            <v>-1.8670506966972201E-4</v>
          </cell>
          <cell r="AR121">
            <v>2.6560143786785798E-3</v>
          </cell>
          <cell r="BC121">
            <v>3.2256801014078841E-3</v>
          </cell>
          <cell r="BF121">
            <v>5.8816944800864643E-3</v>
          </cell>
        </row>
        <row r="122">
          <cell r="O122">
            <v>1.2246984145589499</v>
          </cell>
          <cell r="P122">
            <v>1.22534219603765</v>
          </cell>
          <cell r="Q122">
            <v>1.2243205836882101</v>
          </cell>
          <cell r="U122">
            <v>-2.4782002210762201E-3</v>
          </cell>
          <cell r="V122">
            <v>-2.3587302354794301E-3</v>
          </cell>
          <cell r="W122">
            <v>-2.7822291254823699E-3</v>
          </cell>
          <cell r="Y122">
            <v>1.2232106064414101</v>
          </cell>
          <cell r="Z122">
            <v>1.22324296845545</v>
          </cell>
          <cell r="AA122">
            <v>1.2232173477621</v>
          </cell>
          <cell r="AF122">
            <v>5.2931244968092203E-5</v>
          </cell>
          <cell r="AG122">
            <v>3.9903215180707E-5</v>
          </cell>
          <cell r="AR122">
            <v>2.6560143786785798E-3</v>
          </cell>
          <cell r="BC122">
            <v>3.2256801014078841E-3</v>
          </cell>
          <cell r="BF122">
            <v>5.8816944800864643E-3</v>
          </cell>
        </row>
        <row r="123">
          <cell r="O123">
            <v>1.2246984145589499</v>
          </cell>
          <cell r="P123">
            <v>1.22579582079914</v>
          </cell>
          <cell r="Q123">
            <v>1.2243205836882101</v>
          </cell>
          <cell r="U123">
            <v>-2.2978305668565702E-3</v>
          </cell>
          <cell r="V123">
            <v>-1.77230336479014E-3</v>
          </cell>
          <cell r="W123">
            <v>-2.6063874821001401E-3</v>
          </cell>
          <cell r="Y123">
            <v>1.2232106064414101</v>
          </cell>
          <cell r="Z123">
            <v>1.22320337475357</v>
          </cell>
          <cell r="AA123">
            <v>1.22321594654824</v>
          </cell>
          <cell r="AF123">
            <v>2.2861863622518699E-4</v>
          </cell>
          <cell r="AG123">
            <v>2.0767352366156999E-4</v>
          </cell>
          <cell r="AR123">
            <v>2.6560143786785798E-3</v>
          </cell>
          <cell r="BC123">
            <v>3.2256801014078841E-3</v>
          </cell>
          <cell r="BF123">
            <v>5.8816944800864643E-3</v>
          </cell>
        </row>
        <row r="124">
          <cell r="O124">
            <v>1.2246984145589499</v>
          </cell>
          <cell r="P124">
            <v>1.2263971376805001</v>
          </cell>
          <cell r="Q124">
            <v>1.2245752442520199</v>
          </cell>
          <cell r="U124">
            <v>-2.8398967905831599E-3</v>
          </cell>
          <cell r="V124">
            <v>-1.9442355825597E-3</v>
          </cell>
          <cell r="W124">
            <v>-3.1484537058266201E-3</v>
          </cell>
          <cell r="Y124">
            <v>1.2232106064414101</v>
          </cell>
          <cell r="Z124">
            <v>1.22330711654582</v>
          </cell>
          <cell r="AA124">
            <v>1.22322267058248</v>
          </cell>
          <cell r="AF124">
            <v>-3.2457173626425899E-4</v>
          </cell>
          <cell r="AG124">
            <v>-3.1429402585314998E-4</v>
          </cell>
          <cell r="AR124">
            <v>2.6560143786785798E-3</v>
          </cell>
          <cell r="BC124">
            <v>3.2256801014078841E-3</v>
          </cell>
          <cell r="BF124">
            <v>5.8816944800864643E-3</v>
          </cell>
        </row>
        <row r="125">
          <cell r="O125">
            <v>1.2246984145589499</v>
          </cell>
          <cell r="P125">
            <v>1.2263974933969299</v>
          </cell>
          <cell r="Q125">
            <v>1.22457804800411</v>
          </cell>
          <cell r="U125">
            <v>1.35863427253253E-3</v>
          </cell>
          <cell r="V125">
            <v>2.7447274356236198E-3</v>
          </cell>
          <cell r="W125">
            <v>1.2580572654733E-3</v>
          </cell>
          <cell r="Y125">
            <v>1.2232106064414101</v>
          </cell>
          <cell r="Z125">
            <v>1.22329926052079</v>
          </cell>
          <cell r="AA125">
            <v>1.2232212816577801</v>
          </cell>
          <cell r="AF125">
            <v>-1.9934501027333699E-5</v>
          </cell>
          <cell r="AG125">
            <v>-8.8967760963018798E-5</v>
          </cell>
          <cell r="AR125">
            <v>2.6560143786785798E-3</v>
          </cell>
          <cell r="BC125">
            <v>3.2256801014078841E-3</v>
          </cell>
          <cell r="BF125">
            <v>5.8816944800864643E-3</v>
          </cell>
        </row>
        <row r="126">
          <cell r="O126">
            <v>1.2246984145589499</v>
          </cell>
          <cell r="P126">
            <v>1.2263810585332999</v>
          </cell>
          <cell r="Q126">
            <v>1.2245671841235399</v>
          </cell>
          <cell r="U126">
            <v>1.6252814138841901E-3</v>
          </cell>
          <cell r="V126">
            <v>3.0116646268880699E-3</v>
          </cell>
          <cell r="W126">
            <v>1.5269939753011601E-3</v>
          </cell>
          <cell r="Y126">
            <v>1.2232106064414101</v>
          </cell>
          <cell r="Z126">
            <v>1.2232748044169699</v>
          </cell>
          <cell r="AA126">
            <v>1.2232064950283501</v>
          </cell>
          <cell r="AF126">
            <v>2.34383778476269E-4</v>
          </cell>
          <cell r="AG126">
            <v>1.7063703146096801E-4</v>
          </cell>
          <cell r="AR126">
            <v>2.6560143786785798E-3</v>
          </cell>
          <cell r="BC126">
            <v>3.2256801014078841E-3</v>
          </cell>
          <cell r="BF126">
            <v>5.8816944800864643E-3</v>
          </cell>
        </row>
        <row r="127">
          <cell r="O127">
            <v>1.2246984145589499</v>
          </cell>
          <cell r="P127">
            <v>1.22646761578843</v>
          </cell>
          <cell r="Q127">
            <v>1.2245617535450599</v>
          </cell>
          <cell r="U127">
            <v>1.4044843900606E-3</v>
          </cell>
          <cell r="V127">
            <v>2.77746658598474E-3</v>
          </cell>
          <cell r="W127">
            <v>1.29732538238782E-3</v>
          </cell>
          <cell r="Y127">
            <v>1.2232106064414101</v>
          </cell>
          <cell r="Z127">
            <v>1.2233513454518901</v>
          </cell>
          <cell r="AA127">
            <v>1.22319699746177</v>
          </cell>
          <cell r="AF127">
            <v>-9.9732283448579796E-7</v>
          </cell>
          <cell r="AG127">
            <v>-5.6840290984086101E-5</v>
          </cell>
          <cell r="AR127">
            <v>2.6560143786785798E-3</v>
          </cell>
          <cell r="BC127">
            <v>3.2256801014078841E-3</v>
          </cell>
          <cell r="BF127">
            <v>5.8816944800864643E-3</v>
          </cell>
        </row>
        <row r="128">
          <cell r="O128">
            <v>1.2246984145589499</v>
          </cell>
          <cell r="P128">
            <v>1.2258136205297201</v>
          </cell>
          <cell r="Q128">
            <v>1.22453995110631</v>
          </cell>
          <cell r="U128">
            <v>1.80167911025632E-3</v>
          </cell>
          <cell r="V128">
            <v>3.2452382284963999E-3</v>
          </cell>
          <cell r="W128">
            <v>1.6900854006052699E-3</v>
          </cell>
          <cell r="Y128">
            <v>1.2232106064414101</v>
          </cell>
          <cell r="Z128">
            <v>1.22319097145887</v>
          </cell>
          <cell r="AA128">
            <v>1.2231714945755501</v>
          </cell>
          <cell r="AF128">
            <v>4.4837879119925101E-4</v>
          </cell>
          <cell r="AG128">
            <v>3.22202669826421E-4</v>
          </cell>
          <cell r="AR128">
            <v>2.6560143786785798E-3</v>
          </cell>
          <cell r="BC128">
            <v>3.2256801014078841E-3</v>
          </cell>
          <cell r="BF128">
            <v>5.8816944800864643E-3</v>
          </cell>
        </row>
        <row r="129">
          <cell r="O129">
            <v>1.2246984145589499</v>
          </cell>
          <cell r="P129">
            <v>1.2252861031907101</v>
          </cell>
          <cell r="Q129">
            <v>1.22459435200606</v>
          </cell>
          <cell r="U129">
            <v>1.53432993448418E-3</v>
          </cell>
          <cell r="V129">
            <v>2.4445119958571098E-3</v>
          </cell>
          <cell r="W129">
            <v>1.40493178762416E-3</v>
          </cell>
          <cell r="Y129">
            <v>1.2232106064414101</v>
          </cell>
          <cell r="Z129">
            <v>1.2231532865013901</v>
          </cell>
          <cell r="AA129">
            <v>1.2232206923414899</v>
          </cell>
          <cell r="AF129">
            <v>5.58641811310415E-5</v>
          </cell>
          <cell r="AG129">
            <v>3.9941043337894901E-5</v>
          </cell>
          <cell r="AR129">
            <v>2.6560143786785798E-3</v>
          </cell>
          <cell r="BC129">
            <v>3.2256801014078841E-3</v>
          </cell>
          <cell r="BF129">
            <v>5.8816944800864643E-3</v>
          </cell>
        </row>
        <row r="130">
          <cell r="O130">
            <v>1.2246984145589499</v>
          </cell>
          <cell r="P130">
            <v>1.2248037846266899</v>
          </cell>
          <cell r="Q130">
            <v>1.2245753513679201</v>
          </cell>
          <cell r="U130">
            <v>1.80167911025632E-3</v>
          </cell>
          <cell r="V130">
            <v>2.2814279729692602E-3</v>
          </cell>
          <cell r="W130">
            <v>1.7167055584006901E-3</v>
          </cell>
          <cell r="Y130">
            <v>1.2232106064414101</v>
          </cell>
          <cell r="Z130">
            <v>1.22315817581287</v>
          </cell>
          <cell r="AA130">
            <v>1.2231979828392201</v>
          </cell>
          <cell r="AF130">
            <v>2.8646701850676301E-4</v>
          </cell>
          <cell r="AG130">
            <v>3.4157375255524302E-4</v>
          </cell>
          <cell r="AR130">
            <v>2.6560143786785798E-3</v>
          </cell>
          <cell r="BC130">
            <v>3.2256801014078841E-3</v>
          </cell>
          <cell r="BF130">
            <v>5.8816944800864643E-3</v>
          </cell>
        </row>
        <row r="131">
          <cell r="O131">
            <v>1.2246984145589499</v>
          </cell>
          <cell r="P131">
            <v>1.2242298718820499</v>
          </cell>
          <cell r="Q131">
            <v>1.2245373049417001</v>
          </cell>
          <cell r="U131">
            <v>1.9348907249391199E-3</v>
          </cell>
          <cell r="V131">
            <v>2.02092458752429E-3</v>
          </cell>
          <cell r="W131">
            <v>1.83440118976124E-3</v>
          </cell>
          <cell r="Y131">
            <v>1.2232106064414101</v>
          </cell>
          <cell r="Z131">
            <v>1.2230732084701199</v>
          </cell>
          <cell r="AA131">
            <v>1.2231566327904899</v>
          </cell>
          <cell r="AF131">
            <v>4.2017366463452198E-4</v>
          </cell>
          <cell r="AG131">
            <v>4.5271759836366802E-4</v>
          </cell>
          <cell r="AR131">
            <v>2.6560143786785798E-3</v>
          </cell>
          <cell r="BC131">
            <v>3.2256801014078841E-3</v>
          </cell>
          <cell r="BF131">
            <v>5.8816944800864643E-3</v>
          </cell>
        </row>
        <row r="132">
          <cell r="O132">
            <v>1.2246984145589499</v>
          </cell>
          <cell r="P132">
            <v>1.22367837147653</v>
          </cell>
          <cell r="Q132">
            <v>1.22451028375709</v>
          </cell>
          <cell r="U132">
            <v>2.0239260274953E-3</v>
          </cell>
          <cell r="V132">
            <v>1.64127482025811E-3</v>
          </cell>
          <cell r="W132">
            <v>1.8923669323862901E-3</v>
          </cell>
          <cell r="Y132">
            <v>1.2232106064414101</v>
          </cell>
          <cell r="Z132">
            <v>1.22300960435785</v>
          </cell>
          <cell r="AA132">
            <v>1.2231262864066501</v>
          </cell>
          <cell r="AF132">
            <v>4.3665004228595302E-4</v>
          </cell>
          <cell r="AG132">
            <v>5.0485648714863798E-4</v>
          </cell>
          <cell r="AR132">
            <v>2.6560143786785798E-3</v>
          </cell>
          <cell r="BC132">
            <v>3.2256801014078841E-3</v>
          </cell>
          <cell r="BF132">
            <v>5.8816944800864643E-3</v>
          </cell>
        </row>
        <row r="133">
          <cell r="O133">
            <v>1.2246984145589499</v>
          </cell>
          <cell r="P133">
            <v>1.2232906953801499</v>
          </cell>
          <cell r="Q133">
            <v>1.22454325808964</v>
          </cell>
          <cell r="U133">
            <v>8.6538387848261104E-4</v>
          </cell>
          <cell r="V133">
            <v>3.21435477826362E-5</v>
          </cell>
          <cell r="W133">
            <v>7.1175809529919101E-4</v>
          </cell>
          <cell r="Y133">
            <v>1.2232106064414101</v>
          </cell>
          <cell r="Z133">
            <v>1.2231054939252599</v>
          </cell>
          <cell r="AA133">
            <v>1.2231544343394201</v>
          </cell>
          <cell r="AF133">
            <v>-7.4594283598923897E-4</v>
          </cell>
          <cell r="AG133">
            <v>-6.5054171838844197E-4</v>
          </cell>
          <cell r="AR133">
            <v>2.6560143786785798E-3</v>
          </cell>
          <cell r="BC133">
            <v>3.2256801014078841E-3</v>
          </cell>
          <cell r="BF133">
            <v>5.8816944800864643E-3</v>
          </cell>
        </row>
        <row r="134">
          <cell r="O134">
            <v>1.2246984145589499</v>
          </cell>
          <cell r="P134">
            <v>1.2228088237709001</v>
          </cell>
          <cell r="Q134">
            <v>1.2246029807257</v>
          </cell>
          <cell r="U134">
            <v>1.0912765694439E-3</v>
          </cell>
          <cell r="V134">
            <v>-5.8826041925904503E-5</v>
          </cell>
          <cell r="W134">
            <v>9.6457901138004298E-4</v>
          </cell>
          <cell r="Y134">
            <v>1.2232106064414101</v>
          </cell>
          <cell r="Z134">
            <v>1.2231105829323901</v>
          </cell>
          <cell r="AA134">
            <v>1.2232088497391</v>
          </cell>
          <cell r="AF134">
            <v>-4.46184582008731E-4</v>
          </cell>
          <cell r="AG134">
            <v>-4.0617214212302299E-4</v>
          </cell>
          <cell r="AR134">
            <v>2.6560143786785798E-3</v>
          </cell>
          <cell r="BC134">
            <v>3.2256801014078841E-3</v>
          </cell>
          <cell r="BF134">
            <v>5.8816944800864643E-3</v>
          </cell>
        </row>
        <row r="135">
          <cell r="O135">
            <v>1.2246984145589499</v>
          </cell>
          <cell r="P135">
            <v>1.2228524493214401</v>
          </cell>
          <cell r="Q135">
            <v>1.2246249713591899</v>
          </cell>
          <cell r="U135">
            <v>1.00199893969194E-3</v>
          </cell>
          <cell r="V135">
            <v>-5.4209550374593096E-4</v>
          </cell>
          <cell r="W135">
            <v>9.2407154906066797E-4</v>
          </cell>
          <cell r="Y135">
            <v>1.2232106064414101</v>
          </cell>
          <cell r="Z135">
            <v>1.22315324912708</v>
          </cell>
          <cell r="AA135">
            <v>1.2232262548239301</v>
          </cell>
          <cell r="AF135">
            <v>-5.2931473014954295E-4</v>
          </cell>
          <cell r="AG135">
            <v>-4.4897623841128802E-4</v>
          </cell>
          <cell r="AR135">
            <v>2.6560143786785798E-3</v>
          </cell>
          <cell r="BC135">
            <v>3.2256801014078841E-3</v>
          </cell>
          <cell r="BF135">
            <v>5.8816944800864643E-3</v>
          </cell>
        </row>
        <row r="136">
          <cell r="O136">
            <v>1.2246984145589499</v>
          </cell>
          <cell r="P136">
            <v>1.2229286824198</v>
          </cell>
          <cell r="Q136">
            <v>1.2246548704765501</v>
          </cell>
          <cell r="U136">
            <v>1.00199893969194E-3</v>
          </cell>
          <cell r="V136">
            <v>-5.0641963070127401E-4</v>
          </cell>
          <cell r="W136">
            <v>9.4202874530215097E-4</v>
          </cell>
          <cell r="Y136">
            <v>1.2232106064414101</v>
          </cell>
          <cell r="Z136">
            <v>1.22322780834068</v>
          </cell>
          <cell r="AA136">
            <v>1.22325130637882</v>
          </cell>
          <cell r="AF136">
            <v>-4.9443198845033898E-4</v>
          </cell>
          <cell r="AG136">
            <v>-4.34747301949632E-4</v>
          </cell>
          <cell r="AR136">
            <v>2.6560143786785798E-3</v>
          </cell>
          <cell r="BC136">
            <v>3.2256801014078841E-3</v>
          </cell>
          <cell r="BF136">
            <v>5.8816944800864643E-3</v>
          </cell>
        </row>
        <row r="137">
          <cell r="O137">
            <v>1.2246984145589499</v>
          </cell>
          <cell r="P137">
            <v>1.2235145854781699</v>
          </cell>
          <cell r="Q137">
            <v>1.2249911006333001</v>
          </cell>
          <cell r="U137">
            <v>-3.3748600917542101E-3</v>
          </cell>
          <cell r="V137">
            <v>-4.8209402154224699E-3</v>
          </cell>
          <cell r="W137">
            <v>-3.41041566691028E-3</v>
          </cell>
          <cell r="Y137">
            <v>1.2232106064414101</v>
          </cell>
          <cell r="Z137">
            <v>1.22331434729373</v>
          </cell>
          <cell r="AA137">
            <v>1.2233328463728099</v>
          </cell>
          <cell r="AF137">
            <v>-7.4660222204082796E-4</v>
          </cell>
          <cell r="AG137">
            <v>-7.2739254393196402E-4</v>
          </cell>
          <cell r="AR137">
            <v>2.6560143786785798E-3</v>
          </cell>
          <cell r="BC137">
            <v>3.2256801014078841E-3</v>
          </cell>
          <cell r="BF137">
            <v>5.8816944800864643E-3</v>
          </cell>
        </row>
        <row r="138">
          <cell r="O138">
            <v>1.2246984145589499</v>
          </cell>
          <cell r="P138">
            <v>1.22414488114326</v>
          </cell>
          <cell r="Q138">
            <v>1.2249792508364901</v>
          </cell>
          <cell r="U138">
            <v>-3.3408937066235602E-3</v>
          </cell>
          <cell r="V138">
            <v>-4.30799025666153E-3</v>
          </cell>
          <cell r="W138">
            <v>-3.1019360151046701E-3</v>
          </cell>
          <cell r="Y138">
            <v>1.2232106064414101</v>
          </cell>
          <cell r="Z138">
            <v>1.2234432334858301</v>
          </cell>
          <cell r="AA138">
            <v>1.2233171024723499</v>
          </cell>
          <cell r="AF138">
            <v>-6.3533244126925102E-4</v>
          </cell>
          <cell r="AG138">
            <v>-6.2021045790481601E-4</v>
          </cell>
          <cell r="AR138">
            <v>2.6560143786785798E-3</v>
          </cell>
          <cell r="BC138">
            <v>3.2256801014078841E-3</v>
          </cell>
          <cell r="BF138">
            <v>5.8816944800864643E-3</v>
          </cell>
        </row>
        <row r="139">
          <cell r="O139">
            <v>1.2246984145589499</v>
          </cell>
          <cell r="P139">
            <v>1.2246282368463399</v>
          </cell>
          <cell r="Q139">
            <v>1.22495717001852</v>
          </cell>
          <cell r="U139">
            <v>-2.4106710403705199E-3</v>
          </cell>
          <cell r="V139">
            <v>-2.8627484975837498E-3</v>
          </cell>
          <cell r="W139">
            <v>-2.1813867694341601E-3</v>
          </cell>
          <cell r="Y139">
            <v>1.2232106064414101</v>
          </cell>
          <cell r="Z139">
            <v>1.22342834848402</v>
          </cell>
          <cell r="AA139">
            <v>1.22329081749271</v>
          </cell>
          <cell r="AF139">
            <v>3.83779788606788E-4</v>
          </cell>
          <cell r="AG139">
            <v>2.8067936496637802E-4</v>
          </cell>
          <cell r="AR139">
            <v>2.6560143786785798E-3</v>
          </cell>
          <cell r="BC139">
            <v>3.2256801014078841E-3</v>
          </cell>
          <cell r="BF139">
            <v>5.8816944800864643E-3</v>
          </cell>
        </row>
        <row r="140">
          <cell r="O140">
            <v>1.2246984145589499</v>
          </cell>
          <cell r="P140">
            <v>1.2252728025035899</v>
          </cell>
          <cell r="Q140">
            <v>1.22503829356514</v>
          </cell>
          <cell r="U140">
            <v>-3.4570167558272999E-3</v>
          </cell>
          <cell r="V140">
            <v>-3.5143204336312798E-3</v>
          </cell>
          <cell r="W140">
            <v>-3.2457581101943901E-3</v>
          </cell>
          <cell r="Y140">
            <v>1.2232106064414101</v>
          </cell>
          <cell r="Z140">
            <v>1.22356884509529</v>
          </cell>
          <cell r="AA140">
            <v>1.2233635104540801</v>
          </cell>
          <cell r="AF140">
            <v>-6.3699110671613197E-4</v>
          </cell>
          <cell r="AG140">
            <v>-7.4941184823025205E-4</v>
          </cell>
          <cell r="AR140">
            <v>2.6560143786785798E-3</v>
          </cell>
          <cell r="BC140">
            <v>3.2256801014078841E-3</v>
          </cell>
          <cell r="BF140">
            <v>5.8816944800864643E-3</v>
          </cell>
        </row>
        <row r="141">
          <cell r="O141">
            <v>1.2246984145589499</v>
          </cell>
          <cell r="P141">
            <v>1.22591098483308</v>
          </cell>
          <cell r="Q141">
            <v>1.22507042835757</v>
          </cell>
          <cell r="U141">
            <v>-3.2725538796557299E-3</v>
          </cell>
          <cell r="V141">
            <v>-2.8036602443677898E-3</v>
          </cell>
          <cell r="W141">
            <v>-2.99507180801849E-3</v>
          </cell>
          <cell r="Y141">
            <v>1.2232106064414101</v>
          </cell>
          <cell r="Z141">
            <v>1.2237036121504801</v>
          </cell>
          <cell r="AA141">
            <v>1.2233884103103001</v>
          </cell>
          <cell r="AF141">
            <v>-3.4578946255304398E-4</v>
          </cell>
          <cell r="AG141">
            <v>-5.1361971844298695E-4</v>
          </cell>
          <cell r="AR141">
            <v>2.6560143786785798E-3</v>
          </cell>
          <cell r="BC141">
            <v>3.2256801014078841E-3</v>
          </cell>
          <cell r="BF141">
            <v>5.8816944800864643E-3</v>
          </cell>
        </row>
        <row r="142">
          <cell r="O142">
            <v>1.2246984145589499</v>
          </cell>
          <cell r="P142">
            <v>1.2265755643903999</v>
          </cell>
          <cell r="Q142">
            <v>1.22512696793346</v>
          </cell>
          <cell r="U142">
            <v>-3.3988134132645902E-3</v>
          </cell>
          <cell r="V142">
            <v>-2.4092061968787799E-3</v>
          </cell>
          <cell r="W142">
            <v>-3.09510002206105E-3</v>
          </cell>
          <cell r="Y142">
            <v>1.2232106064414101</v>
          </cell>
          <cell r="Z142">
            <v>1.2238646569501399</v>
          </cell>
          <cell r="AA142">
            <v>1.22343713065399</v>
          </cell>
          <cell r="AF142">
            <v>-3.6448746992612003E-4</v>
          </cell>
          <cell r="AG142">
            <v>-6.2210086495114001E-4</v>
          </cell>
          <cell r="AR142">
            <v>2.6560143786785798E-3</v>
          </cell>
          <cell r="BC142">
            <v>3.2256801014078841E-3</v>
          </cell>
          <cell r="BF142">
            <v>5.8816944800864643E-3</v>
          </cell>
        </row>
        <row r="143">
          <cell r="O143">
            <v>1.2246984145589499</v>
          </cell>
          <cell r="P143">
            <v>1.2270420352694</v>
          </cell>
          <cell r="Q143">
            <v>1.22516636532477</v>
          </cell>
          <cell r="U143">
            <v>-2.9395290614601401E-3</v>
          </cell>
          <cell r="V143">
            <v>-1.4079579563915201E-3</v>
          </cell>
          <cell r="W143">
            <v>-2.5896646327978399E-3</v>
          </cell>
          <cell r="Y143">
            <v>1.2232106064414101</v>
          </cell>
          <cell r="Z143">
            <v>1.2238336522450199</v>
          </cell>
          <cell r="AA143">
            <v>1.2234695730851399</v>
          </cell>
          <cell r="AF143">
            <v>2.06305564867437E-4</v>
          </cell>
          <cell r="AG143">
            <v>-1.4308027929797401E-4</v>
          </cell>
          <cell r="AR143">
            <v>2.6560143786785798E-3</v>
          </cell>
          <cell r="BC143">
            <v>3.2256801014078841E-3</v>
          </cell>
          <cell r="BF143">
            <v>5.8816944800864643E-3</v>
          </cell>
        </row>
        <row r="144">
          <cell r="O144">
            <v>1.2246984145589499</v>
          </cell>
          <cell r="P144">
            <v>1.22752058419956</v>
          </cell>
          <cell r="Q144">
            <v>1.22516470398523</v>
          </cell>
          <cell r="U144">
            <v>-2.81284277311887E-3</v>
          </cell>
          <cell r="V144">
            <v>-9.0104054752980002E-4</v>
          </cell>
          <cell r="W144">
            <v>-2.43082105881325E-3</v>
          </cell>
          <cell r="Y144">
            <v>1.2232106064414101</v>
          </cell>
          <cell r="Z144">
            <v>1.22381392704379</v>
          </cell>
          <cell r="AA144">
            <v>1.22346225498809</v>
          </cell>
          <cell r="AF144">
            <v>3.1018645481514399E-4</v>
          </cell>
          <cell r="AG144">
            <v>1.26514711680295E-5</v>
          </cell>
          <cell r="AR144">
            <v>2.6560143786785798E-3</v>
          </cell>
          <cell r="BC144">
            <v>3.2256801014078841E-3</v>
          </cell>
          <cell r="BF144">
            <v>5.8816944800864643E-3</v>
          </cell>
        </row>
        <row r="145">
          <cell r="O145">
            <v>1.2246984145589499</v>
          </cell>
          <cell r="P145">
            <v>1.2279544610242601</v>
          </cell>
          <cell r="Q145">
            <v>1.2254034551728501</v>
          </cell>
          <cell r="U145">
            <v>-2.5380032580328798E-3</v>
          </cell>
          <cell r="V145">
            <v>-2.3627499639222E-4</v>
          </cell>
          <cell r="W145">
            <v>-2.1573375560359799E-3</v>
          </cell>
          <cell r="Y145">
            <v>1.2232106064414101</v>
          </cell>
          <cell r="Z145">
            <v>1.22375136859628</v>
          </cell>
          <cell r="AA145">
            <v>1.22345230886168</v>
          </cell>
          <cell r="AF145">
            <v>5.5689552820887005E-4</v>
          </cell>
          <cell r="AG145">
            <v>2.69496777953876E-4</v>
          </cell>
          <cell r="AR145">
            <v>2.6560143786785798E-3</v>
          </cell>
          <cell r="BC145">
            <v>3.2256801014078841E-3</v>
          </cell>
          <cell r="BF145">
            <v>5.8816944800864643E-3</v>
          </cell>
        </row>
        <row r="146">
          <cell r="O146">
            <v>1.2246984145589499</v>
          </cell>
          <cell r="P146">
            <v>1.2284940745397399</v>
          </cell>
          <cell r="Q146">
            <v>1.22571137847977</v>
          </cell>
          <cell r="U146">
            <v>-3.3988134132645902E-3</v>
          </cell>
          <cell r="V146">
            <v>-7.4368972204446303E-4</v>
          </cell>
          <cell r="W146">
            <v>-2.8232939688956201E-3</v>
          </cell>
          <cell r="Y146">
            <v>1.2232106064414101</v>
          </cell>
          <cell r="Z146">
            <v>1.22379052392891</v>
          </cell>
          <cell r="AA146">
            <v>1.2235091661348001</v>
          </cell>
          <cell r="AF146">
            <v>-3.25462077281806E-4</v>
          </cell>
          <cell r="AG146">
            <v>-5.6987143220720905E-4</v>
          </cell>
          <cell r="AR146">
            <v>2.6560143786785798E-3</v>
          </cell>
          <cell r="BC146">
            <v>3.2256801014078841E-3</v>
          </cell>
          <cell r="BF146">
            <v>5.8816944800864643E-3</v>
          </cell>
        </row>
        <row r="147">
          <cell r="O147">
            <v>1.2246984145589499</v>
          </cell>
          <cell r="P147">
            <v>1.22788720000785</v>
          </cell>
          <cell r="Q147">
            <v>1.22570089274301</v>
          </cell>
          <cell r="U147">
            <v>1.5759776236599801E-3</v>
          </cell>
          <cell r="V147">
            <v>4.6704457720053404E-3</v>
          </cell>
          <cell r="W147">
            <v>2.4027487061111501E-3</v>
          </cell>
          <cell r="Y147">
            <v>1.2232106064414101</v>
          </cell>
          <cell r="Z147">
            <v>1.22368021912981</v>
          </cell>
          <cell r="AA147">
            <v>1.2234972832117701</v>
          </cell>
          <cell r="AF147">
            <v>6.1480228453744603E-4</v>
          </cell>
          <cell r="AG147">
            <v>3.8486902666927001E-4</v>
          </cell>
          <cell r="AR147">
            <v>2.6560143786785798E-3</v>
          </cell>
          <cell r="BC147">
            <v>3.2256801014078841E-3</v>
          </cell>
          <cell r="BF147">
            <v>5.8816944800864643E-3</v>
          </cell>
        </row>
        <row r="148">
          <cell r="O148">
            <v>1.2246984145589499</v>
          </cell>
          <cell r="P148">
            <v>1.2273552562576799</v>
          </cell>
          <cell r="Q148">
            <v>1.2257500687004701</v>
          </cell>
          <cell r="U148">
            <v>9.9748389787924401E-4</v>
          </cell>
          <cell r="V148">
            <v>3.5978312429745798E-3</v>
          </cell>
          <cell r="W148">
            <v>1.8157001265574301E-3</v>
          </cell>
          <cell r="Y148">
            <v>1.2232106064414101</v>
          </cell>
          <cell r="Z148">
            <v>1.22364361480169</v>
          </cell>
          <cell r="AA148">
            <v>1.2235434241437599</v>
          </cell>
          <cell r="AF148">
            <v>-3.7217461956754797E-5</v>
          </cell>
          <cell r="AG148">
            <v>-1.86725144341318E-4</v>
          </cell>
          <cell r="AR148">
            <v>2.6560143786785798E-3</v>
          </cell>
          <cell r="BC148">
            <v>3.2256801014078841E-3</v>
          </cell>
          <cell r="BF148">
            <v>5.8816944800864643E-3</v>
          </cell>
        </row>
        <row r="149">
          <cell r="O149">
            <v>1.2246984145589499</v>
          </cell>
          <cell r="P149">
            <v>1.22692659391837</v>
          </cell>
          <cell r="Q149">
            <v>1.22577741538235</v>
          </cell>
          <cell r="U149">
            <v>1.08715780910836E-3</v>
          </cell>
          <cell r="V149">
            <v>3.2541925441718499E-3</v>
          </cell>
          <cell r="W149">
            <v>1.9454939163728801E-3</v>
          </cell>
          <cell r="Y149">
            <v>1.2232106064414101</v>
          </cell>
          <cell r="Z149">
            <v>1.2237081278956901</v>
          </cell>
          <cell r="AA149">
            <v>1.22356823818986</v>
          </cell>
          <cell r="AF149">
            <v>2.0180159576163301E-5</v>
          </cell>
          <cell r="AG149">
            <v>-6.17021456076532E-5</v>
          </cell>
          <cell r="AR149">
            <v>2.6560143786785798E-3</v>
          </cell>
          <cell r="BC149">
            <v>3.2256801014078841E-3</v>
          </cell>
          <cell r="BF149">
            <v>5.8816944800864643E-3</v>
          </cell>
        </row>
        <row r="150">
          <cell r="O150">
            <v>1.2246984145589499</v>
          </cell>
          <cell r="P150">
            <v>1.2263259465946701</v>
          </cell>
          <cell r="Q150">
            <v>1.22579937454913</v>
          </cell>
          <cell r="U150">
            <v>1.44249165728973E-3</v>
          </cell>
          <cell r="V150">
            <v>3.2602084493928499E-3</v>
          </cell>
          <cell r="W150">
            <v>2.3231376770954798E-3</v>
          </cell>
          <cell r="Y150">
            <v>1.2232106064414101</v>
          </cell>
          <cell r="Z150">
            <v>1.2236070127900101</v>
          </cell>
          <cell r="AA150">
            <v>1.2235879289426499</v>
          </cell>
          <cell r="AF150">
            <v>4.1797230503413198E-4</v>
          </cell>
          <cell r="AG150">
            <v>3.0364953550384203E-4</v>
          </cell>
          <cell r="AR150">
            <v>2.6560143786785798E-3</v>
          </cell>
          <cell r="BC150">
            <v>3.2256801014078841E-3</v>
          </cell>
          <cell r="BF150">
            <v>5.8816944800864643E-3</v>
          </cell>
        </row>
        <row r="151">
          <cell r="O151">
            <v>1.2246984145589499</v>
          </cell>
          <cell r="P151">
            <v>1.2258735385220101</v>
          </cell>
          <cell r="Q151">
            <v>1.2258922616775501</v>
          </cell>
          <cell r="U151">
            <v>4.16208639398485E-4</v>
          </cell>
          <cell r="V151">
            <v>1.74425115151948E-3</v>
          </cell>
          <cell r="W151">
            <v>1.3147689801991901E-3</v>
          </cell>
          <cell r="Y151">
            <v>1.2232106064414101</v>
          </cell>
          <cell r="Z151">
            <v>1.22364960987121</v>
          </cell>
          <cell r="AA151">
            <v>1.2236766110108499</v>
          </cell>
          <cell r="AF151">
            <v>-6.6255329934386596E-4</v>
          </cell>
          <cell r="AG151">
            <v>-6.7814980703245504E-4</v>
          </cell>
          <cell r="AR151">
            <v>2.6560143786785798E-3</v>
          </cell>
          <cell r="BC151">
            <v>3.2256801014078841E-3</v>
          </cell>
          <cell r="BF151">
            <v>5.8816944800864643E-3</v>
          </cell>
        </row>
        <row r="152">
          <cell r="O152">
            <v>1.2246984145589499</v>
          </cell>
          <cell r="P152">
            <v>1.2253130058405499</v>
          </cell>
          <cell r="Q152">
            <v>1.22594428511547</v>
          </cell>
          <cell r="U152">
            <v>1.1729955509085599E-3</v>
          </cell>
          <cell r="V152">
            <v>2.1320565992095598E-3</v>
          </cell>
          <cell r="W152">
            <v>2.1473297998854399E-3</v>
          </cell>
          <cell r="Y152">
            <v>1.2232106064414101</v>
          </cell>
          <cell r="Z152">
            <v>1.2235864129298399</v>
          </cell>
          <cell r="AA152">
            <v>1.22372553493999</v>
          </cell>
          <cell r="AF152">
            <v>1.07766398145906E-4</v>
          </cell>
          <cell r="AG152">
            <v>1.29832226073939E-4</v>
          </cell>
          <cell r="AR152">
            <v>2.6560143786785798E-3</v>
          </cell>
          <cell r="BC152">
            <v>3.2256801014078841E-3</v>
          </cell>
          <cell r="BF152">
            <v>5.8816944800864643E-3</v>
          </cell>
        </row>
        <row r="153">
          <cell r="O153">
            <v>1.2246984145589499</v>
          </cell>
          <cell r="P153">
            <v>1.2246884410329399</v>
          </cell>
          <cell r="Q153">
            <v>1.2258652381511701</v>
          </cell>
          <cell r="U153">
            <v>2.1582173054786298E-3</v>
          </cell>
          <cell r="V153">
            <v>2.6599221460136902E-3</v>
          </cell>
          <cell r="W153">
            <v>3.1749878563399102E-3</v>
          </cell>
          <cell r="Y153">
            <v>1.2232106064414101</v>
          </cell>
          <cell r="Z153">
            <v>1.2234597742173601</v>
          </cell>
          <cell r="AA153">
            <v>1.2236467132311899</v>
          </cell>
          <cell r="AF153">
            <v>1.0144248867395801E-3</v>
          </cell>
          <cell r="AG153">
            <v>1.1281186154199201E-3</v>
          </cell>
          <cell r="AR153">
            <v>2.6560143786785798E-3</v>
          </cell>
          <cell r="BC153">
            <v>3.2256801014078841E-3</v>
          </cell>
          <cell r="BF153">
            <v>5.8816944800864643E-3</v>
          </cell>
        </row>
        <row r="154">
          <cell r="O154">
            <v>1.2246984145589499</v>
          </cell>
          <cell r="P154">
            <v>1.22416693330474</v>
          </cell>
          <cell r="Q154">
            <v>1.22584375875215</v>
          </cell>
          <cell r="U154">
            <v>1.44249165728973E-3</v>
          </cell>
          <cell r="V154">
            <v>1.4343479653365001E-3</v>
          </cell>
          <cell r="W154">
            <v>2.3947816980776698E-3</v>
          </cell>
          <cell r="Y154">
            <v>1.2232106064414101</v>
          </cell>
          <cell r="Z154">
            <v>1.22343404063459</v>
          </cell>
          <cell r="AA154">
            <v>1.22362398383919</v>
          </cell>
          <cell r="AF154">
            <v>2.1499998019672699E-4</v>
          </cell>
          <cell r="AG154">
            <v>3.6778369855893297E-4</v>
          </cell>
          <cell r="AR154">
            <v>2.6560143786785798E-3</v>
          </cell>
          <cell r="BC154">
            <v>3.9414057495965301E-3</v>
          </cell>
          <cell r="BF154">
            <v>6.5974201282751107E-3</v>
          </cell>
        </row>
        <row r="155">
          <cell r="O155">
            <v>1.2246984145589499</v>
          </cell>
          <cell r="P155">
            <v>1.2236516847927299</v>
          </cell>
          <cell r="Q155">
            <v>1.2258030729085001</v>
          </cell>
          <cell r="U155">
            <v>1.6673085405436499E-3</v>
          </cell>
          <cell r="V155">
            <v>1.2332452605661099E-3</v>
          </cell>
          <cell r="W155">
            <v>2.6020766005034998E-3</v>
          </cell>
          <cell r="Y155">
            <v>1.2232106064414101</v>
          </cell>
          <cell r="Z155">
            <v>1.2234136276996199</v>
          </cell>
          <cell r="AA155">
            <v>1.2235824981479499</v>
          </cell>
          <cell r="AF155">
            <v>4.1333998185919598E-4</v>
          </cell>
          <cell r="AG155">
            <v>5.6858207508453905E-4</v>
          </cell>
          <cell r="AR155">
            <v>2.6560143786785798E-3</v>
          </cell>
          <cell r="BC155">
            <v>3.7165888663424798E-3</v>
          </cell>
          <cell r="BF155">
            <v>6.37260324502106E-3</v>
          </cell>
        </row>
        <row r="156">
          <cell r="O156">
            <v>1.2246984145589499</v>
          </cell>
          <cell r="P156">
            <v>1.2230362694438801</v>
          </cell>
          <cell r="Q156">
            <v>1.2257651719918099</v>
          </cell>
          <cell r="U156">
            <v>1.6217542947469001E-3</v>
          </cell>
          <cell r="V156">
            <v>7.6670514939141397E-4</v>
          </cell>
          <cell r="W156">
            <v>2.5233317310565098E-3</v>
          </cell>
          <cell r="Y156">
            <v>1.2232106064414101</v>
          </cell>
          <cell r="Z156">
            <v>1.2232969835946099</v>
          </cell>
          <cell r="AA156">
            <v>1.2235437537617599</v>
          </cell>
          <cell r="AF156">
            <v>3.5182408403951697E-4</v>
          </cell>
          <cell r="AG156">
            <v>4.8984673704770005E-4</v>
          </cell>
          <cell r="AR156">
            <v>2.6560143786785798E-3</v>
          </cell>
          <cell r="BC156">
            <v>3.7621431121392795E-3</v>
          </cell>
          <cell r="BF156">
            <v>6.4181574908178593E-3</v>
          </cell>
        </row>
        <row r="157">
          <cell r="O157">
            <v>1.2246984145589499</v>
          </cell>
          <cell r="P157">
            <v>1.2230033801962401</v>
          </cell>
          <cell r="Q157">
            <v>1.2254452901020401</v>
          </cell>
          <cell r="U157">
            <v>1.84498713464951E-3</v>
          </cell>
          <cell r="V157">
            <v>4.8687803776266999E-4</v>
          </cell>
          <cell r="W157">
            <v>2.71564483884743E-3</v>
          </cell>
          <cell r="Y157">
            <v>1.2232106064414101</v>
          </cell>
          <cell r="Z157">
            <v>1.2232649534379301</v>
          </cell>
          <cell r="AA157">
            <v>1.22347258628387</v>
          </cell>
          <cell r="AF157">
            <v>4.7335703496838701E-4</v>
          </cell>
          <cell r="AG157">
            <v>6.7506216781287301E-4</v>
          </cell>
          <cell r="AR157">
            <v>2.6560143786785798E-3</v>
          </cell>
          <cell r="BC157">
            <v>3.5389102722366765E-3</v>
          </cell>
          <cell r="BF157">
            <v>6.1949246509152567E-3</v>
          </cell>
        </row>
        <row r="158">
          <cell r="O158">
            <v>1.2246984145589499</v>
          </cell>
          <cell r="P158">
            <v>1.2229981592132999</v>
          </cell>
          <cell r="Q158">
            <v>1.22517670773549</v>
          </cell>
          <cell r="U158">
            <v>1.0401581173625301E-3</v>
          </cell>
          <cell r="V158">
            <v>-3.4484281478000197E-4</v>
          </cell>
          <cell r="W158">
            <v>1.6498166976363E-3</v>
          </cell>
          <cell r="Y158">
            <v>1.2232106064414101</v>
          </cell>
          <cell r="Z158">
            <v>1.22325992250705</v>
          </cell>
          <cell r="AA158">
            <v>1.22345176865437</v>
          </cell>
          <cell r="AF158">
            <v>-3.3552064068934903E-4</v>
          </cell>
          <cell r="AG158">
            <v>-1.6579843463683199E-4</v>
          </cell>
          <cell r="AR158">
            <v>2.6560143786785798E-3</v>
          </cell>
          <cell r="BC158">
            <v>4.3437392895237176E-3</v>
          </cell>
          <cell r="BF158">
            <v>6.9997536682022974E-3</v>
          </cell>
        </row>
        <row r="159">
          <cell r="O159">
            <v>1.2246984145589499</v>
          </cell>
          <cell r="P159">
            <v>1.2229600142082699</v>
          </cell>
          <cell r="Q159">
            <v>1.22494330406332</v>
          </cell>
          <cell r="U159">
            <v>1.39900970130647E-3</v>
          </cell>
          <cell r="V159">
            <v>9.73977517289546E-6</v>
          </cell>
          <cell r="W159">
            <v>1.78947301779383E-3</v>
          </cell>
          <cell r="Y159">
            <v>1.2232106064414101</v>
          </cell>
          <cell r="Z159">
            <v>1.22322282861583</v>
          </cell>
          <cell r="AA159">
            <v>1.2234654782557599</v>
          </cell>
          <cell r="AF159">
            <v>9.7605994257915295E-6</v>
          </cell>
          <cell r="AG159">
            <v>1.6658017764076299E-4</v>
          </cell>
          <cell r="AR159">
            <v>2.6560143786785798E-3</v>
          </cell>
          <cell r="BC159">
            <v>4.3437392895237176E-3</v>
          </cell>
          <cell r="BF159">
            <v>6.9997536682022974E-3</v>
          </cell>
        </row>
        <row r="160">
          <cell r="O160">
            <v>1.2246984145589499</v>
          </cell>
          <cell r="P160">
            <v>1.22303123914136</v>
          </cell>
          <cell r="Q160">
            <v>1.2246785928680199</v>
          </cell>
          <cell r="U160">
            <v>8.6025047211012195E-4</v>
          </cell>
          <cell r="V160">
            <v>-5.6020968895663197E-4</v>
          </cell>
          <cell r="W160">
            <v>1.06018951080324E-3</v>
          </cell>
          <cell r="Y160">
            <v>1.2232106064414101</v>
          </cell>
          <cell r="Z160">
            <v>1.2232921329966999</v>
          </cell>
          <cell r="AA160">
            <v>1.2234495728933501</v>
          </cell>
          <cell r="AF160">
            <v>-5.4511089205177003E-4</v>
          </cell>
          <cell r="AG160">
            <v>-3.4676144145420398E-4</v>
          </cell>
          <cell r="AR160">
            <v>2.6560143786785798E-3</v>
          </cell>
          <cell r="BC160">
            <v>4.3437392895237176E-3</v>
          </cell>
          <cell r="BF160">
            <v>6.9997536682022974E-3</v>
          </cell>
        </row>
        <row r="161">
          <cell r="O161">
            <v>1.2246984145589499</v>
          </cell>
          <cell r="P161">
            <v>1.2229879145456399</v>
          </cell>
          <cell r="Q161">
            <v>1.2244307265338199</v>
          </cell>
          <cell r="U161">
            <v>7.7017580729440505E-4</v>
          </cell>
          <cell r="V161">
            <v>-5.9204626071860604E-4</v>
          </cell>
          <cell r="W161">
            <v>7.5399071951444299E-4</v>
          </cell>
          <cell r="Y161">
            <v>1.2232106064414101</v>
          </cell>
          <cell r="Z161">
            <v>1.2232500475060499</v>
          </cell>
          <cell r="AA161">
            <v>1.2234498286886299</v>
          </cell>
          <cell r="AF161">
            <v>-5.7614635665504798E-4</v>
          </cell>
          <cell r="AG161">
            <v>-4.4745284029771198E-4</v>
          </cell>
          <cell r="AR161">
            <v>2.6560143786785798E-3</v>
          </cell>
          <cell r="BC161">
            <v>4.3437392895237176E-3</v>
          </cell>
          <cell r="BF161">
            <v>6.9997536682022974E-3</v>
          </cell>
        </row>
        <row r="162">
          <cell r="O162">
            <v>1.2246984145589499</v>
          </cell>
          <cell r="P162">
            <v>1.2235216157592901</v>
          </cell>
          <cell r="Q162">
            <v>1.2244173107999199</v>
          </cell>
          <cell r="U162">
            <v>-3.1804466148991498E-3</v>
          </cell>
          <cell r="V162">
            <v>-4.5780932589308898E-3</v>
          </cell>
          <cell r="W162">
            <v>-3.3990451540319802E-3</v>
          </cell>
          <cell r="Y162">
            <v>1.2232106064414101</v>
          </cell>
          <cell r="Z162">
            <v>1.2232724669052699</v>
          </cell>
          <cell r="AA162">
            <v>1.22342943991756</v>
          </cell>
          <cell r="AF162">
            <v>-4.02040677045516E-4</v>
          </cell>
          <cell r="AG162">
            <v>-2.38734024709722E-4</v>
          </cell>
          <cell r="AR162">
            <v>2.6560143786785798E-3</v>
          </cell>
          <cell r="BC162">
            <v>4.3437392895237176E-3</v>
          </cell>
          <cell r="BF162">
            <v>6.9997536682022974E-3</v>
          </cell>
        </row>
        <row r="163">
          <cell r="O163">
            <v>1.2246984145589499</v>
          </cell>
          <cell r="P163">
            <v>1.2241729486705899</v>
          </cell>
          <cell r="Q163">
            <v>1.22443069485176</v>
          </cell>
          <cell r="U163">
            <v>-3.1574327145023201E-3</v>
          </cell>
          <cell r="V163">
            <v>-4.1187833085869902E-3</v>
          </cell>
          <cell r="W163">
            <v>-3.3869880249006099E-3</v>
          </cell>
          <cell r="Y163">
            <v>1.2232106064414101</v>
          </cell>
          <cell r="Z163">
            <v>1.22341142787043</v>
          </cell>
          <cell r="AA163">
            <v>1.2234356010439</v>
          </cell>
          <cell r="AF163">
            <v>-3.7837927245169399E-4</v>
          </cell>
          <cell r="AG163">
            <v>-2.50065306568022E-4</v>
          </cell>
          <cell r="AR163">
            <v>2.6560143786785798E-3</v>
          </cell>
          <cell r="BC163">
            <v>4.3437392895237176E-3</v>
          </cell>
          <cell r="BF163">
            <v>6.9997536682022974E-3</v>
          </cell>
        </row>
        <row r="164">
          <cell r="O164">
            <v>1.2246984145589499</v>
          </cell>
          <cell r="P164">
            <v>1.2247706134636001</v>
          </cell>
          <cell r="Q164">
            <v>1.2244687733841699</v>
          </cell>
          <cell r="U164">
            <v>-3.4327473205340601E-3</v>
          </cell>
          <cell r="V164">
            <v>-3.8618967681668002E-3</v>
          </cell>
          <cell r="W164">
            <v>-3.6513717345966201E-3</v>
          </cell>
          <cell r="Y164">
            <v>1.2232106064414101</v>
          </cell>
          <cell r="Z164">
            <v>1.2234973710602099</v>
          </cell>
          <cell r="AA164">
            <v>1.2234657058474001</v>
          </cell>
          <cell r="AF164">
            <v>-5.2688150212719202E-4</v>
          </cell>
          <cell r="AG164">
            <v>-5.0712287138172799E-4</v>
          </cell>
          <cell r="AR164">
            <v>2.6560143786785798E-3</v>
          </cell>
          <cell r="BC164">
            <v>4.3437392895237176E-3</v>
          </cell>
          <cell r="BF164">
            <v>6.9997536682022974E-3</v>
          </cell>
        </row>
        <row r="165">
          <cell r="O165">
            <v>1.2246984145589499</v>
          </cell>
          <cell r="P165">
            <v>1.2252365523109101</v>
          </cell>
          <cell r="Q165">
            <v>1.22444411855182</v>
          </cell>
          <cell r="U165">
            <v>-2.1363161668717201E-3</v>
          </cell>
          <cell r="V165">
            <v>-2.0773655095305001E-3</v>
          </cell>
          <cell r="W165">
            <v>-2.3238420953474001E-3</v>
          </cell>
          <cell r="Y165">
            <v>1.2232106064414101</v>
          </cell>
          <cell r="Z165">
            <v>1.2234561382573701</v>
          </cell>
          <cell r="AA165">
            <v>1.2234348829785</v>
          </cell>
          <cell r="AF165">
            <v>8.0232444818160097E-4</v>
          </cell>
          <cell r="AG165">
            <v>7.7644321351202699E-4</v>
          </cell>
          <cell r="AR165">
            <v>2.6560143786785798E-3</v>
          </cell>
          <cell r="BC165">
            <v>4.3437392895237176E-3</v>
          </cell>
          <cell r="BF165">
            <v>6.9997536682022974E-3</v>
          </cell>
        </row>
        <row r="166">
          <cell r="O166">
            <v>1.2246984145589499</v>
          </cell>
          <cell r="P166">
            <v>1.22585912029054</v>
          </cell>
          <cell r="Q166">
            <v>1.2244476948672101</v>
          </cell>
          <cell r="U166">
            <v>-3.4570167558272999E-3</v>
          </cell>
          <cell r="V166">
            <v>-3.01770896366953E-3</v>
          </cell>
          <cell r="W166">
            <v>-3.6646780124554501E-3</v>
          </cell>
          <cell r="Y166">
            <v>1.2232106064414101</v>
          </cell>
          <cell r="Z166">
            <v>1.2235642218403699</v>
          </cell>
          <cell r="AA166">
            <v>1.2234306027174899</v>
          </cell>
          <cell r="AF166">
            <v>-4.9680864847305103E-4</v>
          </cell>
          <cell r="AG166">
            <v>-5.1418194273969203E-4</v>
          </cell>
          <cell r="AR166">
            <v>2.6560143786785798E-3</v>
          </cell>
          <cell r="BC166">
            <v>4.3437392895237176E-3</v>
          </cell>
          <cell r="BF166">
            <v>6.9997536682022974E-3</v>
          </cell>
        </row>
        <row r="167">
          <cell r="O167">
            <v>1.2246984145589499</v>
          </cell>
          <cell r="P167">
            <v>1.22645942619878</v>
          </cell>
          <cell r="Q167">
            <v>1.2247314031975101</v>
          </cell>
          <cell r="U167">
            <v>-3.0537096319897799E-3</v>
          </cell>
          <cell r="V167">
            <v>-2.10641025062066E-3</v>
          </cell>
          <cell r="W167">
            <v>-3.2584501263643499E-3</v>
          </cell>
          <cell r="Y167">
            <v>1.2232106064414101</v>
          </cell>
          <cell r="Z167">
            <v>1.2236508293981301</v>
          </cell>
          <cell r="AA167">
            <v>1.2234578914180301</v>
          </cell>
          <cell r="AF167">
            <v>-1.6278643105538399E-5</v>
          </cell>
          <cell r="AG167">
            <v>-1.2548943641798099E-4</v>
          </cell>
          <cell r="AR167">
            <v>2.6560143786785798E-3</v>
          </cell>
          <cell r="BC167">
            <v>4.3437392895237176E-3</v>
          </cell>
          <cell r="BF167">
            <v>6.9997536682022974E-3</v>
          </cell>
        </row>
        <row r="168">
          <cell r="O168">
            <v>1.2246984145589499</v>
          </cell>
          <cell r="P168">
            <v>1.2265161100976201</v>
          </cell>
          <cell r="Q168">
            <v>1.22475713465546</v>
          </cell>
          <cell r="U168">
            <v>5.7694408838832305E-4</v>
          </cell>
          <cell r="V168">
            <v>2.0138258048852001E-3</v>
          </cell>
          <cell r="W168">
            <v>6.0387985794549002E-4</v>
          </cell>
          <cell r="Y168">
            <v>1.2232106064414101</v>
          </cell>
          <cell r="Z168">
            <v>1.2236904655704</v>
          </cell>
          <cell r="AA168">
            <v>1.2234751940387301</v>
          </cell>
          <cell r="AF168">
            <v>-3.4398118617706301E-4</v>
          </cell>
          <cell r="AG168">
            <v>-5.0166766643718703E-4</v>
          </cell>
          <cell r="AR168">
            <v>2.6560143786785798E-3</v>
          </cell>
          <cell r="BC168">
            <v>4.3437392895237176E-3</v>
          </cell>
          <cell r="BF168">
            <v>6.9997536682022974E-3</v>
          </cell>
        </row>
        <row r="169">
          <cell r="O169">
            <v>1.2246984145589499</v>
          </cell>
          <cell r="P169">
            <v>1.2264838869336501</v>
          </cell>
          <cell r="Q169">
            <v>1.2247219505709599</v>
          </cell>
          <cell r="U169">
            <v>1.6625237828677101E-3</v>
          </cell>
          <cell r="V169">
            <v>3.1456219397690598E-3</v>
          </cell>
          <cell r="W169">
            <v>1.7104692101975101E-3</v>
          </cell>
          <cell r="Y169">
            <v>1.2232106064414101</v>
          </cell>
          <cell r="Z169">
            <v>1.2236442192258501</v>
          </cell>
          <cell r="AA169">
            <v>1.22343352392084</v>
          </cell>
          <cell r="AF169">
            <v>7.3979572871519898E-4</v>
          </cell>
          <cell r="AG169">
            <v>5.6386033064653002E-4</v>
          </cell>
          <cell r="AR169">
            <v>2.6560143786785798E-3</v>
          </cell>
          <cell r="BC169">
            <v>4.3437392895237176E-3</v>
          </cell>
          <cell r="BF169">
            <v>6.9997536682022974E-3</v>
          </cell>
        </row>
        <row r="170">
          <cell r="O170">
            <v>1.2246984145589499</v>
          </cell>
          <cell r="P170">
            <v>1.22656225461603</v>
          </cell>
          <cell r="Q170">
            <v>1.2247967468787</v>
          </cell>
          <cell r="U170">
            <v>2.2001104386449601E-4</v>
          </cell>
          <cell r="V170">
            <v>1.6768367474400299E-3</v>
          </cell>
          <cell r="W170">
            <v>2.39228661505331E-4</v>
          </cell>
          <cell r="Y170">
            <v>1.2232106064414101</v>
          </cell>
          <cell r="Z170">
            <v>1.22370472203912</v>
          </cell>
          <cell r="AA170">
            <v>1.2234984275179099</v>
          </cell>
          <cell r="AF170">
            <v>-6.9490449504390104E-4</v>
          </cell>
          <cell r="AG170">
            <v>-8.6710605759586599E-4</v>
          </cell>
          <cell r="AR170">
            <v>2.6560143786785798E-3</v>
          </cell>
          <cell r="BC170">
            <v>4.3437392895237176E-3</v>
          </cell>
          <cell r="BF170">
            <v>6.9997536682022974E-3</v>
          </cell>
        </row>
        <row r="171">
          <cell r="O171">
            <v>1.2246984145589499</v>
          </cell>
          <cell r="P171">
            <v>1.22660220711396</v>
          </cell>
          <cell r="Q171">
            <v>1.2247950608297999</v>
          </cell>
          <cell r="U171">
            <v>4.43754588738363E-4</v>
          </cell>
          <cell r="V171">
            <v>1.9644744695004801E-3</v>
          </cell>
          <cell r="W171">
            <v>5.2404241403823605E-4</v>
          </cell>
          <cell r="Y171">
            <v>1.2232106064414101</v>
          </cell>
          <cell r="Z171">
            <v>1.2237279685768401</v>
          </cell>
          <cell r="AA171">
            <v>1.22348900804144</v>
          </cell>
          <cell r="AF171">
            <v>-4.2883072140036398E-4</v>
          </cell>
          <cell r="AG171">
            <v>-5.9742687717107598E-4</v>
          </cell>
          <cell r="AR171">
            <v>2.6560143786785798E-3</v>
          </cell>
          <cell r="BC171">
            <v>4.3437392895237176E-3</v>
          </cell>
          <cell r="BF171">
            <v>6.9997536682022974E-3</v>
          </cell>
        </row>
        <row r="172">
          <cell r="O172">
            <v>1.2246984145589499</v>
          </cell>
          <cell r="P172">
            <v>1.22600863839269</v>
          </cell>
          <cell r="Q172">
            <v>1.2247651270759901</v>
          </cell>
          <cell r="U172">
            <v>1.6625237828677101E-3</v>
          </cell>
          <cell r="V172">
            <v>3.2158158768280701E-3</v>
          </cell>
          <cell r="W172">
            <v>1.7414350123663501E-3</v>
          </cell>
          <cell r="Y172">
            <v>1.2232106064414101</v>
          </cell>
          <cell r="Z172">
            <v>1.22363232624804</v>
          </cell>
          <cell r="AA172">
            <v>1.2234523965766599</v>
          </cell>
          <cell r="AF172">
            <v>7.7044272059300701E-4</v>
          </cell>
          <cell r="AG172">
            <v>5.7515105790997302E-4</v>
          </cell>
          <cell r="AR172">
            <v>2.6560143786785798E-3</v>
          </cell>
          <cell r="BC172">
            <v>4.3437392895237176E-3</v>
          </cell>
          <cell r="BF172">
            <v>6.9997536682022974E-3</v>
          </cell>
        </row>
        <row r="173">
          <cell r="O173">
            <v>1.2246984145589499</v>
          </cell>
          <cell r="P173">
            <v>1.2255120533044701</v>
          </cell>
          <cell r="Q173">
            <v>1.2248425009875299</v>
          </cell>
          <cell r="U173">
            <v>8.9272978008702404E-4</v>
          </cell>
          <cell r="V173">
            <v>1.9619917769402198E-3</v>
          </cell>
          <cell r="W173">
            <v>9.4720090481931695E-4</v>
          </cell>
          <cell r="Y173">
            <v>1.2232106064414101</v>
          </cell>
          <cell r="Z173">
            <v>1.2236285441060699</v>
          </cell>
          <cell r="AA173">
            <v>1.22351998598825</v>
          </cell>
          <cell r="AF173">
            <v>-5.3337935826758901E-5</v>
          </cell>
          <cell r="AG173">
            <v>-2.0039428416532501E-4</v>
          </cell>
          <cell r="AR173">
            <v>2.6560143786785798E-3</v>
          </cell>
          <cell r="BC173">
            <v>4.3437392895237176E-3</v>
          </cell>
          <cell r="BF173">
            <v>6.9997536682022974E-3</v>
          </cell>
        </row>
        <row r="174">
          <cell r="O174">
            <v>1.2246984145589499</v>
          </cell>
          <cell r="P174">
            <v>1.2248767205225899</v>
          </cell>
          <cell r="Q174">
            <v>1.2248236669930901</v>
          </cell>
          <cell r="U174">
            <v>1.7505525976899299E-3</v>
          </cell>
          <cell r="V174">
            <v>2.4146904634743701E-3</v>
          </cell>
          <cell r="W174">
            <v>1.86819621640191E-3</v>
          </cell>
          <cell r="Y174">
            <v>1.2232106064414101</v>
          </cell>
          <cell r="Z174">
            <v>1.2234911566165301</v>
          </cell>
          <cell r="AA174">
            <v>1.2234942638383699</v>
          </cell>
          <cell r="AF174">
            <v>7.7359627595713798E-4</v>
          </cell>
          <cell r="AG174">
            <v>6.8487414360294597E-4</v>
          </cell>
          <cell r="AR174">
            <v>2.6560143786785798E-3</v>
          </cell>
          <cell r="BC174">
            <v>4.3437392895237176E-3</v>
          </cell>
          <cell r="BF174">
            <v>6.9997536682022974E-3</v>
          </cell>
        </row>
        <row r="175">
          <cell r="O175">
            <v>1.2246984145589499</v>
          </cell>
          <cell r="P175">
            <v>1.2245457687148</v>
          </cell>
          <cell r="Q175">
            <v>1.2248911605128501</v>
          </cell>
          <cell r="U175">
            <v>5.6387192863630899E-4</v>
          </cell>
          <cell r="V175">
            <v>7.0945306342093102E-4</v>
          </cell>
          <cell r="W175">
            <v>6.66138762804117E-4</v>
          </cell>
          <cell r="Y175">
            <v>1.2232106064414101</v>
          </cell>
          <cell r="Z175">
            <v>1.22364834473078</v>
          </cell>
          <cell r="AA175">
            <v>1.22355224149408</v>
          </cell>
          <cell r="AF175">
            <v>-4.8770429721037398E-4</v>
          </cell>
          <cell r="AG175">
            <v>-4.8516466471927599E-4</v>
          </cell>
          <cell r="AR175">
            <v>2.6560143786785798E-3</v>
          </cell>
          <cell r="BC175">
            <v>4.3437392895237176E-3</v>
          </cell>
          <cell r="BF175">
            <v>6.9997536682022974E-3</v>
          </cell>
        </row>
        <row r="176">
          <cell r="O176">
            <v>1.2246984145589499</v>
          </cell>
          <cell r="P176">
            <v>1.22402486608931</v>
          </cell>
          <cell r="Q176">
            <v>1.2249419931899199</v>
          </cell>
          <cell r="U176">
            <v>7.9062679614615205E-4</v>
          </cell>
          <cell r="V176">
            <v>6.6597949034266505E-4</v>
          </cell>
          <cell r="W176">
            <v>9.4799679499167795E-4</v>
          </cell>
          <cell r="Y176">
            <v>1.2232106064414101</v>
          </cell>
          <cell r="Z176">
            <v>1.2236238739243599</v>
          </cell>
          <cell r="AA176">
            <v>1.2235940478823599</v>
          </cell>
          <cell r="AF176">
            <v>-1.39785346948115E-4</v>
          </cell>
          <cell r="AG176">
            <v>-2.18326711553226E-4</v>
          </cell>
          <cell r="AR176">
            <v>2.6560143786785798E-3</v>
          </cell>
          <cell r="BC176">
            <v>4.3437392895237176E-3</v>
          </cell>
          <cell r="BF176">
            <v>6.9997536682022974E-3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25F7-48B5-483F-8FDA-0B1DE0C0EC16}">
  <dimension ref="A1:DZ183"/>
  <sheetViews>
    <sheetView tabSelected="1" topLeftCell="AR1" workbookViewId="0">
      <selection activeCell="BH15" sqref="BH15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2.7713745808766723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1.8853721980911426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16.7</v>
      </c>
      <c r="C2" s="33">
        <v>21.14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16.7</v>
      </c>
      <c r="M2" s="33">
        <v>21.14</v>
      </c>
      <c r="N2" s="34">
        <v>1.26586826347305</v>
      </c>
      <c r="O2" s="34">
        <v>1.26844555541175</v>
      </c>
      <c r="X2" s="34">
        <v>1.26586826347305</v>
      </c>
      <c r="Y2" s="34">
        <v>1.2671331732903199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16.71</v>
      </c>
      <c r="C3" s="33">
        <v>21.18</v>
      </c>
      <c r="D3" s="15">
        <v>5.9862318459304805E-4</v>
      </c>
      <c r="E3" s="15">
        <v>1.8903597311687699E-3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16.71</v>
      </c>
      <c r="M3" s="33">
        <v>21.18</v>
      </c>
      <c r="N3" s="34">
        <v>1.2675044883303399</v>
      </c>
      <c r="O3" s="34">
        <v>1.26844555541175</v>
      </c>
      <c r="R3" s="33">
        <v>21.195725230930499</v>
      </c>
      <c r="U3" s="15">
        <v>7.4218112217024198E-4</v>
      </c>
      <c r="X3" s="34">
        <v>1.2675044883303399</v>
      </c>
      <c r="Y3" s="34">
        <v>1.2671331732903199</v>
      </c>
      <c r="AB3" s="33">
        <v>21.173795325681201</v>
      </c>
      <c r="AE3" s="15">
        <v>-2.9299260268835197E-4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16.73</v>
      </c>
      <c r="C4" s="33">
        <v>21.2</v>
      </c>
      <c r="D4" s="15">
        <v>1.1961723914301701E-3</v>
      </c>
      <c r="E4" s="15">
        <v>9.4384150470634795E-4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16.73</v>
      </c>
      <c r="M4" s="33">
        <v>21.2</v>
      </c>
      <c r="N4" s="34">
        <v>1.26718469814704</v>
      </c>
      <c r="O4" s="34">
        <v>1.26844555541175</v>
      </c>
      <c r="R4" s="33">
        <v>21.221094142038702</v>
      </c>
      <c r="U4" s="15">
        <v>9.9451200889407202E-4</v>
      </c>
      <c r="X4" s="34">
        <v>1.26718469814704</v>
      </c>
      <c r="Y4" s="34">
        <v>1.2671331732903199</v>
      </c>
      <c r="AB4" s="33">
        <v>21.199137989147001</v>
      </c>
      <c r="AE4" s="15">
        <v>-4.0661715964370102E-5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16.73</v>
      </c>
      <c r="C5" s="33">
        <v>21.18</v>
      </c>
      <c r="D5" s="15">
        <v>0</v>
      </c>
      <c r="E5" s="15">
        <v>-9.4384150470631304E-4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16.73</v>
      </c>
      <c r="M5" s="33">
        <v>21.18</v>
      </c>
      <c r="N5" s="34">
        <v>1.2659892408846301</v>
      </c>
      <c r="O5" s="34">
        <v>1.26844555541175</v>
      </c>
      <c r="R5" s="33">
        <v>21.221094142038702</v>
      </c>
      <c r="U5" s="15">
        <v>1.9383535136004799E-3</v>
      </c>
      <c r="X5" s="34">
        <v>1.2659892408846301</v>
      </c>
      <c r="Y5" s="34">
        <v>1.2671331732903199</v>
      </c>
      <c r="AB5" s="33">
        <v>21.199137989147001</v>
      </c>
      <c r="AE5" s="15">
        <v>9.0317978874186495E-4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16.690000000000001</v>
      </c>
      <c r="C6" s="33">
        <v>21.15</v>
      </c>
      <c r="D6" s="15">
        <v>-2.3937773249888199E-3</v>
      </c>
      <c r="E6" s="15">
        <v>-1.4174346809735E-3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16.690000000000001</v>
      </c>
      <c r="M6" s="33">
        <v>21.15</v>
      </c>
      <c r="N6" s="34">
        <v>1.2672258837627299</v>
      </c>
      <c r="O6" s="34">
        <v>1.26844555541175</v>
      </c>
      <c r="R6" s="33">
        <v>21.170356319822201</v>
      </c>
      <c r="U6" s="15">
        <v>9.6201086958503399E-4</v>
      </c>
      <c r="X6" s="34">
        <v>1.2672258837627299</v>
      </c>
      <c r="Y6" s="34">
        <v>1.2671331732903199</v>
      </c>
      <c r="AB6" s="33">
        <v>21.148452662215401</v>
      </c>
      <c r="AE6" s="15">
        <v>-7.3162855273307799E-5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16.690000000000001</v>
      </c>
      <c r="C7" s="33">
        <v>21.15</v>
      </c>
      <c r="D7" s="15">
        <v>0</v>
      </c>
      <c r="E7" s="15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16.690000000000001</v>
      </c>
      <c r="M7" s="33">
        <v>21.15</v>
      </c>
      <c r="N7" s="34">
        <v>1.2672258837627299</v>
      </c>
      <c r="O7" s="34">
        <v>1.26844555541175</v>
      </c>
      <c r="R7" s="33">
        <v>21.170356319822201</v>
      </c>
      <c r="U7" s="15">
        <v>9.6201086958503399E-4</v>
      </c>
      <c r="X7" s="34">
        <v>1.2672258837627299</v>
      </c>
      <c r="Y7" s="34">
        <v>1.2671331732903199</v>
      </c>
      <c r="AB7" s="33">
        <v>21.148452662215401</v>
      </c>
      <c r="AE7" s="15">
        <v>-7.3162855273307799E-5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16.690000000000001</v>
      </c>
      <c r="C8" s="33">
        <v>21.14</v>
      </c>
      <c r="D8" s="15">
        <v>0</v>
      </c>
      <c r="E8" s="15">
        <v>-4.7292505019529E-4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16.690000000000001</v>
      </c>
      <c r="M8" s="33">
        <v>21.14</v>
      </c>
      <c r="N8" s="34">
        <v>1.2666267225883701</v>
      </c>
      <c r="O8" s="34">
        <v>1.26844555541175</v>
      </c>
      <c r="R8" s="33">
        <v>21.170356319822201</v>
      </c>
      <c r="U8" s="15">
        <v>1.43493591978028E-3</v>
      </c>
      <c r="X8" s="34">
        <v>1.2666267225883701</v>
      </c>
      <c r="Y8" s="34">
        <v>1.2671331732903199</v>
      </c>
      <c r="AB8" s="33">
        <v>21.148452662215401</v>
      </c>
      <c r="AE8" s="15">
        <v>3.99762194921982E-4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16.71</v>
      </c>
      <c r="C9" s="33">
        <v>21.18</v>
      </c>
      <c r="D9" s="15">
        <v>1.1976049335585799E-3</v>
      </c>
      <c r="E9" s="15">
        <v>1.8903597311687699E-3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16.71</v>
      </c>
      <c r="M9" s="33">
        <v>21.18</v>
      </c>
      <c r="N9" s="34">
        <v>1.2675044883303399</v>
      </c>
      <c r="O9" s="34">
        <v>1.26844555541175</v>
      </c>
      <c r="R9" s="33">
        <v>21.195725230930499</v>
      </c>
      <c r="U9" s="15">
        <v>7.4218112217024198E-4</v>
      </c>
      <c r="X9" s="34">
        <v>1.2675044883303399</v>
      </c>
      <c r="Y9" s="34">
        <v>1.2671331732903199</v>
      </c>
      <c r="AB9" s="33">
        <v>21.173795325681201</v>
      </c>
      <c r="AE9" s="15">
        <v>-2.9299260268835197E-4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16.739999999999998</v>
      </c>
      <c r="C10" s="33">
        <v>21.2</v>
      </c>
      <c r="D10" s="15">
        <v>1.79372245402667E-3</v>
      </c>
      <c r="E10" s="15">
        <v>9.4384150470634795E-4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16.739999999999998</v>
      </c>
      <c r="M10" s="33">
        <v>21.2</v>
      </c>
      <c r="N10" s="34">
        <v>1.26642771804062</v>
      </c>
      <c r="O10" s="34">
        <v>1.26844555541175</v>
      </c>
      <c r="R10" s="33">
        <v>21.233778597592799</v>
      </c>
      <c r="U10" s="15">
        <v>1.59206207149055E-3</v>
      </c>
      <c r="X10" s="34">
        <v>1.26642771804062</v>
      </c>
      <c r="Y10" s="34">
        <v>1.2671331732903199</v>
      </c>
      <c r="AB10" s="33">
        <v>21.211809320879901</v>
      </c>
      <c r="AE10" s="15">
        <v>5.5688834663210199E-4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16.71</v>
      </c>
      <c r="C11" s="33">
        <v>21.17</v>
      </c>
      <c r="D11" s="15">
        <v>-1.79372245402676E-3</v>
      </c>
      <c r="E11" s="15">
        <v>-1.4160965311928401E-3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16.71</v>
      </c>
      <c r="M11" s="33">
        <v>21.17</v>
      </c>
      <c r="N11" s="34">
        <v>1.2669060442848501</v>
      </c>
      <c r="O11" s="34">
        <v>1.26844555541175</v>
      </c>
      <c r="P11" s="34">
        <v>1.26684634316047</v>
      </c>
      <c r="R11" s="33">
        <v>21.195725230930499</v>
      </c>
      <c r="U11" s="15">
        <v>1.21443614865667E-3</v>
      </c>
      <c r="X11" s="34">
        <v>1.2669060442848501</v>
      </c>
      <c r="Y11" s="34">
        <v>1.2671331732903199</v>
      </c>
      <c r="Z11" s="34">
        <v>1.26684634316047</v>
      </c>
      <c r="AB11" s="33">
        <v>21.173795325681201</v>
      </c>
      <c r="AE11" s="15">
        <v>1.7926242379829601E-4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16.690000000000001</v>
      </c>
      <c r="C12" s="33">
        <v>21.15</v>
      </c>
      <c r="D12" s="15">
        <v>-1.19760493355866E-3</v>
      </c>
      <c r="E12" s="15">
        <v>-9.4517965448698402E-4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16.690000000000001</v>
      </c>
      <c r="M12" s="33">
        <v>21.15</v>
      </c>
      <c r="N12" s="34">
        <v>1.2672258837627299</v>
      </c>
      <c r="O12" s="34">
        <v>1.26844555541175</v>
      </c>
      <c r="P12" s="34">
        <v>1.2669821051894401</v>
      </c>
      <c r="R12" s="33">
        <v>21.170356319822201</v>
      </c>
      <c r="S12" s="33">
        <v>21.143665467348299</v>
      </c>
      <c r="U12" s="15">
        <v>9.6201086958503399E-4</v>
      </c>
      <c r="V12" s="15">
        <v>-2.9954995052137198E-4</v>
      </c>
      <c r="X12" s="34">
        <v>1.2672258837627299</v>
      </c>
      <c r="Y12" s="34">
        <v>1.2671331732903199</v>
      </c>
      <c r="Z12" s="34">
        <v>1.2669821051894401</v>
      </c>
      <c r="AB12" s="33">
        <v>21.148452662215401</v>
      </c>
      <c r="AC12" s="33">
        <v>21.143665467348299</v>
      </c>
      <c r="AE12" s="15">
        <v>-7.3162855273307799E-5</v>
      </c>
      <c r="AF12" s="15">
        <v>-2.9954995052137198E-4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16.600000000000001</v>
      </c>
      <c r="C13" s="33">
        <v>21.09</v>
      </c>
      <c r="D13" s="15">
        <v>-5.4070423112461598E-3</v>
      </c>
      <c r="E13" s="15">
        <v>-2.8409110016036402E-3</v>
      </c>
      <c r="F13" s="33">
        <v>6.241E-2</v>
      </c>
      <c r="G13" s="33">
        <v>6.241E-2</v>
      </c>
      <c r="H13" s="33">
        <v>0</v>
      </c>
      <c r="I13" s="33">
        <v>0</v>
      </c>
      <c r="J13" s="33">
        <v>6.241E-2</v>
      </c>
      <c r="K13" s="33">
        <v>0</v>
      </c>
      <c r="L13" s="33">
        <v>16.662410000000001</v>
      </c>
      <c r="M13" s="33">
        <v>21.09</v>
      </c>
      <c r="N13" s="34">
        <v>1.2704819277108399</v>
      </c>
      <c r="O13" s="34">
        <v>1.26844555541175</v>
      </c>
      <c r="P13" s="34">
        <v>1.2672798491274899</v>
      </c>
      <c r="R13" s="33">
        <v>21.056196219835201</v>
      </c>
      <c r="S13" s="33">
        <v>21.031902946144701</v>
      </c>
      <c r="U13" s="15">
        <v>-1.6041204400573401E-3</v>
      </c>
      <c r="V13" s="15">
        <v>-2.7585216541644699E-3</v>
      </c>
      <c r="X13" s="34">
        <v>1.2657232657220601</v>
      </c>
      <c r="Y13" s="34">
        <v>1.2671331732903199</v>
      </c>
      <c r="Z13" s="34">
        <v>1.26680398292861</v>
      </c>
      <c r="AB13" s="33">
        <v>21.113492457964401</v>
      </c>
      <c r="AC13" s="33">
        <v>21.110975299329599</v>
      </c>
      <c r="AE13" s="15">
        <v>1.1132946124885899E-3</v>
      </c>
      <c r="AF13" s="15">
        <v>9.9406712324002795E-4</v>
      </c>
    </row>
    <row r="14" spans="1:130" x14ac:dyDescent="0.25">
      <c r="A14" s="1">
        <v>46043</v>
      </c>
      <c r="B14" s="33">
        <v>16.63</v>
      </c>
      <c r="C14" s="33">
        <v>21.16</v>
      </c>
      <c r="D14" s="15">
        <v>1.80559784233864E-3</v>
      </c>
      <c r="E14" s="15">
        <v>3.3136124994155099E-3</v>
      </c>
      <c r="F14" s="33">
        <v>0</v>
      </c>
      <c r="G14" s="33">
        <v>6.241E-2</v>
      </c>
      <c r="H14" s="33">
        <v>0</v>
      </c>
      <c r="I14" s="33">
        <v>0</v>
      </c>
      <c r="J14" s="33">
        <v>6.241E-2</v>
      </c>
      <c r="K14" s="33">
        <v>0</v>
      </c>
      <c r="L14" s="33">
        <v>16.692409999999999</v>
      </c>
      <c r="M14" s="33">
        <v>21.16</v>
      </c>
      <c r="N14" s="34">
        <v>1.2723992784125</v>
      </c>
      <c r="O14" s="34">
        <v>1.26844555541175</v>
      </c>
      <c r="P14" s="34">
        <v>1.2678013071540299</v>
      </c>
      <c r="R14" s="33">
        <v>21.094249586497501</v>
      </c>
      <c r="S14" s="33">
        <v>21.074863890990098</v>
      </c>
      <c r="U14" s="15">
        <v>-3.11213509713411E-3</v>
      </c>
      <c r="V14" s="15">
        <v>-4.0315614390398699E-3</v>
      </c>
      <c r="X14" s="34">
        <v>1.2676420001665401</v>
      </c>
      <c r="Y14" s="34">
        <v>1.2671331732903199</v>
      </c>
      <c r="Z14" s="34">
        <v>1.2668497131305601</v>
      </c>
      <c r="AB14" s="33">
        <v>21.151506453163101</v>
      </c>
      <c r="AC14" s="33">
        <v>21.146011472677401</v>
      </c>
      <c r="AE14" s="15">
        <v>-4.0147693443049999E-4</v>
      </c>
      <c r="AF14" s="15">
        <v>-6.6130213392497496E-4</v>
      </c>
      <c r="AQ14" s="20">
        <f>AVERAGE(AQ22:AQ176)</f>
        <v>2.5272084587431919E-5</v>
      </c>
      <c r="AR14" s="21" t="s">
        <v>41</v>
      </c>
      <c r="BB14" s="20">
        <f>AVERAGE(BB22:BB176)</f>
        <v>1.5171654320566139E-5</v>
      </c>
      <c r="BC14" s="21" t="s">
        <v>41</v>
      </c>
      <c r="BD14" s="22"/>
      <c r="BE14" s="20">
        <f>AVERAGE(BE22:BE176)</f>
        <v>4.044373890799806E-5</v>
      </c>
      <c r="BF14" s="21" t="s">
        <v>41</v>
      </c>
    </row>
    <row r="15" spans="1:130" x14ac:dyDescent="0.25">
      <c r="A15" s="1">
        <v>46044</v>
      </c>
      <c r="B15" s="33">
        <v>16.64</v>
      </c>
      <c r="C15" s="33">
        <v>21.16</v>
      </c>
      <c r="D15" s="15">
        <v>6.0114218822627402E-4</v>
      </c>
      <c r="E15" s="15">
        <v>0</v>
      </c>
      <c r="F15" s="33">
        <v>0</v>
      </c>
      <c r="G15" s="33">
        <v>6.241E-2</v>
      </c>
      <c r="H15" s="33">
        <v>0</v>
      </c>
      <c r="I15" s="33">
        <v>0</v>
      </c>
      <c r="J15" s="33">
        <v>6.241E-2</v>
      </c>
      <c r="K15" s="33">
        <v>0</v>
      </c>
      <c r="L15" s="33">
        <v>16.70241</v>
      </c>
      <c r="M15" s="33">
        <v>21.16</v>
      </c>
      <c r="N15" s="34">
        <v>1.2716346153846101</v>
      </c>
      <c r="O15" s="34">
        <v>1.26844555541175</v>
      </c>
      <c r="P15" s="34">
        <v>1.26836584460403</v>
      </c>
      <c r="R15" s="33">
        <v>21.106934042051599</v>
      </c>
      <c r="S15" s="33">
        <v>21.096213751043098</v>
      </c>
      <c r="U15" s="15">
        <v>-2.5109929089077998E-3</v>
      </c>
      <c r="V15" s="15">
        <v>-3.0190256884347899E-3</v>
      </c>
      <c r="X15" s="34">
        <v>1.2668830426267801</v>
      </c>
      <c r="Y15" s="34">
        <v>1.2671331732903199</v>
      </c>
      <c r="Z15" s="34">
        <v>1.2669390933047699</v>
      </c>
      <c r="AB15" s="33">
        <v>21.164177784896001</v>
      </c>
      <c r="AC15" s="33">
        <v>21.159443317089</v>
      </c>
      <c r="AE15" s="15">
        <v>1.97418361241087E-4</v>
      </c>
      <c r="AF15" s="15">
        <v>-2.6308612180776299E-5</v>
      </c>
      <c r="AQ15" s="20">
        <f>STDEV(AQ22:AQ176)</f>
        <v>1.4475917775658211E-4</v>
      </c>
      <c r="AR15" s="21" t="s">
        <v>42</v>
      </c>
      <c r="BB15" s="20">
        <f>STDEV(BB22:BB176)</f>
        <v>1.2774270571178591E-4</v>
      </c>
      <c r="BC15" s="21" t="s">
        <v>42</v>
      </c>
      <c r="BD15" s="22"/>
      <c r="BE15" s="20">
        <f>STDEV(BE22:BE176)</f>
        <v>1.9105391980499408E-4</v>
      </c>
      <c r="BF15" s="21" t="s">
        <v>42</v>
      </c>
    </row>
    <row r="16" spans="1:130" x14ac:dyDescent="0.25">
      <c r="A16" s="1">
        <v>46045</v>
      </c>
      <c r="B16" s="33">
        <v>16.64</v>
      </c>
      <c r="C16" s="33">
        <v>21.17</v>
      </c>
      <c r="D16" s="15">
        <v>0</v>
      </c>
      <c r="E16" s="15">
        <v>4.7247815667521498E-4</v>
      </c>
      <c r="F16" s="33">
        <v>0</v>
      </c>
      <c r="G16" s="33">
        <v>6.241E-2</v>
      </c>
      <c r="H16" s="33">
        <v>0</v>
      </c>
      <c r="I16" s="33">
        <v>0</v>
      </c>
      <c r="J16" s="33">
        <v>6.241E-2</v>
      </c>
      <c r="K16" s="33">
        <v>0</v>
      </c>
      <c r="L16" s="33">
        <v>16.70241</v>
      </c>
      <c r="M16" s="33">
        <v>21.17</v>
      </c>
      <c r="N16" s="34">
        <v>1.27223557692307</v>
      </c>
      <c r="O16" s="34">
        <v>1.26844555541175</v>
      </c>
      <c r="P16" s="34">
        <v>1.2688668139200701</v>
      </c>
      <c r="R16" s="33">
        <v>21.106934042051599</v>
      </c>
      <c r="S16" s="33">
        <v>21.105607654211099</v>
      </c>
      <c r="U16" s="15">
        <v>-2.9834710655830899E-3</v>
      </c>
      <c r="V16" s="15">
        <v>-3.0463143717502799E-3</v>
      </c>
      <c r="X16" s="34">
        <v>1.2674817586204601</v>
      </c>
      <c r="Y16" s="34">
        <v>1.2671331732903199</v>
      </c>
      <c r="Z16" s="34">
        <v>1.2669646807905499</v>
      </c>
      <c r="AB16" s="33">
        <v>21.164177784896001</v>
      </c>
      <c r="AC16" s="33">
        <v>21.160936181404601</v>
      </c>
      <c r="AE16" s="15">
        <v>-2.7505979543424199E-4</v>
      </c>
      <c r="AF16" s="15">
        <v>-4.2823615783076601E-4</v>
      </c>
      <c r="AQ16" s="23">
        <f>SQRT(252)*AQ14/AQ15</f>
        <v>2.7713745808766723</v>
      </c>
      <c r="AR16" s="21" t="s">
        <v>43</v>
      </c>
      <c r="BB16" s="23">
        <f>SQRT(252)*BB14/BB15</f>
        <v>1.8853721980911426</v>
      </c>
      <c r="BC16" s="21" t="s">
        <v>43</v>
      </c>
      <c r="BD16" s="22"/>
      <c r="BE16" s="23">
        <f>SQRT(252)*BE14/BE15</f>
        <v>3.3604359025789372</v>
      </c>
      <c r="BF16" s="21" t="s">
        <v>43</v>
      </c>
    </row>
    <row r="17" spans="1:124" x14ac:dyDescent="0.25">
      <c r="A17" s="1">
        <v>46048</v>
      </c>
      <c r="B17" s="33">
        <v>16.649999999999999</v>
      </c>
      <c r="C17" s="33">
        <v>21.18</v>
      </c>
      <c r="D17" s="15">
        <v>6.0078103339021398E-4</v>
      </c>
      <c r="E17" s="15">
        <v>4.7225502648647597E-4</v>
      </c>
      <c r="F17" s="33">
        <v>0</v>
      </c>
      <c r="G17" s="33">
        <v>6.241E-2</v>
      </c>
      <c r="H17" s="33">
        <v>0</v>
      </c>
      <c r="I17" s="33">
        <v>0</v>
      </c>
      <c r="J17" s="33">
        <v>6.241E-2</v>
      </c>
      <c r="K17" s="33">
        <v>0</v>
      </c>
      <c r="L17" s="33">
        <v>16.712409999999998</v>
      </c>
      <c r="M17" s="33">
        <v>21.18</v>
      </c>
      <c r="N17" s="34">
        <v>1.27207207207207</v>
      </c>
      <c r="O17" s="34">
        <v>1.26844555541175</v>
      </c>
      <c r="P17" s="34">
        <v>1.269351432751</v>
      </c>
      <c r="R17" s="33">
        <v>21.1196184976057</v>
      </c>
      <c r="S17" s="33">
        <v>21.126632451769101</v>
      </c>
      <c r="U17" s="15">
        <v>-2.8549450586793299E-3</v>
      </c>
      <c r="V17" s="15">
        <v>-2.5228940922527201E-3</v>
      </c>
      <c r="X17" s="34">
        <v>1.2673217088379201</v>
      </c>
      <c r="Y17" s="34">
        <v>1.2671331732903199</v>
      </c>
      <c r="Z17" s="34">
        <v>1.2669742632980701</v>
      </c>
      <c r="AB17" s="33">
        <v>21.176849116628901</v>
      </c>
      <c r="AC17" s="33">
        <v>21.174033200890801</v>
      </c>
      <c r="AE17" s="15">
        <v>-1.4877798715477801E-4</v>
      </c>
      <c r="AF17" s="15">
        <v>-2.8175825052382402E-4</v>
      </c>
    </row>
    <row r="18" spans="1:124" x14ac:dyDescent="0.25">
      <c r="A18" s="1">
        <v>46049</v>
      </c>
      <c r="B18" s="33">
        <v>16.66</v>
      </c>
      <c r="C18" s="33">
        <v>21.19</v>
      </c>
      <c r="D18" s="15">
        <v>6.0042031224393996E-4</v>
      </c>
      <c r="E18" s="15">
        <v>4.7203210694740199E-4</v>
      </c>
      <c r="F18" s="33">
        <v>0</v>
      </c>
      <c r="G18" s="33">
        <v>6.241E-2</v>
      </c>
      <c r="H18" s="33">
        <v>0</v>
      </c>
      <c r="I18" s="33">
        <v>0</v>
      </c>
      <c r="J18" s="33">
        <v>6.241E-2</v>
      </c>
      <c r="K18" s="33">
        <v>0</v>
      </c>
      <c r="L18" s="33">
        <v>16.72241</v>
      </c>
      <c r="M18" s="33">
        <v>21.19</v>
      </c>
      <c r="N18" s="34">
        <v>1.2719087635054001</v>
      </c>
      <c r="O18" s="34">
        <v>1.26844555541175</v>
      </c>
      <c r="P18" s="34">
        <v>1.2698796368427001</v>
      </c>
      <c r="R18" s="33">
        <v>21.1323029531599</v>
      </c>
      <c r="S18" s="33">
        <v>21.1473948696317</v>
      </c>
      <c r="U18" s="15">
        <v>-2.7265568533829301E-3</v>
      </c>
      <c r="V18" s="15">
        <v>-2.0126483871462202E-3</v>
      </c>
      <c r="X18" s="34">
        <v>1.2671618504749</v>
      </c>
      <c r="Y18" s="34">
        <v>1.2671331732903199</v>
      </c>
      <c r="Z18" s="34">
        <v>1.2670277760867199</v>
      </c>
      <c r="AB18" s="33">
        <v>21.189520448361801</v>
      </c>
      <c r="AC18" s="33">
        <v>21.186863090318202</v>
      </c>
      <c r="AE18" s="15">
        <v>-2.26312913940502E-5</v>
      </c>
      <c r="AF18" s="15">
        <v>-1.4804822531367401E-4</v>
      </c>
      <c r="BE18" s="24">
        <f>SUM(BE22:BE176)</f>
        <v>6.2687795307396991E-3</v>
      </c>
      <c r="BF18" s="20">
        <f>BF176</f>
        <v>6.2687795307396991E-3</v>
      </c>
    </row>
    <row r="19" spans="1:124" x14ac:dyDescent="0.25">
      <c r="A19" s="1">
        <v>46050</v>
      </c>
      <c r="B19" s="33">
        <v>16.64</v>
      </c>
      <c r="C19" s="33">
        <v>21.18</v>
      </c>
      <c r="D19" s="15">
        <v>-1.2012013456341199E-3</v>
      </c>
      <c r="E19" s="15">
        <v>-4.7203210694741799E-4</v>
      </c>
      <c r="F19" s="33">
        <v>0</v>
      </c>
      <c r="G19" s="33">
        <v>6.241E-2</v>
      </c>
      <c r="H19" s="33">
        <v>0</v>
      </c>
      <c r="I19" s="33">
        <v>0</v>
      </c>
      <c r="J19" s="33">
        <v>6.241E-2</v>
      </c>
      <c r="K19" s="33">
        <v>0</v>
      </c>
      <c r="L19" s="33">
        <v>16.70241</v>
      </c>
      <c r="M19" s="33">
        <v>21.18</v>
      </c>
      <c r="N19" s="34">
        <v>1.2728365384615301</v>
      </c>
      <c r="O19" s="34">
        <v>1.26844555541175</v>
      </c>
      <c r="P19" s="34">
        <v>1.27041284185582</v>
      </c>
      <c r="R19" s="33">
        <v>21.106934042051599</v>
      </c>
      <c r="S19" s="33">
        <v>21.130797157062599</v>
      </c>
      <c r="U19" s="15">
        <v>-3.4557260920696198E-3</v>
      </c>
      <c r="V19" s="15">
        <v>-2.3257829406510598E-3</v>
      </c>
      <c r="X19" s="34">
        <v>1.2680804746141401</v>
      </c>
      <c r="Y19" s="34">
        <v>1.2671331732903199</v>
      </c>
      <c r="Z19" s="34">
        <v>1.2670853747151001</v>
      </c>
      <c r="AB19" s="33">
        <v>21.164177784896001</v>
      </c>
      <c r="AC19" s="33">
        <v>21.162417397588602</v>
      </c>
      <c r="AE19" s="15">
        <v>-7.4731482192069395E-4</v>
      </c>
      <c r="AF19" s="15">
        <v>-8.3049596610648897E-4</v>
      </c>
      <c r="AI19" s="12"/>
      <c r="AJ19"/>
      <c r="AK19"/>
      <c r="AL19"/>
      <c r="AM19"/>
      <c r="AN19"/>
      <c r="AO19"/>
      <c r="AP19"/>
      <c r="AQ19" s="24">
        <f>SUM(AQ22:AQ176)</f>
        <v>3.9171731110519475E-3</v>
      </c>
      <c r="AR19" s="24">
        <f>AR176</f>
        <v>3.9171731110519475E-3</v>
      </c>
      <c r="AU19"/>
      <c r="AV19"/>
      <c r="AW19"/>
      <c r="AX19"/>
      <c r="AY19"/>
      <c r="AZ19"/>
      <c r="BA19"/>
      <c r="BB19" s="24">
        <f>SUM(BB22:BB176)</f>
        <v>2.3516064196877516E-3</v>
      </c>
      <c r="BC19" s="24">
        <f>BC176</f>
        <v>2.3516064196877516E-3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16.670000000000002</v>
      </c>
      <c r="C20" s="33">
        <v>21.19</v>
      </c>
      <c r="D20" s="15">
        <v>1.8012613696400601E-3</v>
      </c>
      <c r="E20" s="15">
        <v>4.7203210694740199E-4</v>
      </c>
      <c r="F20" s="33">
        <v>0</v>
      </c>
      <c r="G20" s="33">
        <v>6.241E-2</v>
      </c>
      <c r="H20" s="33">
        <v>0</v>
      </c>
      <c r="I20" s="33">
        <v>0</v>
      </c>
      <c r="J20" s="33">
        <v>6.241E-2</v>
      </c>
      <c r="K20" s="33">
        <v>0</v>
      </c>
      <c r="L20" s="33">
        <v>16.732410000000002</v>
      </c>
      <c r="M20" s="33">
        <v>21.19</v>
      </c>
      <c r="N20" s="34">
        <v>1.27114577084583</v>
      </c>
      <c r="O20" s="34">
        <v>1.26844555541175</v>
      </c>
      <c r="P20" s="34">
        <v>1.27088464713634</v>
      </c>
      <c r="R20" s="33">
        <v>21.144987408714002</v>
      </c>
      <c r="S20" s="33">
        <v>21.177782073736601</v>
      </c>
      <c r="U20" s="15">
        <v>-2.12649682937687E-3</v>
      </c>
      <c r="V20" s="15">
        <v>-5.7675554414383598E-4</v>
      </c>
      <c r="X20" s="34">
        <v>1.2664045406489499</v>
      </c>
      <c r="Y20" s="34">
        <v>1.2671331732903199</v>
      </c>
      <c r="Z20" s="34">
        <v>1.2670830569759299</v>
      </c>
      <c r="AB20" s="33">
        <v>21.202191780094701</v>
      </c>
      <c r="AC20" s="33">
        <v>21.201391994736699</v>
      </c>
      <c r="AE20" s="15">
        <v>5.75189907334746E-4</v>
      </c>
      <c r="AF20" s="15">
        <v>5.3746737131909995E-4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BSCV log rtn</v>
      </c>
      <c r="AP20" s="7" t="str">
        <f>E1</f>
        <v>IBDW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BSCV log rtn</v>
      </c>
      <c r="BA20" s="24" t="str">
        <f>E1</f>
        <v>IBDW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16.690000000000001</v>
      </c>
      <c r="C21" s="33">
        <v>21.22</v>
      </c>
      <c r="D21" s="15">
        <v>1.1990409110409399E-3</v>
      </c>
      <c r="E21" s="15">
        <v>1.4147609056292801E-3</v>
      </c>
      <c r="F21" s="33">
        <v>0</v>
      </c>
      <c r="G21" s="33">
        <v>6.241E-2</v>
      </c>
      <c r="H21" s="33">
        <v>0</v>
      </c>
      <c r="I21" s="33">
        <v>0</v>
      </c>
      <c r="J21" s="33">
        <v>6.241E-2</v>
      </c>
      <c r="K21" s="33">
        <v>0</v>
      </c>
      <c r="L21" s="33">
        <v>16.752410000000001</v>
      </c>
      <c r="M21" s="33">
        <v>21.22</v>
      </c>
      <c r="N21" s="34">
        <v>1.27142001198322</v>
      </c>
      <c r="O21" s="34">
        <v>1.26844555541175</v>
      </c>
      <c r="P21" s="34">
        <v>1.27133604390618</v>
      </c>
      <c r="Q21" s="34">
        <v>1.26909119353332</v>
      </c>
      <c r="R21" s="33">
        <v>21.170356319822201</v>
      </c>
      <c r="S21" s="33">
        <v>21.2110647607056</v>
      </c>
      <c r="U21" s="15">
        <v>-2.3422168239650601E-3</v>
      </c>
      <c r="V21" s="15">
        <v>-4.2116498734202402E-4</v>
      </c>
      <c r="X21" s="34">
        <v>1.2666834204750199</v>
      </c>
      <c r="Y21" s="34">
        <v>1.2671331732903199</v>
      </c>
      <c r="Z21" s="34">
        <v>1.2670607945949499</v>
      </c>
      <c r="AA21" s="34">
        <v>1.26695356887771</v>
      </c>
      <c r="AB21" s="33">
        <v>21.227534443560501</v>
      </c>
      <c r="AC21" s="33">
        <v>21.226694874514202</v>
      </c>
      <c r="AE21" s="15">
        <v>3.55000295702824E-4</v>
      </c>
      <c r="AF21" s="15">
        <v>3.15448568590095E-4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16.670000000000002</v>
      </c>
      <c r="C22" s="33">
        <v>21.1</v>
      </c>
      <c r="D22" s="15">
        <v>-1.1990409110410199E-3</v>
      </c>
      <c r="E22" s="15">
        <v>-5.6710927038161598E-3</v>
      </c>
      <c r="F22" s="33">
        <v>0</v>
      </c>
      <c r="G22" s="33">
        <v>6.241E-2</v>
      </c>
      <c r="H22" s="33">
        <v>8.1687999999999997E-2</v>
      </c>
      <c r="I22" s="33">
        <v>8.1687999999999997E-2</v>
      </c>
      <c r="J22" s="33">
        <v>6.241E-2</v>
      </c>
      <c r="K22" s="33">
        <v>8.1687999999999997E-2</v>
      </c>
      <c r="L22" s="33">
        <v>16.732410000000002</v>
      </c>
      <c r="M22" s="33">
        <v>21.181688000000001</v>
      </c>
      <c r="N22" s="34">
        <v>1.2657468506298699</v>
      </c>
      <c r="O22" s="34">
        <v>1.26844555541175</v>
      </c>
      <c r="P22" s="34">
        <v>1.27118814059289</v>
      </c>
      <c r="Q22" s="34">
        <v>1.2690851228911699</v>
      </c>
      <c r="R22" s="33">
        <v>21.144987408714002</v>
      </c>
      <c r="S22" s="33">
        <v>21.193171851915999</v>
      </c>
      <c r="T22" s="33">
        <v>21.155750196200501</v>
      </c>
      <c r="U22" s="15">
        <v>2.12983496881011E-3</v>
      </c>
      <c r="V22" s="15">
        <v>4.4060068594632398E-3</v>
      </c>
      <c r="W22" s="15">
        <v>2.6387049473593298E-3</v>
      </c>
      <c r="X22" s="34">
        <v>1.26590778017034</v>
      </c>
      <c r="Y22" s="34">
        <v>1.2671331732903199</v>
      </c>
      <c r="Z22" s="34">
        <v>1.2669289842357101</v>
      </c>
      <c r="AA22" s="34">
        <v>1.26695554471257</v>
      </c>
      <c r="AB22" s="33">
        <v>21.202191780094701</v>
      </c>
      <c r="AC22" s="33">
        <v>21.200980710088501</v>
      </c>
      <c r="AD22" s="33">
        <v>21.199186565425101</v>
      </c>
      <c r="AE22" s="15">
        <v>9.6752736184541098E-4</v>
      </c>
      <c r="AF22" s="15">
        <v>9.1040569215012604E-4</v>
      </c>
      <c r="AG22" s="15">
        <v>8.2577656072155303E-4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16.66</v>
      </c>
      <c r="C23" s="33">
        <v>21.09</v>
      </c>
      <c r="D23" s="15">
        <v>-6.0006002400604804E-4</v>
      </c>
      <c r="E23" s="15">
        <v>-4.7404599133764401E-4</v>
      </c>
      <c r="F23" s="33">
        <v>0</v>
      </c>
      <c r="G23" s="33">
        <v>6.241E-2</v>
      </c>
      <c r="H23" s="33">
        <v>0</v>
      </c>
      <c r="I23" s="33">
        <v>8.1687999999999997E-2</v>
      </c>
      <c r="J23" s="33">
        <v>6.241E-2</v>
      </c>
      <c r="K23" s="33">
        <v>8.1687999999999997E-2</v>
      </c>
      <c r="L23" s="33">
        <v>16.72241</v>
      </c>
      <c r="M23" s="33">
        <v>21.171688</v>
      </c>
      <c r="N23" s="34">
        <v>1.26590636254501</v>
      </c>
      <c r="O23" s="34">
        <v>1.26844555541175</v>
      </c>
      <c r="P23" s="34">
        <v>1.2707305840763099</v>
      </c>
      <c r="Q23" s="34">
        <v>1.2690052166018999</v>
      </c>
      <c r="R23" s="33">
        <v>21.1323029531599</v>
      </c>
      <c r="S23" s="33">
        <v>21.1779944222776</v>
      </c>
      <c r="T23" s="33">
        <v>21.142958147366802</v>
      </c>
      <c r="U23" s="15">
        <v>2.0038209361417001E-3</v>
      </c>
      <c r="V23" s="15">
        <v>4.1636491441236099E-3</v>
      </c>
      <c r="W23" s="15">
        <v>2.5079074470335402E-3</v>
      </c>
      <c r="X23" s="34">
        <v>1.2660667930041101</v>
      </c>
      <c r="Y23" s="34">
        <v>1.2671331732903199</v>
      </c>
      <c r="Z23" s="34">
        <v>1.2669633369639099</v>
      </c>
      <c r="AA23" s="34">
        <v>1.2668836599462601</v>
      </c>
      <c r="AB23" s="33">
        <v>21.189520448361801</v>
      </c>
      <c r="AC23" s="33">
        <v>21.186105915273099</v>
      </c>
      <c r="AD23" s="33">
        <v>21.186550070456999</v>
      </c>
      <c r="AE23" s="15">
        <v>8.4192354601563099E-4</v>
      </c>
      <c r="AF23" s="15">
        <v>6.8076802388790803E-4</v>
      </c>
      <c r="AG23" s="15">
        <v>7.0173226007260098E-4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16.66</v>
      </c>
      <c r="C24" s="33">
        <v>21.09</v>
      </c>
      <c r="D24" s="15">
        <v>0</v>
      </c>
      <c r="E24" s="15">
        <v>0</v>
      </c>
      <c r="F24" s="33">
        <v>0</v>
      </c>
      <c r="G24" s="33">
        <v>6.241E-2</v>
      </c>
      <c r="H24" s="33">
        <v>0</v>
      </c>
      <c r="I24" s="33">
        <v>8.1687999999999997E-2</v>
      </c>
      <c r="J24" s="33">
        <v>6.241E-2</v>
      </c>
      <c r="K24" s="33">
        <v>8.1687999999999997E-2</v>
      </c>
      <c r="L24" s="33">
        <v>16.72241</v>
      </c>
      <c r="M24" s="33">
        <v>21.171688</v>
      </c>
      <c r="N24" s="34">
        <v>1.26590636254501</v>
      </c>
      <c r="O24" s="34">
        <v>1.26844555541175</v>
      </c>
      <c r="P24" s="34">
        <v>1.2700812924895599</v>
      </c>
      <c r="Q24" s="34">
        <v>1.2689412998217999</v>
      </c>
      <c r="R24" s="33">
        <v>21.1323029531599</v>
      </c>
      <c r="S24" s="33">
        <v>21.1703715307114</v>
      </c>
      <c r="T24" s="33">
        <v>21.1416269085877</v>
      </c>
      <c r="U24" s="15">
        <v>2.0038209361417001E-3</v>
      </c>
      <c r="V24" s="15">
        <v>3.8036403703703599E-3</v>
      </c>
      <c r="W24" s="15">
        <v>2.4449417692173499E-3</v>
      </c>
      <c r="X24" s="34">
        <v>1.2660667930041101</v>
      </c>
      <c r="Y24" s="34">
        <v>1.2671331732903199</v>
      </c>
      <c r="Z24" s="34">
        <v>1.2668058162476701</v>
      </c>
      <c r="AA24" s="34">
        <v>1.26682776468912</v>
      </c>
      <c r="AB24" s="33">
        <v>21.189520448361801</v>
      </c>
      <c r="AC24" s="33">
        <v>21.186680375678801</v>
      </c>
      <c r="AD24" s="33">
        <v>21.185347983922</v>
      </c>
      <c r="AE24" s="15">
        <v>8.4192354601563099E-4</v>
      </c>
      <c r="AF24" s="15">
        <v>7.0788261586960603E-4</v>
      </c>
      <c r="AG24" s="15">
        <v>6.4499245890568498E-4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16.72</v>
      </c>
      <c r="C25" s="33">
        <v>21.17</v>
      </c>
      <c r="D25" s="15">
        <v>3.5949709178587901E-3</v>
      </c>
      <c r="E25" s="15">
        <v>3.7860906560906499E-3</v>
      </c>
      <c r="F25" s="33">
        <v>0</v>
      </c>
      <c r="G25" s="33">
        <v>6.241E-2</v>
      </c>
      <c r="H25" s="33">
        <v>0</v>
      </c>
      <c r="I25" s="33">
        <v>8.1687999999999997E-2</v>
      </c>
      <c r="J25" s="33">
        <v>6.241E-2</v>
      </c>
      <c r="K25" s="33">
        <v>8.1687999999999997E-2</v>
      </c>
      <c r="L25" s="33">
        <v>16.782409999999999</v>
      </c>
      <c r="M25" s="33">
        <v>21.251688000000001</v>
      </c>
      <c r="N25" s="34">
        <v>1.2661483253588499</v>
      </c>
      <c r="O25" s="34">
        <v>1.26844555541175</v>
      </c>
      <c r="P25" s="34">
        <v>1.2695326634869899</v>
      </c>
      <c r="Q25" s="34">
        <v>1.2689492540455101</v>
      </c>
      <c r="R25" s="33">
        <v>21.2084096864846</v>
      </c>
      <c r="S25" s="33">
        <v>21.235759210425499</v>
      </c>
      <c r="T25" s="33">
        <v>21.216698533020502</v>
      </c>
      <c r="U25" s="15">
        <v>1.8127011979099199E-3</v>
      </c>
      <c r="V25" s="15">
        <v>3.1014307660441002E-3</v>
      </c>
      <c r="W25" s="15">
        <v>2.2034531365260198E-3</v>
      </c>
      <c r="X25" s="34">
        <v>1.26630728244632</v>
      </c>
      <c r="Y25" s="34">
        <v>1.2671331732903199</v>
      </c>
      <c r="Z25" s="34">
        <v>1.26674824022963</v>
      </c>
      <c r="AA25" s="34">
        <v>1.2668436667672001</v>
      </c>
      <c r="AB25" s="33">
        <v>21.2655484387592</v>
      </c>
      <c r="AC25" s="33">
        <v>21.260054598653099</v>
      </c>
      <c r="AD25" s="33">
        <v>21.2604229463963</v>
      </c>
      <c r="AE25" s="15">
        <v>6.5199154089884198E-4</v>
      </c>
      <c r="AF25" s="15">
        <v>3.9361354062503802E-4</v>
      </c>
      <c r="AG25" s="15">
        <v>4.1093920413769701E-4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16.72</v>
      </c>
      <c r="C26" s="33">
        <v>21.17</v>
      </c>
      <c r="D26" s="15">
        <v>0</v>
      </c>
      <c r="E26" s="15">
        <v>0</v>
      </c>
      <c r="F26" s="33">
        <v>0</v>
      </c>
      <c r="G26" s="33">
        <v>6.241E-2</v>
      </c>
      <c r="H26" s="33">
        <v>0</v>
      </c>
      <c r="I26" s="33">
        <v>8.1687999999999997E-2</v>
      </c>
      <c r="J26" s="33">
        <v>6.241E-2</v>
      </c>
      <c r="K26" s="33">
        <v>8.1687999999999997E-2</v>
      </c>
      <c r="L26" s="33">
        <v>16.782409999999999</v>
      </c>
      <c r="M26" s="33">
        <v>21.251688000000001</v>
      </c>
      <c r="N26" s="34">
        <v>1.2661483253588499</v>
      </c>
      <c r="O26" s="34">
        <v>1.26844555541175</v>
      </c>
      <c r="P26" s="34">
        <v>1.2689239383305599</v>
      </c>
      <c r="Q26" s="34">
        <v>1.2688953761253099</v>
      </c>
      <c r="R26" s="33">
        <v>21.2084096864846</v>
      </c>
      <c r="S26" s="33">
        <v>21.226586133502401</v>
      </c>
      <c r="T26" s="33">
        <v>21.216831527640899</v>
      </c>
      <c r="U26" s="15">
        <v>1.8127011979099199E-3</v>
      </c>
      <c r="V26" s="15">
        <v>2.6693737521661502E-3</v>
      </c>
      <c r="W26" s="15">
        <v>2.2097215106277302E-3</v>
      </c>
      <c r="X26" s="34">
        <v>1.26630728244632</v>
      </c>
      <c r="Y26" s="34">
        <v>1.2671331732903199</v>
      </c>
      <c r="Z26" s="34">
        <v>1.26663079261221</v>
      </c>
      <c r="AA26" s="34">
        <v>1.2667977367013801</v>
      </c>
      <c r="AB26" s="33">
        <v>21.2655484387592</v>
      </c>
      <c r="AC26" s="33">
        <v>21.2590883343121</v>
      </c>
      <c r="AD26" s="33">
        <v>21.260689821590599</v>
      </c>
      <c r="AE26" s="15">
        <v>6.5199154089884198E-4</v>
      </c>
      <c r="AF26" s="15">
        <v>3.4816274954440501E-4</v>
      </c>
      <c r="AG26" s="15">
        <v>4.2349180104269102E-4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16.73</v>
      </c>
      <c r="C27" s="33">
        <v>21.18</v>
      </c>
      <c r="D27" s="15">
        <v>5.9790734217705596E-4</v>
      </c>
      <c r="E27" s="15">
        <v>4.7225502648647597E-4</v>
      </c>
      <c r="F27" s="33">
        <v>0</v>
      </c>
      <c r="G27" s="33">
        <v>6.241E-2</v>
      </c>
      <c r="H27" s="33">
        <v>0</v>
      </c>
      <c r="I27" s="33">
        <v>8.1687999999999997E-2</v>
      </c>
      <c r="J27" s="33">
        <v>6.241E-2</v>
      </c>
      <c r="K27" s="33">
        <v>8.1687999999999997E-2</v>
      </c>
      <c r="L27" s="33">
        <v>16.79241</v>
      </c>
      <c r="M27" s="33">
        <v>21.261687999999999</v>
      </c>
      <c r="N27" s="34">
        <v>1.2659892408846301</v>
      </c>
      <c r="O27" s="34">
        <v>1.26844555541175</v>
      </c>
      <c r="P27" s="34">
        <v>1.26831565521182</v>
      </c>
      <c r="Q27" s="34">
        <v>1.26883354398141</v>
      </c>
      <c r="R27" s="33">
        <v>21.221094142038702</v>
      </c>
      <c r="S27" s="33">
        <v>21.229097488270401</v>
      </c>
      <c r="T27" s="33">
        <v>21.228619642576501</v>
      </c>
      <c r="U27" s="15">
        <v>1.9383535136004799E-3</v>
      </c>
      <c r="V27" s="15">
        <v>2.31542348756881E-3</v>
      </c>
      <c r="W27" s="15">
        <v>2.2929142371371099E-3</v>
      </c>
      <c r="X27" s="34">
        <v>1.2661486945590299</v>
      </c>
      <c r="Y27" s="34">
        <v>1.2671331732903199</v>
      </c>
      <c r="Z27" s="34">
        <v>1.2665134911843201</v>
      </c>
      <c r="AA27" s="34">
        <v>1.2667438772411901</v>
      </c>
      <c r="AB27" s="33">
        <v>21.2782197704921</v>
      </c>
      <c r="AC27" s="33">
        <v>21.2697835881693</v>
      </c>
      <c r="AD27" s="33">
        <v>21.272586981761599</v>
      </c>
      <c r="AE27" s="15">
        <v>7.7723587994433098E-4</v>
      </c>
      <c r="AF27" s="15">
        <v>3.8068695790659203E-4</v>
      </c>
      <c r="AG27" s="15">
        <v>5.1247997079567197E-4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0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16.75</v>
      </c>
      <c r="C28" s="33">
        <v>21.21</v>
      </c>
      <c r="D28" s="15">
        <v>1.1947432723428499E-3</v>
      </c>
      <c r="E28" s="15">
        <v>1.4154284033307499E-3</v>
      </c>
      <c r="F28" s="33">
        <v>0</v>
      </c>
      <c r="G28" s="33">
        <v>6.241E-2</v>
      </c>
      <c r="H28" s="33">
        <v>0</v>
      </c>
      <c r="I28" s="33">
        <v>8.1687999999999997E-2</v>
      </c>
      <c r="J28" s="33">
        <v>6.241E-2</v>
      </c>
      <c r="K28" s="33">
        <v>8.1687999999999997E-2</v>
      </c>
      <c r="L28" s="33">
        <v>16.81241</v>
      </c>
      <c r="M28" s="33">
        <v>21.291688000000001</v>
      </c>
      <c r="N28" s="34">
        <v>1.2662686567164101</v>
      </c>
      <c r="O28" s="34">
        <v>1.26844555541175</v>
      </c>
      <c r="P28" s="34">
        <v>1.26775164453292</v>
      </c>
      <c r="Q28" s="34">
        <v>1.2688156406878099</v>
      </c>
      <c r="R28" s="33">
        <v>21.246463053146901</v>
      </c>
      <c r="S28" s="33">
        <v>21.244287224798001</v>
      </c>
      <c r="T28" s="33">
        <v>21.2529618616886</v>
      </c>
      <c r="U28" s="15">
        <v>1.71766838261248E-3</v>
      </c>
      <c r="V28" s="15">
        <v>1.61525417073917E-3</v>
      </c>
      <c r="W28" s="15">
        <v>2.0234988076309902E-3</v>
      </c>
      <c r="X28" s="34">
        <v>1.2664268834747601</v>
      </c>
      <c r="Y28" s="34">
        <v>1.2671331732903199</v>
      </c>
      <c r="Z28" s="34">
        <v>1.2664399944843101</v>
      </c>
      <c r="AA28" s="34">
        <v>1.2667338852855099</v>
      </c>
      <c r="AB28" s="33">
        <v>21.3035624339579</v>
      </c>
      <c r="AC28" s="33">
        <v>21.2931440843223</v>
      </c>
      <c r="AD28" s="33">
        <v>21.297017429168701</v>
      </c>
      <c r="AE28" s="15">
        <v>5.5754733894418601E-4</v>
      </c>
      <c r="AF28" s="15">
        <v>6.8385115150423705E-5</v>
      </c>
      <c r="AG28" s="15">
        <v>2.50274298916683E-4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16.73</v>
      </c>
      <c r="C29" s="33">
        <v>21.18</v>
      </c>
      <c r="D29" s="15">
        <v>-1.1947432723428001E-3</v>
      </c>
      <c r="E29" s="15">
        <v>-1.41542840333072E-3</v>
      </c>
      <c r="F29" s="33">
        <v>0</v>
      </c>
      <c r="G29" s="33">
        <v>6.241E-2</v>
      </c>
      <c r="H29" s="33">
        <v>0</v>
      </c>
      <c r="I29" s="33">
        <v>8.1687999999999997E-2</v>
      </c>
      <c r="J29" s="33">
        <v>6.241E-2</v>
      </c>
      <c r="K29" s="33">
        <v>8.1687999999999997E-2</v>
      </c>
      <c r="L29" s="33">
        <v>16.79241</v>
      </c>
      <c r="M29" s="33">
        <v>21.261687999999999</v>
      </c>
      <c r="N29" s="34">
        <v>1.2659892408846301</v>
      </c>
      <c r="O29" s="34">
        <v>1.26844555541175</v>
      </c>
      <c r="P29" s="34">
        <v>1.26706691477523</v>
      </c>
      <c r="Q29" s="34">
        <v>1.2687398783155299</v>
      </c>
      <c r="R29" s="33">
        <v>21.221094142038702</v>
      </c>
      <c r="S29" s="33">
        <v>21.209485013035799</v>
      </c>
      <c r="T29" s="33">
        <v>21.227285668707101</v>
      </c>
      <c r="U29" s="15">
        <v>1.9383535136004799E-3</v>
      </c>
      <c r="V29" s="15">
        <v>1.3911477236378601E-3</v>
      </c>
      <c r="W29" s="15">
        <v>2.2300737978587599E-3</v>
      </c>
      <c r="X29" s="34">
        <v>1.2661486945590299</v>
      </c>
      <c r="Y29" s="34">
        <v>1.2671331732903199</v>
      </c>
      <c r="Z29" s="34">
        <v>1.2662468164788001</v>
      </c>
      <c r="AA29" s="34">
        <v>1.26666609559695</v>
      </c>
      <c r="AB29" s="33">
        <v>21.2782197704921</v>
      </c>
      <c r="AC29" s="33">
        <v>21.266579627778299</v>
      </c>
      <c r="AD29" s="33">
        <v>21.271514762607399</v>
      </c>
      <c r="AE29" s="15">
        <v>7.7723587994433098E-4</v>
      </c>
      <c r="AF29" s="15">
        <v>2.3004124422512401E-4</v>
      </c>
      <c r="AG29" s="15">
        <v>4.6207490355660902E-4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16.77</v>
      </c>
      <c r="C30" s="33">
        <v>21.23</v>
      </c>
      <c r="D30" s="15">
        <v>2.3880608363849101E-3</v>
      </c>
      <c r="E30" s="15">
        <v>2.3579355419043801E-3</v>
      </c>
      <c r="F30" s="33">
        <v>0</v>
      </c>
      <c r="G30" s="33">
        <v>6.241E-2</v>
      </c>
      <c r="H30" s="33">
        <v>0</v>
      </c>
      <c r="I30" s="33">
        <v>8.1687999999999997E-2</v>
      </c>
      <c r="J30" s="33">
        <v>6.241E-2</v>
      </c>
      <c r="K30" s="33">
        <v>8.1687999999999997E-2</v>
      </c>
      <c r="L30" s="33">
        <v>16.832409999999999</v>
      </c>
      <c r="M30" s="33">
        <v>21.311688</v>
      </c>
      <c r="N30" s="34">
        <v>1.2659511031604</v>
      </c>
      <c r="O30" s="34">
        <v>1.26844555541175</v>
      </c>
      <c r="P30" s="34">
        <v>1.2665474480066901</v>
      </c>
      <c r="Q30" s="34">
        <v>1.26871604757152</v>
      </c>
      <c r="R30" s="33">
        <v>21.271831964255199</v>
      </c>
      <c r="S30" s="33">
        <v>21.248712160780698</v>
      </c>
      <c r="T30" s="33">
        <v>21.276767759351401</v>
      </c>
      <c r="U30" s="15">
        <v>1.9684788080809698E-3</v>
      </c>
      <c r="V30" s="15">
        <v>8.8101362019764101E-4</v>
      </c>
      <c r="W30" s="15">
        <v>2.20048621375142E-3</v>
      </c>
      <c r="X30" s="34">
        <v>1.2661103193184999</v>
      </c>
      <c r="Y30" s="34">
        <v>1.2671331732903199</v>
      </c>
      <c r="Z30" s="34">
        <v>1.26621739434575</v>
      </c>
      <c r="AA30" s="34">
        <v>1.2666502256608401</v>
      </c>
      <c r="AB30" s="33">
        <v>21.3289050974237</v>
      </c>
      <c r="AC30" s="33">
        <v>21.313985576165901</v>
      </c>
      <c r="AD30" s="33">
        <v>21.321043054187101</v>
      </c>
      <c r="AE30" s="15">
        <v>8.0754497574953195E-4</v>
      </c>
      <c r="AF30" s="15">
        <v>1.07802456849821E-4</v>
      </c>
      <c r="AG30" s="15">
        <v>4.38867232098005E-4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16.809999999999999</v>
      </c>
      <c r="C31" s="33">
        <v>21.29</v>
      </c>
      <c r="D31" s="15">
        <v>2.3823715854066202E-3</v>
      </c>
      <c r="E31" s="15">
        <v>2.82220319022342E-3</v>
      </c>
      <c r="F31" s="33">
        <v>0</v>
      </c>
      <c r="G31" s="33">
        <v>6.241E-2</v>
      </c>
      <c r="H31" s="33">
        <v>0</v>
      </c>
      <c r="I31" s="33">
        <v>8.1687999999999997E-2</v>
      </c>
      <c r="J31" s="33">
        <v>6.241E-2</v>
      </c>
      <c r="K31" s="33">
        <v>8.1687999999999997E-2</v>
      </c>
      <c r="L31" s="33">
        <v>16.872409999999999</v>
      </c>
      <c r="M31" s="33">
        <v>21.371687999999999</v>
      </c>
      <c r="N31" s="34">
        <v>1.26650803093396</v>
      </c>
      <c r="O31" s="34">
        <v>1.26844555541175</v>
      </c>
      <c r="P31" s="34">
        <v>1.26605624990176</v>
      </c>
      <c r="Q31" s="34">
        <v>1.2686961469039699</v>
      </c>
      <c r="R31" s="33">
        <v>21.3225697864716</v>
      </c>
      <c r="S31" s="33">
        <v>21.290662600992501</v>
      </c>
      <c r="T31" s="33">
        <v>21.3271167596772</v>
      </c>
      <c r="U31" s="15">
        <v>1.5286472032641401E-3</v>
      </c>
      <c r="V31" s="15">
        <v>3.1122155086357301E-5</v>
      </c>
      <c r="W31" s="15">
        <v>1.74187143026515E-3</v>
      </c>
      <c r="X31" s="34">
        <v>1.2666648095915101</v>
      </c>
      <c r="Y31" s="34">
        <v>1.2671331732903199</v>
      </c>
      <c r="Z31" s="34">
        <v>1.2662155332574001</v>
      </c>
      <c r="AA31" s="34">
        <v>1.2666381639261799</v>
      </c>
      <c r="AB31" s="33">
        <v>21.3795904243553</v>
      </c>
      <c r="AC31" s="33">
        <v>21.364139026533302</v>
      </c>
      <c r="AD31" s="33">
        <v>21.3714419339423</v>
      </c>
      <c r="AE31" s="15">
        <v>3.69693012074671E-4</v>
      </c>
      <c r="AF31" s="15">
        <v>-3.5328547827187301E-4</v>
      </c>
      <c r="AG31" s="15">
        <v>-1.15137126385222E-5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16.8</v>
      </c>
      <c r="C32" s="33">
        <v>21.29</v>
      </c>
      <c r="D32" s="15">
        <v>-5.9506101131084497E-4</v>
      </c>
      <c r="E32" s="15">
        <v>0</v>
      </c>
      <c r="F32" s="33">
        <v>0</v>
      </c>
      <c r="G32" s="33">
        <v>6.241E-2</v>
      </c>
      <c r="H32" s="33">
        <v>0</v>
      </c>
      <c r="I32" s="33">
        <v>8.1687999999999997E-2</v>
      </c>
      <c r="J32" s="33">
        <v>6.241E-2</v>
      </c>
      <c r="K32" s="33">
        <v>8.1687999999999997E-2</v>
      </c>
      <c r="L32" s="33">
        <v>16.862410000000001</v>
      </c>
      <c r="M32" s="33">
        <v>21.371687999999999</v>
      </c>
      <c r="N32" s="34">
        <v>1.2672619047619</v>
      </c>
      <c r="O32" s="34">
        <v>1.26844555541175</v>
      </c>
      <c r="P32" s="34">
        <v>1.26620775531497</v>
      </c>
      <c r="Q32" s="34">
        <v>1.26869794795393</v>
      </c>
      <c r="R32" s="33">
        <v>21.309885330917499</v>
      </c>
      <c r="S32" s="33">
        <v>21.269744998349701</v>
      </c>
      <c r="T32" s="33">
        <v>21.314095267986801</v>
      </c>
      <c r="U32" s="15">
        <v>9.3358619195334897E-4</v>
      </c>
      <c r="V32" s="15">
        <v>-9.5183855919825497E-4</v>
      </c>
      <c r="W32" s="15">
        <v>1.1311246209680401E-3</v>
      </c>
      <c r="X32" s="34">
        <v>1.26741598620837</v>
      </c>
      <c r="Y32" s="34">
        <v>1.2671331732903199</v>
      </c>
      <c r="Z32" s="34">
        <v>1.26636635386121</v>
      </c>
      <c r="AA32" s="34">
        <v>1.26664766904846</v>
      </c>
      <c r="AB32" s="33">
        <v>21.3669190926224</v>
      </c>
      <c r="AC32" s="33">
        <v>21.351445470154999</v>
      </c>
      <c r="AD32" s="33">
        <v>21.358572041770401</v>
      </c>
      <c r="AE32" s="15">
        <v>-2.23166252797572E-4</v>
      </c>
      <c r="AF32" s="15">
        <v>-9.4761454582299297E-4</v>
      </c>
      <c r="AG32" s="15">
        <v>-6.1389556855617397E-4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16.8</v>
      </c>
      <c r="C33" s="33">
        <v>21.28</v>
      </c>
      <c r="D33" s="15">
        <v>0</v>
      </c>
      <c r="E33" s="15">
        <v>-4.6981443194435299E-4</v>
      </c>
      <c r="F33" s="33">
        <v>0</v>
      </c>
      <c r="G33" s="33">
        <v>6.241E-2</v>
      </c>
      <c r="H33" s="33">
        <v>0</v>
      </c>
      <c r="I33" s="33">
        <v>8.1687999999999997E-2</v>
      </c>
      <c r="J33" s="33">
        <v>6.241E-2</v>
      </c>
      <c r="K33" s="33">
        <v>8.1687999999999997E-2</v>
      </c>
      <c r="L33" s="33">
        <v>16.862410000000001</v>
      </c>
      <c r="M33" s="33">
        <v>21.361688000000001</v>
      </c>
      <c r="N33" s="34">
        <v>1.2666666666666599</v>
      </c>
      <c r="O33" s="34">
        <v>1.26844555541175</v>
      </c>
      <c r="P33" s="34">
        <v>1.2662837857271301</v>
      </c>
      <c r="Q33" s="34">
        <v>1.26850718490172</v>
      </c>
      <c r="R33" s="33">
        <v>21.309885330917499</v>
      </c>
      <c r="S33" s="33">
        <v>21.272290289291501</v>
      </c>
      <c r="T33" s="33">
        <v>21.3141255256261</v>
      </c>
      <c r="U33" s="15">
        <v>1.4034006238977199E-3</v>
      </c>
      <c r="V33" s="15">
        <v>-3.6236408148331597E-4</v>
      </c>
      <c r="W33" s="15">
        <v>1.60235865892671E-3</v>
      </c>
      <c r="X33" s="34">
        <v>1.26682295116771</v>
      </c>
      <c r="Y33" s="34">
        <v>1.2671331732903199</v>
      </c>
      <c r="Z33" s="34">
        <v>1.2664419696775699</v>
      </c>
      <c r="AA33" s="34">
        <v>1.2667026533207399</v>
      </c>
      <c r="AB33" s="33">
        <v>21.3669190926224</v>
      </c>
      <c r="AC33" s="33">
        <v>21.3539886690128</v>
      </c>
      <c r="AD33" s="33">
        <v>21.358732321039401</v>
      </c>
      <c r="AE33" s="15">
        <v>2.4485200920601599E-4</v>
      </c>
      <c r="AF33" s="15">
        <v>-3.6049205682578699E-4</v>
      </c>
      <c r="AG33" s="15">
        <v>-1.3837312194111799E-4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16.809999999999999</v>
      </c>
      <c r="C34" s="33">
        <v>21.28</v>
      </c>
      <c r="D34" s="15">
        <v>5.9506101131077396E-4</v>
      </c>
      <c r="E34" s="15">
        <v>0</v>
      </c>
      <c r="F34" s="33">
        <v>0</v>
      </c>
      <c r="G34" s="33">
        <v>6.241E-2</v>
      </c>
      <c r="H34" s="33">
        <v>0</v>
      </c>
      <c r="I34" s="33">
        <v>8.1687999999999997E-2</v>
      </c>
      <c r="J34" s="33">
        <v>6.241E-2</v>
      </c>
      <c r="K34" s="33">
        <v>8.1687999999999997E-2</v>
      </c>
      <c r="L34" s="33">
        <v>16.872409999999999</v>
      </c>
      <c r="M34" s="33">
        <v>21.361688000000001</v>
      </c>
      <c r="N34" s="34">
        <v>1.2659131469363401</v>
      </c>
      <c r="O34" s="34">
        <v>1.26844555541175</v>
      </c>
      <c r="P34" s="34">
        <v>1.2662844641662601</v>
      </c>
      <c r="Q34" s="34">
        <v>1.2681828783279101</v>
      </c>
      <c r="R34" s="33">
        <v>21.3225697864716</v>
      </c>
      <c r="S34" s="33">
        <v>21.286230438073101</v>
      </c>
      <c r="T34" s="33">
        <v>21.323605778198001</v>
      </c>
      <c r="U34" s="15">
        <v>1.9984616352087198E-3</v>
      </c>
      <c r="V34" s="15">
        <v>2.9274089124277001E-4</v>
      </c>
      <c r="W34" s="15">
        <v>2.0470470810462198E-3</v>
      </c>
      <c r="X34" s="34">
        <v>1.2660721260329699</v>
      </c>
      <c r="Y34" s="34">
        <v>1.2671331732903199</v>
      </c>
      <c r="Z34" s="34">
        <v>1.26644250298045</v>
      </c>
      <c r="AA34" s="34">
        <v>1.2666241596140599</v>
      </c>
      <c r="AB34" s="33">
        <v>21.3795904243553</v>
      </c>
      <c r="AC34" s="33">
        <v>21.367928153607501</v>
      </c>
      <c r="AD34" s="33">
        <v>21.3723265149154</v>
      </c>
      <c r="AE34" s="15">
        <v>8.3771127407825303E-4</v>
      </c>
      <c r="AF34" s="15">
        <v>2.9207627934048802E-4</v>
      </c>
      <c r="AG34" s="15">
        <v>4.9789448784545297E-4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16.809999999999999</v>
      </c>
      <c r="C35" s="33">
        <v>21.29</v>
      </c>
      <c r="D35" s="15">
        <v>0</v>
      </c>
      <c r="E35" s="15">
        <v>4.6981443194429098E-4</v>
      </c>
      <c r="F35" s="33">
        <v>0</v>
      </c>
      <c r="G35" s="33">
        <v>6.241E-2</v>
      </c>
      <c r="H35" s="33">
        <v>0</v>
      </c>
      <c r="I35" s="33">
        <v>8.1687999999999997E-2</v>
      </c>
      <c r="J35" s="33">
        <v>6.241E-2</v>
      </c>
      <c r="K35" s="33">
        <v>8.1687999999999997E-2</v>
      </c>
      <c r="L35" s="33">
        <v>16.872409999999999</v>
      </c>
      <c r="M35" s="33">
        <v>21.371687999999999</v>
      </c>
      <c r="N35" s="34">
        <v>1.26650803093396</v>
      </c>
      <c r="O35" s="34">
        <v>1.26844555541175</v>
      </c>
      <c r="P35" s="34">
        <v>1.26632043472378</v>
      </c>
      <c r="Q35" s="34">
        <v>1.2679265491053799</v>
      </c>
      <c r="R35" s="33">
        <v>21.3225697864716</v>
      </c>
      <c r="S35" s="33">
        <v>21.286241842634901</v>
      </c>
      <c r="T35" s="33">
        <v>21.318154184692201</v>
      </c>
      <c r="U35" s="15">
        <v>1.5286472032641401E-3</v>
      </c>
      <c r="V35" s="15">
        <v>-1.7653776905290401E-4</v>
      </c>
      <c r="W35" s="15">
        <v>1.3215399412886801E-3</v>
      </c>
      <c r="X35" s="34">
        <v>1.2666648095915101</v>
      </c>
      <c r="Y35" s="34">
        <v>1.2671331732903199</v>
      </c>
      <c r="Z35" s="34">
        <v>1.2664782556949701</v>
      </c>
      <c r="AA35" s="34">
        <v>1.2666132479623</v>
      </c>
      <c r="AB35" s="33">
        <v>21.3795904243553</v>
      </c>
      <c r="AC35" s="33">
        <v>21.3679371517124</v>
      </c>
      <c r="AD35" s="33">
        <v>21.371002136913901</v>
      </c>
      <c r="AE35" s="15">
        <v>3.69693012074671E-4</v>
      </c>
      <c r="AF35" s="15">
        <v>-1.75520879457233E-4</v>
      </c>
      <c r="AG35" s="15">
        <v>-3.2092649474729799E-5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16.78</v>
      </c>
      <c r="C36" s="33">
        <v>21.34</v>
      </c>
      <c r="D36" s="15">
        <v>-1.78624638146399E-3</v>
      </c>
      <c r="E36" s="15">
        <v>2.3457669682192899E-3</v>
      </c>
      <c r="F36" s="33">
        <v>6.2129999999999998E-2</v>
      </c>
      <c r="G36" s="33">
        <v>0.12454</v>
      </c>
      <c r="H36" s="33">
        <v>0</v>
      </c>
      <c r="I36" s="33">
        <v>8.1687999999999997E-2</v>
      </c>
      <c r="J36" s="33">
        <v>0.12454</v>
      </c>
      <c r="K36" s="33">
        <v>8.1687999999999997E-2</v>
      </c>
      <c r="L36" s="33">
        <v>16.904540000000001</v>
      </c>
      <c r="M36" s="33">
        <v>21.421688</v>
      </c>
      <c r="N36" s="34">
        <v>1.2717520858164399</v>
      </c>
      <c r="O36" s="34">
        <v>1.26844555541175</v>
      </c>
      <c r="P36" s="34">
        <v>1.26688081076954</v>
      </c>
      <c r="Q36" s="34">
        <v>1.2679023745500499</v>
      </c>
      <c r="R36" s="33">
        <v>21.2845164198093</v>
      </c>
      <c r="S36" s="33">
        <v>21.248856894665</v>
      </c>
      <c r="T36" s="33">
        <v>21.2758074939883</v>
      </c>
      <c r="U36" s="15">
        <v>-2.6033661464189201E-3</v>
      </c>
      <c r="V36" s="15">
        <v>-4.2801451423206301E-3</v>
      </c>
      <c r="W36" s="15">
        <v>-3.0126170703613201E-3</v>
      </c>
      <c r="X36" s="34">
        <v>1.26721507949935</v>
      </c>
      <c r="Y36" s="34">
        <v>1.2671331732903199</v>
      </c>
      <c r="Z36" s="34">
        <v>1.2665690354002701</v>
      </c>
      <c r="AA36" s="34">
        <v>1.2665999140062401</v>
      </c>
      <c r="AB36" s="33">
        <v>21.420303413213102</v>
      </c>
      <c r="AC36" s="33">
        <v>21.4092323325259</v>
      </c>
      <c r="AD36" s="33">
        <v>21.411514314708601</v>
      </c>
      <c r="AE36" s="15">
        <v>-6.4636901396153E-5</v>
      </c>
      <c r="AF36" s="15">
        <v>-5.8162036811180799E-4</v>
      </c>
      <c r="AG36" s="15">
        <v>-4.7503735106663099E-4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16.760000000000002</v>
      </c>
      <c r="C37" s="33">
        <v>21.32</v>
      </c>
      <c r="D37" s="15">
        <v>-1.19260598512313E-3</v>
      </c>
      <c r="E37" s="15">
        <v>-9.3764657596350301E-4</v>
      </c>
      <c r="F37" s="33">
        <v>0</v>
      </c>
      <c r="G37" s="33">
        <v>0.12454</v>
      </c>
      <c r="H37" s="33">
        <v>0</v>
      </c>
      <c r="I37" s="33">
        <v>8.1687999999999997E-2</v>
      </c>
      <c r="J37" s="33">
        <v>0.12454</v>
      </c>
      <c r="K37" s="33">
        <v>8.1687999999999997E-2</v>
      </c>
      <c r="L37" s="33">
        <v>16.884540000000001</v>
      </c>
      <c r="M37" s="33">
        <v>21.401688</v>
      </c>
      <c r="N37" s="34">
        <v>1.2720763723150299</v>
      </c>
      <c r="O37" s="34">
        <v>1.26844555541175</v>
      </c>
      <c r="P37" s="34">
        <v>1.2674895239125701</v>
      </c>
      <c r="Q37" s="34">
        <v>1.2679025895622</v>
      </c>
      <c r="R37" s="33">
        <v>21.259147508700998</v>
      </c>
      <c r="S37" s="33">
        <v>21.232922388497499</v>
      </c>
      <c r="T37" s="33">
        <v>21.2500437974589</v>
      </c>
      <c r="U37" s="15">
        <v>-2.8583255555786002E-3</v>
      </c>
      <c r="V37" s="15">
        <v>-4.0926793348516101E-3</v>
      </c>
      <c r="W37" s="15">
        <v>-3.2866428724520301E-3</v>
      </c>
      <c r="X37" s="34">
        <v>1.2675315999132899</v>
      </c>
      <c r="Y37" s="34">
        <v>1.2671331732903199</v>
      </c>
      <c r="Z37" s="34">
        <v>1.2667073259357</v>
      </c>
      <c r="AA37" s="34">
        <v>1.2666104085600101</v>
      </c>
      <c r="AB37" s="33">
        <v>21.394960749747298</v>
      </c>
      <c r="AC37" s="33">
        <v>21.385435540977401</v>
      </c>
      <c r="AD37" s="33">
        <v>21.385956912034999</v>
      </c>
      <c r="AE37" s="15">
        <v>-3.1438210722368998E-4</v>
      </c>
      <c r="AF37" s="15">
        <v>-7.5968929244152295E-4</v>
      </c>
      <c r="AG37" s="15">
        <v>-7.35309863680532E-4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16.75</v>
      </c>
      <c r="C38" s="33">
        <v>21.29</v>
      </c>
      <c r="D38" s="15">
        <v>-5.9683678286163598E-4</v>
      </c>
      <c r="E38" s="15">
        <v>-1.4081203922557801E-3</v>
      </c>
      <c r="F38" s="33">
        <v>0</v>
      </c>
      <c r="G38" s="33">
        <v>0.12454</v>
      </c>
      <c r="H38" s="33">
        <v>0</v>
      </c>
      <c r="I38" s="33">
        <v>8.1687999999999997E-2</v>
      </c>
      <c r="J38" s="33">
        <v>0.12454</v>
      </c>
      <c r="K38" s="33">
        <v>8.1687999999999997E-2</v>
      </c>
      <c r="L38" s="33">
        <v>16.87454</v>
      </c>
      <c r="M38" s="33">
        <v>21.371687999999999</v>
      </c>
      <c r="N38" s="34">
        <v>1.2710447761193999</v>
      </c>
      <c r="O38" s="34">
        <v>1.26844555541175</v>
      </c>
      <c r="P38" s="34">
        <v>1.2679671358528699</v>
      </c>
      <c r="Q38" s="34">
        <v>1.2678593901929001</v>
      </c>
      <c r="R38" s="33">
        <v>21.246463053146901</v>
      </c>
      <c r="S38" s="33">
        <v>21.2304495255357</v>
      </c>
      <c r="T38" s="33">
        <v>21.237368375166799</v>
      </c>
      <c r="U38" s="15">
        <v>-2.0470419461844202E-3</v>
      </c>
      <c r="V38" s="15">
        <v>-2.8010293429960799E-3</v>
      </c>
      <c r="W38" s="15">
        <v>-2.4751896820757202E-3</v>
      </c>
      <c r="X38" s="34">
        <v>1.26650492398607</v>
      </c>
      <c r="Y38" s="34">
        <v>1.2671331732903199</v>
      </c>
      <c r="Z38" s="34">
        <v>1.26671512998683</v>
      </c>
      <c r="AA38" s="34">
        <v>1.2665775622355699</v>
      </c>
      <c r="AB38" s="33">
        <v>21.382289418014398</v>
      </c>
      <c r="AC38" s="33">
        <v>21.375103439795001</v>
      </c>
      <c r="AD38" s="33">
        <v>21.3734680036623</v>
      </c>
      <c r="AE38" s="15">
        <v>4.9592664224451998E-4</v>
      </c>
      <c r="AF38" s="15">
        <v>1.5979865095467201E-4</v>
      </c>
      <c r="AG38" s="15">
        <v>8.3284462137157302E-5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16.77</v>
      </c>
      <c r="C39" s="33">
        <v>21.33</v>
      </c>
      <c r="D39" s="15">
        <v>1.1933175640420101E-3</v>
      </c>
      <c r="E39" s="15">
        <v>1.87705357787108E-3</v>
      </c>
      <c r="F39" s="33">
        <v>0</v>
      </c>
      <c r="G39" s="33">
        <v>0.12454</v>
      </c>
      <c r="H39" s="33">
        <v>0</v>
      </c>
      <c r="I39" s="33">
        <v>8.1687999999999997E-2</v>
      </c>
      <c r="J39" s="33">
        <v>0.12454</v>
      </c>
      <c r="K39" s="33">
        <v>8.1687999999999997E-2</v>
      </c>
      <c r="L39" s="33">
        <v>16.894539999999999</v>
      </c>
      <c r="M39" s="33">
        <v>21.411687999999899</v>
      </c>
      <c r="N39" s="34">
        <v>1.27191413237924</v>
      </c>
      <c r="O39" s="34">
        <v>1.26844555541175</v>
      </c>
      <c r="P39" s="34">
        <v>1.2685596250023301</v>
      </c>
      <c r="Q39" s="34">
        <v>1.2678132698887801</v>
      </c>
      <c r="R39" s="33">
        <v>21.271831964255199</v>
      </c>
      <c r="S39" s="33">
        <v>21.263808868252699</v>
      </c>
      <c r="T39" s="33">
        <v>21.2620019735349</v>
      </c>
      <c r="U39" s="15">
        <v>-2.73077796001347E-3</v>
      </c>
      <c r="V39" s="15">
        <v>-3.1080190660862398E-3</v>
      </c>
      <c r="W39" s="15">
        <v>-3.19299779703173E-3</v>
      </c>
      <c r="X39" s="34">
        <v>1.2673732460309599</v>
      </c>
      <c r="Y39" s="34">
        <v>1.2671331732903199</v>
      </c>
      <c r="Z39" s="34">
        <v>1.2668375851340199</v>
      </c>
      <c r="AA39" s="34">
        <v>1.26654220080641</v>
      </c>
      <c r="AB39" s="33">
        <v>21.407632081480202</v>
      </c>
      <c r="AC39" s="33">
        <v>21.4005694321677</v>
      </c>
      <c r="AD39" s="33">
        <v>21.398245288291399</v>
      </c>
      <c r="AE39" s="15">
        <v>-1.89443387897143E-4</v>
      </c>
      <c r="AF39" s="15">
        <v>-5.1941050292845104E-4</v>
      </c>
      <c r="AG39" s="15">
        <v>-6.2801836479805205E-4</v>
      </c>
      <c r="AI39" s="12"/>
      <c r="AJ39">
        <f t="shared" si="6"/>
        <v>0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16.79</v>
      </c>
      <c r="C40" s="33">
        <v>21.34</v>
      </c>
      <c r="D40" s="15">
        <v>1.1918952543319E-3</v>
      </c>
      <c r="E40" s="15">
        <v>4.68713390348126E-4</v>
      </c>
      <c r="F40" s="33">
        <v>0</v>
      </c>
      <c r="G40" s="33">
        <v>0.12454</v>
      </c>
      <c r="H40" s="33">
        <v>0</v>
      </c>
      <c r="I40" s="33">
        <v>8.1687999999999997E-2</v>
      </c>
      <c r="J40" s="33">
        <v>0.12454</v>
      </c>
      <c r="K40" s="33">
        <v>8.1687999999999997E-2</v>
      </c>
      <c r="L40" s="33">
        <v>16.914539999999999</v>
      </c>
      <c r="M40" s="33">
        <v>21.421688</v>
      </c>
      <c r="N40" s="34">
        <v>1.27099463966646</v>
      </c>
      <c r="O40" s="34">
        <v>1.26844555541175</v>
      </c>
      <c r="P40" s="34">
        <v>1.2690639786529401</v>
      </c>
      <c r="Q40" s="34">
        <v>1.26780571332981</v>
      </c>
      <c r="R40" s="33">
        <v>21.297200875363401</v>
      </c>
      <c r="S40" s="33">
        <v>21.299116103789199</v>
      </c>
      <c r="T40" s="33">
        <v>21.286584801432699</v>
      </c>
      <c r="U40" s="15">
        <v>-2.0075960960297201E-3</v>
      </c>
      <c r="V40" s="15">
        <v>-1.9176714939535199E-3</v>
      </c>
      <c r="W40" s="15">
        <v>-2.50619310810366E-3</v>
      </c>
      <c r="X40" s="34">
        <v>1.2664658926580299</v>
      </c>
      <c r="Y40" s="34">
        <v>1.2671331732903199</v>
      </c>
      <c r="Z40" s="34">
        <v>1.26687314246798</v>
      </c>
      <c r="AA40" s="34">
        <v>1.2665452684068701</v>
      </c>
      <c r="AB40" s="33">
        <v>21.432974744946002</v>
      </c>
      <c r="AC40" s="33">
        <v>21.4279750072529</v>
      </c>
      <c r="AD40" s="33">
        <v>21.422978717228101</v>
      </c>
      <c r="AE40" s="15">
        <v>5.2674525870061097E-4</v>
      </c>
      <c r="AF40" s="15">
        <v>2.9344488879614E-4</v>
      </c>
      <c r="AG40" s="15">
        <v>6.0251010333049001E-5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16.73</v>
      </c>
      <c r="C41" s="33">
        <v>21.21</v>
      </c>
      <c r="D41" s="15">
        <v>-3.5799560907167701E-3</v>
      </c>
      <c r="E41" s="15">
        <v>-6.1104772970161899E-3</v>
      </c>
      <c r="F41" s="33">
        <v>0</v>
      </c>
      <c r="G41" s="33">
        <v>0.12454</v>
      </c>
      <c r="H41" s="33">
        <v>8.0392000000000005E-2</v>
      </c>
      <c r="I41" s="33">
        <v>0.16208</v>
      </c>
      <c r="J41" s="33">
        <v>0.12454</v>
      </c>
      <c r="K41" s="33">
        <v>0.16208</v>
      </c>
      <c r="L41" s="33">
        <v>16.85454</v>
      </c>
      <c r="M41" s="33">
        <v>21.37208</v>
      </c>
      <c r="N41" s="34">
        <v>1.26778242677824</v>
      </c>
      <c r="O41" s="34">
        <v>1.26844555541175</v>
      </c>
      <c r="P41" s="34">
        <v>1.26919141823737</v>
      </c>
      <c r="Q41" s="34">
        <v>1.26762383406957</v>
      </c>
      <c r="R41" s="33">
        <v>21.221094142038702</v>
      </c>
      <c r="S41" s="33">
        <v>21.231440362863701</v>
      </c>
      <c r="T41" s="33">
        <v>21.2103895840078</v>
      </c>
      <c r="U41" s="15">
        <v>5.2292511026977003E-4</v>
      </c>
      <c r="V41" s="15">
        <v>1.0103504737045601E-3</v>
      </c>
      <c r="W41" s="15">
        <v>1.8367771334200699E-5</v>
      </c>
      <c r="X41" s="34">
        <v>1.26803104682773</v>
      </c>
      <c r="Y41" s="34">
        <v>1.2671331732903199</v>
      </c>
      <c r="Z41" s="34">
        <v>1.2670097661916</v>
      </c>
      <c r="AA41" s="34">
        <v>1.2666126497245001</v>
      </c>
      <c r="AB41" s="33">
        <v>21.356946754548598</v>
      </c>
      <c r="AC41" s="33">
        <v>21.352564054652301</v>
      </c>
      <c r="AD41" s="33">
        <v>21.347037888174299</v>
      </c>
      <c r="AE41" s="15">
        <v>-7.0833563193501803E-4</v>
      </c>
      <c r="AF41" s="15">
        <v>-9.1356860364132499E-4</v>
      </c>
      <c r="AG41" s="15">
        <v>-1.1724078554091199E-3</v>
      </c>
      <c r="AI41" s="12"/>
      <c r="AJ41">
        <f t="shared" si="6"/>
        <v>1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16.73</v>
      </c>
      <c r="C42" s="33">
        <v>21.19</v>
      </c>
      <c r="D42" s="15">
        <v>0</v>
      </c>
      <c r="E42" s="15">
        <v>-9.4339629638337205E-4</v>
      </c>
      <c r="F42" s="33">
        <v>0</v>
      </c>
      <c r="G42" s="33">
        <v>0.12454</v>
      </c>
      <c r="H42" s="33">
        <v>0</v>
      </c>
      <c r="I42" s="33">
        <v>0.16208</v>
      </c>
      <c r="J42" s="33">
        <v>0.12454</v>
      </c>
      <c r="K42" s="33">
        <v>0.16208</v>
      </c>
      <c r="L42" s="33">
        <v>16.85454</v>
      </c>
      <c r="M42" s="33">
        <v>21.352080000000001</v>
      </c>
      <c r="N42" s="34">
        <v>1.2665869695158301</v>
      </c>
      <c r="O42" s="34">
        <v>1.26844555541175</v>
      </c>
      <c r="P42" s="34">
        <v>1.2691239247127599</v>
      </c>
      <c r="Q42" s="34">
        <v>1.2676658400138601</v>
      </c>
      <c r="R42" s="33">
        <v>21.221094142038702</v>
      </c>
      <c r="S42" s="33">
        <v>21.233572427111199</v>
      </c>
      <c r="T42" s="33">
        <v>21.207346743983901</v>
      </c>
      <c r="U42" s="15">
        <v>1.46632140665314E-3</v>
      </c>
      <c r="V42" s="15">
        <v>2.0541618699162398E-3</v>
      </c>
      <c r="W42" s="15">
        <v>8.1829389261640895E-4</v>
      </c>
      <c r="X42" s="34">
        <v>1.26684442292699</v>
      </c>
      <c r="Y42" s="34">
        <v>1.2671331732903199</v>
      </c>
      <c r="Z42" s="34">
        <v>1.26695260986346</v>
      </c>
      <c r="AA42" s="34">
        <v>1.26665948186233</v>
      </c>
      <c r="AB42" s="33">
        <v>21.356946754548598</v>
      </c>
      <c r="AC42" s="33">
        <v>21.354866784666999</v>
      </c>
      <c r="AD42" s="33">
        <v>21.348173569287599</v>
      </c>
      <c r="AE42" s="15">
        <v>2.27902855183488E-4</v>
      </c>
      <c r="AF42" s="15">
        <v>1.3050732402145E-4</v>
      </c>
      <c r="AG42" s="15">
        <v>-1.82969907515196E-4</v>
      </c>
      <c r="AI42" s="12"/>
      <c r="AJ42">
        <f t="shared" si="6"/>
        <v>0</v>
      </c>
      <c r="AK42">
        <f t="shared" si="7"/>
        <v>1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0</v>
      </c>
      <c r="AP42" s="28">
        <f t="shared" si="9"/>
        <v>9.4339629638337205E-4</v>
      </c>
      <c r="AQ42" s="28">
        <f t="shared" si="16"/>
        <v>9.4339629638337205E-4</v>
      </c>
      <c r="AR42" s="29">
        <f t="shared" si="17"/>
        <v>9.4339629638337205E-4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9.4339629638337205E-4</v>
      </c>
      <c r="BF42" s="29">
        <f t="shared" si="23"/>
        <v>9.4339629638337205E-4</v>
      </c>
      <c r="BH42" s="29"/>
    </row>
    <row r="43" spans="1:124" x14ac:dyDescent="0.25">
      <c r="A43" s="1">
        <v>46085</v>
      </c>
      <c r="B43" s="33">
        <v>16.71</v>
      </c>
      <c r="C43" s="33">
        <v>21.19</v>
      </c>
      <c r="D43" s="15">
        <v>-1.19617239143027E-3</v>
      </c>
      <c r="E43" s="15">
        <v>0</v>
      </c>
      <c r="F43" s="33">
        <v>0</v>
      </c>
      <c r="G43" s="33">
        <v>0.12454</v>
      </c>
      <c r="H43" s="33">
        <v>0</v>
      </c>
      <c r="I43" s="33">
        <v>0.16208</v>
      </c>
      <c r="J43" s="33">
        <v>0.12454</v>
      </c>
      <c r="K43" s="33">
        <v>0.16208</v>
      </c>
      <c r="L43" s="33">
        <v>16.834540000000001</v>
      </c>
      <c r="M43" s="33">
        <v>21.352080000000001</v>
      </c>
      <c r="N43" s="34">
        <v>1.2681029323758199</v>
      </c>
      <c r="O43" s="34">
        <v>1.26844555541175</v>
      </c>
      <c r="P43" s="34">
        <v>1.26926755128368</v>
      </c>
      <c r="Q43" s="34">
        <v>1.2677756685054</v>
      </c>
      <c r="R43" s="33">
        <v>21.195725230930499</v>
      </c>
      <c r="S43" s="33">
        <v>21.2070607819503</v>
      </c>
      <c r="T43" s="33">
        <v>21.182696186631699</v>
      </c>
      <c r="U43" s="15">
        <v>2.7014901522275802E-4</v>
      </c>
      <c r="V43" s="15">
        <v>8.04809699378118E-4</v>
      </c>
      <c r="W43" s="15">
        <v>-3.44741500914451E-4</v>
      </c>
      <c r="X43" s="34">
        <v>1.2683494767305701</v>
      </c>
      <c r="Y43" s="34">
        <v>1.2671331732903199</v>
      </c>
      <c r="Z43" s="34">
        <v>1.2671052624197501</v>
      </c>
      <c r="AA43" s="34">
        <v>1.26677361604866</v>
      </c>
      <c r="AB43" s="33">
        <v>21.331604091082799</v>
      </c>
      <c r="AC43" s="33">
        <v>21.3285643888509</v>
      </c>
      <c r="AD43" s="33">
        <v>21.323629713790801</v>
      </c>
      <c r="AE43" s="15">
        <v>-9.5942564114726502E-4</v>
      </c>
      <c r="AF43" s="15">
        <v>-1.10193338761896E-3</v>
      </c>
      <c r="AG43" s="15">
        <v>-1.3333247702167299E-3</v>
      </c>
      <c r="AI43" s="12"/>
      <c r="AJ43">
        <f t="shared" si="6"/>
        <v>1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9.4339629638337205E-4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9.4339629638337205E-4</v>
      </c>
      <c r="BH43" s="29"/>
    </row>
    <row r="44" spans="1:124" x14ac:dyDescent="0.25">
      <c r="A44" s="1">
        <v>46086</v>
      </c>
      <c r="B44" s="33">
        <v>16.68</v>
      </c>
      <c r="C44" s="33">
        <v>21.15</v>
      </c>
      <c r="D44" s="15">
        <v>-1.7969456767017401E-3</v>
      </c>
      <c r="E44" s="15">
        <v>-1.8894667879208601E-3</v>
      </c>
      <c r="F44" s="33">
        <v>0</v>
      </c>
      <c r="G44" s="33">
        <v>0.12454</v>
      </c>
      <c r="H44" s="33">
        <v>0</v>
      </c>
      <c r="I44" s="33">
        <v>0.16208</v>
      </c>
      <c r="J44" s="33">
        <v>0.12454</v>
      </c>
      <c r="K44" s="33">
        <v>0.16208</v>
      </c>
      <c r="L44" s="33">
        <v>16.804539999999999</v>
      </c>
      <c r="M44" s="33">
        <v>21.312079999999899</v>
      </c>
      <c r="N44" s="34">
        <v>1.2679856115107899</v>
      </c>
      <c r="O44" s="34">
        <v>1.26844555541175</v>
      </c>
      <c r="P44" s="34">
        <v>1.26947479774112</v>
      </c>
      <c r="Q44" s="34">
        <v>1.2678796309536899</v>
      </c>
      <c r="R44" s="33">
        <v>21.157671864268099</v>
      </c>
      <c r="S44" s="33">
        <v>21.171382755411798</v>
      </c>
      <c r="T44" s="33">
        <v>21.146498150670201</v>
      </c>
      <c r="U44" s="15">
        <v>3.6267012644198698E-4</v>
      </c>
      <c r="V44" s="15">
        <v>1.0104942626706799E-3</v>
      </c>
      <c r="W44" s="15">
        <v>-1.6558578089857E-4</v>
      </c>
      <c r="X44" s="34">
        <v>1.2682334654801599</v>
      </c>
      <c r="Y44" s="34">
        <v>1.2671331732903199</v>
      </c>
      <c r="Z44" s="34">
        <v>1.2673213963644701</v>
      </c>
      <c r="AA44" s="34">
        <v>1.2668819496724599</v>
      </c>
      <c r="AB44" s="33">
        <v>21.293590095884099</v>
      </c>
      <c r="AC44" s="33">
        <v>21.2931210665432</v>
      </c>
      <c r="AD44" s="33">
        <v>21.287547901834301</v>
      </c>
      <c r="AE44" s="15">
        <v>-8.6795514470297498E-4</v>
      </c>
      <c r="AF44" s="15">
        <v>-8.8998217276576002E-4</v>
      </c>
      <c r="AG44" s="15">
        <v>-1.15175188544062E-3</v>
      </c>
      <c r="AI44" s="12"/>
      <c r="AJ44">
        <f t="shared" si="6"/>
        <v>1</v>
      </c>
      <c r="AK44">
        <f t="shared" si="7"/>
        <v>0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-1.7969456767017401E-3</v>
      </c>
      <c r="AP44" s="28">
        <f t="shared" si="9"/>
        <v>1.8894667879208601E-3</v>
      </c>
      <c r="AQ44" s="28">
        <f t="shared" si="16"/>
        <v>9.2521111219119991E-5</v>
      </c>
      <c r="AR44" s="29">
        <f t="shared" si="17"/>
        <v>1.035917407602492E-3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9.2521111219119991E-5</v>
      </c>
      <c r="BF44" s="29">
        <f t="shared" si="23"/>
        <v>1.035917407602492E-3</v>
      </c>
      <c r="BH44" s="29"/>
    </row>
    <row r="45" spans="1:124" x14ac:dyDescent="0.25">
      <c r="A45" s="1">
        <v>46087</v>
      </c>
      <c r="B45" s="33">
        <v>16.66</v>
      </c>
      <c r="C45" s="33">
        <v>21.11</v>
      </c>
      <c r="D45" s="15">
        <v>-1.1997601919040599E-3</v>
      </c>
      <c r="E45" s="15">
        <v>-1.89304363205773E-3</v>
      </c>
      <c r="F45" s="33">
        <v>0</v>
      </c>
      <c r="G45" s="33">
        <v>0.12454</v>
      </c>
      <c r="H45" s="33">
        <v>0</v>
      </c>
      <c r="I45" s="33">
        <v>0.16208</v>
      </c>
      <c r="J45" s="33">
        <v>0.12454</v>
      </c>
      <c r="K45" s="33">
        <v>0.16208</v>
      </c>
      <c r="L45" s="33">
        <v>16.78454</v>
      </c>
      <c r="M45" s="33">
        <v>21.272079999999999</v>
      </c>
      <c r="N45" s="34">
        <v>1.26710684273709</v>
      </c>
      <c r="O45" s="34">
        <v>1.26844555541175</v>
      </c>
      <c r="P45" s="34">
        <v>1.2695346789214299</v>
      </c>
      <c r="Q45" s="34">
        <v>1.26792755682261</v>
      </c>
      <c r="R45" s="33">
        <v>21.1323029531599</v>
      </c>
      <c r="S45" s="33">
        <v>21.1494501303671</v>
      </c>
      <c r="T45" s="33">
        <v>21.122874651688601</v>
      </c>
      <c r="U45" s="15">
        <v>1.05595356659575E-3</v>
      </c>
      <c r="V45" s="15">
        <v>1.86704472988931E-3</v>
      </c>
      <c r="W45" s="15">
        <v>6.0969811757387597E-4</v>
      </c>
      <c r="X45" s="34">
        <v>1.26736151243942</v>
      </c>
      <c r="Y45" s="34">
        <v>1.2671331732903199</v>
      </c>
      <c r="Z45" s="34">
        <v>1.26739106664926</v>
      </c>
      <c r="AA45" s="34">
        <v>1.26693466117211</v>
      </c>
      <c r="AB45" s="33">
        <v>21.268247432418299</v>
      </c>
      <c r="AC45" s="33">
        <v>21.271406670135299</v>
      </c>
      <c r="AD45" s="33">
        <v>21.2640307595554</v>
      </c>
      <c r="AE45" s="15">
        <v>-1.80185147756967E-4</v>
      </c>
      <c r="AF45" s="15">
        <v>-3.1653722693179697E-5</v>
      </c>
      <c r="AG45" s="15">
        <v>-3.7846622067170399E-4</v>
      </c>
      <c r="AI45" s="12"/>
      <c r="AJ45">
        <f t="shared" si="6"/>
        <v>0</v>
      </c>
      <c r="AK45">
        <f t="shared" si="7"/>
        <v>0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-1.1997601919040599E-3</v>
      </c>
      <c r="AP45" s="28">
        <f t="shared" si="9"/>
        <v>1.89304363205773E-3</v>
      </c>
      <c r="AQ45" s="28">
        <f t="shared" si="16"/>
        <v>6.9328344015367007E-4</v>
      </c>
      <c r="AR45" s="29">
        <f t="shared" si="17"/>
        <v>1.7292008477561621E-3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6.9328344015367007E-4</v>
      </c>
      <c r="BF45" s="29">
        <f t="shared" si="23"/>
        <v>1.7292008477561621E-3</v>
      </c>
      <c r="BH45" s="29"/>
    </row>
    <row r="46" spans="1:124" x14ac:dyDescent="0.25">
      <c r="A46" s="1">
        <v>46090</v>
      </c>
      <c r="B46" s="33">
        <v>16.7</v>
      </c>
      <c r="C46" s="33">
        <v>21.16</v>
      </c>
      <c r="D46" s="15">
        <v>2.39808268401284E-3</v>
      </c>
      <c r="E46" s="15">
        <v>2.3657451298694501E-3</v>
      </c>
      <c r="F46" s="33">
        <v>0</v>
      </c>
      <c r="G46" s="33">
        <v>0.12454</v>
      </c>
      <c r="H46" s="33">
        <v>0</v>
      </c>
      <c r="I46" s="33">
        <v>0.16208</v>
      </c>
      <c r="J46" s="33">
        <v>0.12454</v>
      </c>
      <c r="K46" s="33">
        <v>0.16208</v>
      </c>
      <c r="L46" s="33">
        <v>16.824539999999999</v>
      </c>
      <c r="M46" s="33">
        <v>21.32208</v>
      </c>
      <c r="N46" s="34">
        <v>1.2670658682634699</v>
      </c>
      <c r="O46" s="34">
        <v>1.26844555541175</v>
      </c>
      <c r="P46" s="34">
        <v>1.2690660571661401</v>
      </c>
      <c r="Q46" s="34">
        <v>1.2679734339678399</v>
      </c>
      <c r="R46" s="33">
        <v>21.183040775376298</v>
      </c>
      <c r="S46" s="33">
        <v>21.201229137988001</v>
      </c>
      <c r="T46" s="33">
        <v>21.174390198937498</v>
      </c>
      <c r="U46" s="15">
        <v>1.08829112073904E-3</v>
      </c>
      <c r="V46" s="15">
        <v>1.94655121417961E-3</v>
      </c>
      <c r="W46" s="15">
        <v>6.7983497219146799E-4</v>
      </c>
      <c r="X46" s="34">
        <v>1.2673202357984199</v>
      </c>
      <c r="Y46" s="34">
        <v>1.2671331732903199</v>
      </c>
      <c r="Z46" s="34">
        <v>1.26740158227916</v>
      </c>
      <c r="AA46" s="34">
        <v>1.26698530883972</v>
      </c>
      <c r="AB46" s="33">
        <v>21.318932759349899</v>
      </c>
      <c r="AC46" s="33">
        <v>21.323271696483101</v>
      </c>
      <c r="AD46" s="33">
        <v>21.3155928842767</v>
      </c>
      <c r="AE46" s="15">
        <v>-1.47615661640976E-4</v>
      </c>
      <c r="AF46" s="15">
        <v>5.5888692956399203E-5</v>
      </c>
      <c r="AG46" s="15">
        <v>-3.0429032986407098E-4</v>
      </c>
      <c r="AI46" s="12"/>
      <c r="AJ46">
        <f t="shared" si="6"/>
        <v>0</v>
      </c>
      <c r="AK46">
        <f t="shared" si="7"/>
        <v>0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2.39808268401284E-3</v>
      </c>
      <c r="AP46" s="28">
        <f t="shared" si="9"/>
        <v>-2.3657451298694501E-3</v>
      </c>
      <c r="AQ46" s="28">
        <f t="shared" si="16"/>
        <v>3.2337554143389933E-5</v>
      </c>
      <c r="AR46" s="29">
        <f t="shared" si="17"/>
        <v>1.761538401899552E-3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3.2337554143389933E-5</v>
      </c>
      <c r="BF46" s="29">
        <f t="shared" si="23"/>
        <v>1.761538401899552E-3</v>
      </c>
      <c r="BH46" s="29"/>
    </row>
    <row r="47" spans="1:124" x14ac:dyDescent="0.25">
      <c r="A47" s="1">
        <v>46091</v>
      </c>
      <c r="B47" s="33">
        <v>16.66</v>
      </c>
      <c r="C47" s="33">
        <v>21.11</v>
      </c>
      <c r="D47" s="15">
        <v>-2.3980826840127398E-3</v>
      </c>
      <c r="E47" s="15">
        <v>-2.3657451298694601E-3</v>
      </c>
      <c r="F47" s="33">
        <v>0</v>
      </c>
      <c r="G47" s="33">
        <v>0.12454</v>
      </c>
      <c r="H47" s="33">
        <v>0</v>
      </c>
      <c r="I47" s="33">
        <v>0.16208</v>
      </c>
      <c r="J47" s="33">
        <v>0.12454</v>
      </c>
      <c r="K47" s="33">
        <v>0.16208</v>
      </c>
      <c r="L47" s="33">
        <v>16.78454</v>
      </c>
      <c r="M47" s="33">
        <v>21.272079999999999</v>
      </c>
      <c r="N47" s="34">
        <v>1.26710684273709</v>
      </c>
      <c r="O47" s="34">
        <v>1.26844555541175</v>
      </c>
      <c r="P47" s="34">
        <v>1.26856910420834</v>
      </c>
      <c r="Q47" s="34">
        <v>1.2680293140604599</v>
      </c>
      <c r="R47" s="33">
        <v>21.1323029531599</v>
      </c>
      <c r="S47" s="33">
        <v>21.142640512387899</v>
      </c>
      <c r="T47" s="33">
        <v>21.1244374099042</v>
      </c>
      <c r="U47" s="15">
        <v>1.05595356659575E-3</v>
      </c>
      <c r="V47" s="15">
        <v>1.5450167603754199E-3</v>
      </c>
      <c r="W47" s="15">
        <v>6.8367954456090101E-4</v>
      </c>
      <c r="X47" s="34">
        <v>1.26736151243942</v>
      </c>
      <c r="Y47" s="34">
        <v>1.2671331732903199</v>
      </c>
      <c r="Z47" s="34">
        <v>1.2673845735317799</v>
      </c>
      <c r="AA47" s="34">
        <v>1.2670459497337401</v>
      </c>
      <c r="AB47" s="33">
        <v>21.268247432418299</v>
      </c>
      <c r="AC47" s="33">
        <v>21.272752553827999</v>
      </c>
      <c r="AD47" s="33">
        <v>21.265765595632601</v>
      </c>
      <c r="AE47" s="15">
        <v>-1.80185147756967E-4</v>
      </c>
      <c r="AF47" s="15">
        <v>3.16162404548287E-5</v>
      </c>
      <c r="AG47" s="15">
        <v>-2.9688407230142301E-4</v>
      </c>
      <c r="AI47" s="12"/>
      <c r="AJ47">
        <f t="shared" si="6"/>
        <v>0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-2.3980826840127398E-3</v>
      </c>
      <c r="AP47" s="28">
        <f t="shared" si="9"/>
        <v>2.3657451298694601E-3</v>
      </c>
      <c r="AQ47" s="28">
        <f t="shared" si="16"/>
        <v>-3.2337554143279778E-5</v>
      </c>
      <c r="AR47" s="29">
        <f t="shared" si="17"/>
        <v>1.7292008477562723E-3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-3.2337554143279778E-5</v>
      </c>
      <c r="BF47" s="29">
        <f t="shared" si="23"/>
        <v>1.7292008477562723E-3</v>
      </c>
      <c r="BH47" s="29"/>
    </row>
    <row r="48" spans="1:124" x14ac:dyDescent="0.25">
      <c r="A48" s="1">
        <v>46092</v>
      </c>
      <c r="B48" s="33">
        <v>16.59</v>
      </c>
      <c r="C48" s="33">
        <v>21.03</v>
      </c>
      <c r="D48" s="15">
        <v>-4.2105325363434899E-3</v>
      </c>
      <c r="E48" s="15">
        <v>-3.79687214562077E-3</v>
      </c>
      <c r="F48" s="33">
        <v>0</v>
      </c>
      <c r="G48" s="33">
        <v>0.12454</v>
      </c>
      <c r="H48" s="33">
        <v>0</v>
      </c>
      <c r="I48" s="33">
        <v>0.16208</v>
      </c>
      <c r="J48" s="33">
        <v>0.12454</v>
      </c>
      <c r="K48" s="33">
        <v>0.16208</v>
      </c>
      <c r="L48" s="33">
        <v>16.71454</v>
      </c>
      <c r="M48" s="33">
        <v>21.192080000000001</v>
      </c>
      <c r="N48" s="34">
        <v>1.2676311030741401</v>
      </c>
      <c r="O48" s="34">
        <v>1.26844555541175</v>
      </c>
      <c r="P48" s="34">
        <v>1.26822773690382</v>
      </c>
      <c r="Q48" s="34">
        <v>1.2680974363783499</v>
      </c>
      <c r="R48" s="33">
        <v>21.043511764281</v>
      </c>
      <c r="S48" s="33">
        <v>21.045561438816399</v>
      </c>
      <c r="T48" s="33">
        <v>21.0366063202631</v>
      </c>
      <c r="U48" s="15">
        <v>6.4229317587284303E-4</v>
      </c>
      <c r="V48" s="15">
        <v>7.3969016663696702E-4</v>
      </c>
      <c r="W48" s="15">
        <v>3.14088579768587E-4</v>
      </c>
      <c r="X48" s="34">
        <v>1.2678829330630601</v>
      </c>
      <c r="Y48" s="34">
        <v>1.2671331732903199</v>
      </c>
      <c r="Z48" s="34">
        <v>1.2675223744394799</v>
      </c>
      <c r="AA48" s="34">
        <v>1.26711875221315</v>
      </c>
      <c r="AB48" s="33">
        <v>21.179548110288</v>
      </c>
      <c r="AC48" s="33">
        <v>21.183750149679899</v>
      </c>
      <c r="AD48" s="33">
        <v>21.178090208662599</v>
      </c>
      <c r="AE48" s="15">
        <v>-5.9152270688140002E-4</v>
      </c>
      <c r="AF48" s="15">
        <v>-3.9314158084692103E-4</v>
      </c>
      <c r="AG48" s="15">
        <v>-6.60360427010196E-4</v>
      </c>
      <c r="AI48" s="12"/>
      <c r="AJ48">
        <f t="shared" si="6"/>
        <v>0</v>
      </c>
      <c r="AK48">
        <f t="shared" si="7"/>
        <v>0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-4.2105325363434899E-3</v>
      </c>
      <c r="AP48" s="28">
        <f t="shared" si="9"/>
        <v>3.79687214562077E-3</v>
      </c>
      <c r="AQ48" s="28">
        <f t="shared" si="16"/>
        <v>-4.1366039072271996E-4</v>
      </c>
      <c r="AR48" s="29">
        <f t="shared" si="17"/>
        <v>1.3155404570335523E-3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-4.1366039072271996E-4</v>
      </c>
      <c r="BF48" s="29">
        <f t="shared" si="23"/>
        <v>1.3155404570335523E-3</v>
      </c>
      <c r="BH48" s="29"/>
    </row>
    <row r="49" spans="1:60" x14ac:dyDescent="0.25">
      <c r="A49" s="1">
        <v>46093</v>
      </c>
      <c r="B49" s="33">
        <v>16.5</v>
      </c>
      <c r="C49" s="33">
        <v>20.9</v>
      </c>
      <c r="D49" s="15">
        <v>-5.4397232958182098E-3</v>
      </c>
      <c r="E49" s="15">
        <v>-6.2008307438432102E-3</v>
      </c>
      <c r="F49" s="33">
        <v>0</v>
      </c>
      <c r="G49" s="33">
        <v>0.12454</v>
      </c>
      <c r="H49" s="33">
        <v>0</v>
      </c>
      <c r="I49" s="33">
        <v>0.16208</v>
      </c>
      <c r="J49" s="33">
        <v>0.12454</v>
      </c>
      <c r="K49" s="33">
        <v>0.16208</v>
      </c>
      <c r="L49" s="33">
        <v>16.62454</v>
      </c>
      <c r="M49" s="33">
        <v>21.062079999999899</v>
      </c>
      <c r="N49" s="34">
        <v>1.2666666666666599</v>
      </c>
      <c r="O49" s="34">
        <v>1.26844555541175</v>
      </c>
      <c r="P49" s="34">
        <v>1.2677029903325601</v>
      </c>
      <c r="Q49" s="34">
        <v>1.2681313076674501</v>
      </c>
      <c r="R49" s="33">
        <v>20.929351664294</v>
      </c>
      <c r="S49" s="33">
        <v>20.925757658913</v>
      </c>
      <c r="T49" s="33">
        <v>20.923607700242702</v>
      </c>
      <c r="U49" s="15">
        <v>1.40340062389794E-3</v>
      </c>
      <c r="V49" s="15">
        <v>1.2316650605259799E-3</v>
      </c>
      <c r="W49" s="15">
        <v>1.1289175682416301E-3</v>
      </c>
      <c r="X49" s="34">
        <v>1.26692708489979</v>
      </c>
      <c r="Y49" s="34">
        <v>1.2671331732903199</v>
      </c>
      <c r="Z49" s="34">
        <v>1.2674777583263599</v>
      </c>
      <c r="AA49" s="34">
        <v>1.26715767173019</v>
      </c>
      <c r="AB49" s="33">
        <v>21.065506124691801</v>
      </c>
      <c r="AC49" s="33">
        <v>21.071976414764102</v>
      </c>
      <c r="AD49" s="33">
        <v>21.065266380917699</v>
      </c>
      <c r="AE49" s="15">
        <v>1.6265468851265401E-4</v>
      </c>
      <c r="AF49" s="15">
        <v>4.6975847037877198E-4</v>
      </c>
      <c r="AG49" s="15">
        <v>1.5127375434550701E-4</v>
      </c>
      <c r="AI49" s="12"/>
      <c r="AJ49">
        <f t="shared" si="6"/>
        <v>0</v>
      </c>
      <c r="AK49">
        <f t="shared" si="7"/>
        <v>1</v>
      </c>
      <c r="AL49">
        <f t="shared" si="14"/>
        <v>1</v>
      </c>
      <c r="AM49">
        <f t="shared" si="4"/>
        <v>1</v>
      </c>
      <c r="AN49">
        <f t="shared" si="15"/>
        <v>1</v>
      </c>
      <c r="AO49" s="28">
        <f t="shared" si="8"/>
        <v>-5.4397232958182098E-3</v>
      </c>
      <c r="AP49" s="28">
        <f t="shared" si="9"/>
        <v>6.2008307438432102E-3</v>
      </c>
      <c r="AQ49" s="28">
        <f t="shared" si="16"/>
        <v>7.6110744802500036E-4</v>
      </c>
      <c r="AR49" s="29">
        <f t="shared" si="17"/>
        <v>2.0766479050585524E-3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7.6110744802500036E-4</v>
      </c>
      <c r="BF49" s="29">
        <f t="shared" si="23"/>
        <v>2.0766479050585524E-3</v>
      </c>
      <c r="BH49" s="29"/>
    </row>
    <row r="50" spans="1:60" x14ac:dyDescent="0.25">
      <c r="A50" s="1">
        <v>46094</v>
      </c>
      <c r="B50" s="33">
        <v>16.48</v>
      </c>
      <c r="C50" s="33">
        <v>20.88</v>
      </c>
      <c r="D50" s="15">
        <v>-1.2128564252092901E-3</v>
      </c>
      <c r="E50" s="15">
        <v>-9.5739595632733199E-4</v>
      </c>
      <c r="F50" s="33">
        <v>0</v>
      </c>
      <c r="G50" s="33">
        <v>0.12454</v>
      </c>
      <c r="H50" s="33">
        <v>0</v>
      </c>
      <c r="I50" s="33">
        <v>0.16208</v>
      </c>
      <c r="J50" s="33">
        <v>0.12454</v>
      </c>
      <c r="K50" s="33">
        <v>0.16208</v>
      </c>
      <c r="L50" s="33">
        <v>16.60454</v>
      </c>
      <c r="M50" s="33">
        <v>21.042079999999999</v>
      </c>
      <c r="N50" s="34">
        <v>1.26699029126213</v>
      </c>
      <c r="O50" s="34">
        <v>1.26844555541175</v>
      </c>
      <c r="P50" s="34">
        <v>1.26730255549213</v>
      </c>
      <c r="Q50" s="34">
        <v>1.2681832670725299</v>
      </c>
      <c r="R50" s="33">
        <v>20.903982753185701</v>
      </c>
      <c r="S50" s="33">
        <v>20.891745280680599</v>
      </c>
      <c r="T50" s="33">
        <v>20.8988039503596</v>
      </c>
      <c r="U50" s="15">
        <v>1.1479401550159301E-3</v>
      </c>
      <c r="V50" s="15">
        <v>5.6235529117862901E-4</v>
      </c>
      <c r="W50" s="15">
        <v>9.0016706326406998E-4</v>
      </c>
      <c r="X50" s="34">
        <v>1.2672485958659401</v>
      </c>
      <c r="Y50" s="34">
        <v>1.2671331732903199</v>
      </c>
      <c r="Z50" s="34">
        <v>1.2675560286471499</v>
      </c>
      <c r="AA50" s="34">
        <v>1.2672145855575601</v>
      </c>
      <c r="AB50" s="33">
        <v>21.040163461226001</v>
      </c>
      <c r="AC50" s="33">
        <v>21.045885137240401</v>
      </c>
      <c r="AD50" s="33">
        <v>21.040570246550899</v>
      </c>
      <c r="AE50" s="15">
        <v>-9.1085389827176696E-5</v>
      </c>
      <c r="AF50" s="15">
        <v>1.8081830463468799E-4</v>
      </c>
      <c r="AG50" s="15">
        <v>-7.1751823655641695E-5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2.0766479050585524E-3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2.0766479050585524E-3</v>
      </c>
      <c r="BH50" s="29"/>
    </row>
    <row r="51" spans="1:60" x14ac:dyDescent="0.25">
      <c r="A51" s="1">
        <v>46097</v>
      </c>
      <c r="B51" s="33">
        <v>16.52</v>
      </c>
      <c r="C51" s="33">
        <v>20.93</v>
      </c>
      <c r="D51" s="15">
        <v>2.4242436115062501E-3</v>
      </c>
      <c r="E51" s="15">
        <v>2.3917734434704598E-3</v>
      </c>
      <c r="F51" s="33">
        <v>0</v>
      </c>
      <c r="G51" s="33">
        <v>0.12454</v>
      </c>
      <c r="H51" s="33">
        <v>0</v>
      </c>
      <c r="I51" s="33">
        <v>0.16208</v>
      </c>
      <c r="J51" s="33">
        <v>0.12454</v>
      </c>
      <c r="K51" s="33">
        <v>0.16208</v>
      </c>
      <c r="L51" s="33">
        <v>16.644539999999999</v>
      </c>
      <c r="M51" s="33">
        <v>21.092079999999999</v>
      </c>
      <c r="N51" s="34">
        <v>1.2669491525423699</v>
      </c>
      <c r="O51" s="34">
        <v>1.26844555541175</v>
      </c>
      <c r="P51" s="34">
        <v>1.2672192280685399</v>
      </c>
      <c r="Q51" s="34">
        <v>1.26820532315295</v>
      </c>
      <c r="R51" s="33">
        <v>20.954720575402199</v>
      </c>
      <c r="S51" s="33">
        <v>20.935838216729898</v>
      </c>
      <c r="T51" s="33">
        <v>20.950387572038299</v>
      </c>
      <c r="U51" s="15">
        <v>1.1804103230517E-3</v>
      </c>
      <c r="V51" s="15">
        <v>2.7890122431644499E-4</v>
      </c>
      <c r="W51" s="15">
        <v>9.73609597749595E-4</v>
      </c>
      <c r="X51" s="34">
        <v>1.26720714420464</v>
      </c>
      <c r="Y51" s="34">
        <v>1.2671331732903199</v>
      </c>
      <c r="Z51" s="34">
        <v>1.26747363838484</v>
      </c>
      <c r="AA51" s="34">
        <v>1.2672417022882201</v>
      </c>
      <c r="AB51" s="33">
        <v>21.0908487881577</v>
      </c>
      <c r="AC51" s="33">
        <v>21.0978870210587</v>
      </c>
      <c r="AD51" s="33">
        <v>21.092203857896301</v>
      </c>
      <c r="AE51" s="15">
        <v>-5.8374886619729702E-5</v>
      </c>
      <c r="AF51" s="15">
        <v>2.7527971721365399E-4</v>
      </c>
      <c r="AG51" s="15">
        <v>5.8722294209131497E-6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2.0766479050585524E-3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2.0766479050585524E-3</v>
      </c>
      <c r="BH51" s="29"/>
    </row>
    <row r="52" spans="1:60" x14ac:dyDescent="0.25">
      <c r="A52" s="1">
        <v>46098</v>
      </c>
      <c r="B52" s="33">
        <v>16.579999999999998</v>
      </c>
      <c r="C52" s="33">
        <v>21</v>
      </c>
      <c r="D52" s="15">
        <v>3.62538161431683E-3</v>
      </c>
      <c r="E52" s="15">
        <v>3.3389012655146298E-3</v>
      </c>
      <c r="F52" s="33">
        <v>0</v>
      </c>
      <c r="G52" s="33">
        <v>0.12454</v>
      </c>
      <c r="H52" s="33">
        <v>0</v>
      </c>
      <c r="I52" s="33">
        <v>0.16208</v>
      </c>
      <c r="J52" s="33">
        <v>0.12454</v>
      </c>
      <c r="K52" s="33">
        <v>0.16208</v>
      </c>
      <c r="L52" s="33">
        <v>16.704539999999898</v>
      </c>
      <c r="M52" s="33">
        <v>21.16208</v>
      </c>
      <c r="N52" s="34">
        <v>1.26658624849215</v>
      </c>
      <c r="O52" s="34">
        <v>1.26844555541175</v>
      </c>
      <c r="P52" s="34">
        <v>1.2672191559661701</v>
      </c>
      <c r="Q52" s="34">
        <v>1.26817154033947</v>
      </c>
      <c r="R52" s="33">
        <v>21.030827308726899</v>
      </c>
      <c r="S52" s="33">
        <v>21.010494801376399</v>
      </c>
      <c r="T52" s="33">
        <v>21.026844257876</v>
      </c>
      <c r="U52" s="15">
        <v>1.4668906718539299E-3</v>
      </c>
      <c r="V52" s="15">
        <v>4.9962761183268997E-4</v>
      </c>
      <c r="W52" s="15">
        <v>1.2774816668156099E-3</v>
      </c>
      <c r="X52" s="34">
        <v>1.2668460191061801</v>
      </c>
      <c r="Y52" s="34">
        <v>1.2671331732903199</v>
      </c>
      <c r="Z52" s="34">
        <v>1.2674737980027599</v>
      </c>
      <c r="AA52" s="34">
        <v>1.2672132039331101</v>
      </c>
      <c r="AB52" s="33">
        <v>21.1668767785551</v>
      </c>
      <c r="AC52" s="33">
        <v>21.172564091345201</v>
      </c>
      <c r="AD52" s="33">
        <v>21.168689705541698</v>
      </c>
      <c r="AE52" s="15">
        <v>2.2664289133058301E-4</v>
      </c>
      <c r="AF52" s="15">
        <v>4.9529607651415503E-4</v>
      </c>
      <c r="AG52" s="15">
        <v>3.1228846729918202E-4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2.0766479050585524E-3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2.0766479050585524E-3</v>
      </c>
      <c r="BH52" s="29"/>
    </row>
    <row r="53" spans="1:60" x14ac:dyDescent="0.25">
      <c r="A53" s="1">
        <v>46099</v>
      </c>
      <c r="B53" s="33">
        <v>16.5</v>
      </c>
      <c r="C53" s="33">
        <v>20.91</v>
      </c>
      <c r="D53" s="15">
        <v>-4.8367688006138798E-3</v>
      </c>
      <c r="E53" s="15">
        <v>-4.2949242828807296E-3</v>
      </c>
      <c r="F53" s="33">
        <v>0</v>
      </c>
      <c r="G53" s="33">
        <v>0.12454</v>
      </c>
      <c r="H53" s="33">
        <v>0</v>
      </c>
      <c r="I53" s="33">
        <v>0.16208</v>
      </c>
      <c r="J53" s="33">
        <v>0.12454</v>
      </c>
      <c r="K53" s="33">
        <v>0.16208</v>
      </c>
      <c r="L53" s="33">
        <v>16.62454</v>
      </c>
      <c r="M53" s="33">
        <v>21.07208</v>
      </c>
      <c r="N53" s="34">
        <v>1.26727272727272</v>
      </c>
      <c r="O53" s="34">
        <v>1.26844555541175</v>
      </c>
      <c r="P53" s="34">
        <v>1.2671361354558599</v>
      </c>
      <c r="Q53" s="34">
        <v>1.2682018433697699</v>
      </c>
      <c r="R53" s="33">
        <v>20.929351664294</v>
      </c>
      <c r="S53" s="33">
        <v>20.909116073441801</v>
      </c>
      <c r="T53" s="33">
        <v>20.9248304156012</v>
      </c>
      <c r="U53" s="15">
        <v>9.2504615412089802E-4</v>
      </c>
      <c r="V53" s="15">
        <v>-4.2273804003419302E-5</v>
      </c>
      <c r="W53" s="15">
        <v>7.0899851034128103E-4</v>
      </c>
      <c r="X53" s="34">
        <v>1.2675286053027599</v>
      </c>
      <c r="Y53" s="34">
        <v>1.2671331732903199</v>
      </c>
      <c r="Z53" s="34">
        <v>1.2673917108599799</v>
      </c>
      <c r="AA53" s="34">
        <v>1.2672484866398599</v>
      </c>
      <c r="AB53" s="33">
        <v>21.065506124691801</v>
      </c>
      <c r="AC53" s="33">
        <v>21.0711688538488</v>
      </c>
      <c r="AD53" s="33">
        <v>21.0668365973142</v>
      </c>
      <c r="AE53" s="15">
        <v>-3.1201955147517902E-4</v>
      </c>
      <c r="AF53" s="15">
        <v>-4.3240432383845097E-5</v>
      </c>
      <c r="AG53" s="15">
        <v>-2.4886272055478698E-4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2.0766479050585524E-3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2.0766479050585524E-3</v>
      </c>
      <c r="BH53" s="29"/>
    </row>
    <row r="54" spans="1:60" x14ac:dyDescent="0.25">
      <c r="A54" s="1">
        <v>46100</v>
      </c>
      <c r="B54" s="33">
        <v>16.53</v>
      </c>
      <c r="C54" s="33">
        <v>20.95</v>
      </c>
      <c r="D54" s="15">
        <v>1.816530926398E-3</v>
      </c>
      <c r="E54" s="15">
        <v>1.9111329276045601E-3</v>
      </c>
      <c r="F54" s="33">
        <v>0</v>
      </c>
      <c r="G54" s="33">
        <v>0.12454</v>
      </c>
      <c r="H54" s="33">
        <v>0</v>
      </c>
      <c r="I54" s="33">
        <v>0.16208</v>
      </c>
      <c r="J54" s="33">
        <v>0.12454</v>
      </c>
      <c r="K54" s="33">
        <v>0.16208</v>
      </c>
      <c r="L54" s="33">
        <v>16.654540000000001</v>
      </c>
      <c r="M54" s="33">
        <v>21.112079999999999</v>
      </c>
      <c r="N54" s="34">
        <v>1.26739261947973</v>
      </c>
      <c r="O54" s="34">
        <v>1.26844555541175</v>
      </c>
      <c r="P54" s="34">
        <v>1.26707683625276</v>
      </c>
      <c r="Q54" s="34">
        <v>1.2682758169969399</v>
      </c>
      <c r="R54" s="33">
        <v>20.9674050309563</v>
      </c>
      <c r="S54" s="33">
        <v>20.945760319085402</v>
      </c>
      <c r="T54" s="33">
        <v>20.9633764709023</v>
      </c>
      <c r="U54" s="15">
        <v>8.3044415291435398E-4</v>
      </c>
      <c r="V54" s="15">
        <v>-2.02391883890885E-4</v>
      </c>
      <c r="W54" s="15">
        <v>6.3829127991175299E-4</v>
      </c>
      <c r="X54" s="34">
        <v>1.2676471400591001</v>
      </c>
      <c r="Y54" s="34">
        <v>1.2671331732903199</v>
      </c>
      <c r="Z54" s="34">
        <v>1.26733307831787</v>
      </c>
      <c r="AA54" s="34">
        <v>1.2673272373411699</v>
      </c>
      <c r="AB54" s="33">
        <v>21.1035201198906</v>
      </c>
      <c r="AC54" s="33">
        <v>21.107825944186001</v>
      </c>
      <c r="AD54" s="33">
        <v>21.1054406106831</v>
      </c>
      <c r="AE54" s="15">
        <v>-4.0553161401910698E-4</v>
      </c>
      <c r="AF54" s="15">
        <v>-2.0151896283176999E-4</v>
      </c>
      <c r="AG54" s="15">
        <v>-3.1453241571486798E-4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2.0766479050585524E-3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2.0766479050585524E-3</v>
      </c>
      <c r="BH54" s="29"/>
    </row>
    <row r="55" spans="1:60" x14ac:dyDescent="0.25">
      <c r="A55" s="1">
        <v>46101</v>
      </c>
      <c r="B55" s="33">
        <v>16.420000000000002</v>
      </c>
      <c r="C55" s="33">
        <v>20.8</v>
      </c>
      <c r="D55" s="15">
        <v>-6.6768078086506403E-3</v>
      </c>
      <c r="E55" s="15">
        <v>-7.1856596608743696E-3</v>
      </c>
      <c r="F55" s="33">
        <v>0</v>
      </c>
      <c r="G55" s="33">
        <v>0.12454</v>
      </c>
      <c r="H55" s="33">
        <v>0</v>
      </c>
      <c r="I55" s="33">
        <v>0.16208</v>
      </c>
      <c r="J55" s="33">
        <v>0.12454</v>
      </c>
      <c r="K55" s="33">
        <v>0.16208</v>
      </c>
      <c r="L55" s="33">
        <v>16.544540000000001</v>
      </c>
      <c r="M55" s="33">
        <v>20.96208</v>
      </c>
      <c r="N55" s="34">
        <v>1.2667478684530999</v>
      </c>
      <c r="O55" s="34">
        <v>1.26844555541175</v>
      </c>
      <c r="P55" s="34">
        <v>1.26704093882436</v>
      </c>
      <c r="Q55" s="34">
        <v>1.2682878088728999</v>
      </c>
      <c r="R55" s="33">
        <v>20.827876019861002</v>
      </c>
      <c r="S55" s="33">
        <v>20.805401651270301</v>
      </c>
      <c r="T55" s="33">
        <v>20.8250889150898</v>
      </c>
      <c r="U55" s="15">
        <v>1.33929600513812E-3</v>
      </c>
      <c r="V55" s="15">
        <v>2.5966105776113301E-4</v>
      </c>
      <c r="W55" s="15">
        <v>1.2054709686831399E-3</v>
      </c>
      <c r="X55" s="34">
        <v>1.26700893466968</v>
      </c>
      <c r="Y55" s="34">
        <v>1.2671331732903199</v>
      </c>
      <c r="Z55" s="34">
        <v>1.2672978205409</v>
      </c>
      <c r="AA55" s="34">
        <v>1.26734444359508</v>
      </c>
      <c r="AB55" s="33">
        <v>20.964135470828602</v>
      </c>
      <c r="AC55" s="33">
        <v>20.967442807553201</v>
      </c>
      <c r="AD55" s="33">
        <v>20.9673461712805</v>
      </c>
      <c r="AE55" s="15">
        <v>9.8051818282885597E-5</v>
      </c>
      <c r="AF55" s="15">
        <v>2.5580103103615601E-4</v>
      </c>
      <c r="AG55" s="15">
        <v>2.5119214781228099E-4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2.0766479050585524E-3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2.0766479050585524E-3</v>
      </c>
      <c r="BH55" s="29"/>
    </row>
    <row r="56" spans="1:60" x14ac:dyDescent="0.25">
      <c r="A56" s="1">
        <v>46104</v>
      </c>
      <c r="B56" s="33">
        <v>16.420000000000002</v>
      </c>
      <c r="C56" s="33">
        <v>20.87</v>
      </c>
      <c r="D56" s="15">
        <v>0</v>
      </c>
      <c r="E56" s="15">
        <v>3.35973438183719E-3</v>
      </c>
      <c r="F56" s="33">
        <v>6.2280000000000002E-2</v>
      </c>
      <c r="G56" s="33">
        <v>0.18681999999999899</v>
      </c>
      <c r="H56" s="33">
        <v>0</v>
      </c>
      <c r="I56" s="33">
        <v>0.16208</v>
      </c>
      <c r="J56" s="33">
        <v>0.18681999999999899</v>
      </c>
      <c r="K56" s="33">
        <v>0.16208</v>
      </c>
      <c r="L56" s="33">
        <v>16.606819999999999</v>
      </c>
      <c r="M56" s="33">
        <v>21.032080000000001</v>
      </c>
      <c r="N56" s="34">
        <v>1.2710109622411601</v>
      </c>
      <c r="O56" s="34">
        <v>1.26844555541175</v>
      </c>
      <c r="P56" s="34">
        <v>1.2674354482221299</v>
      </c>
      <c r="Q56" s="34">
        <v>1.26825075269413</v>
      </c>
      <c r="R56" s="33">
        <v>20.827876019861002</v>
      </c>
      <c r="S56" s="33">
        <v>20.804812215496</v>
      </c>
      <c r="T56" s="33">
        <v>20.825285821693001</v>
      </c>
      <c r="U56" s="15">
        <v>-2.0204383766989102E-3</v>
      </c>
      <c r="V56" s="15">
        <v>-3.1284046263971199E-3</v>
      </c>
      <c r="W56" s="15">
        <v>-2.1448081991512799E-3</v>
      </c>
      <c r="X56" s="34">
        <v>1.2664724492708399</v>
      </c>
      <c r="Y56" s="34">
        <v>1.2671331732903199</v>
      </c>
      <c r="Z56" s="34">
        <v>1.26721304188814</v>
      </c>
      <c r="AA56" s="34">
        <v>1.26730731208365</v>
      </c>
      <c r="AB56" s="33">
        <v>21.0430525248611</v>
      </c>
      <c r="AC56" s="33">
        <v>21.045786792115099</v>
      </c>
      <c r="AD56" s="33">
        <v>21.046561052783701</v>
      </c>
      <c r="AE56" s="15">
        <v>5.2156817823232997E-4</v>
      </c>
      <c r="AF56" s="15">
        <v>6.5149655364616602E-4</v>
      </c>
      <c r="AG56" s="15">
        <v>6.8828521991580796E-4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2.0766479050585524E-3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2.0766479050585524E-3</v>
      </c>
      <c r="BH56" s="29"/>
    </row>
    <row r="57" spans="1:60" x14ac:dyDescent="0.25">
      <c r="A57" s="1">
        <v>46105</v>
      </c>
      <c r="B57" s="33">
        <v>16.37</v>
      </c>
      <c r="C57" s="33">
        <v>20.83</v>
      </c>
      <c r="D57" s="15">
        <v>-3.0497126412387002E-3</v>
      </c>
      <c r="E57" s="15">
        <v>-1.91846581622892E-3</v>
      </c>
      <c r="F57" s="33">
        <v>0</v>
      </c>
      <c r="G57" s="33">
        <v>0.18681999999999899</v>
      </c>
      <c r="H57" s="33">
        <v>0</v>
      </c>
      <c r="I57" s="33">
        <v>0.16208</v>
      </c>
      <c r="J57" s="33">
        <v>0.18681999999999899</v>
      </c>
      <c r="K57" s="33">
        <v>0.16208</v>
      </c>
      <c r="L57" s="33">
        <v>16.556819999999998</v>
      </c>
      <c r="M57" s="33">
        <v>20.992079999999898</v>
      </c>
      <c r="N57" s="34">
        <v>1.2724496029321899</v>
      </c>
      <c r="O57" s="34">
        <v>1.26844555541175</v>
      </c>
      <c r="P57" s="34">
        <v>1.2679697242416399</v>
      </c>
      <c r="Q57" s="34">
        <v>1.26826941422499</v>
      </c>
      <c r="R57" s="33">
        <v>20.764453742090499</v>
      </c>
      <c r="S57" s="33">
        <v>20.7479182873962</v>
      </c>
      <c r="T57" s="33">
        <v>20.761264821603</v>
      </c>
      <c r="U57" s="15">
        <v>-3.15168520170872E-3</v>
      </c>
      <c r="V57" s="15">
        <v>-3.9483371278866298E-3</v>
      </c>
      <c r="W57" s="15">
        <v>-3.3052729350006899E-3</v>
      </c>
      <c r="X57" s="34">
        <v>1.2678811510906001</v>
      </c>
      <c r="Y57" s="34">
        <v>1.2671331732903199</v>
      </c>
      <c r="Z57" s="34">
        <v>1.26726500575326</v>
      </c>
      <c r="AA57" s="34">
        <v>1.2673247896425199</v>
      </c>
      <c r="AB57" s="33">
        <v>20.9796958661966</v>
      </c>
      <c r="AC57" s="33">
        <v>20.981018236194501</v>
      </c>
      <c r="AD57" s="33">
        <v>20.982579050852902</v>
      </c>
      <c r="AE57" s="15">
        <v>-5.9011723507653205E-4</v>
      </c>
      <c r="AF57" s="15">
        <v>-5.2708827922825499E-4</v>
      </c>
      <c r="AG57" s="15">
        <v>-4.5269929639205601E-4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2.0766479050585524E-3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2.0766479050585524E-3</v>
      </c>
      <c r="BH57" s="29"/>
    </row>
    <row r="58" spans="1:60" x14ac:dyDescent="0.25">
      <c r="A58" s="1">
        <v>46106</v>
      </c>
      <c r="B58" s="33">
        <v>16.41</v>
      </c>
      <c r="C58" s="33">
        <v>20.87</v>
      </c>
      <c r="D58" s="15">
        <v>2.4405137189560202E-3</v>
      </c>
      <c r="E58" s="15">
        <v>1.91846581622892E-3</v>
      </c>
      <c r="F58" s="33">
        <v>0</v>
      </c>
      <c r="G58" s="33">
        <v>0.18681999999999899</v>
      </c>
      <c r="H58" s="33">
        <v>0</v>
      </c>
      <c r="I58" s="33">
        <v>0.16208</v>
      </c>
      <c r="J58" s="33">
        <v>0.18681999999999899</v>
      </c>
      <c r="K58" s="33">
        <v>0.16208</v>
      </c>
      <c r="L58" s="33">
        <v>16.596820000000001</v>
      </c>
      <c r="M58" s="33">
        <v>21.032080000000001</v>
      </c>
      <c r="N58" s="34">
        <v>1.2717854966483799</v>
      </c>
      <c r="O58" s="34">
        <v>1.26844555541175</v>
      </c>
      <c r="P58" s="34">
        <v>1.26838516359906</v>
      </c>
      <c r="Q58" s="34">
        <v>1.2683064502514401</v>
      </c>
      <c r="R58" s="33">
        <v>20.8151915643069</v>
      </c>
      <c r="S58" s="33">
        <v>20.807383174805299</v>
      </c>
      <c r="T58" s="33">
        <v>20.8123010874321</v>
      </c>
      <c r="U58" s="15">
        <v>-2.6296372989816599E-3</v>
      </c>
      <c r="V58" s="15">
        <v>-3.0048370381713799E-3</v>
      </c>
      <c r="W58" s="15">
        <v>-2.7685107547359899E-3</v>
      </c>
      <c r="X58" s="34">
        <v>1.2672355306618901</v>
      </c>
      <c r="Y58" s="34">
        <v>1.2671331732903199</v>
      </c>
      <c r="Z58" s="34">
        <v>1.26720026551314</v>
      </c>
      <c r="AA58" s="34">
        <v>1.2673613199763101</v>
      </c>
      <c r="AB58" s="33">
        <v>21.0303811931282</v>
      </c>
      <c r="AC58" s="33">
        <v>21.0325691927859</v>
      </c>
      <c r="AD58" s="33">
        <v>21.0335614152348</v>
      </c>
      <c r="AE58" s="15">
        <v>-8.0775438452615697E-5</v>
      </c>
      <c r="AF58" s="15">
        <v>2.3259092625628202E-5</v>
      </c>
      <c r="AG58" s="15">
        <v>7.0433502763893297E-5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2.0766479050585524E-3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2.0766479050585524E-3</v>
      </c>
      <c r="BH58" s="29"/>
    </row>
    <row r="59" spans="1:60" x14ac:dyDescent="0.25">
      <c r="A59" s="1">
        <v>46107</v>
      </c>
      <c r="B59" s="33">
        <v>16.32</v>
      </c>
      <c r="C59" s="33">
        <v>20.75</v>
      </c>
      <c r="D59" s="15">
        <v>-5.4995555660385404E-3</v>
      </c>
      <c r="E59" s="15">
        <v>-5.7664744124021399E-3</v>
      </c>
      <c r="F59" s="33">
        <v>0</v>
      </c>
      <c r="G59" s="33">
        <v>0.18681999999999899</v>
      </c>
      <c r="H59" s="33">
        <v>0</v>
      </c>
      <c r="I59" s="33">
        <v>0.16208</v>
      </c>
      <c r="J59" s="33">
        <v>0.18681999999999899</v>
      </c>
      <c r="K59" s="33">
        <v>0.16208</v>
      </c>
      <c r="L59" s="33">
        <v>16.506820000000001</v>
      </c>
      <c r="M59" s="33">
        <v>20.91208</v>
      </c>
      <c r="N59" s="34">
        <v>1.2714460784313699</v>
      </c>
      <c r="O59" s="34">
        <v>1.26844555541175</v>
      </c>
      <c r="P59" s="34">
        <v>1.2688631047755301</v>
      </c>
      <c r="Q59" s="34">
        <v>1.2682830475540401</v>
      </c>
      <c r="R59" s="33">
        <v>20.7010314643199</v>
      </c>
      <c r="S59" s="33">
        <v>20.700045869936702</v>
      </c>
      <c r="T59" s="33">
        <v>20.6987612681035</v>
      </c>
      <c r="U59" s="15">
        <v>-2.3627184526181901E-3</v>
      </c>
      <c r="V59" s="15">
        <v>-2.41033046886629E-3</v>
      </c>
      <c r="W59" s="15">
        <v>-2.4723903165963998E-3</v>
      </c>
      <c r="X59" s="34">
        <v>1.26687514615171</v>
      </c>
      <c r="Y59" s="34">
        <v>1.2671331732903199</v>
      </c>
      <c r="Z59" s="34">
        <v>1.26719507163833</v>
      </c>
      <c r="AA59" s="34">
        <v>1.2673364149823501</v>
      </c>
      <c r="AB59" s="33">
        <v>20.916339207532101</v>
      </c>
      <c r="AC59" s="33">
        <v>20.917446686777701</v>
      </c>
      <c r="AD59" s="33">
        <v>20.920105183811401</v>
      </c>
      <c r="AE59" s="15">
        <v>2.0365137519302501E-4</v>
      </c>
      <c r="AF59" s="15">
        <v>2.56598017346521E-4</v>
      </c>
      <c r="AG59" s="15">
        <v>3.83684661684147E-4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2.0766479050585524E-3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2.0766479050585524E-3</v>
      </c>
      <c r="BH59" s="29"/>
    </row>
    <row r="60" spans="1:60" x14ac:dyDescent="0.25">
      <c r="A60" s="1">
        <v>46108</v>
      </c>
      <c r="B60" s="33">
        <v>16.32</v>
      </c>
      <c r="C60" s="33">
        <v>20.76</v>
      </c>
      <c r="D60" s="15">
        <v>0</v>
      </c>
      <c r="E60" s="15">
        <v>4.81811620980643E-4</v>
      </c>
      <c r="F60" s="33">
        <v>0</v>
      </c>
      <c r="G60" s="33">
        <v>0.18681999999999899</v>
      </c>
      <c r="H60" s="33">
        <v>0</v>
      </c>
      <c r="I60" s="33">
        <v>0.16208</v>
      </c>
      <c r="J60" s="33">
        <v>0.18681999999999899</v>
      </c>
      <c r="K60" s="33">
        <v>0.16208</v>
      </c>
      <c r="L60" s="33">
        <v>16.506820000000001</v>
      </c>
      <c r="M60" s="33">
        <v>20.922080000000001</v>
      </c>
      <c r="N60" s="34">
        <v>1.2720588235294099</v>
      </c>
      <c r="O60" s="34">
        <v>1.26844555541175</v>
      </c>
      <c r="P60" s="34">
        <v>1.2693699580022599</v>
      </c>
      <c r="Q60" s="34">
        <v>1.2683362567471901</v>
      </c>
      <c r="R60" s="33">
        <v>20.7010314643199</v>
      </c>
      <c r="S60" s="33">
        <v>20.707845869936701</v>
      </c>
      <c r="T60" s="33">
        <v>20.698379336081999</v>
      </c>
      <c r="U60" s="15">
        <v>-2.8445300735988701E-3</v>
      </c>
      <c r="V60" s="15">
        <v>-2.5154023059787201E-3</v>
      </c>
      <c r="W60" s="15">
        <v>-2.9726540343113302E-3</v>
      </c>
      <c r="X60" s="34">
        <v>1.2674809563562199</v>
      </c>
      <c r="Y60" s="34">
        <v>1.2671331732903199</v>
      </c>
      <c r="Z60" s="34">
        <v>1.26721830768736</v>
      </c>
      <c r="AA60" s="34">
        <v>1.2673871681672599</v>
      </c>
      <c r="AB60" s="33">
        <v>20.916339207532101</v>
      </c>
      <c r="AC60" s="33">
        <v>20.917360952421099</v>
      </c>
      <c r="AD60" s="33">
        <v>20.919694081558902</v>
      </c>
      <c r="AE60" s="15">
        <v>-2.74426836032784E-4</v>
      </c>
      <c r="AF60" s="15">
        <v>-2.25578903131354E-4</v>
      </c>
      <c r="AG60" s="15">
        <v>-1.14044803117265E-4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2.0766479050585524E-3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2.0766479050585524E-3</v>
      </c>
      <c r="BH60" s="29"/>
    </row>
    <row r="61" spans="1:60" x14ac:dyDescent="0.25">
      <c r="A61" s="1">
        <v>46111</v>
      </c>
      <c r="B61" s="33">
        <v>16.38</v>
      </c>
      <c r="C61" s="33">
        <v>20.83</v>
      </c>
      <c r="D61" s="15">
        <v>3.6697288889623999E-3</v>
      </c>
      <c r="E61" s="15">
        <v>3.3661969751924898E-3</v>
      </c>
      <c r="F61" s="33">
        <v>0</v>
      </c>
      <c r="G61" s="33">
        <v>0.18681999999999899</v>
      </c>
      <c r="H61" s="33">
        <v>0</v>
      </c>
      <c r="I61" s="33">
        <v>0.16208</v>
      </c>
      <c r="J61" s="33">
        <v>0.18681999999999899</v>
      </c>
      <c r="K61" s="33">
        <v>0.16208</v>
      </c>
      <c r="L61" s="33">
        <v>16.56682</v>
      </c>
      <c r="M61" s="33">
        <v>20.992079999999898</v>
      </c>
      <c r="N61" s="34">
        <v>1.27167277167277</v>
      </c>
      <c r="O61" s="34">
        <v>1.26844555541175</v>
      </c>
      <c r="P61" s="34">
        <v>1.2698423199152999</v>
      </c>
      <c r="Q61" s="34">
        <v>1.26853077399192</v>
      </c>
      <c r="R61" s="33">
        <v>20.7771381976446</v>
      </c>
      <c r="S61" s="33">
        <v>20.792279912076999</v>
      </c>
      <c r="T61" s="33">
        <v>20.775347885519</v>
      </c>
      <c r="U61" s="15">
        <v>-2.54099815982912E-3</v>
      </c>
      <c r="V61" s="15">
        <v>-1.8124955350319501E-3</v>
      </c>
      <c r="W61" s="15">
        <v>-2.6271692795576201E-3</v>
      </c>
      <c r="X61" s="34">
        <v>1.2671158375596501</v>
      </c>
      <c r="Y61" s="34">
        <v>1.2671331732903199</v>
      </c>
      <c r="Z61" s="34">
        <v>1.26720917702286</v>
      </c>
      <c r="AA61" s="34">
        <v>1.2673414077038501</v>
      </c>
      <c r="AB61" s="33">
        <v>20.9923671979295</v>
      </c>
      <c r="AC61" s="33">
        <v>20.993777604161199</v>
      </c>
      <c r="AD61" s="33">
        <v>20.996575085336701</v>
      </c>
      <c r="AE61" s="15">
        <v>1.36811580836459E-5</v>
      </c>
      <c r="AF61" s="15">
        <v>8.0865522774405802E-5</v>
      </c>
      <c r="AG61" s="15">
        <v>2.1410951814416801E-4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2.0766479050585524E-3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2.0766479050585524E-3</v>
      </c>
      <c r="BH61" s="29"/>
    </row>
    <row r="62" spans="1:60" x14ac:dyDescent="0.25">
      <c r="A62" s="1">
        <v>46112</v>
      </c>
      <c r="B62" s="33">
        <v>16.46</v>
      </c>
      <c r="C62" s="33">
        <v>20.93</v>
      </c>
      <c r="D62" s="15">
        <v>4.8721168240005901E-3</v>
      </c>
      <c r="E62" s="15">
        <v>4.78928118502772E-3</v>
      </c>
      <c r="F62" s="33">
        <v>0</v>
      </c>
      <c r="G62" s="33">
        <v>0.18681999999999899</v>
      </c>
      <c r="H62" s="33">
        <v>0</v>
      </c>
      <c r="I62" s="33">
        <v>0.16208</v>
      </c>
      <c r="J62" s="33">
        <v>0.18681999999999899</v>
      </c>
      <c r="K62" s="33">
        <v>0.16208</v>
      </c>
      <c r="L62" s="33">
        <v>16.646820000000002</v>
      </c>
      <c r="M62" s="33">
        <v>21.092079999999999</v>
      </c>
      <c r="N62" s="34">
        <v>1.2715674362089899</v>
      </c>
      <c r="O62" s="34">
        <v>1.26844555541175</v>
      </c>
      <c r="P62" s="34">
        <v>1.2703404386869801</v>
      </c>
      <c r="Q62" s="34">
        <v>1.26877979732658</v>
      </c>
      <c r="R62" s="33">
        <v>20.878613842077499</v>
      </c>
      <c r="S62" s="33">
        <v>20.901604585805799</v>
      </c>
      <c r="T62" s="33">
        <v>20.880016539907</v>
      </c>
      <c r="U62" s="15">
        <v>-2.4581625208563401E-3</v>
      </c>
      <c r="V62" s="15">
        <v>-1.3576059936764001E-3</v>
      </c>
      <c r="W62" s="15">
        <v>-2.3909813026415502E-3</v>
      </c>
      <c r="X62" s="34">
        <v>1.26703358359134</v>
      </c>
      <c r="Y62" s="34">
        <v>1.2671331732903199</v>
      </c>
      <c r="Z62" s="34">
        <v>1.2672279334713801</v>
      </c>
      <c r="AA62" s="34">
        <v>1.26735086573707</v>
      </c>
      <c r="AB62" s="33">
        <v>21.093737851792799</v>
      </c>
      <c r="AC62" s="33">
        <v>21.095003072247799</v>
      </c>
      <c r="AD62" s="33">
        <v>21.0972042925927</v>
      </c>
      <c r="AE62" s="15">
        <v>7.8597589335968704E-5</v>
      </c>
      <c r="AF62" s="15">
        <v>1.3857664667083199E-4</v>
      </c>
      <c r="AG62" s="15">
        <v>2.4291915370656101E-4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2.0766479050585524E-3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2.0766479050585524E-3</v>
      </c>
      <c r="BH62" s="29"/>
    </row>
    <row r="63" spans="1:60" x14ac:dyDescent="0.25">
      <c r="A63" s="1">
        <v>46113</v>
      </c>
      <c r="B63" s="33">
        <v>16.46</v>
      </c>
      <c r="C63" s="33">
        <v>20.86</v>
      </c>
      <c r="D63" s="15">
        <v>0</v>
      </c>
      <c r="E63" s="15">
        <v>-3.3500868852819701E-3</v>
      </c>
      <c r="F63" s="33">
        <v>0</v>
      </c>
      <c r="G63" s="33">
        <v>0.18681999999999899</v>
      </c>
      <c r="H63" s="33">
        <v>8.3547999999999997E-2</v>
      </c>
      <c r="I63" s="33">
        <v>0.24562800000000001</v>
      </c>
      <c r="J63" s="33">
        <v>0.18681999999999899</v>
      </c>
      <c r="K63" s="33">
        <v>0.24562800000000001</v>
      </c>
      <c r="L63" s="33">
        <v>16.646820000000002</v>
      </c>
      <c r="M63" s="33">
        <v>21.105627999999999</v>
      </c>
      <c r="N63" s="34">
        <v>1.26731470230862</v>
      </c>
      <c r="O63" s="34">
        <v>1.26844555541175</v>
      </c>
      <c r="P63" s="34">
        <v>1.2703446361905699</v>
      </c>
      <c r="Q63" s="34">
        <v>1.26874038582322</v>
      </c>
      <c r="R63" s="33">
        <v>20.878613842077499</v>
      </c>
      <c r="S63" s="33">
        <v>20.909803620787699</v>
      </c>
      <c r="T63" s="33">
        <v>20.884115463995499</v>
      </c>
      <c r="U63" s="15">
        <v>8.9192436442562801E-4</v>
      </c>
      <c r="V63" s="15">
        <v>2.3846721828667001E-3</v>
      </c>
      <c r="W63" s="15">
        <v>1.15539478607635E-3</v>
      </c>
      <c r="X63" s="34">
        <v>1.2678474327228799</v>
      </c>
      <c r="Y63" s="34">
        <v>1.2671331732903199</v>
      </c>
      <c r="Z63" s="34">
        <v>1.2672598162133899</v>
      </c>
      <c r="AA63" s="34">
        <v>1.2673257635366799</v>
      </c>
      <c r="AB63" s="33">
        <v>21.093737851792799</v>
      </c>
      <c r="AC63" s="33">
        <v>21.095315307469999</v>
      </c>
      <c r="AD63" s="33">
        <v>21.097361738769202</v>
      </c>
      <c r="AE63" s="15">
        <v>-5.6352261612670901E-4</v>
      </c>
      <c r="AF63" s="15">
        <v>-4.8874228521653899E-4</v>
      </c>
      <c r="AG63" s="15">
        <v>-3.9173818668467502E-4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2.0766479050585524E-3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2.0766479050585524E-3</v>
      </c>
      <c r="BH63" s="29"/>
    </row>
    <row r="64" spans="1:60" x14ac:dyDescent="0.25">
      <c r="A64" s="1">
        <v>46114</v>
      </c>
      <c r="B64" s="33">
        <v>16.5</v>
      </c>
      <c r="C64" s="33">
        <v>20.89</v>
      </c>
      <c r="D64" s="15">
        <v>2.4271856576111302E-3</v>
      </c>
      <c r="E64" s="15">
        <v>1.4371259958480501E-3</v>
      </c>
      <c r="F64" s="33">
        <v>0</v>
      </c>
      <c r="G64" s="33">
        <v>0.18681999999999899</v>
      </c>
      <c r="H64" s="33">
        <v>0</v>
      </c>
      <c r="I64" s="33">
        <v>0.24562800000000001</v>
      </c>
      <c r="J64" s="33">
        <v>0.18681999999999899</v>
      </c>
      <c r="K64" s="33">
        <v>0.24562800000000001</v>
      </c>
      <c r="L64" s="33">
        <v>16.686820000000001</v>
      </c>
      <c r="M64" s="33">
        <v>21.135628000000001</v>
      </c>
      <c r="N64" s="34">
        <v>1.2660606060605999</v>
      </c>
      <c r="O64" s="34">
        <v>1.26844555541175</v>
      </c>
      <c r="P64" s="34">
        <v>1.2702114348486599</v>
      </c>
      <c r="Q64" s="34">
        <v>1.2686441355507101</v>
      </c>
      <c r="R64" s="33">
        <v>20.929351664294</v>
      </c>
      <c r="S64" s="33">
        <v>20.960686497144501</v>
      </c>
      <c r="T64" s="33">
        <v>20.934216366083099</v>
      </c>
      <c r="U64" s="15">
        <v>1.8819840261885901E-3</v>
      </c>
      <c r="V64" s="15">
        <v>3.3780360743682299E-3</v>
      </c>
      <c r="W64" s="15">
        <v>2.1143914410309802E-3</v>
      </c>
      <c r="X64" s="34">
        <v>1.2666060999039901</v>
      </c>
      <c r="Y64" s="34">
        <v>1.2671331732903199</v>
      </c>
      <c r="Z64" s="34">
        <v>1.26715571219788</v>
      </c>
      <c r="AA64" s="34">
        <v>1.26724439525788</v>
      </c>
      <c r="AB64" s="33">
        <v>21.144423178724399</v>
      </c>
      <c r="AC64" s="33">
        <v>21.146536446386001</v>
      </c>
      <c r="AD64" s="33">
        <v>21.147636897499201</v>
      </c>
      <c r="AE64" s="15">
        <v>4.16043907520719E-4</v>
      </c>
      <c r="AF64" s="15">
        <v>5.1598335945448898E-4</v>
      </c>
      <c r="AG64" s="15">
        <v>5.6802131298495299E-4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2.0766479050585524E-3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2.0766479050585524E-3</v>
      </c>
      <c r="BH64" s="29"/>
    </row>
    <row r="65" spans="1:60" x14ac:dyDescent="0.25">
      <c r="A65" s="1">
        <v>46118</v>
      </c>
      <c r="B65" s="33">
        <v>16.47</v>
      </c>
      <c r="C65" s="33">
        <v>20.86</v>
      </c>
      <c r="D65" s="15">
        <v>-1.8198367169860901E-3</v>
      </c>
      <c r="E65" s="15">
        <v>-1.4371259958480601E-3</v>
      </c>
      <c r="F65" s="33">
        <v>0</v>
      </c>
      <c r="G65" s="33">
        <v>0.18681999999999899</v>
      </c>
      <c r="H65" s="33">
        <v>0</v>
      </c>
      <c r="I65" s="33">
        <v>0.24562800000000001</v>
      </c>
      <c r="J65" s="33">
        <v>0.18681999999999899</v>
      </c>
      <c r="K65" s="33">
        <v>0.24562800000000001</v>
      </c>
      <c r="L65" s="33">
        <v>16.65682</v>
      </c>
      <c r="M65" s="33">
        <v>21.105627999999999</v>
      </c>
      <c r="N65" s="34">
        <v>1.26654523375834</v>
      </c>
      <c r="O65" s="34">
        <v>1.26844555541175</v>
      </c>
      <c r="P65" s="34">
        <v>1.27019117137918</v>
      </c>
      <c r="Q65" s="34">
        <v>1.26861605510177</v>
      </c>
      <c r="R65" s="33">
        <v>20.8912982976316</v>
      </c>
      <c r="S65" s="33">
        <v>20.920382331957398</v>
      </c>
      <c r="T65" s="33">
        <v>20.894568912520199</v>
      </c>
      <c r="U65" s="15">
        <v>1.4992733050506299E-3</v>
      </c>
      <c r="V65" s="15">
        <v>2.8904653632829398E-3</v>
      </c>
      <c r="W65" s="15">
        <v>1.6558149835457401E-3</v>
      </c>
      <c r="X65" s="34">
        <v>1.2670862745710101</v>
      </c>
      <c r="Y65" s="34">
        <v>1.2671331732903199</v>
      </c>
      <c r="Z65" s="34">
        <v>1.2671634461880099</v>
      </c>
      <c r="AA65" s="34">
        <v>1.2672306333644601</v>
      </c>
      <c r="AB65" s="33">
        <v>21.106409183525699</v>
      </c>
      <c r="AC65" s="33">
        <v>21.1067846100519</v>
      </c>
      <c r="AD65" s="33">
        <v>21.108261787819298</v>
      </c>
      <c r="AE65" s="15">
        <v>3.70123584606136E-5</v>
      </c>
      <c r="AF65" s="15">
        <v>5.4799523681951802E-5</v>
      </c>
      <c r="AG65" s="15">
        <v>1.2478299611967799E-4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2.0766479050585524E-3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2.0766479050585524E-3</v>
      </c>
      <c r="BH65" s="29"/>
    </row>
    <row r="66" spans="1:60" x14ac:dyDescent="0.25">
      <c r="A66" s="1">
        <v>46119</v>
      </c>
      <c r="B66" s="33">
        <v>16.510000000000002</v>
      </c>
      <c r="C66" s="33">
        <v>20.91</v>
      </c>
      <c r="D66" s="15">
        <v>2.4257137424878801E-3</v>
      </c>
      <c r="E66" s="15">
        <v>2.39406386791585E-3</v>
      </c>
      <c r="F66" s="33">
        <v>0</v>
      </c>
      <c r="G66" s="33">
        <v>0.18681999999999899</v>
      </c>
      <c r="H66" s="33">
        <v>0</v>
      </c>
      <c r="I66" s="33">
        <v>0.24562800000000001</v>
      </c>
      <c r="J66" s="33">
        <v>0.18681999999999899</v>
      </c>
      <c r="K66" s="33">
        <v>0.24562800000000001</v>
      </c>
      <c r="L66" s="33">
        <v>16.696819999999999</v>
      </c>
      <c r="M66" s="33">
        <v>21.155628</v>
      </c>
      <c r="N66" s="34">
        <v>1.2665051483949099</v>
      </c>
      <c r="O66" s="34">
        <v>1.26844555541175</v>
      </c>
      <c r="P66" s="34">
        <v>1.26974058999456</v>
      </c>
      <c r="Q66" s="34">
        <v>1.2685880191083401</v>
      </c>
      <c r="R66" s="33">
        <v>20.942036119848101</v>
      </c>
      <c r="S66" s="33">
        <v>20.970856239470301</v>
      </c>
      <c r="T66" s="33">
        <v>20.944851069730198</v>
      </c>
      <c r="U66" s="15">
        <v>1.53092317962259E-3</v>
      </c>
      <c r="V66" s="15">
        <v>2.9061622787242601E-3</v>
      </c>
      <c r="W66" s="15">
        <v>1.6653303927268101E-3</v>
      </c>
      <c r="X66" s="34">
        <v>1.2670453415680301</v>
      </c>
      <c r="Y66" s="34">
        <v>1.2671331732903199</v>
      </c>
      <c r="Z66" s="34">
        <v>1.2672207354177301</v>
      </c>
      <c r="AA66" s="34">
        <v>1.26721688865294</v>
      </c>
      <c r="AB66" s="33">
        <v>21.157094510457298</v>
      </c>
      <c r="AC66" s="33">
        <v>21.157599971581</v>
      </c>
      <c r="AD66" s="33">
        <v>21.1587217837724</v>
      </c>
      <c r="AE66" s="15">
        <v>6.9317707342031397E-5</v>
      </c>
      <c r="AF66" s="15">
        <v>9.3208279158561995E-5</v>
      </c>
      <c r="AG66" s="15">
        <v>1.46228586459302E-4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2.0766479050585524E-3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2.0766479050585524E-3</v>
      </c>
      <c r="BH66" s="29"/>
    </row>
    <row r="67" spans="1:60" x14ac:dyDescent="0.25">
      <c r="A67" s="1">
        <v>46120</v>
      </c>
      <c r="B67" s="33">
        <v>16.55</v>
      </c>
      <c r="C67" s="33">
        <v>20.96</v>
      </c>
      <c r="D67" s="15">
        <v>2.4198438910352899E-3</v>
      </c>
      <c r="E67" s="15">
        <v>2.3883460122992501E-3</v>
      </c>
      <c r="F67" s="33">
        <v>0</v>
      </c>
      <c r="G67" s="33">
        <v>0.18681999999999899</v>
      </c>
      <c r="H67" s="33">
        <v>0</v>
      </c>
      <c r="I67" s="33">
        <v>0.24562800000000001</v>
      </c>
      <c r="J67" s="33">
        <v>0.18681999999999899</v>
      </c>
      <c r="K67" s="33">
        <v>0.24562800000000001</v>
      </c>
      <c r="L67" s="33">
        <v>16.736820000000002</v>
      </c>
      <c r="M67" s="33">
        <v>21.205628000000001</v>
      </c>
      <c r="N67" s="34">
        <v>1.26646525679758</v>
      </c>
      <c r="O67" s="34">
        <v>1.26844555541175</v>
      </c>
      <c r="P67" s="34">
        <v>1.2691421553811</v>
      </c>
      <c r="Q67" s="34">
        <v>1.2685559398113699</v>
      </c>
      <c r="R67" s="33">
        <v>20.992773942064598</v>
      </c>
      <c r="S67" s="33">
        <v>21.014206764410002</v>
      </c>
      <c r="T67" s="33">
        <v>20.995131716243101</v>
      </c>
      <c r="U67" s="15">
        <v>1.5624210583585301E-3</v>
      </c>
      <c r="V67" s="15">
        <v>2.5828621300452098E-3</v>
      </c>
      <c r="W67" s="15">
        <v>1.67472835942665E-3</v>
      </c>
      <c r="X67" s="34">
        <v>1.2670046042199099</v>
      </c>
      <c r="Y67" s="34">
        <v>1.2671331732903199</v>
      </c>
      <c r="Z67" s="34">
        <v>1.26713308073066</v>
      </c>
      <c r="AA67" s="34">
        <v>1.26719904324196</v>
      </c>
      <c r="AB67" s="33">
        <v>21.207779837388902</v>
      </c>
      <c r="AC67" s="33">
        <v>21.209245348954202</v>
      </c>
      <c r="AD67" s="33">
        <v>21.209180966344299</v>
      </c>
      <c r="AE67" s="15">
        <v>1.01469676713058E-4</v>
      </c>
      <c r="AF67" s="15">
        <v>1.7056983446785099E-4</v>
      </c>
      <c r="AG67" s="15">
        <v>1.67534238121883E-4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2.0766479050585524E-3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2.0766479050585524E-3</v>
      </c>
      <c r="BH67" s="29"/>
    </row>
    <row r="68" spans="1:60" x14ac:dyDescent="0.25">
      <c r="A68" s="1">
        <v>46121</v>
      </c>
      <c r="B68" s="33">
        <v>16.55</v>
      </c>
      <c r="C68" s="33">
        <v>20.98</v>
      </c>
      <c r="D68" s="15">
        <v>0</v>
      </c>
      <c r="E68" s="15">
        <v>9.5374351530963498E-4</v>
      </c>
      <c r="F68" s="33">
        <v>0</v>
      </c>
      <c r="G68" s="33">
        <v>0.18681999999999899</v>
      </c>
      <c r="H68" s="33">
        <v>0</v>
      </c>
      <c r="I68" s="33">
        <v>0.24562800000000001</v>
      </c>
      <c r="J68" s="33">
        <v>0.18681999999999899</v>
      </c>
      <c r="K68" s="33">
        <v>0.24562800000000001</v>
      </c>
      <c r="L68" s="33">
        <v>16.736820000000002</v>
      </c>
      <c r="M68" s="33">
        <v>21.225628</v>
      </c>
      <c r="N68" s="34">
        <v>1.2676737160120799</v>
      </c>
      <c r="O68" s="34">
        <v>1.26844555541175</v>
      </c>
      <c r="P68" s="34">
        <v>1.26873097731747</v>
      </c>
      <c r="Q68" s="34">
        <v>1.26855807045826</v>
      </c>
      <c r="R68" s="33">
        <v>20.992773942064598</v>
      </c>
      <c r="S68" s="33">
        <v>21.004302671557198</v>
      </c>
      <c r="T68" s="33">
        <v>20.9946008038781</v>
      </c>
      <c r="U68" s="15">
        <v>6.0867754304901002E-4</v>
      </c>
      <c r="V68" s="15">
        <v>1.1577028901347799E-3</v>
      </c>
      <c r="W68" s="15">
        <v>6.9569712099450804E-4</v>
      </c>
      <c r="X68" s="34">
        <v>1.2681995743516301</v>
      </c>
      <c r="Y68" s="34">
        <v>1.2671331732903199</v>
      </c>
      <c r="Z68" s="34">
        <v>1.26722948509964</v>
      </c>
      <c r="AA68" s="34">
        <v>1.2672148753063901</v>
      </c>
      <c r="AB68" s="33">
        <v>21.207779837388902</v>
      </c>
      <c r="AC68" s="33">
        <v>21.2077782882346</v>
      </c>
      <c r="AD68" s="33">
        <v>21.208882290912999</v>
      </c>
      <c r="AE68" s="15">
        <v>-8.4123168857968503E-4</v>
      </c>
      <c r="AF68" s="15">
        <v>-8.41304735091527E-4</v>
      </c>
      <c r="AG68" s="15">
        <v>-7.8924959149793397E-4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2.0766479050585524E-3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2.0766479050585524E-3</v>
      </c>
      <c r="BH68" s="29"/>
    </row>
    <row r="69" spans="1:60" x14ac:dyDescent="0.25">
      <c r="A69" s="1">
        <v>46122</v>
      </c>
      <c r="B69" s="33">
        <v>16.53</v>
      </c>
      <c r="C69" s="33">
        <v>20.96</v>
      </c>
      <c r="D69" s="15">
        <v>-1.2091899901391001E-3</v>
      </c>
      <c r="E69" s="15">
        <v>-9.5374351530966804E-4</v>
      </c>
      <c r="F69" s="33">
        <v>0</v>
      </c>
      <c r="G69" s="33">
        <v>0.18681999999999899</v>
      </c>
      <c r="H69" s="33">
        <v>0</v>
      </c>
      <c r="I69" s="33">
        <v>0.24562800000000001</v>
      </c>
      <c r="J69" s="33">
        <v>0.18681999999999899</v>
      </c>
      <c r="K69" s="33">
        <v>0.24562800000000001</v>
      </c>
      <c r="L69" s="33">
        <v>16.716819999999998</v>
      </c>
      <c r="M69" s="33">
        <v>21.205628000000001</v>
      </c>
      <c r="N69" s="34">
        <v>1.26799758015728</v>
      </c>
      <c r="O69" s="34">
        <v>1.26844555541175</v>
      </c>
      <c r="P69" s="34">
        <v>1.2683861274900601</v>
      </c>
      <c r="Q69" s="34">
        <v>1.2686246161327901</v>
      </c>
      <c r="R69" s="33">
        <v>20.9674050309563</v>
      </c>
      <c r="S69" s="33">
        <v>20.9721230550577</v>
      </c>
      <c r="T69" s="33">
        <v>20.9692649046751</v>
      </c>
      <c r="U69" s="15">
        <v>3.5323106821946899E-4</v>
      </c>
      <c r="V69" s="15">
        <v>5.7822282833845402E-4</v>
      </c>
      <c r="W69" s="15">
        <v>4.4193022925727201E-4</v>
      </c>
      <c r="X69" s="34">
        <v>1.26852044826707</v>
      </c>
      <c r="Y69" s="34">
        <v>1.2671331732903199</v>
      </c>
      <c r="Z69" s="34">
        <v>1.26739401531117</v>
      </c>
      <c r="AA69" s="34">
        <v>1.26729454347475</v>
      </c>
      <c r="AB69" s="33">
        <v>21.182437173923098</v>
      </c>
      <c r="AC69" s="33">
        <v>21.184047201103301</v>
      </c>
      <c r="AD69" s="33">
        <v>21.1838029718194</v>
      </c>
      <c r="AE69" s="15">
        <v>-1.09421500111372E-3</v>
      </c>
      <c r="AF69" s="15">
        <v>-1.01821024382568E-3</v>
      </c>
      <c r="AG69" s="15">
        <v>-1.0297392349334299E-3</v>
      </c>
      <c r="AI69" s="12"/>
      <c r="AJ69">
        <f t="shared" si="6"/>
        <v>1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2.0766479050585524E-3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2.0766479050585524E-3</v>
      </c>
      <c r="BH69" s="29"/>
    </row>
    <row r="70" spans="1:60" x14ac:dyDescent="0.25">
      <c r="A70" s="1">
        <v>46125</v>
      </c>
      <c r="B70" s="33">
        <v>16.57</v>
      </c>
      <c r="C70" s="33">
        <v>21</v>
      </c>
      <c r="D70" s="15">
        <v>2.41691960553867E-3</v>
      </c>
      <c r="E70" s="15">
        <v>1.90657827058144E-3</v>
      </c>
      <c r="F70" s="33">
        <v>0</v>
      </c>
      <c r="G70" s="33">
        <v>0.18681999999999899</v>
      </c>
      <c r="H70" s="33">
        <v>0</v>
      </c>
      <c r="I70" s="33">
        <v>0.24562800000000001</v>
      </c>
      <c r="J70" s="33">
        <v>0.18681999999999899</v>
      </c>
      <c r="K70" s="33">
        <v>0.24562800000000001</v>
      </c>
      <c r="L70" s="33">
        <v>16.756820000000001</v>
      </c>
      <c r="M70" s="33">
        <v>21.245628</v>
      </c>
      <c r="N70" s="34">
        <v>1.26735063367531</v>
      </c>
      <c r="O70" s="34">
        <v>1.26844555541175</v>
      </c>
      <c r="P70" s="34">
        <v>1.26791530850465</v>
      </c>
      <c r="Q70" s="34">
        <v>1.2686426332534499</v>
      </c>
      <c r="R70" s="33">
        <v>21.018142853172801</v>
      </c>
      <c r="S70" s="33">
        <v>21.0171581325103</v>
      </c>
      <c r="T70" s="33">
        <v>21.0211098893204</v>
      </c>
      <c r="U70" s="15">
        <v>8.6357240317659503E-4</v>
      </c>
      <c r="V70" s="15">
        <v>8.1672032220616697E-4</v>
      </c>
      <c r="W70" s="15">
        <v>1.00472791660721E-3</v>
      </c>
      <c r="X70" s="34">
        <v>1.2678794663904001</v>
      </c>
      <c r="Y70" s="34">
        <v>1.2671331732903199</v>
      </c>
      <c r="Z70" s="34">
        <v>1.2674338663145901</v>
      </c>
      <c r="AA70" s="34">
        <v>1.2673260870009799</v>
      </c>
      <c r="AB70" s="33">
        <v>21.233122500854702</v>
      </c>
      <c r="AC70" s="33">
        <v>21.237493383646601</v>
      </c>
      <c r="AD70" s="33">
        <v>21.235826551988701</v>
      </c>
      <c r="AE70" s="15">
        <v>-5.8878848172728797E-4</v>
      </c>
      <c r="AF70" s="15">
        <v>-3.8295756939803698E-4</v>
      </c>
      <c r="AG70" s="15">
        <v>-4.6144597865490202E-4</v>
      </c>
      <c r="AI70" s="12"/>
      <c r="AJ70">
        <f t="shared" si="6"/>
        <v>0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2.41691960553867E-3</v>
      </c>
      <c r="AP70" s="28">
        <f t="shared" si="9"/>
        <v>-1.90657827058144E-3</v>
      </c>
      <c r="AQ70" s="28">
        <f t="shared" si="16"/>
        <v>5.1034133495723001E-4</v>
      </c>
      <c r="AR70" s="29">
        <f t="shared" si="17"/>
        <v>2.5869892400157825E-3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5.1034133495723001E-4</v>
      </c>
      <c r="BF70" s="29">
        <f t="shared" si="23"/>
        <v>2.5869892400157825E-3</v>
      </c>
      <c r="BH70" s="29"/>
    </row>
    <row r="71" spans="1:60" x14ac:dyDescent="0.25">
      <c r="A71" s="1">
        <v>46126</v>
      </c>
      <c r="B71" s="33">
        <v>16.61</v>
      </c>
      <c r="C71" s="33">
        <v>21.04</v>
      </c>
      <c r="D71" s="15">
        <v>2.4110921867319902E-3</v>
      </c>
      <c r="E71" s="15">
        <v>1.90295014608606E-3</v>
      </c>
      <c r="F71" s="33">
        <v>0</v>
      </c>
      <c r="G71" s="33">
        <v>0.18681999999999899</v>
      </c>
      <c r="H71" s="33">
        <v>0</v>
      </c>
      <c r="I71" s="33">
        <v>0.24562800000000001</v>
      </c>
      <c r="J71" s="33">
        <v>0.18681999999999899</v>
      </c>
      <c r="K71" s="33">
        <v>0.24562800000000001</v>
      </c>
      <c r="L71" s="33">
        <v>16.79682</v>
      </c>
      <c r="M71" s="33">
        <v>21.285627999999999</v>
      </c>
      <c r="N71" s="34">
        <v>1.2667068031306401</v>
      </c>
      <c r="O71" s="34">
        <v>1.26844555541175</v>
      </c>
      <c r="P71" s="34">
        <v>1.2674187116504401</v>
      </c>
      <c r="Q71" s="34">
        <v>1.2686305157828699</v>
      </c>
      <c r="R71" s="33">
        <v>21.068880675389298</v>
      </c>
      <c r="S71" s="33">
        <v>21.060073274262201</v>
      </c>
      <c r="T71" s="33">
        <v>21.072154138339901</v>
      </c>
      <c r="U71" s="15">
        <v>1.3717144438225701E-3</v>
      </c>
      <c r="V71" s="15">
        <v>9.5359813996784195E-4</v>
      </c>
      <c r="W71" s="15">
        <v>1.5270719461557101E-3</v>
      </c>
      <c r="X71" s="34">
        <v>1.26724153738624</v>
      </c>
      <c r="Y71" s="34">
        <v>1.2671331732903199</v>
      </c>
      <c r="Z71" s="34">
        <v>1.26744643629725</v>
      </c>
      <c r="AA71" s="34">
        <v>1.26732780666006</v>
      </c>
      <c r="AB71" s="33">
        <v>21.283807827786301</v>
      </c>
      <c r="AC71" s="33">
        <v>21.288858514390299</v>
      </c>
      <c r="AD71" s="33">
        <v>21.287048164659801</v>
      </c>
      <c r="AE71" s="15">
        <v>-8.5515449258853504E-5</v>
      </c>
      <c r="AF71" s="15">
        <v>1.5175823179640799E-4</v>
      </c>
      <c r="AG71" s="15">
        <v>6.6717189910930398E-5</v>
      </c>
      <c r="AI71" s="12"/>
      <c r="AJ71">
        <f t="shared" si="6"/>
        <v>0</v>
      </c>
      <c r="AK71">
        <f t="shared" si="7"/>
        <v>1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2.4110921867319902E-3</v>
      </c>
      <c r="AP71" s="28">
        <f t="shared" si="9"/>
        <v>-1.90295014608606E-3</v>
      </c>
      <c r="AQ71" s="28">
        <f t="shared" si="16"/>
        <v>5.0814204064593025E-4</v>
      </c>
      <c r="AR71" s="29">
        <f t="shared" si="17"/>
        <v>3.0951312806617127E-3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5.0814204064593025E-4</v>
      </c>
      <c r="BF71" s="29">
        <f t="shared" si="23"/>
        <v>3.0951312806617127E-3</v>
      </c>
      <c r="BH71" s="29"/>
    </row>
    <row r="72" spans="1:60" x14ac:dyDescent="0.25">
      <c r="A72" s="1">
        <v>46127</v>
      </c>
      <c r="B72" s="33">
        <v>16.61</v>
      </c>
      <c r="C72" s="33">
        <v>21.03</v>
      </c>
      <c r="D72" s="15">
        <v>0</v>
      </c>
      <c r="E72" s="15">
        <v>-4.7539815490054799E-4</v>
      </c>
      <c r="F72" s="33">
        <v>0</v>
      </c>
      <c r="G72" s="33">
        <v>0.18681999999999899</v>
      </c>
      <c r="H72" s="33">
        <v>0</v>
      </c>
      <c r="I72" s="33">
        <v>0.24562800000000001</v>
      </c>
      <c r="J72" s="33">
        <v>0.18681999999999899</v>
      </c>
      <c r="K72" s="33">
        <v>0.24562800000000001</v>
      </c>
      <c r="L72" s="33">
        <v>16.79682</v>
      </c>
      <c r="M72" s="33">
        <v>21.275628000000001</v>
      </c>
      <c r="N72" s="34">
        <v>1.26610475617098</v>
      </c>
      <c r="O72" s="34">
        <v>1.26844555541175</v>
      </c>
      <c r="P72" s="34">
        <v>1.2668724436466301</v>
      </c>
      <c r="Q72" s="34">
        <v>1.2686064411668101</v>
      </c>
      <c r="R72" s="33">
        <v>21.068880675389298</v>
      </c>
      <c r="S72" s="33">
        <v>21.051824800513799</v>
      </c>
      <c r="T72" s="33">
        <v>21.071952867153499</v>
      </c>
      <c r="U72" s="15">
        <v>1.8471125987230099E-3</v>
      </c>
      <c r="V72" s="15">
        <v>1.03725551703341E-3</v>
      </c>
      <c r="W72" s="15">
        <v>1.9929185314185101E-3</v>
      </c>
      <c r="X72" s="34">
        <v>1.2666461865995999</v>
      </c>
      <c r="Y72" s="34">
        <v>1.2671331732903199</v>
      </c>
      <c r="Z72" s="34">
        <v>1.2674076965980801</v>
      </c>
      <c r="AA72" s="34">
        <v>1.26731781503473</v>
      </c>
      <c r="AB72" s="33">
        <v>21.283807827786301</v>
      </c>
      <c r="AC72" s="33">
        <v>21.2890696501264</v>
      </c>
      <c r="AD72" s="33">
        <v>21.2870770494638</v>
      </c>
      <c r="AE72" s="15">
        <v>3.84395503745565E-4</v>
      </c>
      <c r="AF72" s="15">
        <v>6.3158679917197703E-4</v>
      </c>
      <c r="AG72" s="15">
        <v>5.3798506117885402E-4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3.0951312806617127E-3</v>
      </c>
      <c r="AT72" s="12"/>
      <c r="AU72">
        <f t="shared" si="10"/>
        <v>0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3.0951312806617127E-3</v>
      </c>
      <c r="BH72" s="29"/>
    </row>
    <row r="73" spans="1:60" x14ac:dyDescent="0.25">
      <c r="A73" s="1">
        <v>46128</v>
      </c>
      <c r="B73" s="33">
        <v>16.57</v>
      </c>
      <c r="C73" s="33">
        <v>20.99</v>
      </c>
      <c r="D73" s="15">
        <v>-2.41109218673192E-3</v>
      </c>
      <c r="E73" s="15">
        <v>-1.90385588206694E-3</v>
      </c>
      <c r="F73" s="33">
        <v>0</v>
      </c>
      <c r="G73" s="33">
        <v>0.18681999999999899</v>
      </c>
      <c r="H73" s="33">
        <v>0</v>
      </c>
      <c r="I73" s="33">
        <v>0.24562800000000001</v>
      </c>
      <c r="J73" s="33">
        <v>0.18681999999999899</v>
      </c>
      <c r="K73" s="33">
        <v>0.24562800000000001</v>
      </c>
      <c r="L73" s="33">
        <v>16.756820000000001</v>
      </c>
      <c r="M73" s="33">
        <v>21.235627999999998</v>
      </c>
      <c r="N73" s="34">
        <v>1.26674713337356</v>
      </c>
      <c r="O73" s="34">
        <v>1.26844555541175</v>
      </c>
      <c r="P73" s="34">
        <v>1.2668156867531299</v>
      </c>
      <c r="Q73" s="34">
        <v>1.2685801614718499</v>
      </c>
      <c r="R73" s="33">
        <v>21.018142853172801</v>
      </c>
      <c r="S73" s="33">
        <v>20.992076391224799</v>
      </c>
      <c r="T73" s="33">
        <v>21.020808730134</v>
      </c>
      <c r="U73" s="15">
        <v>1.33987629405824E-3</v>
      </c>
      <c r="V73" s="15">
        <v>9.8917986197597397E-5</v>
      </c>
      <c r="W73" s="15">
        <v>1.4667051927059499E-3</v>
      </c>
      <c r="X73" s="34">
        <v>1.26728269444918</v>
      </c>
      <c r="Y73" s="34">
        <v>1.2671331732903199</v>
      </c>
      <c r="Z73" s="34">
        <v>1.26735122277071</v>
      </c>
      <c r="AA73" s="34">
        <v>1.2673055194920499</v>
      </c>
      <c r="AB73" s="33">
        <v>21.233122500854702</v>
      </c>
      <c r="AC73" s="33">
        <v>21.2377226385086</v>
      </c>
      <c r="AD73" s="33">
        <v>21.236216509330301</v>
      </c>
      <c r="AE73" s="15">
        <v>-1.17992600140841E-4</v>
      </c>
      <c r="AF73" s="15">
        <v>9.8633071272913897E-5</v>
      </c>
      <c r="AG73" s="15">
        <v>2.7712916033739302E-5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3.0951312806617127E-3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3.0951312806617127E-3</v>
      </c>
      <c r="BH73" s="29"/>
    </row>
    <row r="74" spans="1:60" x14ac:dyDescent="0.25">
      <c r="A74" s="1">
        <v>46129</v>
      </c>
      <c r="B74" s="33">
        <v>16.64</v>
      </c>
      <c r="C74" s="33">
        <v>21.07</v>
      </c>
      <c r="D74" s="15">
        <v>4.21560395459104E-3</v>
      </c>
      <c r="E74" s="15">
        <v>3.8040939835560401E-3</v>
      </c>
      <c r="F74" s="33">
        <v>0</v>
      </c>
      <c r="G74" s="33">
        <v>0.18681999999999899</v>
      </c>
      <c r="H74" s="33">
        <v>0</v>
      </c>
      <c r="I74" s="33">
        <v>0.24562800000000001</v>
      </c>
      <c r="J74" s="33">
        <v>0.18681999999999899</v>
      </c>
      <c r="K74" s="33">
        <v>0.24562800000000001</v>
      </c>
      <c r="L74" s="33">
        <v>16.826820000000001</v>
      </c>
      <c r="M74" s="33">
        <v>21.315628</v>
      </c>
      <c r="N74" s="34">
        <v>1.2662259615384599</v>
      </c>
      <c r="O74" s="34">
        <v>1.26844555541175</v>
      </c>
      <c r="P74" s="34">
        <v>1.2668322223009101</v>
      </c>
      <c r="Q74" s="34">
        <v>1.2685218285747899</v>
      </c>
      <c r="R74" s="33">
        <v>21.106934042051599</v>
      </c>
      <c r="S74" s="33">
        <v>21.079813027572101</v>
      </c>
      <c r="T74" s="33">
        <v>21.1091738868916</v>
      </c>
      <c r="U74" s="15">
        <v>1.7513862650930601E-3</v>
      </c>
      <c r="V74" s="15">
        <v>4.6562615796250702E-4</v>
      </c>
      <c r="W74" s="15">
        <v>1.8574995451638801E-3</v>
      </c>
      <c r="X74" s="34">
        <v>1.26676508098381</v>
      </c>
      <c r="Y74" s="34">
        <v>1.2671331732903199</v>
      </c>
      <c r="Z74" s="34">
        <v>1.2673671208786901</v>
      </c>
      <c r="AA74" s="34">
        <v>1.2672614165382801</v>
      </c>
      <c r="AB74" s="33">
        <v>21.321821822985001</v>
      </c>
      <c r="AC74" s="33">
        <v>21.325490902342601</v>
      </c>
      <c r="AD74" s="33">
        <v>21.324721861499199</v>
      </c>
      <c r="AE74" s="15">
        <v>2.9053440364498301E-4</v>
      </c>
      <c r="AF74" s="15">
        <v>4.6260054953697199E-4</v>
      </c>
      <c r="AG74" s="15">
        <v>4.2653785284067801E-4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3.0951312806617127E-3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3.0951312806617127E-3</v>
      </c>
      <c r="BH74" s="29"/>
    </row>
    <row r="75" spans="1:60" x14ac:dyDescent="0.25">
      <c r="A75" s="1">
        <v>46132</v>
      </c>
      <c r="B75" s="33">
        <v>16.57</v>
      </c>
      <c r="C75" s="33">
        <v>21.07</v>
      </c>
      <c r="D75" s="15">
        <v>-4.2156039545910504E-3</v>
      </c>
      <c r="E75" s="15">
        <v>0</v>
      </c>
      <c r="F75" s="33">
        <v>6.3149999999999998E-2</v>
      </c>
      <c r="G75" s="33">
        <v>0.249969999999999</v>
      </c>
      <c r="H75" s="33">
        <v>0</v>
      </c>
      <c r="I75" s="33">
        <v>0.24562800000000001</v>
      </c>
      <c r="J75" s="33">
        <v>0.249969999999999</v>
      </c>
      <c r="K75" s="33">
        <v>0.24562800000000001</v>
      </c>
      <c r="L75" s="33">
        <v>16.819970000000001</v>
      </c>
      <c r="M75" s="33">
        <v>21.315628</v>
      </c>
      <c r="N75" s="34">
        <v>1.27157513578756</v>
      </c>
      <c r="O75" s="34">
        <v>1.26844555541175</v>
      </c>
      <c r="P75" s="34">
        <v>1.26733521250384</v>
      </c>
      <c r="Q75" s="34">
        <v>1.2687631919415101</v>
      </c>
      <c r="R75" s="33">
        <v>21.018142853172801</v>
      </c>
      <c r="S75" s="33">
        <v>20.991409923526199</v>
      </c>
      <c r="T75" s="33">
        <v>21.0194066994842</v>
      </c>
      <c r="U75" s="15">
        <v>-2.4642176894979898E-3</v>
      </c>
      <c r="V75" s="15">
        <v>-3.7369250376189998E-3</v>
      </c>
      <c r="W75" s="15">
        <v>-2.4040882896985802E-3</v>
      </c>
      <c r="X75" s="34">
        <v>1.2672809761254</v>
      </c>
      <c r="Y75" s="34">
        <v>1.2671331732903199</v>
      </c>
      <c r="Z75" s="34">
        <v>1.26738659103413</v>
      </c>
      <c r="AA75" s="34">
        <v>1.2672750186110699</v>
      </c>
      <c r="AB75" s="33">
        <v>21.313141960747998</v>
      </c>
      <c r="AC75" s="33">
        <v>21.317076952165898</v>
      </c>
      <c r="AD75" s="33">
        <v>21.3152990083315</v>
      </c>
      <c r="AE75" s="15">
        <v>-1.16636687245759E-4</v>
      </c>
      <c r="AF75" s="15">
        <v>6.7973738385706495E-5</v>
      </c>
      <c r="AG75" s="15">
        <v>-1.54344130693893E-5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3.0951312806617127E-3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3.0951312806617127E-3</v>
      </c>
      <c r="BH75" s="29"/>
    </row>
    <row r="76" spans="1:60" x14ac:dyDescent="0.25">
      <c r="A76" s="1">
        <v>46133</v>
      </c>
      <c r="B76" s="33">
        <v>16.52</v>
      </c>
      <c r="C76" s="33">
        <v>21</v>
      </c>
      <c r="D76" s="15">
        <v>-3.0220633456395801E-3</v>
      </c>
      <c r="E76" s="15">
        <v>-3.3277900926746901E-3</v>
      </c>
      <c r="F76" s="33">
        <v>0</v>
      </c>
      <c r="G76" s="33">
        <v>0.249969999999999</v>
      </c>
      <c r="H76" s="33">
        <v>0</v>
      </c>
      <c r="I76" s="33">
        <v>0.24562800000000001</v>
      </c>
      <c r="J76" s="33">
        <v>0.249969999999999</v>
      </c>
      <c r="K76" s="33">
        <v>0.24562800000000001</v>
      </c>
      <c r="L76" s="33">
        <v>16.769970000000001</v>
      </c>
      <c r="M76" s="33">
        <v>21.245628</v>
      </c>
      <c r="N76" s="34">
        <v>1.2711864406779601</v>
      </c>
      <c r="O76" s="34">
        <v>1.26844555541175</v>
      </c>
      <c r="P76" s="34">
        <v>1.2678033417321399</v>
      </c>
      <c r="Q76" s="34">
        <v>1.2687719658633501</v>
      </c>
      <c r="R76" s="33">
        <v>20.954720575402199</v>
      </c>
      <c r="S76" s="33">
        <v>20.936377710563399</v>
      </c>
      <c r="T76" s="33">
        <v>20.959967930873798</v>
      </c>
      <c r="U76" s="15">
        <v>-2.1584909424628598E-3</v>
      </c>
      <c r="V76" s="15">
        <v>-3.03423145830667E-3</v>
      </c>
      <c r="W76" s="15">
        <v>-1.90810828731426E-3</v>
      </c>
      <c r="X76" s="34">
        <v>1.2668852717088901</v>
      </c>
      <c r="Y76" s="34">
        <v>1.2671331732903199</v>
      </c>
      <c r="Z76" s="34">
        <v>1.2673705840482099</v>
      </c>
      <c r="AA76" s="34">
        <v>1.2672956597329701</v>
      </c>
      <c r="AB76" s="33">
        <v>21.249785302083499</v>
      </c>
      <c r="AC76" s="33">
        <v>21.254035110044601</v>
      </c>
      <c r="AD76" s="33">
        <v>21.2521640438571</v>
      </c>
      <c r="AE76" s="15">
        <v>1.9565886168548599E-4</v>
      </c>
      <c r="AF76" s="15">
        <v>3.9563184924758298E-4</v>
      </c>
      <c r="AG76" s="15">
        <v>3.0759451700211599E-4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3.0951312806617127E-3</v>
      </c>
      <c r="AT76" s="12"/>
      <c r="AU76">
        <f t="shared" si="10"/>
        <v>0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3.0951312806617127E-3</v>
      </c>
      <c r="BH76" s="29"/>
    </row>
    <row r="77" spans="1:60" x14ac:dyDescent="0.25">
      <c r="A77" s="1">
        <v>46134</v>
      </c>
      <c r="B77" s="33">
        <v>16.53</v>
      </c>
      <c r="C77" s="33">
        <v>21.03</v>
      </c>
      <c r="D77" s="15">
        <v>6.0514374010086497E-4</v>
      </c>
      <c r="E77" s="15">
        <v>1.4275519911855401E-3</v>
      </c>
      <c r="F77" s="33">
        <v>0</v>
      </c>
      <c r="G77" s="33">
        <v>0.249969999999999</v>
      </c>
      <c r="H77" s="33">
        <v>0</v>
      </c>
      <c r="I77" s="33">
        <v>0.24562800000000001</v>
      </c>
      <c r="J77" s="33">
        <v>0.249969999999999</v>
      </c>
      <c r="K77" s="33">
        <v>0.24562800000000001</v>
      </c>
      <c r="L77" s="33">
        <v>16.779969999999999</v>
      </c>
      <c r="M77" s="33">
        <v>21.275628000000001</v>
      </c>
      <c r="N77" s="34">
        <v>1.27223230490018</v>
      </c>
      <c r="O77" s="34">
        <v>1.26844555541175</v>
      </c>
      <c r="P77" s="34">
        <v>1.2683800465424</v>
      </c>
      <c r="Q77" s="34">
        <v>1.2687611009617501</v>
      </c>
      <c r="R77" s="33">
        <v>20.9674050309563</v>
      </c>
      <c r="S77" s="33">
        <v>20.9567892388323</v>
      </c>
      <c r="T77" s="33">
        <v>20.9728005957212</v>
      </c>
      <c r="U77" s="15">
        <v>-2.9808991935473899E-3</v>
      </c>
      <c r="V77" s="15">
        <v>-3.4873271660245302E-3</v>
      </c>
      <c r="W77" s="15">
        <v>-2.7236012278364099E-3</v>
      </c>
      <c r="X77" s="34">
        <v>1.2679181190431199</v>
      </c>
      <c r="Y77" s="34">
        <v>1.2671331732903199</v>
      </c>
      <c r="Z77" s="34">
        <v>1.2674619355305301</v>
      </c>
      <c r="AA77" s="34">
        <v>1.2672975081305999</v>
      </c>
      <c r="AB77" s="33">
        <v>21.262456633816399</v>
      </c>
      <c r="AC77" s="33">
        <v>21.266440379211499</v>
      </c>
      <c r="AD77" s="33">
        <v>21.265183151449499</v>
      </c>
      <c r="AE77" s="15">
        <v>-6.1927407958810104E-4</v>
      </c>
      <c r="AF77" s="15">
        <v>-4.3193108757081099E-4</v>
      </c>
      <c r="AG77" s="15">
        <v>-4.9105075703099999E-4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3.0951312806617127E-3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3.0951312806617127E-3</v>
      </c>
      <c r="BH77" s="29"/>
    </row>
    <row r="78" spans="1:60" x14ac:dyDescent="0.25">
      <c r="A78" s="1">
        <v>46135</v>
      </c>
      <c r="B78" s="33">
        <v>16.5</v>
      </c>
      <c r="C78" s="33">
        <v>21</v>
      </c>
      <c r="D78" s="15">
        <v>-1.816530926398E-3</v>
      </c>
      <c r="E78" s="15">
        <v>-1.4275519911854399E-3</v>
      </c>
      <c r="F78" s="33">
        <v>0</v>
      </c>
      <c r="G78" s="33">
        <v>0.249969999999999</v>
      </c>
      <c r="H78" s="33">
        <v>0</v>
      </c>
      <c r="I78" s="33">
        <v>0.24562800000000001</v>
      </c>
      <c r="J78" s="33">
        <v>0.249969999999999</v>
      </c>
      <c r="K78" s="33">
        <v>0.24562800000000001</v>
      </c>
      <c r="L78" s="33">
        <v>16.749970000000001</v>
      </c>
      <c r="M78" s="33">
        <v>21.245628</v>
      </c>
      <c r="N78" s="34">
        <v>1.27272727272727</v>
      </c>
      <c r="O78" s="34">
        <v>1.26844555541175</v>
      </c>
      <c r="P78" s="34">
        <v>1.26888540221392</v>
      </c>
      <c r="Q78" s="34">
        <v>1.26880818976569</v>
      </c>
      <c r="R78" s="33">
        <v>20.929351664294</v>
      </c>
      <c r="S78" s="33">
        <v>20.928270767949599</v>
      </c>
      <c r="T78" s="33">
        <v>20.9345581658689</v>
      </c>
      <c r="U78" s="15">
        <v>-3.3698781287598602E-3</v>
      </c>
      <c r="V78" s="15">
        <v>-3.4215244613400001E-3</v>
      </c>
      <c r="W78" s="15">
        <v>-3.1211435206991698E-3</v>
      </c>
      <c r="X78" s="34">
        <v>1.2683979732501001</v>
      </c>
      <c r="Y78" s="34">
        <v>1.2671331732903199</v>
      </c>
      <c r="Z78" s="34">
        <v>1.26748177542038</v>
      </c>
      <c r="AA78" s="34">
        <v>1.26735563026001</v>
      </c>
      <c r="AB78" s="33">
        <v>21.224442638617699</v>
      </c>
      <c r="AC78" s="33">
        <v>21.2299493962784</v>
      </c>
      <c r="AD78" s="33">
        <v>21.227195242262301</v>
      </c>
      <c r="AE78" s="15">
        <v>-9.9766083837078408E-4</v>
      </c>
      <c r="AF78" s="15">
        <v>-7.3824090899804505E-4</v>
      </c>
      <c r="AG78" s="15">
        <v>-8.6797897986485401E-4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3.0951312806617127E-3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3.0951312806617127E-3</v>
      </c>
      <c r="BH78" s="29"/>
    </row>
    <row r="79" spans="1:60" x14ac:dyDescent="0.25">
      <c r="A79" s="1">
        <v>46136</v>
      </c>
      <c r="B79" s="33">
        <v>16.52</v>
      </c>
      <c r="C79" s="33">
        <v>21.03</v>
      </c>
      <c r="D79" s="15">
        <v>1.2113871862970799E-3</v>
      </c>
      <c r="E79" s="15">
        <v>1.4275519911855401E-3</v>
      </c>
      <c r="F79" s="33">
        <v>0</v>
      </c>
      <c r="G79" s="33">
        <v>0.249969999999999</v>
      </c>
      <c r="H79" s="33">
        <v>0</v>
      </c>
      <c r="I79" s="33">
        <v>0.24562800000000001</v>
      </c>
      <c r="J79" s="33">
        <v>0.249969999999999</v>
      </c>
      <c r="K79" s="33">
        <v>0.24562800000000001</v>
      </c>
      <c r="L79" s="33">
        <v>16.769970000000001</v>
      </c>
      <c r="M79" s="33">
        <v>21.275628000000001</v>
      </c>
      <c r="N79" s="34">
        <v>1.2730024213075</v>
      </c>
      <c r="O79" s="34">
        <v>1.26844555541175</v>
      </c>
      <c r="P79" s="34">
        <v>1.26938588632894</v>
      </c>
      <c r="Q79" s="34">
        <v>1.2688860069095</v>
      </c>
      <c r="R79" s="33">
        <v>20.954720575402199</v>
      </c>
      <c r="S79" s="33">
        <v>20.961986844574</v>
      </c>
      <c r="T79" s="33">
        <v>20.9607112949293</v>
      </c>
      <c r="U79" s="15">
        <v>-3.5860429336483099E-3</v>
      </c>
      <c r="V79" s="15">
        <v>-3.23934255130415E-3</v>
      </c>
      <c r="W79" s="15">
        <v>-3.3001950107932501E-3</v>
      </c>
      <c r="X79" s="34">
        <v>1.2686741836747399</v>
      </c>
      <c r="Y79" s="34">
        <v>1.2671331732903199</v>
      </c>
      <c r="Z79" s="34">
        <v>1.26749714896115</v>
      </c>
      <c r="AA79" s="34">
        <v>1.2674455821361601</v>
      </c>
      <c r="AB79" s="33">
        <v>21.249785302083499</v>
      </c>
      <c r="AC79" s="33">
        <v>21.255631349346501</v>
      </c>
      <c r="AD79" s="33">
        <v>21.253515898791498</v>
      </c>
      <c r="AE79" s="15">
        <v>-1.2154003496284E-3</v>
      </c>
      <c r="AF79" s="15">
        <v>-9.4032729962765702E-4</v>
      </c>
      <c r="AG79" s="15">
        <v>-1.03985649246081E-3</v>
      </c>
      <c r="AI79" s="12"/>
      <c r="AJ79">
        <f t="shared" si="6"/>
        <v>1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3.0951312806617127E-3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3.0951312806617127E-3</v>
      </c>
      <c r="BH79" s="29"/>
    </row>
    <row r="80" spans="1:60" x14ac:dyDescent="0.25">
      <c r="A80" s="1">
        <v>46139</v>
      </c>
      <c r="B80" s="33">
        <v>16.510000000000002</v>
      </c>
      <c r="C80" s="33">
        <v>21</v>
      </c>
      <c r="D80" s="15">
        <v>-6.0551016079520503E-4</v>
      </c>
      <c r="E80" s="15">
        <v>-1.4275519911854399E-3</v>
      </c>
      <c r="F80" s="33">
        <v>0</v>
      </c>
      <c r="G80" s="33">
        <v>0.249969999999999</v>
      </c>
      <c r="H80" s="33">
        <v>0</v>
      </c>
      <c r="I80" s="33">
        <v>0.24562800000000001</v>
      </c>
      <c r="J80" s="33">
        <v>0.249969999999999</v>
      </c>
      <c r="K80" s="33">
        <v>0.24562800000000001</v>
      </c>
      <c r="L80" s="33">
        <v>16.759969999999999</v>
      </c>
      <c r="M80" s="33">
        <v>21.245628</v>
      </c>
      <c r="N80" s="34">
        <v>1.27195639006662</v>
      </c>
      <c r="O80" s="34">
        <v>1.26844555541175</v>
      </c>
      <c r="P80" s="34">
        <v>1.2698464619680701</v>
      </c>
      <c r="Q80" s="34">
        <v>1.26888088523636</v>
      </c>
      <c r="R80" s="33">
        <v>20.942036119848101</v>
      </c>
      <c r="S80" s="33">
        <v>20.9575609832909</v>
      </c>
      <c r="T80" s="33">
        <v>20.9493079740759</v>
      </c>
      <c r="U80" s="15">
        <v>-2.7640011032580699E-3</v>
      </c>
      <c r="V80" s="15">
        <v>-2.0229503425548199E-3</v>
      </c>
      <c r="W80" s="15">
        <v>-2.4168241645325401E-3</v>
      </c>
      <c r="X80" s="34">
        <v>1.2676411711954101</v>
      </c>
      <c r="Y80" s="34">
        <v>1.2671331732903199</v>
      </c>
      <c r="Z80" s="34">
        <v>1.2674733194416501</v>
      </c>
      <c r="AA80" s="34">
        <v>1.2674535928781201</v>
      </c>
      <c r="AB80" s="33">
        <v>21.237113970350599</v>
      </c>
      <c r="AC80" s="33">
        <v>21.243214191674401</v>
      </c>
      <c r="AD80" s="33">
        <v>21.2423499332346</v>
      </c>
      <c r="AE80" s="15">
        <v>-4.0082298686461499E-4</v>
      </c>
      <c r="AF80" s="15">
        <v>-1.1362080977783899E-4</v>
      </c>
      <c r="AG80" s="15">
        <v>-1.5430561449621401E-4</v>
      </c>
      <c r="AI80" s="12"/>
      <c r="AJ80">
        <f t="shared" si="6"/>
        <v>0</v>
      </c>
      <c r="AK80">
        <f t="shared" si="7"/>
        <v>1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-6.0551016079520503E-4</v>
      </c>
      <c r="AP80" s="28">
        <f t="shared" si="9"/>
        <v>1.4275519911854399E-3</v>
      </c>
      <c r="AQ80" s="28">
        <f t="shared" si="16"/>
        <v>8.220418303902349E-4</v>
      </c>
      <c r="AR80" s="29">
        <f t="shared" si="17"/>
        <v>3.9171731110519475E-3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8.220418303902349E-4</v>
      </c>
      <c r="BF80" s="29">
        <f t="shared" si="23"/>
        <v>3.9171731110519475E-3</v>
      </c>
      <c r="BH80" s="29"/>
    </row>
    <row r="81" spans="1:60" x14ac:dyDescent="0.25">
      <c r="A81" s="1">
        <v>46140</v>
      </c>
      <c r="B81" s="33">
        <v>16.489999999999998</v>
      </c>
      <c r="C81" s="33">
        <v>20.98</v>
      </c>
      <c r="D81" s="15">
        <v>-1.2121213605293399E-3</v>
      </c>
      <c r="E81" s="15">
        <v>-9.5283475527185402E-4</v>
      </c>
      <c r="F81" s="33">
        <v>0</v>
      </c>
      <c r="G81" s="33">
        <v>0.249969999999999</v>
      </c>
      <c r="H81" s="33">
        <v>0</v>
      </c>
      <c r="I81" s="33">
        <v>0.24562800000000001</v>
      </c>
      <c r="J81" s="33">
        <v>0.249969999999999</v>
      </c>
      <c r="K81" s="33">
        <v>0.24562800000000001</v>
      </c>
      <c r="L81" s="33">
        <v>16.73997</v>
      </c>
      <c r="M81" s="33">
        <v>21.225628</v>
      </c>
      <c r="N81" s="34">
        <v>1.27228623408126</v>
      </c>
      <c r="O81" s="34">
        <v>1.26844555541175</v>
      </c>
      <c r="P81" s="34">
        <v>1.27040440506313</v>
      </c>
      <c r="Q81" s="34">
        <v>1.26891155835678</v>
      </c>
      <c r="R81" s="33">
        <v>20.916667208739899</v>
      </c>
      <c r="S81" s="33">
        <v>20.9397681578535</v>
      </c>
      <c r="T81" s="33">
        <v>20.9238457975476</v>
      </c>
      <c r="U81" s="15">
        <v>-3.0232877085154398E-3</v>
      </c>
      <c r="V81" s="15">
        <v>-1.9194693227930801E-3</v>
      </c>
      <c r="W81" s="15">
        <v>-2.6801471319596801E-3</v>
      </c>
      <c r="X81" s="34">
        <v>1.26796093421911</v>
      </c>
      <c r="Y81" s="34">
        <v>1.2671331732903199</v>
      </c>
      <c r="Z81" s="34">
        <v>1.2675452591249301</v>
      </c>
      <c r="AA81" s="34">
        <v>1.26749584771109</v>
      </c>
      <c r="AB81" s="33">
        <v>21.211771306884799</v>
      </c>
      <c r="AC81" s="33">
        <v>21.2174653432536</v>
      </c>
      <c r="AD81" s="33">
        <v>21.217135121171999</v>
      </c>
      <c r="AE81" s="15">
        <v>-6.5304160169873298E-4</v>
      </c>
      <c r="AF81" s="15">
        <v>-3.8464005349212398E-4</v>
      </c>
      <c r="AG81" s="15">
        <v>-4.0020386594984402E-4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3.9171731110519475E-3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3.9171731110519475E-3</v>
      </c>
      <c r="BH81" s="29"/>
    </row>
    <row r="82" spans="1:60" x14ac:dyDescent="0.25">
      <c r="A82" s="1">
        <v>46141</v>
      </c>
      <c r="B82" s="33">
        <v>16.43</v>
      </c>
      <c r="C82" s="33">
        <v>20.91</v>
      </c>
      <c r="D82" s="15">
        <v>-3.64520452233069E-3</v>
      </c>
      <c r="E82" s="15">
        <v>-3.3420895276089001E-3</v>
      </c>
      <c r="F82" s="33">
        <v>0</v>
      </c>
      <c r="G82" s="33">
        <v>0.249969999999999</v>
      </c>
      <c r="H82" s="33">
        <v>0</v>
      </c>
      <c r="I82" s="33">
        <v>0.24562800000000001</v>
      </c>
      <c r="J82" s="33">
        <v>0.249969999999999</v>
      </c>
      <c r="K82" s="33">
        <v>0.24562800000000001</v>
      </c>
      <c r="L82" s="33">
        <v>16.679970000000001</v>
      </c>
      <c r="M82" s="33">
        <v>21.155628</v>
      </c>
      <c r="N82" s="34">
        <v>1.2726719415702901</v>
      </c>
      <c r="O82" s="34">
        <v>1.26844555541175</v>
      </c>
      <c r="P82" s="34">
        <v>1.27106112360307</v>
      </c>
      <c r="Q82" s="34">
        <v>1.2689667836248499</v>
      </c>
      <c r="R82" s="33">
        <v>20.840560475415199</v>
      </c>
      <c r="S82" s="33">
        <v>20.872744375187299</v>
      </c>
      <c r="T82" s="33">
        <v>20.848216903802001</v>
      </c>
      <c r="U82" s="15">
        <v>-3.3264027032373E-3</v>
      </c>
      <c r="V82" s="15">
        <v>-1.78330242510383E-3</v>
      </c>
      <c r="W82" s="15">
        <v>-2.9590890541328599E-3</v>
      </c>
      <c r="X82" s="34">
        <v>1.2683253027433501</v>
      </c>
      <c r="Y82" s="34">
        <v>1.2671331732903199</v>
      </c>
      <c r="Z82" s="34">
        <v>1.2677131707393099</v>
      </c>
      <c r="AA82" s="34">
        <v>1.2675604336686901</v>
      </c>
      <c r="AB82" s="33">
        <v>21.1357433164873</v>
      </c>
      <c r="AC82" s="33">
        <v>21.142616895846199</v>
      </c>
      <c r="AD82" s="33">
        <v>21.141792714945598</v>
      </c>
      <c r="AE82" s="15">
        <v>-9.4036605382834205E-4</v>
      </c>
      <c r="AF82" s="15">
        <v>-6.1520777498858296E-4</v>
      </c>
      <c r="AG82" s="15">
        <v>-6.5419050683873702E-4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3.9171731110519475E-3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3.9171731110519475E-3</v>
      </c>
      <c r="BH82" s="29"/>
    </row>
    <row r="83" spans="1:60" x14ac:dyDescent="0.25">
      <c r="A83" s="1">
        <v>46142</v>
      </c>
      <c r="B83" s="33">
        <v>16.48</v>
      </c>
      <c r="C83" s="33">
        <v>20.95</v>
      </c>
      <c r="D83" s="15">
        <v>3.0385924321490098E-3</v>
      </c>
      <c r="E83" s="15">
        <v>1.9111329276045601E-3</v>
      </c>
      <c r="F83" s="33">
        <v>0</v>
      </c>
      <c r="G83" s="33">
        <v>0.249969999999999</v>
      </c>
      <c r="H83" s="33">
        <v>0</v>
      </c>
      <c r="I83" s="33">
        <v>0.24562800000000001</v>
      </c>
      <c r="J83" s="33">
        <v>0.249969999999999</v>
      </c>
      <c r="K83" s="33">
        <v>0.24562800000000001</v>
      </c>
      <c r="L83" s="33">
        <v>16.729970000000002</v>
      </c>
      <c r="M83" s="33">
        <v>21.195627999999999</v>
      </c>
      <c r="N83" s="34">
        <v>1.27123786407766</v>
      </c>
      <c r="O83" s="34">
        <v>1.26844555541175</v>
      </c>
      <c r="P83" s="34">
        <v>1.2715101966734801</v>
      </c>
      <c r="Q83" s="34">
        <v>1.2691629417132999</v>
      </c>
      <c r="R83" s="33">
        <v>20.903982753185701</v>
      </c>
      <c r="S83" s="33">
        <v>20.9470873169786</v>
      </c>
      <c r="T83" s="33">
        <v>20.9125725941376</v>
      </c>
      <c r="U83" s="15">
        <v>-2.1989431986928899E-3</v>
      </c>
      <c r="V83" s="15">
        <v>-1.3903988141440799E-4</v>
      </c>
      <c r="W83" s="15">
        <v>-1.7881087336687901E-3</v>
      </c>
      <c r="X83" s="34">
        <v>1.2669256430226701</v>
      </c>
      <c r="Y83" s="34">
        <v>1.2671331732903199</v>
      </c>
      <c r="Z83" s="34">
        <v>1.2676774655966601</v>
      </c>
      <c r="AA83" s="34">
        <v>1.26751434418368</v>
      </c>
      <c r="AB83" s="33">
        <v>21.1990999751518</v>
      </c>
      <c r="AC83" s="33">
        <v>21.208803315073599</v>
      </c>
      <c r="AD83" s="33">
        <v>21.206248028464302</v>
      </c>
      <c r="AE83" s="15">
        <v>1.63792779219813E-4</v>
      </c>
      <c r="AF83" s="15">
        <v>6.2141220098848498E-4</v>
      </c>
      <c r="AG83" s="15">
        <v>5.0092258555962596E-4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3.9171731110519475E-3</v>
      </c>
      <c r="AT83" s="12"/>
      <c r="AU83">
        <f t="shared" si="10"/>
        <v>0</v>
      </c>
      <c r="AV83">
        <f t="shared" si="11"/>
        <v>0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3.9171731110519475E-3</v>
      </c>
      <c r="BH83" s="29"/>
    </row>
    <row r="84" spans="1:60" x14ac:dyDescent="0.25">
      <c r="A84" s="1">
        <v>46143</v>
      </c>
      <c r="B84" s="33">
        <v>16.48</v>
      </c>
      <c r="C84" s="33">
        <v>20.87</v>
      </c>
      <c r="D84" s="15">
        <v>0</v>
      </c>
      <c r="E84" s="15">
        <v>-3.8259252790372499E-3</v>
      </c>
      <c r="F84" s="33">
        <v>0</v>
      </c>
      <c r="G84" s="33">
        <v>0.249969999999999</v>
      </c>
      <c r="H84" s="33">
        <v>8.2701999999999998E-2</v>
      </c>
      <c r="I84" s="33">
        <v>0.32833000000000001</v>
      </c>
      <c r="J84" s="33">
        <v>0.249969999999999</v>
      </c>
      <c r="K84" s="33">
        <v>0.32833000000000001</v>
      </c>
      <c r="L84" s="33">
        <v>16.729970000000002</v>
      </c>
      <c r="M84" s="33">
        <v>21.198329999999999</v>
      </c>
      <c r="N84" s="34">
        <v>1.2663834951456301</v>
      </c>
      <c r="O84" s="34">
        <v>1.26844555541175</v>
      </c>
      <c r="P84" s="34">
        <v>1.27152595003419</v>
      </c>
      <c r="Q84" s="34">
        <v>1.26917908616755</v>
      </c>
      <c r="R84" s="33">
        <v>20.903982753185701</v>
      </c>
      <c r="S84" s="33">
        <v>20.954488041178902</v>
      </c>
      <c r="T84" s="33">
        <v>20.9158052794353</v>
      </c>
      <c r="U84" s="15">
        <v>1.6269820803443899E-3</v>
      </c>
      <c r="V84" s="15">
        <v>4.0401286451168597E-3</v>
      </c>
      <c r="W84" s="15">
        <v>2.19238554701139E-3</v>
      </c>
      <c r="X84" s="34">
        <v>1.2670871495884299</v>
      </c>
      <c r="Y84" s="34">
        <v>1.2671331732903199</v>
      </c>
      <c r="Z84" s="34">
        <v>1.26770967245712</v>
      </c>
      <c r="AA84" s="34">
        <v>1.2675383966678999</v>
      </c>
      <c r="AB84" s="33">
        <v>21.1990999751518</v>
      </c>
      <c r="AC84" s="33">
        <v>21.208205969108199</v>
      </c>
      <c r="AD84" s="33">
        <v>21.205476952762702</v>
      </c>
      <c r="AE84" s="15">
        <v>3.6321784241525202E-5</v>
      </c>
      <c r="AF84" s="15">
        <v>4.6577580842461499E-4</v>
      </c>
      <c r="AG84" s="15">
        <v>3.3709015034439699E-4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3.9171731110519475E-3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3.9171731110519475E-3</v>
      </c>
      <c r="BH84" s="29"/>
    </row>
    <row r="85" spans="1:60" x14ac:dyDescent="0.25">
      <c r="A85" s="1">
        <v>46146</v>
      </c>
      <c r="B85" s="33">
        <v>16.43</v>
      </c>
      <c r="C85" s="33">
        <v>20.83</v>
      </c>
      <c r="D85" s="15">
        <v>-3.0385924321490098E-3</v>
      </c>
      <c r="E85" s="15">
        <v>-1.91846581622892E-3</v>
      </c>
      <c r="F85" s="33">
        <v>0</v>
      </c>
      <c r="G85" s="33">
        <v>0.249969999999999</v>
      </c>
      <c r="H85" s="33">
        <v>0</v>
      </c>
      <c r="I85" s="33">
        <v>0.32833000000000001</v>
      </c>
      <c r="J85" s="33">
        <v>0.249969999999999</v>
      </c>
      <c r="K85" s="33">
        <v>0.32833000000000001</v>
      </c>
      <c r="L85" s="33">
        <v>16.679970000000001</v>
      </c>
      <c r="M85" s="33">
        <v>21.158329999999999</v>
      </c>
      <c r="N85" s="34">
        <v>1.26780279975654</v>
      </c>
      <c r="O85" s="34">
        <v>1.26844555541175</v>
      </c>
      <c r="P85" s="34">
        <v>1.27114871643109</v>
      </c>
      <c r="Q85" s="34">
        <v>1.26924196446746</v>
      </c>
      <c r="R85" s="33">
        <v>20.840560475415199</v>
      </c>
      <c r="S85" s="33">
        <v>20.891171359061801</v>
      </c>
      <c r="T85" s="33">
        <v>20.8526123857329</v>
      </c>
      <c r="U85" s="15">
        <v>5.0685546442442195E-4</v>
      </c>
      <c r="V85" s="15">
        <v>2.93239144075691E-3</v>
      </c>
      <c r="W85" s="15">
        <v>1.08497940301676E-3</v>
      </c>
      <c r="X85" s="34">
        <v>1.2684872934423701</v>
      </c>
      <c r="Y85" s="34">
        <v>1.2671331732903199</v>
      </c>
      <c r="Z85" s="34">
        <v>1.2678303041888199</v>
      </c>
      <c r="AA85" s="34">
        <v>1.26760844761147</v>
      </c>
      <c r="AB85" s="33">
        <v>21.1357433164873</v>
      </c>
      <c r="AC85" s="33">
        <v>21.145359305294601</v>
      </c>
      <c r="AD85" s="33">
        <v>21.142502430268799</v>
      </c>
      <c r="AE85" s="15">
        <v>-1.0680780491785901E-3</v>
      </c>
      <c r="AF85" s="15">
        <v>-6.1321815306332797E-4</v>
      </c>
      <c r="AG85" s="15">
        <v>-7.4833375895809202E-4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3.9171731110519475E-3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3.9171731110519475E-3</v>
      </c>
      <c r="BH85" s="29"/>
    </row>
    <row r="86" spans="1:60" x14ac:dyDescent="0.25">
      <c r="A86" s="1">
        <v>46147</v>
      </c>
      <c r="B86" s="33">
        <v>16.46</v>
      </c>
      <c r="C86" s="33">
        <v>20.85</v>
      </c>
      <c r="D86" s="15">
        <v>1.8242631997470401E-3</v>
      </c>
      <c r="E86" s="15">
        <v>9.5969297192991399E-4</v>
      </c>
      <c r="F86" s="33">
        <v>0</v>
      </c>
      <c r="G86" s="33">
        <v>0.249969999999999</v>
      </c>
      <c r="H86" s="33">
        <v>0</v>
      </c>
      <c r="I86" s="33">
        <v>0.32833000000000001</v>
      </c>
      <c r="J86" s="33">
        <v>0.249969999999999</v>
      </c>
      <c r="K86" s="33">
        <v>0.32833000000000001</v>
      </c>
      <c r="L86" s="33">
        <v>16.709969999999998</v>
      </c>
      <c r="M86" s="33">
        <v>21.178329999999999</v>
      </c>
      <c r="N86" s="34">
        <v>1.2667071688942799</v>
      </c>
      <c r="O86" s="34">
        <v>1.26844555541175</v>
      </c>
      <c r="P86" s="34">
        <v>1.27070078925272</v>
      </c>
      <c r="Q86" s="34">
        <v>1.26925206549243</v>
      </c>
      <c r="R86" s="33">
        <v>20.878613842077499</v>
      </c>
      <c r="S86" s="33">
        <v>20.923107872455802</v>
      </c>
      <c r="T86" s="33">
        <v>20.891722735134501</v>
      </c>
      <c r="U86" s="15">
        <v>1.37142569224147E-3</v>
      </c>
      <c r="V86" s="15">
        <v>3.5002397868130601E-3</v>
      </c>
      <c r="W86" s="15">
        <v>1.9990908997317299E-3</v>
      </c>
      <c r="X86" s="34">
        <v>1.2674068235909399</v>
      </c>
      <c r="Y86" s="34">
        <v>1.2671331732903199</v>
      </c>
      <c r="Z86" s="34">
        <v>1.2678824593770199</v>
      </c>
      <c r="AA86" s="34">
        <v>1.2676265217126199</v>
      </c>
      <c r="AB86" s="33">
        <v>21.173757311686</v>
      </c>
      <c r="AC86" s="33">
        <v>21.185406348086001</v>
      </c>
      <c r="AD86" s="33">
        <v>21.181699131334302</v>
      </c>
      <c r="AE86" s="15">
        <v>-2.1593685798885801E-4</v>
      </c>
      <c r="AF86" s="15">
        <v>3.3407573372484301E-4</v>
      </c>
      <c r="AG86" s="15">
        <v>1.5907124761464699E-4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3.9171731110519475E-3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3.9171731110519475E-3</v>
      </c>
      <c r="BH86" s="29"/>
    </row>
    <row r="87" spans="1:60" x14ac:dyDescent="0.25">
      <c r="A87" s="1">
        <v>46148</v>
      </c>
      <c r="B87" s="33">
        <v>16.52</v>
      </c>
      <c r="C87" s="33">
        <v>20.91</v>
      </c>
      <c r="D87" s="15">
        <v>3.6385728439080802E-3</v>
      </c>
      <c r="E87" s="15">
        <v>2.87356519573177E-3</v>
      </c>
      <c r="F87" s="33">
        <v>0</v>
      </c>
      <c r="G87" s="33">
        <v>0.249969999999999</v>
      </c>
      <c r="H87" s="33">
        <v>0</v>
      </c>
      <c r="I87" s="33">
        <v>0.32833000000000001</v>
      </c>
      <c r="J87" s="33">
        <v>0.249969999999999</v>
      </c>
      <c r="K87" s="33">
        <v>0.32833000000000001</v>
      </c>
      <c r="L87" s="33">
        <v>16.769970000000001</v>
      </c>
      <c r="M87" s="33">
        <v>21.238330000000001</v>
      </c>
      <c r="N87" s="34">
        <v>1.2657384987893401</v>
      </c>
      <c r="O87" s="34">
        <v>1.26844555541175</v>
      </c>
      <c r="P87" s="34">
        <v>1.2700514086416399</v>
      </c>
      <c r="Q87" s="34">
        <v>1.2692157275920199</v>
      </c>
      <c r="R87" s="33">
        <v>20.954720575402199</v>
      </c>
      <c r="S87" s="33">
        <v>20.991977038455001</v>
      </c>
      <c r="T87" s="33">
        <v>20.968044121935002</v>
      </c>
      <c r="U87" s="15">
        <v>2.13643334041794E-3</v>
      </c>
      <c r="V87" s="15">
        <v>3.9128054969417101E-3</v>
      </c>
      <c r="W87" s="15">
        <v>2.7720568293533102E-3</v>
      </c>
      <c r="X87" s="34">
        <v>1.2664500890579999</v>
      </c>
      <c r="Y87" s="34">
        <v>1.2671331732903199</v>
      </c>
      <c r="Z87" s="34">
        <v>1.26773565637851</v>
      </c>
      <c r="AA87" s="34">
        <v>1.2675987959545201</v>
      </c>
      <c r="AB87" s="33">
        <v>21.249785302083499</v>
      </c>
      <c r="AC87" s="33">
        <v>21.262350807278899</v>
      </c>
      <c r="AD87" s="33">
        <v>21.258058740325001</v>
      </c>
      <c r="AE87" s="15">
        <v>5.3922384081414902E-4</v>
      </c>
      <c r="AF87" s="15">
        <v>1.13037294369922E-3</v>
      </c>
      <c r="AG87" s="15">
        <v>9.2849027068711597E-4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3.9171731110519475E-3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3.9171731110519475E-3</v>
      </c>
      <c r="BH87" s="29"/>
    </row>
    <row r="88" spans="1:60" x14ac:dyDescent="0.25">
      <c r="A88" s="1">
        <v>46149</v>
      </c>
      <c r="B88" s="33">
        <v>16.48</v>
      </c>
      <c r="C88" s="33">
        <v>20.87</v>
      </c>
      <c r="D88" s="15">
        <v>-2.42424361150628E-3</v>
      </c>
      <c r="E88" s="15">
        <v>-1.9147923514327501E-3</v>
      </c>
      <c r="F88" s="33">
        <v>0</v>
      </c>
      <c r="G88" s="33">
        <v>0.249969999999999</v>
      </c>
      <c r="H88" s="33">
        <v>0</v>
      </c>
      <c r="I88" s="33">
        <v>0.32833000000000001</v>
      </c>
      <c r="J88" s="33">
        <v>0.249969999999999</v>
      </c>
      <c r="K88" s="33">
        <v>0.32833000000000001</v>
      </c>
      <c r="L88" s="33">
        <v>16.729970000000002</v>
      </c>
      <c r="M88" s="33">
        <v>21.198329999999999</v>
      </c>
      <c r="N88" s="34">
        <v>1.2663834951456301</v>
      </c>
      <c r="O88" s="34">
        <v>1.26844555541175</v>
      </c>
      <c r="P88" s="34">
        <v>1.26941703088348</v>
      </c>
      <c r="Q88" s="34">
        <v>1.2691512165487</v>
      </c>
      <c r="R88" s="33">
        <v>20.903982753185701</v>
      </c>
      <c r="S88" s="33">
        <v>20.930447214414301</v>
      </c>
      <c r="T88" s="33">
        <v>20.9166751907165</v>
      </c>
      <c r="U88" s="15">
        <v>1.6269820803443899E-3</v>
      </c>
      <c r="V88" s="15">
        <v>2.89218228884297E-3</v>
      </c>
      <c r="W88" s="15">
        <v>2.2339757788896399E-3</v>
      </c>
      <c r="X88" s="34">
        <v>1.2670871495884299</v>
      </c>
      <c r="Y88" s="34">
        <v>1.2671331732903199</v>
      </c>
      <c r="Z88" s="34">
        <v>1.2676045740123401</v>
      </c>
      <c r="AA88" s="34">
        <v>1.2675431747163599</v>
      </c>
      <c r="AB88" s="33">
        <v>21.1990999751518</v>
      </c>
      <c r="AC88" s="33">
        <v>21.209179499142799</v>
      </c>
      <c r="AD88" s="33">
        <v>21.206889828355301</v>
      </c>
      <c r="AE88" s="15">
        <v>3.6321784241525202E-5</v>
      </c>
      <c r="AF88" s="15">
        <v>5.1167821490716899E-4</v>
      </c>
      <c r="AG88" s="15">
        <v>4.03715792832282E-4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3.9171731110519475E-3</v>
      </c>
      <c r="AT88" s="12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3.9171731110519475E-3</v>
      </c>
      <c r="BH88" s="29"/>
    </row>
    <row r="89" spans="1:60" x14ac:dyDescent="0.25">
      <c r="A89" s="1">
        <v>46150</v>
      </c>
      <c r="B89" s="33">
        <v>16.52</v>
      </c>
      <c r="C89" s="33">
        <v>20.91</v>
      </c>
      <c r="D89" s="15">
        <v>2.4242436115062501E-3</v>
      </c>
      <c r="E89" s="15">
        <v>1.91479235143288E-3</v>
      </c>
      <c r="F89" s="33">
        <v>0</v>
      </c>
      <c r="G89" s="33">
        <v>0.249969999999999</v>
      </c>
      <c r="H89" s="33">
        <v>0</v>
      </c>
      <c r="I89" s="33">
        <v>0.32833000000000001</v>
      </c>
      <c r="J89" s="33">
        <v>0.249969999999999</v>
      </c>
      <c r="K89" s="33">
        <v>0.32833000000000001</v>
      </c>
      <c r="L89" s="33">
        <v>16.769970000000001</v>
      </c>
      <c r="M89" s="33">
        <v>21.238330000000001</v>
      </c>
      <c r="N89" s="34">
        <v>1.2657384987893401</v>
      </c>
      <c r="O89" s="34">
        <v>1.26844555541175</v>
      </c>
      <c r="P89" s="34">
        <v>1.2686906386316601</v>
      </c>
      <c r="Q89" s="34">
        <v>1.2690382624803</v>
      </c>
      <c r="R89" s="33">
        <v>20.954720575402199</v>
      </c>
      <c r="S89" s="33">
        <v>20.970769350194999</v>
      </c>
      <c r="T89" s="33">
        <v>20.966378097384499</v>
      </c>
      <c r="U89" s="15">
        <v>2.13643334041794E-3</v>
      </c>
      <c r="V89" s="15">
        <v>2.90201893549079E-3</v>
      </c>
      <c r="W89" s="15">
        <v>2.6925982622289998E-3</v>
      </c>
      <c r="X89" s="34">
        <v>1.2664500890579999</v>
      </c>
      <c r="Y89" s="34">
        <v>1.2671331732903199</v>
      </c>
      <c r="Z89" s="34">
        <v>1.26738216455067</v>
      </c>
      <c r="AA89" s="34">
        <v>1.2674396567559101</v>
      </c>
      <c r="AB89" s="33">
        <v>21.249785302083499</v>
      </c>
      <c r="AC89" s="33">
        <v>21.257690678049801</v>
      </c>
      <c r="AD89" s="33">
        <v>21.256661013698199</v>
      </c>
      <c r="AE89" s="15">
        <v>5.3922384081414902E-4</v>
      </c>
      <c r="AF89" s="15">
        <v>9.11176109219552E-4</v>
      </c>
      <c r="AG89" s="15">
        <v>8.62737673215114E-4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3.9171731110519475E-3</v>
      </c>
      <c r="AT89" s="12"/>
      <c r="AU89">
        <f t="shared" si="30"/>
        <v>0</v>
      </c>
      <c r="AV89">
        <f t="shared" si="31"/>
        <v>0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3.9171731110519475E-3</v>
      </c>
      <c r="BH89" s="29"/>
    </row>
    <row r="90" spans="1:60" x14ac:dyDescent="0.25">
      <c r="A90" s="1">
        <v>46153</v>
      </c>
      <c r="B90" s="33">
        <v>16.48</v>
      </c>
      <c r="C90" s="33">
        <v>20.88</v>
      </c>
      <c r="D90" s="15">
        <v>-2.42424361150628E-3</v>
      </c>
      <c r="E90" s="15">
        <v>-1.4357504261042599E-3</v>
      </c>
      <c r="F90" s="33">
        <v>0</v>
      </c>
      <c r="G90" s="33">
        <v>0.249969999999999</v>
      </c>
      <c r="H90" s="33">
        <v>0</v>
      </c>
      <c r="I90" s="33">
        <v>0.32833000000000001</v>
      </c>
      <c r="J90" s="33">
        <v>0.249969999999999</v>
      </c>
      <c r="K90" s="33">
        <v>0.32833000000000001</v>
      </c>
      <c r="L90" s="33">
        <v>16.729970000000002</v>
      </c>
      <c r="M90" s="33">
        <v>21.20833</v>
      </c>
      <c r="N90" s="34">
        <v>1.26699029126213</v>
      </c>
      <c r="O90" s="34">
        <v>1.26844555541175</v>
      </c>
      <c r="P90" s="34">
        <v>1.2681940287512099</v>
      </c>
      <c r="Q90" s="34">
        <v>1.26902024535964</v>
      </c>
      <c r="R90" s="33">
        <v>20.903982753185701</v>
      </c>
      <c r="S90" s="33">
        <v>20.908021724649799</v>
      </c>
      <c r="T90" s="33">
        <v>20.9137505656754</v>
      </c>
      <c r="U90" s="15">
        <v>1.1479401550159301E-3</v>
      </c>
      <c r="V90" s="15">
        <v>1.34113689490111E-3</v>
      </c>
      <c r="W90" s="15">
        <v>1.6151014233131301E-3</v>
      </c>
      <c r="X90" s="34">
        <v>1.2676848792914699</v>
      </c>
      <c r="Y90" s="34">
        <v>1.2671331732903199</v>
      </c>
      <c r="Z90" s="34">
        <v>1.26738653536028</v>
      </c>
      <c r="AA90" s="34">
        <v>1.2674299274009599</v>
      </c>
      <c r="AB90" s="33">
        <v>21.1990999751518</v>
      </c>
      <c r="AC90" s="33">
        <v>21.203265591467801</v>
      </c>
      <c r="AD90" s="33">
        <v>21.204227434336701</v>
      </c>
      <c r="AE90" s="15">
        <v>-4.35302257140373E-4</v>
      </c>
      <c r="AF90" s="15">
        <v>-2.38821882817698E-4</v>
      </c>
      <c r="AG90" s="15">
        <v>-1.93459952629766E-4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3.9171731110519475E-3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3.9171731110519475E-3</v>
      </c>
      <c r="BH90" s="29"/>
    </row>
    <row r="91" spans="1:60" x14ac:dyDescent="0.25">
      <c r="A91" s="1">
        <v>46154</v>
      </c>
      <c r="B91" s="33">
        <v>16.45</v>
      </c>
      <c r="C91" s="33">
        <v>20.82</v>
      </c>
      <c r="D91" s="15">
        <v>-1.8220472699447599E-3</v>
      </c>
      <c r="E91" s="15">
        <v>-2.8776998276150499E-3</v>
      </c>
      <c r="F91" s="33">
        <v>0</v>
      </c>
      <c r="G91" s="33">
        <v>0.249969999999999</v>
      </c>
      <c r="H91" s="33">
        <v>0</v>
      </c>
      <c r="I91" s="33">
        <v>0.32833000000000001</v>
      </c>
      <c r="J91" s="33">
        <v>0.249969999999999</v>
      </c>
      <c r="K91" s="33">
        <v>0.32833000000000001</v>
      </c>
      <c r="L91" s="33">
        <v>16.69997</v>
      </c>
      <c r="M91" s="33">
        <v>21.148330000000001</v>
      </c>
      <c r="N91" s="34">
        <v>1.2656534954407199</v>
      </c>
      <c r="O91" s="34">
        <v>1.26844555541175</v>
      </c>
      <c r="P91" s="34">
        <v>1.2675307548871599</v>
      </c>
      <c r="Q91" s="34">
        <v>1.2689675799751501</v>
      </c>
      <c r="R91" s="33">
        <v>20.865929386523401</v>
      </c>
      <c r="S91" s="33">
        <v>20.8617917729574</v>
      </c>
      <c r="T91" s="33">
        <v>20.875383036166099</v>
      </c>
      <c r="U91" s="15">
        <v>2.2035927126861999E-3</v>
      </c>
      <c r="V91" s="15">
        <v>2.00527785318544E-3</v>
      </c>
      <c r="W91" s="15">
        <v>2.6565564196555599E-3</v>
      </c>
      <c r="X91" s="34">
        <v>1.2663693407832399</v>
      </c>
      <c r="Y91" s="34">
        <v>1.2671331732903199</v>
      </c>
      <c r="Z91" s="34">
        <v>1.2672273760166901</v>
      </c>
      <c r="AA91" s="34">
        <v>1.26738631757081</v>
      </c>
      <c r="AB91" s="33">
        <v>21.1610859799531</v>
      </c>
      <c r="AC91" s="33">
        <v>21.165317118920601</v>
      </c>
      <c r="AD91" s="33">
        <v>21.166041764698299</v>
      </c>
      <c r="AE91" s="15">
        <v>6.0298541325771104E-4</v>
      </c>
      <c r="AF91" s="15">
        <v>8.0291447274543704E-4</v>
      </c>
      <c r="AG91" s="15">
        <v>8.3715130316522996E-4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3.9171731110519475E-3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3.9171731110519475E-3</v>
      </c>
      <c r="BH91" s="29"/>
    </row>
    <row r="92" spans="1:60" x14ac:dyDescent="0.25">
      <c r="A92" s="1">
        <v>46155</v>
      </c>
      <c r="B92" s="33">
        <v>16.45</v>
      </c>
      <c r="C92" s="33">
        <v>20.85</v>
      </c>
      <c r="D92" s="15">
        <v>0</v>
      </c>
      <c r="E92" s="15">
        <v>1.4398850579877599E-3</v>
      </c>
      <c r="F92" s="33">
        <v>0</v>
      </c>
      <c r="G92" s="33">
        <v>0.249969999999999</v>
      </c>
      <c r="H92" s="33">
        <v>0</v>
      </c>
      <c r="I92" s="33">
        <v>0.32833000000000001</v>
      </c>
      <c r="J92" s="33">
        <v>0.249969999999999</v>
      </c>
      <c r="K92" s="33">
        <v>0.32833000000000001</v>
      </c>
      <c r="L92" s="33">
        <v>16.69997</v>
      </c>
      <c r="M92" s="33">
        <v>21.178329999999999</v>
      </c>
      <c r="N92" s="34">
        <v>1.26747720364741</v>
      </c>
      <c r="O92" s="34">
        <v>1.26844555541175</v>
      </c>
      <c r="P92" s="34">
        <v>1.2670112810948699</v>
      </c>
      <c r="Q92" s="34">
        <v>1.2690362023489701</v>
      </c>
      <c r="R92" s="33">
        <v>20.865929386523401</v>
      </c>
      <c r="S92" s="33">
        <v>20.8508809178938</v>
      </c>
      <c r="T92" s="33">
        <v>20.8745166905912</v>
      </c>
      <c r="U92" s="15">
        <v>7.6370765469858405E-4</v>
      </c>
      <c r="V92" s="15">
        <v>4.2249366179045299E-5</v>
      </c>
      <c r="W92" s="15">
        <v>1.17516967755617E-3</v>
      </c>
      <c r="X92" s="34">
        <v>1.2681657511959601</v>
      </c>
      <c r="Y92" s="34">
        <v>1.2671331732903199</v>
      </c>
      <c r="Z92" s="34">
        <v>1.26721142086195</v>
      </c>
      <c r="AA92" s="34">
        <v>1.2674622958006301</v>
      </c>
      <c r="AB92" s="33">
        <v>21.1610859799531</v>
      </c>
      <c r="AC92" s="33">
        <v>21.162659162657398</v>
      </c>
      <c r="AD92" s="33">
        <v>21.1653134818431</v>
      </c>
      <c r="AE92" s="15">
        <v>-8.1456111763316796E-4</v>
      </c>
      <c r="AF92" s="15">
        <v>-7.4022068770486504E-4</v>
      </c>
      <c r="AG92" s="15">
        <v>-6.14803899550141E-4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3.9171731110519475E-3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3.9171731110519475E-3</v>
      </c>
      <c r="BH92" s="29"/>
    </row>
    <row r="93" spans="1:60" x14ac:dyDescent="0.25">
      <c r="A93" s="1">
        <v>46156</v>
      </c>
      <c r="B93" s="33">
        <v>16.440000000000001</v>
      </c>
      <c r="C93" s="33">
        <v>20.82</v>
      </c>
      <c r="D93" s="15">
        <v>-6.0808758334694605E-4</v>
      </c>
      <c r="E93" s="15">
        <v>-1.43988505798764E-3</v>
      </c>
      <c r="F93" s="33">
        <v>0</v>
      </c>
      <c r="G93" s="33">
        <v>0.249969999999999</v>
      </c>
      <c r="H93" s="33">
        <v>0</v>
      </c>
      <c r="I93" s="33">
        <v>0.32833000000000001</v>
      </c>
      <c r="J93" s="33">
        <v>0.249969999999999</v>
      </c>
      <c r="K93" s="33">
        <v>0.32833000000000001</v>
      </c>
      <c r="L93" s="33">
        <v>16.689969999999999</v>
      </c>
      <c r="M93" s="33">
        <v>21.148330000000001</v>
      </c>
      <c r="N93" s="34">
        <v>1.2664233576642301</v>
      </c>
      <c r="O93" s="34">
        <v>1.26844555541175</v>
      </c>
      <c r="P93" s="34">
        <v>1.26652983045353</v>
      </c>
      <c r="Q93" s="34">
        <v>1.2690200135634999</v>
      </c>
      <c r="R93" s="33">
        <v>20.8532449309693</v>
      </c>
      <c r="S93" s="33">
        <v>20.829665461199699</v>
      </c>
      <c r="T93" s="33">
        <v>20.862955166617098</v>
      </c>
      <c r="U93" s="15">
        <v>1.5955051293392801E-3</v>
      </c>
      <c r="V93" s="15">
        <v>4.6413152500535999E-4</v>
      </c>
      <c r="W93" s="15">
        <v>2.0610430163200601E-3</v>
      </c>
      <c r="X93" s="34">
        <v>1.2671281014884901</v>
      </c>
      <c r="Y93" s="34">
        <v>1.2671331732903199</v>
      </c>
      <c r="Z93" s="34">
        <v>1.2672316667085299</v>
      </c>
      <c r="AA93" s="34">
        <v>1.2674545661526</v>
      </c>
      <c r="AB93" s="33">
        <v>21.1484146482202</v>
      </c>
      <c r="AC93" s="33">
        <v>21.149720597843299</v>
      </c>
      <c r="AD93" s="33">
        <v>21.153907693043699</v>
      </c>
      <c r="AE93" s="15">
        <v>4.0025879527492904E-6</v>
      </c>
      <c r="AF93" s="15">
        <v>6.5752337246747594E-5</v>
      </c>
      <c r="AG93" s="15">
        <v>2.6370676258357902E-4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3.9171731110519475E-3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3.9171731110519475E-3</v>
      </c>
      <c r="BH93" s="29"/>
    </row>
    <row r="94" spans="1:60" x14ac:dyDescent="0.25">
      <c r="A94" s="1">
        <v>46157</v>
      </c>
      <c r="B94" s="33">
        <v>16.37</v>
      </c>
      <c r="C94" s="33">
        <v>20.74</v>
      </c>
      <c r="D94" s="15">
        <v>-4.2669982449902799E-3</v>
      </c>
      <c r="E94" s="15">
        <v>-3.84986038544165E-3</v>
      </c>
      <c r="F94" s="33">
        <v>0</v>
      </c>
      <c r="G94" s="33">
        <v>0.249969999999999</v>
      </c>
      <c r="H94" s="33">
        <v>0</v>
      </c>
      <c r="I94" s="33">
        <v>0.32833000000000001</v>
      </c>
      <c r="J94" s="33">
        <v>0.249969999999999</v>
      </c>
      <c r="K94" s="33">
        <v>0.32833000000000001</v>
      </c>
      <c r="L94" s="33">
        <v>16.619969999999999</v>
      </c>
      <c r="M94" s="33">
        <v>21.06833</v>
      </c>
      <c r="N94" s="34">
        <v>1.2669517409896101</v>
      </c>
      <c r="O94" s="34">
        <v>1.26844555541175</v>
      </c>
      <c r="P94" s="34">
        <v>1.2665866550379199</v>
      </c>
      <c r="Q94" s="34">
        <v>1.2690563025360599</v>
      </c>
      <c r="R94" s="33">
        <v>20.764453742090499</v>
      </c>
      <c r="S94" s="33">
        <v>20.733093324524202</v>
      </c>
      <c r="T94" s="33">
        <v>20.773857622034502</v>
      </c>
      <c r="U94" s="15">
        <v>1.17836726979063E-3</v>
      </c>
      <c r="V94" s="15">
        <v>-3.3306777893384E-4</v>
      </c>
      <c r="W94" s="15">
        <v>1.6311483191841099E-3</v>
      </c>
      <c r="X94" s="34">
        <v>1.26765150598948</v>
      </c>
      <c r="Y94" s="34">
        <v>1.2671331732903199</v>
      </c>
      <c r="Z94" s="34">
        <v>1.26728810234864</v>
      </c>
      <c r="AA94" s="34">
        <v>1.2674988874028801</v>
      </c>
      <c r="AB94" s="33">
        <v>21.059715326089901</v>
      </c>
      <c r="AC94" s="33">
        <v>21.061352283745801</v>
      </c>
      <c r="AD94" s="33">
        <v>21.065056865819201</v>
      </c>
      <c r="AE94" s="15">
        <v>-4.0897572927641899E-4</v>
      </c>
      <c r="AF94" s="15">
        <v>-3.31249415598495E-4</v>
      </c>
      <c r="AG94" s="15">
        <v>-1.55370096298071E-4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3.9171731110519475E-3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3.9171731110519475E-3</v>
      </c>
      <c r="BH94" s="29"/>
    </row>
    <row r="95" spans="1:60" x14ac:dyDescent="0.25">
      <c r="A95" s="1">
        <v>46160</v>
      </c>
      <c r="B95" s="33">
        <v>16.3</v>
      </c>
      <c r="C95" s="33">
        <v>20.72</v>
      </c>
      <c r="D95" s="15">
        <v>-4.2852835703269298E-3</v>
      </c>
      <c r="E95" s="15">
        <v>-9.64785410098889E-4</v>
      </c>
      <c r="F95" s="33">
        <v>6.6009999999999999E-2</v>
      </c>
      <c r="G95" s="33">
        <v>0.31597999999999998</v>
      </c>
      <c r="H95" s="33">
        <v>0</v>
      </c>
      <c r="I95" s="33">
        <v>0.32833000000000001</v>
      </c>
      <c r="J95" s="33">
        <v>0.31597999999999998</v>
      </c>
      <c r="K95" s="33">
        <v>0.32833000000000001</v>
      </c>
      <c r="L95" s="33">
        <v>16.61598</v>
      </c>
      <c r="M95" s="33">
        <v>21.04833</v>
      </c>
      <c r="N95" s="34">
        <v>1.27116564417177</v>
      </c>
      <c r="O95" s="34">
        <v>1.26844555541175</v>
      </c>
      <c r="P95" s="34">
        <v>1.2669229394794499</v>
      </c>
      <c r="Q95" s="34">
        <v>1.26903582795527</v>
      </c>
      <c r="R95" s="33">
        <v>20.675662553211598</v>
      </c>
      <c r="S95" s="33">
        <v>20.645362477118201</v>
      </c>
      <c r="T95" s="33">
        <v>20.6856177313378</v>
      </c>
      <c r="U95" s="15">
        <v>-2.14213089043739E-3</v>
      </c>
      <c r="V95" s="15">
        <v>-3.60870058477842E-3</v>
      </c>
      <c r="W95" s="15">
        <v>-1.66075418981786E-3</v>
      </c>
      <c r="X95" s="34">
        <v>1.2667522469333701</v>
      </c>
      <c r="Y95" s="34">
        <v>1.2671331732903199</v>
      </c>
      <c r="Z95" s="34">
        <v>1.26711459769774</v>
      </c>
      <c r="AA95" s="34">
        <v>1.26747245094328</v>
      </c>
      <c r="AB95" s="33">
        <v>21.054659464728498</v>
      </c>
      <c r="AC95" s="33">
        <v>21.0572337628629</v>
      </c>
      <c r="AD95" s="33">
        <v>21.060736163108501</v>
      </c>
      <c r="AE95" s="15">
        <v>3.0066581288793701E-4</v>
      </c>
      <c r="AF95" s="15">
        <v>4.2292572287330299E-4</v>
      </c>
      <c r="AG95" s="15">
        <v>5.8923954378191205E-4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3.9171731110519475E-3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3.9171731110519475E-3</v>
      </c>
      <c r="BH95" s="29"/>
    </row>
    <row r="96" spans="1:60" x14ac:dyDescent="0.25">
      <c r="A96" s="1">
        <v>46161</v>
      </c>
      <c r="B96" s="33">
        <v>16.260000000000002</v>
      </c>
      <c r="C96" s="33">
        <v>20.66</v>
      </c>
      <c r="D96" s="15">
        <v>-2.4570036930520998E-3</v>
      </c>
      <c r="E96" s="15">
        <v>-2.8999536997897598E-3</v>
      </c>
      <c r="F96" s="33">
        <v>0</v>
      </c>
      <c r="G96" s="33">
        <v>0.31597999999999998</v>
      </c>
      <c r="H96" s="33">
        <v>0</v>
      </c>
      <c r="I96" s="33">
        <v>0.32833000000000001</v>
      </c>
      <c r="J96" s="33">
        <v>0.31597999999999998</v>
      </c>
      <c r="K96" s="33">
        <v>0.32833000000000001</v>
      </c>
      <c r="L96" s="33">
        <v>16.575980000000001</v>
      </c>
      <c r="M96" s="33">
        <v>20.988330000000001</v>
      </c>
      <c r="N96" s="34">
        <v>1.2706027060270599</v>
      </c>
      <c r="O96" s="34">
        <v>1.26844555541175</v>
      </c>
      <c r="P96" s="34">
        <v>1.26731249319272</v>
      </c>
      <c r="Q96" s="34">
        <v>1.2690066412227201</v>
      </c>
      <c r="R96" s="33">
        <v>20.6249247309952</v>
      </c>
      <c r="S96" s="33">
        <v>20.600166995935801</v>
      </c>
      <c r="T96" s="33">
        <v>20.6345225625527</v>
      </c>
      <c r="U96" s="15">
        <v>-1.6991808836996801E-3</v>
      </c>
      <c r="V96" s="15">
        <v>-2.9002813299856202E-3</v>
      </c>
      <c r="W96" s="15">
        <v>-1.2339380188411901E-3</v>
      </c>
      <c r="X96" s="34">
        <v>1.26618938970727</v>
      </c>
      <c r="Y96" s="34">
        <v>1.2671331732903199</v>
      </c>
      <c r="Z96" s="34">
        <v>1.26699285430937</v>
      </c>
      <c r="AA96" s="34">
        <v>1.2674376568432</v>
      </c>
      <c r="AB96" s="33">
        <v>21.003974137796899</v>
      </c>
      <c r="AC96" s="33">
        <v>21.0036662291458</v>
      </c>
      <c r="AD96" s="33">
        <v>21.009597997386798</v>
      </c>
      <c r="AE96" s="15">
        <v>7.45095504611555E-4</v>
      </c>
      <c r="AF96" s="15">
        <v>7.3043585468017601E-4</v>
      </c>
      <c r="AG96" s="15">
        <v>1.0128118323447699E-3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3.9171731110519475E-3</v>
      </c>
      <c r="AT96" s="12"/>
      <c r="AU96">
        <f t="shared" si="30"/>
        <v>1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3.9171731110519475E-3</v>
      </c>
      <c r="BH96" s="29"/>
    </row>
    <row r="97" spans="1:60" x14ac:dyDescent="0.25">
      <c r="A97" s="1">
        <v>46162</v>
      </c>
      <c r="B97" s="33">
        <v>16.34</v>
      </c>
      <c r="C97" s="33">
        <v>20.77</v>
      </c>
      <c r="D97" s="15">
        <v>4.9079853121922201E-3</v>
      </c>
      <c r="E97" s="15">
        <v>5.31017419652835E-3</v>
      </c>
      <c r="F97" s="33">
        <v>0</v>
      </c>
      <c r="G97" s="33">
        <v>0.31597999999999998</v>
      </c>
      <c r="H97" s="33">
        <v>0</v>
      </c>
      <c r="I97" s="33">
        <v>0.32833000000000001</v>
      </c>
      <c r="J97" s="33">
        <v>0.31597999999999998</v>
      </c>
      <c r="K97" s="33">
        <v>0.32833000000000001</v>
      </c>
      <c r="L97" s="33">
        <v>16.65598</v>
      </c>
      <c r="M97" s="33">
        <v>21.098330000000001</v>
      </c>
      <c r="N97" s="34">
        <v>1.2711138310893499</v>
      </c>
      <c r="O97" s="34">
        <v>1.26844555541175</v>
      </c>
      <c r="P97" s="34">
        <v>1.2678500264227199</v>
      </c>
      <c r="Q97" s="34">
        <v>1.2689507175321799</v>
      </c>
      <c r="R97" s="33">
        <v>20.726400375428099</v>
      </c>
      <c r="S97" s="33">
        <v>20.707886138769101</v>
      </c>
      <c r="T97" s="33">
        <v>20.735568517579299</v>
      </c>
      <c r="U97" s="15">
        <v>-2.1013697680359301E-3</v>
      </c>
      <c r="V97" s="15">
        <v>-2.99503728104092E-3</v>
      </c>
      <c r="W97" s="15">
        <v>-1.6591263075615701E-3</v>
      </c>
      <c r="X97" s="34">
        <v>1.26671201574449</v>
      </c>
      <c r="Y97" s="34">
        <v>1.2671331732903199</v>
      </c>
      <c r="Z97" s="34">
        <v>1.26701904697802</v>
      </c>
      <c r="AA97" s="34">
        <v>1.26737735167826</v>
      </c>
      <c r="AB97" s="33">
        <v>21.105344791660102</v>
      </c>
      <c r="AC97" s="33">
        <v>21.103007641519799</v>
      </c>
      <c r="AD97" s="33">
        <v>21.110416263627201</v>
      </c>
      <c r="AE97" s="15">
        <v>3.3242563636330701E-4</v>
      </c>
      <c r="AF97" s="15">
        <v>2.21682145658517E-4</v>
      </c>
      <c r="AG97" s="15">
        <v>5.7269002410352098E-4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3.9171731110519475E-3</v>
      </c>
      <c r="AT97" s="12"/>
      <c r="AU97">
        <f t="shared" si="30"/>
        <v>0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-4.9079853121922201E-3</v>
      </c>
      <c r="BA97" s="28">
        <f t="shared" si="33"/>
        <v>5.31017419652835E-3</v>
      </c>
      <c r="BB97" s="28">
        <f t="shared" si="40"/>
        <v>4.0218888433612987E-4</v>
      </c>
      <c r="BC97" s="29">
        <f t="shared" si="41"/>
        <v>4.0218888433612987E-4</v>
      </c>
      <c r="BE97" s="29">
        <f t="shared" si="42"/>
        <v>4.0218888433612987E-4</v>
      </c>
      <c r="BF97" s="29">
        <f t="shared" si="43"/>
        <v>4.3193619953880774E-3</v>
      </c>
      <c r="BH97" s="29"/>
    </row>
    <row r="98" spans="1:60" x14ac:dyDescent="0.25">
      <c r="A98" s="1">
        <v>46163</v>
      </c>
      <c r="B98" s="33">
        <v>16.34</v>
      </c>
      <c r="C98" s="33">
        <v>20.78</v>
      </c>
      <c r="D98" s="15">
        <v>0</v>
      </c>
      <c r="E98" s="15">
        <v>4.8134778306046198E-4</v>
      </c>
      <c r="F98" s="33">
        <v>0</v>
      </c>
      <c r="G98" s="33">
        <v>0.31597999999999998</v>
      </c>
      <c r="H98" s="33">
        <v>0</v>
      </c>
      <c r="I98" s="33">
        <v>0.32833000000000001</v>
      </c>
      <c r="J98" s="33">
        <v>0.31597999999999998</v>
      </c>
      <c r="K98" s="33">
        <v>0.32833000000000001</v>
      </c>
      <c r="L98" s="33">
        <v>16.65598</v>
      </c>
      <c r="M98" s="33">
        <v>21.108329999999999</v>
      </c>
      <c r="N98" s="34">
        <v>1.2717258261933899</v>
      </c>
      <c r="O98" s="34">
        <v>1.26844555541175</v>
      </c>
      <c r="P98" s="34">
        <v>1.2683842595274999</v>
      </c>
      <c r="Q98" s="34">
        <v>1.2689006452054901</v>
      </c>
      <c r="R98" s="33">
        <v>20.726400375428099</v>
      </c>
      <c r="S98" s="33">
        <v>20.716669431747398</v>
      </c>
      <c r="T98" s="33">
        <v>20.734654724475899</v>
      </c>
      <c r="U98" s="15">
        <v>-2.5827175510964801E-3</v>
      </c>
      <c r="V98" s="15">
        <v>-3.0523229111652202E-3</v>
      </c>
      <c r="W98" s="15">
        <v>-2.1845439331335901E-3</v>
      </c>
      <c r="X98" s="34">
        <v>1.2673124007113299</v>
      </c>
      <c r="Y98" s="34">
        <v>1.2671331732903199</v>
      </c>
      <c r="Z98" s="34">
        <v>1.2670415720903101</v>
      </c>
      <c r="AA98" s="34">
        <v>1.2673230730513301</v>
      </c>
      <c r="AB98" s="33">
        <v>21.105344791660102</v>
      </c>
      <c r="AC98" s="33">
        <v>21.103443906085001</v>
      </c>
      <c r="AD98" s="33">
        <v>21.109411822006201</v>
      </c>
      <c r="AE98" s="15">
        <v>-1.4143323743161099E-4</v>
      </c>
      <c r="AF98" s="15">
        <v>-2.3150384286935901E-4</v>
      </c>
      <c r="AG98" s="15">
        <v>5.1249638648313301E-5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3.9171731110519475E-3</v>
      </c>
      <c r="AT98" s="12"/>
      <c r="AU98">
        <f t="shared" si="30"/>
        <v>0</v>
      </c>
      <c r="AV98">
        <f t="shared" si="31"/>
        <v>1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0</v>
      </c>
      <c r="BA98" s="28">
        <f t="shared" si="33"/>
        <v>4.8134778306046198E-4</v>
      </c>
      <c r="BB98" s="28">
        <f t="shared" si="40"/>
        <v>4.8134778306046198E-4</v>
      </c>
      <c r="BC98" s="29">
        <f t="shared" si="41"/>
        <v>8.8353666739659185E-4</v>
      </c>
      <c r="BE98" s="29">
        <f t="shared" si="42"/>
        <v>4.8134778306046198E-4</v>
      </c>
      <c r="BF98" s="29">
        <f t="shared" si="43"/>
        <v>4.8007097784485394E-3</v>
      </c>
      <c r="BH98" s="29"/>
    </row>
    <row r="99" spans="1:60" x14ac:dyDescent="0.25">
      <c r="A99" s="1">
        <v>46164</v>
      </c>
      <c r="B99" s="33">
        <v>16.34</v>
      </c>
      <c r="C99" s="33">
        <v>20.78</v>
      </c>
      <c r="D99" s="15">
        <v>0</v>
      </c>
      <c r="E99" s="15">
        <v>0</v>
      </c>
      <c r="F99" s="33">
        <v>0</v>
      </c>
      <c r="G99" s="33">
        <v>0.31597999999999998</v>
      </c>
      <c r="H99" s="33">
        <v>0</v>
      </c>
      <c r="I99" s="33">
        <v>0.32833000000000001</v>
      </c>
      <c r="J99" s="33">
        <v>0.31597999999999998</v>
      </c>
      <c r="K99" s="33">
        <v>0.32833000000000001</v>
      </c>
      <c r="L99" s="33">
        <v>16.65598</v>
      </c>
      <c r="M99" s="33">
        <v>21.108329999999999</v>
      </c>
      <c r="N99" s="34">
        <v>1.2717258261933899</v>
      </c>
      <c r="O99" s="34">
        <v>1.26844555541175</v>
      </c>
      <c r="P99" s="34">
        <v>1.2689829922679099</v>
      </c>
      <c r="Q99" s="34">
        <v>1.26883681544978</v>
      </c>
      <c r="R99" s="33">
        <v>20.726400375428099</v>
      </c>
      <c r="S99" s="33">
        <v>20.7253988006794</v>
      </c>
      <c r="T99" s="33">
        <v>20.733836542657698</v>
      </c>
      <c r="U99" s="15">
        <v>-2.5827175510964801E-3</v>
      </c>
      <c r="V99" s="15">
        <v>-2.6310423412771199E-3</v>
      </c>
      <c r="W99" s="15">
        <v>-2.2240043423882401E-3</v>
      </c>
      <c r="X99" s="34">
        <v>1.2673124007113299</v>
      </c>
      <c r="Y99" s="34">
        <v>1.2671331732903199</v>
      </c>
      <c r="Z99" s="34">
        <v>1.2671278032556399</v>
      </c>
      <c r="AA99" s="34">
        <v>1.2672549839031599</v>
      </c>
      <c r="AB99" s="33">
        <v>21.105344791660102</v>
      </c>
      <c r="AC99" s="33">
        <v>21.103819083904799</v>
      </c>
      <c r="AD99" s="33">
        <v>21.108507758281501</v>
      </c>
      <c r="AE99" s="15">
        <v>-1.4143323743161099E-4</v>
      </c>
      <c r="AF99" s="15">
        <v>-2.1372596327071201E-4</v>
      </c>
      <c r="AG99" s="15">
        <v>8.42120305320559E-6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3.9171731110519475E-3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8.8353666739659185E-4</v>
      </c>
      <c r="BE99" s="29">
        <f t="shared" si="42"/>
        <v>0</v>
      </c>
      <c r="BF99" s="29">
        <f t="shared" si="43"/>
        <v>4.8007097784485394E-3</v>
      </c>
      <c r="BH99" s="29"/>
    </row>
    <row r="100" spans="1:60" x14ac:dyDescent="0.25">
      <c r="A100" s="1">
        <v>46168</v>
      </c>
      <c r="B100" s="33">
        <v>16.39</v>
      </c>
      <c r="C100" s="33">
        <v>20.83</v>
      </c>
      <c r="D100" s="15">
        <v>3.0553033238815302E-3</v>
      </c>
      <c r="E100" s="15">
        <v>2.4032696017992198E-3</v>
      </c>
      <c r="F100" s="33">
        <v>0</v>
      </c>
      <c r="G100" s="33">
        <v>0.31597999999999998</v>
      </c>
      <c r="H100" s="33">
        <v>0</v>
      </c>
      <c r="I100" s="33">
        <v>0.32833000000000001</v>
      </c>
      <c r="J100" s="33">
        <v>0.31597999999999998</v>
      </c>
      <c r="K100" s="33">
        <v>0.32833000000000001</v>
      </c>
      <c r="L100" s="33">
        <v>16.70598</v>
      </c>
      <c r="M100" s="33">
        <v>21.158329999999999</v>
      </c>
      <c r="N100" s="34">
        <v>1.2708968883465499</v>
      </c>
      <c r="O100" s="34">
        <v>1.26844555541175</v>
      </c>
      <c r="P100" s="34">
        <v>1.2693736519763501</v>
      </c>
      <c r="Q100" s="34">
        <v>1.2687838403637799</v>
      </c>
      <c r="R100" s="33">
        <v>20.789822653198701</v>
      </c>
      <c r="S100" s="33">
        <v>20.798631243271</v>
      </c>
      <c r="T100" s="33">
        <v>20.796235405221999</v>
      </c>
      <c r="U100" s="15">
        <v>-1.93068382901395E-3</v>
      </c>
      <c r="V100" s="15">
        <v>-1.50707634286125E-3</v>
      </c>
      <c r="W100" s="15">
        <v>-1.6222750798561801E-3</v>
      </c>
      <c r="X100" s="34">
        <v>1.26651235066724</v>
      </c>
      <c r="Y100" s="34">
        <v>1.2671331732903199</v>
      </c>
      <c r="Z100" s="34">
        <v>1.2670105503932201</v>
      </c>
      <c r="AA100" s="34">
        <v>1.26719854287675</v>
      </c>
      <c r="AB100" s="33">
        <v>21.168701450324601</v>
      </c>
      <c r="AC100" s="33">
        <v>21.168611738632698</v>
      </c>
      <c r="AD100" s="33">
        <v>21.1707364159865</v>
      </c>
      <c r="AE100" s="15">
        <v>4.9006274131946598E-4</v>
      </c>
      <c r="AF100" s="15">
        <v>4.8582479209128898E-4</v>
      </c>
      <c r="AG100" s="15">
        <v>5.8618898984735997E-4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3.9171731110519475E-3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8.8353666739659185E-4</v>
      </c>
      <c r="BE100" s="29">
        <f t="shared" si="42"/>
        <v>0</v>
      </c>
      <c r="BF100" s="29">
        <f t="shared" si="43"/>
        <v>4.8007097784485394E-3</v>
      </c>
      <c r="BH100" s="29"/>
    </row>
    <row r="101" spans="1:60" x14ac:dyDescent="0.25">
      <c r="A101" s="1">
        <v>46169</v>
      </c>
      <c r="B101" s="33">
        <v>16.39</v>
      </c>
      <c r="C101" s="33">
        <v>20.86</v>
      </c>
      <c r="D101" s="15">
        <v>0</v>
      </c>
      <c r="E101" s="15">
        <v>1.4391942997457701E-3</v>
      </c>
      <c r="F101" s="33">
        <v>0</v>
      </c>
      <c r="G101" s="33">
        <v>0.31597999999999998</v>
      </c>
      <c r="H101" s="33">
        <v>0</v>
      </c>
      <c r="I101" s="33">
        <v>0.32833000000000001</v>
      </c>
      <c r="J101" s="33">
        <v>0.31597999999999998</v>
      </c>
      <c r="K101" s="33">
        <v>0.32833000000000001</v>
      </c>
      <c r="L101" s="33">
        <v>16.70598</v>
      </c>
      <c r="M101" s="33">
        <v>21.188330000000001</v>
      </c>
      <c r="N101" s="34">
        <v>1.27272727272727</v>
      </c>
      <c r="O101" s="34">
        <v>1.26844555541175</v>
      </c>
      <c r="P101" s="34">
        <v>1.270081029705</v>
      </c>
      <c r="Q101" s="34">
        <v>1.2688058922960801</v>
      </c>
      <c r="R101" s="33">
        <v>20.789822653198701</v>
      </c>
      <c r="S101" s="33">
        <v>20.8050341558924</v>
      </c>
      <c r="T101" s="33">
        <v>20.795367143562402</v>
      </c>
      <c r="U101" s="15">
        <v>-3.36987812875975E-3</v>
      </c>
      <c r="V101" s="15">
        <v>-2.6384654235005901E-3</v>
      </c>
      <c r="W101" s="15">
        <v>-3.10322115671641E-3</v>
      </c>
      <c r="X101" s="34">
        <v>1.26830811481876</v>
      </c>
      <c r="Y101" s="34">
        <v>1.2671331732903199</v>
      </c>
      <c r="Z101" s="34">
        <v>1.26720442779677</v>
      </c>
      <c r="AA101" s="34">
        <v>1.2672159019067299</v>
      </c>
      <c r="AB101" s="33">
        <v>21.168701450324601</v>
      </c>
      <c r="AC101" s="33">
        <v>21.166652914658201</v>
      </c>
      <c r="AD101" s="33">
        <v>21.169793513328099</v>
      </c>
      <c r="AE101" s="15">
        <v>-9.2681429308427395E-4</v>
      </c>
      <c r="AF101" s="15">
        <v>-1.02359088554602E-3</v>
      </c>
      <c r="AG101" s="15">
        <v>-8.7522705529086598E-4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3.9171731110519475E-3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8.8353666739659185E-4</v>
      </c>
      <c r="BE101" s="29">
        <f t="shared" si="42"/>
        <v>0</v>
      </c>
      <c r="BF101" s="29">
        <f t="shared" si="43"/>
        <v>4.8007097784485394E-3</v>
      </c>
      <c r="BH101" s="29"/>
    </row>
    <row r="102" spans="1:60" x14ac:dyDescent="0.25">
      <c r="A102" s="1">
        <v>46170</v>
      </c>
      <c r="B102" s="33">
        <v>16.41</v>
      </c>
      <c r="C102" s="33">
        <v>20.88</v>
      </c>
      <c r="D102" s="15">
        <v>1.2195123462611899E-3</v>
      </c>
      <c r="E102" s="15">
        <v>9.5831344181159699E-4</v>
      </c>
      <c r="F102" s="33">
        <v>0</v>
      </c>
      <c r="G102" s="33">
        <v>0.31597999999999998</v>
      </c>
      <c r="H102" s="33">
        <v>0</v>
      </c>
      <c r="I102" s="33">
        <v>0.32833000000000001</v>
      </c>
      <c r="J102" s="33">
        <v>0.31597999999999998</v>
      </c>
      <c r="K102" s="33">
        <v>0.32833000000000001</v>
      </c>
      <c r="L102" s="33">
        <v>16.72598</v>
      </c>
      <c r="M102" s="33">
        <v>21.20833</v>
      </c>
      <c r="N102" s="34">
        <v>1.2723948811700101</v>
      </c>
      <c r="O102" s="34">
        <v>1.26844555541175</v>
      </c>
      <c r="P102" s="34">
        <v>1.27057279745726</v>
      </c>
      <c r="Q102" s="34">
        <v>1.2687920392760701</v>
      </c>
      <c r="R102" s="33">
        <v>20.8151915643069</v>
      </c>
      <c r="S102" s="33">
        <v>20.8420296974591</v>
      </c>
      <c r="T102" s="33">
        <v>20.8211046925787</v>
      </c>
      <c r="U102" s="15">
        <v>-3.1086792243101399E-3</v>
      </c>
      <c r="V102" s="15">
        <v>-1.8201565599302301E-3</v>
      </c>
      <c r="W102" s="15">
        <v>-2.8246420335361899E-3</v>
      </c>
      <c r="X102" s="34">
        <v>1.26798728684358</v>
      </c>
      <c r="Y102" s="34">
        <v>1.2671331732903199</v>
      </c>
      <c r="Z102" s="34">
        <v>1.26718658136153</v>
      </c>
      <c r="AA102" s="34">
        <v>1.26719900111174</v>
      </c>
      <c r="AB102" s="33">
        <v>21.194044113790401</v>
      </c>
      <c r="AC102" s="33">
        <v>21.1952359152403</v>
      </c>
      <c r="AD102" s="33">
        <v>21.195427830974001</v>
      </c>
      <c r="AE102" s="15">
        <v>-6.7382485290695899E-4</v>
      </c>
      <c r="AF102" s="15">
        <v>-6.1759358644697404E-4</v>
      </c>
      <c r="AG102" s="15">
        <v>-6.0853896372010702E-4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3.9171731110519475E-3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8.8353666739659185E-4</v>
      </c>
      <c r="BE102" s="29">
        <f t="shared" si="42"/>
        <v>0</v>
      </c>
      <c r="BF102" s="29">
        <f t="shared" si="43"/>
        <v>4.8007097784485394E-3</v>
      </c>
      <c r="BH102" s="29"/>
    </row>
    <row r="103" spans="1:60" x14ac:dyDescent="0.25">
      <c r="A103" s="1">
        <v>46171</v>
      </c>
      <c r="B103" s="33">
        <v>16.43</v>
      </c>
      <c r="C103" s="33">
        <v>20.91</v>
      </c>
      <c r="D103" s="15">
        <v>1.21802694717722E-3</v>
      </c>
      <c r="E103" s="15">
        <v>1.4357504261041901E-3</v>
      </c>
      <c r="F103" s="33">
        <v>0</v>
      </c>
      <c r="G103" s="33">
        <v>0.31597999999999998</v>
      </c>
      <c r="H103" s="33">
        <v>0</v>
      </c>
      <c r="I103" s="33">
        <v>0.32833000000000001</v>
      </c>
      <c r="J103" s="33">
        <v>0.31597999999999998</v>
      </c>
      <c r="K103" s="33">
        <v>0.32833000000000001</v>
      </c>
      <c r="L103" s="33">
        <v>16.745979999999999</v>
      </c>
      <c r="M103" s="33">
        <v>21.238330000000001</v>
      </c>
      <c r="N103" s="34">
        <v>1.2726719415702901</v>
      </c>
      <c r="O103" s="34">
        <v>1.26844555541175</v>
      </c>
      <c r="P103" s="34">
        <v>1.2711976558478699</v>
      </c>
      <c r="Q103" s="34">
        <v>1.2688637431506999</v>
      </c>
      <c r="R103" s="33">
        <v>20.840560475415199</v>
      </c>
      <c r="S103" s="33">
        <v>20.875511062222799</v>
      </c>
      <c r="T103" s="33">
        <v>20.8462532053058</v>
      </c>
      <c r="U103" s="15">
        <v>-3.3264027032373E-3</v>
      </c>
      <c r="V103" s="15">
        <v>-1.65076098064957E-3</v>
      </c>
      <c r="W103" s="15">
        <v>-3.0532837275530902E-3</v>
      </c>
      <c r="X103" s="34">
        <v>1.26826438345202</v>
      </c>
      <c r="Y103" s="34">
        <v>1.2671331732903199</v>
      </c>
      <c r="Z103" s="34">
        <v>1.26730020955789</v>
      </c>
      <c r="AA103" s="34">
        <v>1.2672659381332101</v>
      </c>
      <c r="AB103" s="33">
        <v>21.219386777256201</v>
      </c>
      <c r="AC103" s="33">
        <v>21.2202811477487</v>
      </c>
      <c r="AD103" s="33">
        <v>21.220489128637201</v>
      </c>
      <c r="AE103" s="15">
        <v>-8.9233361747105197E-4</v>
      </c>
      <c r="AF103" s="15">
        <v>-8.50185762113619E-4</v>
      </c>
      <c r="AG103" s="15">
        <v>-8.4038476711598403E-4</v>
      </c>
      <c r="AI103" s="12"/>
      <c r="AJ103">
        <f t="shared" si="26"/>
        <v>0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3.9171731110519475E-3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8.8353666739659185E-4</v>
      </c>
      <c r="BE103" s="29">
        <f t="shared" si="42"/>
        <v>0</v>
      </c>
      <c r="BF103" s="29">
        <f t="shared" si="43"/>
        <v>4.8007097784485394E-3</v>
      </c>
      <c r="BH103" s="29"/>
    </row>
    <row r="104" spans="1:60" x14ac:dyDescent="0.25">
      <c r="A104" s="1">
        <v>46174</v>
      </c>
      <c r="B104" s="33">
        <v>16.43</v>
      </c>
      <c r="C104" s="33">
        <v>20.8</v>
      </c>
      <c r="D104" s="15">
        <v>0</v>
      </c>
      <c r="E104" s="15">
        <v>-5.2745267332699004E-3</v>
      </c>
      <c r="F104" s="33">
        <v>0</v>
      </c>
      <c r="G104" s="33">
        <v>0.31597999999999998</v>
      </c>
      <c r="H104" s="33">
        <v>8.3049999999999999E-2</v>
      </c>
      <c r="I104" s="33">
        <v>0.41138000000000002</v>
      </c>
      <c r="J104" s="33">
        <v>0.31597999999999998</v>
      </c>
      <c r="K104" s="33">
        <v>0.41138000000000002</v>
      </c>
      <c r="L104" s="33">
        <v>16.745979999999999</v>
      </c>
      <c r="M104" s="33">
        <v>21.211379999999998</v>
      </c>
      <c r="N104" s="34">
        <v>1.2659768715763799</v>
      </c>
      <c r="O104" s="34">
        <v>1.26844555541175</v>
      </c>
      <c r="P104" s="34">
        <v>1.27110016890654</v>
      </c>
      <c r="Q104" s="34">
        <v>1.2688434119722301</v>
      </c>
      <c r="R104" s="33">
        <v>20.840560475415199</v>
      </c>
      <c r="S104" s="33">
        <v>20.885777485580501</v>
      </c>
      <c r="T104" s="33">
        <v>20.847431299966001</v>
      </c>
      <c r="U104" s="15">
        <v>1.9481240300325501E-3</v>
      </c>
      <c r="V104" s="15">
        <v>4.1154375339030698E-3</v>
      </c>
      <c r="W104" s="15">
        <v>2.2777549055158202E-3</v>
      </c>
      <c r="X104" s="34">
        <v>1.2666550419861899</v>
      </c>
      <c r="Y104" s="34">
        <v>1.2671331732903199</v>
      </c>
      <c r="Z104" s="34">
        <v>1.26720056315756</v>
      </c>
      <c r="AA104" s="34">
        <v>1.2672443327531</v>
      </c>
      <c r="AB104" s="33">
        <v>21.219386777256201</v>
      </c>
      <c r="AC104" s="33">
        <v>21.222183963252199</v>
      </c>
      <c r="AD104" s="33">
        <v>21.221610054660001</v>
      </c>
      <c r="AE104" s="15">
        <v>3.7740432047058298E-4</v>
      </c>
      <c r="AF104" s="15">
        <v>5.0921782083055095E-4</v>
      </c>
      <c r="AG104" s="15">
        <v>4.8217459316737598E-4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3.9171731110519475E-3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8.8353666739659185E-4</v>
      </c>
      <c r="BE104" s="29">
        <f t="shared" si="42"/>
        <v>0</v>
      </c>
      <c r="BF104" s="29">
        <f t="shared" si="43"/>
        <v>4.8007097784485394E-3</v>
      </c>
      <c r="BH104" s="29"/>
    </row>
    <row r="105" spans="1:60" x14ac:dyDescent="0.25">
      <c r="A105" s="1">
        <v>46175</v>
      </c>
      <c r="B105" s="33">
        <v>16.41</v>
      </c>
      <c r="C105" s="33">
        <v>20.79</v>
      </c>
      <c r="D105" s="15">
        <v>-1.21802694717715E-3</v>
      </c>
      <c r="E105" s="15">
        <v>-4.8088483735084301E-4</v>
      </c>
      <c r="F105" s="33">
        <v>0</v>
      </c>
      <c r="G105" s="33">
        <v>0.31597999999999998</v>
      </c>
      <c r="H105" s="33">
        <v>0</v>
      </c>
      <c r="I105" s="33">
        <v>0.41138000000000002</v>
      </c>
      <c r="J105" s="33">
        <v>0.31597999999999998</v>
      </c>
      <c r="K105" s="33">
        <v>0.41138000000000002</v>
      </c>
      <c r="L105" s="33">
        <v>16.72598</v>
      </c>
      <c r="M105" s="33">
        <v>21.20138</v>
      </c>
      <c r="N105" s="34">
        <v>1.2669104204753101</v>
      </c>
      <c r="O105" s="34">
        <v>1.26844555541175</v>
      </c>
      <c r="P105" s="34">
        <v>1.2706746465369001</v>
      </c>
      <c r="Q105" s="34">
        <v>1.2687987930081699</v>
      </c>
      <c r="R105" s="33">
        <v>20.8151915643069</v>
      </c>
      <c r="S105" s="33">
        <v>20.858753771756401</v>
      </c>
      <c r="T105" s="33">
        <v>20.821720390464399</v>
      </c>
      <c r="U105" s="15">
        <v>1.2109819202062401E-3</v>
      </c>
      <c r="V105" s="15">
        <v>3.3016034327437902E-3</v>
      </c>
      <c r="W105" s="15">
        <v>1.52458952963088E-3</v>
      </c>
      <c r="X105" s="34">
        <v>1.26757176560058</v>
      </c>
      <c r="Y105" s="34">
        <v>1.2671331732903199</v>
      </c>
      <c r="Z105" s="34">
        <v>1.2672825150242799</v>
      </c>
      <c r="AA105" s="34">
        <v>1.26719855636101</v>
      </c>
      <c r="AB105" s="33">
        <v>21.194044113790401</v>
      </c>
      <c r="AC105" s="33">
        <v>21.1951712753621</v>
      </c>
      <c r="AD105" s="33">
        <v>21.195903364741699</v>
      </c>
      <c r="AE105" s="15">
        <v>-3.4606972031037998E-4</v>
      </c>
      <c r="AF105" s="15">
        <v>-2.9288819469835303E-4</v>
      </c>
      <c r="AG105" s="15">
        <v>-2.58348406033829E-4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3.9171731110519475E-3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8.8353666739659185E-4</v>
      </c>
      <c r="BE105" s="29">
        <f t="shared" si="42"/>
        <v>0</v>
      </c>
      <c r="BF105" s="29">
        <f t="shared" si="43"/>
        <v>4.8007097784485394E-3</v>
      </c>
      <c r="BH105" s="29"/>
    </row>
    <row r="106" spans="1:60" x14ac:dyDescent="0.25">
      <c r="A106" s="1">
        <v>46176</v>
      </c>
      <c r="B106" s="33">
        <v>16.399999999999999</v>
      </c>
      <c r="C106" s="33">
        <v>20.77</v>
      </c>
      <c r="D106" s="15">
        <v>-6.0957027184692196E-4</v>
      </c>
      <c r="E106" s="15">
        <v>-9.6246398190059695E-4</v>
      </c>
      <c r="F106" s="33">
        <v>0</v>
      </c>
      <c r="G106" s="33">
        <v>0.31597999999999998</v>
      </c>
      <c r="H106" s="33">
        <v>0</v>
      </c>
      <c r="I106" s="33">
        <v>0.41138000000000002</v>
      </c>
      <c r="J106" s="33">
        <v>0.31597999999999998</v>
      </c>
      <c r="K106" s="33">
        <v>0.41138000000000002</v>
      </c>
      <c r="L106" s="33">
        <v>16.715979999999998</v>
      </c>
      <c r="M106" s="33">
        <v>21.181380000000001</v>
      </c>
      <c r="N106" s="34">
        <v>1.26646341463414</v>
      </c>
      <c r="O106" s="34">
        <v>1.26844555541175</v>
      </c>
      <c r="P106" s="34">
        <v>1.2702607173976099</v>
      </c>
      <c r="Q106" s="34">
        <v>1.26878660529517</v>
      </c>
      <c r="R106" s="33">
        <v>20.802507108752799</v>
      </c>
      <c r="S106" s="33">
        <v>20.839064203205201</v>
      </c>
      <c r="T106" s="33">
        <v>20.808300205334099</v>
      </c>
      <c r="U106" s="15">
        <v>1.5638756302600401E-3</v>
      </c>
      <c r="V106" s="15">
        <v>3.3196741120272602E-3</v>
      </c>
      <c r="W106" s="15">
        <v>1.84231755401136E-3</v>
      </c>
      <c r="X106" s="34">
        <v>1.2671336050892601</v>
      </c>
      <c r="Y106" s="34">
        <v>1.2671331732903199</v>
      </c>
      <c r="Z106" s="34">
        <v>1.2673769365624801</v>
      </c>
      <c r="AA106" s="34">
        <v>1.2671848954359199</v>
      </c>
      <c r="AB106" s="33">
        <v>21.181372782057501</v>
      </c>
      <c r="AC106" s="33">
        <v>21.183869175495602</v>
      </c>
      <c r="AD106" s="33">
        <v>21.182465724159499</v>
      </c>
      <c r="AE106" s="15">
        <v>-3.40768338432852E-7</v>
      </c>
      <c r="AF106" s="15">
        <v>1.17510249411283E-4</v>
      </c>
      <c r="AG106" s="15">
        <v>5.1257110455325998E-5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3.9171731110519475E-3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8.8353666739659185E-4</v>
      </c>
      <c r="BE106" s="29">
        <f t="shared" si="42"/>
        <v>0</v>
      </c>
      <c r="BF106" s="29">
        <f t="shared" si="43"/>
        <v>4.8007097784485394E-3</v>
      </c>
      <c r="BH106" s="29"/>
    </row>
    <row r="107" spans="1:60" x14ac:dyDescent="0.25">
      <c r="A107" s="1">
        <v>46177</v>
      </c>
      <c r="B107" s="33">
        <v>16.41</v>
      </c>
      <c r="C107" s="33">
        <v>20.79</v>
      </c>
      <c r="D107" s="15">
        <v>6.0957027184690103E-4</v>
      </c>
      <c r="E107" s="15">
        <v>9.6246398190052702E-4</v>
      </c>
      <c r="F107" s="33">
        <v>0</v>
      </c>
      <c r="G107" s="33">
        <v>0.31597999999999998</v>
      </c>
      <c r="H107" s="33">
        <v>0</v>
      </c>
      <c r="I107" s="33">
        <v>0.41138000000000002</v>
      </c>
      <c r="J107" s="33">
        <v>0.31597999999999998</v>
      </c>
      <c r="K107" s="33">
        <v>0.41138000000000002</v>
      </c>
      <c r="L107" s="33">
        <v>16.72598</v>
      </c>
      <c r="M107" s="33">
        <v>21.20138</v>
      </c>
      <c r="N107" s="34">
        <v>1.2669104204753101</v>
      </c>
      <c r="O107" s="34">
        <v>1.26844555541175</v>
      </c>
      <c r="P107" s="34">
        <v>1.2698403763362001</v>
      </c>
      <c r="Q107" s="34">
        <v>1.26884520137946</v>
      </c>
      <c r="R107" s="33">
        <v>20.8151915643069</v>
      </c>
      <c r="S107" s="33">
        <v>20.844978372494801</v>
      </c>
      <c r="T107" s="33">
        <v>20.820788192893701</v>
      </c>
      <c r="U107" s="15">
        <v>1.2109819202062401E-3</v>
      </c>
      <c r="V107" s="15">
        <v>2.6409719230739599E-3</v>
      </c>
      <c r="W107" s="15">
        <v>1.47981808801703E-3</v>
      </c>
      <c r="X107" s="34">
        <v>1.26757176560058</v>
      </c>
      <c r="Y107" s="34">
        <v>1.2671331732903199</v>
      </c>
      <c r="Z107" s="34">
        <v>1.26746291154809</v>
      </c>
      <c r="AA107" s="34">
        <v>1.2672409792630499</v>
      </c>
      <c r="AB107" s="33">
        <v>21.194044113790401</v>
      </c>
      <c r="AC107" s="33">
        <v>21.1981212934053</v>
      </c>
      <c r="AD107" s="33">
        <v>21.194909217363399</v>
      </c>
      <c r="AE107" s="15">
        <v>-3.4606972031037998E-4</v>
      </c>
      <c r="AF107" s="15">
        <v>-1.5371438350241301E-4</v>
      </c>
      <c r="AG107" s="15">
        <v>-3.0525231364625399E-4</v>
      </c>
      <c r="AI107" s="12"/>
      <c r="AJ107">
        <f t="shared" si="26"/>
        <v>0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3.9171731110519475E-3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8.8353666739659185E-4</v>
      </c>
      <c r="BE107" s="29">
        <f t="shared" si="42"/>
        <v>0</v>
      </c>
      <c r="BF107" s="29">
        <f t="shared" si="43"/>
        <v>4.8007097784485394E-3</v>
      </c>
      <c r="BH107" s="29"/>
    </row>
    <row r="108" spans="1:60" x14ac:dyDescent="0.25">
      <c r="A108" s="1">
        <v>46178</v>
      </c>
      <c r="B108" s="33">
        <v>16.34</v>
      </c>
      <c r="C108" s="33">
        <v>20.69</v>
      </c>
      <c r="D108" s="15">
        <v>-4.2748156701427403E-3</v>
      </c>
      <c r="E108" s="15">
        <v>-4.82161011246979E-3</v>
      </c>
      <c r="F108" s="33">
        <v>0</v>
      </c>
      <c r="G108" s="33">
        <v>0.31597999999999998</v>
      </c>
      <c r="H108" s="33">
        <v>0</v>
      </c>
      <c r="I108" s="33">
        <v>0.41138000000000002</v>
      </c>
      <c r="J108" s="33">
        <v>0.31597999999999998</v>
      </c>
      <c r="K108" s="33">
        <v>0.41138000000000002</v>
      </c>
      <c r="L108" s="33">
        <v>16.65598</v>
      </c>
      <c r="M108" s="33">
        <v>21.101379999999999</v>
      </c>
      <c r="N108" s="34">
        <v>1.2662178702570299</v>
      </c>
      <c r="O108" s="34">
        <v>1.26844555541175</v>
      </c>
      <c r="P108" s="34">
        <v>1.2692895807425699</v>
      </c>
      <c r="Q108" s="34">
        <v>1.26883692013504</v>
      </c>
      <c r="R108" s="33">
        <v>20.726400375428099</v>
      </c>
      <c r="S108" s="33">
        <v>20.749191749333601</v>
      </c>
      <c r="T108" s="33">
        <v>20.732930590540501</v>
      </c>
      <c r="U108" s="15">
        <v>1.7577763625331701E-3</v>
      </c>
      <c r="V108" s="15">
        <v>2.8568023212714E-3</v>
      </c>
      <c r="W108" s="15">
        <v>2.0727942373632898E-3</v>
      </c>
      <c r="X108" s="34">
        <v>1.2668951331593801</v>
      </c>
      <c r="Y108" s="34">
        <v>1.2671331732903199</v>
      </c>
      <c r="Z108" s="34">
        <v>1.26742118479289</v>
      </c>
      <c r="AA108" s="34">
        <v>1.2672313784416001</v>
      </c>
      <c r="AB108" s="33">
        <v>21.105344791660102</v>
      </c>
      <c r="AC108" s="33">
        <v>21.1108369054867</v>
      </c>
      <c r="AD108" s="33">
        <v>21.107140405785898</v>
      </c>
      <c r="AE108" s="15">
        <v>1.87874879719893E-4</v>
      </c>
      <c r="AF108" s="15">
        <v>4.4806486549451397E-4</v>
      </c>
      <c r="AG108" s="15">
        <v>2.7294990519834302E-4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3.9171731110519475E-3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8.8353666739659185E-4</v>
      </c>
      <c r="BE108" s="29">
        <f t="shared" si="42"/>
        <v>0</v>
      </c>
      <c r="BF108" s="29">
        <f t="shared" si="43"/>
        <v>4.8007097784485394E-3</v>
      </c>
      <c r="BH108" s="29"/>
    </row>
    <row r="109" spans="1:60" x14ac:dyDescent="0.25">
      <c r="A109" s="1">
        <v>46181</v>
      </c>
      <c r="B109" s="33">
        <v>16.34</v>
      </c>
      <c r="C109" s="33">
        <v>20.7</v>
      </c>
      <c r="D109" s="15">
        <v>0</v>
      </c>
      <c r="E109" s="15">
        <v>4.8320851387164201E-4</v>
      </c>
      <c r="F109" s="33">
        <v>0</v>
      </c>
      <c r="G109" s="33">
        <v>0.31597999999999998</v>
      </c>
      <c r="H109" s="33">
        <v>0</v>
      </c>
      <c r="I109" s="33">
        <v>0.41138000000000002</v>
      </c>
      <c r="J109" s="33">
        <v>0.31597999999999998</v>
      </c>
      <c r="K109" s="33">
        <v>0.41138000000000002</v>
      </c>
      <c r="L109" s="33">
        <v>16.65598</v>
      </c>
      <c r="M109" s="33">
        <v>21.11138</v>
      </c>
      <c r="N109" s="34">
        <v>1.2668298653610699</v>
      </c>
      <c r="O109" s="34">
        <v>1.26844555541175</v>
      </c>
      <c r="P109" s="34">
        <v>1.2687999846593401</v>
      </c>
      <c r="Q109" s="34">
        <v>1.26889148846362</v>
      </c>
      <c r="R109" s="33">
        <v>20.726400375428099</v>
      </c>
      <c r="S109" s="33">
        <v>20.740191749333601</v>
      </c>
      <c r="T109" s="33">
        <v>20.732795275006499</v>
      </c>
      <c r="U109" s="15">
        <v>1.2745678486615699E-3</v>
      </c>
      <c r="V109" s="15">
        <v>1.9397478746706099E-3</v>
      </c>
      <c r="W109" s="15">
        <v>1.5830591027147999E-3</v>
      </c>
      <c r="X109" s="34">
        <v>1.26749551812622</v>
      </c>
      <c r="Y109" s="34">
        <v>1.2671331732903199</v>
      </c>
      <c r="Z109" s="34">
        <v>1.26743949653438</v>
      </c>
      <c r="AA109" s="34">
        <v>1.26728364989501</v>
      </c>
      <c r="AB109" s="33">
        <v>21.105344791660102</v>
      </c>
      <c r="AC109" s="33">
        <v>21.110141905486699</v>
      </c>
      <c r="AD109" s="33">
        <v>21.106980494695801</v>
      </c>
      <c r="AE109" s="15">
        <v>-2.85915518589056E-4</v>
      </c>
      <c r="AF109" s="15">
        <v>-5.8647554976964899E-5</v>
      </c>
      <c r="AG109" s="15">
        <v>-2.0841668262641501E-4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3.9171731110519475E-3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8.8353666739659185E-4</v>
      </c>
      <c r="BE109" s="29">
        <f t="shared" si="42"/>
        <v>0</v>
      </c>
      <c r="BF109" s="29">
        <f t="shared" si="43"/>
        <v>4.8007097784485394E-3</v>
      </c>
      <c r="BH109" s="29"/>
    </row>
    <row r="110" spans="1:60" x14ac:dyDescent="0.25">
      <c r="A110" s="1">
        <v>46182</v>
      </c>
      <c r="B110" s="33">
        <v>16.38</v>
      </c>
      <c r="C110" s="33">
        <v>20.74</v>
      </c>
      <c r="D110" s="15">
        <v>2.4449889930664298E-3</v>
      </c>
      <c r="E110" s="15">
        <v>1.93050253005784E-3</v>
      </c>
      <c r="F110" s="33">
        <v>0</v>
      </c>
      <c r="G110" s="33">
        <v>0.31597999999999998</v>
      </c>
      <c r="H110" s="33">
        <v>0</v>
      </c>
      <c r="I110" s="33">
        <v>0.41138000000000002</v>
      </c>
      <c r="J110" s="33">
        <v>0.31597999999999998</v>
      </c>
      <c r="K110" s="33">
        <v>0.41138000000000002</v>
      </c>
      <c r="L110" s="33">
        <v>16.695979999999999</v>
      </c>
      <c r="M110" s="33">
        <v>21.15138</v>
      </c>
      <c r="N110" s="34">
        <v>1.2661782661782599</v>
      </c>
      <c r="O110" s="34">
        <v>1.26844555541175</v>
      </c>
      <c r="P110" s="34">
        <v>1.26832812244251</v>
      </c>
      <c r="Q110" s="34">
        <v>1.26885088720943</v>
      </c>
      <c r="R110" s="33">
        <v>20.7771381976446</v>
      </c>
      <c r="S110" s="33">
        <v>20.782943748720001</v>
      </c>
      <c r="T110" s="33">
        <v>20.784442581034199</v>
      </c>
      <c r="U110" s="15">
        <v>1.7890543116701699E-3</v>
      </c>
      <c r="V110" s="15">
        <v>2.0684354313065998E-3</v>
      </c>
      <c r="W110" s="15">
        <v>2.1405512147202399E-3</v>
      </c>
      <c r="X110" s="34">
        <v>1.2668546560309699</v>
      </c>
      <c r="Y110" s="34">
        <v>1.2671331732903199</v>
      </c>
      <c r="Z110" s="34">
        <v>1.2674737270707499</v>
      </c>
      <c r="AA110" s="34">
        <v>1.2672421387319901</v>
      </c>
      <c r="AB110" s="33">
        <v>21.156030118591701</v>
      </c>
      <c r="AC110" s="33">
        <v>21.1611444853481</v>
      </c>
      <c r="AD110" s="33">
        <v>21.158542472974101</v>
      </c>
      <c r="AE110" s="15">
        <v>2.1982525507675899E-4</v>
      </c>
      <c r="AF110" s="15">
        <v>4.6154114604384601E-4</v>
      </c>
      <c r="AG110" s="15">
        <v>3.3857178760797002E-4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3.9171731110519475E-3</v>
      </c>
      <c r="AT110" s="12"/>
      <c r="AU110">
        <f t="shared" si="30"/>
        <v>0</v>
      </c>
      <c r="AV110">
        <f t="shared" si="31"/>
        <v>0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8.8353666739659185E-4</v>
      </c>
      <c r="BE110" s="29">
        <f t="shared" si="42"/>
        <v>0</v>
      </c>
      <c r="BF110" s="29">
        <f t="shared" si="43"/>
        <v>4.8007097784485394E-3</v>
      </c>
      <c r="BH110" s="29"/>
    </row>
    <row r="111" spans="1:60" x14ac:dyDescent="0.25">
      <c r="A111" s="1">
        <v>46183</v>
      </c>
      <c r="B111" s="33">
        <v>16.36</v>
      </c>
      <c r="C111" s="33">
        <v>20.72</v>
      </c>
      <c r="D111" s="15">
        <v>-1.2217472503223601E-3</v>
      </c>
      <c r="E111" s="15">
        <v>-9.64785410098889E-4</v>
      </c>
      <c r="F111" s="33">
        <v>0</v>
      </c>
      <c r="G111" s="33">
        <v>0.31597999999999998</v>
      </c>
      <c r="H111" s="33">
        <v>0</v>
      </c>
      <c r="I111" s="33">
        <v>0.41138000000000002</v>
      </c>
      <c r="J111" s="33">
        <v>0.31597999999999998</v>
      </c>
      <c r="K111" s="33">
        <v>0.41138000000000002</v>
      </c>
      <c r="L111" s="33">
        <v>16.675979999999999</v>
      </c>
      <c r="M111" s="33">
        <v>21.13138</v>
      </c>
      <c r="N111" s="34">
        <v>1.2665036674816601</v>
      </c>
      <c r="O111" s="34">
        <v>1.26844555541175</v>
      </c>
      <c r="P111" s="34">
        <v>1.2677057619179499</v>
      </c>
      <c r="Q111" s="34">
        <v>1.2688933958114701</v>
      </c>
      <c r="R111" s="33">
        <v>20.751769286536302</v>
      </c>
      <c r="S111" s="33">
        <v>20.749848083159499</v>
      </c>
      <c r="T111" s="33">
        <v>20.758400514746299</v>
      </c>
      <c r="U111" s="15">
        <v>1.5320924714468101E-3</v>
      </c>
      <c r="V111" s="15">
        <v>1.4395079651075E-3</v>
      </c>
      <c r="W111" s="15">
        <v>1.8515914423300501E-3</v>
      </c>
      <c r="X111" s="34">
        <v>1.26717470277608</v>
      </c>
      <c r="Y111" s="34">
        <v>1.2671331732903199</v>
      </c>
      <c r="Z111" s="34">
        <v>1.2673603858664799</v>
      </c>
      <c r="AA111" s="34">
        <v>1.26728240683163</v>
      </c>
      <c r="AB111" s="33">
        <v>21.130687455125901</v>
      </c>
      <c r="AC111" s="33">
        <v>21.136366523157399</v>
      </c>
      <c r="AD111" s="33">
        <v>21.132504560651899</v>
      </c>
      <c r="AE111" s="15">
        <v>-3.2773828438452203E-5</v>
      </c>
      <c r="AF111" s="15">
        <v>2.3594932735801599E-4</v>
      </c>
      <c r="AG111" s="15">
        <v>5.3216151987169303E-5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3.9171731110519475E-3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8.8353666739659185E-4</v>
      </c>
      <c r="BE111" s="29">
        <f t="shared" si="42"/>
        <v>0</v>
      </c>
      <c r="BF111" s="29">
        <f t="shared" si="43"/>
        <v>4.8007097784485394E-3</v>
      </c>
      <c r="BH111" s="29"/>
    </row>
    <row r="112" spans="1:60" x14ac:dyDescent="0.25">
      <c r="A112" s="1">
        <v>46184</v>
      </c>
      <c r="B112" s="33">
        <v>16.440000000000001</v>
      </c>
      <c r="C112" s="33">
        <v>20.81</v>
      </c>
      <c r="D112" s="15">
        <v>4.8780584534329902E-3</v>
      </c>
      <c r="E112" s="15">
        <v>4.3342230142608199E-3</v>
      </c>
      <c r="F112" s="33">
        <v>0</v>
      </c>
      <c r="G112" s="33">
        <v>0.31597999999999998</v>
      </c>
      <c r="H112" s="33">
        <v>0</v>
      </c>
      <c r="I112" s="33">
        <v>0.41138000000000002</v>
      </c>
      <c r="J112" s="33">
        <v>0.31597999999999998</v>
      </c>
      <c r="K112" s="33">
        <v>0.41138000000000002</v>
      </c>
      <c r="L112" s="33">
        <v>16.755980000000001</v>
      </c>
      <c r="M112" s="33">
        <v>21.22138</v>
      </c>
      <c r="N112" s="34">
        <v>1.26581508515815</v>
      </c>
      <c r="O112" s="34">
        <v>1.26844555541175</v>
      </c>
      <c r="P112" s="34">
        <v>1.2670477823167601</v>
      </c>
      <c r="Q112" s="34">
        <v>1.2688102898870099</v>
      </c>
      <c r="R112" s="33">
        <v>20.8532449309693</v>
      </c>
      <c r="S112" s="33">
        <v>20.841082725931098</v>
      </c>
      <c r="T112" s="33">
        <v>20.8606074271407</v>
      </c>
      <c r="U112" s="15">
        <v>2.0759279106191499E-3</v>
      </c>
      <c r="V112" s="15">
        <v>1.4925293493945301E-3</v>
      </c>
      <c r="W112" s="15">
        <v>2.4289279732671101E-3</v>
      </c>
      <c r="X112" s="34">
        <v>1.26649590176163</v>
      </c>
      <c r="Y112" s="34">
        <v>1.2671331732903199</v>
      </c>
      <c r="Z112" s="34">
        <v>1.2672112473582899</v>
      </c>
      <c r="AA112" s="34">
        <v>1.2671989143599101</v>
      </c>
      <c r="AB112" s="33">
        <v>21.232058108989101</v>
      </c>
      <c r="AC112" s="33">
        <v>21.235865278371101</v>
      </c>
      <c r="AD112" s="33">
        <v>21.2345586632227</v>
      </c>
      <c r="AE112" s="15">
        <v>5.0305038602294202E-4</v>
      </c>
      <c r="AF112" s="15">
        <v>6.8234662132393503E-4</v>
      </c>
      <c r="AG112" s="15">
        <v>6.2081603002673397E-4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3.9171731110519475E-3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8.8353666739659185E-4</v>
      </c>
      <c r="BE112" s="29">
        <f t="shared" si="42"/>
        <v>0</v>
      </c>
      <c r="BF112" s="29">
        <f t="shared" si="43"/>
        <v>4.8007097784485394E-3</v>
      </c>
      <c r="BH112" s="29"/>
    </row>
    <row r="113" spans="1:60" x14ac:dyDescent="0.25">
      <c r="A113" s="1">
        <v>46185</v>
      </c>
      <c r="B113" s="33">
        <v>16.43</v>
      </c>
      <c r="C113" s="33">
        <v>20.8</v>
      </c>
      <c r="D113" s="15">
        <v>-6.0845757885728304E-4</v>
      </c>
      <c r="E113" s="15">
        <v>-4.8065369827068497E-4</v>
      </c>
      <c r="F113" s="33">
        <v>0</v>
      </c>
      <c r="G113" s="33">
        <v>0.31597999999999998</v>
      </c>
      <c r="H113" s="33">
        <v>0</v>
      </c>
      <c r="I113" s="33">
        <v>0.41138000000000002</v>
      </c>
      <c r="J113" s="33">
        <v>0.31597999999999998</v>
      </c>
      <c r="K113" s="33">
        <v>0.41138000000000002</v>
      </c>
      <c r="L113" s="33">
        <v>16.745979999999999</v>
      </c>
      <c r="M113" s="33">
        <v>21.211379999999998</v>
      </c>
      <c r="N113" s="34">
        <v>1.2659768715763799</v>
      </c>
      <c r="O113" s="34">
        <v>1.26844555541175</v>
      </c>
      <c r="P113" s="34">
        <v>1.26637827531737</v>
      </c>
      <c r="Q113" s="34">
        <v>1.26878796558262</v>
      </c>
      <c r="R113" s="33">
        <v>20.840560475415199</v>
      </c>
      <c r="S113" s="33">
        <v>20.817595063464399</v>
      </c>
      <c r="T113" s="33">
        <v>20.846553062843601</v>
      </c>
      <c r="U113" s="15">
        <v>1.9481240300325501E-3</v>
      </c>
      <c r="V113" s="15">
        <v>8.4555892698581401E-4</v>
      </c>
      <c r="W113" s="15">
        <v>2.23562714363849E-3</v>
      </c>
      <c r="X113" s="34">
        <v>1.2666550419861899</v>
      </c>
      <c r="Y113" s="34">
        <v>1.2671331732903199</v>
      </c>
      <c r="Z113" s="34">
        <v>1.2670503132117099</v>
      </c>
      <c r="AA113" s="34">
        <v>1.2671752613848</v>
      </c>
      <c r="AB113" s="33">
        <v>21.219386777256201</v>
      </c>
      <c r="AC113" s="33">
        <v>21.220694204036999</v>
      </c>
      <c r="AD113" s="33">
        <v>21.220487675892802</v>
      </c>
      <c r="AE113" s="15">
        <v>3.7740432047058298E-4</v>
      </c>
      <c r="AF113" s="15">
        <v>4.3901715206648298E-4</v>
      </c>
      <c r="AG113" s="15">
        <v>4.292847113079E-4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3.9171731110519475E-3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8.8353666739659185E-4</v>
      </c>
      <c r="BE113" s="29">
        <f t="shared" si="42"/>
        <v>0</v>
      </c>
      <c r="BF113" s="29">
        <f t="shared" si="43"/>
        <v>4.8007097784485394E-3</v>
      </c>
      <c r="BH113" s="29"/>
    </row>
    <row r="114" spans="1:60" x14ac:dyDescent="0.25">
      <c r="A114" s="1">
        <v>46188</v>
      </c>
      <c r="B114" s="33">
        <v>16.440000000000001</v>
      </c>
      <c r="C114" s="33">
        <v>20.82</v>
      </c>
      <c r="D114" s="15">
        <v>6.0845757885729496E-4</v>
      </c>
      <c r="E114" s="15">
        <v>9.6107647955053204E-4</v>
      </c>
      <c r="F114" s="33">
        <v>0</v>
      </c>
      <c r="G114" s="33">
        <v>0.31597999999999998</v>
      </c>
      <c r="H114" s="33">
        <v>0</v>
      </c>
      <c r="I114" s="33">
        <v>0.41138000000000002</v>
      </c>
      <c r="J114" s="33">
        <v>0.31597999999999998</v>
      </c>
      <c r="K114" s="33">
        <v>0.41138000000000002</v>
      </c>
      <c r="L114" s="33">
        <v>16.755980000000001</v>
      </c>
      <c r="M114" s="33">
        <v>21.231380000000001</v>
      </c>
      <c r="N114" s="34">
        <v>1.2664233576642301</v>
      </c>
      <c r="O114" s="34">
        <v>1.26844555541175</v>
      </c>
      <c r="P114" s="34">
        <v>1.26642292392616</v>
      </c>
      <c r="Q114" s="34">
        <v>1.26876154641635</v>
      </c>
      <c r="R114" s="33">
        <v>20.8532449309693</v>
      </c>
      <c r="S114" s="33">
        <v>20.8192588462176</v>
      </c>
      <c r="T114" s="33">
        <v>20.858874154178299</v>
      </c>
      <c r="U114" s="15">
        <v>1.5955051293392801E-3</v>
      </c>
      <c r="V114" s="15">
        <v>-3.5598798007727702E-5</v>
      </c>
      <c r="W114" s="15">
        <v>1.86541341338958E-3</v>
      </c>
      <c r="X114" s="34">
        <v>1.2670927036198401</v>
      </c>
      <c r="Y114" s="34">
        <v>1.2671331732903199</v>
      </c>
      <c r="Z114" s="34">
        <v>1.26709407937507</v>
      </c>
      <c r="AA114" s="34">
        <v>1.26714732126632</v>
      </c>
      <c r="AB114" s="33">
        <v>21.232058108989101</v>
      </c>
      <c r="AC114" s="33">
        <v>21.230669707169099</v>
      </c>
      <c r="AD114" s="33">
        <v>21.2327633362585</v>
      </c>
      <c r="AE114" s="15">
        <v>3.1938487293310701E-5</v>
      </c>
      <c r="AF114" s="15">
        <v>-3.3455418934455598E-5</v>
      </c>
      <c r="AG114" s="15">
        <v>6.5153145704638599E-5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3.9171731110519475E-3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8.8353666739659185E-4</v>
      </c>
      <c r="BE114" s="29">
        <f t="shared" si="42"/>
        <v>0</v>
      </c>
      <c r="BF114" s="29">
        <f t="shared" si="43"/>
        <v>4.8007097784485394E-3</v>
      </c>
      <c r="BH114" s="29"/>
    </row>
    <row r="115" spans="1:60" x14ac:dyDescent="0.25">
      <c r="A115" s="1">
        <v>46189</v>
      </c>
      <c r="B115" s="33">
        <v>16.45</v>
      </c>
      <c r="C115" s="33">
        <v>20.83</v>
      </c>
      <c r="D115" s="15">
        <v>6.0808758334684597E-4</v>
      </c>
      <c r="E115" s="15">
        <v>4.8019208605777202E-4</v>
      </c>
      <c r="F115" s="33">
        <v>0</v>
      </c>
      <c r="G115" s="33">
        <v>0.31597999999999998</v>
      </c>
      <c r="H115" s="33">
        <v>0</v>
      </c>
      <c r="I115" s="33">
        <v>0.41138000000000002</v>
      </c>
      <c r="J115" s="33">
        <v>0.31597999999999998</v>
      </c>
      <c r="K115" s="33">
        <v>0.41138000000000002</v>
      </c>
      <c r="L115" s="33">
        <v>16.765979999999999</v>
      </c>
      <c r="M115" s="33">
        <v>21.241379999999999</v>
      </c>
      <c r="N115" s="34">
        <v>1.26626139817629</v>
      </c>
      <c r="O115" s="34">
        <v>1.26844555541175</v>
      </c>
      <c r="P115" s="34">
        <v>1.26635802169625</v>
      </c>
      <c r="Q115" s="34">
        <v>1.2685163341165799</v>
      </c>
      <c r="R115" s="33">
        <v>20.865929386523401</v>
      </c>
      <c r="S115" s="33">
        <v>20.832657098585301</v>
      </c>
      <c r="T115" s="33">
        <v>20.871127438548999</v>
      </c>
      <c r="U115" s="15">
        <v>1.7234006266285901E-3</v>
      </c>
      <c r="V115" s="15">
        <v>1.2755300664786699E-4</v>
      </c>
      <c r="W115" s="15">
        <v>1.97248632877829E-3</v>
      </c>
      <c r="X115" s="34">
        <v>1.26693339727233</v>
      </c>
      <c r="Y115" s="34">
        <v>1.2671331732903199</v>
      </c>
      <c r="Z115" s="34">
        <v>1.2670302425422499</v>
      </c>
      <c r="AA115" s="34">
        <v>1.26715637878326</v>
      </c>
      <c r="AB115" s="33">
        <v>21.244729440722001</v>
      </c>
      <c r="AC115" s="33">
        <v>21.244073992920899</v>
      </c>
      <c r="AD115" s="33">
        <v>21.244966645404698</v>
      </c>
      <c r="AE115" s="15">
        <v>1.5767227327286999E-4</v>
      </c>
      <c r="AF115" s="15">
        <v>1.2681954275489999E-4</v>
      </c>
      <c r="AG115" s="15">
        <v>1.6883755353952099E-4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3.9171731110519475E-3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8.8353666739659185E-4</v>
      </c>
      <c r="BE115" s="29">
        <f t="shared" si="42"/>
        <v>0</v>
      </c>
      <c r="BF115" s="29">
        <f t="shared" si="43"/>
        <v>4.8007097784485394E-3</v>
      </c>
      <c r="BH115" s="29"/>
    </row>
    <row r="116" spans="1:60" x14ac:dyDescent="0.25">
      <c r="A116" s="1">
        <v>46190</v>
      </c>
      <c r="B116" s="33">
        <v>16.37</v>
      </c>
      <c r="C116" s="33">
        <v>20.73</v>
      </c>
      <c r="D116" s="15">
        <v>-4.8750858283372698E-3</v>
      </c>
      <c r="E116" s="15">
        <v>-4.8123288251922698E-3</v>
      </c>
      <c r="F116" s="33">
        <v>0</v>
      </c>
      <c r="G116" s="33">
        <v>0.31597999999999998</v>
      </c>
      <c r="H116" s="33">
        <v>0</v>
      </c>
      <c r="I116" s="33">
        <v>0.41138000000000002</v>
      </c>
      <c r="J116" s="33">
        <v>0.31597999999999998</v>
      </c>
      <c r="K116" s="33">
        <v>0.41138000000000002</v>
      </c>
      <c r="L116" s="33">
        <v>16.685980000000001</v>
      </c>
      <c r="M116" s="33">
        <v>21.141380000000002</v>
      </c>
      <c r="N116" s="34">
        <v>1.26634086744043</v>
      </c>
      <c r="O116" s="34">
        <v>1.26844555541175</v>
      </c>
      <c r="P116" s="34">
        <v>1.2663457669768801</v>
      </c>
      <c r="Q116" s="34">
        <v>1.26830324218724</v>
      </c>
      <c r="R116" s="33">
        <v>20.764453742090499</v>
      </c>
      <c r="S116" s="33">
        <v>20.730280815167699</v>
      </c>
      <c r="T116" s="33">
        <v>20.7656123894884</v>
      </c>
      <c r="U116" s="15">
        <v>1.66064362348364E-3</v>
      </c>
      <c r="V116" s="15">
        <v>1.35462260367376E-5</v>
      </c>
      <c r="W116" s="15">
        <v>1.7164416274910799E-3</v>
      </c>
      <c r="X116" s="34">
        <v>1.2670145835006299</v>
      </c>
      <c r="Y116" s="34">
        <v>1.2671331732903199</v>
      </c>
      <c r="Z116" s="34">
        <v>1.2670183403833799</v>
      </c>
      <c r="AA116" s="34">
        <v>1.26719763847293</v>
      </c>
      <c r="AB116" s="33">
        <v>21.143358786858801</v>
      </c>
      <c r="AC116" s="33">
        <v>21.141641286455101</v>
      </c>
      <c r="AD116" s="33">
        <v>21.14374599325</v>
      </c>
      <c r="AE116" s="15">
        <v>9.3593429547866606E-5</v>
      </c>
      <c r="AF116" s="15">
        <v>1.23589302380037E-5</v>
      </c>
      <c r="AG116" s="15">
        <v>1.1190664314854401E-4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3.9171731110519475E-3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8.8353666739659185E-4</v>
      </c>
      <c r="BE116" s="29">
        <f t="shared" si="42"/>
        <v>0</v>
      </c>
      <c r="BF116" s="29">
        <f t="shared" si="43"/>
        <v>4.8007097784485394E-3</v>
      </c>
      <c r="BH116" s="29"/>
    </row>
    <row r="117" spans="1:60" x14ac:dyDescent="0.25">
      <c r="A117" s="1">
        <v>46191</v>
      </c>
      <c r="B117" s="33">
        <v>16.41</v>
      </c>
      <c r="C117" s="33">
        <v>20.79</v>
      </c>
      <c r="D117" s="15">
        <v>2.4405137189560202E-3</v>
      </c>
      <c r="E117" s="15">
        <v>2.8901754222331998E-3</v>
      </c>
      <c r="F117" s="33">
        <v>0</v>
      </c>
      <c r="G117" s="33">
        <v>0.31597999999999998</v>
      </c>
      <c r="H117" s="33">
        <v>0</v>
      </c>
      <c r="I117" s="33">
        <v>0.41138000000000002</v>
      </c>
      <c r="J117" s="33">
        <v>0.31597999999999998</v>
      </c>
      <c r="K117" s="33">
        <v>0.41138000000000002</v>
      </c>
      <c r="L117" s="33">
        <v>16.72598</v>
      </c>
      <c r="M117" s="33">
        <v>21.20138</v>
      </c>
      <c r="N117" s="34">
        <v>1.2669104204753101</v>
      </c>
      <c r="O117" s="34">
        <v>1.26844555541175</v>
      </c>
      <c r="P117" s="34">
        <v>1.2663457669768801</v>
      </c>
      <c r="Q117" s="34">
        <v>1.2680930716565399</v>
      </c>
      <c r="R117" s="33">
        <v>20.8151915643069</v>
      </c>
      <c r="S117" s="33">
        <v>20.780734036090699</v>
      </c>
      <c r="T117" s="33">
        <v>20.8128562042927</v>
      </c>
      <c r="U117" s="15">
        <v>1.2109819202062401E-3</v>
      </c>
      <c r="V117" s="15">
        <v>-4.4579266051468502E-4</v>
      </c>
      <c r="W117" s="15">
        <v>1.0987806452560499E-3</v>
      </c>
      <c r="X117" s="34">
        <v>1.26757176560058</v>
      </c>
      <c r="Y117" s="34">
        <v>1.2671331732903199</v>
      </c>
      <c r="Z117" s="34">
        <v>1.2670183403833799</v>
      </c>
      <c r="AA117" s="34">
        <v>1.2672406259657401</v>
      </c>
      <c r="AB117" s="33">
        <v>21.194044113790401</v>
      </c>
      <c r="AC117" s="33">
        <v>21.1921234208857</v>
      </c>
      <c r="AD117" s="33">
        <v>21.1951223571455</v>
      </c>
      <c r="AE117" s="15">
        <v>-3.4606972031037998E-4</v>
      </c>
      <c r="AF117" s="15">
        <v>-4.3669800862829899E-4</v>
      </c>
      <c r="AG117" s="15">
        <v>-2.9519618609887802E-4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3.9171731110519475E-3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8.8353666739659185E-4</v>
      </c>
      <c r="BE117" s="29">
        <f t="shared" si="42"/>
        <v>0</v>
      </c>
      <c r="BF117" s="29">
        <f t="shared" si="43"/>
        <v>4.8007097784485394E-3</v>
      </c>
      <c r="BH117" s="29"/>
    </row>
    <row r="118" spans="1:60" x14ac:dyDescent="0.25">
      <c r="A118" s="1">
        <v>46195</v>
      </c>
      <c r="B118" s="33">
        <v>16.32</v>
      </c>
      <c r="C118" s="33">
        <v>20.76</v>
      </c>
      <c r="D118" s="15">
        <v>-5.4995555660385404E-3</v>
      </c>
      <c r="E118" s="15">
        <v>-1.4440435722335801E-3</v>
      </c>
      <c r="F118" s="33">
        <v>6.4100000000000004E-2</v>
      </c>
      <c r="G118" s="33">
        <v>0.38007999999999997</v>
      </c>
      <c r="H118" s="33">
        <v>0</v>
      </c>
      <c r="I118" s="33">
        <v>0.41138000000000002</v>
      </c>
      <c r="J118" s="33">
        <v>0.38007999999999997</v>
      </c>
      <c r="K118" s="33">
        <v>0.41138000000000002</v>
      </c>
      <c r="L118" s="33">
        <v>16.70008</v>
      </c>
      <c r="M118" s="33">
        <v>21.171379999999999</v>
      </c>
      <c r="N118" s="34">
        <v>1.2720588235294099</v>
      </c>
      <c r="O118" s="34">
        <v>1.26844555541175</v>
      </c>
      <c r="P118" s="34">
        <v>1.2669298623041201</v>
      </c>
      <c r="Q118" s="34">
        <v>1.2681097215233399</v>
      </c>
      <c r="R118" s="33">
        <v>20.7010314643199</v>
      </c>
      <c r="S118" s="33">
        <v>20.666762917062702</v>
      </c>
      <c r="T118" s="33">
        <v>20.695278929434799</v>
      </c>
      <c r="U118" s="15">
        <v>-2.8445300735988701E-3</v>
      </c>
      <c r="V118" s="15">
        <v>-4.5013046543197202E-3</v>
      </c>
      <c r="W118" s="15">
        <v>-3.1224550803138299E-3</v>
      </c>
      <c r="X118" s="34">
        <v>1.2677412323773301</v>
      </c>
      <c r="Y118" s="34">
        <v>1.2671331732903199</v>
      </c>
      <c r="Z118" s="34">
        <v>1.2671029503051801</v>
      </c>
      <c r="AA118" s="34">
        <v>1.26726206754904</v>
      </c>
      <c r="AB118" s="33">
        <v>21.161225364602199</v>
      </c>
      <c r="AC118" s="33">
        <v>21.159307645869799</v>
      </c>
      <c r="AD118" s="33">
        <v>21.1630198328779</v>
      </c>
      <c r="AE118" s="15">
        <v>-4.7975481334391499E-4</v>
      </c>
      <c r="AF118" s="15">
        <v>-5.7038310166175198E-4</v>
      </c>
      <c r="AG118" s="15">
        <v>-3.9495858043289201E-4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3.9171731110519475E-3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8.8353666739659185E-4</v>
      </c>
      <c r="BE118" s="29">
        <f t="shared" si="42"/>
        <v>0</v>
      </c>
      <c r="BF118" s="29">
        <f t="shared" si="43"/>
        <v>4.8007097784485394E-3</v>
      </c>
      <c r="BH118" s="29"/>
    </row>
    <row r="119" spans="1:60" x14ac:dyDescent="0.25">
      <c r="A119" s="1">
        <v>46196</v>
      </c>
      <c r="B119" s="33">
        <v>16.34</v>
      </c>
      <c r="C119" s="33">
        <v>20.78</v>
      </c>
      <c r="D119" s="15">
        <v>1.22473989589586E-3</v>
      </c>
      <c r="E119" s="15">
        <v>9.6292737339334199E-4</v>
      </c>
      <c r="F119" s="33">
        <v>0</v>
      </c>
      <c r="G119" s="33">
        <v>0.38007999999999997</v>
      </c>
      <c r="H119" s="33">
        <v>0</v>
      </c>
      <c r="I119" s="33">
        <v>0.41138000000000002</v>
      </c>
      <c r="J119" s="33">
        <v>0.38007999999999997</v>
      </c>
      <c r="K119" s="33">
        <v>0.41138000000000002</v>
      </c>
      <c r="L119" s="33">
        <v>16.720079999999999</v>
      </c>
      <c r="M119" s="33">
        <v>21.191379999999999</v>
      </c>
      <c r="N119" s="34">
        <v>1.2717258261933899</v>
      </c>
      <c r="O119" s="34">
        <v>1.26844555541175</v>
      </c>
      <c r="P119" s="34">
        <v>1.2674194583873499</v>
      </c>
      <c r="Q119" s="34">
        <v>1.2681097215233399</v>
      </c>
      <c r="R119" s="33">
        <v>20.726400375428099</v>
      </c>
      <c r="S119" s="33">
        <v>20.701633950049299</v>
      </c>
      <c r="T119" s="33">
        <v>20.720912849691501</v>
      </c>
      <c r="U119" s="15">
        <v>-2.5827175510964801E-3</v>
      </c>
      <c r="V119" s="15">
        <v>-3.7783537299498401E-3</v>
      </c>
      <c r="W119" s="15">
        <v>-2.8475127979624799E-3</v>
      </c>
      <c r="X119" s="34">
        <v>1.2674209692776499</v>
      </c>
      <c r="Y119" s="34">
        <v>1.2671331732903199</v>
      </c>
      <c r="Z119" s="34">
        <v>1.26709549542032</v>
      </c>
      <c r="AA119" s="34">
        <v>1.26726749597735</v>
      </c>
      <c r="AB119" s="33">
        <v>21.186568028067999</v>
      </c>
      <c r="AC119" s="33">
        <v>21.186062697338699</v>
      </c>
      <c r="AD119" s="33">
        <v>21.1887231503853</v>
      </c>
      <c r="AE119" s="15">
        <v>-2.2709792127941601E-4</v>
      </c>
      <c r="AF119" s="15">
        <v>-2.5094967278564099E-4</v>
      </c>
      <c r="AG119" s="15">
        <v>-1.2538193258749799E-4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3.9171731110519475E-3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8.8353666739659185E-4</v>
      </c>
      <c r="BE119" s="29">
        <f t="shared" si="42"/>
        <v>0</v>
      </c>
      <c r="BF119" s="29">
        <f t="shared" si="43"/>
        <v>4.8007097784485394E-3</v>
      </c>
      <c r="BH119" s="29"/>
    </row>
    <row r="120" spans="1:60" x14ac:dyDescent="0.25">
      <c r="A120" s="1">
        <v>46197</v>
      </c>
      <c r="B120" s="33">
        <v>16.39</v>
      </c>
      <c r="C120" s="33">
        <v>20.82</v>
      </c>
      <c r="D120" s="15">
        <v>3.0553033238815302E-3</v>
      </c>
      <c r="E120" s="15">
        <v>1.9230775157414799E-3</v>
      </c>
      <c r="F120" s="33">
        <v>0</v>
      </c>
      <c r="G120" s="33">
        <v>0.38007999999999997</v>
      </c>
      <c r="H120" s="33">
        <v>0</v>
      </c>
      <c r="I120" s="33">
        <v>0.41138000000000002</v>
      </c>
      <c r="J120" s="33">
        <v>0.38007999999999997</v>
      </c>
      <c r="K120" s="33">
        <v>0.41138000000000002</v>
      </c>
      <c r="L120" s="33">
        <v>16.77008</v>
      </c>
      <c r="M120" s="33">
        <v>21.231380000000001</v>
      </c>
      <c r="N120" s="34">
        <v>1.2702867602196399</v>
      </c>
      <c r="O120" s="34">
        <v>1.26844555541175</v>
      </c>
      <c r="P120" s="34">
        <v>1.2678303077914901</v>
      </c>
      <c r="Q120" s="34">
        <v>1.2680792151169999</v>
      </c>
      <c r="R120" s="33">
        <v>20.789822653198701</v>
      </c>
      <c r="S120" s="33">
        <v>20.773004922968699</v>
      </c>
      <c r="T120" s="33">
        <v>20.784318335767601</v>
      </c>
      <c r="U120" s="15">
        <v>-1.45049174295618E-3</v>
      </c>
      <c r="V120" s="15">
        <v>-2.2597596454837802E-3</v>
      </c>
      <c r="W120" s="15">
        <v>-1.7152869898224899E-3</v>
      </c>
      <c r="X120" s="34">
        <v>1.26602735347714</v>
      </c>
      <c r="Y120" s="34">
        <v>1.2671331732903199</v>
      </c>
      <c r="Z120" s="34">
        <v>1.2670127651649401</v>
      </c>
      <c r="AA120" s="34">
        <v>1.26724324611785</v>
      </c>
      <c r="AB120" s="33">
        <v>21.249924686732498</v>
      </c>
      <c r="AC120" s="33">
        <v>21.249292825838499</v>
      </c>
      <c r="AD120" s="33">
        <v>21.252177288939901</v>
      </c>
      <c r="AE120" s="15">
        <v>8.7307525262276804E-4</v>
      </c>
      <c r="AF120" s="15">
        <v>8.4334007484494604E-4</v>
      </c>
      <c r="AG120" s="15">
        <v>9.7907481992789806E-4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3.9171731110519475E-3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8.8353666739659185E-4</v>
      </c>
      <c r="BE120" s="29">
        <f t="shared" si="42"/>
        <v>0</v>
      </c>
      <c r="BF120" s="29">
        <f t="shared" si="43"/>
        <v>4.8007097784485394E-3</v>
      </c>
      <c r="BH120" s="29"/>
    </row>
    <row r="121" spans="1:60" x14ac:dyDescent="0.25">
      <c r="A121" s="1">
        <v>46198</v>
      </c>
      <c r="B121" s="33">
        <v>16.41</v>
      </c>
      <c r="C121" s="33">
        <v>20.85</v>
      </c>
      <c r="D121" s="15">
        <v>1.2195123462611899E-3</v>
      </c>
      <c r="E121" s="15">
        <v>1.4398850579877599E-3</v>
      </c>
      <c r="F121" s="33">
        <v>0</v>
      </c>
      <c r="G121" s="33">
        <v>0.38007999999999997</v>
      </c>
      <c r="H121" s="33">
        <v>0</v>
      </c>
      <c r="I121" s="33">
        <v>0.41138000000000002</v>
      </c>
      <c r="J121" s="33">
        <v>0.38007999999999997</v>
      </c>
      <c r="K121" s="33">
        <v>0.41138000000000002</v>
      </c>
      <c r="L121" s="33">
        <v>16.79008</v>
      </c>
      <c r="M121" s="33">
        <v>21.261379999999999</v>
      </c>
      <c r="N121" s="34">
        <v>1.27056672760511</v>
      </c>
      <c r="O121" s="34">
        <v>1.26844555541175</v>
      </c>
      <c r="P121" s="34">
        <v>1.2682366138038299</v>
      </c>
      <c r="Q121" s="34">
        <v>1.2679711878608899</v>
      </c>
      <c r="R121" s="33">
        <v>20.8151915643069</v>
      </c>
      <c r="S121" s="33">
        <v>20.805095350858402</v>
      </c>
      <c r="T121" s="33">
        <v>20.809179920070001</v>
      </c>
      <c r="U121" s="15">
        <v>-1.6708644546826999E-3</v>
      </c>
      <c r="V121" s="15">
        <v>-2.1560227462238202E-3</v>
      </c>
      <c r="W121" s="15">
        <v>-1.95971658935086E-3</v>
      </c>
      <c r="X121" s="34">
        <v>1.2663060569097899</v>
      </c>
      <c r="Y121" s="34">
        <v>1.2671331732903199</v>
      </c>
      <c r="Z121" s="34">
        <v>1.26692590057831</v>
      </c>
      <c r="AA121" s="34">
        <v>1.2671431432224001</v>
      </c>
      <c r="AB121" s="33">
        <v>21.275267350198298</v>
      </c>
      <c r="AC121" s="33">
        <v>21.273245688140602</v>
      </c>
      <c r="AD121" s="33">
        <v>21.277115481778399</v>
      </c>
      <c r="AE121" s="15">
        <v>6.5295934479535995E-4</v>
      </c>
      <c r="AF121" s="15">
        <v>5.5793078022818305E-4</v>
      </c>
      <c r="AG121" s="15">
        <v>7.3982317982400705E-4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3.9171731110519475E-3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8.8353666739659185E-4</v>
      </c>
      <c r="BE121" s="29">
        <f t="shared" si="42"/>
        <v>0</v>
      </c>
      <c r="BF121" s="29">
        <f t="shared" si="43"/>
        <v>4.8007097784485394E-3</v>
      </c>
      <c r="BH121" s="29"/>
    </row>
    <row r="122" spans="1:60" x14ac:dyDescent="0.25">
      <c r="A122" s="1">
        <v>46199</v>
      </c>
      <c r="B122" s="33">
        <v>16.43</v>
      </c>
      <c r="C122" s="33">
        <v>20.88</v>
      </c>
      <c r="D122" s="15">
        <v>1.21802694717722E-3</v>
      </c>
      <c r="E122" s="15">
        <v>1.4378147696274099E-3</v>
      </c>
      <c r="F122" s="33">
        <v>0</v>
      </c>
      <c r="G122" s="33">
        <v>0.38007999999999997</v>
      </c>
      <c r="H122" s="33">
        <v>0</v>
      </c>
      <c r="I122" s="33">
        <v>0.41138000000000002</v>
      </c>
      <c r="J122" s="33">
        <v>0.38007999999999997</v>
      </c>
      <c r="K122" s="33">
        <v>0.41138000000000002</v>
      </c>
      <c r="L122" s="33">
        <v>16.810079999999999</v>
      </c>
      <c r="M122" s="33">
        <v>21.29138</v>
      </c>
      <c r="N122" s="34">
        <v>1.27084601339014</v>
      </c>
      <c r="O122" s="34">
        <v>1.26844555541175</v>
      </c>
      <c r="P122" s="34">
        <v>1.2687397066270301</v>
      </c>
      <c r="Q122" s="34">
        <v>1.2678937444719001</v>
      </c>
      <c r="R122" s="33">
        <v>20.840560475415199</v>
      </c>
      <c r="S122" s="33">
        <v>20.837127564797001</v>
      </c>
      <c r="T122" s="33">
        <v>20.832766616554501</v>
      </c>
      <c r="U122" s="15">
        <v>-1.890652277133E-3</v>
      </c>
      <c r="V122" s="15">
        <v>-2.0553884123326099E-3</v>
      </c>
      <c r="W122" s="15">
        <v>-2.2646977155669902E-3</v>
      </c>
      <c r="X122" s="34">
        <v>1.26658409716075</v>
      </c>
      <c r="Y122" s="34">
        <v>1.2671331732903199</v>
      </c>
      <c r="Z122" s="34">
        <v>1.2669347201182199</v>
      </c>
      <c r="AA122" s="34">
        <v>1.2670729837382599</v>
      </c>
      <c r="AB122" s="33">
        <v>21.300610013664102</v>
      </c>
      <c r="AC122" s="33">
        <v>21.297125742793501</v>
      </c>
      <c r="AD122" s="33">
        <v>21.300777609019999</v>
      </c>
      <c r="AE122" s="15">
        <v>4.3341547580697101E-4</v>
      </c>
      <c r="AF122" s="15">
        <v>2.6982598840621301E-4</v>
      </c>
      <c r="AG122" s="15">
        <v>4.4128354608422802E-4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3.9171731110519475E-3</v>
      </c>
      <c r="AT122" s="12"/>
      <c r="AU122">
        <f t="shared" si="30"/>
        <v>0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8.8353666739659185E-4</v>
      </c>
      <c r="BE122" s="29">
        <f t="shared" si="42"/>
        <v>0</v>
      </c>
      <c r="BF122" s="29">
        <f t="shared" si="43"/>
        <v>4.8007097784485394E-3</v>
      </c>
      <c r="BH122" s="29"/>
    </row>
    <row r="123" spans="1:60" x14ac:dyDescent="0.25">
      <c r="A123" s="1">
        <v>46202</v>
      </c>
      <c r="B123" s="33">
        <v>16.43</v>
      </c>
      <c r="C123" s="33">
        <v>20.89</v>
      </c>
      <c r="D123" s="15">
        <v>0</v>
      </c>
      <c r="E123" s="15">
        <v>4.78812554036507E-4</v>
      </c>
      <c r="F123" s="33">
        <v>0</v>
      </c>
      <c r="G123" s="33">
        <v>0.38007999999999997</v>
      </c>
      <c r="H123" s="33">
        <v>0</v>
      </c>
      <c r="I123" s="33">
        <v>0.41138000000000002</v>
      </c>
      <c r="J123" s="33">
        <v>0.38007999999999997</v>
      </c>
      <c r="K123" s="33">
        <v>0.41138000000000002</v>
      </c>
      <c r="L123" s="33">
        <v>16.810079999999999</v>
      </c>
      <c r="M123" s="33">
        <v>21.301380000000002</v>
      </c>
      <c r="N123" s="34">
        <v>1.27145465611685</v>
      </c>
      <c r="O123" s="34">
        <v>1.26844555541175</v>
      </c>
      <c r="P123" s="34">
        <v>1.26928748508108</v>
      </c>
      <c r="Q123" s="34">
        <v>1.26783288019923</v>
      </c>
      <c r="R123" s="33">
        <v>20.840560475415199</v>
      </c>
      <c r="S123" s="33">
        <v>20.8453933798822</v>
      </c>
      <c r="T123" s="33">
        <v>20.831494221673299</v>
      </c>
      <c r="U123" s="15">
        <v>-2.3694648311695199E-3</v>
      </c>
      <c r="V123" s="15">
        <v>-2.1375927475680199E-3</v>
      </c>
      <c r="W123" s="15">
        <v>-2.8045887505830001E-3</v>
      </c>
      <c r="X123" s="34">
        <v>1.26717897832728</v>
      </c>
      <c r="Y123" s="34">
        <v>1.2671331732903199</v>
      </c>
      <c r="Z123" s="34">
        <v>1.2669871137523301</v>
      </c>
      <c r="AA123" s="34">
        <v>1.2670187134820201</v>
      </c>
      <c r="AB123" s="33">
        <v>21.300610013664102</v>
      </c>
      <c r="AC123" s="33">
        <v>21.297273999965</v>
      </c>
      <c r="AD123" s="33">
        <v>21.299598222478799</v>
      </c>
      <c r="AE123" s="15">
        <v>-3.6147904624157699E-5</v>
      </c>
      <c r="AF123" s="15">
        <v>-1.9277604629069499E-4</v>
      </c>
      <c r="AG123" s="15">
        <v>-8.3649606019197998E-5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3.9171731110519475E-3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8.8353666739659185E-4</v>
      </c>
      <c r="BE123" s="29">
        <f t="shared" si="42"/>
        <v>0</v>
      </c>
      <c r="BF123" s="29">
        <f t="shared" si="43"/>
        <v>4.8007097784485394E-3</v>
      </c>
      <c r="BH123" s="29"/>
    </row>
    <row r="124" spans="1:60" x14ac:dyDescent="0.25">
      <c r="A124" s="1">
        <v>46203</v>
      </c>
      <c r="B124" s="33">
        <v>16.39</v>
      </c>
      <c r="C124" s="33">
        <v>20.84</v>
      </c>
      <c r="D124" s="15">
        <v>-2.4375392934383299E-3</v>
      </c>
      <c r="E124" s="15">
        <v>-2.3963586833082298E-3</v>
      </c>
      <c r="F124" s="33">
        <v>0</v>
      </c>
      <c r="G124" s="33">
        <v>0.38007999999999997</v>
      </c>
      <c r="H124" s="33">
        <v>0</v>
      </c>
      <c r="I124" s="33">
        <v>0.41138000000000002</v>
      </c>
      <c r="J124" s="33">
        <v>0.38007999999999997</v>
      </c>
      <c r="K124" s="33">
        <v>0.41138000000000002</v>
      </c>
      <c r="L124" s="33">
        <v>16.77008</v>
      </c>
      <c r="M124" s="33">
        <v>21.251380000000001</v>
      </c>
      <c r="N124" s="34">
        <v>1.2715070164734501</v>
      </c>
      <c r="O124" s="34">
        <v>1.26844555541175</v>
      </c>
      <c r="P124" s="34">
        <v>1.269795850962</v>
      </c>
      <c r="Q124" s="34">
        <v>1.2681093874440801</v>
      </c>
      <c r="R124" s="33">
        <v>20.789822653198701</v>
      </c>
      <c r="S124" s="33">
        <v>20.8036218804789</v>
      </c>
      <c r="T124" s="33">
        <v>20.779780906465302</v>
      </c>
      <c r="U124" s="15">
        <v>-2.4106454412995098E-3</v>
      </c>
      <c r="V124" s="15">
        <v>-1.7471164673835799E-3</v>
      </c>
      <c r="W124" s="15">
        <v>-2.8937747506407501E-3</v>
      </c>
      <c r="X124" s="34">
        <v>1.2672199536316999</v>
      </c>
      <c r="Y124" s="34">
        <v>1.2671331732903199</v>
      </c>
      <c r="Z124" s="34">
        <v>1.26699983875352</v>
      </c>
      <c r="AA124" s="34">
        <v>1.2670469590643001</v>
      </c>
      <c r="AB124" s="33">
        <v>21.249924686732498</v>
      </c>
      <c r="AC124" s="33">
        <v>21.247475256595699</v>
      </c>
      <c r="AD124" s="33">
        <v>21.2480051865906</v>
      </c>
      <c r="AE124" s="15">
        <v>-6.8483227925654304E-5</v>
      </c>
      <c r="AF124" s="15">
        <v>-1.8375758083966101E-4</v>
      </c>
      <c r="AG124" s="15">
        <v>-1.58817046488982E-4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3.9171731110519475E-3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8.8353666739659185E-4</v>
      </c>
      <c r="BE124" s="29">
        <f t="shared" si="42"/>
        <v>0</v>
      </c>
      <c r="BF124" s="29">
        <f t="shared" si="43"/>
        <v>4.8007097784485394E-3</v>
      </c>
      <c r="BH124" s="29"/>
    </row>
    <row r="125" spans="1:60" x14ac:dyDescent="0.25">
      <c r="A125" s="1">
        <v>46204</v>
      </c>
      <c r="B125" s="33">
        <v>16.38</v>
      </c>
      <c r="C125" s="33">
        <v>20.74</v>
      </c>
      <c r="D125" s="15">
        <v>-6.1031433081505096E-4</v>
      </c>
      <c r="E125" s="15">
        <v>-4.8100140837849196E-3</v>
      </c>
      <c r="F125" s="33">
        <v>0</v>
      </c>
      <c r="G125" s="33">
        <v>0.38007999999999997</v>
      </c>
      <c r="H125" s="33">
        <v>8.0601000000000006E-2</v>
      </c>
      <c r="I125" s="33">
        <v>0.491981</v>
      </c>
      <c r="J125" s="33">
        <v>0.38007999999999997</v>
      </c>
      <c r="K125" s="33">
        <v>0.491981</v>
      </c>
      <c r="L125" s="33">
        <v>16.760079999999999</v>
      </c>
      <c r="M125" s="33">
        <v>21.231980999999902</v>
      </c>
      <c r="N125" s="34">
        <v>1.2661782661782599</v>
      </c>
      <c r="O125" s="34">
        <v>1.26844555541175</v>
      </c>
      <c r="P125" s="34">
        <v>1.2697875377622001</v>
      </c>
      <c r="Q125" s="34">
        <v>1.2680727797292299</v>
      </c>
      <c r="R125" s="33">
        <v>20.7771381976446</v>
      </c>
      <c r="S125" s="33">
        <v>20.799256038757601</v>
      </c>
      <c r="T125" s="33">
        <v>20.771631766334</v>
      </c>
      <c r="U125" s="15">
        <v>1.7890543116701699E-3</v>
      </c>
      <c r="V125" s="15">
        <v>2.8530158988047498E-3</v>
      </c>
      <c r="W125" s="15">
        <v>1.5239956181137501E-3</v>
      </c>
      <c r="X125" s="34">
        <v>1.26681859513797</v>
      </c>
      <c r="Y125" s="34">
        <v>1.2671331732903199</v>
      </c>
      <c r="Z125" s="34">
        <v>1.2669883585400801</v>
      </c>
      <c r="AA125" s="34">
        <v>1.26700930054116</v>
      </c>
      <c r="AB125" s="33">
        <v>21.237253354999599</v>
      </c>
      <c r="AC125" s="33">
        <v>21.235018657496099</v>
      </c>
      <c r="AD125" s="33">
        <v>21.235808397674301</v>
      </c>
      <c r="AE125" s="15">
        <v>2.4829056171271402E-4</v>
      </c>
      <c r="AF125" s="15">
        <v>1.4305967107759401E-4</v>
      </c>
      <c r="AG125" s="15">
        <v>1.8024944265012299E-4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3.9171731110519475E-3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8.8353666739659185E-4</v>
      </c>
      <c r="BE125" s="29">
        <f t="shared" si="42"/>
        <v>0</v>
      </c>
      <c r="BF125" s="29">
        <f t="shared" si="43"/>
        <v>4.8007097784485394E-3</v>
      </c>
      <c r="BH125" s="29"/>
    </row>
    <row r="126" spans="1:60" x14ac:dyDescent="0.25">
      <c r="A126" s="1">
        <v>46205</v>
      </c>
      <c r="B126" s="33">
        <v>16.41</v>
      </c>
      <c r="C126" s="33">
        <v>20.77</v>
      </c>
      <c r="D126" s="15">
        <v>1.82982667707615E-3</v>
      </c>
      <c r="E126" s="15">
        <v>1.44543508663972E-3</v>
      </c>
      <c r="F126" s="33">
        <v>0</v>
      </c>
      <c r="G126" s="33">
        <v>0.38007999999999997</v>
      </c>
      <c r="H126" s="33">
        <v>0</v>
      </c>
      <c r="I126" s="33">
        <v>0.491981</v>
      </c>
      <c r="J126" s="33">
        <v>0.38007999999999997</v>
      </c>
      <c r="K126" s="33">
        <v>0.491981</v>
      </c>
      <c r="L126" s="33">
        <v>16.79008</v>
      </c>
      <c r="M126" s="33">
        <v>21.261980999999999</v>
      </c>
      <c r="N126" s="34">
        <v>1.26569165143205</v>
      </c>
      <c r="O126" s="34">
        <v>1.26844555541175</v>
      </c>
      <c r="P126" s="34">
        <v>1.26972261616136</v>
      </c>
      <c r="Q126" s="34">
        <v>1.26803419156912</v>
      </c>
      <c r="R126" s="33">
        <v>20.8151915643069</v>
      </c>
      <c r="S126" s="33">
        <v>20.837213494677702</v>
      </c>
      <c r="T126" s="33">
        <v>20.8090743153566</v>
      </c>
      <c r="U126" s="15">
        <v>2.1734459021068302E-3</v>
      </c>
      <c r="V126" s="15">
        <v>3.2308605888009502E-3</v>
      </c>
      <c r="W126" s="15">
        <v>1.8795188446534201E-3</v>
      </c>
      <c r="X126" s="34">
        <v>1.26634185185538</v>
      </c>
      <c r="Y126" s="34">
        <v>1.2671331732903199</v>
      </c>
      <c r="Z126" s="34">
        <v>1.2669210853755599</v>
      </c>
      <c r="AA126" s="34">
        <v>1.2669697128794699</v>
      </c>
      <c r="AB126" s="33">
        <v>21.275267350198298</v>
      </c>
      <c r="AC126" s="33">
        <v>21.2728358989567</v>
      </c>
      <c r="AD126" s="33">
        <v>21.273187516830198</v>
      </c>
      <c r="AE126" s="15">
        <v>6.2469252928960795E-4</v>
      </c>
      <c r="AF126" s="15">
        <v>5.1040065451200996E-4</v>
      </c>
      <c r="AG126" s="15">
        <v>5.2692947884469001E-4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3.9171731110519475E-3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8.8353666739659185E-4</v>
      </c>
      <c r="BE126" s="29">
        <f t="shared" si="42"/>
        <v>0</v>
      </c>
      <c r="BF126" s="29">
        <f t="shared" si="43"/>
        <v>4.8007097784485394E-3</v>
      </c>
      <c r="BH126" s="29"/>
    </row>
    <row r="127" spans="1:60" x14ac:dyDescent="0.25">
      <c r="A127" s="1">
        <v>46209</v>
      </c>
      <c r="B127" s="33">
        <v>16.41</v>
      </c>
      <c r="C127" s="33">
        <v>20.79</v>
      </c>
      <c r="D127" s="15">
        <v>0</v>
      </c>
      <c r="E127" s="15">
        <v>9.6246398190052702E-4</v>
      </c>
      <c r="F127" s="33">
        <v>0</v>
      </c>
      <c r="G127" s="33">
        <v>0.38007999999999997</v>
      </c>
      <c r="H127" s="33">
        <v>0</v>
      </c>
      <c r="I127" s="33">
        <v>0.491981</v>
      </c>
      <c r="J127" s="33">
        <v>0.38007999999999997</v>
      </c>
      <c r="K127" s="33">
        <v>0.491981</v>
      </c>
      <c r="L127" s="33">
        <v>16.79008</v>
      </c>
      <c r="M127" s="33">
        <v>21.281980999999998</v>
      </c>
      <c r="N127" s="34">
        <v>1.2669104204753101</v>
      </c>
      <c r="O127" s="34">
        <v>1.26844555541175</v>
      </c>
      <c r="P127" s="34">
        <v>1.26972261616136</v>
      </c>
      <c r="Q127" s="34">
        <v>1.26803419156912</v>
      </c>
      <c r="R127" s="33">
        <v>20.8151915643069</v>
      </c>
      <c r="S127" s="33">
        <v>20.836148131207999</v>
      </c>
      <c r="T127" s="33">
        <v>20.808441083649299</v>
      </c>
      <c r="U127" s="15">
        <v>1.2109819202062401E-3</v>
      </c>
      <c r="V127" s="15">
        <v>2.2172673757357001E-3</v>
      </c>
      <c r="W127" s="15">
        <v>8.8662384344308795E-4</v>
      </c>
      <c r="X127" s="34">
        <v>1.2675330314090201</v>
      </c>
      <c r="Y127" s="34">
        <v>1.2671331732903199</v>
      </c>
      <c r="Z127" s="34">
        <v>1.2669172119564001</v>
      </c>
      <c r="AA127" s="34">
        <v>1.2669677761698901</v>
      </c>
      <c r="AB127" s="33">
        <v>21.275267350198298</v>
      </c>
      <c r="AC127" s="33">
        <v>21.271706377142401</v>
      </c>
      <c r="AD127" s="33">
        <v>21.272522836823399</v>
      </c>
      <c r="AE127" s="15">
        <v>-3.1551146362050601E-4</v>
      </c>
      <c r="AF127" s="15">
        <v>-4.8290165625857698E-4</v>
      </c>
      <c r="AG127" s="15">
        <v>-4.44519967549797E-4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3.9171731110519475E-3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8.8353666739659185E-4</v>
      </c>
      <c r="BE127" s="29">
        <f t="shared" si="42"/>
        <v>0</v>
      </c>
      <c r="BF127" s="29">
        <f t="shared" si="43"/>
        <v>4.8007097784485394E-3</v>
      </c>
      <c r="BH127" s="29"/>
    </row>
    <row r="128" spans="1:60" x14ac:dyDescent="0.25">
      <c r="A128" s="1">
        <v>46210</v>
      </c>
      <c r="B128" s="33">
        <v>16.36</v>
      </c>
      <c r="C128" s="33">
        <v>20.71</v>
      </c>
      <c r="D128" s="15">
        <v>-3.0515739273985201E-3</v>
      </c>
      <c r="E128" s="15">
        <v>-3.8554264624286799E-3</v>
      </c>
      <c r="F128" s="33">
        <v>0</v>
      </c>
      <c r="G128" s="33">
        <v>0.38007999999999997</v>
      </c>
      <c r="H128" s="33">
        <v>0</v>
      </c>
      <c r="I128" s="33">
        <v>0.491981</v>
      </c>
      <c r="J128" s="33">
        <v>0.38007999999999997</v>
      </c>
      <c r="K128" s="33">
        <v>0.491981</v>
      </c>
      <c r="L128" s="33">
        <v>16.740079999999999</v>
      </c>
      <c r="M128" s="33">
        <v>21.201981</v>
      </c>
      <c r="N128" s="34">
        <v>1.2658924205378901</v>
      </c>
      <c r="O128" s="34">
        <v>1.26844555541175</v>
      </c>
      <c r="P128" s="34">
        <v>1.2691059758622101</v>
      </c>
      <c r="Q128" s="34">
        <v>1.26801791908316</v>
      </c>
      <c r="R128" s="33">
        <v>20.751769286536302</v>
      </c>
      <c r="S128" s="33">
        <v>20.772662000399901</v>
      </c>
      <c r="T128" s="33">
        <v>20.745039374070899</v>
      </c>
      <c r="U128" s="15">
        <v>2.0148344552361999E-3</v>
      </c>
      <c r="V128" s="15">
        <v>3.0211199107658599E-3</v>
      </c>
      <c r="W128" s="15">
        <v>1.6904763784732399E-3</v>
      </c>
      <c r="X128" s="34">
        <v>1.2665400045877899</v>
      </c>
      <c r="Y128" s="34">
        <v>1.2671331732903199</v>
      </c>
      <c r="Z128" s="34">
        <v>1.26679708917745</v>
      </c>
      <c r="AA128" s="34">
        <v>1.2669500197413099</v>
      </c>
      <c r="AB128" s="33">
        <v>21.211910691533799</v>
      </c>
      <c r="AC128" s="33">
        <v>21.208295481527099</v>
      </c>
      <c r="AD128" s="33">
        <v>21.2091419305061</v>
      </c>
      <c r="AE128" s="15">
        <v>4.6822827706973998E-4</v>
      </c>
      <c r="AF128" s="15">
        <v>2.9778073135584702E-4</v>
      </c>
      <c r="AG128" s="15">
        <v>3.3769115644300502E-4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3.9171731110519475E-3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8.8353666739659185E-4</v>
      </c>
      <c r="BE128" s="29">
        <f t="shared" si="42"/>
        <v>0</v>
      </c>
      <c r="BF128" s="29">
        <f t="shared" si="43"/>
        <v>4.8007097784485394E-3</v>
      </c>
      <c r="BH128" s="29"/>
    </row>
    <row r="129" spans="1:60" x14ac:dyDescent="0.25">
      <c r="A129" s="1">
        <v>46211</v>
      </c>
      <c r="B129" s="33">
        <v>16.329999999999998</v>
      </c>
      <c r="C129" s="33">
        <v>20.69</v>
      </c>
      <c r="D129" s="15">
        <v>-1.8354241922273499E-3</v>
      </c>
      <c r="E129" s="15">
        <v>-9.6618365004106505E-4</v>
      </c>
      <c r="F129" s="33">
        <v>0</v>
      </c>
      <c r="G129" s="33">
        <v>0.38007999999999997</v>
      </c>
      <c r="H129" s="33">
        <v>0</v>
      </c>
      <c r="I129" s="33">
        <v>0.491981</v>
      </c>
      <c r="J129" s="33">
        <v>0.38007999999999997</v>
      </c>
      <c r="K129" s="33">
        <v>0.491981</v>
      </c>
      <c r="L129" s="33">
        <v>16.710079999999898</v>
      </c>
      <c r="M129" s="33">
        <v>21.181981</v>
      </c>
      <c r="N129" s="34">
        <v>1.2669932639314101</v>
      </c>
      <c r="O129" s="34">
        <v>1.26844555541175</v>
      </c>
      <c r="P129" s="34">
        <v>1.2686327196360101</v>
      </c>
      <c r="Q129" s="34">
        <v>1.2680260890116799</v>
      </c>
      <c r="R129" s="33">
        <v>20.713715919874002</v>
      </c>
      <c r="S129" s="33">
        <v>20.724500585829901</v>
      </c>
      <c r="T129" s="33">
        <v>20.706732618628099</v>
      </c>
      <c r="U129" s="15">
        <v>1.1455939130500901E-3</v>
      </c>
      <c r="V129" s="15">
        <v>1.6661117880390501E-3</v>
      </c>
      <c r="W129" s="15">
        <v>8.0840290916472295E-4</v>
      </c>
      <c r="X129" s="34">
        <v>1.26761697131312</v>
      </c>
      <c r="Y129" s="34">
        <v>1.2671331732903199</v>
      </c>
      <c r="Z129" s="34">
        <v>1.26681668938099</v>
      </c>
      <c r="AA129" s="34">
        <v>1.26695609240066</v>
      </c>
      <c r="AB129" s="33">
        <v>21.173896696335099</v>
      </c>
      <c r="AC129" s="33">
        <v>21.168280703922299</v>
      </c>
      <c r="AD129" s="33">
        <v>21.170836185879001</v>
      </c>
      <c r="AE129" s="15">
        <v>-3.8173232159095701E-4</v>
      </c>
      <c r="AF129" s="15">
        <v>-6.4699938108342295E-4</v>
      </c>
      <c r="AG129" s="15">
        <v>-5.2628444192151405E-4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3.9171731110519475E-3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8.8353666739659185E-4</v>
      </c>
      <c r="BE129" s="29">
        <f t="shared" si="42"/>
        <v>0</v>
      </c>
      <c r="BF129" s="29">
        <f t="shared" si="43"/>
        <v>4.8007097784485394E-3</v>
      </c>
      <c r="BH129" s="29"/>
    </row>
    <row r="130" spans="1:60" x14ac:dyDescent="0.25">
      <c r="A130" s="1">
        <v>46212</v>
      </c>
      <c r="B130" s="33">
        <v>16.36</v>
      </c>
      <c r="C130" s="33">
        <v>20.72</v>
      </c>
      <c r="D130" s="15">
        <v>1.8354241922274E-3</v>
      </c>
      <c r="E130" s="15">
        <v>1.44892563383061E-3</v>
      </c>
      <c r="F130" s="33">
        <v>0</v>
      </c>
      <c r="G130" s="33">
        <v>0.38007999999999997</v>
      </c>
      <c r="H130" s="33">
        <v>0</v>
      </c>
      <c r="I130" s="33">
        <v>0.491981</v>
      </c>
      <c r="J130" s="33">
        <v>0.38007999999999997</v>
      </c>
      <c r="K130" s="33">
        <v>0.491981</v>
      </c>
      <c r="L130" s="33">
        <v>16.740079999999999</v>
      </c>
      <c r="M130" s="33">
        <v>21.211980999999899</v>
      </c>
      <c r="N130" s="34">
        <v>1.2665036674816601</v>
      </c>
      <c r="O130" s="34">
        <v>1.26844555541175</v>
      </c>
      <c r="P130" s="34">
        <v>1.26825441036221</v>
      </c>
      <c r="Q130" s="34">
        <v>1.2680423590768499</v>
      </c>
      <c r="R130" s="33">
        <v>20.751769286536302</v>
      </c>
      <c r="S130" s="33">
        <v>20.7548312932452</v>
      </c>
      <c r="T130" s="33">
        <v>20.744906816231101</v>
      </c>
      <c r="U130" s="15">
        <v>1.5320924714468101E-3</v>
      </c>
      <c r="V130" s="15">
        <v>1.6796355933429701E-3</v>
      </c>
      <c r="W130" s="15">
        <v>1.20134451704393E-3</v>
      </c>
      <c r="X130" s="34">
        <v>1.26713737329809</v>
      </c>
      <c r="Y130" s="34">
        <v>1.2671331732903199</v>
      </c>
      <c r="Z130" s="34">
        <v>1.26692769136309</v>
      </c>
      <c r="AA130" s="34">
        <v>1.2669702282640101</v>
      </c>
      <c r="AB130" s="33">
        <v>21.211910691533799</v>
      </c>
      <c r="AC130" s="33">
        <v>21.206612725572999</v>
      </c>
      <c r="AD130" s="33">
        <v>21.208946343274398</v>
      </c>
      <c r="AE130" s="15">
        <v>-3.31456937753914E-6</v>
      </c>
      <c r="AF130" s="15">
        <v>-2.5310949676162999E-4</v>
      </c>
      <c r="AG130" s="15">
        <v>-1.4307356867175101E-4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3.9171731110519475E-3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8.8353666739659185E-4</v>
      </c>
      <c r="BE130" s="29">
        <f t="shared" si="42"/>
        <v>0</v>
      </c>
      <c r="BF130" s="29">
        <f t="shared" si="43"/>
        <v>4.8007097784485394E-3</v>
      </c>
      <c r="BH130" s="29"/>
    </row>
    <row r="131" spans="1:60" x14ac:dyDescent="0.25">
      <c r="A131" s="1">
        <v>46213</v>
      </c>
      <c r="B131" s="33">
        <v>16.34</v>
      </c>
      <c r="C131" s="33">
        <v>20.68</v>
      </c>
      <c r="D131" s="15">
        <v>-1.2232417427440901E-3</v>
      </c>
      <c r="E131" s="15">
        <v>-1.9323677510539199E-3</v>
      </c>
      <c r="F131" s="33">
        <v>0</v>
      </c>
      <c r="G131" s="33">
        <v>0.38007999999999997</v>
      </c>
      <c r="H131" s="33">
        <v>0</v>
      </c>
      <c r="I131" s="33">
        <v>0.491981</v>
      </c>
      <c r="J131" s="33">
        <v>0.38007999999999997</v>
      </c>
      <c r="K131" s="33">
        <v>0.491981</v>
      </c>
      <c r="L131" s="33">
        <v>16.720079999999999</v>
      </c>
      <c r="M131" s="33">
        <v>21.171980999999999</v>
      </c>
      <c r="N131" s="34">
        <v>1.2656058751529899</v>
      </c>
      <c r="O131" s="34">
        <v>1.26844555541175</v>
      </c>
      <c r="P131" s="34">
        <v>1.2677583251169999</v>
      </c>
      <c r="Q131" s="34">
        <v>1.2679974694604199</v>
      </c>
      <c r="R131" s="33">
        <v>20.726400375428099</v>
      </c>
      <c r="S131" s="33">
        <v>20.723277065318602</v>
      </c>
      <c r="T131" s="33">
        <v>20.7198121473158</v>
      </c>
      <c r="U131" s="15">
        <v>2.2412184797565601E-3</v>
      </c>
      <c r="V131" s="15">
        <v>2.0905147682564302E-3</v>
      </c>
      <c r="W131" s="15">
        <v>1.9233014607192599E-3</v>
      </c>
      <c r="X131" s="34">
        <v>1.26626074755623</v>
      </c>
      <c r="Y131" s="34">
        <v>1.2671331732903199</v>
      </c>
      <c r="Z131" s="34">
        <v>1.26692316042773</v>
      </c>
      <c r="AA131" s="34">
        <v>1.2669245305030199</v>
      </c>
      <c r="AB131" s="33">
        <v>21.186568028067999</v>
      </c>
      <c r="AC131" s="33">
        <v>21.183132353806201</v>
      </c>
      <c r="AD131" s="33">
        <v>21.183843574192601</v>
      </c>
      <c r="AE131" s="15">
        <v>6.8874071371127603E-4</v>
      </c>
      <c r="AF131" s="15">
        <v>5.2656471348488303E-4</v>
      </c>
      <c r="AG131" s="15">
        <v>5.6013899491181803E-4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3.9171731110519475E-3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8.8353666739659185E-4</v>
      </c>
      <c r="BE131" s="29">
        <f t="shared" si="42"/>
        <v>0</v>
      </c>
      <c r="BF131" s="29">
        <f t="shared" si="43"/>
        <v>4.8007097784485394E-3</v>
      </c>
      <c r="BH131" s="29"/>
    </row>
    <row r="132" spans="1:60" x14ac:dyDescent="0.25">
      <c r="A132" s="1">
        <v>46216</v>
      </c>
      <c r="B132" s="33">
        <v>16.27</v>
      </c>
      <c r="C132" s="33">
        <v>20.62</v>
      </c>
      <c r="D132" s="15">
        <v>-4.2931682009103803E-3</v>
      </c>
      <c r="E132" s="15">
        <v>-2.9055710514144101E-3</v>
      </c>
      <c r="F132" s="33">
        <v>0</v>
      </c>
      <c r="G132" s="33">
        <v>0.38007999999999997</v>
      </c>
      <c r="H132" s="33">
        <v>0</v>
      </c>
      <c r="I132" s="33">
        <v>0.491981</v>
      </c>
      <c r="J132" s="33">
        <v>0.38007999999999997</v>
      </c>
      <c r="K132" s="33">
        <v>0.491981</v>
      </c>
      <c r="L132" s="33">
        <v>16.650079999999999</v>
      </c>
      <c r="M132" s="33">
        <v>21.111981</v>
      </c>
      <c r="N132" s="34">
        <v>1.2673632452366299</v>
      </c>
      <c r="O132" s="34">
        <v>1.26844555541175</v>
      </c>
      <c r="P132" s="34">
        <v>1.2674100483016499</v>
      </c>
      <c r="Q132" s="34">
        <v>1.26807487746434</v>
      </c>
      <c r="R132" s="33">
        <v>20.637609186549302</v>
      </c>
      <c r="S132" s="33">
        <v>20.626427949653699</v>
      </c>
      <c r="T132" s="33">
        <v>20.630318828120998</v>
      </c>
      <c r="U132" s="15">
        <v>8.5362133026066901E-4</v>
      </c>
      <c r="V132" s="15">
        <v>3.1168515797740901E-4</v>
      </c>
      <c r="W132" s="15">
        <v>5.0030296150268205E-4</v>
      </c>
      <c r="X132" s="34">
        <v>1.26798075444682</v>
      </c>
      <c r="Y132" s="34">
        <v>1.2671331732903199</v>
      </c>
      <c r="Z132" s="34">
        <v>1.2670628261563399</v>
      </c>
      <c r="AA132" s="34">
        <v>1.26699877313728</v>
      </c>
      <c r="AB132" s="33">
        <v>21.097868705937699</v>
      </c>
      <c r="AC132" s="33">
        <v>21.094371974974599</v>
      </c>
      <c r="AD132" s="33">
        <v>21.0943947868378</v>
      </c>
      <c r="AE132" s="15">
        <v>-6.6867305552674298E-4</v>
      </c>
      <c r="AF132" s="15">
        <v>-8.34425379397515E-4</v>
      </c>
      <c r="AG132" s="15">
        <v>-8.3334396057772897E-4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3.9171731110519475E-3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8.8353666739659185E-4</v>
      </c>
      <c r="BE132" s="29">
        <f t="shared" si="42"/>
        <v>0</v>
      </c>
      <c r="BF132" s="29">
        <f t="shared" si="43"/>
        <v>4.8007097784485394E-3</v>
      </c>
      <c r="BH132" s="29"/>
    </row>
    <row r="133" spans="1:60" x14ac:dyDescent="0.25">
      <c r="A133" s="1">
        <v>46217</v>
      </c>
      <c r="B133" s="33">
        <v>16.32</v>
      </c>
      <c r="C133" s="33">
        <v>20.67</v>
      </c>
      <c r="D133" s="15">
        <v>3.0684283050145E-3</v>
      </c>
      <c r="E133" s="15">
        <v>2.42189510486303E-3</v>
      </c>
      <c r="F133" s="33">
        <v>0</v>
      </c>
      <c r="G133" s="33">
        <v>0.38007999999999997</v>
      </c>
      <c r="H133" s="33">
        <v>0</v>
      </c>
      <c r="I133" s="33">
        <v>0.491981</v>
      </c>
      <c r="J133" s="33">
        <v>0.38007999999999997</v>
      </c>
      <c r="K133" s="33">
        <v>0.491981</v>
      </c>
      <c r="L133" s="33">
        <v>16.70008</v>
      </c>
      <c r="M133" s="33">
        <v>21.161981000000001</v>
      </c>
      <c r="N133" s="34">
        <v>1.26654411764705</v>
      </c>
      <c r="O133" s="34">
        <v>1.26844555541175</v>
      </c>
      <c r="P133" s="34">
        <v>1.2669189944546699</v>
      </c>
      <c r="Q133" s="34">
        <v>1.26810323976788</v>
      </c>
      <c r="R133" s="33">
        <v>20.7010314643199</v>
      </c>
      <c r="S133" s="33">
        <v>20.684131988282999</v>
      </c>
      <c r="T133" s="33">
        <v>20.694982000218101</v>
      </c>
      <c r="U133" s="15">
        <v>1.5001545304121401E-3</v>
      </c>
      <c r="V133" s="15">
        <v>6.8346199780694699E-4</v>
      </c>
      <c r="W133" s="15">
        <v>1.2078817418734399E-3</v>
      </c>
      <c r="X133" s="34">
        <v>1.2671784207021699</v>
      </c>
      <c r="Y133" s="34">
        <v>1.2671331732903199</v>
      </c>
      <c r="Z133" s="34">
        <v>1.26706277039383</v>
      </c>
      <c r="AA133" s="34">
        <v>1.2670249420730799</v>
      </c>
      <c r="AB133" s="33">
        <v>21.161225364602199</v>
      </c>
      <c r="AC133" s="33">
        <v>21.160050561837</v>
      </c>
      <c r="AD133" s="33">
        <v>21.158980871294499</v>
      </c>
      <c r="AE133" s="15">
        <v>-3.5707852156844799E-5</v>
      </c>
      <c r="AF133" s="15">
        <v>-9.12261577747433E-5</v>
      </c>
      <c r="AG133" s="15">
        <v>-1.4177979789915601E-4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3.9171731110519475E-3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8.8353666739659185E-4</v>
      </c>
      <c r="BE133" s="29">
        <f t="shared" si="42"/>
        <v>0</v>
      </c>
      <c r="BF133" s="29">
        <f t="shared" si="43"/>
        <v>4.8007097784485394E-3</v>
      </c>
      <c r="BH133" s="29"/>
    </row>
    <row r="134" spans="1:60" x14ac:dyDescent="0.25">
      <c r="A134" s="1">
        <v>46218</v>
      </c>
      <c r="B134" s="33">
        <v>16.37</v>
      </c>
      <c r="C134" s="33">
        <v>20.73</v>
      </c>
      <c r="D134" s="15">
        <v>3.0590418470826798E-3</v>
      </c>
      <c r="E134" s="15">
        <v>2.8985527540112501E-3</v>
      </c>
      <c r="F134" s="33">
        <v>0</v>
      </c>
      <c r="G134" s="33">
        <v>0.38007999999999997</v>
      </c>
      <c r="H134" s="33">
        <v>0</v>
      </c>
      <c r="I134" s="33">
        <v>0.491981</v>
      </c>
      <c r="J134" s="33">
        <v>0.38007999999999997</v>
      </c>
      <c r="K134" s="33">
        <v>0.491981</v>
      </c>
      <c r="L134" s="33">
        <v>16.750080000000001</v>
      </c>
      <c r="M134" s="33">
        <v>21.221981</v>
      </c>
      <c r="N134" s="34">
        <v>1.26634086744043</v>
      </c>
      <c r="O134" s="34">
        <v>1.26844555541175</v>
      </c>
      <c r="P134" s="34">
        <v>1.2664023795513699</v>
      </c>
      <c r="Q134" s="34">
        <v>1.2680991152566901</v>
      </c>
      <c r="R134" s="33">
        <v>20.764453742090499</v>
      </c>
      <c r="S134" s="33">
        <v>20.739463939223</v>
      </c>
      <c r="T134" s="33">
        <v>20.758850035000201</v>
      </c>
      <c r="U134" s="15">
        <v>1.66064362348364E-3</v>
      </c>
      <c r="V134" s="15">
        <v>4.5642930910419098E-4</v>
      </c>
      <c r="W134" s="15">
        <v>1.3907370113123299E-3</v>
      </c>
      <c r="X134" s="34">
        <v>1.2669778890608201</v>
      </c>
      <c r="Y134" s="34">
        <v>1.2671331732903199</v>
      </c>
      <c r="Z134" s="34">
        <v>1.2670385639367401</v>
      </c>
      <c r="AA134" s="34">
        <v>1.26701920134513</v>
      </c>
      <c r="AB134" s="33">
        <v>21.224582023266699</v>
      </c>
      <c r="AC134" s="33">
        <v>21.223402769118302</v>
      </c>
      <c r="AD134" s="33">
        <v>21.2227691417195</v>
      </c>
      <c r="AE134" s="15">
        <v>1.2255518867773801E-4</v>
      </c>
      <c r="AF134" s="15">
        <v>6.6992873787998498E-5</v>
      </c>
      <c r="AG134" s="15">
        <v>3.7137300466471203E-5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3.9171731110519475E-3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8.8353666739659185E-4</v>
      </c>
      <c r="BE134" s="29">
        <f t="shared" si="42"/>
        <v>0</v>
      </c>
      <c r="BF134" s="29">
        <f t="shared" si="43"/>
        <v>4.8007097784485394E-3</v>
      </c>
      <c r="BH134" s="29"/>
    </row>
    <row r="135" spans="1:60" x14ac:dyDescent="0.25">
      <c r="A135" s="1">
        <v>46219</v>
      </c>
      <c r="B135" s="33">
        <v>16.36</v>
      </c>
      <c r="C135" s="33">
        <v>20.73</v>
      </c>
      <c r="D135" s="15">
        <v>-6.1106020844265698E-4</v>
      </c>
      <c r="E135" s="15">
        <v>0</v>
      </c>
      <c r="F135" s="33">
        <v>0</v>
      </c>
      <c r="G135" s="33">
        <v>0.38007999999999997</v>
      </c>
      <c r="H135" s="33">
        <v>0</v>
      </c>
      <c r="I135" s="33">
        <v>0.491981</v>
      </c>
      <c r="J135" s="33">
        <v>0.38007999999999997</v>
      </c>
      <c r="K135" s="33">
        <v>0.491981</v>
      </c>
      <c r="L135" s="33">
        <v>16.740079999999999</v>
      </c>
      <c r="M135" s="33">
        <v>21.221981</v>
      </c>
      <c r="N135" s="34">
        <v>1.2671149144254199</v>
      </c>
      <c r="O135" s="34">
        <v>1.26844555541175</v>
      </c>
      <c r="P135" s="34">
        <v>1.26649604437609</v>
      </c>
      <c r="Q135" s="34">
        <v>1.2681417910691399</v>
      </c>
      <c r="R135" s="33">
        <v>20.751769286536302</v>
      </c>
      <c r="S135" s="33">
        <v>20.718342929460398</v>
      </c>
      <c r="T135" s="33">
        <v>20.7461015255994</v>
      </c>
      <c r="U135" s="15">
        <v>1.04958341504077E-3</v>
      </c>
      <c r="V135" s="15">
        <v>-5.6248670142041303E-4</v>
      </c>
      <c r="W135" s="15">
        <v>7.7642429332034897E-4</v>
      </c>
      <c r="X135" s="34">
        <v>1.2677347420084</v>
      </c>
      <c r="Y135" s="34">
        <v>1.2671331732903199</v>
      </c>
      <c r="Z135" s="34">
        <v>1.2671301786237801</v>
      </c>
      <c r="AA135" s="34">
        <v>1.26705926858193</v>
      </c>
      <c r="AB135" s="33">
        <v>21.211910691533799</v>
      </c>
      <c r="AC135" s="33">
        <v>21.210326923386202</v>
      </c>
      <c r="AD135" s="33">
        <v>21.210002792053601</v>
      </c>
      <c r="AE135" s="15">
        <v>-4.7463516796418602E-4</v>
      </c>
      <c r="AF135" s="15">
        <v>-5.4930205200494396E-4</v>
      </c>
      <c r="AG135" s="15">
        <v>-5.6458393853231102E-4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3.9171731110519475E-3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8.8353666739659185E-4</v>
      </c>
      <c r="BE135" s="29">
        <f t="shared" si="42"/>
        <v>0</v>
      </c>
      <c r="BF135" s="29">
        <f t="shared" si="43"/>
        <v>4.8007097784485394E-3</v>
      </c>
      <c r="BH135" s="29"/>
    </row>
    <row r="136" spans="1:60" x14ac:dyDescent="0.25">
      <c r="A136" s="1">
        <v>46220</v>
      </c>
      <c r="B136" s="33">
        <v>16.36</v>
      </c>
      <c r="C136" s="33">
        <v>20.72</v>
      </c>
      <c r="D136" s="15">
        <v>0</v>
      </c>
      <c r="E136" s="15">
        <v>-4.8250905640596198E-4</v>
      </c>
      <c r="F136" s="33">
        <v>0</v>
      </c>
      <c r="G136" s="33">
        <v>0.38007999999999997</v>
      </c>
      <c r="H136" s="33">
        <v>0</v>
      </c>
      <c r="I136" s="33">
        <v>0.491981</v>
      </c>
      <c r="J136" s="33">
        <v>0.38007999999999997</v>
      </c>
      <c r="K136" s="33">
        <v>0.491981</v>
      </c>
      <c r="L136" s="33">
        <v>16.740079999999999</v>
      </c>
      <c r="M136" s="33">
        <v>21.211980999999899</v>
      </c>
      <c r="N136" s="34">
        <v>1.2665036674816601</v>
      </c>
      <c r="O136" s="34">
        <v>1.26844555541175</v>
      </c>
      <c r="P136" s="34">
        <v>1.26657724598105</v>
      </c>
      <c r="Q136" s="34">
        <v>1.2681499310712001</v>
      </c>
      <c r="R136" s="33">
        <v>20.751769286536302</v>
      </c>
      <c r="S136" s="33">
        <v>20.719875285992799</v>
      </c>
      <c r="T136" s="33">
        <v>20.746799701891199</v>
      </c>
      <c r="U136" s="15">
        <v>1.5320924714468101E-3</v>
      </c>
      <c r="V136" s="15">
        <v>-6.0190339037973004E-6</v>
      </c>
      <c r="W136" s="15">
        <v>1.29258615640899E-3</v>
      </c>
      <c r="X136" s="34">
        <v>1.26713737329809</v>
      </c>
      <c r="Y136" s="34">
        <v>1.2671331732903199</v>
      </c>
      <c r="Z136" s="34">
        <v>1.2672097307680501</v>
      </c>
      <c r="AA136" s="34">
        <v>1.26706540807181</v>
      </c>
      <c r="AB136" s="33">
        <v>21.211910691533799</v>
      </c>
      <c r="AC136" s="33">
        <v>21.211860560576401</v>
      </c>
      <c r="AD136" s="33">
        <v>21.210673520803098</v>
      </c>
      <c r="AE136" s="15">
        <v>-3.31456937753914E-6</v>
      </c>
      <c r="AF136" s="15">
        <v>-5.6779121867370799E-6</v>
      </c>
      <c r="AG136" s="15">
        <v>-6.1640612171203296E-5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3.9171731110519475E-3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8.8353666739659185E-4</v>
      </c>
      <c r="BE136" s="29">
        <f t="shared" si="42"/>
        <v>0</v>
      </c>
      <c r="BF136" s="29">
        <f t="shared" si="43"/>
        <v>4.8007097784485394E-3</v>
      </c>
      <c r="BH136" s="29"/>
    </row>
    <row r="137" spans="1:60" x14ac:dyDescent="0.25">
      <c r="A137" s="1">
        <v>46223</v>
      </c>
      <c r="B137" s="33">
        <v>16.27</v>
      </c>
      <c r="C137" s="33">
        <v>20.68</v>
      </c>
      <c r="D137" s="15">
        <v>-5.5164099436545398E-3</v>
      </c>
      <c r="E137" s="15">
        <v>-1.9323677510539199E-3</v>
      </c>
      <c r="F137" s="33">
        <v>6.5030000000000004E-2</v>
      </c>
      <c r="G137" s="33">
        <v>0.44511000000000001</v>
      </c>
      <c r="H137" s="33">
        <v>0</v>
      </c>
      <c r="I137" s="33">
        <v>0.491981</v>
      </c>
      <c r="J137" s="33">
        <v>0.44511000000000001</v>
      </c>
      <c r="K137" s="33">
        <v>0.491981</v>
      </c>
      <c r="L137" s="33">
        <v>16.715109999999999</v>
      </c>
      <c r="M137" s="33">
        <v>21.171980999999999</v>
      </c>
      <c r="N137" s="34">
        <v>1.2710510141364399</v>
      </c>
      <c r="O137" s="34">
        <v>1.26844555541175</v>
      </c>
      <c r="P137" s="34">
        <v>1.26699130534716</v>
      </c>
      <c r="Q137" s="34">
        <v>1.26835696075426</v>
      </c>
      <c r="R137" s="33">
        <v>20.637609186549302</v>
      </c>
      <c r="S137" s="33">
        <v>20.607211792111698</v>
      </c>
      <c r="T137" s="33">
        <v>20.6327993785285</v>
      </c>
      <c r="U137" s="15">
        <v>-2.05194972115375E-3</v>
      </c>
      <c r="V137" s="15">
        <v>-3.5259481151326101E-3</v>
      </c>
      <c r="W137" s="15">
        <v>-2.2850372145789399E-3</v>
      </c>
      <c r="X137" s="34">
        <v>1.2666372521628599</v>
      </c>
      <c r="Y137" s="34">
        <v>1.2671331732903199</v>
      </c>
      <c r="Z137" s="34">
        <v>1.2671201528434399</v>
      </c>
      <c r="AA137" s="34">
        <v>1.2670186823999201</v>
      </c>
      <c r="AB137" s="33">
        <v>21.180270376196798</v>
      </c>
      <c r="AC137" s="33">
        <v>21.181550042858401</v>
      </c>
      <c r="AD137" s="33">
        <v>21.1791376731151</v>
      </c>
      <c r="AE137" s="15">
        <v>3.9144914536039802E-4</v>
      </c>
      <c r="AF137" s="15">
        <v>4.5186518269888502E-4</v>
      </c>
      <c r="AG137" s="15">
        <v>3.3796855467073801E-4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3.9171731110519475E-3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8.8353666739659185E-4</v>
      </c>
      <c r="BE137" s="29">
        <f t="shared" si="42"/>
        <v>0</v>
      </c>
      <c r="BF137" s="29">
        <f t="shared" si="43"/>
        <v>4.8007097784485394E-3</v>
      </c>
      <c r="BH137" s="29"/>
    </row>
    <row r="138" spans="1:60" x14ac:dyDescent="0.25">
      <c r="A138" s="1">
        <v>46224</v>
      </c>
      <c r="B138" s="33">
        <v>16.239999999999998</v>
      </c>
      <c r="C138" s="33">
        <v>20.66</v>
      </c>
      <c r="D138" s="15">
        <v>-1.8455864974146301E-3</v>
      </c>
      <c r="E138" s="15">
        <v>-9.6758594873585905E-4</v>
      </c>
      <c r="F138" s="33">
        <v>0</v>
      </c>
      <c r="G138" s="33">
        <v>0.44511000000000001</v>
      </c>
      <c r="H138" s="33">
        <v>0</v>
      </c>
      <c r="I138" s="33">
        <v>0.491981</v>
      </c>
      <c r="J138" s="33">
        <v>0.44511000000000001</v>
      </c>
      <c r="K138" s="33">
        <v>0.491981</v>
      </c>
      <c r="L138" s="33">
        <v>16.685109999999899</v>
      </c>
      <c r="M138" s="33">
        <v>21.151980999999999</v>
      </c>
      <c r="N138" s="34">
        <v>1.27216748768472</v>
      </c>
      <c r="O138" s="34">
        <v>1.26844555541175</v>
      </c>
      <c r="P138" s="34">
        <v>1.2676188120618399</v>
      </c>
      <c r="Q138" s="34">
        <v>1.2683623939620301</v>
      </c>
      <c r="R138" s="33">
        <v>20.599555819886898</v>
      </c>
      <c r="S138" s="33">
        <v>20.5759387988379</v>
      </c>
      <c r="T138" s="33">
        <v>20.5981170426492</v>
      </c>
      <c r="U138" s="15">
        <v>-2.9299502698324599E-3</v>
      </c>
      <c r="V138" s="15">
        <v>-4.0770900362191199E-3</v>
      </c>
      <c r="W138" s="15">
        <v>-2.9997977703498401E-3</v>
      </c>
      <c r="X138" s="34">
        <v>1.2677160054683401</v>
      </c>
      <c r="Y138" s="34">
        <v>1.2671331732903199</v>
      </c>
      <c r="Z138" s="34">
        <v>1.26723775293149</v>
      </c>
      <c r="AA138" s="34">
        <v>1.26701742105447</v>
      </c>
      <c r="AB138" s="33">
        <v>21.142256380997999</v>
      </c>
      <c r="AC138" s="33">
        <v>21.1420391334096</v>
      </c>
      <c r="AD138" s="33">
        <v>21.140346087897701</v>
      </c>
      <c r="AE138" s="15">
        <v>-4.5985551580837898E-4</v>
      </c>
      <c r="AF138" s="15">
        <v>-4.7013108435137001E-4</v>
      </c>
      <c r="AG138" s="15">
        <v>-5.5021386605401098E-4</v>
      </c>
      <c r="AI138" s="12"/>
      <c r="AJ138">
        <f t="shared" si="26"/>
        <v>0</v>
      </c>
      <c r="AK138">
        <f t="shared" si="27"/>
        <v>0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3.9171731110519475E-3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8.8353666739659185E-4</v>
      </c>
      <c r="BE138" s="29">
        <f t="shared" si="42"/>
        <v>0</v>
      </c>
      <c r="BF138" s="29">
        <f t="shared" si="43"/>
        <v>4.8007097784485394E-3</v>
      </c>
      <c r="BH138" s="29"/>
    </row>
    <row r="139" spans="1:60" x14ac:dyDescent="0.25">
      <c r="A139" s="1">
        <v>46225</v>
      </c>
      <c r="B139" s="33">
        <v>16.21</v>
      </c>
      <c r="C139" s="33">
        <v>20.63</v>
      </c>
      <c r="D139" s="15">
        <v>-1.84899898594697E-3</v>
      </c>
      <c r="E139" s="15">
        <v>-1.45313660833213E-3</v>
      </c>
      <c r="F139" s="33">
        <v>0</v>
      </c>
      <c r="G139" s="33">
        <v>0.44511000000000001</v>
      </c>
      <c r="H139" s="33">
        <v>0</v>
      </c>
      <c r="I139" s="33">
        <v>0.491981</v>
      </c>
      <c r="J139" s="33">
        <v>0.44511000000000001</v>
      </c>
      <c r="K139" s="33">
        <v>0.491981</v>
      </c>
      <c r="L139" s="33">
        <v>16.655110000000001</v>
      </c>
      <c r="M139" s="33">
        <v>21.121980999999899</v>
      </c>
      <c r="N139" s="34">
        <v>1.2726711906230701</v>
      </c>
      <c r="O139" s="34">
        <v>1.26844555541175</v>
      </c>
      <c r="P139" s="34">
        <v>1.26818660473101</v>
      </c>
      <c r="Q139" s="34">
        <v>1.2684096621835099</v>
      </c>
      <c r="R139" s="33">
        <v>20.561502453224598</v>
      </c>
      <c r="S139" s="33">
        <v>20.548100943522499</v>
      </c>
      <c r="T139" s="33">
        <v>20.5601544061245</v>
      </c>
      <c r="U139" s="15">
        <v>-3.3258126474474E-3</v>
      </c>
      <c r="V139" s="15">
        <v>-3.9778019185419504E-3</v>
      </c>
      <c r="W139" s="15">
        <v>-3.3913764988840801E-3</v>
      </c>
      <c r="X139" s="34">
        <v>1.2681982286517399</v>
      </c>
      <c r="Y139" s="34">
        <v>1.2671331732903199</v>
      </c>
      <c r="Z139" s="34">
        <v>1.2672958786653601</v>
      </c>
      <c r="AA139" s="34">
        <v>1.2670562840231701</v>
      </c>
      <c r="AB139" s="33">
        <v>21.104242385799299</v>
      </c>
      <c r="AC139" s="33">
        <v>21.105984171226901</v>
      </c>
      <c r="AD139" s="33">
        <v>21.102314519578599</v>
      </c>
      <c r="AE139" s="15">
        <v>-8.4017057751065399E-4</v>
      </c>
      <c r="AF139" s="15">
        <v>-7.5764150478968095E-4</v>
      </c>
      <c r="AG139" s="15">
        <v>-9.31524450627658E-4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3.9171731110519475E-3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8.8353666739659185E-4</v>
      </c>
      <c r="BE139" s="29">
        <f t="shared" si="42"/>
        <v>0</v>
      </c>
      <c r="BF139" s="29">
        <f t="shared" si="43"/>
        <v>4.8007097784485394E-3</v>
      </c>
      <c r="BH139" s="29"/>
    </row>
    <row r="140" spans="1:60" x14ac:dyDescent="0.25">
      <c r="A140" s="1">
        <v>46226</v>
      </c>
      <c r="B140" s="33">
        <v>16.18</v>
      </c>
      <c r="C140" s="33">
        <v>20.57</v>
      </c>
      <c r="D140" s="15">
        <v>-1.8524241172391701E-3</v>
      </c>
      <c r="E140" s="15">
        <v>-2.9126234182946099E-3</v>
      </c>
      <c r="F140" s="33">
        <v>0</v>
      </c>
      <c r="G140" s="33">
        <v>0.44511000000000001</v>
      </c>
      <c r="H140" s="33">
        <v>0</v>
      </c>
      <c r="I140" s="33">
        <v>0.491981</v>
      </c>
      <c r="J140" s="33">
        <v>0.44511000000000001</v>
      </c>
      <c r="K140" s="33">
        <v>0.491981</v>
      </c>
      <c r="L140" s="33">
        <v>16.625109999999999</v>
      </c>
      <c r="M140" s="33">
        <v>21.061980999999999</v>
      </c>
      <c r="N140" s="34">
        <v>1.2713226205191499</v>
      </c>
      <c r="O140" s="34">
        <v>1.26844555541175</v>
      </c>
      <c r="P140" s="34">
        <v>1.2686685000347599</v>
      </c>
      <c r="Q140" s="34">
        <v>1.2684614551984901</v>
      </c>
      <c r="R140" s="33">
        <v>20.523449086562199</v>
      </c>
      <c r="S140" s="33">
        <v>20.519259264547699</v>
      </c>
      <c r="T140" s="33">
        <v>20.5228683341292</v>
      </c>
      <c r="U140" s="15">
        <v>-2.2656133463919799E-3</v>
      </c>
      <c r="V140" s="15">
        <v>-2.46978223277191E-3</v>
      </c>
      <c r="W140" s="15">
        <v>-2.2939107659668998E-3</v>
      </c>
      <c r="X140" s="34">
        <v>1.2668776928393199</v>
      </c>
      <c r="Y140" s="34">
        <v>1.2671331732903199</v>
      </c>
      <c r="Z140" s="34">
        <v>1.26726991061948</v>
      </c>
      <c r="AA140" s="34">
        <v>1.26709880099128</v>
      </c>
      <c r="AB140" s="33">
        <v>21.0662283906006</v>
      </c>
      <c r="AC140" s="33">
        <v>21.0689333853582</v>
      </c>
      <c r="AD140" s="33">
        <v>21.064950098076601</v>
      </c>
      <c r="AE140" s="15">
        <v>2.0164116521926599E-4</v>
      </c>
      <c r="AF140" s="15">
        <v>3.3003724333189401E-4</v>
      </c>
      <c r="AG140" s="15">
        <v>1.4095961913818499E-4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3.9171731110519475E-3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8.8353666739659185E-4</v>
      </c>
      <c r="BE140" s="29">
        <f t="shared" si="42"/>
        <v>0</v>
      </c>
      <c r="BF140" s="29">
        <f t="shared" si="43"/>
        <v>4.8007097784485394E-3</v>
      </c>
      <c r="BH140" s="29"/>
    </row>
    <row r="141" spans="1:60" x14ac:dyDescent="0.25">
      <c r="A141" s="1">
        <v>46227</v>
      </c>
      <c r="B141" s="33">
        <v>16.2</v>
      </c>
      <c r="C141" s="33">
        <v>20.59</v>
      </c>
      <c r="D141" s="15">
        <v>1.2353306079928E-3</v>
      </c>
      <c r="E141" s="15">
        <v>9.7181737483226303E-4</v>
      </c>
      <c r="F141" s="33">
        <v>0</v>
      </c>
      <c r="G141" s="33">
        <v>0.44511000000000001</v>
      </c>
      <c r="H141" s="33">
        <v>0</v>
      </c>
      <c r="I141" s="33">
        <v>0.491981</v>
      </c>
      <c r="J141" s="33">
        <v>0.44511000000000001</v>
      </c>
      <c r="K141" s="33">
        <v>0.491981</v>
      </c>
      <c r="L141" s="33">
        <v>16.645109999999999</v>
      </c>
      <c r="M141" s="33">
        <v>21.081980999999999</v>
      </c>
      <c r="N141" s="34">
        <v>1.2709876543209799</v>
      </c>
      <c r="O141" s="34">
        <v>1.26844555541175</v>
      </c>
      <c r="P141" s="34">
        <v>1.2692066779515601</v>
      </c>
      <c r="Q141" s="34">
        <v>1.26848250153428</v>
      </c>
      <c r="R141" s="33">
        <v>20.548817997670501</v>
      </c>
      <c r="S141" s="33">
        <v>20.552429700563099</v>
      </c>
      <c r="T141" s="33">
        <v>20.5490755742155</v>
      </c>
      <c r="U141" s="15">
        <v>-2.0021001132315098E-3</v>
      </c>
      <c r="V141" s="15">
        <v>-1.8263534824496401E-3</v>
      </c>
      <c r="W141" s="15">
        <v>-1.9895653323622601E-3</v>
      </c>
      <c r="X141" s="34">
        <v>1.2665570248559399</v>
      </c>
      <c r="Y141" s="34">
        <v>1.2671331732903199</v>
      </c>
      <c r="Z141" s="34">
        <v>1.2672995383494501</v>
      </c>
      <c r="AA141" s="34">
        <v>1.2671113493885899</v>
      </c>
      <c r="AB141" s="33">
        <v>21.091571054066399</v>
      </c>
      <c r="AC141" s="33">
        <v>21.093847061951401</v>
      </c>
      <c r="AD141" s="33">
        <v>21.090998923368101</v>
      </c>
      <c r="AE141" s="15">
        <v>4.54789969764931E-4</v>
      </c>
      <c r="AF141" s="15">
        <v>5.6269492786950495E-4</v>
      </c>
      <c r="AG141" s="15">
        <v>4.2766356666940303E-4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3.9171731110519475E-3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8.8353666739659185E-4</v>
      </c>
      <c r="BE141" s="29">
        <f t="shared" si="42"/>
        <v>0</v>
      </c>
      <c r="BF141" s="29">
        <f t="shared" si="43"/>
        <v>4.8007097784485394E-3</v>
      </c>
      <c r="BH141" s="29"/>
    </row>
    <row r="142" spans="1:60" x14ac:dyDescent="0.25">
      <c r="A142" s="1">
        <v>46230</v>
      </c>
      <c r="B142" s="33">
        <v>16.21</v>
      </c>
      <c r="C142" s="33">
        <v>20.62</v>
      </c>
      <c r="D142" s="15">
        <v>6.1709350924639005E-4</v>
      </c>
      <c r="E142" s="15">
        <v>1.4559575491157699E-3</v>
      </c>
      <c r="F142" s="33">
        <v>0</v>
      </c>
      <c r="G142" s="33">
        <v>0.44511000000000001</v>
      </c>
      <c r="H142" s="33">
        <v>0</v>
      </c>
      <c r="I142" s="33">
        <v>0.491981</v>
      </c>
      <c r="J142" s="33">
        <v>0.44511000000000001</v>
      </c>
      <c r="K142" s="33">
        <v>0.491981</v>
      </c>
      <c r="L142" s="33">
        <v>16.655110000000001</v>
      </c>
      <c r="M142" s="33">
        <v>21.111981</v>
      </c>
      <c r="N142" s="34">
        <v>1.2720542874768599</v>
      </c>
      <c r="O142" s="34">
        <v>1.26844555541175</v>
      </c>
      <c r="P142" s="34">
        <v>1.26967578217558</v>
      </c>
      <c r="Q142" s="34">
        <v>1.2685429152386201</v>
      </c>
      <c r="R142" s="33">
        <v>20.561502453224598</v>
      </c>
      <c r="S142" s="33">
        <v>20.573840249594799</v>
      </c>
      <c r="T142" s="33">
        <v>20.562101349870701</v>
      </c>
      <c r="U142" s="15">
        <v>-2.84096415310092E-3</v>
      </c>
      <c r="V142" s="15">
        <v>-2.2411005842330601E-3</v>
      </c>
      <c r="W142" s="15">
        <v>-2.81183749148638E-3</v>
      </c>
      <c r="X142" s="34">
        <v>1.26759781232306</v>
      </c>
      <c r="Y142" s="34">
        <v>1.2671331732903199</v>
      </c>
      <c r="Z142" s="34">
        <v>1.2672612441370801</v>
      </c>
      <c r="AA142" s="34">
        <v>1.2671620351467101</v>
      </c>
      <c r="AB142" s="33">
        <v>21.104242385799299</v>
      </c>
      <c r="AC142" s="33">
        <v>21.107013214159402</v>
      </c>
      <c r="AD142" s="33">
        <v>21.103878906315501</v>
      </c>
      <c r="AE142" s="15">
        <v>-3.6661802817259E-4</v>
      </c>
      <c r="AF142" s="15">
        <v>-2.3533416444354601E-4</v>
      </c>
      <c r="AG142" s="15">
        <v>-3.8384122943137098E-4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3.9171731110519475E-3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8.8353666739659185E-4</v>
      </c>
      <c r="BE142" s="29">
        <f t="shared" si="42"/>
        <v>0</v>
      </c>
      <c r="BF142" s="29">
        <f t="shared" si="43"/>
        <v>4.8007097784485394E-3</v>
      </c>
      <c r="BH142" s="29"/>
    </row>
    <row r="143" spans="1:60" x14ac:dyDescent="0.25">
      <c r="A143" s="1">
        <v>46231</v>
      </c>
      <c r="B143" s="33">
        <v>16.25</v>
      </c>
      <c r="C143" s="33">
        <v>20.65</v>
      </c>
      <c r="D143" s="15">
        <v>2.4645730281617701E-3</v>
      </c>
      <c r="E143" s="15">
        <v>1.4538408182278499E-3</v>
      </c>
      <c r="F143" s="33">
        <v>0</v>
      </c>
      <c r="G143" s="33">
        <v>0.44511000000000001</v>
      </c>
      <c r="H143" s="33">
        <v>0</v>
      </c>
      <c r="I143" s="33">
        <v>0.491981</v>
      </c>
      <c r="J143" s="33">
        <v>0.44511000000000001</v>
      </c>
      <c r="K143" s="33">
        <v>0.491981</v>
      </c>
      <c r="L143" s="33">
        <v>16.69511</v>
      </c>
      <c r="M143" s="33">
        <v>21.141980999999902</v>
      </c>
      <c r="N143" s="34">
        <v>1.27076923076923</v>
      </c>
      <c r="O143" s="34">
        <v>1.26844555541175</v>
      </c>
      <c r="P143" s="34">
        <v>1.2700982934878</v>
      </c>
      <c r="Q143" s="34">
        <v>1.2685086439712301</v>
      </c>
      <c r="R143" s="33">
        <v>20.612240275441</v>
      </c>
      <c r="S143" s="33">
        <v>20.6322314603532</v>
      </c>
      <c r="T143" s="33">
        <v>20.613822372627499</v>
      </c>
      <c r="U143" s="15">
        <v>-1.8302319431670201E-3</v>
      </c>
      <c r="V143" s="15">
        <v>-8.6083237826236399E-4</v>
      </c>
      <c r="W143" s="15">
        <v>-1.7534796614476001E-3</v>
      </c>
      <c r="X143" s="34">
        <v>1.2663576939594801</v>
      </c>
      <c r="Y143" s="34">
        <v>1.2671331732903199</v>
      </c>
      <c r="Z143" s="34">
        <v>1.26717917146281</v>
      </c>
      <c r="AA143" s="34">
        <v>1.26712097092832</v>
      </c>
      <c r="AB143" s="33">
        <v>21.154927712730899</v>
      </c>
      <c r="AC143" s="33">
        <v>21.1570658696054</v>
      </c>
      <c r="AD143" s="33">
        <v>21.155409564598202</v>
      </c>
      <c r="AE143" s="15">
        <v>6.1218247523770798E-4</v>
      </c>
      <c r="AF143" s="15">
        <v>7.1324870706493697E-4</v>
      </c>
      <c r="AG143" s="15">
        <v>6.3495950318190797E-4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3.9171731110519475E-3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8.8353666739659185E-4</v>
      </c>
      <c r="BE143" s="29">
        <f t="shared" si="42"/>
        <v>0</v>
      </c>
      <c r="BF143" s="29">
        <f t="shared" si="43"/>
        <v>4.8007097784485394E-3</v>
      </c>
      <c r="BH143" s="29"/>
    </row>
    <row r="144" spans="1:60" x14ac:dyDescent="0.25">
      <c r="A144" s="1">
        <v>46232</v>
      </c>
      <c r="B144" s="33">
        <v>16.23</v>
      </c>
      <c r="C144" s="33">
        <v>20.62</v>
      </c>
      <c r="D144" s="15">
        <v>-1.23152724924667E-3</v>
      </c>
      <c r="E144" s="15">
        <v>-1.4538408182277699E-3</v>
      </c>
      <c r="F144" s="33">
        <v>0</v>
      </c>
      <c r="G144" s="33">
        <v>0.44511000000000001</v>
      </c>
      <c r="H144" s="33">
        <v>0</v>
      </c>
      <c r="I144" s="33">
        <v>0.491981</v>
      </c>
      <c r="J144" s="33">
        <v>0.44511000000000001</v>
      </c>
      <c r="K144" s="33">
        <v>0.491981</v>
      </c>
      <c r="L144" s="33">
        <v>16.67511</v>
      </c>
      <c r="M144" s="33">
        <v>21.111981</v>
      </c>
      <c r="N144" s="34">
        <v>1.2704867529266699</v>
      </c>
      <c r="O144" s="34">
        <v>1.26844555541175</v>
      </c>
      <c r="P144" s="34">
        <v>1.27051288203642</v>
      </c>
      <c r="Q144" s="34">
        <v>1.2684576307938999</v>
      </c>
      <c r="R144" s="33">
        <v>20.586871364332801</v>
      </c>
      <c r="S144" s="33">
        <v>20.613695303307001</v>
      </c>
      <c r="T144" s="33">
        <v>20.587895291653201</v>
      </c>
      <c r="U144" s="15">
        <v>-1.6079183741858399E-3</v>
      </c>
      <c r="V144" s="15">
        <v>-3.05803139676116E-4</v>
      </c>
      <c r="W144" s="15">
        <v>-1.5581827033503499E-3</v>
      </c>
      <c r="X144" s="34">
        <v>1.2660774651561499</v>
      </c>
      <c r="Y144" s="34">
        <v>1.2671331732903199</v>
      </c>
      <c r="Z144" s="34">
        <v>1.2670891290723401</v>
      </c>
      <c r="AA144" s="34">
        <v>1.2670638465045401</v>
      </c>
      <c r="AB144" s="33">
        <v>21.129585049265099</v>
      </c>
      <c r="AC144" s="33">
        <v>21.130352073851199</v>
      </c>
      <c r="AD144" s="33">
        <v>21.129381573536499</v>
      </c>
      <c r="AE144" s="15">
        <v>8.3349420633718502E-4</v>
      </c>
      <c r="AF144" s="15">
        <v>8.6979452471681797E-4</v>
      </c>
      <c r="AG144" s="15">
        <v>8.2386426292482503E-4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3.9171731110519475E-3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8.8353666739659185E-4</v>
      </c>
      <c r="BE144" s="29">
        <f t="shared" si="42"/>
        <v>0</v>
      </c>
      <c r="BF144" s="29">
        <f t="shared" si="43"/>
        <v>4.8007097784485394E-3</v>
      </c>
      <c r="BH144" s="29"/>
    </row>
    <row r="145" spans="1:60" x14ac:dyDescent="0.25">
      <c r="A145" s="1">
        <v>46233</v>
      </c>
      <c r="B145" s="33">
        <v>16.239999999999998</v>
      </c>
      <c r="C145" s="33">
        <v>20.64</v>
      </c>
      <c r="D145" s="15">
        <v>6.15953207031981E-4</v>
      </c>
      <c r="E145" s="15">
        <v>9.6946202454816302E-4</v>
      </c>
      <c r="F145" s="33">
        <v>0</v>
      </c>
      <c r="G145" s="33">
        <v>0.44511000000000001</v>
      </c>
      <c r="H145" s="33">
        <v>0</v>
      </c>
      <c r="I145" s="33">
        <v>0.491981</v>
      </c>
      <c r="J145" s="33">
        <v>0.44511000000000001</v>
      </c>
      <c r="K145" s="33">
        <v>0.491981</v>
      </c>
      <c r="L145" s="33">
        <v>16.685109999999899</v>
      </c>
      <c r="M145" s="33">
        <v>21.131981</v>
      </c>
      <c r="N145" s="34">
        <v>1.2709359605911299</v>
      </c>
      <c r="O145" s="34">
        <v>1.26844555541175</v>
      </c>
      <c r="P145" s="34">
        <v>1.2708949866529899</v>
      </c>
      <c r="Q145" s="34">
        <v>1.2686955155145401</v>
      </c>
      <c r="R145" s="33">
        <v>20.599555819886898</v>
      </c>
      <c r="S145" s="33">
        <v>20.633129204271501</v>
      </c>
      <c r="T145" s="33">
        <v>20.599751924092899</v>
      </c>
      <c r="U145" s="15">
        <v>-1.9614271917020101E-3</v>
      </c>
      <c r="V145" s="15">
        <v>-3.3294280925042798E-4</v>
      </c>
      <c r="W145" s="15">
        <v>-1.9519074100985999E-3</v>
      </c>
      <c r="X145" s="34">
        <v>1.2665173319204901</v>
      </c>
      <c r="Y145" s="34">
        <v>1.2671331732903199</v>
      </c>
      <c r="Z145" s="34">
        <v>1.2669673880635499</v>
      </c>
      <c r="AA145" s="34">
        <v>1.2670487833436701</v>
      </c>
      <c r="AB145" s="33">
        <v>21.142256380997999</v>
      </c>
      <c r="AC145" s="33">
        <v>21.1415214983762</v>
      </c>
      <c r="AD145" s="33">
        <v>21.1410996559514</v>
      </c>
      <c r="AE145" s="15">
        <v>4.8612970154090698E-4</v>
      </c>
      <c r="AF145" s="15">
        <v>4.5137014793573602E-4</v>
      </c>
      <c r="AG145" s="15">
        <v>4.31416681792431E-4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3.9171731110519475E-3</v>
      </c>
      <c r="AT145" s="12"/>
      <c r="AU145">
        <f t="shared" si="30"/>
        <v>0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8.8353666739659185E-4</v>
      </c>
      <c r="BE145" s="29">
        <f t="shared" si="42"/>
        <v>0</v>
      </c>
      <c r="BF145" s="29">
        <f t="shared" si="43"/>
        <v>4.8007097784485394E-3</v>
      </c>
      <c r="BH145" s="29"/>
    </row>
    <row r="146" spans="1:60" x14ac:dyDescent="0.25">
      <c r="A146" s="1">
        <v>46234</v>
      </c>
      <c r="B146" s="33">
        <v>16.21</v>
      </c>
      <c r="C146" s="33">
        <v>20.62</v>
      </c>
      <c r="D146" s="15">
        <v>-1.84899898594697E-3</v>
      </c>
      <c r="E146" s="15">
        <v>-9.69462024548119E-4</v>
      </c>
      <c r="F146" s="33">
        <v>0</v>
      </c>
      <c r="G146" s="33">
        <v>0.44511000000000001</v>
      </c>
      <c r="H146" s="33">
        <v>0</v>
      </c>
      <c r="I146" s="33">
        <v>0.491981</v>
      </c>
      <c r="J146" s="33">
        <v>0.44511000000000001</v>
      </c>
      <c r="K146" s="33">
        <v>0.491981</v>
      </c>
      <c r="L146" s="33">
        <v>16.655110000000001</v>
      </c>
      <c r="M146" s="33">
        <v>21.111981</v>
      </c>
      <c r="N146" s="34">
        <v>1.2720542874768599</v>
      </c>
      <c r="O146" s="34">
        <v>1.26844555541175</v>
      </c>
      <c r="P146" s="34">
        <v>1.27145004865251</v>
      </c>
      <c r="Q146" s="34">
        <v>1.2690136473167799</v>
      </c>
      <c r="R146" s="33">
        <v>20.561502453224598</v>
      </c>
      <c r="S146" s="33">
        <v>20.601207733645001</v>
      </c>
      <c r="T146" s="33">
        <v>20.5655543064907</v>
      </c>
      <c r="U146" s="15">
        <v>-2.84096415310092E-3</v>
      </c>
      <c r="V146" s="15">
        <v>-9.1177666497517301E-4</v>
      </c>
      <c r="W146" s="15">
        <v>-2.6439233921773599E-3</v>
      </c>
      <c r="X146" s="34">
        <v>1.26759781232306</v>
      </c>
      <c r="Y146" s="34">
        <v>1.2671331732903199</v>
      </c>
      <c r="Z146" s="34">
        <v>1.26701343196605</v>
      </c>
      <c r="AA146" s="34">
        <v>1.2671115813670499</v>
      </c>
      <c r="AB146" s="33">
        <v>21.104242385799299</v>
      </c>
      <c r="AC146" s="33">
        <v>21.101481214611098</v>
      </c>
      <c r="AD146" s="33">
        <v>21.102836861955002</v>
      </c>
      <c r="AE146" s="15">
        <v>-3.6661802817259E-4</v>
      </c>
      <c r="AF146" s="15">
        <v>-4.9746147577205103E-4</v>
      </c>
      <c r="AG146" s="15">
        <v>-4.3321935998466999E-4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3.9171731110519475E-3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8.8353666739659185E-4</v>
      </c>
      <c r="BE146" s="29">
        <f t="shared" si="42"/>
        <v>0</v>
      </c>
      <c r="BF146" s="29">
        <f t="shared" si="43"/>
        <v>4.8007097784485394E-3</v>
      </c>
      <c r="BH146" s="29"/>
    </row>
    <row r="147" spans="1:60" x14ac:dyDescent="0.25">
      <c r="A147" s="1">
        <v>46237</v>
      </c>
      <c r="B147" s="33">
        <v>16.25</v>
      </c>
      <c r="C147" s="33">
        <v>20.57</v>
      </c>
      <c r="D147" s="15">
        <v>2.4645730281617701E-3</v>
      </c>
      <c r="E147" s="15">
        <v>-2.4277749239480701E-3</v>
      </c>
      <c r="F147" s="33">
        <v>0</v>
      </c>
      <c r="G147" s="33">
        <v>0.44511000000000001</v>
      </c>
      <c r="H147" s="33">
        <v>8.2046999999999995E-2</v>
      </c>
      <c r="I147" s="33">
        <v>0.57402799999999998</v>
      </c>
      <c r="J147" s="33">
        <v>0.44511000000000001</v>
      </c>
      <c r="K147" s="33">
        <v>0.57402799999999998</v>
      </c>
      <c r="L147" s="33">
        <v>16.69511</v>
      </c>
      <c r="M147" s="33">
        <v>21.144027999999999</v>
      </c>
      <c r="N147" s="34">
        <v>1.2658461538461501</v>
      </c>
      <c r="O147" s="34">
        <v>1.26844555541175</v>
      </c>
      <c r="P147" s="34">
        <v>1.27092956262348</v>
      </c>
      <c r="Q147" s="34">
        <v>1.26896043398532</v>
      </c>
      <c r="R147" s="33">
        <v>20.612240275441</v>
      </c>
      <c r="S147" s="33">
        <v>20.661063290603401</v>
      </c>
      <c r="T147" s="33">
        <v>20.621471768897699</v>
      </c>
      <c r="U147" s="15">
        <v>2.0513837990088399E-3</v>
      </c>
      <c r="V147" s="15">
        <v>4.4172248495987498E-3</v>
      </c>
      <c r="W147" s="15">
        <v>2.4991481720522402E-3</v>
      </c>
      <c r="X147" s="34">
        <v>1.2664803047119699</v>
      </c>
      <c r="Y147" s="34">
        <v>1.2671331732903199</v>
      </c>
      <c r="Z147" s="34">
        <v>1.26699773722096</v>
      </c>
      <c r="AA147" s="34">
        <v>1.2670589450322001</v>
      </c>
      <c r="AB147" s="33">
        <v>21.154927712730899</v>
      </c>
      <c r="AC147" s="33">
        <v>21.1529286181507</v>
      </c>
      <c r="AD147" s="33">
        <v>21.1545672331969</v>
      </c>
      <c r="AE147" s="15">
        <v>5.1536558236903499E-4</v>
      </c>
      <c r="AF147" s="15">
        <v>4.2086329579015799E-4</v>
      </c>
      <c r="AG147" s="15">
        <v>4.9832545770962604E-4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3.9171731110519475E-3</v>
      </c>
      <c r="AT147" s="12"/>
      <c r="AU147">
        <f t="shared" si="30"/>
        <v>0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8.8353666739659185E-4</v>
      </c>
      <c r="BE147" s="29">
        <f t="shared" si="42"/>
        <v>0</v>
      </c>
      <c r="BF147" s="29">
        <f t="shared" si="43"/>
        <v>4.8007097784485394E-3</v>
      </c>
      <c r="BH147" s="29"/>
    </row>
    <row r="148" spans="1:60" x14ac:dyDescent="0.25">
      <c r="A148" s="1">
        <v>46238</v>
      </c>
      <c r="B148" s="33">
        <v>16.309999999999999</v>
      </c>
      <c r="C148" s="33">
        <v>20.64</v>
      </c>
      <c r="D148" s="15">
        <v>3.6855078571759702E-3</v>
      </c>
      <c r="E148" s="15">
        <v>3.39723694849623E-3</v>
      </c>
      <c r="F148" s="33">
        <v>0</v>
      </c>
      <c r="G148" s="33">
        <v>0.44511000000000001</v>
      </c>
      <c r="H148" s="33">
        <v>0</v>
      </c>
      <c r="I148" s="33">
        <v>0.57402799999999998</v>
      </c>
      <c r="J148" s="33">
        <v>0.44511000000000001</v>
      </c>
      <c r="K148" s="33">
        <v>0.57402799999999998</v>
      </c>
      <c r="L148" s="33">
        <v>16.755109999999998</v>
      </c>
      <c r="M148" s="33">
        <v>21.214027999999999</v>
      </c>
      <c r="N148" s="34">
        <v>1.2654812998160601</v>
      </c>
      <c r="O148" s="34">
        <v>1.26844555541175</v>
      </c>
      <c r="P148" s="34">
        <v>1.2702609438366199</v>
      </c>
      <c r="Q148" s="34">
        <v>1.26893987794923</v>
      </c>
      <c r="R148" s="33">
        <v>20.6883470087657</v>
      </c>
      <c r="S148" s="33">
        <v>20.728861166388999</v>
      </c>
      <c r="T148" s="33">
        <v>20.6967446783006</v>
      </c>
      <c r="U148" s="15">
        <v>2.3396547076884999E-3</v>
      </c>
      <c r="V148" s="15">
        <v>4.2960478269057096E-3</v>
      </c>
      <c r="W148" s="15">
        <v>2.74548537316705E-3</v>
      </c>
      <c r="X148" s="34">
        <v>1.2661228723655</v>
      </c>
      <c r="Y148" s="34">
        <v>1.2671331732903199</v>
      </c>
      <c r="Z148" s="34">
        <v>1.26683842391067</v>
      </c>
      <c r="AA148" s="34">
        <v>1.2670380884210799</v>
      </c>
      <c r="AB148" s="33">
        <v>21.230955703128402</v>
      </c>
      <c r="AC148" s="33">
        <v>21.228686456888301</v>
      </c>
      <c r="AD148" s="33">
        <v>21.229712000498498</v>
      </c>
      <c r="AE148" s="15">
        <v>7.9763036990576099E-4</v>
      </c>
      <c r="AF148" s="15">
        <v>6.9074080952175097E-4</v>
      </c>
      <c r="AG148" s="15">
        <v>7.3904897222526098E-4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3.9171731110519475E-3</v>
      </c>
      <c r="AT148" s="12"/>
      <c r="AU148">
        <f t="shared" si="30"/>
        <v>0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8.8353666739659185E-4</v>
      </c>
      <c r="BE148" s="29">
        <f t="shared" si="42"/>
        <v>0</v>
      </c>
      <c r="BF148" s="29">
        <f t="shared" si="43"/>
        <v>4.8007097784485394E-3</v>
      </c>
      <c r="BH148" s="29"/>
    </row>
    <row r="149" spans="1:60" x14ac:dyDescent="0.25">
      <c r="A149" s="1">
        <v>46239</v>
      </c>
      <c r="B149" s="33">
        <v>16.32</v>
      </c>
      <c r="C149" s="33">
        <v>20.65</v>
      </c>
      <c r="D149" s="15">
        <v>6.1293290303864999E-4</v>
      </c>
      <c r="E149" s="15">
        <v>4.8437879367966701E-4</v>
      </c>
      <c r="F149" s="33">
        <v>0</v>
      </c>
      <c r="G149" s="33">
        <v>0.44511000000000001</v>
      </c>
      <c r="H149" s="33">
        <v>0</v>
      </c>
      <c r="I149" s="33">
        <v>0.57402799999999998</v>
      </c>
      <c r="J149" s="33">
        <v>0.44511000000000001</v>
      </c>
      <c r="K149" s="33">
        <v>0.57402799999999998</v>
      </c>
      <c r="L149" s="33">
        <v>16.76511</v>
      </c>
      <c r="M149" s="33">
        <v>21.224027999999901</v>
      </c>
      <c r="N149" s="34">
        <v>1.26531862745098</v>
      </c>
      <c r="O149" s="34">
        <v>1.26844555541175</v>
      </c>
      <c r="P149" s="34">
        <v>1.2695256875194101</v>
      </c>
      <c r="Q149" s="34">
        <v>1.2688561461252099</v>
      </c>
      <c r="R149" s="33">
        <v>20.7010314643199</v>
      </c>
      <c r="S149" s="33">
        <v>20.730658603413598</v>
      </c>
      <c r="T149" s="33">
        <v>20.7090988081315</v>
      </c>
      <c r="U149" s="15">
        <v>2.4682088170473598E-3</v>
      </c>
      <c r="V149" s="15">
        <v>3.8983770817361098E-3</v>
      </c>
      <c r="W149" s="15">
        <v>2.85784023624708E-3</v>
      </c>
      <c r="X149" s="34">
        <v>1.2659641362329199</v>
      </c>
      <c r="Y149" s="34">
        <v>1.2671331732903199</v>
      </c>
      <c r="Z149" s="34">
        <v>1.26661501466879</v>
      </c>
      <c r="AA149" s="34">
        <v>1.2669554466670701</v>
      </c>
      <c r="AB149" s="33">
        <v>21.243627034861301</v>
      </c>
      <c r="AC149" s="33">
        <v>21.2386855290891</v>
      </c>
      <c r="AD149" s="33">
        <v>21.242032926569198</v>
      </c>
      <c r="AE149" s="15">
        <v>9.2301005255291096E-4</v>
      </c>
      <c r="AF149" s="15">
        <v>6.9037178517867496E-4</v>
      </c>
      <c r="AG149" s="15">
        <v>8.4796787153268601E-4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3.9171731110519475E-3</v>
      </c>
      <c r="AT149" s="12"/>
      <c r="AU149">
        <f t="shared" si="30"/>
        <v>0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8.8353666739659185E-4</v>
      </c>
      <c r="BE149" s="29">
        <f t="shared" si="42"/>
        <v>0</v>
      </c>
      <c r="BF149" s="29">
        <f t="shared" si="43"/>
        <v>4.8007097784485394E-3</v>
      </c>
      <c r="BH149" s="29"/>
    </row>
    <row r="150" spans="1:60" x14ac:dyDescent="0.25">
      <c r="A150" s="1">
        <v>46240</v>
      </c>
      <c r="B150" s="33">
        <v>16.27</v>
      </c>
      <c r="C150" s="33">
        <v>20.6</v>
      </c>
      <c r="D150" s="15">
        <v>-3.0684283050145E-3</v>
      </c>
      <c r="E150" s="15">
        <v>-2.42424361150628E-3</v>
      </c>
      <c r="F150" s="33">
        <v>0</v>
      </c>
      <c r="G150" s="33">
        <v>0.44511000000000001</v>
      </c>
      <c r="H150" s="33">
        <v>0</v>
      </c>
      <c r="I150" s="33">
        <v>0.57402799999999998</v>
      </c>
      <c r="J150" s="33">
        <v>0.44511000000000001</v>
      </c>
      <c r="K150" s="33">
        <v>0.57402799999999998</v>
      </c>
      <c r="L150" s="33">
        <v>16.715109999999999</v>
      </c>
      <c r="M150" s="33">
        <v>21.174028</v>
      </c>
      <c r="N150" s="34">
        <v>1.26613398893669</v>
      </c>
      <c r="O150" s="34">
        <v>1.26844555541175</v>
      </c>
      <c r="P150" s="34">
        <v>1.2690068243611601</v>
      </c>
      <c r="Q150" s="34">
        <v>1.26883766219796</v>
      </c>
      <c r="R150" s="33">
        <v>20.637609186549302</v>
      </c>
      <c r="S150" s="33">
        <v>20.6551829359408</v>
      </c>
      <c r="T150" s="33">
        <v>20.644289497457201</v>
      </c>
      <c r="U150" s="15">
        <v>1.82402412353918E-3</v>
      </c>
      <c r="V150" s="15">
        <v>2.67520175281615E-3</v>
      </c>
      <c r="W150" s="15">
        <v>2.1476677145145099E-3</v>
      </c>
      <c r="X150" s="34">
        <v>1.26675971620886</v>
      </c>
      <c r="Y150" s="34">
        <v>1.2671331732903199</v>
      </c>
      <c r="Z150" s="34">
        <v>1.26660321700574</v>
      </c>
      <c r="AA150" s="34">
        <v>1.26693656381261</v>
      </c>
      <c r="AB150" s="33">
        <v>21.180270376196798</v>
      </c>
      <c r="AC150" s="33">
        <v>21.171609297840501</v>
      </c>
      <c r="AD150" s="33">
        <v>21.177299656139301</v>
      </c>
      <c r="AE150" s="15">
        <v>2.9476943220976902E-4</v>
      </c>
      <c r="AF150" s="15">
        <v>-1.1423619132691701E-4</v>
      </c>
      <c r="AG150" s="15">
        <v>1.54500759570831E-4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3.9171731110519475E-3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8.8353666739659185E-4</v>
      </c>
      <c r="BE150" s="29">
        <f t="shared" si="42"/>
        <v>0</v>
      </c>
      <c r="BF150" s="29">
        <f t="shared" si="43"/>
        <v>4.8007097784485394E-3</v>
      </c>
      <c r="BH150" s="29"/>
    </row>
    <row r="151" spans="1:60" x14ac:dyDescent="0.25">
      <c r="A151" s="1">
        <v>46241</v>
      </c>
      <c r="B151" s="33">
        <v>16.3</v>
      </c>
      <c r="C151" s="33">
        <v>20.65</v>
      </c>
      <c r="D151" s="15">
        <v>1.8421865817701999E-3</v>
      </c>
      <c r="E151" s="15">
        <v>2.4242436115062501E-3</v>
      </c>
      <c r="F151" s="33">
        <v>0</v>
      </c>
      <c r="G151" s="33">
        <v>0.44511000000000001</v>
      </c>
      <c r="H151" s="33">
        <v>0</v>
      </c>
      <c r="I151" s="33">
        <v>0.57402799999999998</v>
      </c>
      <c r="J151" s="33">
        <v>0.44511000000000001</v>
      </c>
      <c r="K151" s="33">
        <v>0.57402799999999998</v>
      </c>
      <c r="L151" s="33">
        <v>16.74511</v>
      </c>
      <c r="M151" s="33">
        <v>21.224027999999901</v>
      </c>
      <c r="N151" s="34">
        <v>1.26687116564417</v>
      </c>
      <c r="O151" s="34">
        <v>1.26844555541175</v>
      </c>
      <c r="P151" s="34">
        <v>1.2685951754934801</v>
      </c>
      <c r="Q151" s="34">
        <v>1.26890092672252</v>
      </c>
      <c r="R151" s="33">
        <v>20.675662553211598</v>
      </c>
      <c r="S151" s="33">
        <v>20.684811237087001</v>
      </c>
      <c r="T151" s="33">
        <v>20.682053893826801</v>
      </c>
      <c r="U151" s="15">
        <v>1.2419670938032101E-3</v>
      </c>
      <c r="V151" s="15">
        <v>1.68435487064099E-3</v>
      </c>
      <c r="W151" s="15">
        <v>1.55104318480041E-3</v>
      </c>
      <c r="X151" s="34">
        <v>1.2674761766270799</v>
      </c>
      <c r="Y151" s="34">
        <v>1.2671331732903199</v>
      </c>
      <c r="Z151" s="34">
        <v>1.2666951321828599</v>
      </c>
      <c r="AA151" s="34">
        <v>1.2669973352661501</v>
      </c>
      <c r="AB151" s="33">
        <v>21.218284371395502</v>
      </c>
      <c r="AC151" s="33">
        <v>21.209410195115101</v>
      </c>
      <c r="AD151" s="33">
        <v>21.214992124064199</v>
      </c>
      <c r="AE151" s="15">
        <v>-2.7065578280878401E-4</v>
      </c>
      <c r="AF151" s="15">
        <v>-6.8897577405233697E-4</v>
      </c>
      <c r="AG151" s="15">
        <v>-4.2582868529167698E-4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3.9171731110519475E-3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8.8353666739659185E-4</v>
      </c>
      <c r="BE151" s="29">
        <f t="shared" ref="BE151:BE176" si="62">AQ151+BB151</f>
        <v>0</v>
      </c>
      <c r="BF151" s="29">
        <f t="shared" ref="BF151:BF176" si="63">BF150+BE151</f>
        <v>4.8007097784485394E-3</v>
      </c>
      <c r="BH151" s="29"/>
    </row>
    <row r="152" spans="1:60" x14ac:dyDescent="0.25">
      <c r="A152" s="1">
        <v>46244</v>
      </c>
      <c r="B152" s="33">
        <v>16.25</v>
      </c>
      <c r="C152" s="33">
        <v>20.59</v>
      </c>
      <c r="D152" s="15">
        <v>-3.0721990369702501E-3</v>
      </c>
      <c r="E152" s="15">
        <v>-2.9097983673436602E-3</v>
      </c>
      <c r="F152" s="33">
        <v>0</v>
      </c>
      <c r="G152" s="33">
        <v>0.44511000000000001</v>
      </c>
      <c r="H152" s="33">
        <v>0</v>
      </c>
      <c r="I152" s="33">
        <v>0.57402799999999998</v>
      </c>
      <c r="J152" s="33">
        <v>0.44511000000000001</v>
      </c>
      <c r="K152" s="33">
        <v>0.57402799999999998</v>
      </c>
      <c r="L152" s="33">
        <v>16.69511</v>
      </c>
      <c r="M152" s="33">
        <v>21.164027999999998</v>
      </c>
      <c r="N152" s="34">
        <v>1.2670769230769201</v>
      </c>
      <c r="O152" s="34">
        <v>1.26844555541175</v>
      </c>
      <c r="P152" s="34">
        <v>1.26809743905348</v>
      </c>
      <c r="Q152" s="34">
        <v>1.26888661061453</v>
      </c>
      <c r="R152" s="33">
        <v>20.612240275441</v>
      </c>
      <c r="S152" s="33">
        <v>20.6146716017691</v>
      </c>
      <c r="T152" s="33">
        <v>20.619640059240901</v>
      </c>
      <c r="U152" s="15">
        <v>1.0795664241766601E-3</v>
      </c>
      <c r="V152" s="15">
        <v>1.1975149301465099E-3</v>
      </c>
      <c r="W152" s="15">
        <v>1.43850149186112E-3</v>
      </c>
      <c r="X152" s="34">
        <v>1.2676782602809999</v>
      </c>
      <c r="Y152" s="34">
        <v>1.2671331732903199</v>
      </c>
      <c r="Z152" s="34">
        <v>1.2667031769786501</v>
      </c>
      <c r="AA152" s="34">
        <v>1.2669822105578601</v>
      </c>
      <c r="AB152" s="33">
        <v>21.154927712730899</v>
      </c>
      <c r="AC152" s="33">
        <v>21.147614568257399</v>
      </c>
      <c r="AD152" s="33">
        <v>21.152659881975399</v>
      </c>
      <c r="AE152" s="15">
        <v>-4.30080906109768E-4</v>
      </c>
      <c r="AF152" s="15">
        <v>-7.7583528171361999E-4</v>
      </c>
      <c r="AG152" s="15">
        <v>-5.3728771636236895E-4</v>
      </c>
      <c r="AI152" s="12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3.9171731110519475E-3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8.8353666739659185E-4</v>
      </c>
      <c r="BE152" s="29">
        <f t="shared" si="62"/>
        <v>0</v>
      </c>
      <c r="BF152" s="29">
        <f t="shared" si="63"/>
        <v>4.8007097784485394E-3</v>
      </c>
      <c r="BH152" s="29"/>
    </row>
    <row r="153" spans="1:60" x14ac:dyDescent="0.25">
      <c r="A153" s="1">
        <v>46245</v>
      </c>
      <c r="B153" s="33">
        <v>16.27</v>
      </c>
      <c r="C153" s="33">
        <v>20.6</v>
      </c>
      <c r="D153" s="15">
        <v>1.23001245519985E-3</v>
      </c>
      <c r="E153" s="15">
        <v>4.8555475583746002E-4</v>
      </c>
      <c r="F153" s="33">
        <v>0</v>
      </c>
      <c r="G153" s="33">
        <v>0.44511000000000001</v>
      </c>
      <c r="H153" s="33">
        <v>0</v>
      </c>
      <c r="I153" s="33">
        <v>0.57402799999999998</v>
      </c>
      <c r="J153" s="33">
        <v>0.44511000000000001</v>
      </c>
      <c r="K153" s="33">
        <v>0.57402799999999998</v>
      </c>
      <c r="L153" s="33">
        <v>16.715109999999999</v>
      </c>
      <c r="M153" s="33">
        <v>21.174028</v>
      </c>
      <c r="N153" s="34">
        <v>1.26613398893669</v>
      </c>
      <c r="O153" s="34">
        <v>1.26844555541175</v>
      </c>
      <c r="P153" s="34">
        <v>1.26763391487023</v>
      </c>
      <c r="Q153" s="34">
        <v>1.2688661041790099</v>
      </c>
      <c r="R153" s="33">
        <v>20.637609186549302</v>
      </c>
      <c r="S153" s="33">
        <v>20.6319453334002</v>
      </c>
      <c r="T153" s="33">
        <v>20.6447851546985</v>
      </c>
      <c r="U153" s="15">
        <v>1.82402412353918E-3</v>
      </c>
      <c r="V153" s="15">
        <v>1.54954317745191E-3</v>
      </c>
      <c r="W153" s="15">
        <v>2.17167683777619E-3</v>
      </c>
      <c r="X153" s="34">
        <v>1.26675971620886</v>
      </c>
      <c r="Y153" s="34">
        <v>1.2671331732903199</v>
      </c>
      <c r="Z153" s="34">
        <v>1.26674337920359</v>
      </c>
      <c r="AA153" s="34">
        <v>1.2669612753332</v>
      </c>
      <c r="AB153" s="33">
        <v>21.180270376196798</v>
      </c>
      <c r="AC153" s="33">
        <v>21.173082940547701</v>
      </c>
      <c r="AD153" s="33">
        <v>21.177747017517898</v>
      </c>
      <c r="AE153" s="15">
        <v>2.9476943220976902E-4</v>
      </c>
      <c r="AF153" s="15">
        <v>-4.4633951712176397E-5</v>
      </c>
      <c r="AG153" s="15">
        <v>1.7562510784760899E-4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3.9171731110519475E-3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8.8353666739659185E-4</v>
      </c>
      <c r="BE153" s="29">
        <f t="shared" si="62"/>
        <v>0</v>
      </c>
      <c r="BF153" s="29">
        <f t="shared" si="63"/>
        <v>4.8007097784485394E-3</v>
      </c>
      <c r="BH153" s="29"/>
    </row>
    <row r="154" spans="1:60" x14ac:dyDescent="0.25">
      <c r="A154" s="1">
        <v>46246</v>
      </c>
      <c r="B154" s="33">
        <v>16.29</v>
      </c>
      <c r="C154" s="33">
        <v>20.63</v>
      </c>
      <c r="D154" s="15">
        <v>1.22850138300732E-3</v>
      </c>
      <c r="E154" s="15">
        <v>1.4552512876249001E-3</v>
      </c>
      <c r="F154" s="33">
        <v>0</v>
      </c>
      <c r="G154" s="33">
        <v>0.44511000000000001</v>
      </c>
      <c r="H154" s="33">
        <v>0</v>
      </c>
      <c r="I154" s="33">
        <v>0.57402799999999998</v>
      </c>
      <c r="J154" s="33">
        <v>0.44511000000000001</v>
      </c>
      <c r="K154" s="33">
        <v>0.57402799999999998</v>
      </c>
      <c r="L154" s="33">
        <v>16.735109999999999</v>
      </c>
      <c r="M154" s="33">
        <v>21.204027999999902</v>
      </c>
      <c r="N154" s="34">
        <v>1.2664211172498401</v>
      </c>
      <c r="O154" s="34">
        <v>1.26844555541175</v>
      </c>
      <c r="P154" s="34">
        <v>1.26722735130255</v>
      </c>
      <c r="Q154" s="34">
        <v>1.26887011666948</v>
      </c>
      <c r="R154" s="33">
        <v>20.662978097657501</v>
      </c>
      <c r="S154" s="33">
        <v>20.649756473236099</v>
      </c>
      <c r="T154" s="33">
        <v>20.669828837076199</v>
      </c>
      <c r="U154" s="15">
        <v>1.5972742189214401E-3</v>
      </c>
      <c r="V154" s="15">
        <v>9.5719919071761699E-4</v>
      </c>
      <c r="W154" s="15">
        <v>1.9287658348769599E-3</v>
      </c>
      <c r="X154" s="34">
        <v>1.26703845986073</v>
      </c>
      <c r="Y154" s="34">
        <v>1.2671331732903199</v>
      </c>
      <c r="Z154" s="34">
        <v>1.26683947867405</v>
      </c>
      <c r="AA154" s="34">
        <v>1.2669643038731899</v>
      </c>
      <c r="AB154" s="33">
        <v>21.205613039662602</v>
      </c>
      <c r="AC154" s="33">
        <v>21.199089792743798</v>
      </c>
      <c r="AD154" s="33">
        <v>21.202736308441398</v>
      </c>
      <c r="AE154" s="15">
        <v>7.4749025197432694E-5</v>
      </c>
      <c r="AF154" s="15">
        <v>-2.32917178523768E-4</v>
      </c>
      <c r="AG154" s="15">
        <v>-6.0919128352291703E-5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3.9171731110519475E-3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8.8353666739659185E-4</v>
      </c>
      <c r="BE154" s="29">
        <f t="shared" si="62"/>
        <v>0</v>
      </c>
      <c r="BF154" s="29">
        <f t="shared" si="63"/>
        <v>4.8007097784485394E-3</v>
      </c>
      <c r="BH154" s="29"/>
    </row>
    <row r="155" spans="1:60" x14ac:dyDescent="0.25">
      <c r="A155" s="1">
        <v>46247</v>
      </c>
      <c r="B155" s="33">
        <v>16.32</v>
      </c>
      <c r="C155" s="33">
        <v>20.67</v>
      </c>
      <c r="D155" s="15">
        <v>1.8399269220072899E-3</v>
      </c>
      <c r="E155" s="15">
        <v>1.9370466105165501E-3</v>
      </c>
      <c r="F155" s="33">
        <v>0</v>
      </c>
      <c r="G155" s="33">
        <v>0.44511000000000001</v>
      </c>
      <c r="H155" s="33">
        <v>0</v>
      </c>
      <c r="I155" s="33">
        <v>0.57402799999999998</v>
      </c>
      <c r="J155" s="33">
        <v>0.44511000000000001</v>
      </c>
      <c r="K155" s="33">
        <v>0.57402799999999998</v>
      </c>
      <c r="L155" s="33">
        <v>16.76511</v>
      </c>
      <c r="M155" s="33">
        <v>21.244028</v>
      </c>
      <c r="N155" s="34">
        <v>1.26654411764705</v>
      </c>
      <c r="O155" s="34">
        <v>1.26844555541175</v>
      </c>
      <c r="P155" s="34">
        <v>1.26678816700814</v>
      </c>
      <c r="Q155" s="34">
        <v>1.2688415768305701</v>
      </c>
      <c r="R155" s="33">
        <v>20.7010314643199</v>
      </c>
      <c r="S155" s="33">
        <v>20.681150373257601</v>
      </c>
      <c r="T155" s="33">
        <v>20.707960304046001</v>
      </c>
      <c r="U155" s="15">
        <v>1.5001545304121401E-3</v>
      </c>
      <c r="V155" s="15">
        <v>5.3930173295117702E-4</v>
      </c>
      <c r="W155" s="15">
        <v>1.83480840605243E-3</v>
      </c>
      <c r="X155" s="34">
        <v>1.2671570899325999</v>
      </c>
      <c r="Y155" s="34">
        <v>1.2671331732903199</v>
      </c>
      <c r="Z155" s="34">
        <v>1.26690345447526</v>
      </c>
      <c r="AA155" s="34">
        <v>1.2669354212694</v>
      </c>
      <c r="AB155" s="33">
        <v>21.243627034861301</v>
      </c>
      <c r="AC155" s="33">
        <v>21.238703212313101</v>
      </c>
      <c r="AD155" s="33">
        <v>21.240795920507601</v>
      </c>
      <c r="AE155" s="15">
        <v>-1.8874430154665399E-5</v>
      </c>
      <c r="AF155" s="15">
        <v>-2.5068010284529601E-4</v>
      </c>
      <c r="AG155" s="15">
        <v>-1.5215218990581299E-4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3.9171731110519475E-3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8.8353666739659185E-4</v>
      </c>
      <c r="BE155" s="29">
        <f t="shared" si="62"/>
        <v>0</v>
      </c>
      <c r="BF155" s="29">
        <f t="shared" si="63"/>
        <v>4.8007097784485394E-3</v>
      </c>
      <c r="BH155" s="29"/>
    </row>
    <row r="156" spans="1:60" x14ac:dyDescent="0.25">
      <c r="A156" s="1">
        <v>46248</v>
      </c>
      <c r="B156" s="33">
        <v>16.3</v>
      </c>
      <c r="C156" s="33">
        <v>20.64</v>
      </c>
      <c r="D156" s="15">
        <v>-1.2262417232442901E-3</v>
      </c>
      <c r="E156" s="15">
        <v>-1.4524330803149801E-3</v>
      </c>
      <c r="F156" s="33">
        <v>0</v>
      </c>
      <c r="G156" s="33">
        <v>0.44511000000000001</v>
      </c>
      <c r="H156" s="33">
        <v>0</v>
      </c>
      <c r="I156" s="33">
        <v>0.57402799999999998</v>
      </c>
      <c r="J156" s="33">
        <v>0.44511000000000001</v>
      </c>
      <c r="K156" s="33">
        <v>0.57402799999999998</v>
      </c>
      <c r="L156" s="33">
        <v>16.74511</v>
      </c>
      <c r="M156" s="33">
        <v>21.214027999999999</v>
      </c>
      <c r="N156" s="34">
        <v>1.26625766871165</v>
      </c>
      <c r="O156" s="34">
        <v>1.26844555541175</v>
      </c>
      <c r="P156" s="34">
        <v>1.2662085051316201</v>
      </c>
      <c r="Q156" s="34">
        <v>1.2688292768920699</v>
      </c>
      <c r="R156" s="33">
        <v>20.675662553211598</v>
      </c>
      <c r="S156" s="33">
        <v>20.648647122232699</v>
      </c>
      <c r="T156" s="33">
        <v>20.682117702338299</v>
      </c>
      <c r="U156" s="15">
        <v>1.72634588748277E-3</v>
      </c>
      <c r="V156" s="15">
        <v>4.1886198564884902E-4</v>
      </c>
      <c r="W156" s="15">
        <v>2.03850718526813E-3</v>
      </c>
      <c r="X156" s="34">
        <v>1.2668789873580999</v>
      </c>
      <c r="Y156" s="34">
        <v>1.2671331732903199</v>
      </c>
      <c r="Z156" s="34">
        <v>1.26683157197876</v>
      </c>
      <c r="AA156" s="34">
        <v>1.2669225019724</v>
      </c>
      <c r="AB156" s="33">
        <v>21.218284371395502</v>
      </c>
      <c r="AC156" s="33">
        <v>21.214437704568201</v>
      </c>
      <c r="AD156" s="33">
        <v>21.214972992052498</v>
      </c>
      <c r="AE156" s="15">
        <v>2.00619347469735E-4</v>
      </c>
      <c r="AF156" s="15">
        <v>1.93127213771361E-5</v>
      </c>
      <c r="AG156" s="15">
        <v>4.4544628939989999E-5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3.9171731110519475E-3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8.8353666739659185E-4</v>
      </c>
      <c r="BE156" s="29">
        <f t="shared" si="62"/>
        <v>0</v>
      </c>
      <c r="BF156" s="29">
        <f t="shared" si="63"/>
        <v>4.8007097784485394E-3</v>
      </c>
      <c r="BH156" s="29"/>
    </row>
    <row r="157" spans="1:60" x14ac:dyDescent="0.25">
      <c r="A157" s="1">
        <v>46251</v>
      </c>
      <c r="B157" s="33">
        <v>16.29</v>
      </c>
      <c r="C157" s="33">
        <v>20.62</v>
      </c>
      <c r="D157" s="15">
        <v>-6.1368519876299596E-4</v>
      </c>
      <c r="E157" s="15">
        <v>-9.69462024548119E-4</v>
      </c>
      <c r="F157" s="33">
        <v>0</v>
      </c>
      <c r="G157" s="33">
        <v>0.44511000000000001</v>
      </c>
      <c r="H157" s="33">
        <v>0</v>
      </c>
      <c r="I157" s="33">
        <v>0.57402799999999998</v>
      </c>
      <c r="J157" s="33">
        <v>0.44511000000000001</v>
      </c>
      <c r="K157" s="33">
        <v>0.57402799999999998</v>
      </c>
      <c r="L157" s="33">
        <v>16.735109999999999</v>
      </c>
      <c r="M157" s="33">
        <v>21.194027999999999</v>
      </c>
      <c r="N157" s="34">
        <v>1.2658072437077901</v>
      </c>
      <c r="O157" s="34">
        <v>1.26844555541175</v>
      </c>
      <c r="P157" s="34">
        <v>1.2662046141177801</v>
      </c>
      <c r="Q157" s="34">
        <v>1.2685670883706299</v>
      </c>
      <c r="R157" s="33">
        <v>20.662978097657501</v>
      </c>
      <c r="S157" s="33">
        <v>20.6265365485941</v>
      </c>
      <c r="T157" s="33">
        <v>20.669228920571801</v>
      </c>
      <c r="U157" s="15">
        <v>2.0821227132679599E-3</v>
      </c>
      <c r="V157" s="15">
        <v>3.1695018277090597E-4</v>
      </c>
      <c r="W157" s="15">
        <v>2.38459013094873E-3</v>
      </c>
      <c r="X157" s="34">
        <v>1.2664409137436199</v>
      </c>
      <c r="Y157" s="34">
        <v>1.2671331732903199</v>
      </c>
      <c r="Z157" s="34">
        <v>1.2668276328819299</v>
      </c>
      <c r="AA157" s="34">
        <v>1.2669126850514401</v>
      </c>
      <c r="AB157" s="33">
        <v>21.205613039662602</v>
      </c>
      <c r="AC157" s="33">
        <v>21.2005657085375</v>
      </c>
      <c r="AD157" s="33">
        <v>21.202087431983401</v>
      </c>
      <c r="AE157" s="15">
        <v>5.4646877505724401E-4</v>
      </c>
      <c r="AF157" s="15">
        <v>3.0842180653329601E-4</v>
      </c>
      <c r="AG157" s="15">
        <v>3.8019672314032601E-4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3.9171731110519475E-3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8.8353666739659185E-4</v>
      </c>
      <c r="BE157" s="29">
        <f t="shared" si="62"/>
        <v>0</v>
      </c>
      <c r="BF157" s="29">
        <f t="shared" si="63"/>
        <v>4.8007097784485394E-3</v>
      </c>
      <c r="BH157" s="29"/>
    </row>
    <row r="158" spans="1:60" x14ac:dyDescent="0.25">
      <c r="A158" s="1">
        <v>46252</v>
      </c>
      <c r="B158" s="33">
        <v>16.28</v>
      </c>
      <c r="C158" s="33">
        <v>20.63</v>
      </c>
      <c r="D158" s="15">
        <v>-6.1406203955940899E-4</v>
      </c>
      <c r="E158" s="15">
        <v>4.848484943465E-4</v>
      </c>
      <c r="F158" s="33">
        <v>0</v>
      </c>
      <c r="G158" s="33">
        <v>0.44511000000000001</v>
      </c>
      <c r="H158" s="33">
        <v>0</v>
      </c>
      <c r="I158" s="33">
        <v>0.57402799999999998</v>
      </c>
      <c r="J158" s="33">
        <v>0.44511000000000001</v>
      </c>
      <c r="K158" s="33">
        <v>0.57402799999999998</v>
      </c>
      <c r="L158" s="33">
        <v>16.725110000000001</v>
      </c>
      <c r="M158" s="33">
        <v>21.204027999999902</v>
      </c>
      <c r="N158" s="34">
        <v>1.26719901719901</v>
      </c>
      <c r="O158" s="34">
        <v>1.26844555541175</v>
      </c>
      <c r="P158" s="34">
        <v>1.2663763858560799</v>
      </c>
      <c r="Q158" s="34">
        <v>1.26831866484635</v>
      </c>
      <c r="R158" s="33">
        <v>20.650293642103399</v>
      </c>
      <c r="S158" s="33">
        <v>20.6138111178375</v>
      </c>
      <c r="T158" s="33">
        <v>20.652272198673899</v>
      </c>
      <c r="U158" s="15">
        <v>9.8321217936196193E-4</v>
      </c>
      <c r="V158" s="15">
        <v>-7.8503332039580698E-4</v>
      </c>
      <c r="W158" s="15">
        <v>1.0790201046946099E-3</v>
      </c>
      <c r="X158" s="34">
        <v>1.2677960264536301</v>
      </c>
      <c r="Y158" s="34">
        <v>1.2671331732903199</v>
      </c>
      <c r="Z158" s="34">
        <v>1.2669949482907401</v>
      </c>
      <c r="AA158" s="34">
        <v>1.26691668610071</v>
      </c>
      <c r="AB158" s="33">
        <v>21.192941707929698</v>
      </c>
      <c r="AC158" s="33">
        <v>21.187831510989898</v>
      </c>
      <c r="AD158" s="33">
        <v>21.189254017880799</v>
      </c>
      <c r="AE158" s="15">
        <v>-5.2297569375092201E-4</v>
      </c>
      <c r="AF158" s="15">
        <v>-7.6413207559165701E-4</v>
      </c>
      <c r="AG158" s="15">
        <v>-6.9699641141574497E-4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3.9171731110519475E-3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8.8353666739659185E-4</v>
      </c>
      <c r="BE158" s="29">
        <f t="shared" si="62"/>
        <v>0</v>
      </c>
      <c r="BF158" s="29">
        <f t="shared" si="63"/>
        <v>4.8007097784485394E-3</v>
      </c>
      <c r="BH158" s="29"/>
    </row>
    <row r="159" spans="1:60" x14ac:dyDescent="0.25">
      <c r="A159" s="1">
        <v>46253</v>
      </c>
      <c r="B159" s="33">
        <v>16.3</v>
      </c>
      <c r="C159" s="33">
        <v>20.66</v>
      </c>
      <c r="D159" s="15">
        <v>1.2277472383223299E-3</v>
      </c>
      <c r="E159" s="15">
        <v>1.4531366083321701E-3</v>
      </c>
      <c r="F159" s="33">
        <v>0</v>
      </c>
      <c r="G159" s="33">
        <v>0.44511000000000001</v>
      </c>
      <c r="H159" s="33">
        <v>0</v>
      </c>
      <c r="I159" s="33">
        <v>0.57402799999999998</v>
      </c>
      <c r="J159" s="33">
        <v>0.44511000000000001</v>
      </c>
      <c r="K159" s="33">
        <v>0.57402799999999998</v>
      </c>
      <c r="L159" s="33">
        <v>16.74511</v>
      </c>
      <c r="M159" s="33">
        <v>21.234027999999999</v>
      </c>
      <c r="N159" s="34">
        <v>1.26748466257668</v>
      </c>
      <c r="O159" s="34">
        <v>1.26844555541175</v>
      </c>
      <c r="P159" s="34">
        <v>1.2665929893686501</v>
      </c>
      <c r="Q159" s="34">
        <v>1.26805933844403</v>
      </c>
      <c r="R159" s="33">
        <v>20.675662553211598</v>
      </c>
      <c r="S159" s="33">
        <v>20.641935089454101</v>
      </c>
      <c r="T159" s="33">
        <v>20.673594236995498</v>
      </c>
      <c r="U159" s="15">
        <v>7.5782280935239197E-4</v>
      </c>
      <c r="V159" s="15">
        <v>-8.7477313877375098E-4</v>
      </c>
      <c r="W159" s="15">
        <v>6.5778153275311004E-4</v>
      </c>
      <c r="X159" s="34">
        <v>1.2680733658960699</v>
      </c>
      <c r="Y159" s="34">
        <v>1.2671331732903199</v>
      </c>
      <c r="Z159" s="34">
        <v>1.26720587125705</v>
      </c>
      <c r="AA159" s="34">
        <v>1.2669104429629201</v>
      </c>
      <c r="AB159" s="33">
        <v>21.218284371395502</v>
      </c>
      <c r="AC159" s="33">
        <v>21.215969778572799</v>
      </c>
      <c r="AD159" s="33">
        <v>21.214659269591799</v>
      </c>
      <c r="AE159" s="15">
        <v>-7.4170891745581899E-4</v>
      </c>
      <c r="AF159" s="15">
        <v>-8.5079969194152096E-4</v>
      </c>
      <c r="AG159" s="15">
        <v>-9.1257153038821299E-4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3.9171731110519475E-3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8.8353666739659185E-4</v>
      </c>
      <c r="BE159" s="29">
        <f t="shared" si="62"/>
        <v>0</v>
      </c>
      <c r="BF159" s="29">
        <f t="shared" si="63"/>
        <v>4.8007097784485394E-3</v>
      </c>
      <c r="BH159" s="29"/>
    </row>
    <row r="160" spans="1:60" x14ac:dyDescent="0.25">
      <c r="A160" s="1">
        <v>46254</v>
      </c>
      <c r="B160" s="33">
        <v>16.27</v>
      </c>
      <c r="C160" s="33">
        <v>20.61</v>
      </c>
      <c r="D160" s="15">
        <v>-1.8421865817703201E-3</v>
      </c>
      <c r="E160" s="15">
        <v>-2.4230687891248501E-3</v>
      </c>
      <c r="F160" s="33">
        <v>0</v>
      </c>
      <c r="G160" s="33">
        <v>0.44511000000000001</v>
      </c>
      <c r="H160" s="33">
        <v>0</v>
      </c>
      <c r="I160" s="33">
        <v>0.57402799999999998</v>
      </c>
      <c r="J160" s="33">
        <v>0.44511000000000001</v>
      </c>
      <c r="K160" s="33">
        <v>0.57402799999999998</v>
      </c>
      <c r="L160" s="33">
        <v>16.715109999999999</v>
      </c>
      <c r="M160" s="33">
        <v>21.184027999999898</v>
      </c>
      <c r="N160" s="34">
        <v>1.26674861708666</v>
      </c>
      <c r="O160" s="34">
        <v>1.26844555541175</v>
      </c>
      <c r="P160" s="34">
        <v>1.26665445218365</v>
      </c>
      <c r="Q160" s="34">
        <v>1.2678306382724001</v>
      </c>
      <c r="R160" s="33">
        <v>20.637609186549302</v>
      </c>
      <c r="S160" s="33">
        <v>20.607467937028002</v>
      </c>
      <c r="T160" s="33">
        <v>20.631325436484399</v>
      </c>
      <c r="U160" s="15">
        <v>1.3387050167069699E-3</v>
      </c>
      <c r="V160" s="15">
        <v>-1.2286358681947899E-4</v>
      </c>
      <c r="W160" s="15">
        <v>1.03417812882549E-3</v>
      </c>
      <c r="X160" s="34">
        <v>1.26735797730317</v>
      </c>
      <c r="Y160" s="34">
        <v>1.2671331732903199</v>
      </c>
      <c r="Z160" s="34">
        <v>1.26726569736649</v>
      </c>
      <c r="AA160" s="34">
        <v>1.2669344571861101</v>
      </c>
      <c r="AB160" s="33">
        <v>21.180270376196798</v>
      </c>
      <c r="AC160" s="33">
        <v>21.181485530707501</v>
      </c>
      <c r="AD160" s="33">
        <v>21.176547414274001</v>
      </c>
      <c r="AE160" s="15">
        <v>-1.7739577696697099E-4</v>
      </c>
      <c r="AF160" s="15">
        <v>-1.20025420846922E-4</v>
      </c>
      <c r="AG160" s="15">
        <v>-3.5318622235623397E-4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3.9171731110519475E-3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8.8353666739659185E-4</v>
      </c>
      <c r="BE160" s="29">
        <f t="shared" si="62"/>
        <v>0</v>
      </c>
      <c r="BF160" s="29">
        <f t="shared" si="63"/>
        <v>4.8007097784485394E-3</v>
      </c>
      <c r="BH160" s="29"/>
    </row>
    <row r="161" spans="1:60" x14ac:dyDescent="0.25">
      <c r="A161" s="1">
        <v>46255</v>
      </c>
      <c r="B161" s="33">
        <v>16.27</v>
      </c>
      <c r="C161" s="33">
        <v>20.6</v>
      </c>
      <c r="D161" s="15">
        <v>0</v>
      </c>
      <c r="E161" s="15">
        <v>-4.8531910683213201E-4</v>
      </c>
      <c r="F161" s="33">
        <v>0</v>
      </c>
      <c r="G161" s="33">
        <v>0.44511000000000001</v>
      </c>
      <c r="H161" s="33">
        <v>0</v>
      </c>
      <c r="I161" s="33">
        <v>0.57402799999999998</v>
      </c>
      <c r="J161" s="33">
        <v>0.44511000000000001</v>
      </c>
      <c r="K161" s="33">
        <v>0.57402799999999998</v>
      </c>
      <c r="L161" s="33">
        <v>16.715109999999999</v>
      </c>
      <c r="M161" s="33">
        <v>21.174028</v>
      </c>
      <c r="N161" s="34">
        <v>1.26613398893669</v>
      </c>
      <c r="O161" s="34">
        <v>1.26844555541175</v>
      </c>
      <c r="P161" s="34">
        <v>1.2665807345129001</v>
      </c>
      <c r="Q161" s="34">
        <v>1.2675879550031901</v>
      </c>
      <c r="R161" s="33">
        <v>20.637609186549302</v>
      </c>
      <c r="S161" s="33">
        <v>20.608467937027999</v>
      </c>
      <c r="T161" s="33">
        <v>20.627604484692</v>
      </c>
      <c r="U161" s="15">
        <v>1.82402412353918E-3</v>
      </c>
      <c r="V161" s="15">
        <v>4.1098044024036199E-4</v>
      </c>
      <c r="W161" s="15">
        <v>1.3391264984846201E-3</v>
      </c>
      <c r="X161" s="34">
        <v>1.26675971620886</v>
      </c>
      <c r="Y161" s="34">
        <v>1.2671331732903199</v>
      </c>
      <c r="Z161" s="34">
        <v>1.26719405132466</v>
      </c>
      <c r="AA161" s="34">
        <v>1.2669445917537601</v>
      </c>
      <c r="AB161" s="33">
        <v>21.180270376196798</v>
      </c>
      <c r="AC161" s="33">
        <v>21.182485530707499</v>
      </c>
      <c r="AD161" s="33">
        <v>21.1769488146562</v>
      </c>
      <c r="AE161" s="15">
        <v>2.9476943220976902E-4</v>
      </c>
      <c r="AF161" s="15">
        <v>3.9934971578131298E-4</v>
      </c>
      <c r="AG161" s="15">
        <v>1.3793375646059501E-4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3.9171731110519475E-3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8.8353666739659185E-4</v>
      </c>
      <c r="BE161" s="29">
        <f t="shared" si="62"/>
        <v>0</v>
      </c>
      <c r="BF161" s="29">
        <f t="shared" si="63"/>
        <v>4.8007097784485394E-3</v>
      </c>
      <c r="BH161" s="29"/>
    </row>
    <row r="162" spans="1:60" x14ac:dyDescent="0.25">
      <c r="A162" s="1">
        <v>46258</v>
      </c>
      <c r="B162" s="33">
        <v>16.21</v>
      </c>
      <c r="C162" s="33">
        <v>20.61</v>
      </c>
      <c r="D162" s="15">
        <v>-3.6945854833615602E-3</v>
      </c>
      <c r="E162" s="15">
        <v>4.8531910683206702E-4</v>
      </c>
      <c r="F162" s="33">
        <v>6.7199999999999996E-2</v>
      </c>
      <c r="G162" s="33">
        <v>0.51231000000000004</v>
      </c>
      <c r="H162" s="33">
        <v>0</v>
      </c>
      <c r="I162" s="33">
        <v>0.57402799999999998</v>
      </c>
      <c r="J162" s="33">
        <v>0.51231000000000004</v>
      </c>
      <c r="K162" s="33">
        <v>0.57402799999999998</v>
      </c>
      <c r="L162" s="33">
        <v>16.72231</v>
      </c>
      <c r="M162" s="33">
        <v>21.184027999999898</v>
      </c>
      <c r="N162" s="34">
        <v>1.2714373843306599</v>
      </c>
      <c r="O162" s="34">
        <v>1.26844555541175</v>
      </c>
      <c r="P162" s="34">
        <v>1.2670167806382699</v>
      </c>
      <c r="Q162" s="34">
        <v>1.26755710984588</v>
      </c>
      <c r="R162" s="33">
        <v>20.561502453224598</v>
      </c>
      <c r="S162" s="33">
        <v>20.531273706454101</v>
      </c>
      <c r="T162" s="33">
        <v>20.547600750601699</v>
      </c>
      <c r="U162" s="15">
        <v>-2.35588046665469E-3</v>
      </c>
      <c r="V162" s="15">
        <v>-3.8271245658924799E-3</v>
      </c>
      <c r="W162" s="15">
        <v>-3.0322125716797598E-3</v>
      </c>
      <c r="X162" s="34">
        <v>1.2668123004537</v>
      </c>
      <c r="Y162" s="34">
        <v>1.2671331732903199</v>
      </c>
      <c r="Z162" s="34">
        <v>1.2671074553419299</v>
      </c>
      <c r="AA162" s="34">
        <v>1.2669053161602899</v>
      </c>
      <c r="AB162" s="33">
        <v>21.189393735044401</v>
      </c>
      <c r="AC162" s="33">
        <v>21.190411756406998</v>
      </c>
      <c r="AD162" s="33">
        <v>21.186240216129899</v>
      </c>
      <c r="AE162" s="15">
        <v>2.53259465649149E-4</v>
      </c>
      <c r="AF162" s="15">
        <v>3.0130222332150998E-4</v>
      </c>
      <c r="AG162" s="15">
        <v>1.04423041206142E-4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3.9171731110519475E-3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8.8353666739659185E-4</v>
      </c>
      <c r="BE162" s="29">
        <f t="shared" si="62"/>
        <v>0</v>
      </c>
      <c r="BF162" s="29">
        <f t="shared" si="63"/>
        <v>4.8007097784485394E-3</v>
      </c>
      <c r="BH162" s="29"/>
    </row>
    <row r="163" spans="1:60" x14ac:dyDescent="0.25">
      <c r="A163" s="1">
        <v>46259</v>
      </c>
      <c r="B163" s="33">
        <v>16.260000000000002</v>
      </c>
      <c r="C163" s="33">
        <v>20.69</v>
      </c>
      <c r="D163" s="15">
        <v>3.0797683720797599E-3</v>
      </c>
      <c r="E163" s="15">
        <v>3.8740968550840301E-3</v>
      </c>
      <c r="F163" s="33">
        <v>0</v>
      </c>
      <c r="G163" s="33">
        <v>0.51231000000000004</v>
      </c>
      <c r="H163" s="33">
        <v>0</v>
      </c>
      <c r="I163" s="33">
        <v>0.57402799999999998</v>
      </c>
      <c r="J163" s="33">
        <v>0.51231000000000004</v>
      </c>
      <c r="K163" s="33">
        <v>0.57402799999999998</v>
      </c>
      <c r="L163" s="33">
        <v>16.772310000000001</v>
      </c>
      <c r="M163" s="33">
        <v>21.264028</v>
      </c>
      <c r="N163" s="34">
        <v>1.2724477244772401</v>
      </c>
      <c r="O163" s="34">
        <v>1.26844555541175</v>
      </c>
      <c r="P163" s="34">
        <v>1.2676481541923299</v>
      </c>
      <c r="Q163" s="34">
        <v>1.2676410345312801</v>
      </c>
      <c r="R163" s="33">
        <v>20.6249247309952</v>
      </c>
      <c r="S163" s="33">
        <v>20.601692853178299</v>
      </c>
      <c r="T163" s="33">
        <v>20.610478606093999</v>
      </c>
      <c r="U163" s="15">
        <v>-3.15020894965889E-3</v>
      </c>
      <c r="V163" s="15">
        <v>-4.2772419995321604E-3</v>
      </c>
      <c r="W163" s="15">
        <v>-3.8508750920055201E-3</v>
      </c>
      <c r="X163" s="34">
        <v>1.2678055676290201</v>
      </c>
      <c r="Y163" s="34">
        <v>1.2671331732903199</v>
      </c>
      <c r="Z163" s="34">
        <v>1.26721204048395</v>
      </c>
      <c r="AA163" s="34">
        <v>1.26697770984377</v>
      </c>
      <c r="AB163" s="33">
        <v>21.252750393709</v>
      </c>
      <c r="AC163" s="33">
        <v>21.252319044306098</v>
      </c>
      <c r="AD163" s="33">
        <v>21.248928703288499</v>
      </c>
      <c r="AE163" s="15">
        <v>-5.3050146231915199E-4</v>
      </c>
      <c r="AF163" s="15">
        <v>-5.5079783677903604E-4</v>
      </c>
      <c r="AG163" s="15">
        <v>-7.1033861284973995E-4</v>
      </c>
      <c r="AI163" s="12"/>
      <c r="AJ163">
        <f t="shared" si="46"/>
        <v>0</v>
      </c>
      <c r="AK163">
        <f t="shared" si="47"/>
        <v>0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3.9171731110519475E-3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8.8353666739659185E-4</v>
      </c>
      <c r="BE163" s="29">
        <f t="shared" si="62"/>
        <v>0</v>
      </c>
      <c r="BF163" s="29">
        <f t="shared" si="63"/>
        <v>4.8007097784485394E-3</v>
      </c>
      <c r="BH163" s="29"/>
    </row>
    <row r="164" spans="1:60" x14ac:dyDescent="0.25">
      <c r="A164" s="1">
        <v>46260</v>
      </c>
      <c r="B164" s="33">
        <v>16.25</v>
      </c>
      <c r="C164" s="33">
        <v>20.67</v>
      </c>
      <c r="D164" s="15">
        <v>-6.1519534391814301E-4</v>
      </c>
      <c r="E164" s="15">
        <v>-9.6711806377471001E-4</v>
      </c>
      <c r="F164" s="33">
        <v>0</v>
      </c>
      <c r="G164" s="33">
        <v>0.51231000000000004</v>
      </c>
      <c r="H164" s="33">
        <v>0</v>
      </c>
      <c r="I164" s="33">
        <v>0.57402799999999998</v>
      </c>
      <c r="J164" s="33">
        <v>0.51231000000000004</v>
      </c>
      <c r="K164" s="33">
        <v>0.57402799999999998</v>
      </c>
      <c r="L164" s="33">
        <v>16.762309999999999</v>
      </c>
      <c r="M164" s="33">
        <v>21.244028</v>
      </c>
      <c r="N164" s="34">
        <v>1.272</v>
      </c>
      <c r="O164" s="34">
        <v>1.26844555541175</v>
      </c>
      <c r="P164" s="34">
        <v>1.26820604246734</v>
      </c>
      <c r="Q164" s="34">
        <v>1.26771669688495</v>
      </c>
      <c r="R164" s="33">
        <v>20.612240275441</v>
      </c>
      <c r="S164" s="33">
        <v>20.5992825056254</v>
      </c>
      <c r="T164" s="33">
        <v>20.599166811133301</v>
      </c>
      <c r="U164" s="15">
        <v>-2.7982862298022498E-3</v>
      </c>
      <c r="V164" s="15">
        <v>-3.4271283287237099E-3</v>
      </c>
      <c r="W164" s="15">
        <v>-3.4327447775927E-3</v>
      </c>
      <c r="X164" s="34">
        <v>1.26736875764736</v>
      </c>
      <c r="Y164" s="34">
        <v>1.2671331732903199</v>
      </c>
      <c r="Z164" s="34">
        <v>1.2672450702626099</v>
      </c>
      <c r="AA164" s="34">
        <v>1.2670422744683301</v>
      </c>
      <c r="AB164" s="33">
        <v>21.2400790619761</v>
      </c>
      <c r="AC164" s="33">
        <v>21.241401058324499</v>
      </c>
      <c r="AD164" s="33">
        <v>21.237473135491399</v>
      </c>
      <c r="AE164" s="15">
        <v>-1.8590189642009401E-4</v>
      </c>
      <c r="AF164" s="15">
        <v>-1.2366318227126499E-4</v>
      </c>
      <c r="AG164" s="15">
        <v>-3.0859853750037601E-4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3.9171731110519475E-3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8.8353666739659185E-4</v>
      </c>
      <c r="BE164" s="29">
        <f t="shared" si="62"/>
        <v>0</v>
      </c>
      <c r="BF164" s="29">
        <f t="shared" si="63"/>
        <v>4.8007097784485394E-3</v>
      </c>
      <c r="BH164" s="29"/>
    </row>
    <row r="165" spans="1:60" x14ac:dyDescent="0.25">
      <c r="A165" s="1">
        <v>46261</v>
      </c>
      <c r="B165" s="33">
        <v>16.23</v>
      </c>
      <c r="C165" s="33">
        <v>20.66</v>
      </c>
      <c r="D165" s="15">
        <v>-1.23152724924667E-3</v>
      </c>
      <c r="E165" s="15">
        <v>-4.8391000218443101E-4</v>
      </c>
      <c r="F165" s="33">
        <v>0</v>
      </c>
      <c r="G165" s="33">
        <v>0.51231000000000004</v>
      </c>
      <c r="H165" s="33">
        <v>0</v>
      </c>
      <c r="I165" s="33">
        <v>0.57402799999999998</v>
      </c>
      <c r="J165" s="33">
        <v>0.51231000000000004</v>
      </c>
      <c r="K165" s="33">
        <v>0.57402799999999998</v>
      </c>
      <c r="L165" s="33">
        <v>16.74231</v>
      </c>
      <c r="M165" s="33">
        <v>21.234027999999999</v>
      </c>
      <c r="N165" s="34">
        <v>1.2729513247073301</v>
      </c>
      <c r="O165" s="34">
        <v>1.26844555541175</v>
      </c>
      <c r="P165" s="34">
        <v>1.26884676317337</v>
      </c>
      <c r="Q165" s="34">
        <v>1.2678174650907601</v>
      </c>
      <c r="R165" s="33">
        <v>20.586871364332801</v>
      </c>
      <c r="S165" s="33">
        <v>20.582984069245001</v>
      </c>
      <c r="T165" s="33">
        <v>20.575041990442699</v>
      </c>
      <c r="U165" s="15">
        <v>-3.5459034768644702E-3</v>
      </c>
      <c r="V165" s="15">
        <v>-3.73474529126576E-3</v>
      </c>
      <c r="W165" s="15">
        <v>-4.1206762826776801E-3</v>
      </c>
      <c r="X165" s="34">
        <v>1.2682854397033601</v>
      </c>
      <c r="Y165" s="34">
        <v>1.2671331732903199</v>
      </c>
      <c r="Z165" s="34">
        <v>1.2673579052396899</v>
      </c>
      <c r="AA165" s="34">
        <v>1.26713067985747</v>
      </c>
      <c r="AB165" s="33">
        <v>21.214736398510201</v>
      </c>
      <c r="AC165" s="33">
        <v>21.216609812308501</v>
      </c>
      <c r="AD165" s="33">
        <v>21.213214542253901</v>
      </c>
      <c r="AE165" s="15">
        <v>-9.0893589442378605E-4</v>
      </c>
      <c r="AF165" s="15">
        <v>-8.2063260137586204E-4</v>
      </c>
      <c r="AG165" s="15">
        <v>-9.8067427552654208E-4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3.9171731110519475E-3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8.8353666739659185E-4</v>
      </c>
      <c r="BE165" s="29">
        <f t="shared" si="62"/>
        <v>0</v>
      </c>
      <c r="BF165" s="29">
        <f t="shared" si="63"/>
        <v>4.8007097784485394E-3</v>
      </c>
      <c r="BH165" s="29"/>
    </row>
    <row r="166" spans="1:60" x14ac:dyDescent="0.25">
      <c r="A166" s="1">
        <v>46262</v>
      </c>
      <c r="B166" s="33">
        <v>16.18</v>
      </c>
      <c r="C166" s="33">
        <v>20.57</v>
      </c>
      <c r="D166" s="15">
        <v>-3.0854698961542098E-3</v>
      </c>
      <c r="E166" s="15">
        <v>-4.3657600266266703E-3</v>
      </c>
      <c r="F166" s="33">
        <v>0</v>
      </c>
      <c r="G166" s="33">
        <v>0.51231000000000004</v>
      </c>
      <c r="H166" s="33">
        <v>0</v>
      </c>
      <c r="I166" s="33">
        <v>0.57402799999999998</v>
      </c>
      <c r="J166" s="33">
        <v>0.51231000000000004</v>
      </c>
      <c r="K166" s="33">
        <v>0.57402799999999998</v>
      </c>
      <c r="L166" s="33">
        <v>16.692309999999999</v>
      </c>
      <c r="M166" s="33">
        <v>21.144027999999999</v>
      </c>
      <c r="N166" s="34">
        <v>1.2713226205191499</v>
      </c>
      <c r="O166" s="34">
        <v>1.26844555541175</v>
      </c>
      <c r="P166" s="34">
        <v>1.2693532583541201</v>
      </c>
      <c r="Q166" s="34">
        <v>1.26778088174287</v>
      </c>
      <c r="R166" s="33">
        <v>20.523449086562199</v>
      </c>
      <c r="S166" s="33">
        <v>20.529940628145201</v>
      </c>
      <c r="T166" s="33">
        <v>20.513286585168402</v>
      </c>
      <c r="U166" s="15">
        <v>-2.2656133463919799E-3</v>
      </c>
      <c r="V166" s="15">
        <v>-1.9493645941133699E-3</v>
      </c>
      <c r="W166" s="15">
        <v>-2.7609013577393499E-3</v>
      </c>
      <c r="X166" s="34">
        <v>1.2666927465401701</v>
      </c>
      <c r="Y166" s="34">
        <v>1.2671331732903199</v>
      </c>
      <c r="Z166" s="34">
        <v>1.2673392811579001</v>
      </c>
      <c r="AA166" s="34">
        <v>1.26708542656833</v>
      </c>
      <c r="AB166" s="33">
        <v>21.151379739845702</v>
      </c>
      <c r="AC166" s="33">
        <v>21.1551310352115</v>
      </c>
      <c r="AD166" s="33">
        <v>21.151338118691701</v>
      </c>
      <c r="AE166" s="15">
        <v>3.4763773717666301E-4</v>
      </c>
      <c r="AF166" s="15">
        <v>5.2497665295574798E-4</v>
      </c>
      <c r="AG166" s="15">
        <v>3.4566996034792098E-4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3.9171731110519475E-3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8.8353666739659185E-4</v>
      </c>
      <c r="BE166" s="29">
        <f t="shared" si="62"/>
        <v>0</v>
      </c>
      <c r="BF166" s="29">
        <f t="shared" si="63"/>
        <v>4.8007097784485394E-3</v>
      </c>
      <c r="BH166" s="29"/>
    </row>
    <row r="167" spans="1:60" x14ac:dyDescent="0.25">
      <c r="A167" s="1">
        <v>46265</v>
      </c>
      <c r="B167" s="33">
        <v>16.18</v>
      </c>
      <c r="C167" s="33">
        <v>20.58</v>
      </c>
      <c r="D167" s="15">
        <v>0</v>
      </c>
      <c r="E167" s="15">
        <v>4.8602674103762799E-4</v>
      </c>
      <c r="F167" s="33">
        <v>0</v>
      </c>
      <c r="G167" s="33">
        <v>0.51231000000000004</v>
      </c>
      <c r="H167" s="33">
        <v>0</v>
      </c>
      <c r="I167" s="33">
        <v>0.57402799999999998</v>
      </c>
      <c r="J167" s="33">
        <v>0.51231000000000004</v>
      </c>
      <c r="K167" s="33">
        <v>0.57402799999999998</v>
      </c>
      <c r="L167" s="33">
        <v>16.692309999999999</v>
      </c>
      <c r="M167" s="33">
        <v>21.154027999999901</v>
      </c>
      <c r="N167" s="34">
        <v>1.2719406674907201</v>
      </c>
      <c r="O167" s="34">
        <v>1.26844555541175</v>
      </c>
      <c r="P167" s="34">
        <v>1.26996660073241</v>
      </c>
      <c r="Q167" s="34">
        <v>1.2680856074250999</v>
      </c>
      <c r="R167" s="33">
        <v>20.523449086562199</v>
      </c>
      <c r="S167" s="33">
        <v>20.538135720169699</v>
      </c>
      <c r="T167" s="33">
        <v>20.5126946665997</v>
      </c>
      <c r="U167" s="15">
        <v>-2.7516400874296001E-3</v>
      </c>
      <c r="V167" s="15">
        <v>-2.0362934049820299E-3</v>
      </c>
      <c r="W167" s="15">
        <v>-3.27578388970595E-3</v>
      </c>
      <c r="X167" s="34">
        <v>1.26729182479836</v>
      </c>
      <c r="Y167" s="34">
        <v>1.2671331732903199</v>
      </c>
      <c r="Z167" s="34">
        <v>1.26742437226337</v>
      </c>
      <c r="AA167" s="34">
        <v>1.2671260025726501</v>
      </c>
      <c r="AB167" s="33">
        <v>21.151379739845702</v>
      </c>
      <c r="AC167" s="33">
        <v>21.154820156264801</v>
      </c>
      <c r="AD167" s="33">
        <v>21.1505827367608</v>
      </c>
      <c r="AE167" s="15">
        <v>-1.25197240691357E-4</v>
      </c>
      <c r="AF167" s="15">
        <v>3.7446364032229803E-5</v>
      </c>
      <c r="AG167" s="15">
        <v>-1.62878853474758E-4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3.9171731110519475E-3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8.8353666739659185E-4</v>
      </c>
      <c r="BE167" s="29">
        <f t="shared" si="62"/>
        <v>0</v>
      </c>
      <c r="BF167" s="29">
        <f t="shared" si="63"/>
        <v>4.8007097784485394E-3</v>
      </c>
      <c r="BH167" s="29"/>
    </row>
    <row r="168" spans="1:60" x14ac:dyDescent="0.25">
      <c r="A168" s="1">
        <v>46266</v>
      </c>
      <c r="B168" s="33">
        <v>16.14</v>
      </c>
      <c r="C168" s="33">
        <v>20.420000000000002</v>
      </c>
      <c r="D168" s="15">
        <v>-2.4752487885428701E-3</v>
      </c>
      <c r="E168" s="15">
        <v>-7.8049176693838597E-3</v>
      </c>
      <c r="F168" s="33">
        <v>0</v>
      </c>
      <c r="G168" s="33">
        <v>0.51231000000000004</v>
      </c>
      <c r="H168" s="33">
        <v>8.3126000000000005E-2</v>
      </c>
      <c r="I168" s="33">
        <v>0.65715400000000002</v>
      </c>
      <c r="J168" s="33">
        <v>0.51231000000000004</v>
      </c>
      <c r="K168" s="33">
        <v>0.65715400000000002</v>
      </c>
      <c r="L168" s="33">
        <v>16.65231</v>
      </c>
      <c r="M168" s="33">
        <v>21.077154</v>
      </c>
      <c r="N168" s="34">
        <v>1.26517967781908</v>
      </c>
      <c r="O168" s="34">
        <v>1.26844555541175</v>
      </c>
      <c r="P168" s="34">
        <v>1.26976466679442</v>
      </c>
      <c r="Q168" s="34">
        <v>1.2680705263252501</v>
      </c>
      <c r="R168" s="33">
        <v>20.472711264345801</v>
      </c>
      <c r="S168" s="33">
        <v>20.497260935821199</v>
      </c>
      <c r="T168" s="33">
        <v>20.466901703841099</v>
      </c>
      <c r="U168" s="15">
        <v>2.57802879341139E-3</v>
      </c>
      <c r="V168" s="15">
        <v>3.7764515940770199E-3</v>
      </c>
      <c r="W168" s="15">
        <v>2.2942175835625198E-3</v>
      </c>
      <c r="X168" s="34">
        <v>1.26571953080383</v>
      </c>
      <c r="Y168" s="34">
        <v>1.2671331732903199</v>
      </c>
      <c r="Z168" s="34">
        <v>1.2672167226983899</v>
      </c>
      <c r="AA168" s="34">
        <v>1.2671058354945599</v>
      </c>
      <c r="AB168" s="33">
        <v>21.100694412914098</v>
      </c>
      <c r="AC168" s="33">
        <v>21.105543548485102</v>
      </c>
      <c r="AD168" s="33">
        <v>21.100575003900602</v>
      </c>
      <c r="AE168" s="15">
        <v>1.11624543423826E-3</v>
      </c>
      <c r="AF168" s="15">
        <v>1.3460283206786199E-3</v>
      </c>
      <c r="AG168" s="15">
        <v>1.11058640951235E-3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3.9171731110519475E-3</v>
      </c>
      <c r="AT168" s="12"/>
      <c r="AU168">
        <f t="shared" si="50"/>
        <v>1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8.8353666739659185E-4</v>
      </c>
      <c r="BE168" s="29">
        <f t="shared" si="62"/>
        <v>0</v>
      </c>
      <c r="BF168" s="29">
        <f t="shared" si="63"/>
        <v>4.8007097784485394E-3</v>
      </c>
      <c r="BH168" s="29"/>
    </row>
    <row r="169" spans="1:60" x14ac:dyDescent="0.25">
      <c r="A169" s="1">
        <v>46267</v>
      </c>
      <c r="B169" s="33">
        <v>16.14</v>
      </c>
      <c r="C169" s="33">
        <v>20.45</v>
      </c>
      <c r="D169" s="15">
        <v>0</v>
      </c>
      <c r="E169" s="15">
        <v>1.4680697522911599E-3</v>
      </c>
      <c r="F169" s="33">
        <v>0</v>
      </c>
      <c r="G169" s="33">
        <v>0.51231000000000004</v>
      </c>
      <c r="H169" s="33">
        <v>0</v>
      </c>
      <c r="I169" s="33">
        <v>0.65715400000000002</v>
      </c>
      <c r="J169" s="33">
        <v>0.51231000000000004</v>
      </c>
      <c r="K169" s="33">
        <v>0.65715400000000002</v>
      </c>
      <c r="L169" s="33">
        <v>16.65231</v>
      </c>
      <c r="M169" s="33">
        <v>21.107153999999898</v>
      </c>
      <c r="N169" s="34">
        <v>1.26703841387856</v>
      </c>
      <c r="O169" s="34">
        <v>1.26844555541175</v>
      </c>
      <c r="P169" s="34">
        <v>1.26972004192461</v>
      </c>
      <c r="Q169" s="34">
        <v>1.2681565156466299</v>
      </c>
      <c r="R169" s="33">
        <v>20.472711264345801</v>
      </c>
      <c r="S169" s="33">
        <v>20.494001722061999</v>
      </c>
      <c r="T169" s="33">
        <v>20.466658294889601</v>
      </c>
      <c r="U169" s="15">
        <v>1.10995904112033E-3</v>
      </c>
      <c r="V169" s="15">
        <v>2.1493619163308001E-3</v>
      </c>
      <c r="W169" s="15">
        <v>8.1425495161081395E-4</v>
      </c>
      <c r="X169" s="34">
        <v>1.2675210826606</v>
      </c>
      <c r="Y169" s="34">
        <v>1.2671331732903199</v>
      </c>
      <c r="Z169" s="34">
        <v>1.2671614943748399</v>
      </c>
      <c r="AA169" s="34">
        <v>1.26718368281595</v>
      </c>
      <c r="AB169" s="33">
        <v>21.100694412914098</v>
      </c>
      <c r="AC169" s="33">
        <v>21.102085703557599</v>
      </c>
      <c r="AD169" s="33">
        <v>21.100239175464498</v>
      </c>
      <c r="AE169" s="15">
        <v>-3.0608464440389399E-4</v>
      </c>
      <c r="AF169" s="15">
        <v>-2.4015104286426701E-4</v>
      </c>
      <c r="AG169" s="15">
        <v>-3.2765940168541703E-4</v>
      </c>
      <c r="AI169" s="12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3.9171731110519475E-3</v>
      </c>
      <c r="AT169" s="12"/>
      <c r="AU169">
        <f t="shared" si="50"/>
        <v>0</v>
      </c>
      <c r="AV169">
        <f t="shared" si="51"/>
        <v>1</v>
      </c>
      <c r="AW169">
        <f t="shared" si="58"/>
        <v>1</v>
      </c>
      <c r="AX169">
        <f t="shared" si="45"/>
        <v>1</v>
      </c>
      <c r="AY169">
        <f t="shared" si="59"/>
        <v>1</v>
      </c>
      <c r="AZ169" s="28">
        <f t="shared" si="52"/>
        <v>0</v>
      </c>
      <c r="BA169" s="28">
        <f t="shared" si="53"/>
        <v>1.4680697522911599E-3</v>
      </c>
      <c r="BB169" s="28">
        <f t="shared" si="60"/>
        <v>1.4680697522911599E-3</v>
      </c>
      <c r="BC169" s="29">
        <f t="shared" si="61"/>
        <v>2.3516064196877516E-3</v>
      </c>
      <c r="BE169" s="29">
        <f t="shared" si="62"/>
        <v>1.4680697522911599E-3</v>
      </c>
      <c r="BF169" s="29">
        <f t="shared" si="63"/>
        <v>6.2687795307396991E-3</v>
      </c>
      <c r="BH169" s="29"/>
    </row>
    <row r="170" spans="1:60" x14ac:dyDescent="0.25">
      <c r="A170" s="1">
        <v>46268</v>
      </c>
      <c r="B170" s="33">
        <v>16.16</v>
      </c>
      <c r="C170" s="33">
        <v>20.48</v>
      </c>
      <c r="D170" s="15">
        <v>1.23839025114662E-3</v>
      </c>
      <c r="E170" s="15">
        <v>1.46591768249641E-3</v>
      </c>
      <c r="F170" s="33">
        <v>0</v>
      </c>
      <c r="G170" s="33">
        <v>0.51231000000000004</v>
      </c>
      <c r="H170" s="33">
        <v>0</v>
      </c>
      <c r="I170" s="33">
        <v>0.65715400000000002</v>
      </c>
      <c r="J170" s="33">
        <v>0.51231000000000004</v>
      </c>
      <c r="K170" s="33">
        <v>0.65715400000000002</v>
      </c>
      <c r="L170" s="33">
        <v>16.67231</v>
      </c>
      <c r="M170" s="33">
        <v>21.137153999999999</v>
      </c>
      <c r="N170" s="34">
        <v>1.26732673267326</v>
      </c>
      <c r="O170" s="34">
        <v>1.26844555541175</v>
      </c>
      <c r="P170" s="34">
        <v>1.26977785348327</v>
      </c>
      <c r="Q170" s="34">
        <v>1.2682161528334599</v>
      </c>
      <c r="R170" s="33">
        <v>20.498080175454</v>
      </c>
      <c r="S170" s="33">
        <v>20.5186758775017</v>
      </c>
      <c r="T170" s="33">
        <v>20.493409292849599</v>
      </c>
      <c r="U170" s="15">
        <v>8.8243160977045704E-4</v>
      </c>
      <c r="V170" s="15">
        <v>1.8866896623609001E-3</v>
      </c>
      <c r="W170" s="15">
        <v>6.54536371747465E-4</v>
      </c>
      <c r="X170" s="34">
        <v>1.26779996293255</v>
      </c>
      <c r="Y170" s="34">
        <v>1.2671331732903199</v>
      </c>
      <c r="Z170" s="34">
        <v>1.26720569293778</v>
      </c>
      <c r="AA170" s="34">
        <v>1.26723569515213</v>
      </c>
      <c r="AB170" s="33">
        <v>21.126037076379902</v>
      </c>
      <c r="AC170" s="33">
        <v>21.126509254280698</v>
      </c>
      <c r="AD170" s="33">
        <v>21.126879186849202</v>
      </c>
      <c r="AE170" s="15">
        <v>-5.2608066704332602E-4</v>
      </c>
      <c r="AF170" s="15">
        <v>-5.0373039744961996E-4</v>
      </c>
      <c r="AG170" s="15">
        <v>-4.8622020088563299E-4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3.9171731110519475E-3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2.3516064196877516E-3</v>
      </c>
      <c r="BE170" s="29">
        <f t="shared" si="62"/>
        <v>0</v>
      </c>
      <c r="BF170" s="29">
        <f t="shared" si="63"/>
        <v>6.2687795307396991E-3</v>
      </c>
      <c r="BH170" s="29"/>
    </row>
    <row r="171" spans="1:60" x14ac:dyDescent="0.25">
      <c r="A171" s="1">
        <v>46269</v>
      </c>
      <c r="B171" s="33">
        <v>16.14</v>
      </c>
      <c r="C171" s="33">
        <v>20.46</v>
      </c>
      <c r="D171" s="15">
        <v>-1.2383902511465799E-3</v>
      </c>
      <c r="E171" s="15">
        <v>-9.7703964782661209E-4</v>
      </c>
      <c r="F171" s="33">
        <v>0</v>
      </c>
      <c r="G171" s="33">
        <v>0.51231000000000004</v>
      </c>
      <c r="H171" s="33">
        <v>0</v>
      </c>
      <c r="I171" s="33">
        <v>0.65715400000000002</v>
      </c>
      <c r="J171" s="33">
        <v>0.51231000000000004</v>
      </c>
      <c r="K171" s="33">
        <v>0.65715400000000002</v>
      </c>
      <c r="L171" s="33">
        <v>16.65231</v>
      </c>
      <c r="M171" s="33">
        <v>21.117153999999999</v>
      </c>
      <c r="N171" s="34">
        <v>1.26765799256505</v>
      </c>
      <c r="O171" s="34">
        <v>1.26844555541175</v>
      </c>
      <c r="P171" s="34">
        <v>1.2699302538460999</v>
      </c>
      <c r="Q171" s="34">
        <v>1.2682554941794999</v>
      </c>
      <c r="R171" s="33">
        <v>20.472711264345801</v>
      </c>
      <c r="S171" s="33">
        <v>20.494214555220001</v>
      </c>
      <c r="T171" s="33">
        <v>20.469008706732001</v>
      </c>
      <c r="U171" s="15">
        <v>6.21081006450512E-4</v>
      </c>
      <c r="V171" s="15">
        <v>1.6708689716866201E-3</v>
      </c>
      <c r="W171" s="15">
        <v>4.4021133969370598E-4</v>
      </c>
      <c r="X171" s="34">
        <v>1.2681215999461899</v>
      </c>
      <c r="Y171" s="34">
        <v>1.2671331732903199</v>
      </c>
      <c r="Z171" s="34">
        <v>1.26734188131151</v>
      </c>
      <c r="AA171" s="34">
        <v>1.2672679663180899</v>
      </c>
      <c r="AB171" s="33">
        <v>21.100694412914098</v>
      </c>
      <c r="AC171" s="33">
        <v>21.101902032564801</v>
      </c>
      <c r="AD171" s="33">
        <v>21.102401638738801</v>
      </c>
      <c r="AE171" s="15">
        <v>-7.7974546494187697E-4</v>
      </c>
      <c r="AF171" s="15">
        <v>-7.22515827303951E-4</v>
      </c>
      <c r="AG171" s="15">
        <v>-6.9884022407697805E-4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3.9171731110519475E-3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2.3516064196877516E-3</v>
      </c>
      <c r="BE171" s="29">
        <f t="shared" si="62"/>
        <v>0</v>
      </c>
      <c r="BF171" s="29">
        <f t="shared" si="63"/>
        <v>6.2687795307396991E-3</v>
      </c>
      <c r="BH171" s="29"/>
    </row>
    <row r="172" spans="1:60" x14ac:dyDescent="0.25">
      <c r="A172" s="1">
        <v>46273</v>
      </c>
      <c r="B172" s="33">
        <v>16.14</v>
      </c>
      <c r="C172" s="33">
        <v>20.45</v>
      </c>
      <c r="D172" s="15">
        <v>0</v>
      </c>
      <c r="E172" s="15">
        <v>-4.8887803466978103E-4</v>
      </c>
      <c r="F172" s="33">
        <v>0</v>
      </c>
      <c r="G172" s="33">
        <v>0.51231000000000004</v>
      </c>
      <c r="H172" s="33">
        <v>0</v>
      </c>
      <c r="I172" s="33">
        <v>0.65715400000000002</v>
      </c>
      <c r="J172" s="33">
        <v>0.51231000000000004</v>
      </c>
      <c r="K172" s="33">
        <v>0.65715400000000002</v>
      </c>
      <c r="L172" s="33">
        <v>16.65231</v>
      </c>
      <c r="M172" s="33">
        <v>21.107153999999898</v>
      </c>
      <c r="N172" s="34">
        <v>1.26703841387856</v>
      </c>
      <c r="O172" s="34">
        <v>1.26844555541175</v>
      </c>
      <c r="P172" s="34">
        <v>1.26949035680089</v>
      </c>
      <c r="Q172" s="34">
        <v>1.2682535687195799</v>
      </c>
      <c r="R172" s="33">
        <v>20.472711264345801</v>
      </c>
      <c r="S172" s="33">
        <v>20.496674297076201</v>
      </c>
      <c r="T172" s="33">
        <v>20.469643676057199</v>
      </c>
      <c r="U172" s="15">
        <v>1.10995904112033E-3</v>
      </c>
      <c r="V172" s="15">
        <v>2.2797610840209199E-3</v>
      </c>
      <c r="W172" s="15">
        <v>9.6010990328901597E-4</v>
      </c>
      <c r="X172" s="34">
        <v>1.2675210826606</v>
      </c>
      <c r="Y172" s="34">
        <v>1.2671331732903199</v>
      </c>
      <c r="Z172" s="34">
        <v>1.2674127595322</v>
      </c>
      <c r="AA172" s="34">
        <v>1.26726010743707</v>
      </c>
      <c r="AB172" s="33">
        <v>21.100694412914098</v>
      </c>
      <c r="AC172" s="33">
        <v>21.1041698835826</v>
      </c>
      <c r="AD172" s="33">
        <v>21.102939028198399</v>
      </c>
      <c r="AE172" s="15">
        <v>-3.0608464440389399E-4</v>
      </c>
      <c r="AF172" s="15">
        <v>-1.41389378385529E-4</v>
      </c>
      <c r="AG172" s="15">
        <v>-1.9971393158269601E-4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3.9171731110519475E-3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2.3516064196877516E-3</v>
      </c>
      <c r="BE172" s="29">
        <f t="shared" si="62"/>
        <v>0</v>
      </c>
      <c r="BF172" s="29">
        <f t="shared" si="63"/>
        <v>6.2687795307396991E-3</v>
      </c>
      <c r="BH172" s="29"/>
    </row>
    <row r="173" spans="1:60" x14ac:dyDescent="0.25">
      <c r="A173" s="1">
        <v>46274</v>
      </c>
      <c r="B173" s="33">
        <v>16.12</v>
      </c>
      <c r="C173" s="33">
        <v>20.420000000000002</v>
      </c>
      <c r="D173" s="15">
        <v>-1.2399257633204301E-3</v>
      </c>
      <c r="E173" s="15">
        <v>-1.4680697522911599E-3</v>
      </c>
      <c r="F173" s="33">
        <v>0</v>
      </c>
      <c r="G173" s="33">
        <v>0.51231000000000004</v>
      </c>
      <c r="H173" s="33">
        <v>0</v>
      </c>
      <c r="I173" s="33">
        <v>0.65715400000000002</v>
      </c>
      <c r="J173" s="33">
        <v>0.51231000000000004</v>
      </c>
      <c r="K173" s="33">
        <v>0.65715400000000002</v>
      </c>
      <c r="L173" s="33">
        <v>16.63231</v>
      </c>
      <c r="M173" s="33">
        <v>21.077154</v>
      </c>
      <c r="N173" s="34">
        <v>1.2667493796525999</v>
      </c>
      <c r="O173" s="34">
        <v>1.26844555541175</v>
      </c>
      <c r="P173" s="34">
        <v>1.2689205223184301</v>
      </c>
      <c r="Q173" s="34">
        <v>1.2682843382553799</v>
      </c>
      <c r="R173" s="33">
        <v>20.447342353237499</v>
      </c>
      <c r="S173" s="33">
        <v>20.464184551630499</v>
      </c>
      <c r="T173" s="33">
        <v>20.4442475277597</v>
      </c>
      <c r="U173" s="15">
        <v>1.3381030300909601E-3</v>
      </c>
      <c r="V173" s="15">
        <v>2.1614504149757401E-3</v>
      </c>
      <c r="W173" s="15">
        <v>1.1867356955015101E-3</v>
      </c>
      <c r="X173" s="34">
        <v>1.26724153169343</v>
      </c>
      <c r="Y173" s="34">
        <v>1.2671331732903199</v>
      </c>
      <c r="Z173" s="34">
        <v>1.26735635593864</v>
      </c>
      <c r="AA173" s="34">
        <v>1.2672841982112999</v>
      </c>
      <c r="AB173" s="33">
        <v>21.075351749448298</v>
      </c>
      <c r="AC173" s="33">
        <v>21.080001914495099</v>
      </c>
      <c r="AD173" s="33">
        <v>21.077462957526699</v>
      </c>
      <c r="AE173" s="15">
        <v>-8.5510956973646905E-5</v>
      </c>
      <c r="AF173" s="15">
        <v>1.3510942271547201E-4</v>
      </c>
      <c r="AG173" s="15">
        <v>1.4658300751404599E-5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3.9171731110519475E-3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2.3516064196877516E-3</v>
      </c>
      <c r="BE173" s="29">
        <f t="shared" si="62"/>
        <v>0</v>
      </c>
      <c r="BF173" s="29">
        <f t="shared" si="63"/>
        <v>6.2687795307396991E-3</v>
      </c>
      <c r="BH173" s="29"/>
    </row>
    <row r="174" spans="1:60" x14ac:dyDescent="0.25">
      <c r="A174" s="1">
        <v>46275</v>
      </c>
      <c r="B174" s="33">
        <v>16.010000000000002</v>
      </c>
      <c r="C174" s="33">
        <v>20.3</v>
      </c>
      <c r="D174" s="15">
        <v>-6.8472100698588299E-3</v>
      </c>
      <c r="E174" s="15">
        <v>-5.8939266887779104E-3</v>
      </c>
      <c r="F174" s="33">
        <v>0</v>
      </c>
      <c r="G174" s="33">
        <v>0.51231000000000004</v>
      </c>
      <c r="H174" s="33">
        <v>0</v>
      </c>
      <c r="I174" s="33">
        <v>0.65715400000000002</v>
      </c>
      <c r="J174" s="33">
        <v>0.51231000000000004</v>
      </c>
      <c r="K174" s="33">
        <v>0.65715400000000002</v>
      </c>
      <c r="L174" s="33">
        <v>16.522310000000001</v>
      </c>
      <c r="M174" s="33">
        <v>20.957153999999999</v>
      </c>
      <c r="N174" s="34">
        <v>1.2679575265459</v>
      </c>
      <c r="O174" s="34">
        <v>1.26844555541175</v>
      </c>
      <c r="P174" s="34">
        <v>1.2685162749730201</v>
      </c>
      <c r="Q174" s="34">
        <v>1.26836115872018</v>
      </c>
      <c r="R174" s="33">
        <v>20.3078133421422</v>
      </c>
      <c r="S174" s="33">
        <v>20.3154175623181</v>
      </c>
      <c r="T174" s="33">
        <v>20.305232255468699</v>
      </c>
      <c r="U174" s="15">
        <v>3.8481964900999299E-4</v>
      </c>
      <c r="V174" s="15">
        <v>7.5919756506409803E-4</v>
      </c>
      <c r="W174" s="15">
        <v>2.5771336387094598E-4</v>
      </c>
      <c r="X174" s="34">
        <v>1.2684154939593699</v>
      </c>
      <c r="Y174" s="34">
        <v>1.2671331732903199</v>
      </c>
      <c r="Z174" s="34">
        <v>1.2674610295698501</v>
      </c>
      <c r="AA174" s="34">
        <v>1.26735304991623</v>
      </c>
      <c r="AB174" s="33">
        <v>20.935967100386399</v>
      </c>
      <c r="AC174" s="33">
        <v>20.939654593288601</v>
      </c>
      <c r="AD174" s="33">
        <v>20.938462380948501</v>
      </c>
      <c r="AE174" s="15">
        <v>-1.0114740016207899E-3</v>
      </c>
      <c r="AF174" s="15">
        <v>-8.3535755187484097E-4</v>
      </c>
      <c r="AG174" s="15">
        <v>-8.9229479865617404E-4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3.9171731110519475E-3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2.3516064196877516E-3</v>
      </c>
      <c r="BE174" s="29">
        <f t="shared" si="62"/>
        <v>0</v>
      </c>
      <c r="BF174" s="29">
        <f t="shared" si="63"/>
        <v>6.2687795307396991E-3</v>
      </c>
      <c r="BH174" s="29"/>
    </row>
    <row r="175" spans="1:60" x14ac:dyDescent="0.25">
      <c r="A175" s="1">
        <v>46276</v>
      </c>
      <c r="B175" s="33">
        <v>16</v>
      </c>
      <c r="C175" s="33">
        <v>20.28</v>
      </c>
      <c r="D175" s="15">
        <v>-6.2480476884219495E-4</v>
      </c>
      <c r="E175" s="15">
        <v>-9.8570732475918802E-4</v>
      </c>
      <c r="F175" s="33">
        <v>0</v>
      </c>
      <c r="G175" s="33">
        <v>0.51231000000000004</v>
      </c>
      <c r="H175" s="33">
        <v>0</v>
      </c>
      <c r="I175" s="33">
        <v>0.65715400000000002</v>
      </c>
      <c r="J175" s="33">
        <v>0.51231000000000004</v>
      </c>
      <c r="K175" s="33">
        <v>0.65715400000000002</v>
      </c>
      <c r="L175" s="33">
        <v>16.512309999999999</v>
      </c>
      <c r="M175" s="33">
        <v>20.937154</v>
      </c>
      <c r="N175" s="34">
        <v>1.2675000000000001</v>
      </c>
      <c r="O175" s="34">
        <v>1.26844555541175</v>
      </c>
      <c r="P175" s="34">
        <v>1.2679711425022899</v>
      </c>
      <c r="Q175" s="34">
        <v>1.26840895283783</v>
      </c>
      <c r="R175" s="33">
        <v>20.295128886588099</v>
      </c>
      <c r="S175" s="33">
        <v>20.2962603995684</v>
      </c>
      <c r="T175" s="33">
        <v>20.293778539522901</v>
      </c>
      <c r="U175" s="15">
        <v>7.4572220492703995E-4</v>
      </c>
      <c r="V175" s="15">
        <v>8.0147358473744198E-4</v>
      </c>
      <c r="W175" s="15">
        <v>6.7918446586040396E-4</v>
      </c>
      <c r="X175" s="34">
        <v>1.2679724399554</v>
      </c>
      <c r="Y175" s="34">
        <v>1.2671331732903199</v>
      </c>
      <c r="Z175" s="34">
        <v>1.2674297295950501</v>
      </c>
      <c r="AA175" s="34">
        <v>1.26739381741737</v>
      </c>
      <c r="AB175" s="33">
        <v>20.923295768653499</v>
      </c>
      <c r="AC175" s="33">
        <v>20.9287094331765</v>
      </c>
      <c r="AD175" s="33">
        <v>20.926926439662299</v>
      </c>
      <c r="AE175" s="15">
        <v>-6.6211576461082898E-4</v>
      </c>
      <c r="AF175" s="15">
        <v>-4.0341061884325999E-4</v>
      </c>
      <c r="AG175" s="15">
        <v>-4.8860791560421403E-4</v>
      </c>
      <c r="AI175" s="12"/>
      <c r="AJ175">
        <f t="shared" si="46"/>
        <v>0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3.9171731110519475E-3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2.3516064196877516E-3</v>
      </c>
      <c r="BE175" s="29">
        <f t="shared" si="62"/>
        <v>0</v>
      </c>
      <c r="BF175" s="29">
        <f t="shared" si="63"/>
        <v>6.2687795307396991E-3</v>
      </c>
      <c r="BH175" s="29"/>
    </row>
    <row r="176" spans="1:60" x14ac:dyDescent="0.25">
      <c r="A176" s="1">
        <v>46279</v>
      </c>
      <c r="B176" s="33">
        <v>15.99</v>
      </c>
      <c r="C176" s="33">
        <v>20.25</v>
      </c>
      <c r="D176" s="15">
        <v>-6.2519539391836098E-4</v>
      </c>
      <c r="E176" s="15">
        <v>-1.4803851704343299E-3</v>
      </c>
      <c r="F176" s="33">
        <v>0</v>
      </c>
      <c r="G176" s="33">
        <v>0.51231000000000004</v>
      </c>
      <c r="H176" s="33">
        <v>0</v>
      </c>
      <c r="I176" s="33">
        <v>0.65715400000000002</v>
      </c>
      <c r="J176" s="33">
        <v>0.51231000000000004</v>
      </c>
      <c r="K176" s="33">
        <v>0.65715400000000002</v>
      </c>
      <c r="L176" s="33">
        <v>16.502310000000001</v>
      </c>
      <c r="M176" s="33">
        <v>20.907153999999998</v>
      </c>
      <c r="N176" s="34">
        <v>1.26641651031894</v>
      </c>
      <c r="O176" s="34">
        <v>1.26844555541175</v>
      </c>
      <c r="P176" s="34">
        <v>1.2674805314822699</v>
      </c>
      <c r="Q176" s="34">
        <v>1.26841689491819</v>
      </c>
      <c r="R176" s="33">
        <v>20.282444431034001</v>
      </c>
      <c r="S176" s="33">
        <v>20.274858568611599</v>
      </c>
      <c r="T176" s="33">
        <v>20.281859155876901</v>
      </c>
      <c r="U176" s="15">
        <v>1.6009119814427901E-3</v>
      </c>
      <c r="V176" s="15">
        <v>1.22683077042672E-3</v>
      </c>
      <c r="W176" s="15">
        <v>1.5720553215053099E-3</v>
      </c>
      <c r="X176" s="34">
        <v>1.2669228732219899</v>
      </c>
      <c r="Y176" s="34">
        <v>1.2671331732903199</v>
      </c>
      <c r="Z176" s="34">
        <v>1.26745274226323</v>
      </c>
      <c r="AA176" s="34">
        <v>1.26739601171056</v>
      </c>
      <c r="AB176" s="33">
        <v>20.9106244369206</v>
      </c>
      <c r="AC176" s="33">
        <v>20.9155183009937</v>
      </c>
      <c r="AD176" s="33">
        <v>20.9149256671049</v>
      </c>
      <c r="AE176" s="15">
        <v>1.6597901936978899E-4</v>
      </c>
      <c r="AF176" s="15">
        <v>3.9998884074556301E-4</v>
      </c>
      <c r="AG176" s="15">
        <v>3.7165378939629898E-4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3.9171731110519475E-3</v>
      </c>
      <c r="AT176" s="12"/>
      <c r="AU176">
        <f t="shared" si="50"/>
        <v>0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2.3516064196877516E-3</v>
      </c>
      <c r="BE176" s="29">
        <f t="shared" si="62"/>
        <v>0</v>
      </c>
      <c r="BF176" s="29">
        <f t="shared" si="63"/>
        <v>6.2687795307396991E-3</v>
      </c>
      <c r="BH176" s="29"/>
    </row>
    <row r="177" spans="1:100" x14ac:dyDescent="0.25">
      <c r="A177">
        <v>46280</v>
      </c>
      <c r="B177" s="33">
        <v>15.99</v>
      </c>
      <c r="C177" s="33">
        <v>20.25</v>
      </c>
      <c r="D177" s="15">
        <v>0</v>
      </c>
      <c r="E177" s="15">
        <v>0</v>
      </c>
      <c r="F177" s="33">
        <v>0</v>
      </c>
      <c r="G177" s="33">
        <v>0.51231000000000004</v>
      </c>
      <c r="H177" s="33">
        <v>0</v>
      </c>
      <c r="I177" s="33">
        <v>0.65715400000000002</v>
      </c>
      <c r="J177" s="33">
        <v>0.51231000000000004</v>
      </c>
      <c r="K177" s="33">
        <v>0.65715400000000002</v>
      </c>
      <c r="L177" s="33">
        <v>16.502310000000001</v>
      </c>
      <c r="M177" s="33">
        <v>20.907153999999998</v>
      </c>
      <c r="N177" s="34">
        <v>1.26641651031894</v>
      </c>
      <c r="O177" s="34">
        <v>1.26844555541175</v>
      </c>
      <c r="P177" s="34">
        <v>1.26692811576509</v>
      </c>
      <c r="Q177" s="34">
        <v>1.2684473582487501</v>
      </c>
      <c r="R177" s="33">
        <v>20.282444431034001</v>
      </c>
      <c r="S177" s="33">
        <v>20.267013698401499</v>
      </c>
      <c r="T177" s="33">
        <v>20.281986149742</v>
      </c>
      <c r="U177" s="15">
        <v>1.6009119814427901E-3</v>
      </c>
      <c r="V177" s="15">
        <v>8.3982988125326995E-4</v>
      </c>
      <c r="W177" s="15">
        <v>1.57831675279095E-3</v>
      </c>
      <c r="X177" s="34">
        <v>1.2669228732219899</v>
      </c>
      <c r="Y177" s="34">
        <v>1.2671331732903199</v>
      </c>
      <c r="Z177" s="34">
        <v>1.2674158471055901</v>
      </c>
      <c r="AA177" s="34">
        <v>1.2674201096844799</v>
      </c>
      <c r="AB177" s="33">
        <v>20.9106244369206</v>
      </c>
      <c r="AC177" s="33">
        <v>20.915898063177998</v>
      </c>
      <c r="AD177" s="33">
        <v>20.9149618780114</v>
      </c>
      <c r="AE177" s="15">
        <v>1.6597901936978899E-4</v>
      </c>
      <c r="AF177" s="15">
        <v>4.1814563376274799E-4</v>
      </c>
      <c r="AG177" s="15">
        <v>3.7338513072433501E-4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15.97</v>
      </c>
      <c r="C178" s="33">
        <v>20.239999999999998</v>
      </c>
      <c r="D178" s="15">
        <v>-1.2515646189417899E-3</v>
      </c>
      <c r="E178" s="15">
        <v>-4.9394913328347804E-4</v>
      </c>
      <c r="F178" s="33">
        <v>0</v>
      </c>
      <c r="G178" s="33">
        <v>0.51231000000000004</v>
      </c>
      <c r="H178" s="33">
        <v>0</v>
      </c>
      <c r="I178" s="33">
        <v>0.65715400000000002</v>
      </c>
      <c r="J178" s="33">
        <v>0.51231000000000004</v>
      </c>
      <c r="K178" s="33">
        <v>0.65715400000000002</v>
      </c>
      <c r="L178" s="33">
        <v>16.482309999999998</v>
      </c>
      <c r="M178" s="33">
        <v>20.897153999999901</v>
      </c>
      <c r="N178" s="34">
        <v>1.26737633061991</v>
      </c>
      <c r="O178" s="34">
        <v>1.26844555541175</v>
      </c>
      <c r="P178" s="34">
        <v>1.2671477810451699</v>
      </c>
      <c r="Q178" s="34">
        <v>1.2684562239198001</v>
      </c>
      <c r="R178" s="33">
        <v>20.257075519925799</v>
      </c>
      <c r="S178" s="33">
        <v>20.2328420087685</v>
      </c>
      <c r="T178" s="33">
        <v>20.257104311232599</v>
      </c>
      <c r="U178" s="15">
        <v>8.4329649578451598E-4</v>
      </c>
      <c r="V178" s="15">
        <v>-3.5371824417563202E-4</v>
      </c>
      <c r="W178" s="15">
        <v>8.4471779109200401E-4</v>
      </c>
      <c r="X178" s="34">
        <v>1.2678534744219701</v>
      </c>
      <c r="Y178" s="34">
        <v>1.2671331732903199</v>
      </c>
      <c r="Z178" s="34">
        <v>1.26762924146741</v>
      </c>
      <c r="AA178" s="34">
        <v>1.2674229820828999</v>
      </c>
      <c r="AB178" s="33">
        <v>20.8852817734548</v>
      </c>
      <c r="AC178" s="33">
        <v>20.889940890906999</v>
      </c>
      <c r="AD178" s="33">
        <v>20.890011148053699</v>
      </c>
      <c r="AE178" s="15">
        <v>-5.6828792505379398E-4</v>
      </c>
      <c r="AF178" s="15">
        <v>-3.4523142531880902E-4</v>
      </c>
      <c r="AG178" s="15">
        <v>-3.4186822631056398E-4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16.04</v>
      </c>
      <c r="C179" s="33">
        <v>20.32</v>
      </c>
      <c r="D179" s="15">
        <v>4.3736402114472502E-3</v>
      </c>
      <c r="E179" s="15">
        <v>3.9447782910165402E-3</v>
      </c>
      <c r="F179" s="33">
        <v>0</v>
      </c>
      <c r="G179" s="33">
        <v>0.51231000000000004</v>
      </c>
      <c r="H179" s="33">
        <v>0</v>
      </c>
      <c r="I179" s="33">
        <v>0.65715400000000002</v>
      </c>
      <c r="J179" s="33">
        <v>0.51231000000000004</v>
      </c>
      <c r="K179" s="33">
        <v>0.65715400000000002</v>
      </c>
      <c r="L179" s="33">
        <v>16.552309999999999</v>
      </c>
      <c r="M179" s="33">
        <v>20.977153999999999</v>
      </c>
      <c r="N179" s="34">
        <v>1.26683291770573</v>
      </c>
      <c r="O179" s="34">
        <v>1.26844555541175</v>
      </c>
      <c r="P179" s="34">
        <v>1.2671272314278901</v>
      </c>
      <c r="Q179" s="34">
        <v>1.26842363667625</v>
      </c>
      <c r="R179" s="33">
        <v>20.3458667088046</v>
      </c>
      <c r="S179" s="33">
        <v>20.3250504079646</v>
      </c>
      <c r="T179" s="33">
        <v>20.346037831673598</v>
      </c>
      <c r="U179" s="15">
        <v>1.27215841621534E-3</v>
      </c>
      <c r="V179" s="15">
        <v>2.4851281717908698E-4</v>
      </c>
      <c r="W179" s="15">
        <v>1.28056907533407E-3</v>
      </c>
      <c r="X179" s="34">
        <v>1.2673248628137099</v>
      </c>
      <c r="Y179" s="34">
        <v>1.2671331732903199</v>
      </c>
      <c r="Z179" s="34">
        <v>1.26760961948272</v>
      </c>
      <c r="AA179" s="34">
        <v>1.26738555692878</v>
      </c>
      <c r="AB179" s="33">
        <v>20.973981095585099</v>
      </c>
      <c r="AC179" s="33">
        <v>20.9821921698334</v>
      </c>
      <c r="AD179" s="33">
        <v>20.9787781005606</v>
      </c>
      <c r="AE179" s="15">
        <v>-1.5126667794249801E-4</v>
      </c>
      <c r="AF179" s="15">
        <v>2.40145298607918E-4</v>
      </c>
      <c r="AG179" s="15">
        <v>7.7419353124221702E-5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16</v>
      </c>
      <c r="C180" s="33">
        <v>20.260000000000002</v>
      </c>
      <c r="D180" s="15">
        <v>-2.4968801985871501E-3</v>
      </c>
      <c r="E180" s="15">
        <v>-2.9571238897437E-3</v>
      </c>
      <c r="F180" s="33">
        <v>0</v>
      </c>
      <c r="G180" s="33">
        <v>0.51231000000000004</v>
      </c>
      <c r="H180" s="33">
        <v>0</v>
      </c>
      <c r="I180" s="33">
        <v>0.65715400000000002</v>
      </c>
      <c r="J180" s="33">
        <v>0.51231000000000004</v>
      </c>
      <c r="K180" s="33">
        <v>0.65715400000000002</v>
      </c>
      <c r="L180" s="33">
        <v>16.512309999999999</v>
      </c>
      <c r="M180" s="33">
        <v>20.917154</v>
      </c>
      <c r="N180" s="34">
        <v>1.2662500000000001</v>
      </c>
      <c r="O180" s="34">
        <v>1.26844555541175</v>
      </c>
      <c r="P180" s="34">
        <v>1.2670195581605599</v>
      </c>
      <c r="Q180" s="34">
        <v>1.2683987058219199</v>
      </c>
      <c r="R180" s="33">
        <v>20.295128886588099</v>
      </c>
      <c r="S180" s="33">
        <v>20.274035702846302</v>
      </c>
      <c r="T180" s="33">
        <v>20.29477818682</v>
      </c>
      <c r="U180" s="15">
        <v>1.7324021073720499E-3</v>
      </c>
      <c r="V180" s="15">
        <v>6.92539154511191E-4</v>
      </c>
      <c r="W180" s="15">
        <v>1.7151219609816001E-3</v>
      </c>
      <c r="X180" s="34">
        <v>1.26676122238499</v>
      </c>
      <c r="Y180" s="34">
        <v>1.2671331732903199</v>
      </c>
      <c r="Z180" s="34">
        <v>1.2675057454279599</v>
      </c>
      <c r="AA180" s="34">
        <v>1.2673557191828699</v>
      </c>
      <c r="AB180" s="33">
        <v>20.923295768653499</v>
      </c>
      <c r="AC180" s="33">
        <v>20.931162995880701</v>
      </c>
      <c r="AD180" s="33">
        <v>20.927463205530699</v>
      </c>
      <c r="AE180" s="15">
        <v>2.93580433843026E-4</v>
      </c>
      <c r="AF180" s="15">
        <v>6.6951301317217196E-4</v>
      </c>
      <c r="AG180" s="15">
        <v>4.9273748586068603E-4</v>
      </c>
    </row>
    <row r="181" spans="1:100" x14ac:dyDescent="0.25">
      <c r="A181">
        <v>46286</v>
      </c>
      <c r="B181" s="33">
        <v>15.96</v>
      </c>
      <c r="C181" s="33">
        <v>20.3</v>
      </c>
      <c r="D181" s="15">
        <v>-2.50313021811847E-3</v>
      </c>
      <c r="E181" s="15">
        <v>1.9723872272043499E-3</v>
      </c>
      <c r="F181" s="33">
        <v>6.3420000000000004E-2</v>
      </c>
      <c r="G181" s="33">
        <v>0.57572999999999996</v>
      </c>
      <c r="H181" s="33">
        <v>0</v>
      </c>
      <c r="I181" s="33">
        <v>0.65715400000000002</v>
      </c>
      <c r="J181" s="33">
        <v>0.57572999999999996</v>
      </c>
      <c r="K181" s="33">
        <v>0.65715400000000002</v>
      </c>
      <c r="L181" s="33">
        <v>16.535730000000001</v>
      </c>
      <c r="M181" s="33">
        <v>20.957153999999999</v>
      </c>
      <c r="N181" s="34">
        <v>1.2719298245613999</v>
      </c>
      <c r="O181" s="34">
        <v>1.26844555541175</v>
      </c>
      <c r="P181" s="34">
        <v>1.2674467413602</v>
      </c>
      <c r="Q181" s="34">
        <v>1.2686884976031501</v>
      </c>
      <c r="R181" s="33">
        <v>20.244391064371602</v>
      </c>
      <c r="S181" s="33">
        <v>20.221632148242598</v>
      </c>
      <c r="T181" s="33">
        <v>20.2436433449178</v>
      </c>
      <c r="U181" s="15">
        <v>-2.74311533795066E-3</v>
      </c>
      <c r="V181" s="15">
        <v>-3.8679562154006501E-3</v>
      </c>
      <c r="W181" s="15">
        <v>-2.7800506678487698E-3</v>
      </c>
      <c r="X181" s="34">
        <v>1.26738607850999</v>
      </c>
      <c r="Y181" s="34">
        <v>1.2671331732903199</v>
      </c>
      <c r="Z181" s="34">
        <v>1.26743219328434</v>
      </c>
      <c r="AA181" s="34">
        <v>1.2673870372979299</v>
      </c>
      <c r="AB181" s="33">
        <v>20.952972027571899</v>
      </c>
      <c r="AC181" s="33">
        <v>20.9591327798456</v>
      </c>
      <c r="AD181" s="33">
        <v>20.956651986363799</v>
      </c>
      <c r="AE181" s="15">
        <v>-1.9956859300030401E-4</v>
      </c>
      <c r="AF181" s="15">
        <v>9.4415798683131794E-5</v>
      </c>
      <c r="AG181" s="15">
        <v>-2.3954571738059699E-5</v>
      </c>
    </row>
    <row r="182" spans="1:100" x14ac:dyDescent="0.25">
      <c r="A182">
        <v>46287</v>
      </c>
      <c r="B182" s="33">
        <v>15.96</v>
      </c>
      <c r="C182" s="33">
        <v>20.3</v>
      </c>
      <c r="D182" s="15">
        <v>0</v>
      </c>
      <c r="E182" s="15">
        <v>0</v>
      </c>
      <c r="F182" s="33">
        <v>0</v>
      </c>
      <c r="G182" s="33">
        <v>0.57572999999999996</v>
      </c>
      <c r="H182" s="33">
        <v>0</v>
      </c>
      <c r="I182" s="33">
        <v>0.65715400000000002</v>
      </c>
      <c r="J182" s="33">
        <v>0.57572999999999996</v>
      </c>
      <c r="K182" s="33">
        <v>0.65715400000000002</v>
      </c>
      <c r="L182" s="33">
        <v>16.535730000000001</v>
      </c>
      <c r="M182" s="33">
        <v>20.957153999999999</v>
      </c>
      <c r="N182" s="34">
        <v>1.2719298245613999</v>
      </c>
      <c r="O182" s="34">
        <v>1.26844555541175</v>
      </c>
      <c r="P182" s="34">
        <v>1.2679358824284801</v>
      </c>
      <c r="Q182" s="34">
        <v>1.2687131196146899</v>
      </c>
      <c r="R182" s="33">
        <v>20.244391064371602</v>
      </c>
      <c r="S182" s="33">
        <v>20.2284499921088</v>
      </c>
      <c r="T182" s="33">
        <v>20.2482684217463</v>
      </c>
      <c r="U182" s="15">
        <v>-2.74311533795066E-3</v>
      </c>
      <c r="V182" s="15">
        <v>-3.5308570764136802E-3</v>
      </c>
      <c r="W182" s="15">
        <v>-2.5516061886014601E-3</v>
      </c>
      <c r="X182" s="34">
        <v>1.26738607850999</v>
      </c>
      <c r="Y182" s="34">
        <v>1.2671331732903199</v>
      </c>
      <c r="Z182" s="34">
        <v>1.2674186928692801</v>
      </c>
      <c r="AA182" s="34">
        <v>1.2674157262007399</v>
      </c>
      <c r="AB182" s="33">
        <v>20.952972027571899</v>
      </c>
      <c r="AC182" s="33">
        <v>20.957916541457699</v>
      </c>
      <c r="AD182" s="33">
        <v>20.957169854258499</v>
      </c>
      <c r="AE182" s="15">
        <v>-1.9956859300030401E-4</v>
      </c>
      <c r="AF182" s="15">
        <v>3.6385073340384402E-5</v>
      </c>
      <c r="AG182" s="15">
        <v>7.5650789927665498E-7</v>
      </c>
    </row>
    <row r="183" spans="1:100" x14ac:dyDescent="0.25">
      <c r="A183">
        <v>46288</v>
      </c>
      <c r="B183" s="33">
        <v>15.85</v>
      </c>
      <c r="C183" s="33">
        <v>20.149999999999999</v>
      </c>
      <c r="D183" s="15">
        <v>-6.9160916983731502E-3</v>
      </c>
      <c r="E183" s="15">
        <v>-7.41659765504981E-3</v>
      </c>
      <c r="F183" s="33">
        <v>0</v>
      </c>
      <c r="G183" s="33">
        <v>0.57572999999999996</v>
      </c>
      <c r="H183" s="33">
        <v>0</v>
      </c>
      <c r="I183" s="33">
        <v>0.65715400000000002</v>
      </c>
      <c r="J183" s="33">
        <v>0.57572999999999996</v>
      </c>
      <c r="K183" s="33">
        <v>0.65715400000000002</v>
      </c>
      <c r="L183" s="33">
        <v>16.425730000000001</v>
      </c>
      <c r="M183" s="33">
        <v>20.807153999999901</v>
      </c>
      <c r="N183" s="34">
        <v>1.2712933753943201</v>
      </c>
      <c r="O183" s="34">
        <v>1.26844555541175</v>
      </c>
      <c r="P183" s="34">
        <v>1.26839028200265</v>
      </c>
      <c r="Q183" s="34">
        <v>1.2686554021605401</v>
      </c>
      <c r="R183" s="33">
        <v>20.1048620532763</v>
      </c>
      <c r="S183" s="33">
        <v>20.096783736491499</v>
      </c>
      <c r="T183" s="33">
        <v>20.109102945892801</v>
      </c>
      <c r="U183" s="15">
        <v>-2.2426093812740701E-3</v>
      </c>
      <c r="V183" s="15">
        <v>-2.6444992410003402E-3</v>
      </c>
      <c r="W183" s="15">
        <v>-2.0316929679184098E-3</v>
      </c>
      <c r="X183" s="34">
        <v>1.2667415085965701</v>
      </c>
      <c r="Y183" s="34">
        <v>1.2671331732903199</v>
      </c>
      <c r="Z183" s="34">
        <v>1.26736869055959</v>
      </c>
      <c r="AA183" s="34">
        <v>1.2673625232491199</v>
      </c>
      <c r="AB183" s="33">
        <v>20.81358737851</v>
      </c>
      <c r="AC183" s="33">
        <v>20.818277246023801</v>
      </c>
      <c r="AD183" s="33">
        <v>20.818228516327299</v>
      </c>
      <c r="AE183" s="15">
        <v>3.0914291039568998E-4</v>
      </c>
      <c r="AF183" s="15">
        <v>5.3444473513477404E-4</v>
      </c>
      <c r="AG183" s="15">
        <v>5.3210401534941601E-4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2026-09-28T01:55:07Z</dcterms:created>
  <dcterms:modified xsi:type="dcterms:W3CDTF">2026-09-28T01:56:24Z</dcterms:modified>
</cp:coreProperties>
</file>