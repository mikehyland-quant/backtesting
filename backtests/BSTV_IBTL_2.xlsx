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8_{89E1A7AC-9926-4098-A2A7-262A30A341D3}" xr6:coauthVersionLast="47" xr6:coauthVersionMax="47" xr10:uidLastSave="{00000000-0000-0000-0000-000000000000}"/>
  <bookViews>
    <workbookView xWindow="405" yWindow="1170" windowWidth="28395" windowHeight="14880" xr2:uid="{EAC943C0-60F3-418C-BC40-6A8DA8A42005}"/>
  </bookViews>
  <sheets>
    <sheet name="Sheet1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AX176" i="1" l="1"/>
  <c r="AV176" i="1"/>
  <c r="AU176" i="1"/>
  <c r="AM176" i="1"/>
  <c r="AK176" i="1"/>
  <c r="AJ176" i="1"/>
  <c r="AX175" i="1"/>
  <c r="AV175" i="1"/>
  <c r="AU175" i="1"/>
  <c r="AM175" i="1"/>
  <c r="AK175" i="1"/>
  <c r="AJ175" i="1"/>
  <c r="AN176" i="1" s="1"/>
  <c r="AX174" i="1"/>
  <c r="AV174" i="1"/>
  <c r="AU174" i="1"/>
  <c r="AY175" i="1" s="1"/>
  <c r="AM174" i="1"/>
  <c r="AK174" i="1"/>
  <c r="AJ174" i="1"/>
  <c r="AN175" i="1" s="1"/>
  <c r="AX173" i="1"/>
  <c r="AV173" i="1"/>
  <c r="AU173" i="1"/>
  <c r="AM173" i="1"/>
  <c r="AK173" i="1"/>
  <c r="AJ173" i="1"/>
  <c r="AN174" i="1" s="1"/>
  <c r="AX172" i="1"/>
  <c r="AV172" i="1"/>
  <c r="AU172" i="1"/>
  <c r="AY173" i="1" s="1"/>
  <c r="AM172" i="1"/>
  <c r="AK172" i="1"/>
  <c r="AJ172" i="1"/>
  <c r="AN173" i="1" s="1"/>
  <c r="AX171" i="1"/>
  <c r="AV171" i="1"/>
  <c r="AU171" i="1"/>
  <c r="AY172" i="1" s="1"/>
  <c r="AM171" i="1"/>
  <c r="AK171" i="1"/>
  <c r="AJ171" i="1"/>
  <c r="AN172" i="1" s="1"/>
  <c r="AX170" i="1"/>
  <c r="AV170" i="1"/>
  <c r="AU170" i="1"/>
  <c r="AY171" i="1" s="1"/>
  <c r="AM170" i="1"/>
  <c r="AK170" i="1"/>
  <c r="AJ170" i="1"/>
  <c r="AN171" i="1" s="1"/>
  <c r="AX169" i="1"/>
  <c r="AV169" i="1"/>
  <c r="AU169" i="1"/>
  <c r="AM169" i="1"/>
  <c r="AK169" i="1"/>
  <c r="AJ169" i="1"/>
  <c r="AN170" i="1" s="1"/>
  <c r="AX168" i="1"/>
  <c r="AV168" i="1"/>
  <c r="AU168" i="1"/>
  <c r="AM168" i="1"/>
  <c r="AK168" i="1"/>
  <c r="AJ168" i="1"/>
  <c r="AN169" i="1" s="1"/>
  <c r="AX167" i="1"/>
  <c r="AV167" i="1"/>
  <c r="AU167" i="1"/>
  <c r="AY168" i="1" s="1"/>
  <c r="AM167" i="1"/>
  <c r="AK167" i="1"/>
  <c r="AJ167" i="1"/>
  <c r="AN168" i="1" s="1"/>
  <c r="AX166" i="1"/>
  <c r="AV166" i="1"/>
  <c r="AU166" i="1"/>
  <c r="AY167" i="1" s="1"/>
  <c r="AM166" i="1"/>
  <c r="AK166" i="1"/>
  <c r="AJ166" i="1"/>
  <c r="AN167" i="1" s="1"/>
  <c r="AX165" i="1"/>
  <c r="AV165" i="1"/>
  <c r="AU165" i="1"/>
  <c r="AM165" i="1"/>
  <c r="AK165" i="1"/>
  <c r="AJ165" i="1"/>
  <c r="AN166" i="1" s="1"/>
  <c r="AX164" i="1"/>
  <c r="AV164" i="1"/>
  <c r="AU164" i="1"/>
  <c r="AM164" i="1"/>
  <c r="AK164" i="1"/>
  <c r="AJ164" i="1"/>
  <c r="AN165" i="1" s="1"/>
  <c r="AX163" i="1"/>
  <c r="AV163" i="1"/>
  <c r="AU163" i="1"/>
  <c r="AM163" i="1"/>
  <c r="AK163" i="1"/>
  <c r="AJ163" i="1"/>
  <c r="AN164" i="1" s="1"/>
  <c r="AX162" i="1"/>
  <c r="AV162" i="1"/>
  <c r="AU162" i="1"/>
  <c r="AY163" i="1" s="1"/>
  <c r="AM162" i="1"/>
  <c r="AK162" i="1"/>
  <c r="AJ162" i="1"/>
  <c r="AN163" i="1" s="1"/>
  <c r="AX161" i="1"/>
  <c r="AV161" i="1"/>
  <c r="AU161" i="1"/>
  <c r="AM161" i="1"/>
  <c r="AK161" i="1"/>
  <c r="AJ161" i="1"/>
  <c r="AN162" i="1" s="1"/>
  <c r="AX160" i="1"/>
  <c r="AV160" i="1"/>
  <c r="AU160" i="1"/>
  <c r="AM160" i="1"/>
  <c r="AK160" i="1"/>
  <c r="AJ160" i="1"/>
  <c r="AN161" i="1" s="1"/>
  <c r="AX159" i="1"/>
  <c r="AV159" i="1"/>
  <c r="AU159" i="1"/>
  <c r="AY160" i="1" s="1"/>
  <c r="AM159" i="1"/>
  <c r="AK159" i="1"/>
  <c r="AJ159" i="1"/>
  <c r="AX158" i="1"/>
  <c r="AV158" i="1"/>
  <c r="AU158" i="1"/>
  <c r="AY159" i="1" s="1"/>
  <c r="AM158" i="1"/>
  <c r="AK158" i="1"/>
  <c r="AJ158" i="1"/>
  <c r="AN159" i="1" s="1"/>
  <c r="AX157" i="1"/>
  <c r="AV157" i="1"/>
  <c r="AU157" i="1"/>
  <c r="AY158" i="1" s="1"/>
  <c r="AM157" i="1"/>
  <c r="AK157" i="1"/>
  <c r="AJ157" i="1"/>
  <c r="AX156" i="1"/>
  <c r="AV156" i="1"/>
  <c r="AU156" i="1"/>
  <c r="AY157" i="1" s="1"/>
  <c r="AM156" i="1"/>
  <c r="AK156" i="1"/>
  <c r="AJ156" i="1"/>
  <c r="AX155" i="1"/>
  <c r="AV155" i="1"/>
  <c r="AU155" i="1"/>
  <c r="AY156" i="1" s="1"/>
  <c r="AM155" i="1"/>
  <c r="AK155" i="1"/>
  <c r="AJ155" i="1"/>
  <c r="AX154" i="1"/>
  <c r="AV154" i="1"/>
  <c r="AU154" i="1"/>
  <c r="AY155" i="1" s="1"/>
  <c r="AM154" i="1"/>
  <c r="AK154" i="1"/>
  <c r="AJ154" i="1"/>
  <c r="AN155" i="1" s="1"/>
  <c r="AX153" i="1"/>
  <c r="AV153" i="1"/>
  <c r="AU153" i="1"/>
  <c r="AM153" i="1"/>
  <c r="AK153" i="1"/>
  <c r="AJ153" i="1"/>
  <c r="AN154" i="1" s="1"/>
  <c r="AX152" i="1"/>
  <c r="AV152" i="1"/>
  <c r="AU152" i="1"/>
  <c r="AM152" i="1"/>
  <c r="AK152" i="1"/>
  <c r="AJ152" i="1"/>
  <c r="AN153" i="1" s="1"/>
  <c r="AX151" i="1"/>
  <c r="AV151" i="1"/>
  <c r="AU151" i="1"/>
  <c r="AM151" i="1"/>
  <c r="AK151" i="1"/>
  <c r="AJ151" i="1"/>
  <c r="AN152" i="1" s="1"/>
  <c r="AX150" i="1"/>
  <c r="AV150" i="1"/>
  <c r="AU150" i="1"/>
  <c r="AY151" i="1" s="1"/>
  <c r="AM150" i="1"/>
  <c r="AK150" i="1"/>
  <c r="AJ150" i="1"/>
  <c r="AN151" i="1" s="1"/>
  <c r="AX149" i="1"/>
  <c r="AV149" i="1"/>
  <c r="AU149" i="1"/>
  <c r="AY150" i="1" s="1"/>
  <c r="AM149" i="1"/>
  <c r="AK149" i="1"/>
  <c r="AJ149" i="1"/>
  <c r="AX148" i="1"/>
  <c r="AV148" i="1"/>
  <c r="AU148" i="1"/>
  <c r="AY149" i="1" s="1"/>
  <c r="AM148" i="1"/>
  <c r="AK148" i="1"/>
  <c r="AJ148" i="1"/>
  <c r="AN149" i="1" s="1"/>
  <c r="AX147" i="1"/>
  <c r="AV147" i="1"/>
  <c r="AU147" i="1"/>
  <c r="AY148" i="1" s="1"/>
  <c r="AM147" i="1"/>
  <c r="AK147" i="1"/>
  <c r="AJ147" i="1"/>
  <c r="AX146" i="1"/>
  <c r="AV146" i="1"/>
  <c r="AU146" i="1"/>
  <c r="AM146" i="1"/>
  <c r="AK146" i="1"/>
  <c r="AJ146" i="1"/>
  <c r="AN147" i="1" s="1"/>
  <c r="AX145" i="1"/>
  <c r="AV145" i="1"/>
  <c r="AU145" i="1"/>
  <c r="AM145" i="1"/>
  <c r="AK145" i="1"/>
  <c r="AJ145" i="1"/>
  <c r="AN146" i="1" s="1"/>
  <c r="AX144" i="1"/>
  <c r="AV144" i="1"/>
  <c r="AU144" i="1"/>
  <c r="AM144" i="1"/>
  <c r="AK144" i="1"/>
  <c r="AJ144" i="1"/>
  <c r="AN145" i="1" s="1"/>
  <c r="AX143" i="1"/>
  <c r="AV143" i="1"/>
  <c r="AU143" i="1"/>
  <c r="AM143" i="1"/>
  <c r="AK143" i="1"/>
  <c r="AJ143" i="1"/>
  <c r="AN144" i="1" s="1"/>
  <c r="AX142" i="1"/>
  <c r="AV142" i="1"/>
  <c r="AU142" i="1"/>
  <c r="AY143" i="1" s="1"/>
  <c r="AM142" i="1"/>
  <c r="AK142" i="1"/>
  <c r="AJ142" i="1"/>
  <c r="AX141" i="1"/>
  <c r="AV141" i="1"/>
  <c r="AU141" i="1"/>
  <c r="AY142" i="1" s="1"/>
  <c r="AM141" i="1"/>
  <c r="AK141" i="1"/>
  <c r="AJ141" i="1"/>
  <c r="AN142" i="1" s="1"/>
  <c r="AX140" i="1"/>
  <c r="AV140" i="1"/>
  <c r="AU140" i="1"/>
  <c r="AY141" i="1" s="1"/>
  <c r="AM140" i="1"/>
  <c r="AK140" i="1"/>
  <c r="AJ140" i="1"/>
  <c r="AX139" i="1"/>
  <c r="AV139" i="1"/>
  <c r="AU139" i="1"/>
  <c r="AY140" i="1" s="1"/>
  <c r="AM139" i="1"/>
  <c r="AK139" i="1"/>
  <c r="AJ139" i="1"/>
  <c r="AN140" i="1" s="1"/>
  <c r="AX138" i="1"/>
  <c r="AV138" i="1"/>
  <c r="AU138" i="1"/>
  <c r="AY139" i="1" s="1"/>
  <c r="AM138" i="1"/>
  <c r="AK138" i="1"/>
  <c r="AJ138" i="1"/>
  <c r="AX137" i="1"/>
  <c r="AV137" i="1"/>
  <c r="AU137" i="1"/>
  <c r="AY138" i="1" s="1"/>
  <c r="AM137" i="1"/>
  <c r="AK137" i="1"/>
  <c r="AJ137" i="1"/>
  <c r="AN138" i="1" s="1"/>
  <c r="AX136" i="1"/>
  <c r="AV136" i="1"/>
  <c r="AU136" i="1"/>
  <c r="AY137" i="1" s="1"/>
  <c r="AM136" i="1"/>
  <c r="AK136" i="1"/>
  <c r="AJ136" i="1"/>
  <c r="AN137" i="1" s="1"/>
  <c r="AX135" i="1"/>
  <c r="AV135" i="1"/>
  <c r="AU135" i="1"/>
  <c r="AY136" i="1" s="1"/>
  <c r="AM135" i="1"/>
  <c r="AK135" i="1"/>
  <c r="AJ135" i="1"/>
  <c r="AX134" i="1"/>
  <c r="AV134" i="1"/>
  <c r="AU134" i="1"/>
  <c r="AY135" i="1" s="1"/>
  <c r="AM134" i="1"/>
  <c r="AK134" i="1"/>
  <c r="AJ134" i="1"/>
  <c r="AN135" i="1" s="1"/>
  <c r="AX133" i="1"/>
  <c r="AV133" i="1"/>
  <c r="AU133" i="1"/>
  <c r="AY134" i="1" s="1"/>
  <c r="AM133" i="1"/>
  <c r="AK133" i="1"/>
  <c r="AJ133" i="1"/>
  <c r="AN134" i="1" s="1"/>
  <c r="AX132" i="1"/>
  <c r="AV132" i="1"/>
  <c r="AU132" i="1"/>
  <c r="AY133" i="1" s="1"/>
  <c r="AM132" i="1"/>
  <c r="AK132" i="1"/>
  <c r="AJ132" i="1"/>
  <c r="AN133" i="1" s="1"/>
  <c r="AX131" i="1"/>
  <c r="AV131" i="1"/>
  <c r="AU131" i="1"/>
  <c r="AY132" i="1" s="1"/>
  <c r="AM131" i="1"/>
  <c r="AK131" i="1"/>
  <c r="AJ131" i="1"/>
  <c r="AN132" i="1" s="1"/>
  <c r="AX130" i="1"/>
  <c r="AV130" i="1"/>
  <c r="AU130" i="1"/>
  <c r="AY131" i="1" s="1"/>
  <c r="AM130" i="1"/>
  <c r="AK130" i="1"/>
  <c r="AJ130" i="1"/>
  <c r="AN131" i="1" s="1"/>
  <c r="AX129" i="1"/>
  <c r="AV129" i="1"/>
  <c r="AU129" i="1"/>
  <c r="AY130" i="1" s="1"/>
  <c r="AM129" i="1"/>
  <c r="AK129" i="1"/>
  <c r="AJ129" i="1"/>
  <c r="AN130" i="1" s="1"/>
  <c r="AX128" i="1"/>
  <c r="AV128" i="1"/>
  <c r="AU128" i="1"/>
  <c r="AY129" i="1" s="1"/>
  <c r="AM128" i="1"/>
  <c r="AK128" i="1"/>
  <c r="AJ128" i="1"/>
  <c r="AN129" i="1" s="1"/>
  <c r="AX127" i="1"/>
  <c r="AV127" i="1"/>
  <c r="AU127" i="1"/>
  <c r="AY128" i="1" s="1"/>
  <c r="AM127" i="1"/>
  <c r="AK127" i="1"/>
  <c r="AJ127" i="1"/>
  <c r="AN128" i="1" s="1"/>
  <c r="AX126" i="1"/>
  <c r="AV126" i="1"/>
  <c r="AU126" i="1"/>
  <c r="AY127" i="1" s="1"/>
  <c r="AM126" i="1"/>
  <c r="AK126" i="1"/>
  <c r="AJ126" i="1"/>
  <c r="AN127" i="1" s="1"/>
  <c r="AX125" i="1"/>
  <c r="AV125" i="1"/>
  <c r="AU125" i="1"/>
  <c r="AY126" i="1" s="1"/>
  <c r="AM125" i="1"/>
  <c r="AK125" i="1"/>
  <c r="AJ125" i="1"/>
  <c r="AN126" i="1" s="1"/>
  <c r="AX124" i="1"/>
  <c r="AV124" i="1"/>
  <c r="AU124" i="1"/>
  <c r="AY125" i="1" s="1"/>
  <c r="AM124" i="1"/>
  <c r="AK124" i="1"/>
  <c r="AJ124" i="1"/>
  <c r="AN125" i="1" s="1"/>
  <c r="AX123" i="1"/>
  <c r="AV123" i="1"/>
  <c r="AU123" i="1"/>
  <c r="AY124" i="1" s="1"/>
  <c r="AM123" i="1"/>
  <c r="AK123" i="1"/>
  <c r="AJ123" i="1"/>
  <c r="AN124" i="1" s="1"/>
  <c r="AX122" i="1"/>
  <c r="AV122" i="1"/>
  <c r="AU122" i="1"/>
  <c r="AY123" i="1" s="1"/>
  <c r="AM122" i="1"/>
  <c r="AK122" i="1"/>
  <c r="AJ122" i="1"/>
  <c r="AN123" i="1" s="1"/>
  <c r="AX121" i="1"/>
  <c r="AV121" i="1"/>
  <c r="AU121" i="1"/>
  <c r="AY122" i="1" s="1"/>
  <c r="AM121" i="1"/>
  <c r="AK121" i="1"/>
  <c r="AJ121" i="1"/>
  <c r="AN122" i="1" s="1"/>
  <c r="AX120" i="1"/>
  <c r="AV120" i="1"/>
  <c r="AU120" i="1"/>
  <c r="AY121" i="1" s="1"/>
  <c r="AM120" i="1"/>
  <c r="AK120" i="1"/>
  <c r="AJ120" i="1"/>
  <c r="AN121" i="1" s="1"/>
  <c r="AX119" i="1"/>
  <c r="AV119" i="1"/>
  <c r="AU119" i="1"/>
  <c r="AY120" i="1" s="1"/>
  <c r="AM119" i="1"/>
  <c r="AK119" i="1"/>
  <c r="AJ119" i="1"/>
  <c r="AN120" i="1" s="1"/>
  <c r="AX118" i="1"/>
  <c r="AV118" i="1"/>
  <c r="AU118" i="1"/>
  <c r="AY119" i="1" s="1"/>
  <c r="AM118" i="1"/>
  <c r="AK118" i="1"/>
  <c r="AJ118" i="1"/>
  <c r="AN119" i="1" s="1"/>
  <c r="AX117" i="1"/>
  <c r="AV117" i="1"/>
  <c r="AU117" i="1"/>
  <c r="AY118" i="1" s="1"/>
  <c r="AM117" i="1"/>
  <c r="AK117" i="1"/>
  <c r="AJ117" i="1"/>
  <c r="AN118" i="1" s="1"/>
  <c r="AX116" i="1"/>
  <c r="AV116" i="1"/>
  <c r="AU116" i="1"/>
  <c r="AY117" i="1" s="1"/>
  <c r="AM116" i="1"/>
  <c r="AK116" i="1"/>
  <c r="AJ116" i="1"/>
  <c r="AN117" i="1" s="1"/>
  <c r="AX115" i="1"/>
  <c r="AV115" i="1"/>
  <c r="AU115" i="1"/>
  <c r="AY116" i="1" s="1"/>
  <c r="AM115" i="1"/>
  <c r="AK115" i="1"/>
  <c r="AJ115" i="1"/>
  <c r="AN116" i="1" s="1"/>
  <c r="AX114" i="1"/>
  <c r="AV114" i="1"/>
  <c r="AU114" i="1"/>
  <c r="AY115" i="1" s="1"/>
  <c r="AM114" i="1"/>
  <c r="AK114" i="1"/>
  <c r="AJ114" i="1"/>
  <c r="AN115" i="1" s="1"/>
  <c r="AX113" i="1"/>
  <c r="AV113" i="1"/>
  <c r="AU113" i="1"/>
  <c r="AY114" i="1" s="1"/>
  <c r="AM113" i="1"/>
  <c r="AK113" i="1"/>
  <c r="AJ113" i="1"/>
  <c r="AN114" i="1" s="1"/>
  <c r="AX112" i="1"/>
  <c r="AV112" i="1"/>
  <c r="AU112" i="1"/>
  <c r="AY113" i="1" s="1"/>
  <c r="AM112" i="1"/>
  <c r="AK112" i="1"/>
  <c r="AJ112" i="1"/>
  <c r="AN113" i="1" s="1"/>
  <c r="AX111" i="1"/>
  <c r="AV111" i="1"/>
  <c r="AU111" i="1"/>
  <c r="AY112" i="1" s="1"/>
  <c r="AM111" i="1"/>
  <c r="AK111" i="1"/>
  <c r="AJ111" i="1"/>
  <c r="AN112" i="1" s="1"/>
  <c r="AX110" i="1"/>
  <c r="AV110" i="1"/>
  <c r="AU110" i="1"/>
  <c r="AY111" i="1" s="1"/>
  <c r="AM110" i="1"/>
  <c r="AK110" i="1"/>
  <c r="AJ110" i="1"/>
  <c r="AN111" i="1" s="1"/>
  <c r="AX109" i="1"/>
  <c r="AV109" i="1"/>
  <c r="AU109" i="1"/>
  <c r="AY110" i="1" s="1"/>
  <c r="AM109" i="1"/>
  <c r="AK109" i="1"/>
  <c r="AJ109" i="1"/>
  <c r="AN110" i="1" s="1"/>
  <c r="AX108" i="1"/>
  <c r="AV108" i="1"/>
  <c r="AU108" i="1"/>
  <c r="AY109" i="1" s="1"/>
  <c r="AM108" i="1"/>
  <c r="AK108" i="1"/>
  <c r="AJ108" i="1"/>
  <c r="AN109" i="1" s="1"/>
  <c r="AX107" i="1"/>
  <c r="AV107" i="1"/>
  <c r="AU107" i="1"/>
  <c r="AY108" i="1" s="1"/>
  <c r="AM107" i="1"/>
  <c r="AK107" i="1"/>
  <c r="AJ107" i="1"/>
  <c r="AN108" i="1" s="1"/>
  <c r="AX106" i="1"/>
  <c r="AV106" i="1"/>
  <c r="AU106" i="1"/>
  <c r="AY107" i="1" s="1"/>
  <c r="AM106" i="1"/>
  <c r="AK106" i="1"/>
  <c r="AJ106" i="1"/>
  <c r="AN107" i="1" s="1"/>
  <c r="AX105" i="1"/>
  <c r="AV105" i="1"/>
  <c r="AU105" i="1"/>
  <c r="AY106" i="1" s="1"/>
  <c r="AM105" i="1"/>
  <c r="AK105" i="1"/>
  <c r="AJ105" i="1"/>
  <c r="AN106" i="1" s="1"/>
  <c r="AX104" i="1"/>
  <c r="AV104" i="1"/>
  <c r="AU104" i="1"/>
  <c r="AY105" i="1" s="1"/>
  <c r="AM104" i="1"/>
  <c r="AK104" i="1"/>
  <c r="AJ104" i="1"/>
  <c r="AN105" i="1" s="1"/>
  <c r="AX103" i="1"/>
  <c r="AV103" i="1"/>
  <c r="AU103" i="1"/>
  <c r="AY104" i="1" s="1"/>
  <c r="AM103" i="1"/>
  <c r="AK103" i="1"/>
  <c r="AJ103" i="1"/>
  <c r="AN104" i="1" s="1"/>
  <c r="AX102" i="1"/>
  <c r="AV102" i="1"/>
  <c r="AU102" i="1"/>
  <c r="AY103" i="1" s="1"/>
  <c r="AM102" i="1"/>
  <c r="AK102" i="1"/>
  <c r="AJ102" i="1"/>
  <c r="AN103" i="1" s="1"/>
  <c r="AX101" i="1"/>
  <c r="AV101" i="1"/>
  <c r="AU101" i="1"/>
  <c r="AY102" i="1" s="1"/>
  <c r="AM101" i="1"/>
  <c r="AK101" i="1"/>
  <c r="AJ101" i="1"/>
  <c r="AN102" i="1" s="1"/>
  <c r="AX100" i="1"/>
  <c r="AV100" i="1"/>
  <c r="AU100" i="1"/>
  <c r="AY101" i="1" s="1"/>
  <c r="AM100" i="1"/>
  <c r="AK100" i="1"/>
  <c r="AJ100" i="1"/>
  <c r="AN101" i="1" s="1"/>
  <c r="AX99" i="1"/>
  <c r="AV99" i="1"/>
  <c r="AU99" i="1"/>
  <c r="AY100" i="1" s="1"/>
  <c r="AM99" i="1"/>
  <c r="AK99" i="1"/>
  <c r="AJ99" i="1"/>
  <c r="AN100" i="1" s="1"/>
  <c r="AX98" i="1"/>
  <c r="AV98" i="1"/>
  <c r="AU98" i="1"/>
  <c r="AY99" i="1" s="1"/>
  <c r="AM98" i="1"/>
  <c r="AK98" i="1"/>
  <c r="AJ98" i="1"/>
  <c r="AN99" i="1" s="1"/>
  <c r="AX97" i="1"/>
  <c r="AV97" i="1"/>
  <c r="AU97" i="1"/>
  <c r="AY98" i="1" s="1"/>
  <c r="AM97" i="1"/>
  <c r="AK97" i="1"/>
  <c r="AJ97" i="1"/>
  <c r="AN98" i="1" s="1"/>
  <c r="AX96" i="1"/>
  <c r="AV96" i="1"/>
  <c r="AU96" i="1"/>
  <c r="AY97" i="1" s="1"/>
  <c r="AM96" i="1"/>
  <c r="AK96" i="1"/>
  <c r="AJ96" i="1"/>
  <c r="AN97" i="1" s="1"/>
  <c r="AX95" i="1"/>
  <c r="AV95" i="1"/>
  <c r="AU95" i="1"/>
  <c r="AY96" i="1" s="1"/>
  <c r="AM95" i="1"/>
  <c r="AK95" i="1"/>
  <c r="AJ95" i="1"/>
  <c r="AN96" i="1" s="1"/>
  <c r="AX94" i="1"/>
  <c r="AV94" i="1"/>
  <c r="AU94" i="1"/>
  <c r="AY95" i="1" s="1"/>
  <c r="AM94" i="1"/>
  <c r="AK94" i="1"/>
  <c r="AJ94" i="1"/>
  <c r="AN95" i="1" s="1"/>
  <c r="AX93" i="1"/>
  <c r="AV93" i="1"/>
  <c r="AU93" i="1"/>
  <c r="AY94" i="1" s="1"/>
  <c r="AM93" i="1"/>
  <c r="AK93" i="1"/>
  <c r="AJ93" i="1"/>
  <c r="AN94" i="1" s="1"/>
  <c r="AX92" i="1"/>
  <c r="AV92" i="1"/>
  <c r="AU92" i="1"/>
  <c r="AY93" i="1" s="1"/>
  <c r="AM92" i="1"/>
  <c r="AK92" i="1"/>
  <c r="AJ92" i="1"/>
  <c r="AN93" i="1" s="1"/>
  <c r="AX91" i="1"/>
  <c r="AV91" i="1"/>
  <c r="AU91" i="1"/>
  <c r="AY92" i="1" s="1"/>
  <c r="AM91" i="1"/>
  <c r="AK91" i="1"/>
  <c r="AJ91" i="1"/>
  <c r="AN92" i="1" s="1"/>
  <c r="AX90" i="1"/>
  <c r="AV90" i="1"/>
  <c r="AU90" i="1"/>
  <c r="AY91" i="1" s="1"/>
  <c r="AM90" i="1"/>
  <c r="AK90" i="1"/>
  <c r="AJ90" i="1"/>
  <c r="AN91" i="1" s="1"/>
  <c r="AX89" i="1"/>
  <c r="AV89" i="1"/>
  <c r="AU89" i="1"/>
  <c r="AY90" i="1" s="1"/>
  <c r="AM89" i="1"/>
  <c r="AK89" i="1"/>
  <c r="AJ89" i="1"/>
  <c r="AN90" i="1" s="1"/>
  <c r="AX88" i="1"/>
  <c r="AV88" i="1"/>
  <c r="AU88" i="1"/>
  <c r="AY89" i="1" s="1"/>
  <c r="AM88" i="1"/>
  <c r="AK88" i="1"/>
  <c r="AJ88" i="1"/>
  <c r="AN89" i="1" s="1"/>
  <c r="AX87" i="1"/>
  <c r="AV87" i="1"/>
  <c r="AU87" i="1"/>
  <c r="AY88" i="1" s="1"/>
  <c r="AM87" i="1"/>
  <c r="AK87" i="1"/>
  <c r="AJ87" i="1"/>
  <c r="AN88" i="1" s="1"/>
  <c r="AX86" i="1"/>
  <c r="AV86" i="1"/>
  <c r="AU86" i="1"/>
  <c r="AY87" i="1" s="1"/>
  <c r="AM86" i="1"/>
  <c r="AK86" i="1"/>
  <c r="AJ86" i="1"/>
  <c r="AN87" i="1" s="1"/>
  <c r="AX85" i="1"/>
  <c r="AV85" i="1"/>
  <c r="AU85" i="1"/>
  <c r="AY86" i="1" s="1"/>
  <c r="AM85" i="1"/>
  <c r="AK85" i="1"/>
  <c r="AJ85" i="1"/>
  <c r="AN86" i="1" s="1"/>
  <c r="AX84" i="1"/>
  <c r="AV84" i="1"/>
  <c r="AU84" i="1"/>
  <c r="AY85" i="1" s="1"/>
  <c r="AM84" i="1"/>
  <c r="AK84" i="1"/>
  <c r="AJ84" i="1"/>
  <c r="AN85" i="1" s="1"/>
  <c r="AX83" i="1"/>
  <c r="AV83" i="1"/>
  <c r="AU83" i="1"/>
  <c r="AY84" i="1" s="1"/>
  <c r="AM83" i="1"/>
  <c r="AK83" i="1"/>
  <c r="AJ83" i="1"/>
  <c r="AN84" i="1" s="1"/>
  <c r="AX82" i="1"/>
  <c r="AV82" i="1"/>
  <c r="AU82" i="1"/>
  <c r="AY83" i="1" s="1"/>
  <c r="AM82" i="1"/>
  <c r="AK82" i="1"/>
  <c r="AJ82" i="1"/>
  <c r="AN83" i="1" s="1"/>
  <c r="AX81" i="1"/>
  <c r="AV81" i="1"/>
  <c r="AU81" i="1"/>
  <c r="AY82" i="1" s="1"/>
  <c r="AM81" i="1"/>
  <c r="AK81" i="1"/>
  <c r="AJ81" i="1"/>
  <c r="AN82" i="1" s="1"/>
  <c r="AX80" i="1"/>
  <c r="AV80" i="1"/>
  <c r="AU80" i="1"/>
  <c r="AY81" i="1" s="1"/>
  <c r="AM80" i="1"/>
  <c r="AK80" i="1"/>
  <c r="AJ80" i="1"/>
  <c r="AN81" i="1" s="1"/>
  <c r="AX79" i="1"/>
  <c r="AV79" i="1"/>
  <c r="AU79" i="1"/>
  <c r="AY80" i="1" s="1"/>
  <c r="AM79" i="1"/>
  <c r="AK79" i="1"/>
  <c r="AJ79" i="1"/>
  <c r="AN80" i="1" s="1"/>
  <c r="AX78" i="1"/>
  <c r="AV78" i="1"/>
  <c r="AU78" i="1"/>
  <c r="AY79" i="1" s="1"/>
  <c r="AM78" i="1"/>
  <c r="AK78" i="1"/>
  <c r="AJ78" i="1"/>
  <c r="AN79" i="1" s="1"/>
  <c r="AX77" i="1"/>
  <c r="AV77" i="1"/>
  <c r="AU77" i="1"/>
  <c r="AY78" i="1" s="1"/>
  <c r="AM77" i="1"/>
  <c r="AK77" i="1"/>
  <c r="AJ77" i="1"/>
  <c r="AN78" i="1" s="1"/>
  <c r="AX76" i="1"/>
  <c r="AV76" i="1"/>
  <c r="AU76" i="1"/>
  <c r="AY77" i="1" s="1"/>
  <c r="AM76" i="1"/>
  <c r="AK76" i="1"/>
  <c r="AJ76" i="1"/>
  <c r="AN77" i="1" s="1"/>
  <c r="AX75" i="1"/>
  <c r="AV75" i="1"/>
  <c r="AU75" i="1"/>
  <c r="AY76" i="1" s="1"/>
  <c r="AM75" i="1"/>
  <c r="AK75" i="1"/>
  <c r="AJ75" i="1"/>
  <c r="AN76" i="1" s="1"/>
  <c r="AX74" i="1"/>
  <c r="AV74" i="1"/>
  <c r="AU74" i="1"/>
  <c r="AY75" i="1" s="1"/>
  <c r="AM74" i="1"/>
  <c r="AK74" i="1"/>
  <c r="AJ74" i="1"/>
  <c r="AN75" i="1" s="1"/>
  <c r="AX73" i="1"/>
  <c r="AV73" i="1"/>
  <c r="AU73" i="1"/>
  <c r="AY74" i="1" s="1"/>
  <c r="AM73" i="1"/>
  <c r="AK73" i="1"/>
  <c r="AJ73" i="1"/>
  <c r="AN74" i="1" s="1"/>
  <c r="AX72" i="1"/>
  <c r="AV72" i="1"/>
  <c r="AU72" i="1"/>
  <c r="AY73" i="1" s="1"/>
  <c r="AM72" i="1"/>
  <c r="AK72" i="1"/>
  <c r="AJ72" i="1"/>
  <c r="AN73" i="1" s="1"/>
  <c r="AX71" i="1"/>
  <c r="AV71" i="1"/>
  <c r="AU71" i="1"/>
  <c r="AY72" i="1" s="1"/>
  <c r="AM71" i="1"/>
  <c r="AK71" i="1"/>
  <c r="AJ71" i="1"/>
  <c r="AN72" i="1" s="1"/>
  <c r="AX70" i="1"/>
  <c r="AV70" i="1"/>
  <c r="AU70" i="1"/>
  <c r="AY71" i="1" s="1"/>
  <c r="AM70" i="1"/>
  <c r="AK70" i="1"/>
  <c r="AJ70" i="1"/>
  <c r="AN71" i="1" s="1"/>
  <c r="AX69" i="1"/>
  <c r="AV69" i="1"/>
  <c r="AU69" i="1"/>
  <c r="AY70" i="1" s="1"/>
  <c r="AM69" i="1"/>
  <c r="AK69" i="1"/>
  <c r="AJ69" i="1"/>
  <c r="AN70" i="1" s="1"/>
  <c r="AX68" i="1"/>
  <c r="AV68" i="1"/>
  <c r="AU68" i="1"/>
  <c r="AY69" i="1" s="1"/>
  <c r="AM68" i="1"/>
  <c r="AK68" i="1"/>
  <c r="AJ68" i="1"/>
  <c r="AN69" i="1" s="1"/>
  <c r="AX67" i="1"/>
  <c r="AV67" i="1"/>
  <c r="AU67" i="1"/>
  <c r="AY68" i="1" s="1"/>
  <c r="AM67" i="1"/>
  <c r="AK67" i="1"/>
  <c r="AJ67" i="1"/>
  <c r="AN68" i="1" s="1"/>
  <c r="AX66" i="1"/>
  <c r="AV66" i="1"/>
  <c r="AU66" i="1"/>
  <c r="AY67" i="1" s="1"/>
  <c r="AM66" i="1"/>
  <c r="AK66" i="1"/>
  <c r="AJ66" i="1"/>
  <c r="AN67" i="1" s="1"/>
  <c r="AX65" i="1"/>
  <c r="AV65" i="1"/>
  <c r="AU65" i="1"/>
  <c r="AY66" i="1" s="1"/>
  <c r="AM65" i="1"/>
  <c r="AK65" i="1"/>
  <c r="AJ65" i="1"/>
  <c r="AN66" i="1" s="1"/>
  <c r="AX64" i="1"/>
  <c r="AV64" i="1"/>
  <c r="AU64" i="1"/>
  <c r="AY65" i="1" s="1"/>
  <c r="AM64" i="1"/>
  <c r="AK64" i="1"/>
  <c r="AJ64" i="1"/>
  <c r="AN65" i="1" s="1"/>
  <c r="AX63" i="1"/>
  <c r="AV63" i="1"/>
  <c r="AU63" i="1"/>
  <c r="AY64" i="1" s="1"/>
  <c r="AM63" i="1"/>
  <c r="AK63" i="1"/>
  <c r="AJ63" i="1"/>
  <c r="AN64" i="1" s="1"/>
  <c r="AX62" i="1"/>
  <c r="AV62" i="1"/>
  <c r="AU62" i="1"/>
  <c r="AY63" i="1" s="1"/>
  <c r="AM62" i="1"/>
  <c r="AK62" i="1"/>
  <c r="AJ62" i="1"/>
  <c r="AN63" i="1" s="1"/>
  <c r="AX61" i="1"/>
  <c r="AV61" i="1"/>
  <c r="AU61" i="1"/>
  <c r="AY62" i="1" s="1"/>
  <c r="AM61" i="1"/>
  <c r="AK61" i="1"/>
  <c r="AJ61" i="1"/>
  <c r="AX60" i="1"/>
  <c r="AV60" i="1"/>
  <c r="AU60" i="1"/>
  <c r="AY61" i="1" s="1"/>
  <c r="AM60" i="1"/>
  <c r="AK60" i="1"/>
  <c r="AJ60" i="1"/>
  <c r="AN61" i="1" s="1"/>
  <c r="AX59" i="1"/>
  <c r="AV59" i="1"/>
  <c r="AU59" i="1"/>
  <c r="AY60" i="1" s="1"/>
  <c r="AM59" i="1"/>
  <c r="AK59" i="1"/>
  <c r="AJ59" i="1"/>
  <c r="AN60" i="1" s="1"/>
  <c r="AX58" i="1"/>
  <c r="AV58" i="1"/>
  <c r="AU58" i="1"/>
  <c r="AY59" i="1" s="1"/>
  <c r="AM58" i="1"/>
  <c r="AK58" i="1"/>
  <c r="AJ58" i="1"/>
  <c r="AN59" i="1" s="1"/>
  <c r="AX57" i="1"/>
  <c r="AV57" i="1"/>
  <c r="AU57" i="1"/>
  <c r="AY58" i="1" s="1"/>
  <c r="AM57" i="1"/>
  <c r="AK57" i="1"/>
  <c r="AJ57" i="1"/>
  <c r="AN58" i="1" s="1"/>
  <c r="AX56" i="1"/>
  <c r="AV56" i="1"/>
  <c r="AU56" i="1"/>
  <c r="AY57" i="1" s="1"/>
  <c r="AM56" i="1"/>
  <c r="AK56" i="1"/>
  <c r="AJ56" i="1"/>
  <c r="AN57" i="1" s="1"/>
  <c r="AX55" i="1"/>
  <c r="AV55" i="1"/>
  <c r="AU55" i="1"/>
  <c r="AY56" i="1" s="1"/>
  <c r="AM55" i="1"/>
  <c r="AK55" i="1"/>
  <c r="AJ55" i="1"/>
  <c r="AN56" i="1" s="1"/>
  <c r="AX54" i="1"/>
  <c r="AV54" i="1"/>
  <c r="AU54" i="1"/>
  <c r="AY55" i="1" s="1"/>
  <c r="AM54" i="1"/>
  <c r="AK54" i="1"/>
  <c r="AJ54" i="1"/>
  <c r="AN55" i="1" s="1"/>
  <c r="AX53" i="1"/>
  <c r="AV53" i="1"/>
  <c r="AU53" i="1"/>
  <c r="AY54" i="1" s="1"/>
  <c r="AM53" i="1"/>
  <c r="AK53" i="1"/>
  <c r="AJ53" i="1"/>
  <c r="AN54" i="1" s="1"/>
  <c r="AX52" i="1"/>
  <c r="AV52" i="1"/>
  <c r="AU52" i="1"/>
  <c r="AY53" i="1" s="1"/>
  <c r="AM52" i="1"/>
  <c r="AK52" i="1"/>
  <c r="AJ52" i="1"/>
  <c r="AX51" i="1"/>
  <c r="AV51" i="1"/>
  <c r="AU51" i="1"/>
  <c r="AY52" i="1" s="1"/>
  <c r="AM51" i="1"/>
  <c r="AK51" i="1"/>
  <c r="AJ51" i="1"/>
  <c r="AN52" i="1" s="1"/>
  <c r="AX50" i="1"/>
  <c r="AV50" i="1"/>
  <c r="AU50" i="1"/>
  <c r="AY51" i="1" s="1"/>
  <c r="AM50" i="1"/>
  <c r="AK50" i="1"/>
  <c r="AJ50" i="1"/>
  <c r="AN51" i="1" s="1"/>
  <c r="AX49" i="1"/>
  <c r="AV49" i="1"/>
  <c r="AU49" i="1"/>
  <c r="AY50" i="1" s="1"/>
  <c r="AM49" i="1"/>
  <c r="AK49" i="1"/>
  <c r="AJ49" i="1"/>
  <c r="AN50" i="1" s="1"/>
  <c r="AX48" i="1"/>
  <c r="AV48" i="1"/>
  <c r="AU48" i="1"/>
  <c r="AY49" i="1" s="1"/>
  <c r="AM48" i="1"/>
  <c r="AK48" i="1"/>
  <c r="AJ48" i="1"/>
  <c r="AN49" i="1" s="1"/>
  <c r="AX47" i="1"/>
  <c r="AV47" i="1"/>
  <c r="AU47" i="1"/>
  <c r="AY48" i="1" s="1"/>
  <c r="AM47" i="1"/>
  <c r="AK47" i="1"/>
  <c r="AJ47" i="1"/>
  <c r="AN48" i="1" s="1"/>
  <c r="AX46" i="1"/>
  <c r="AV46" i="1"/>
  <c r="AU46" i="1"/>
  <c r="AY47" i="1" s="1"/>
  <c r="AM46" i="1"/>
  <c r="AK46" i="1"/>
  <c r="AJ46" i="1"/>
  <c r="AN47" i="1" s="1"/>
  <c r="AX45" i="1"/>
  <c r="AV45" i="1"/>
  <c r="AU45" i="1"/>
  <c r="AY46" i="1" s="1"/>
  <c r="AM45" i="1"/>
  <c r="AK45" i="1"/>
  <c r="AJ45" i="1"/>
  <c r="AN46" i="1" s="1"/>
  <c r="AX44" i="1"/>
  <c r="AV44" i="1"/>
  <c r="AU44" i="1"/>
  <c r="AY45" i="1" s="1"/>
  <c r="AM44" i="1"/>
  <c r="AK44" i="1"/>
  <c r="AJ44" i="1"/>
  <c r="AN45" i="1" s="1"/>
  <c r="AX43" i="1"/>
  <c r="AV43" i="1"/>
  <c r="AU43" i="1"/>
  <c r="AY44" i="1" s="1"/>
  <c r="AM43" i="1"/>
  <c r="AK43" i="1"/>
  <c r="AJ43" i="1"/>
  <c r="AN44" i="1" s="1"/>
  <c r="AX42" i="1"/>
  <c r="AV42" i="1"/>
  <c r="AU42" i="1"/>
  <c r="AY43" i="1" s="1"/>
  <c r="AM42" i="1"/>
  <c r="AK42" i="1"/>
  <c r="AJ42" i="1"/>
  <c r="AN43" i="1" s="1"/>
  <c r="AX41" i="1"/>
  <c r="AV41" i="1"/>
  <c r="AU41" i="1"/>
  <c r="AY42" i="1" s="1"/>
  <c r="AM41" i="1"/>
  <c r="AK41" i="1"/>
  <c r="AJ41" i="1"/>
  <c r="AN42" i="1" s="1"/>
  <c r="AX40" i="1"/>
  <c r="AV40" i="1"/>
  <c r="AU40" i="1"/>
  <c r="AY41" i="1" s="1"/>
  <c r="AM40" i="1"/>
  <c r="AK40" i="1"/>
  <c r="AJ40" i="1"/>
  <c r="AN41" i="1" s="1"/>
  <c r="AX39" i="1"/>
  <c r="AV39" i="1"/>
  <c r="AU39" i="1"/>
  <c r="AY40" i="1" s="1"/>
  <c r="AM39" i="1"/>
  <c r="AK39" i="1"/>
  <c r="AJ39" i="1"/>
  <c r="AN40" i="1" s="1"/>
  <c r="AX38" i="1"/>
  <c r="AV38" i="1"/>
  <c r="AU38" i="1"/>
  <c r="AY39" i="1" s="1"/>
  <c r="AM38" i="1"/>
  <c r="AK38" i="1"/>
  <c r="AJ38" i="1"/>
  <c r="AN39" i="1" s="1"/>
  <c r="AX37" i="1"/>
  <c r="AV37" i="1"/>
  <c r="AU37" i="1"/>
  <c r="AY38" i="1" s="1"/>
  <c r="AM37" i="1"/>
  <c r="AK37" i="1"/>
  <c r="AJ37" i="1"/>
  <c r="AN38" i="1" s="1"/>
  <c r="AX36" i="1"/>
  <c r="AV36" i="1"/>
  <c r="AU36" i="1"/>
  <c r="AY37" i="1" s="1"/>
  <c r="AM36" i="1"/>
  <c r="AK36" i="1"/>
  <c r="AJ36" i="1"/>
  <c r="AN37" i="1" s="1"/>
  <c r="AX35" i="1"/>
  <c r="AV35" i="1"/>
  <c r="AU35" i="1"/>
  <c r="AY36" i="1" s="1"/>
  <c r="AM35" i="1"/>
  <c r="AK35" i="1"/>
  <c r="AJ35" i="1"/>
  <c r="AN36" i="1" s="1"/>
  <c r="AX34" i="1"/>
  <c r="AV34" i="1"/>
  <c r="AU34" i="1"/>
  <c r="AY35" i="1" s="1"/>
  <c r="AM34" i="1"/>
  <c r="AK34" i="1"/>
  <c r="AJ34" i="1"/>
  <c r="AN35" i="1" s="1"/>
  <c r="AX33" i="1"/>
  <c r="AV33" i="1"/>
  <c r="AU33" i="1"/>
  <c r="AY34" i="1" s="1"/>
  <c r="AM33" i="1"/>
  <c r="AK33" i="1"/>
  <c r="AJ33" i="1"/>
  <c r="AN34" i="1" s="1"/>
  <c r="AX32" i="1"/>
  <c r="AV32" i="1"/>
  <c r="AU32" i="1"/>
  <c r="AY33" i="1" s="1"/>
  <c r="AM32" i="1"/>
  <c r="AK32" i="1"/>
  <c r="AJ32" i="1"/>
  <c r="AN33" i="1" s="1"/>
  <c r="AX31" i="1"/>
  <c r="AV31" i="1"/>
  <c r="AU31" i="1"/>
  <c r="AY32" i="1" s="1"/>
  <c r="AM31" i="1"/>
  <c r="AK31" i="1"/>
  <c r="AJ31" i="1"/>
  <c r="AN32" i="1" s="1"/>
  <c r="AX30" i="1"/>
  <c r="AV30" i="1"/>
  <c r="AU30" i="1"/>
  <c r="AY31" i="1" s="1"/>
  <c r="AM30" i="1"/>
  <c r="AK30" i="1"/>
  <c r="AJ30" i="1"/>
  <c r="AN31" i="1" s="1"/>
  <c r="AX29" i="1"/>
  <c r="AV29" i="1"/>
  <c r="AU29" i="1"/>
  <c r="AY30" i="1" s="1"/>
  <c r="AM29" i="1"/>
  <c r="AK29" i="1"/>
  <c r="AJ29" i="1"/>
  <c r="AN30" i="1" s="1"/>
  <c r="AX28" i="1"/>
  <c r="AV28" i="1"/>
  <c r="AU28" i="1"/>
  <c r="AY29" i="1" s="1"/>
  <c r="AM28" i="1"/>
  <c r="AK28" i="1"/>
  <c r="AJ28" i="1"/>
  <c r="AN29" i="1" s="1"/>
  <c r="AX27" i="1"/>
  <c r="AV27" i="1"/>
  <c r="AU27" i="1"/>
  <c r="AY28" i="1" s="1"/>
  <c r="AM27" i="1"/>
  <c r="AK27" i="1"/>
  <c r="AJ27" i="1"/>
  <c r="AN28" i="1" s="1"/>
  <c r="AX26" i="1"/>
  <c r="AV26" i="1"/>
  <c r="AU26" i="1"/>
  <c r="AY27" i="1" s="1"/>
  <c r="AM26" i="1"/>
  <c r="AK26" i="1"/>
  <c r="AJ26" i="1"/>
  <c r="AN27" i="1" s="1"/>
  <c r="AX25" i="1"/>
  <c r="AV25" i="1"/>
  <c r="AU25" i="1"/>
  <c r="AY26" i="1" s="1"/>
  <c r="AM25" i="1"/>
  <c r="AK25" i="1"/>
  <c r="AJ25" i="1"/>
  <c r="AN26" i="1" s="1"/>
  <c r="AX24" i="1"/>
  <c r="AV24" i="1"/>
  <c r="AU24" i="1"/>
  <c r="AY25" i="1" s="1"/>
  <c r="AM24" i="1"/>
  <c r="AK24" i="1"/>
  <c r="AJ24" i="1"/>
  <c r="AN25" i="1" s="1"/>
  <c r="AX23" i="1"/>
  <c r="AV23" i="1"/>
  <c r="AU23" i="1"/>
  <c r="AY24" i="1" s="1"/>
  <c r="AM23" i="1"/>
  <c r="AK23" i="1"/>
  <c r="AJ23" i="1"/>
  <c r="AN24" i="1" s="1"/>
  <c r="AX22" i="1"/>
  <c r="AW22" i="1"/>
  <c r="AV22" i="1"/>
  <c r="AU22" i="1"/>
  <c r="AY23" i="1" s="1"/>
  <c r="AM22" i="1"/>
  <c r="AL22" i="1"/>
  <c r="AK22" i="1"/>
  <c r="AJ22" i="1"/>
  <c r="AN23" i="1" s="1"/>
  <c r="AX21" i="1"/>
  <c r="AY22" i="1" s="1"/>
  <c r="AM21" i="1"/>
  <c r="AN22" i="1" s="1"/>
  <c r="BA20" i="1"/>
  <c r="AZ20" i="1"/>
  <c r="AP20" i="1"/>
  <c r="AO20" i="1"/>
  <c r="AT3" i="1"/>
  <c r="AT4" i="1" s="1"/>
  <c r="AT5" i="1" s="1"/>
  <c r="AT6" i="1" s="1"/>
  <c r="AT7" i="1" s="1"/>
  <c r="AT8" i="1" s="1"/>
  <c r="AT9" i="1" s="1"/>
  <c r="AI3" i="1"/>
  <c r="AI4" i="1" s="1"/>
  <c r="AI5" i="1" s="1"/>
  <c r="AI6" i="1" s="1"/>
  <c r="AI7" i="1" s="1"/>
  <c r="AI8" i="1" s="1"/>
  <c r="AI9" i="1" s="1"/>
  <c r="AV1" i="1"/>
  <c r="AW1" i="1" s="1"/>
  <c r="AX1" i="1" s="1"/>
  <c r="AY1" i="1" s="1"/>
  <c r="AZ1" i="1" s="1"/>
  <c r="BA1" i="1" s="1"/>
  <c r="BB1" i="1" s="1"/>
  <c r="AK1" i="1"/>
  <c r="AL1" i="1" s="1"/>
  <c r="AM1" i="1" s="1"/>
  <c r="AN1" i="1" s="1"/>
  <c r="AO1" i="1" s="1"/>
  <c r="AP1" i="1" s="1"/>
  <c r="AQ1" i="1" s="1"/>
  <c r="AN62" i="1" l="1"/>
  <c r="AN53" i="1"/>
  <c r="AN139" i="1"/>
  <c r="AO176" i="1"/>
  <c r="AP176" i="1"/>
  <c r="AL176" i="1"/>
  <c r="AW175" i="1"/>
  <c r="AY176" i="1" s="1"/>
  <c r="BA175" i="1"/>
  <c r="AZ175" i="1"/>
  <c r="BB175" i="1" s="1"/>
  <c r="AO175" i="1"/>
  <c r="AL175" i="1"/>
  <c r="AP175" i="1"/>
  <c r="AL174" i="1"/>
  <c r="AP174" i="1"/>
  <c r="AO174" i="1"/>
  <c r="AQ174" i="1" s="1"/>
  <c r="AW173" i="1"/>
  <c r="AY174" i="1" s="1"/>
  <c r="AZ173" i="1"/>
  <c r="BA173" i="1"/>
  <c r="AL173" i="1"/>
  <c r="AO173" i="1"/>
  <c r="AP173" i="1"/>
  <c r="AW172" i="1"/>
  <c r="AZ172" i="1"/>
  <c r="BA172" i="1"/>
  <c r="AL172" i="1"/>
  <c r="AP172" i="1"/>
  <c r="AO172" i="1"/>
  <c r="AQ172" i="1" s="1"/>
  <c r="AW171" i="1"/>
  <c r="BA171" i="1"/>
  <c r="AZ171" i="1"/>
  <c r="BB171" i="1" s="1"/>
  <c r="AL171" i="1"/>
  <c r="AO171" i="1"/>
  <c r="AP171" i="1"/>
  <c r="AP170" i="1"/>
  <c r="AL170" i="1"/>
  <c r="AO170" i="1"/>
  <c r="AQ170" i="1" s="1"/>
  <c r="AL169" i="1"/>
  <c r="AP169" i="1"/>
  <c r="AO169" i="1"/>
  <c r="AQ169" i="1" s="1"/>
  <c r="AW168" i="1"/>
  <c r="AY169" i="1" s="1"/>
  <c r="BA168" i="1"/>
  <c r="AZ168" i="1"/>
  <c r="BB168" i="1" s="1"/>
  <c r="AL168" i="1"/>
  <c r="AP168" i="1"/>
  <c r="AO168" i="1"/>
  <c r="AQ168" i="1" s="1"/>
  <c r="BE168" i="1" s="1"/>
  <c r="AZ167" i="1"/>
  <c r="AW167" i="1"/>
  <c r="BA167" i="1"/>
  <c r="AL167" i="1"/>
  <c r="AP167" i="1"/>
  <c r="AO167" i="1"/>
  <c r="AQ167" i="1" s="1"/>
  <c r="AP166" i="1"/>
  <c r="AL166" i="1"/>
  <c r="AO166" i="1"/>
  <c r="AQ166" i="1" s="1"/>
  <c r="AL165" i="1"/>
  <c r="AP165" i="1"/>
  <c r="AO165" i="1"/>
  <c r="AQ165" i="1" s="1"/>
  <c r="AP164" i="1"/>
  <c r="AO164" i="1"/>
  <c r="AQ164" i="1" s="1"/>
  <c r="AL164" i="1"/>
  <c r="AW163" i="1"/>
  <c r="AY164" i="1" s="1"/>
  <c r="AZ163" i="1"/>
  <c r="BA163" i="1"/>
  <c r="AP163" i="1"/>
  <c r="AO163" i="1"/>
  <c r="AL163" i="1"/>
  <c r="AP162" i="1"/>
  <c r="AL162" i="1"/>
  <c r="AO162" i="1"/>
  <c r="AQ162" i="1" s="1"/>
  <c r="AL161" i="1"/>
  <c r="AP161" i="1"/>
  <c r="AO161" i="1"/>
  <c r="AQ161" i="1" s="1"/>
  <c r="AZ160" i="1"/>
  <c r="AW160" i="1"/>
  <c r="AY161" i="1" s="1"/>
  <c r="BA160" i="1"/>
  <c r="AZ159" i="1"/>
  <c r="AW159" i="1"/>
  <c r="BA159" i="1"/>
  <c r="AL159" i="1"/>
  <c r="AN160" i="1" s="1"/>
  <c r="AO159" i="1"/>
  <c r="AP159" i="1"/>
  <c r="BA158" i="1"/>
  <c r="AZ158" i="1"/>
  <c r="AW158" i="1"/>
  <c r="BA157" i="1"/>
  <c r="AZ157" i="1"/>
  <c r="BB157" i="1" s="1"/>
  <c r="AW157" i="1"/>
  <c r="AZ156" i="1"/>
  <c r="AW156" i="1"/>
  <c r="BA156" i="1"/>
  <c r="AW155" i="1"/>
  <c r="BA155" i="1"/>
  <c r="AZ155" i="1"/>
  <c r="BB155" i="1" s="1"/>
  <c r="AO155" i="1"/>
  <c r="AP155" i="1"/>
  <c r="AL155" i="1"/>
  <c r="AN156" i="1" s="1"/>
  <c r="AO154" i="1"/>
  <c r="AL154" i="1"/>
  <c r="AP154" i="1"/>
  <c r="AO153" i="1"/>
  <c r="AP153" i="1"/>
  <c r="AL153" i="1"/>
  <c r="AO152" i="1"/>
  <c r="AP152" i="1"/>
  <c r="AL152" i="1"/>
  <c r="AZ151" i="1"/>
  <c r="BA151" i="1"/>
  <c r="AW151" i="1"/>
  <c r="AY152" i="1" s="1"/>
  <c r="AP151" i="1"/>
  <c r="AO151" i="1"/>
  <c r="AQ151" i="1" s="1"/>
  <c r="AL151" i="1"/>
  <c r="BA150" i="1"/>
  <c r="AW150" i="1"/>
  <c r="AZ150" i="1"/>
  <c r="BB150" i="1" s="1"/>
  <c r="AW149" i="1"/>
  <c r="AZ149" i="1"/>
  <c r="BA149" i="1"/>
  <c r="AL149" i="1"/>
  <c r="AN150" i="1" s="1"/>
  <c r="AP149" i="1"/>
  <c r="AO149" i="1"/>
  <c r="AQ149" i="1" s="1"/>
  <c r="AW148" i="1"/>
  <c r="BA148" i="1"/>
  <c r="AZ148" i="1"/>
  <c r="BB148" i="1" s="1"/>
  <c r="AP147" i="1"/>
  <c r="AO147" i="1"/>
  <c r="AQ147" i="1" s="1"/>
  <c r="AL147" i="1"/>
  <c r="AN148" i="1" s="1"/>
  <c r="AL146" i="1"/>
  <c r="AP146" i="1"/>
  <c r="AO146" i="1"/>
  <c r="AQ146" i="1" s="1"/>
  <c r="AL145" i="1"/>
  <c r="AO145" i="1"/>
  <c r="AP145" i="1"/>
  <c r="AL144" i="1"/>
  <c r="AO144" i="1"/>
  <c r="AP144" i="1"/>
  <c r="AW143" i="1"/>
  <c r="AY144" i="1" s="1"/>
  <c r="AZ143" i="1"/>
  <c r="BA143" i="1"/>
  <c r="AW142" i="1"/>
  <c r="BA142" i="1"/>
  <c r="AZ142" i="1"/>
  <c r="AO142" i="1"/>
  <c r="AL142" i="1"/>
  <c r="AN143" i="1" s="1"/>
  <c r="AP142" i="1"/>
  <c r="AW141" i="1"/>
  <c r="BA141" i="1"/>
  <c r="AZ141" i="1"/>
  <c r="BB141" i="1" s="1"/>
  <c r="BA140" i="1"/>
  <c r="AW140" i="1"/>
  <c r="AZ140" i="1"/>
  <c r="BB140" i="1" s="1"/>
  <c r="AP140" i="1"/>
  <c r="AL140" i="1"/>
  <c r="AN141" i="1" s="1"/>
  <c r="AO140" i="1"/>
  <c r="AQ140" i="1" s="1"/>
  <c r="BE140" i="1" s="1"/>
  <c r="AZ139" i="1"/>
  <c r="AW139" i="1"/>
  <c r="BA139" i="1"/>
  <c r="AL139" i="1"/>
  <c r="AO139" i="1"/>
  <c r="AQ139" i="1" s="1"/>
  <c r="AP139" i="1"/>
  <c r="AZ138" i="1"/>
  <c r="BB138" i="1" s="1"/>
  <c r="AW138" i="1"/>
  <c r="BA138" i="1"/>
  <c r="AL138" i="1"/>
  <c r="AO138" i="1"/>
  <c r="AP138" i="1"/>
  <c r="BA137" i="1"/>
  <c r="AZ137" i="1"/>
  <c r="BB137" i="1" s="1"/>
  <c r="AW137" i="1"/>
  <c r="AP137" i="1"/>
  <c r="AL137" i="1"/>
  <c r="AO137" i="1"/>
  <c r="AQ137" i="1" s="1"/>
  <c r="BE137" i="1" s="1"/>
  <c r="AZ136" i="1"/>
  <c r="AW136" i="1"/>
  <c r="BA136" i="1"/>
  <c r="AZ135" i="1"/>
  <c r="AW135" i="1"/>
  <c r="BA135" i="1"/>
  <c r="AL135" i="1"/>
  <c r="AN136" i="1" s="1"/>
  <c r="AO135" i="1"/>
  <c r="AQ135" i="1" s="1"/>
  <c r="AP135" i="1"/>
  <c r="AZ134" i="1"/>
  <c r="AW134" i="1"/>
  <c r="BA134" i="1"/>
  <c r="AL134" i="1"/>
  <c r="AO134" i="1"/>
  <c r="AP134" i="1"/>
  <c r="AZ133" i="1"/>
  <c r="AW133" i="1"/>
  <c r="BA133" i="1"/>
  <c r="AP133" i="1"/>
  <c r="AO133" i="1"/>
  <c r="AQ133" i="1" s="1"/>
  <c r="AL133" i="1"/>
  <c r="AW132" i="1"/>
  <c r="AZ132" i="1"/>
  <c r="BA132" i="1"/>
  <c r="AO132" i="1"/>
  <c r="AL132" i="1"/>
  <c r="AP132" i="1"/>
  <c r="BA131" i="1"/>
  <c r="AZ131" i="1"/>
  <c r="BB131" i="1" s="1"/>
  <c r="AW131" i="1"/>
  <c r="AP131" i="1"/>
  <c r="AL131" i="1"/>
  <c r="AO131" i="1"/>
  <c r="AQ131" i="1" s="1"/>
  <c r="BE131" i="1" s="1"/>
  <c r="AW130" i="1"/>
  <c r="BA130" i="1"/>
  <c r="AZ130" i="1"/>
  <c r="BB130" i="1" s="1"/>
  <c r="AL130" i="1"/>
  <c r="AP130" i="1"/>
  <c r="AO130" i="1"/>
  <c r="AQ130" i="1" s="1"/>
  <c r="BE130" i="1" s="1"/>
  <c r="BA129" i="1"/>
  <c r="AW129" i="1"/>
  <c r="AZ129" i="1"/>
  <c r="BB129" i="1" s="1"/>
  <c r="AO129" i="1"/>
  <c r="AL129" i="1"/>
  <c r="AP129" i="1"/>
  <c r="AW128" i="1"/>
  <c r="AZ128" i="1"/>
  <c r="BB128" i="1" s="1"/>
  <c r="BA128" i="1"/>
  <c r="AO128" i="1"/>
  <c r="AL128" i="1"/>
  <c r="AP128" i="1"/>
  <c r="BA127" i="1"/>
  <c r="AW127" i="1"/>
  <c r="AZ127" i="1"/>
  <c r="BB127" i="1" s="1"/>
  <c r="AO127" i="1"/>
  <c r="AL127" i="1"/>
  <c r="AP127" i="1"/>
  <c r="AW126" i="1"/>
  <c r="BA126" i="1"/>
  <c r="AZ126" i="1"/>
  <c r="BB126" i="1" s="1"/>
  <c r="AO126" i="1"/>
  <c r="AQ126" i="1" s="1"/>
  <c r="BE126" i="1" s="1"/>
  <c r="AP126" i="1"/>
  <c r="AL126" i="1"/>
  <c r="BA125" i="1"/>
  <c r="AZ125" i="1"/>
  <c r="BB125" i="1" s="1"/>
  <c r="AW125" i="1"/>
  <c r="AO125" i="1"/>
  <c r="AL125" i="1"/>
  <c r="AP125" i="1"/>
  <c r="AZ124" i="1"/>
  <c r="AW124" i="1"/>
  <c r="BA124" i="1"/>
  <c r="AO124" i="1"/>
  <c r="AL124" i="1"/>
  <c r="AP124" i="1"/>
  <c r="AZ123" i="1"/>
  <c r="AW123" i="1"/>
  <c r="BA123" i="1"/>
  <c r="AP123" i="1"/>
  <c r="AL123" i="1"/>
  <c r="AO123" i="1"/>
  <c r="AQ123" i="1" s="1"/>
  <c r="AZ122" i="1"/>
  <c r="BB122" i="1" s="1"/>
  <c r="BA122" i="1"/>
  <c r="AW122" i="1"/>
  <c r="AO122" i="1"/>
  <c r="AL122" i="1"/>
  <c r="AP122" i="1"/>
  <c r="BA121" i="1"/>
  <c r="AZ121" i="1"/>
  <c r="BB121" i="1" s="1"/>
  <c r="AW121" i="1"/>
  <c r="AL121" i="1"/>
  <c r="AP121" i="1"/>
  <c r="AO121" i="1"/>
  <c r="AQ121" i="1" s="1"/>
  <c r="BE121" i="1" s="1"/>
  <c r="AZ120" i="1"/>
  <c r="AW120" i="1"/>
  <c r="BA120" i="1"/>
  <c r="AL120" i="1"/>
  <c r="AP120" i="1"/>
  <c r="AO120" i="1"/>
  <c r="AQ120" i="1" s="1"/>
  <c r="AW119" i="1"/>
  <c r="AZ119" i="1"/>
  <c r="BB119" i="1" s="1"/>
  <c r="BA119" i="1"/>
  <c r="AP119" i="1"/>
  <c r="AO119" i="1"/>
  <c r="AL119" i="1"/>
  <c r="AW118" i="1"/>
  <c r="BA118" i="1"/>
  <c r="AZ118" i="1"/>
  <c r="BB118" i="1" s="1"/>
  <c r="AL118" i="1"/>
  <c r="AO118" i="1"/>
  <c r="AP118" i="1"/>
  <c r="AW117" i="1"/>
  <c r="BA117" i="1"/>
  <c r="AZ117" i="1"/>
  <c r="BB117" i="1" s="1"/>
  <c r="AP117" i="1"/>
  <c r="AO117" i="1"/>
  <c r="AQ117" i="1" s="1"/>
  <c r="BE117" i="1" s="1"/>
  <c r="AL117" i="1"/>
  <c r="BA116" i="1"/>
  <c r="AW116" i="1"/>
  <c r="AZ116" i="1"/>
  <c r="AL116" i="1"/>
  <c r="AP116" i="1"/>
  <c r="AO116" i="1"/>
  <c r="AQ116" i="1" s="1"/>
  <c r="AW115" i="1"/>
  <c r="AZ115" i="1"/>
  <c r="BA115" i="1"/>
  <c r="AP115" i="1"/>
  <c r="AL115" i="1"/>
  <c r="AO115" i="1"/>
  <c r="AQ115" i="1" s="1"/>
  <c r="BA114" i="1"/>
  <c r="AW114" i="1"/>
  <c r="AZ114" i="1"/>
  <c r="BB114" i="1" s="1"/>
  <c r="AO114" i="1"/>
  <c r="AP114" i="1"/>
  <c r="AL114" i="1"/>
  <c r="AW113" i="1"/>
  <c r="BA113" i="1"/>
  <c r="AZ113" i="1"/>
  <c r="BB113" i="1" s="1"/>
  <c r="AL113" i="1"/>
  <c r="AO113" i="1"/>
  <c r="AP113" i="1"/>
  <c r="BA112" i="1"/>
  <c r="AW112" i="1"/>
  <c r="AZ112" i="1"/>
  <c r="BB112" i="1" s="1"/>
  <c r="AO112" i="1"/>
  <c r="AP112" i="1"/>
  <c r="AL112" i="1"/>
  <c r="AW111" i="1"/>
  <c r="AZ111" i="1"/>
  <c r="BB111" i="1" s="1"/>
  <c r="BA111" i="1"/>
  <c r="AP111" i="1"/>
  <c r="AL111" i="1"/>
  <c r="AO111" i="1"/>
  <c r="AQ111" i="1" s="1"/>
  <c r="BE111" i="1" s="1"/>
  <c r="AW110" i="1"/>
  <c r="BA110" i="1"/>
  <c r="AZ110" i="1"/>
  <c r="BB110" i="1" s="1"/>
  <c r="AO110" i="1"/>
  <c r="AL110" i="1"/>
  <c r="AP110" i="1"/>
  <c r="AW109" i="1"/>
  <c r="AZ109" i="1"/>
  <c r="BA109" i="1"/>
  <c r="AO109" i="1"/>
  <c r="AL109" i="1"/>
  <c r="AP109" i="1"/>
  <c r="BA108" i="1"/>
  <c r="AW108" i="1"/>
  <c r="AZ108" i="1"/>
  <c r="BB108" i="1" s="1"/>
  <c r="AL108" i="1"/>
  <c r="AP108" i="1"/>
  <c r="AO108" i="1"/>
  <c r="AQ108" i="1" s="1"/>
  <c r="BE108" i="1" s="1"/>
  <c r="BA107" i="1"/>
  <c r="AW107" i="1"/>
  <c r="AZ107" i="1"/>
  <c r="BB107" i="1" s="1"/>
  <c r="AO107" i="1"/>
  <c r="AL107" i="1"/>
  <c r="AP107" i="1"/>
  <c r="AW106" i="1"/>
  <c r="AZ106" i="1"/>
  <c r="BA106" i="1"/>
  <c r="AO106" i="1"/>
  <c r="AP106" i="1"/>
  <c r="AL106" i="1"/>
  <c r="AW105" i="1"/>
  <c r="BA105" i="1"/>
  <c r="AZ105" i="1"/>
  <c r="BB105" i="1" s="1"/>
  <c r="AL105" i="1"/>
  <c r="AP105" i="1"/>
  <c r="AO105" i="1"/>
  <c r="AQ105" i="1" s="1"/>
  <c r="BE105" i="1" s="1"/>
  <c r="BA104" i="1"/>
  <c r="AW104" i="1"/>
  <c r="AZ104" i="1"/>
  <c r="BB104" i="1" s="1"/>
  <c r="AO104" i="1"/>
  <c r="AL104" i="1"/>
  <c r="AP104" i="1"/>
  <c r="AZ103" i="1"/>
  <c r="AW103" i="1"/>
  <c r="BA103" i="1"/>
  <c r="AL103" i="1"/>
  <c r="AP103" i="1"/>
  <c r="AO103" i="1"/>
  <c r="AQ103" i="1" s="1"/>
  <c r="AW102" i="1"/>
  <c r="BA102" i="1"/>
  <c r="AZ102" i="1"/>
  <c r="BB102" i="1" s="1"/>
  <c r="AO102" i="1"/>
  <c r="AQ102" i="1" s="1"/>
  <c r="BE102" i="1" s="1"/>
  <c r="AP102" i="1"/>
  <c r="AL102" i="1"/>
  <c r="AW101" i="1"/>
  <c r="AZ101" i="1"/>
  <c r="BA101" i="1"/>
  <c r="AO101" i="1"/>
  <c r="AP101" i="1"/>
  <c r="AL101" i="1"/>
  <c r="BA100" i="1"/>
  <c r="AW100" i="1"/>
  <c r="AZ100" i="1"/>
  <c r="BB100" i="1" s="1"/>
  <c r="AO100" i="1"/>
  <c r="AL100" i="1"/>
  <c r="AP100" i="1"/>
  <c r="BA99" i="1"/>
  <c r="AW99" i="1"/>
  <c r="AZ99" i="1"/>
  <c r="BB99" i="1" s="1"/>
  <c r="AO99" i="1"/>
  <c r="AL99" i="1"/>
  <c r="AP99" i="1"/>
  <c r="BA98" i="1"/>
  <c r="AW98" i="1"/>
  <c r="AZ98" i="1"/>
  <c r="BB98" i="1" s="1"/>
  <c r="AP97" i="1"/>
  <c r="AO97" i="1"/>
  <c r="AQ97" i="1" s="1"/>
  <c r="AL97" i="1"/>
  <c r="AP98" i="1"/>
  <c r="AO98" i="1"/>
  <c r="AQ98" i="1" s="1"/>
  <c r="BE98" i="1" s="1"/>
  <c r="AL98" i="1"/>
  <c r="AW97" i="1"/>
  <c r="AZ97" i="1"/>
  <c r="BB97" i="1" s="1"/>
  <c r="BA97" i="1"/>
  <c r="BA96" i="1"/>
  <c r="AW96" i="1"/>
  <c r="AZ96" i="1"/>
  <c r="BB96" i="1" s="1"/>
  <c r="AL96" i="1"/>
  <c r="AP96" i="1"/>
  <c r="AO96" i="1"/>
  <c r="AQ96" i="1" s="1"/>
  <c r="BE96" i="1" s="1"/>
  <c r="BA95" i="1"/>
  <c r="AW95" i="1"/>
  <c r="AZ95" i="1"/>
  <c r="BB95" i="1" s="1"/>
  <c r="AP95" i="1"/>
  <c r="AO95" i="1"/>
  <c r="AQ95" i="1" s="1"/>
  <c r="BE95" i="1" s="1"/>
  <c r="AL95" i="1"/>
  <c r="AZ93" i="1"/>
  <c r="BA93" i="1"/>
  <c r="AW93" i="1"/>
  <c r="AW94" i="1"/>
  <c r="AZ94" i="1"/>
  <c r="BB94" i="1" s="1"/>
  <c r="BA94" i="1"/>
  <c r="AL94" i="1"/>
  <c r="AP94" i="1"/>
  <c r="AO94" i="1"/>
  <c r="AQ94" i="1" s="1"/>
  <c r="BE94" i="1" s="1"/>
  <c r="AP93" i="1"/>
  <c r="AL93" i="1"/>
  <c r="AO93" i="1"/>
  <c r="AQ93" i="1" s="1"/>
  <c r="AZ92" i="1"/>
  <c r="AW92" i="1"/>
  <c r="BA92" i="1"/>
  <c r="AL92" i="1"/>
  <c r="AP92" i="1"/>
  <c r="AO92" i="1"/>
  <c r="AQ92" i="1" s="1"/>
  <c r="BA91" i="1"/>
  <c r="AW91" i="1"/>
  <c r="AZ91" i="1"/>
  <c r="BB91" i="1" s="1"/>
  <c r="AO91" i="1"/>
  <c r="AL91" i="1"/>
  <c r="AP91" i="1"/>
  <c r="BA90" i="1"/>
  <c r="AZ90" i="1"/>
  <c r="BB90" i="1" s="1"/>
  <c r="AW90" i="1"/>
  <c r="AO90" i="1"/>
  <c r="AL90" i="1"/>
  <c r="AP90" i="1"/>
  <c r="BA89" i="1"/>
  <c r="AZ89" i="1"/>
  <c r="BB89" i="1" s="1"/>
  <c r="AW89" i="1"/>
  <c r="AP89" i="1"/>
  <c r="AO89" i="1"/>
  <c r="AQ89" i="1" s="1"/>
  <c r="BE89" i="1" s="1"/>
  <c r="AL89" i="1"/>
  <c r="AW88" i="1"/>
  <c r="BA88" i="1"/>
  <c r="AZ88" i="1"/>
  <c r="BB88" i="1" s="1"/>
  <c r="AP88" i="1"/>
  <c r="AO88" i="1"/>
  <c r="AQ88" i="1" s="1"/>
  <c r="BE88" i="1" s="1"/>
  <c r="AL88" i="1"/>
  <c r="BA87" i="1"/>
  <c r="AW87" i="1"/>
  <c r="AZ87" i="1"/>
  <c r="BB87" i="1" s="1"/>
  <c r="AL87" i="1"/>
  <c r="AP87" i="1"/>
  <c r="AO87" i="1"/>
  <c r="AQ87" i="1" s="1"/>
  <c r="BE87" i="1" s="1"/>
  <c r="AZ86" i="1"/>
  <c r="AW86" i="1"/>
  <c r="BA86" i="1"/>
  <c r="AP86" i="1"/>
  <c r="AL86" i="1"/>
  <c r="AO86" i="1"/>
  <c r="AQ86" i="1" s="1"/>
  <c r="AZ85" i="1"/>
  <c r="AW85" i="1"/>
  <c r="BA85" i="1"/>
  <c r="AL85" i="1"/>
  <c r="AP85" i="1"/>
  <c r="AO85" i="1"/>
  <c r="AQ85" i="1" s="1"/>
  <c r="BA84" i="1"/>
  <c r="AW84" i="1"/>
  <c r="AZ84" i="1"/>
  <c r="BB84" i="1" s="1"/>
  <c r="AL84" i="1"/>
  <c r="AO84" i="1"/>
  <c r="AQ84" i="1" s="1"/>
  <c r="BE84" i="1" s="1"/>
  <c r="AP84" i="1"/>
  <c r="BA83" i="1"/>
  <c r="AW83" i="1"/>
  <c r="AZ83" i="1"/>
  <c r="BB83" i="1" s="1"/>
  <c r="AP83" i="1"/>
  <c r="AL83" i="1"/>
  <c r="AO83" i="1"/>
  <c r="AQ83" i="1" s="1"/>
  <c r="BE83" i="1" s="1"/>
  <c r="AW82" i="1"/>
  <c r="AZ82" i="1"/>
  <c r="BA82" i="1"/>
  <c r="AP82" i="1"/>
  <c r="AO82" i="1"/>
  <c r="AQ82" i="1" s="1"/>
  <c r="AL82" i="1"/>
  <c r="AZ81" i="1"/>
  <c r="BA81" i="1"/>
  <c r="AW81" i="1"/>
  <c r="AP81" i="1"/>
  <c r="AO81" i="1"/>
  <c r="AQ81" i="1" s="1"/>
  <c r="AL81" i="1"/>
  <c r="AW80" i="1"/>
  <c r="BA80" i="1"/>
  <c r="AZ80" i="1"/>
  <c r="BB80" i="1" s="1"/>
  <c r="AP80" i="1"/>
  <c r="AO80" i="1"/>
  <c r="AQ80" i="1" s="1"/>
  <c r="BE80" i="1" s="1"/>
  <c r="AL80" i="1"/>
  <c r="BA79" i="1"/>
  <c r="AZ79" i="1"/>
  <c r="BB79" i="1" s="1"/>
  <c r="AW79" i="1"/>
  <c r="AP79" i="1"/>
  <c r="AO79" i="1"/>
  <c r="AQ79" i="1" s="1"/>
  <c r="BE79" i="1" s="1"/>
  <c r="AL79" i="1"/>
  <c r="BA78" i="1"/>
  <c r="AZ78" i="1"/>
  <c r="BB78" i="1" s="1"/>
  <c r="AW78" i="1"/>
  <c r="AO78" i="1"/>
  <c r="AL78" i="1"/>
  <c r="AP78" i="1"/>
  <c r="AZ77" i="1"/>
  <c r="AW77" i="1"/>
  <c r="BA77" i="1"/>
  <c r="AP77" i="1"/>
  <c r="AL77" i="1"/>
  <c r="AO77" i="1"/>
  <c r="AQ77" i="1" s="1"/>
  <c r="AZ76" i="1"/>
  <c r="AW76" i="1"/>
  <c r="BA76" i="1"/>
  <c r="AO76" i="1"/>
  <c r="AP76" i="1"/>
  <c r="AL76" i="1"/>
  <c r="BA75" i="1"/>
  <c r="AW75" i="1"/>
  <c r="AZ75" i="1"/>
  <c r="BB75" i="1" s="1"/>
  <c r="AP75" i="1"/>
  <c r="AO75" i="1"/>
  <c r="AQ75" i="1" s="1"/>
  <c r="BE75" i="1" s="1"/>
  <c r="AL75" i="1"/>
  <c r="AZ74" i="1"/>
  <c r="AW74" i="1"/>
  <c r="BA74" i="1"/>
  <c r="AO74" i="1"/>
  <c r="AP74" i="1"/>
  <c r="AL74" i="1"/>
  <c r="AW73" i="1"/>
  <c r="BA73" i="1"/>
  <c r="AZ73" i="1"/>
  <c r="BB73" i="1" s="1"/>
  <c r="AO73" i="1"/>
  <c r="AP73" i="1"/>
  <c r="AL73" i="1"/>
  <c r="BA72" i="1"/>
  <c r="AW72" i="1"/>
  <c r="AZ72" i="1"/>
  <c r="BB72" i="1" s="1"/>
  <c r="AL72" i="1"/>
  <c r="AP72" i="1"/>
  <c r="AO72" i="1"/>
  <c r="AQ72" i="1" s="1"/>
  <c r="BE72" i="1" s="1"/>
  <c r="AZ71" i="1"/>
  <c r="AW71" i="1"/>
  <c r="BA71" i="1"/>
  <c r="AP71" i="1"/>
  <c r="AO71" i="1"/>
  <c r="AQ71" i="1" s="1"/>
  <c r="AL71" i="1"/>
  <c r="AW70" i="1"/>
  <c r="BA70" i="1"/>
  <c r="AZ70" i="1"/>
  <c r="BB70" i="1" s="1"/>
  <c r="AO70" i="1"/>
  <c r="AP70" i="1"/>
  <c r="AL70" i="1"/>
  <c r="BA69" i="1"/>
  <c r="AZ69" i="1"/>
  <c r="BB69" i="1" s="1"/>
  <c r="AW69" i="1"/>
  <c r="AP69" i="1"/>
  <c r="AO69" i="1"/>
  <c r="AQ69" i="1" s="1"/>
  <c r="BE69" i="1" s="1"/>
  <c r="AL69" i="1"/>
  <c r="AZ68" i="1"/>
  <c r="BB68" i="1" s="1"/>
  <c r="BA68" i="1"/>
  <c r="AW68" i="1"/>
  <c r="AL68" i="1"/>
  <c r="AP68" i="1"/>
  <c r="AO68" i="1"/>
  <c r="AZ67" i="1"/>
  <c r="BA67" i="1"/>
  <c r="AW67" i="1"/>
  <c r="AL67" i="1"/>
  <c r="AO67" i="1"/>
  <c r="AQ67" i="1" s="1"/>
  <c r="AP67" i="1"/>
  <c r="AW66" i="1"/>
  <c r="AZ66" i="1"/>
  <c r="BB66" i="1" s="1"/>
  <c r="BA66" i="1"/>
  <c r="AO66" i="1"/>
  <c r="AQ66" i="1" s="1"/>
  <c r="BE66" i="1" s="1"/>
  <c r="AP66" i="1"/>
  <c r="AL66" i="1"/>
  <c r="AW65" i="1"/>
  <c r="AZ65" i="1"/>
  <c r="BB65" i="1" s="1"/>
  <c r="BA65" i="1"/>
  <c r="AO65" i="1"/>
  <c r="AP65" i="1"/>
  <c r="AL65" i="1"/>
  <c r="AZ64" i="1"/>
  <c r="BB64" i="1" s="1"/>
  <c r="BA64" i="1"/>
  <c r="AW64" i="1"/>
  <c r="AL64" i="1"/>
  <c r="AP64" i="1"/>
  <c r="AO64" i="1"/>
  <c r="AQ64" i="1" s="1"/>
  <c r="BE64" i="1" s="1"/>
  <c r="BA63" i="1"/>
  <c r="AZ63" i="1"/>
  <c r="BB63" i="1" s="1"/>
  <c r="AW63" i="1"/>
  <c r="AO63" i="1"/>
  <c r="AP63" i="1"/>
  <c r="AL63" i="1"/>
  <c r="BA62" i="1"/>
  <c r="AZ62" i="1"/>
  <c r="BB62" i="1" s="1"/>
  <c r="AW62" i="1"/>
  <c r="AO62" i="1"/>
  <c r="AQ62" i="1" s="1"/>
  <c r="BE62" i="1" s="1"/>
  <c r="AP62" i="1"/>
  <c r="AL62" i="1"/>
  <c r="BA61" i="1"/>
  <c r="AW61" i="1"/>
  <c r="AZ61" i="1"/>
  <c r="BB61" i="1" s="1"/>
  <c r="AP61" i="1"/>
  <c r="AO61" i="1"/>
  <c r="AQ61" i="1" s="1"/>
  <c r="BE61" i="1" s="1"/>
  <c r="AL61" i="1"/>
  <c r="AW60" i="1"/>
  <c r="BA60" i="1"/>
  <c r="AZ60" i="1"/>
  <c r="BB60" i="1" s="1"/>
  <c r="AO60" i="1"/>
  <c r="AQ60" i="1" s="1"/>
  <c r="BE60" i="1" s="1"/>
  <c r="AP60" i="1"/>
  <c r="AL60" i="1"/>
  <c r="BA59" i="1"/>
  <c r="AW59" i="1"/>
  <c r="AZ59" i="1"/>
  <c r="BB59" i="1" s="1"/>
  <c r="AL59" i="1"/>
  <c r="AO59" i="1"/>
  <c r="AP59" i="1"/>
  <c r="AZ58" i="1"/>
  <c r="BA58" i="1"/>
  <c r="AW58" i="1"/>
  <c r="AL58" i="1"/>
  <c r="AP58" i="1"/>
  <c r="AO58" i="1"/>
  <c r="AQ58" i="1" s="1"/>
  <c r="BA57" i="1"/>
  <c r="AW57" i="1"/>
  <c r="AZ57" i="1"/>
  <c r="BB57" i="1" s="1"/>
  <c r="AP57" i="1"/>
  <c r="AL57" i="1"/>
  <c r="AO57" i="1"/>
  <c r="AQ57" i="1" s="1"/>
  <c r="BE57" i="1" s="1"/>
  <c r="AZ56" i="1"/>
  <c r="BA56" i="1"/>
  <c r="AW56" i="1"/>
  <c r="AL56" i="1"/>
  <c r="AO56" i="1"/>
  <c r="AP56" i="1"/>
  <c r="BA55" i="1"/>
  <c r="AZ55" i="1"/>
  <c r="BB55" i="1" s="1"/>
  <c r="AW55" i="1"/>
  <c r="AL55" i="1"/>
  <c r="AP55" i="1"/>
  <c r="AO55" i="1"/>
  <c r="AQ55" i="1" s="1"/>
  <c r="BE55" i="1" s="1"/>
  <c r="AZ54" i="1"/>
  <c r="AW54" i="1"/>
  <c r="BA54" i="1"/>
  <c r="AO54" i="1"/>
  <c r="AL54" i="1"/>
  <c r="AP54" i="1"/>
  <c r="BA53" i="1"/>
  <c r="AZ53" i="1"/>
  <c r="BB53" i="1" s="1"/>
  <c r="AW53" i="1"/>
  <c r="AP53" i="1"/>
  <c r="AO53" i="1"/>
  <c r="AQ53" i="1" s="1"/>
  <c r="BE53" i="1" s="1"/>
  <c r="AL53" i="1"/>
  <c r="BA52" i="1"/>
  <c r="AW52" i="1"/>
  <c r="AZ52" i="1"/>
  <c r="BB52" i="1" s="1"/>
  <c r="AP52" i="1"/>
  <c r="AL52" i="1"/>
  <c r="AO52" i="1"/>
  <c r="AQ52" i="1" s="1"/>
  <c r="BE52" i="1" s="1"/>
  <c r="AZ51" i="1"/>
  <c r="AW51" i="1"/>
  <c r="BA51" i="1"/>
  <c r="AL51" i="1"/>
  <c r="AO51" i="1"/>
  <c r="AP51" i="1"/>
  <c r="BA50" i="1"/>
  <c r="AZ50" i="1"/>
  <c r="BB50" i="1" s="1"/>
  <c r="AW50" i="1"/>
  <c r="AP50" i="1"/>
  <c r="AL50" i="1"/>
  <c r="AO50" i="1"/>
  <c r="AQ50" i="1" s="1"/>
  <c r="BE50" i="1" s="1"/>
  <c r="AZ49" i="1"/>
  <c r="AW49" i="1"/>
  <c r="BA49" i="1"/>
  <c r="AL49" i="1"/>
  <c r="AP49" i="1"/>
  <c r="AO49" i="1"/>
  <c r="AQ49" i="1" s="1"/>
  <c r="AW48" i="1"/>
  <c r="AZ48" i="1"/>
  <c r="BA48" i="1"/>
  <c r="AO48" i="1"/>
  <c r="AQ48" i="1" s="1"/>
  <c r="AP48" i="1"/>
  <c r="AL48" i="1"/>
  <c r="AW47" i="1"/>
  <c r="AZ47" i="1"/>
  <c r="BA47" i="1"/>
  <c r="AP47" i="1"/>
  <c r="AL47" i="1"/>
  <c r="AO47" i="1"/>
  <c r="AQ47" i="1" s="1"/>
  <c r="BA46" i="1"/>
  <c r="AW46" i="1"/>
  <c r="AZ46" i="1"/>
  <c r="BB46" i="1" s="1"/>
  <c r="AP46" i="1"/>
  <c r="AL46" i="1"/>
  <c r="AO46" i="1"/>
  <c r="AQ46" i="1" s="1"/>
  <c r="BE46" i="1" s="1"/>
  <c r="BA45" i="1"/>
  <c r="AW45" i="1"/>
  <c r="AZ45" i="1"/>
  <c r="BB45" i="1" s="1"/>
  <c r="AO45" i="1"/>
  <c r="AP45" i="1"/>
  <c r="AL45" i="1"/>
  <c r="AZ44" i="1"/>
  <c r="BA44" i="1"/>
  <c r="AW44" i="1"/>
  <c r="AP44" i="1"/>
  <c r="AL44" i="1"/>
  <c r="AO44" i="1"/>
  <c r="AQ44" i="1" s="1"/>
  <c r="BA43" i="1"/>
  <c r="AW43" i="1"/>
  <c r="AZ43" i="1"/>
  <c r="AO43" i="1"/>
  <c r="AL43" i="1"/>
  <c r="AP43" i="1"/>
  <c r="AW42" i="1"/>
  <c r="AZ42" i="1"/>
  <c r="BB42" i="1" s="1"/>
  <c r="BA42" i="1"/>
  <c r="AO42" i="1"/>
  <c r="AL42" i="1"/>
  <c r="AP42" i="1"/>
  <c r="BA41" i="1"/>
  <c r="AZ41" i="1"/>
  <c r="BB41" i="1" s="1"/>
  <c r="AW41" i="1"/>
  <c r="AO41" i="1"/>
  <c r="AL41" i="1"/>
  <c r="AP41" i="1"/>
  <c r="AZ40" i="1"/>
  <c r="AW40" i="1"/>
  <c r="BA40" i="1"/>
  <c r="AO40" i="1"/>
  <c r="AP40" i="1"/>
  <c r="AL40" i="1"/>
  <c r="BA39" i="1"/>
  <c r="AZ39" i="1"/>
  <c r="BB39" i="1" s="1"/>
  <c r="AW39" i="1"/>
  <c r="AP39" i="1"/>
  <c r="AO39" i="1"/>
  <c r="AQ39" i="1" s="1"/>
  <c r="BE39" i="1" s="1"/>
  <c r="AL39" i="1"/>
  <c r="AW38" i="1"/>
  <c r="AZ38" i="1"/>
  <c r="BA38" i="1"/>
  <c r="AO38" i="1"/>
  <c r="AP38" i="1"/>
  <c r="AL38" i="1"/>
  <c r="AW37" i="1"/>
  <c r="BA37" i="1"/>
  <c r="AZ37" i="1"/>
  <c r="AO37" i="1"/>
  <c r="AL37" i="1"/>
  <c r="AP37" i="1"/>
  <c r="AZ36" i="1"/>
  <c r="BA36" i="1"/>
  <c r="AW36" i="1"/>
  <c r="AP36" i="1"/>
  <c r="AL36" i="1"/>
  <c r="AO36" i="1"/>
  <c r="AQ36" i="1" s="1"/>
  <c r="BA35" i="1"/>
  <c r="AW35" i="1"/>
  <c r="AZ35" i="1"/>
  <c r="BB35" i="1" s="1"/>
  <c r="AP35" i="1"/>
  <c r="AO35" i="1"/>
  <c r="AQ35" i="1" s="1"/>
  <c r="BE35" i="1" s="1"/>
  <c r="AL35" i="1"/>
  <c r="AW34" i="1"/>
  <c r="AZ34" i="1"/>
  <c r="BA34" i="1"/>
  <c r="AO34" i="1"/>
  <c r="AP34" i="1"/>
  <c r="AL34" i="1"/>
  <c r="AW33" i="1"/>
  <c r="AZ33" i="1"/>
  <c r="BA33" i="1"/>
  <c r="AP33" i="1"/>
  <c r="AL33" i="1"/>
  <c r="AO33" i="1"/>
  <c r="AQ33" i="1" s="1"/>
  <c r="AW32" i="1"/>
  <c r="BA32" i="1"/>
  <c r="AZ32" i="1"/>
  <c r="BB32" i="1" s="1"/>
  <c r="AP32" i="1"/>
  <c r="AO32" i="1"/>
  <c r="AQ32" i="1" s="1"/>
  <c r="BE32" i="1" s="1"/>
  <c r="AL32" i="1"/>
  <c r="AZ31" i="1"/>
  <c r="BA31" i="1"/>
  <c r="AW31" i="1"/>
  <c r="AP31" i="1"/>
  <c r="AL31" i="1"/>
  <c r="AO31" i="1"/>
  <c r="AQ31" i="1" s="1"/>
  <c r="BA30" i="1"/>
  <c r="AZ30" i="1"/>
  <c r="BB30" i="1" s="1"/>
  <c r="AW30" i="1"/>
  <c r="AO30" i="1"/>
  <c r="AQ30" i="1" s="1"/>
  <c r="BE30" i="1" s="1"/>
  <c r="AP30" i="1"/>
  <c r="AL30" i="1"/>
  <c r="AZ29" i="1"/>
  <c r="BB29" i="1" s="1"/>
  <c r="AW29" i="1"/>
  <c r="BA29" i="1"/>
  <c r="AP29" i="1"/>
  <c r="AO29" i="1"/>
  <c r="AL29" i="1"/>
  <c r="AZ28" i="1"/>
  <c r="AW28" i="1"/>
  <c r="BA28" i="1"/>
  <c r="AP28" i="1"/>
  <c r="AL28" i="1"/>
  <c r="AO28" i="1"/>
  <c r="AQ28" i="1" s="1"/>
  <c r="AZ27" i="1"/>
  <c r="BB27" i="1" s="1"/>
  <c r="BA27" i="1"/>
  <c r="AW27" i="1"/>
  <c r="AL27" i="1"/>
  <c r="AO27" i="1"/>
  <c r="AP27" i="1"/>
  <c r="AW26" i="1"/>
  <c r="AZ26" i="1"/>
  <c r="BA26" i="1"/>
  <c r="AO26" i="1"/>
  <c r="AL26" i="1"/>
  <c r="AP26" i="1"/>
  <c r="BA25" i="1"/>
  <c r="AW25" i="1"/>
  <c r="AZ25" i="1"/>
  <c r="BB25" i="1" s="1"/>
  <c r="AL25" i="1"/>
  <c r="AO25" i="1"/>
  <c r="AP25" i="1"/>
  <c r="AZ24" i="1"/>
  <c r="AW24" i="1"/>
  <c r="BA24" i="1"/>
  <c r="AL24" i="1"/>
  <c r="AO24" i="1"/>
  <c r="AP24" i="1"/>
  <c r="AW23" i="1"/>
  <c r="BA23" i="1"/>
  <c r="AZ23" i="1"/>
  <c r="BB23" i="1" s="1"/>
  <c r="AL23" i="1"/>
  <c r="AO23" i="1"/>
  <c r="AP23" i="1"/>
  <c r="AZ22" i="1"/>
  <c r="BB22" i="1" s="1"/>
  <c r="BA22" i="1"/>
  <c r="AO22" i="1"/>
  <c r="AQ22" i="1" s="1"/>
  <c r="AP22" i="1"/>
  <c r="BB158" i="1" l="1"/>
  <c r="AQ122" i="1"/>
  <c r="BE122" i="1" s="1"/>
  <c r="BB101" i="1"/>
  <c r="AQ76" i="1"/>
  <c r="BB54" i="1"/>
  <c r="AQ65" i="1"/>
  <c r="BE65" i="1" s="1"/>
  <c r="BB31" i="1"/>
  <c r="BE31" i="1" s="1"/>
  <c r="BB116" i="1"/>
  <c r="BE116" i="1" s="1"/>
  <c r="AQ106" i="1"/>
  <c r="BB77" i="1"/>
  <c r="BE77" i="1" s="1"/>
  <c r="AQ74" i="1"/>
  <c r="AQ63" i="1"/>
  <c r="BE63" i="1" s="1"/>
  <c r="BB49" i="1"/>
  <c r="BE49" i="1" s="1"/>
  <c r="BB123" i="1"/>
  <c r="BE123" i="1" s="1"/>
  <c r="BB115" i="1"/>
  <c r="BE115" i="1" s="1"/>
  <c r="BB43" i="1"/>
  <c r="BB82" i="1"/>
  <c r="BE82" i="1" s="1"/>
  <c r="BB81" i="1"/>
  <c r="BE81" i="1" s="1"/>
  <c r="AQ27" i="1"/>
  <c r="BE27" i="1" s="1"/>
  <c r="AQ78" i="1"/>
  <c r="BE78" i="1" s="1"/>
  <c r="AQ70" i="1"/>
  <c r="BE70" i="1" s="1"/>
  <c r="BB67" i="1"/>
  <c r="BE67" i="1" s="1"/>
  <c r="BB48" i="1"/>
  <c r="BE48" i="1" s="1"/>
  <c r="AQ29" i="1"/>
  <c r="BE29" i="1" s="1"/>
  <c r="AQ91" i="1"/>
  <c r="BE91" i="1" s="1"/>
  <c r="BB26" i="1"/>
  <c r="AW176" i="1"/>
  <c r="BA176" i="1"/>
  <c r="AZ176" i="1"/>
  <c r="BB176" i="1" s="1"/>
  <c r="AW174" i="1"/>
  <c r="AZ174" i="1"/>
  <c r="BA174" i="1"/>
  <c r="BA169" i="1"/>
  <c r="AW169" i="1"/>
  <c r="AY170" i="1" s="1"/>
  <c r="AZ169" i="1"/>
  <c r="BB169" i="1" s="1"/>
  <c r="BE169" i="1" s="1"/>
  <c r="AZ164" i="1"/>
  <c r="BA164" i="1"/>
  <c r="AW164" i="1"/>
  <c r="AY165" i="1" s="1"/>
  <c r="AW161" i="1"/>
  <c r="AY162" i="1" s="1"/>
  <c r="BA161" i="1"/>
  <c r="AZ161" i="1"/>
  <c r="BB161" i="1" s="1"/>
  <c r="BE161" i="1" s="1"/>
  <c r="AP160" i="1"/>
  <c r="AL160" i="1"/>
  <c r="AO160" i="1"/>
  <c r="AQ160" i="1" s="1"/>
  <c r="AP156" i="1"/>
  <c r="AO156" i="1"/>
  <c r="AQ156" i="1" s="1"/>
  <c r="AL156" i="1"/>
  <c r="AN157" i="1" s="1"/>
  <c r="AZ152" i="1"/>
  <c r="AW152" i="1"/>
  <c r="AY153" i="1" s="1"/>
  <c r="BA152" i="1"/>
  <c r="AP150" i="1"/>
  <c r="AL150" i="1"/>
  <c r="AO150" i="1"/>
  <c r="AQ150" i="1" s="1"/>
  <c r="BE150" i="1" s="1"/>
  <c r="AP148" i="1"/>
  <c r="AO148" i="1"/>
  <c r="AQ148" i="1" s="1"/>
  <c r="BE148" i="1" s="1"/>
  <c r="AL148" i="1"/>
  <c r="AW144" i="1"/>
  <c r="AY145" i="1" s="1"/>
  <c r="BA144" i="1"/>
  <c r="AZ144" i="1"/>
  <c r="BB144" i="1" s="1"/>
  <c r="AO143" i="1"/>
  <c r="AL143" i="1"/>
  <c r="AP143" i="1"/>
  <c r="AO141" i="1"/>
  <c r="AL141" i="1"/>
  <c r="AP141" i="1"/>
  <c r="AP136" i="1"/>
  <c r="AL136" i="1"/>
  <c r="AO136" i="1"/>
  <c r="AQ136" i="1" s="1"/>
  <c r="BC22" i="1"/>
  <c r="BC23" i="1" s="1"/>
  <c r="BE22" i="1"/>
  <c r="AR22" i="1"/>
  <c r="AQ154" i="1"/>
  <c r="AQ142" i="1"/>
  <c r="BB139" i="1"/>
  <c r="BE139" i="1" s="1"/>
  <c r="BB136" i="1"/>
  <c r="BB133" i="1"/>
  <c r="BE133" i="1" s="1"/>
  <c r="AQ110" i="1"/>
  <c r="BE110" i="1" s="1"/>
  <c r="AQ99" i="1"/>
  <c r="BE99" i="1" s="1"/>
  <c r="BB93" i="1"/>
  <c r="BE93" i="1" s="1"/>
  <c r="BB47" i="1"/>
  <c r="BE47" i="1" s="1"/>
  <c r="AQ45" i="1"/>
  <c r="BE45" i="1" s="1"/>
  <c r="BB33" i="1"/>
  <c r="BE33" i="1" s="1"/>
  <c r="AQ134" i="1"/>
  <c r="AQ118" i="1"/>
  <c r="BE118" i="1" s="1"/>
  <c r="AQ114" i="1"/>
  <c r="BE114" i="1" s="1"/>
  <c r="BB92" i="1"/>
  <c r="BE92" i="1" s="1"/>
  <c r="AQ68" i="1"/>
  <c r="BE68" i="1" s="1"/>
  <c r="BB58" i="1"/>
  <c r="BE58" i="1" s="1"/>
  <c r="BB51" i="1"/>
  <c r="BB36" i="1"/>
  <c r="BE36" i="1" s="1"/>
  <c r="AQ34" i="1"/>
  <c r="AQ24" i="1"/>
  <c r="BB143" i="1"/>
  <c r="BB135" i="1"/>
  <c r="BE135" i="1" s="1"/>
  <c r="AQ132" i="1"/>
  <c r="AQ129" i="1"/>
  <c r="BE129" i="1" s="1"/>
  <c r="AQ127" i="1"/>
  <c r="BE127" i="1" s="1"/>
  <c r="BB124" i="1"/>
  <c r="AQ119" i="1"/>
  <c r="BE119" i="1" s="1"/>
  <c r="AQ112" i="1"/>
  <c r="BE112" i="1" s="1"/>
  <c r="BB109" i="1"/>
  <c r="BB106" i="1"/>
  <c r="BE106" i="1" s="1"/>
  <c r="AQ104" i="1"/>
  <c r="BE104" i="1" s="1"/>
  <c r="BB103" i="1"/>
  <c r="BE103" i="1" s="1"/>
  <c r="AQ101" i="1"/>
  <c r="BE101" i="1" s="1"/>
  <c r="BB85" i="1"/>
  <c r="BE85" i="1" s="1"/>
  <c r="BB71" i="1"/>
  <c r="BE71" i="1" s="1"/>
  <c r="AQ59" i="1"/>
  <c r="BE59" i="1" s="1"/>
  <c r="AQ51" i="1"/>
  <c r="BE51" i="1" s="1"/>
  <c r="BB44" i="1"/>
  <c r="BE44" i="1" s="1"/>
  <c r="BB37" i="1"/>
  <c r="AQ26" i="1"/>
  <c r="BE26" i="1" s="1"/>
  <c r="AQ25" i="1"/>
  <c r="BE25" i="1" s="1"/>
  <c r="AQ109" i="1"/>
  <c r="BE109" i="1" s="1"/>
  <c r="BB74" i="1"/>
  <c r="BE74" i="1" s="1"/>
  <c r="AQ56" i="1"/>
  <c r="AQ54" i="1"/>
  <c r="BE54" i="1" s="1"/>
  <c r="AQ41" i="1"/>
  <c r="BE41" i="1" s="1"/>
  <c r="AQ23" i="1"/>
  <c r="AQ138" i="1"/>
  <c r="BE138" i="1" s="1"/>
  <c r="BB132" i="1"/>
  <c r="AQ128" i="1"/>
  <c r="BE128" i="1" s="1"/>
  <c r="AQ107" i="1"/>
  <c r="BE107" i="1" s="1"/>
  <c r="AQ100" i="1"/>
  <c r="BE100" i="1" s="1"/>
  <c r="BE97" i="1"/>
  <c r="BB76" i="1"/>
  <c r="BE76" i="1" s="1"/>
  <c r="AQ43" i="1"/>
  <c r="BE43" i="1" s="1"/>
  <c r="AQ40" i="1"/>
  <c r="AQ176" i="1"/>
  <c r="BE176" i="1" s="1"/>
  <c r="AQ175" i="1"/>
  <c r="BE175" i="1" s="1"/>
  <c r="BB173" i="1"/>
  <c r="AQ173" i="1"/>
  <c r="BE173" i="1" s="1"/>
  <c r="BB172" i="1"/>
  <c r="BE172" i="1" s="1"/>
  <c r="AQ171" i="1"/>
  <c r="BE171" i="1" s="1"/>
  <c r="BB167" i="1"/>
  <c r="BE167" i="1" s="1"/>
  <c r="BB163" i="1"/>
  <c r="AQ163" i="1"/>
  <c r="BE163" i="1" s="1"/>
  <c r="BB160" i="1"/>
  <c r="BB159" i="1"/>
  <c r="AQ159" i="1"/>
  <c r="BE159" i="1" s="1"/>
  <c r="BB156" i="1"/>
  <c r="AQ155" i="1"/>
  <c r="BE155" i="1" s="1"/>
  <c r="AQ153" i="1"/>
  <c r="AQ152" i="1"/>
  <c r="BB151" i="1"/>
  <c r="BE151" i="1" s="1"/>
  <c r="BB149" i="1"/>
  <c r="BE149" i="1" s="1"/>
  <c r="AQ145" i="1"/>
  <c r="AQ144" i="1"/>
  <c r="BE144" i="1" s="1"/>
  <c r="BB142" i="1"/>
  <c r="AQ125" i="1"/>
  <c r="BE125" i="1" s="1"/>
  <c r="AQ113" i="1"/>
  <c r="BE113" i="1" s="1"/>
  <c r="AQ90" i="1"/>
  <c r="BE90" i="1" s="1"/>
  <c r="AQ73" i="1"/>
  <c r="BE73" i="1" s="1"/>
  <c r="AQ42" i="1"/>
  <c r="BE42" i="1" s="1"/>
  <c r="AQ38" i="1"/>
  <c r="AQ37" i="1"/>
  <c r="BE37" i="1" s="1"/>
  <c r="BB28" i="1"/>
  <c r="BE28" i="1" s="1"/>
  <c r="BB24" i="1"/>
  <c r="BB134" i="1"/>
  <c r="AQ124" i="1"/>
  <c r="BE124" i="1" s="1"/>
  <c r="BB120" i="1"/>
  <c r="BE120" i="1" s="1"/>
  <c r="BB86" i="1"/>
  <c r="BE86" i="1" s="1"/>
  <c r="BB56" i="1"/>
  <c r="BB40" i="1"/>
  <c r="BB38" i="1"/>
  <c r="BB34" i="1"/>
  <c r="AZ170" i="1" l="1"/>
  <c r="AW170" i="1"/>
  <c r="BA170" i="1"/>
  <c r="BA165" i="1"/>
  <c r="AZ165" i="1"/>
  <c r="BB165" i="1" s="1"/>
  <c r="BE165" i="1" s="1"/>
  <c r="AW165" i="1"/>
  <c r="AY166" i="1" s="1"/>
  <c r="BA162" i="1"/>
  <c r="AZ162" i="1"/>
  <c r="BB162" i="1" s="1"/>
  <c r="BE162" i="1" s="1"/>
  <c r="AW162" i="1"/>
  <c r="AL157" i="1"/>
  <c r="AN158" i="1" s="1"/>
  <c r="AP157" i="1"/>
  <c r="AO157" i="1"/>
  <c r="AQ157" i="1" s="1"/>
  <c r="AW153" i="1"/>
  <c r="AY154" i="1" s="1"/>
  <c r="AZ153" i="1"/>
  <c r="BA153" i="1"/>
  <c r="AW145" i="1"/>
  <c r="AY146" i="1" s="1"/>
  <c r="AZ145" i="1"/>
  <c r="BA145" i="1"/>
  <c r="BF22" i="1"/>
  <c r="BF23" i="1" s="1"/>
  <c r="BE142" i="1"/>
  <c r="BE134" i="1"/>
  <c r="BE24" i="1"/>
  <c r="BE132" i="1"/>
  <c r="BE56" i="1"/>
  <c r="BE38" i="1"/>
  <c r="BB174" i="1"/>
  <c r="BE174" i="1" s="1"/>
  <c r="BB164" i="1"/>
  <c r="BE164" i="1" s="1"/>
  <c r="BE160" i="1"/>
  <c r="BE156" i="1"/>
  <c r="BB152" i="1"/>
  <c r="BE152" i="1" s="1"/>
  <c r="AQ143" i="1"/>
  <c r="BE143" i="1" s="1"/>
  <c r="AQ141" i="1"/>
  <c r="BE141" i="1" s="1"/>
  <c r="BE136" i="1"/>
  <c r="BC24" i="1"/>
  <c r="BC25" i="1" s="1"/>
  <c r="BC26" i="1" s="1"/>
  <c r="BC27" i="1" s="1"/>
  <c r="BC28" i="1" s="1"/>
  <c r="BC29" i="1" s="1"/>
  <c r="BC30" i="1" s="1"/>
  <c r="BC31" i="1" s="1"/>
  <c r="BC32" i="1" s="1"/>
  <c r="BC33" i="1" s="1"/>
  <c r="BC34" i="1" s="1"/>
  <c r="BC35" i="1" s="1"/>
  <c r="BC36" i="1" s="1"/>
  <c r="BC37" i="1" s="1"/>
  <c r="BC38" i="1" s="1"/>
  <c r="BC39" i="1" s="1"/>
  <c r="BC40" i="1" s="1"/>
  <c r="BC41" i="1" s="1"/>
  <c r="BC42" i="1" s="1"/>
  <c r="BC43" i="1" s="1"/>
  <c r="BC44" i="1" s="1"/>
  <c r="BC45" i="1" s="1"/>
  <c r="BC46" i="1" s="1"/>
  <c r="BC47" i="1" s="1"/>
  <c r="BC48" i="1" s="1"/>
  <c r="BC49" i="1" s="1"/>
  <c r="BC50" i="1" s="1"/>
  <c r="BC51" i="1" s="1"/>
  <c r="BC52" i="1" s="1"/>
  <c r="BC53" i="1" s="1"/>
  <c r="BC54" i="1" s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s="1"/>
  <c r="BC77" i="1" s="1"/>
  <c r="BC78" i="1" s="1"/>
  <c r="BC79" i="1" s="1"/>
  <c r="BC80" i="1" s="1"/>
  <c r="BC81" i="1" s="1"/>
  <c r="BC82" i="1" s="1"/>
  <c r="BC83" i="1" s="1"/>
  <c r="BC84" i="1" s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BC116" i="1" s="1"/>
  <c r="BC117" i="1" s="1"/>
  <c r="BC118" i="1" s="1"/>
  <c r="BC119" i="1" s="1"/>
  <c r="BC120" i="1" s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AR23" i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R36" i="1" s="1"/>
  <c r="AR37" i="1" s="1"/>
  <c r="AR38" i="1" s="1"/>
  <c r="AR39" i="1" s="1"/>
  <c r="AR40" i="1" s="1"/>
  <c r="AR41" i="1" s="1"/>
  <c r="AR42" i="1" s="1"/>
  <c r="AR43" i="1" s="1"/>
  <c r="AR44" i="1" s="1"/>
  <c r="AR45" i="1" s="1"/>
  <c r="AR46" i="1" s="1"/>
  <c r="AR47" i="1" s="1"/>
  <c r="AR48" i="1" s="1"/>
  <c r="AR49" i="1" s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AR75" i="1" s="1"/>
  <c r="AR76" i="1" s="1"/>
  <c r="AR77" i="1" s="1"/>
  <c r="AR78" i="1" s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AR95" i="1" s="1"/>
  <c r="AR96" i="1" s="1"/>
  <c r="AR97" i="1" s="1"/>
  <c r="AR98" i="1" s="1"/>
  <c r="AR99" i="1" s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AR110" i="1" s="1"/>
  <c r="AR111" i="1" s="1"/>
  <c r="AR112" i="1" s="1"/>
  <c r="AR113" i="1" s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BE34" i="1"/>
  <c r="BE40" i="1"/>
  <c r="BE23" i="1"/>
  <c r="BF24" i="1" l="1"/>
  <c r="BF25" i="1" s="1"/>
  <c r="BF26" i="1" s="1"/>
  <c r="BF27" i="1" s="1"/>
  <c r="BF28" i="1" s="1"/>
  <c r="BF29" i="1" s="1"/>
  <c r="BF30" i="1" s="1"/>
  <c r="BF31" i="1" s="1"/>
  <c r="BF32" i="1" s="1"/>
  <c r="BF33" i="1" s="1"/>
  <c r="BF34" i="1" s="1"/>
  <c r="BF35" i="1" s="1"/>
  <c r="BF36" i="1" s="1"/>
  <c r="BF37" i="1" s="1"/>
  <c r="BF38" i="1" s="1"/>
  <c r="BF39" i="1" s="1"/>
  <c r="BF40" i="1" s="1"/>
  <c r="BF41" i="1" s="1"/>
  <c r="BF42" i="1" s="1"/>
  <c r="BF43" i="1" s="1"/>
  <c r="BF44" i="1" s="1"/>
  <c r="BF45" i="1" s="1"/>
  <c r="BF46" i="1" s="1"/>
  <c r="BF47" i="1" s="1"/>
  <c r="BF48" i="1" s="1"/>
  <c r="BF49" i="1" s="1"/>
  <c r="BF50" i="1" s="1"/>
  <c r="BF51" i="1" s="1"/>
  <c r="BF52" i="1" s="1"/>
  <c r="BF53" i="1" s="1"/>
  <c r="BF54" i="1" s="1"/>
  <c r="BF55" i="1" s="1"/>
  <c r="BF56" i="1" s="1"/>
  <c r="BF57" i="1" s="1"/>
  <c r="BF58" i="1" s="1"/>
  <c r="BF59" i="1" s="1"/>
  <c r="BF60" i="1" s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BF71" i="1" s="1"/>
  <c r="BF72" i="1" s="1"/>
  <c r="BF73" i="1" s="1"/>
  <c r="BF74" i="1" s="1"/>
  <c r="BF75" i="1" s="1"/>
  <c r="BF76" i="1" s="1"/>
  <c r="BF77" i="1" s="1"/>
  <c r="BF78" i="1" s="1"/>
  <c r="BF79" i="1" s="1"/>
  <c r="BF80" i="1" s="1"/>
  <c r="BF81" i="1" s="1"/>
  <c r="BF82" i="1" s="1"/>
  <c r="BF83" i="1" s="1"/>
  <c r="BF84" i="1" s="1"/>
  <c r="BF85" i="1" s="1"/>
  <c r="BF86" i="1" s="1"/>
  <c r="BF87" i="1" s="1"/>
  <c r="BF88" i="1" s="1"/>
  <c r="BF89" i="1" s="1"/>
  <c r="BF90" i="1" s="1"/>
  <c r="BF91" i="1" s="1"/>
  <c r="BF92" i="1" s="1"/>
  <c r="BF93" i="1" s="1"/>
  <c r="BF94" i="1" s="1"/>
  <c r="BF95" i="1" s="1"/>
  <c r="BF96" i="1" s="1"/>
  <c r="BF97" i="1" s="1"/>
  <c r="BF98" i="1" s="1"/>
  <c r="BF99" i="1" s="1"/>
  <c r="BF100" i="1" s="1"/>
  <c r="BF101" i="1" s="1"/>
  <c r="BF102" i="1" s="1"/>
  <c r="BF103" i="1" s="1"/>
  <c r="BF104" i="1" s="1"/>
  <c r="BF105" i="1" s="1"/>
  <c r="BF106" i="1" s="1"/>
  <c r="BF107" i="1" s="1"/>
  <c r="BF108" i="1" s="1"/>
  <c r="BF109" i="1" s="1"/>
  <c r="BF110" i="1" s="1"/>
  <c r="BF111" i="1" s="1"/>
  <c r="BF112" i="1" s="1"/>
  <c r="BF113" i="1" s="1"/>
  <c r="BF114" i="1" s="1"/>
  <c r="BF115" i="1" s="1"/>
  <c r="BF116" i="1" s="1"/>
  <c r="BF117" i="1" s="1"/>
  <c r="BF118" i="1" s="1"/>
  <c r="BF119" i="1" s="1"/>
  <c r="BF120" i="1" s="1"/>
  <c r="BF121" i="1" s="1"/>
  <c r="BF122" i="1" s="1"/>
  <c r="BF123" i="1" s="1"/>
  <c r="BF124" i="1" s="1"/>
  <c r="BF125" i="1" s="1"/>
  <c r="BF126" i="1" s="1"/>
  <c r="BF127" i="1" s="1"/>
  <c r="BF128" i="1" s="1"/>
  <c r="BF129" i="1" s="1"/>
  <c r="BF130" i="1" s="1"/>
  <c r="BF131" i="1" s="1"/>
  <c r="BF132" i="1" s="1"/>
  <c r="BF133" i="1" s="1"/>
  <c r="BF134" i="1" s="1"/>
  <c r="BF135" i="1" s="1"/>
  <c r="BF136" i="1" s="1"/>
  <c r="BF137" i="1" s="1"/>
  <c r="BF138" i="1" s="1"/>
  <c r="BF139" i="1" s="1"/>
  <c r="BF140" i="1" s="1"/>
  <c r="BF141" i="1" s="1"/>
  <c r="BF142" i="1" s="1"/>
  <c r="BF143" i="1" s="1"/>
  <c r="BF144" i="1" s="1"/>
  <c r="AZ166" i="1"/>
  <c r="BA166" i="1"/>
  <c r="AW166" i="1"/>
  <c r="AO158" i="1"/>
  <c r="AL158" i="1"/>
  <c r="AP158" i="1"/>
  <c r="AZ154" i="1"/>
  <c r="AW154" i="1"/>
  <c r="BA154" i="1"/>
  <c r="AW146" i="1"/>
  <c r="AY147" i="1" s="1"/>
  <c r="AZ146" i="1"/>
  <c r="BA146" i="1"/>
  <c r="AR157" i="1"/>
  <c r="BB170" i="1"/>
  <c r="BE170" i="1" s="1"/>
  <c r="BB153" i="1"/>
  <c r="BE153" i="1" s="1"/>
  <c r="BB145" i="1"/>
  <c r="BE157" i="1"/>
  <c r="AZ147" i="1" l="1"/>
  <c r="AW147" i="1"/>
  <c r="BA147" i="1"/>
  <c r="BC145" i="1"/>
  <c r="BE145" i="1"/>
  <c r="BB166" i="1"/>
  <c r="BE166" i="1" s="1"/>
  <c r="AQ158" i="1"/>
  <c r="BB154" i="1"/>
  <c r="BE154" i="1" s="1"/>
  <c r="BB146" i="1"/>
  <c r="BE146" i="1" s="1"/>
  <c r="BF145" i="1" l="1"/>
  <c r="BF146" i="1" s="1"/>
  <c r="AQ19" i="1"/>
  <c r="AQ15" i="1"/>
  <c r="AQ14" i="1"/>
  <c r="AR158" i="1"/>
  <c r="AR159" i="1" s="1"/>
  <c r="AR160" i="1" s="1"/>
  <c r="AR161" i="1" s="1"/>
  <c r="AR162" i="1" s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AR174" i="1" s="1"/>
  <c r="AR175" i="1" s="1"/>
  <c r="AR176" i="1" s="1"/>
  <c r="AR19" i="1" s="1"/>
  <c r="BE158" i="1"/>
  <c r="BC146" i="1"/>
  <c r="BB147" i="1"/>
  <c r="AQ16" i="1" l="1"/>
  <c r="AI1" i="1" s="1"/>
  <c r="BB14" i="1"/>
  <c r="BB15" i="1"/>
  <c r="BB19" i="1"/>
  <c r="BE147" i="1"/>
  <c r="BC147" i="1"/>
  <c r="BC148" i="1" s="1"/>
  <c r="BC149" i="1" s="1"/>
  <c r="BC150" i="1" s="1"/>
  <c r="BC151" i="1" s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C169" i="1" s="1"/>
  <c r="BC170" i="1" s="1"/>
  <c r="BC171" i="1" s="1"/>
  <c r="BC172" i="1" s="1"/>
  <c r="BC173" i="1" s="1"/>
  <c r="BC174" i="1" s="1"/>
  <c r="BC175" i="1" s="1"/>
  <c r="BC176" i="1" s="1"/>
  <c r="BC19" i="1" s="1"/>
  <c r="BE14" i="1" l="1"/>
  <c r="BE18" i="1"/>
  <c r="BF147" i="1"/>
  <c r="BF148" i="1" s="1"/>
  <c r="BF149" i="1" s="1"/>
  <c r="BF150" i="1" s="1"/>
  <c r="BF151" i="1" s="1"/>
  <c r="BF152" i="1" s="1"/>
  <c r="BF153" i="1" s="1"/>
  <c r="BF154" i="1" s="1"/>
  <c r="BF155" i="1" s="1"/>
  <c r="BF156" i="1" s="1"/>
  <c r="BF157" i="1" s="1"/>
  <c r="BF158" i="1" s="1"/>
  <c r="BF159" i="1" s="1"/>
  <c r="BF160" i="1" s="1"/>
  <c r="BF161" i="1" s="1"/>
  <c r="BF162" i="1" s="1"/>
  <c r="BF163" i="1" s="1"/>
  <c r="BF164" i="1" s="1"/>
  <c r="BF165" i="1" s="1"/>
  <c r="BF166" i="1" s="1"/>
  <c r="BF167" i="1" s="1"/>
  <c r="BF168" i="1" s="1"/>
  <c r="BF169" i="1" s="1"/>
  <c r="BF170" i="1" s="1"/>
  <c r="BF171" i="1" s="1"/>
  <c r="BF172" i="1" s="1"/>
  <c r="BF173" i="1" s="1"/>
  <c r="BF174" i="1" s="1"/>
  <c r="BF175" i="1" s="1"/>
  <c r="BF176" i="1" s="1"/>
  <c r="BF18" i="1" s="1"/>
  <c r="BE15" i="1"/>
  <c r="BB16" i="1"/>
  <c r="AT1" i="1" s="1"/>
  <c r="BE16" i="1" l="1"/>
</calcChain>
</file>

<file path=xl/sharedStrings.xml><?xml version="1.0" encoding="utf-8"?>
<sst xmlns="http://schemas.openxmlformats.org/spreadsheetml/2006/main" count="74" uniqueCount="53">
  <si>
    <t>date</t>
  </si>
  <si>
    <t>BSTV</t>
  </si>
  <si>
    <t>IBTL</t>
  </si>
  <si>
    <t>BSTV log rtn</t>
  </si>
  <si>
    <t>IBTL log rtn</t>
  </si>
  <si>
    <t>BSTV div</t>
  </si>
  <si>
    <t>BSTV div cumsum</t>
  </si>
  <si>
    <t>IBTL div</t>
  </si>
  <si>
    <t>IBTL div cumsum</t>
  </si>
  <si>
    <t>BSTV div adjustment</t>
  </si>
  <si>
    <t>IBTL div adjustment</t>
  </si>
  <si>
    <t>BSTV*</t>
  </si>
  <si>
    <t>IBTL*</t>
  </si>
  <si>
    <t>IBTL/BSTV</t>
  </si>
  <si>
    <t>IBTL/BSTV avg</t>
  </si>
  <si>
    <t>IBTL/BSTV 10 dma</t>
  </si>
  <si>
    <t>IBTL/BSTV 20 dma</t>
  </si>
  <si>
    <t>BSTV x avg</t>
  </si>
  <si>
    <t>BSTV x 10 dma</t>
  </si>
  <si>
    <t>BSTV x 20 dma</t>
  </si>
  <si>
    <t>log diff BSTV x avg / IBTL</t>
  </si>
  <si>
    <t>log diff BSTV x 10 dma / IBTL</t>
  </si>
  <si>
    <t>log diff BSTV x 20 dma / IBTL</t>
  </si>
  <si>
    <t>IBTL*/BSTV*</t>
  </si>
  <si>
    <t>IBTL*/BSTV* avg</t>
  </si>
  <si>
    <t>IBTL*/BSTV* 10 dma</t>
  </si>
  <si>
    <t>IBTL*/BSTV* 20 dma</t>
  </si>
  <si>
    <t>BSTV* x avg</t>
  </si>
  <si>
    <t>BSTV* x 10 dma</t>
  </si>
  <si>
    <t>BSTV* x 20 dma</t>
  </si>
  <si>
    <t>log diff BSTV* x avg / IBTL*</t>
  </si>
  <si>
    <t>log diff BSTV* x 10 dma / IBTL*</t>
  </si>
  <si>
    <t>log diff BSTV* x 20 dma / IBTL*</t>
  </si>
  <si>
    <t>enter</t>
  </si>
  <si>
    <t>exit</t>
  </si>
  <si>
    <t>row</t>
  </si>
  <si>
    <t>col</t>
  </si>
  <si>
    <t>AI21</t>
  </si>
  <si>
    <t>AI22</t>
  </si>
  <si>
    <t>AT21</t>
  </si>
  <si>
    <t>AT22</t>
  </si>
  <si>
    <t>avg</t>
  </si>
  <si>
    <t>st dev</t>
  </si>
  <si>
    <t>sharpe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</si>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</sst>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_(* #,##0.0000_);_(* \(#,##0.0000\);_(* &quot;-&quot;??_);_(@_)"/>
    <numFmt numFmtId="166" formatCode="_(&quot;$&quot;* #,##0.0000_);_(&quot;$&quot;* \(#,##0.0000\);_(&quot;$&quot;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4" fontId="0" fillId="0" borderId="0" xfId="0" applyNumberFormat="1"/>
    <xf numFmtId="164" fontId="18" fillId="33" borderId="0" xfId="3" applyNumberFormat="1" applyFont="1" applyFill="1" applyAlignment="1">
      <alignment horizontal="right"/>
    </xf>
    <xf numFmtId="43" fontId="16" fillId="0" borderId="0" xfId="1" applyFont="1"/>
    <xf numFmtId="10" fontId="16" fillId="0" borderId="0" xfId="3" applyNumberFormat="1" applyFont="1"/>
    <xf numFmtId="0" fontId="19" fillId="0" borderId="0" xfId="0" applyFont="1" applyAlignment="1">
      <alignment horizontal="left"/>
    </xf>
    <xf numFmtId="10" fontId="16" fillId="0" borderId="0" xfId="3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64" fontId="0" fillId="33" borderId="0" xfId="3" applyNumberFormat="1" applyFont="1" applyFill="1"/>
    <xf numFmtId="43" fontId="0" fillId="0" borderId="0" xfId="1" applyFont="1"/>
    <xf numFmtId="43" fontId="0" fillId="0" borderId="0" xfId="1" applyFont="1" applyBorder="1"/>
    <xf numFmtId="44" fontId="0" fillId="0" borderId="0" xfId="2" applyFont="1"/>
    <xf numFmtId="0" fontId="19" fillId="0" borderId="0" xfId="0" applyFont="1" applyAlignment="1">
      <alignment horizontal="center"/>
    </xf>
    <xf numFmtId="44" fontId="20" fillId="0" borderId="0" xfId="2" applyFont="1"/>
    <xf numFmtId="164" fontId="0" fillId="0" borderId="0" xfId="3" applyNumberFormat="1" applyFont="1"/>
    <xf numFmtId="164" fontId="0" fillId="0" borderId="0" xfId="3" applyNumberFormat="1" applyFont="1" applyAlignment="1">
      <alignment horizontal="center"/>
    </xf>
    <xf numFmtId="10" fontId="16" fillId="0" borderId="10" xfId="3" applyNumberFormat="1" applyFont="1" applyBorder="1"/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10" fontId="16" fillId="0" borderId="0" xfId="0" applyNumberFormat="1" applyFont="1"/>
    <xf numFmtId="164" fontId="16" fillId="0" borderId="0" xfId="3" applyNumberFormat="1" applyFont="1"/>
    <xf numFmtId="164" fontId="16" fillId="33" borderId="0" xfId="3" applyNumberFormat="1" applyFont="1" applyFill="1"/>
    <xf numFmtId="165" fontId="16" fillId="0" borderId="0" xfId="1" applyNumberFormat="1" applyFont="1"/>
    <xf numFmtId="10" fontId="18" fillId="0" borderId="0" xfId="0" applyNumberFormat="1" applyFont="1" applyAlignment="1">
      <alignment horizontal="right"/>
    </xf>
    <xf numFmtId="44" fontId="18" fillId="0" borderId="0" xfId="2" applyFont="1" applyAlignment="1">
      <alignment horizontal="right"/>
    </xf>
    <xf numFmtId="10" fontId="18" fillId="34" borderId="0" xfId="2" applyNumberFormat="1" applyFont="1" applyFill="1" applyAlignment="1">
      <alignment horizontal="right"/>
    </xf>
    <xf numFmtId="0" fontId="21" fillId="0" borderId="0" xfId="0" applyFont="1"/>
    <xf numFmtId="10" fontId="0" fillId="0" borderId="0" xfId="3" applyNumberFormat="1" applyFont="1"/>
    <xf numFmtId="10" fontId="0" fillId="0" borderId="0" xfId="0" applyNumberFormat="1"/>
    <xf numFmtId="166" fontId="18" fillId="0" borderId="0" xfId="2" applyNumberFormat="1" applyFont="1" applyAlignment="1">
      <alignment horizontal="right"/>
    </xf>
    <xf numFmtId="164" fontId="18" fillId="0" borderId="0" xfId="3" applyNumberFormat="1" applyFont="1" applyAlignment="1">
      <alignment horizontal="right"/>
    </xf>
    <xf numFmtId="165" fontId="18" fillId="0" borderId="0" xfId="1" applyNumberFormat="1" applyFont="1" applyAlignment="1">
      <alignment horizontal="right"/>
    </xf>
    <xf numFmtId="166" fontId="0" fillId="0" borderId="0" xfId="2" applyNumberFormat="1" applyFont="1"/>
    <xf numFmtId="165" fontId="0" fillId="0" borderId="0" xfId="1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[1]Sheet1!$O$1</c:f>
              <c:strCache>
                <c:ptCount val="1"/>
                <c:pt idx="0">
                  <c:v>IBDT/BSCS 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[1]Sheet1!$O$2:$O$176</c:f>
              <c:numCache>
                <c:formatCode>General</c:formatCode>
                <c:ptCount val="175"/>
                <c:pt idx="0">
                  <c:v>1.2371344131525399</c:v>
                </c:pt>
                <c:pt idx="1">
                  <c:v>1.2371344131525399</c:v>
                </c:pt>
                <c:pt idx="2">
                  <c:v>1.2371344131525399</c:v>
                </c:pt>
                <c:pt idx="3">
                  <c:v>1.2371344131525399</c:v>
                </c:pt>
                <c:pt idx="4">
                  <c:v>1.2371344131525399</c:v>
                </c:pt>
                <c:pt idx="5">
                  <c:v>1.2371344131525399</c:v>
                </c:pt>
                <c:pt idx="6">
                  <c:v>1.2371344131525399</c:v>
                </c:pt>
                <c:pt idx="7">
                  <c:v>1.2371344131525399</c:v>
                </c:pt>
                <c:pt idx="8">
                  <c:v>1.2371344131525399</c:v>
                </c:pt>
                <c:pt idx="9">
                  <c:v>1.2371344131525399</c:v>
                </c:pt>
                <c:pt idx="10">
                  <c:v>1.2371344131525399</c:v>
                </c:pt>
                <c:pt idx="11">
                  <c:v>1.2371344131525399</c:v>
                </c:pt>
                <c:pt idx="12">
                  <c:v>1.2371344131525399</c:v>
                </c:pt>
                <c:pt idx="13">
                  <c:v>1.2371344131525399</c:v>
                </c:pt>
                <c:pt idx="14">
                  <c:v>1.2371344131525399</c:v>
                </c:pt>
                <c:pt idx="15">
                  <c:v>1.2371344131525399</c:v>
                </c:pt>
                <c:pt idx="16">
                  <c:v>1.2371344131525399</c:v>
                </c:pt>
                <c:pt idx="17">
                  <c:v>1.2371344131525399</c:v>
                </c:pt>
                <c:pt idx="18">
                  <c:v>1.2371344131525399</c:v>
                </c:pt>
                <c:pt idx="19">
                  <c:v>1.2371344131525399</c:v>
                </c:pt>
                <c:pt idx="20">
                  <c:v>1.2371344131525399</c:v>
                </c:pt>
                <c:pt idx="21">
                  <c:v>1.2371344131525399</c:v>
                </c:pt>
                <c:pt idx="22">
                  <c:v>1.2371344131525399</c:v>
                </c:pt>
                <c:pt idx="23">
                  <c:v>1.2371344131525399</c:v>
                </c:pt>
                <c:pt idx="24">
                  <c:v>1.2371344131525399</c:v>
                </c:pt>
                <c:pt idx="25">
                  <c:v>1.2371344131525399</c:v>
                </c:pt>
                <c:pt idx="26">
                  <c:v>1.2371344131525399</c:v>
                </c:pt>
                <c:pt idx="27">
                  <c:v>1.2371344131525399</c:v>
                </c:pt>
                <c:pt idx="28">
                  <c:v>1.2371344131525399</c:v>
                </c:pt>
                <c:pt idx="29">
                  <c:v>1.2371344131525399</c:v>
                </c:pt>
                <c:pt idx="30">
                  <c:v>1.2371344131525399</c:v>
                </c:pt>
                <c:pt idx="31">
                  <c:v>1.2371344131525399</c:v>
                </c:pt>
                <c:pt idx="32">
                  <c:v>1.2371344131525399</c:v>
                </c:pt>
                <c:pt idx="33">
                  <c:v>1.2371344131525399</c:v>
                </c:pt>
                <c:pt idx="34">
                  <c:v>1.2371344131525399</c:v>
                </c:pt>
                <c:pt idx="35">
                  <c:v>1.2371344131525399</c:v>
                </c:pt>
                <c:pt idx="36">
                  <c:v>1.2371344131525399</c:v>
                </c:pt>
                <c:pt idx="37">
                  <c:v>1.2371344131525399</c:v>
                </c:pt>
                <c:pt idx="38">
                  <c:v>1.2371344131525399</c:v>
                </c:pt>
                <c:pt idx="39">
                  <c:v>1.2371344131525399</c:v>
                </c:pt>
                <c:pt idx="40">
                  <c:v>1.2371344131525399</c:v>
                </c:pt>
                <c:pt idx="41">
                  <c:v>1.2371344131525399</c:v>
                </c:pt>
                <c:pt idx="42">
                  <c:v>1.2371344131525399</c:v>
                </c:pt>
                <c:pt idx="43">
                  <c:v>1.2371344131525399</c:v>
                </c:pt>
                <c:pt idx="44">
                  <c:v>1.2371344131525399</c:v>
                </c:pt>
                <c:pt idx="45">
                  <c:v>1.2371344131525399</c:v>
                </c:pt>
                <c:pt idx="46">
                  <c:v>1.2371344131525399</c:v>
                </c:pt>
                <c:pt idx="47">
                  <c:v>1.2371344131525399</c:v>
                </c:pt>
                <c:pt idx="48">
                  <c:v>1.2371344131525399</c:v>
                </c:pt>
                <c:pt idx="49">
                  <c:v>1.2371344131525399</c:v>
                </c:pt>
                <c:pt idx="50">
                  <c:v>1.2371344131525399</c:v>
                </c:pt>
                <c:pt idx="51">
                  <c:v>1.2371344131525399</c:v>
                </c:pt>
                <c:pt idx="52">
                  <c:v>1.2371344131525399</c:v>
                </c:pt>
                <c:pt idx="53">
                  <c:v>1.2371344131525399</c:v>
                </c:pt>
                <c:pt idx="54">
                  <c:v>1.2371344131525399</c:v>
                </c:pt>
                <c:pt idx="55">
                  <c:v>1.2371344131525399</c:v>
                </c:pt>
                <c:pt idx="56">
                  <c:v>1.2371344131525399</c:v>
                </c:pt>
                <c:pt idx="57">
                  <c:v>1.2371344131525399</c:v>
                </c:pt>
                <c:pt idx="58">
                  <c:v>1.2371344131525399</c:v>
                </c:pt>
                <c:pt idx="59">
                  <c:v>1.2371344131525399</c:v>
                </c:pt>
                <c:pt idx="60">
                  <c:v>1.2371344131525399</c:v>
                </c:pt>
                <c:pt idx="61">
                  <c:v>1.2371344131525399</c:v>
                </c:pt>
                <c:pt idx="62">
                  <c:v>1.2371344131525399</c:v>
                </c:pt>
                <c:pt idx="63">
                  <c:v>1.2371344131525399</c:v>
                </c:pt>
                <c:pt idx="64">
                  <c:v>1.2371344131525399</c:v>
                </c:pt>
                <c:pt idx="65">
                  <c:v>1.2371344131525399</c:v>
                </c:pt>
                <c:pt idx="66">
                  <c:v>1.2371344131525399</c:v>
                </c:pt>
                <c:pt idx="67">
                  <c:v>1.2371344131525399</c:v>
                </c:pt>
                <c:pt idx="68">
                  <c:v>1.2371344131525399</c:v>
                </c:pt>
                <c:pt idx="69">
                  <c:v>1.2371344131525399</c:v>
                </c:pt>
                <c:pt idx="70">
                  <c:v>1.2371344131525399</c:v>
                </c:pt>
                <c:pt idx="71">
                  <c:v>1.2371344131525399</c:v>
                </c:pt>
                <c:pt idx="72">
                  <c:v>1.2371344131525399</c:v>
                </c:pt>
                <c:pt idx="73">
                  <c:v>1.2371344131525399</c:v>
                </c:pt>
                <c:pt idx="74">
                  <c:v>1.2371344131525399</c:v>
                </c:pt>
                <c:pt idx="75">
                  <c:v>1.2371344131525399</c:v>
                </c:pt>
                <c:pt idx="76">
                  <c:v>1.2371344131525399</c:v>
                </c:pt>
                <c:pt idx="77">
                  <c:v>1.2371344131525399</c:v>
                </c:pt>
                <c:pt idx="78">
                  <c:v>1.2371344131525399</c:v>
                </c:pt>
                <c:pt idx="79">
                  <c:v>1.2371344131525399</c:v>
                </c:pt>
                <c:pt idx="80">
                  <c:v>1.2371344131525399</c:v>
                </c:pt>
                <c:pt idx="81">
                  <c:v>1.2371344131525399</c:v>
                </c:pt>
                <c:pt idx="82">
                  <c:v>1.2371344131525399</c:v>
                </c:pt>
                <c:pt idx="83">
                  <c:v>1.2371344131525399</c:v>
                </c:pt>
                <c:pt idx="84">
                  <c:v>1.2371344131525399</c:v>
                </c:pt>
                <c:pt idx="85">
                  <c:v>1.2371344131525399</c:v>
                </c:pt>
                <c:pt idx="86">
                  <c:v>1.2371344131525399</c:v>
                </c:pt>
                <c:pt idx="87">
                  <c:v>1.2371344131525399</c:v>
                </c:pt>
                <c:pt idx="88">
                  <c:v>1.2371344131525399</c:v>
                </c:pt>
                <c:pt idx="89">
                  <c:v>1.2371344131525399</c:v>
                </c:pt>
                <c:pt idx="90">
                  <c:v>1.2371344131525399</c:v>
                </c:pt>
                <c:pt idx="91">
                  <c:v>1.2371344131525399</c:v>
                </c:pt>
                <c:pt idx="92">
                  <c:v>1.2371344131525399</c:v>
                </c:pt>
                <c:pt idx="93">
                  <c:v>1.2371344131525399</c:v>
                </c:pt>
                <c:pt idx="94">
                  <c:v>1.2371344131525399</c:v>
                </c:pt>
                <c:pt idx="95">
                  <c:v>1.2371344131525399</c:v>
                </c:pt>
                <c:pt idx="96">
                  <c:v>1.2371344131525399</c:v>
                </c:pt>
                <c:pt idx="97">
                  <c:v>1.2371344131525399</c:v>
                </c:pt>
                <c:pt idx="98">
                  <c:v>1.2371344131525399</c:v>
                </c:pt>
                <c:pt idx="99">
                  <c:v>1.2371344131525399</c:v>
                </c:pt>
                <c:pt idx="100">
                  <c:v>1.2371344131525399</c:v>
                </c:pt>
                <c:pt idx="101">
                  <c:v>1.2371344131525399</c:v>
                </c:pt>
                <c:pt idx="102">
                  <c:v>1.2371344131525399</c:v>
                </c:pt>
                <c:pt idx="103">
                  <c:v>1.2371344131525399</c:v>
                </c:pt>
                <c:pt idx="104">
                  <c:v>1.2371344131525399</c:v>
                </c:pt>
                <c:pt idx="105">
                  <c:v>1.2371344131525399</c:v>
                </c:pt>
                <c:pt idx="106">
                  <c:v>1.2371344131525399</c:v>
                </c:pt>
                <c:pt idx="107">
                  <c:v>1.2371344131525399</c:v>
                </c:pt>
                <c:pt idx="108">
                  <c:v>1.2371344131525399</c:v>
                </c:pt>
                <c:pt idx="109">
                  <c:v>1.2371344131525399</c:v>
                </c:pt>
                <c:pt idx="110">
                  <c:v>1.2371344131525399</c:v>
                </c:pt>
                <c:pt idx="111">
                  <c:v>1.2371344131525399</c:v>
                </c:pt>
                <c:pt idx="112">
                  <c:v>1.2371344131525399</c:v>
                </c:pt>
                <c:pt idx="113">
                  <c:v>1.2371344131525399</c:v>
                </c:pt>
                <c:pt idx="114">
                  <c:v>1.2371344131525399</c:v>
                </c:pt>
                <c:pt idx="115">
                  <c:v>1.2371344131525399</c:v>
                </c:pt>
                <c:pt idx="116">
                  <c:v>1.2371344131525399</c:v>
                </c:pt>
                <c:pt idx="117">
                  <c:v>1.2371344131525399</c:v>
                </c:pt>
                <c:pt idx="118">
                  <c:v>1.2371344131525399</c:v>
                </c:pt>
                <c:pt idx="119">
                  <c:v>1.2371344131525399</c:v>
                </c:pt>
                <c:pt idx="120">
                  <c:v>1.2371344131525399</c:v>
                </c:pt>
                <c:pt idx="121">
                  <c:v>1.2371344131525399</c:v>
                </c:pt>
                <c:pt idx="122">
                  <c:v>1.2371344131525399</c:v>
                </c:pt>
                <c:pt idx="123">
                  <c:v>1.2371344131525399</c:v>
                </c:pt>
                <c:pt idx="124">
                  <c:v>1.2371344131525399</c:v>
                </c:pt>
                <c:pt idx="125">
                  <c:v>1.2371344131525399</c:v>
                </c:pt>
                <c:pt idx="126">
                  <c:v>1.2371344131525399</c:v>
                </c:pt>
                <c:pt idx="127">
                  <c:v>1.2371344131525399</c:v>
                </c:pt>
                <c:pt idx="128">
                  <c:v>1.2371344131525399</c:v>
                </c:pt>
                <c:pt idx="129">
                  <c:v>1.2371344131525399</c:v>
                </c:pt>
                <c:pt idx="130">
                  <c:v>1.2371344131525399</c:v>
                </c:pt>
                <c:pt idx="131">
                  <c:v>1.2371344131525399</c:v>
                </c:pt>
                <c:pt idx="132">
                  <c:v>1.2371344131525399</c:v>
                </c:pt>
                <c:pt idx="133">
                  <c:v>1.2371344131525399</c:v>
                </c:pt>
                <c:pt idx="134">
                  <c:v>1.2371344131525399</c:v>
                </c:pt>
                <c:pt idx="135">
                  <c:v>1.2371344131525399</c:v>
                </c:pt>
                <c:pt idx="136">
                  <c:v>1.2371344131525399</c:v>
                </c:pt>
                <c:pt idx="137">
                  <c:v>1.2371344131525399</c:v>
                </c:pt>
                <c:pt idx="138">
                  <c:v>1.2371344131525399</c:v>
                </c:pt>
                <c:pt idx="139">
                  <c:v>1.2371344131525399</c:v>
                </c:pt>
                <c:pt idx="140">
                  <c:v>1.2371344131525399</c:v>
                </c:pt>
                <c:pt idx="141">
                  <c:v>1.2371344131525399</c:v>
                </c:pt>
                <c:pt idx="142">
                  <c:v>1.2371344131525399</c:v>
                </c:pt>
                <c:pt idx="143">
                  <c:v>1.2371344131525399</c:v>
                </c:pt>
                <c:pt idx="144">
                  <c:v>1.2371344131525399</c:v>
                </c:pt>
                <c:pt idx="145">
                  <c:v>1.2371344131525399</c:v>
                </c:pt>
                <c:pt idx="146">
                  <c:v>1.2371344131525399</c:v>
                </c:pt>
                <c:pt idx="147">
                  <c:v>1.2371344131525399</c:v>
                </c:pt>
                <c:pt idx="148">
                  <c:v>1.2371344131525399</c:v>
                </c:pt>
                <c:pt idx="149">
                  <c:v>1.2371344131525399</c:v>
                </c:pt>
                <c:pt idx="150">
                  <c:v>1.2371344131525399</c:v>
                </c:pt>
                <c:pt idx="151">
                  <c:v>1.2371344131525399</c:v>
                </c:pt>
                <c:pt idx="152">
                  <c:v>1.2371344131525399</c:v>
                </c:pt>
                <c:pt idx="153">
                  <c:v>1.2371344131525399</c:v>
                </c:pt>
                <c:pt idx="154">
                  <c:v>1.2371344131525399</c:v>
                </c:pt>
                <c:pt idx="155">
                  <c:v>1.2371344131525399</c:v>
                </c:pt>
                <c:pt idx="156">
                  <c:v>1.2371344131525399</c:v>
                </c:pt>
                <c:pt idx="157">
                  <c:v>1.2371344131525399</c:v>
                </c:pt>
                <c:pt idx="158">
                  <c:v>1.2371344131525399</c:v>
                </c:pt>
                <c:pt idx="159">
                  <c:v>1.2371344131525399</c:v>
                </c:pt>
                <c:pt idx="160">
                  <c:v>1.2371344131525399</c:v>
                </c:pt>
                <c:pt idx="161">
                  <c:v>1.2371344131525399</c:v>
                </c:pt>
                <c:pt idx="162">
                  <c:v>1.2371344131525399</c:v>
                </c:pt>
                <c:pt idx="163">
                  <c:v>1.2371344131525399</c:v>
                </c:pt>
                <c:pt idx="164">
                  <c:v>1.2371344131525399</c:v>
                </c:pt>
                <c:pt idx="165">
                  <c:v>1.2371344131525399</c:v>
                </c:pt>
                <c:pt idx="166">
                  <c:v>1.2371344131525399</c:v>
                </c:pt>
                <c:pt idx="167">
                  <c:v>1.2371344131525399</c:v>
                </c:pt>
                <c:pt idx="168">
                  <c:v>1.2371344131525399</c:v>
                </c:pt>
                <c:pt idx="169">
                  <c:v>1.2371344131525399</c:v>
                </c:pt>
                <c:pt idx="170">
                  <c:v>1.2371344131525399</c:v>
                </c:pt>
                <c:pt idx="171">
                  <c:v>1.2371344131525399</c:v>
                </c:pt>
                <c:pt idx="172">
                  <c:v>1.2371344131525399</c:v>
                </c:pt>
                <c:pt idx="173">
                  <c:v>1.2371344131525399</c:v>
                </c:pt>
                <c:pt idx="174">
                  <c:v>1.2371344131525399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0C-4049-B428-C7072A9627DE}"/>
            </c:ext>
          </c:extLst>
        </c:ser>
        <c:ser>
          <c:idx val="1"/>
          <c:order val="1"/>
          <c:tx>
            <c:strRef>
              <c:f>[1]Sheet1!$P$1</c:f>
              <c:strCache>
                <c:ptCount val="1"/>
                <c:pt idx="0">
                  <c:v>IBDT/BSCS 10 dma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[1]Sheet1!$P$2:$P$176</c:f>
              <c:numCache>
                <c:formatCode>General</c:formatCode>
                <c:ptCount val="175"/>
                <c:pt idx="9">
                  <c:v>1.23550266146885</c:v>
                </c:pt>
                <c:pt idx="10">
                  <c:v>1.23550266146885</c:v>
                </c:pt>
                <c:pt idx="11">
                  <c:v>1.23594673730024</c:v>
                </c:pt>
                <c:pt idx="12">
                  <c:v>1.23647670555787</c:v>
                </c:pt>
                <c:pt idx="13">
                  <c:v>1.2370432780632501</c:v>
                </c:pt>
                <c:pt idx="14">
                  <c:v>1.2375989071459701</c:v>
                </c:pt>
                <c:pt idx="15">
                  <c:v>1.23813137454032</c:v>
                </c:pt>
                <c:pt idx="16">
                  <c:v>1.23854324006401</c:v>
                </c:pt>
                <c:pt idx="17">
                  <c:v>1.2389177504420801</c:v>
                </c:pt>
                <c:pt idx="18">
                  <c:v>1.2393405588736599</c:v>
                </c:pt>
                <c:pt idx="19">
                  <c:v>1.23971745028574</c:v>
                </c:pt>
                <c:pt idx="20">
                  <c:v>1.23974030824193</c:v>
                </c:pt>
                <c:pt idx="21">
                  <c:v>1.2393419483552099</c:v>
                </c:pt>
                <c:pt idx="22">
                  <c:v>1.2388463210642899</c:v>
                </c:pt>
                <c:pt idx="23">
                  <c:v>1.2383767417693901</c:v>
                </c:pt>
                <c:pt idx="24">
                  <c:v>1.2378353487177001</c:v>
                </c:pt>
                <c:pt idx="25">
                  <c:v>1.23735415592569</c:v>
                </c:pt>
                <c:pt idx="26">
                  <c:v>1.2368366613053099</c:v>
                </c:pt>
                <c:pt idx="27">
                  <c:v>1.2364392902524699</c:v>
                </c:pt>
                <c:pt idx="28">
                  <c:v>1.2360421399085399</c:v>
                </c:pt>
                <c:pt idx="29">
                  <c:v>1.2356336774229899</c:v>
                </c:pt>
                <c:pt idx="30">
                  <c:v>1.2356022709046399</c:v>
                </c:pt>
                <c:pt idx="31">
                  <c:v>1.23555941874787</c:v>
                </c:pt>
                <c:pt idx="32">
                  <c:v>1.23553926274464</c:v>
                </c:pt>
                <c:pt idx="33">
                  <c:v>1.2355420326378701</c:v>
                </c:pt>
                <c:pt idx="34">
                  <c:v>1.2360734710552601</c:v>
                </c:pt>
                <c:pt idx="35">
                  <c:v>1.23651955074051</c:v>
                </c:pt>
                <c:pt idx="36">
                  <c:v>1.2371225577240299</c:v>
                </c:pt>
                <c:pt idx="37">
                  <c:v>1.2377142922365501</c:v>
                </c:pt>
                <c:pt idx="38">
                  <c:v>1.2380766069908</c:v>
                </c:pt>
                <c:pt idx="39">
                  <c:v>1.2380110435329399</c:v>
                </c:pt>
                <c:pt idx="40">
                  <c:v>1.23810248655462</c:v>
                </c:pt>
                <c:pt idx="41">
                  <c:v>1.23821690152217</c:v>
                </c:pt>
                <c:pt idx="42">
                  <c:v>1.2381742224443399</c:v>
                </c:pt>
                <c:pt idx="43">
                  <c:v>1.23813151417033</c:v>
                </c:pt>
                <c:pt idx="44">
                  <c:v>1.23766879114045</c:v>
                </c:pt>
                <c:pt idx="45">
                  <c:v>1.23716862444186</c:v>
                </c:pt>
                <c:pt idx="46">
                  <c:v>1.23671455690553</c:v>
                </c:pt>
                <c:pt idx="47">
                  <c:v>1.2361230593094299</c:v>
                </c:pt>
                <c:pt idx="48">
                  <c:v>1.2357839150788601</c:v>
                </c:pt>
                <c:pt idx="49">
                  <c:v>1.2358843966211599</c:v>
                </c:pt>
                <c:pt idx="50">
                  <c:v>1.2359020487713099</c:v>
                </c:pt>
                <c:pt idx="51">
                  <c:v>1.2357846988716801</c:v>
                </c:pt>
                <c:pt idx="52">
                  <c:v>1.2357904964800199</c:v>
                </c:pt>
                <c:pt idx="53">
                  <c:v>1.23576745102286</c:v>
                </c:pt>
                <c:pt idx="54">
                  <c:v>1.2360858544448601</c:v>
                </c:pt>
                <c:pt idx="55">
                  <c:v>1.2365021088246599</c:v>
                </c:pt>
                <c:pt idx="56">
                  <c:v>1.23686099837816</c:v>
                </c:pt>
                <c:pt idx="57">
                  <c:v>1.2373185841418199</c:v>
                </c:pt>
                <c:pt idx="58">
                  <c:v>1.2378393641337899</c:v>
                </c:pt>
                <c:pt idx="59">
                  <c:v>1.23827550559845</c:v>
                </c:pt>
                <c:pt idx="60">
                  <c:v>1.2386270298581199</c:v>
                </c:pt>
                <c:pt idx="61">
                  <c:v>1.23869900321338</c:v>
                </c:pt>
                <c:pt idx="62">
                  <c:v>1.23867313196999</c:v>
                </c:pt>
                <c:pt idx="63">
                  <c:v>1.2387105737877599</c:v>
                </c:pt>
                <c:pt idx="64">
                  <c:v>1.2382863120229</c:v>
                </c:pt>
                <c:pt idx="65">
                  <c:v>1.2378759084754201</c:v>
                </c:pt>
                <c:pt idx="66">
                  <c:v>1.23746552307719</c:v>
                </c:pt>
                <c:pt idx="67">
                  <c:v>1.23705681316887</c:v>
                </c:pt>
                <c:pt idx="68">
                  <c:v>1.23655033540031</c:v>
                </c:pt>
                <c:pt idx="69">
                  <c:v>1.2360193509344299</c:v>
                </c:pt>
                <c:pt idx="70">
                  <c:v>1.2355472092967099</c:v>
                </c:pt>
                <c:pt idx="71">
                  <c:v>1.23541786817951</c:v>
                </c:pt>
                <c:pt idx="72">
                  <c:v>1.23537492309467</c:v>
                </c:pt>
                <c:pt idx="73">
                  <c:v>1.2357314082244999</c:v>
                </c:pt>
                <c:pt idx="74">
                  <c:v>1.23604811970996</c:v>
                </c:pt>
                <c:pt idx="75">
                  <c:v>1.2364742942017899</c:v>
                </c:pt>
                <c:pt idx="76">
                  <c:v>1.2368631253434801</c:v>
                </c:pt>
                <c:pt idx="77">
                  <c:v>1.2372658671714101</c:v>
                </c:pt>
                <c:pt idx="78">
                  <c:v>1.2377034092151999</c:v>
                </c:pt>
                <c:pt idx="79">
                  <c:v>1.2381266032268701</c:v>
                </c:pt>
                <c:pt idx="80">
                  <c:v>1.2385967523913399</c:v>
                </c:pt>
                <c:pt idx="81">
                  <c:v>1.239080448433</c:v>
                </c:pt>
                <c:pt idx="82">
                  <c:v>1.23904852399497</c:v>
                </c:pt>
                <c:pt idx="83">
                  <c:v>1.2386661141303299</c:v>
                </c:pt>
                <c:pt idx="84">
                  <c:v>1.23839549922968</c:v>
                </c:pt>
                <c:pt idx="85">
                  <c:v>1.2378830451106</c:v>
                </c:pt>
                <c:pt idx="86">
                  <c:v>1.2374425164762399</c:v>
                </c:pt>
                <c:pt idx="87">
                  <c:v>1.2370024186767301</c:v>
                </c:pt>
                <c:pt idx="88">
                  <c:v>1.23652470038325</c:v>
                </c:pt>
                <c:pt idx="89">
                  <c:v>1.23620518582091</c:v>
                </c:pt>
                <c:pt idx="90">
                  <c:v>1.2356572838045501</c:v>
                </c:pt>
                <c:pt idx="91">
                  <c:v>1.2352655110327599</c:v>
                </c:pt>
                <c:pt idx="92">
                  <c:v>1.23528848595963</c:v>
                </c:pt>
                <c:pt idx="93">
                  <c:v>1.23571357208733</c:v>
                </c:pt>
                <c:pt idx="94">
                  <c:v>1.2361624411379299</c:v>
                </c:pt>
                <c:pt idx="95">
                  <c:v>1.2367318564324501</c:v>
                </c:pt>
                <c:pt idx="96">
                  <c:v>1.2372293462422399</c:v>
                </c:pt>
                <c:pt idx="97">
                  <c:v>1.2376517978173001</c:v>
                </c:pt>
                <c:pt idx="98">
                  <c:v>1.2380647889065299</c:v>
                </c:pt>
                <c:pt idx="99">
                  <c:v>1.23844302620963</c:v>
                </c:pt>
                <c:pt idx="100">
                  <c:v>1.2389909282259799</c:v>
                </c:pt>
                <c:pt idx="101">
                  <c:v>1.2393944340260299</c:v>
                </c:pt>
                <c:pt idx="102">
                  <c:v>1.2395155413215699</c:v>
                </c:pt>
                <c:pt idx="103">
                  <c:v>1.2391625668990101</c:v>
                </c:pt>
                <c:pt idx="104">
                  <c:v>1.23868777031431</c:v>
                </c:pt>
                <c:pt idx="105">
                  <c:v>1.2382855111236899</c:v>
                </c:pt>
                <c:pt idx="106">
                  <c:v>1.2377707357818999</c:v>
                </c:pt>
                <c:pt idx="107">
                  <c:v>1.23729357505476</c:v>
                </c:pt>
                <c:pt idx="108">
                  <c:v>1.2368777272870199</c:v>
                </c:pt>
                <c:pt idx="109">
                  <c:v>1.2363264795617299</c:v>
                </c:pt>
                <c:pt idx="110">
                  <c:v>1.23580152998638</c:v>
                </c:pt>
                <c:pt idx="111">
                  <c:v>1.2354095652632</c:v>
                </c:pt>
                <c:pt idx="112">
                  <c:v>1.23531443066684</c:v>
                </c:pt>
                <c:pt idx="113">
                  <c:v>1.23521929607047</c:v>
                </c:pt>
                <c:pt idx="114">
                  <c:v>1.23524240942486</c:v>
                </c:pt>
                <c:pt idx="115">
                  <c:v>1.2351443221271601</c:v>
                </c:pt>
                <c:pt idx="116">
                  <c:v>1.2356453721581599</c:v>
                </c:pt>
                <c:pt idx="117">
                  <c:v>1.23619535978858</c:v>
                </c:pt>
                <c:pt idx="118">
                  <c:v>1.23664654206844</c:v>
                </c:pt>
                <c:pt idx="119">
                  <c:v>1.2371840218996899</c:v>
                </c:pt>
                <c:pt idx="120">
                  <c:v>1.23768342640315</c:v>
                </c:pt>
                <c:pt idx="121">
                  <c:v>1.2381224384384599</c:v>
                </c:pt>
                <c:pt idx="122">
                  <c:v>1.2385843771537199</c:v>
                </c:pt>
                <c:pt idx="123">
                  <c:v>1.23862760019254</c:v>
                </c:pt>
                <c:pt idx="124">
                  <c:v>1.2386044868381501</c:v>
                </c:pt>
                <c:pt idx="125">
                  <c:v>1.2386044868381501</c:v>
                </c:pt>
                <c:pt idx="126">
                  <c:v>1.23815255272071</c:v>
                </c:pt>
                <c:pt idx="127">
                  <c:v>1.2376141146841</c:v>
                </c:pt>
                <c:pt idx="128">
                  <c:v>1.2370763479839499</c:v>
                </c:pt>
                <c:pt idx="129">
                  <c:v>1.2366225265969299</c:v>
                </c:pt>
                <c:pt idx="130">
                  <c:v>1.2362761553214101</c:v>
                </c:pt>
                <c:pt idx="131">
                  <c:v>1.23578523730471</c:v>
                </c:pt>
                <c:pt idx="132">
                  <c:v>1.23536938953697</c:v>
                </c:pt>
                <c:pt idx="133">
                  <c:v>1.23537225744567</c:v>
                </c:pt>
                <c:pt idx="134">
                  <c:v>1.2354213010945201</c:v>
                </c:pt>
                <c:pt idx="135">
                  <c:v>1.23587049743099</c:v>
                </c:pt>
                <c:pt idx="136">
                  <c:v>1.2362850067073601</c:v>
                </c:pt>
                <c:pt idx="137">
                  <c:v>1.2367722908201499</c:v>
                </c:pt>
                <c:pt idx="138">
                  <c:v>1.2373673065097099</c:v>
                </c:pt>
                <c:pt idx="139">
                  <c:v>1.2378545906225</c:v>
                </c:pt>
                <c:pt idx="140">
                  <c:v>1.23820865972492</c:v>
                </c:pt>
                <c:pt idx="141">
                  <c:v>1.2387330955924001</c:v>
                </c:pt>
                <c:pt idx="142">
                  <c:v>1.2392078921771099</c:v>
                </c:pt>
                <c:pt idx="143">
                  <c:v>1.2397319013602399</c:v>
                </c:pt>
                <c:pt idx="144">
                  <c:v>1.2401576542960999</c:v>
                </c:pt>
                <c:pt idx="145">
                  <c:v>1.23961883394648</c:v>
                </c:pt>
                <c:pt idx="146">
                  <c:v>1.23910609284299</c:v>
                </c:pt>
                <c:pt idx="147">
                  <c:v>1.23866792464376</c:v>
                </c:pt>
                <c:pt idx="148">
                  <c:v>1.2382173619867001</c:v>
                </c:pt>
                <c:pt idx="149">
                  <c:v>1.2377185282801</c:v>
                </c:pt>
                <c:pt idx="150">
                  <c:v>1.23732966974555</c:v>
                </c:pt>
                <c:pt idx="151">
                  <c:v>1.23686589938544</c:v>
                </c:pt>
                <c:pt idx="152">
                  <c:v>1.2363535860938799</c:v>
                </c:pt>
                <c:pt idx="153">
                  <c:v>1.23587862055959</c:v>
                </c:pt>
                <c:pt idx="154">
                  <c:v>1.2354038239748899</c:v>
                </c:pt>
                <c:pt idx="155">
                  <c:v>1.2354934479880499</c:v>
                </c:pt>
                <c:pt idx="156">
                  <c:v>1.23566667918856</c:v>
                </c:pt>
                <c:pt idx="157">
                  <c:v>1.23568103577732</c:v>
                </c:pt>
                <c:pt idx="158">
                  <c:v>1.23567221081395</c:v>
                </c:pt>
                <c:pt idx="159">
                  <c:v>1.23569818926123</c:v>
                </c:pt>
                <c:pt idx="160">
                  <c:v>1.23613829878585</c:v>
                </c:pt>
                <c:pt idx="161">
                  <c:v>1.2365547940056201</c:v>
                </c:pt>
                <c:pt idx="162">
                  <c:v>1.2371163198955999</c:v>
                </c:pt>
                <c:pt idx="163">
                  <c:v>1.23746929431816</c:v>
                </c:pt>
                <c:pt idx="164">
                  <c:v>1.2379184906546199</c:v>
                </c:pt>
                <c:pt idx="165">
                  <c:v>1.2384169480748299</c:v>
                </c:pt>
                <c:pt idx="166">
                  <c:v>1.2382870202537299</c:v>
                </c:pt>
                <c:pt idx="167">
                  <c:v>1.2383656642113501</c:v>
                </c:pt>
                <c:pt idx="168">
                  <c:v>1.2383224671452699</c:v>
                </c:pt>
                <c:pt idx="169">
                  <c:v>1.23837757481178</c:v>
                </c:pt>
                <c:pt idx="170">
                  <c:v>1.23795788589358</c:v>
                </c:pt>
                <c:pt idx="171">
                  <c:v>1.23756181128024</c:v>
                </c:pt>
                <c:pt idx="172">
                  <c:v>1.23710178892192</c:v>
                </c:pt>
                <c:pt idx="173">
                  <c:v>1.23673766270576</c:v>
                </c:pt>
                <c:pt idx="174">
                  <c:v>1.2363757897618499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0C-4049-B428-C7072A9627DE}"/>
            </c:ext>
          </c:extLst>
        </c:ser>
        <c:ser>
          <c:idx val="2"/>
          <c:order val="2"/>
          <c:tx>
            <c:strRef>
              <c:f>[1]Sheet1!$Q$1</c:f>
              <c:strCache>
                <c:ptCount val="1"/>
                <c:pt idx="0">
                  <c:v>IBDT/BSCS 20 dma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[1]Sheet1!$Q$2:$Q$176</c:f>
              <c:numCache>
                <c:formatCode>General</c:formatCode>
                <c:ptCount val="175"/>
                <c:pt idx="19">
                  <c:v>1.23761005587729</c:v>
                </c:pt>
                <c:pt idx="20">
                  <c:v>1.2376214848553899</c:v>
                </c:pt>
                <c:pt idx="21">
                  <c:v>1.2376443428277299</c:v>
                </c:pt>
                <c:pt idx="22">
                  <c:v>1.23766151331108</c:v>
                </c:pt>
                <c:pt idx="23">
                  <c:v>1.2377100099163201</c:v>
                </c:pt>
                <c:pt idx="24">
                  <c:v>1.23771712793184</c:v>
                </c:pt>
                <c:pt idx="25">
                  <c:v>1.237742765233</c:v>
                </c:pt>
                <c:pt idx="26">
                  <c:v>1.2376899506846599</c:v>
                </c:pt>
                <c:pt idx="27">
                  <c:v>1.23767852034728</c:v>
                </c:pt>
                <c:pt idx="28">
                  <c:v>1.2376913493910999</c:v>
                </c:pt>
                <c:pt idx="29">
                  <c:v>1.2376755638543699</c:v>
                </c:pt>
                <c:pt idx="30">
                  <c:v>1.23767128957328</c:v>
                </c:pt>
                <c:pt idx="31">
                  <c:v>1.23745068355154</c:v>
                </c:pt>
                <c:pt idx="32">
                  <c:v>1.2371927919044601</c:v>
                </c:pt>
                <c:pt idx="33">
                  <c:v>1.23695938720363</c:v>
                </c:pt>
                <c:pt idx="34">
                  <c:v>1.23695440988648</c:v>
                </c:pt>
                <c:pt idx="35">
                  <c:v>1.2369368533331</c:v>
                </c:pt>
                <c:pt idx="36">
                  <c:v>1.2369796095146699</c:v>
                </c:pt>
                <c:pt idx="37">
                  <c:v>1.23707679124451</c:v>
                </c:pt>
                <c:pt idx="38">
                  <c:v>1.23705937344967</c:v>
                </c:pt>
                <c:pt idx="39">
                  <c:v>1.23682236047797</c:v>
                </c:pt>
                <c:pt idx="40">
                  <c:v>1.2368523787296299</c:v>
                </c:pt>
                <c:pt idx="41">
                  <c:v>1.2368881601350199</c:v>
                </c:pt>
                <c:pt idx="42">
                  <c:v>1.2368567425944901</c:v>
                </c:pt>
                <c:pt idx="43">
                  <c:v>1.2368367734040999</c:v>
                </c:pt>
                <c:pt idx="44">
                  <c:v>1.23687113109785</c:v>
                </c:pt>
                <c:pt idx="45">
                  <c:v>1.2368440875911799</c:v>
                </c:pt>
                <c:pt idx="46">
                  <c:v>1.2369185573147801</c:v>
                </c:pt>
                <c:pt idx="47">
                  <c:v>1.23691867577299</c:v>
                </c:pt>
                <c:pt idx="48">
                  <c:v>1.2369302610348301</c:v>
                </c:pt>
                <c:pt idx="49">
                  <c:v>1.23694772007705</c:v>
                </c:pt>
                <c:pt idx="50">
                  <c:v>1.2370022676629699</c:v>
                </c:pt>
                <c:pt idx="51">
                  <c:v>1.2370008001969299</c:v>
                </c:pt>
                <c:pt idx="52">
                  <c:v>1.23698235946218</c:v>
                </c:pt>
                <c:pt idx="53">
                  <c:v>1.2369494825965901</c:v>
                </c:pt>
                <c:pt idx="54">
                  <c:v>1.2368773227926499</c:v>
                </c:pt>
                <c:pt idx="55">
                  <c:v>1.2368353666332601</c:v>
                </c:pt>
                <c:pt idx="56">
                  <c:v>1.2367877776418501</c:v>
                </c:pt>
                <c:pt idx="57">
                  <c:v>1.23672082172562</c:v>
                </c:pt>
                <c:pt idx="58">
                  <c:v>1.23681163960632</c:v>
                </c:pt>
                <c:pt idx="59">
                  <c:v>1.2370799511098101</c:v>
                </c:pt>
                <c:pt idx="60">
                  <c:v>1.2372645393147099</c:v>
                </c:pt>
                <c:pt idx="61">
                  <c:v>1.23724185104253</c:v>
                </c:pt>
                <c:pt idx="62">
                  <c:v>1.2372318142250101</c:v>
                </c:pt>
                <c:pt idx="63">
                  <c:v>1.2372390124053101</c:v>
                </c:pt>
                <c:pt idx="64">
                  <c:v>1.2371860832338799</c:v>
                </c:pt>
                <c:pt idx="65">
                  <c:v>1.2371890086500399</c:v>
                </c:pt>
                <c:pt idx="66">
                  <c:v>1.2371632607276799</c:v>
                </c:pt>
                <c:pt idx="67">
                  <c:v>1.2371876986553401</c:v>
                </c:pt>
                <c:pt idx="68">
                  <c:v>1.23719484976705</c:v>
                </c:pt>
                <c:pt idx="69">
                  <c:v>1.2371474282664401</c:v>
                </c:pt>
                <c:pt idx="70">
                  <c:v>1.23708711957741</c:v>
                </c:pt>
                <c:pt idx="71">
                  <c:v>1.23705843569644</c:v>
                </c:pt>
                <c:pt idx="72">
                  <c:v>1.2370240275323301</c:v>
                </c:pt>
                <c:pt idx="73">
                  <c:v>1.23722099100613</c:v>
                </c:pt>
                <c:pt idx="74">
                  <c:v>1.23716721586643</c:v>
                </c:pt>
                <c:pt idx="75">
                  <c:v>1.2371751013386001</c:v>
                </c:pt>
                <c:pt idx="76">
                  <c:v>1.2371643242103301</c:v>
                </c:pt>
                <c:pt idx="77">
                  <c:v>1.23716134017014</c:v>
                </c:pt>
                <c:pt idx="78">
                  <c:v>1.23712687230775</c:v>
                </c:pt>
                <c:pt idx="79">
                  <c:v>1.2370729770806499</c:v>
                </c:pt>
                <c:pt idx="80">
                  <c:v>1.23707198084402</c:v>
                </c:pt>
                <c:pt idx="81">
                  <c:v>1.2372491583062499</c:v>
                </c:pt>
                <c:pt idx="82">
                  <c:v>1.2372117235448199</c:v>
                </c:pt>
                <c:pt idx="83">
                  <c:v>1.23719876117742</c:v>
                </c:pt>
                <c:pt idx="84">
                  <c:v>1.23722180946982</c:v>
                </c:pt>
                <c:pt idx="85">
                  <c:v>1.2371786696561899</c:v>
                </c:pt>
                <c:pt idx="86">
                  <c:v>1.2371528209098599</c:v>
                </c:pt>
                <c:pt idx="87">
                  <c:v>1.2371341429240701</c:v>
                </c:pt>
                <c:pt idx="88">
                  <c:v>1.2371140547992201</c:v>
                </c:pt>
                <c:pt idx="89">
                  <c:v>1.2371658945238899</c:v>
                </c:pt>
                <c:pt idx="90">
                  <c:v>1.2371270180979399</c:v>
                </c:pt>
                <c:pt idx="91">
                  <c:v>1.2371729797328801</c:v>
                </c:pt>
                <c:pt idx="92">
                  <c:v>1.2371685049773</c:v>
                </c:pt>
                <c:pt idx="93">
                  <c:v>1.23718984310883</c:v>
                </c:pt>
                <c:pt idx="94">
                  <c:v>1.2372789701838001</c:v>
                </c:pt>
                <c:pt idx="95">
                  <c:v>1.23730745077152</c:v>
                </c:pt>
                <c:pt idx="96">
                  <c:v>1.23733593135924</c:v>
                </c:pt>
                <c:pt idx="97">
                  <c:v>1.2373271082470101</c:v>
                </c:pt>
                <c:pt idx="98">
                  <c:v>1.2372947446448901</c:v>
                </c:pt>
                <c:pt idx="99">
                  <c:v>1.23732410601527</c:v>
                </c:pt>
                <c:pt idx="100">
                  <c:v>1.23732410601527</c:v>
                </c:pt>
                <c:pt idx="101">
                  <c:v>1.2373299725294</c:v>
                </c:pt>
                <c:pt idx="102">
                  <c:v>1.2374020136406001</c:v>
                </c:pt>
                <c:pt idx="103">
                  <c:v>1.2374380694931699</c:v>
                </c:pt>
                <c:pt idx="104">
                  <c:v>1.2374251057261201</c:v>
                </c:pt>
                <c:pt idx="105">
                  <c:v>1.23750868377807</c:v>
                </c:pt>
                <c:pt idx="106">
                  <c:v>1.23750004101207</c:v>
                </c:pt>
                <c:pt idx="107">
                  <c:v>1.2374726864360299</c:v>
                </c:pt>
                <c:pt idx="108">
                  <c:v>1.2374712580967699</c:v>
                </c:pt>
                <c:pt idx="109">
                  <c:v>1.2373847528856801</c:v>
                </c:pt>
                <c:pt idx="110">
                  <c:v>1.23739622910618</c:v>
                </c:pt>
                <c:pt idx="111">
                  <c:v>1.2374019996446199</c:v>
                </c:pt>
                <c:pt idx="112">
                  <c:v>1.2374149859942001</c:v>
                </c:pt>
                <c:pt idx="113">
                  <c:v>1.23719093148474</c:v>
                </c:pt>
                <c:pt idx="114">
                  <c:v>1.2369650898695801</c:v>
                </c:pt>
                <c:pt idx="115">
                  <c:v>1.2367149166254201</c:v>
                </c:pt>
                <c:pt idx="116">
                  <c:v>1.2367080539700299</c:v>
                </c:pt>
                <c:pt idx="117">
                  <c:v>1.2367444674216701</c:v>
                </c:pt>
                <c:pt idx="118">
                  <c:v>1.23676213467773</c:v>
                </c:pt>
                <c:pt idx="119">
                  <c:v>1.23675525073071</c:v>
                </c:pt>
                <c:pt idx="120">
                  <c:v>1.23674247819477</c:v>
                </c:pt>
                <c:pt idx="121">
                  <c:v>1.23676600185083</c:v>
                </c:pt>
                <c:pt idx="122">
                  <c:v>1.23694940391028</c:v>
                </c:pt>
                <c:pt idx="123">
                  <c:v>1.2369234481314999</c:v>
                </c:pt>
                <c:pt idx="124">
                  <c:v>1.2369234481314999</c:v>
                </c:pt>
                <c:pt idx="125">
                  <c:v>1.2368744044826601</c:v>
                </c:pt>
                <c:pt idx="126">
                  <c:v>1.23689896243943</c:v>
                </c:pt>
                <c:pt idx="127">
                  <c:v>1.23690473723634</c:v>
                </c:pt>
                <c:pt idx="128">
                  <c:v>1.2368614450261901</c:v>
                </c:pt>
                <c:pt idx="129">
                  <c:v>1.2369032742483099</c:v>
                </c:pt>
                <c:pt idx="130">
                  <c:v>1.2369797908622799</c:v>
                </c:pt>
                <c:pt idx="131">
                  <c:v>1.2369538378715901</c:v>
                </c:pt>
                <c:pt idx="132">
                  <c:v>1.2369768833453501</c:v>
                </c:pt>
                <c:pt idx="133">
                  <c:v>1.23699992881911</c:v>
                </c:pt>
                <c:pt idx="134">
                  <c:v>1.2370128939663401</c:v>
                </c:pt>
                <c:pt idx="135">
                  <c:v>1.2372374921345699</c:v>
                </c:pt>
                <c:pt idx="136">
                  <c:v>1.2372187797140299</c:v>
                </c:pt>
                <c:pt idx="137">
                  <c:v>1.23719320275213</c:v>
                </c:pt>
                <c:pt idx="138">
                  <c:v>1.2372218272468301</c:v>
                </c:pt>
                <c:pt idx="139">
                  <c:v>1.2372385586097201</c:v>
                </c:pt>
                <c:pt idx="140">
                  <c:v>1.2372424075231601</c:v>
                </c:pt>
                <c:pt idx="141">
                  <c:v>1.2372591664485599</c:v>
                </c:pt>
                <c:pt idx="142">
                  <c:v>1.23728864085704</c:v>
                </c:pt>
                <c:pt idx="143">
                  <c:v>1.23755207940296</c:v>
                </c:pt>
                <c:pt idx="144">
                  <c:v>1.23778947769531</c:v>
                </c:pt>
                <c:pt idx="145">
                  <c:v>1.2377446656887301</c:v>
                </c:pt>
                <c:pt idx="146">
                  <c:v>1.23769554977518</c:v>
                </c:pt>
                <c:pt idx="147">
                  <c:v>1.23772010773196</c:v>
                </c:pt>
                <c:pt idx="148">
                  <c:v>1.23779233424821</c:v>
                </c:pt>
                <c:pt idx="149">
                  <c:v>1.2377865594513</c:v>
                </c:pt>
                <c:pt idx="150">
                  <c:v>1.23776916473524</c:v>
                </c:pt>
                <c:pt idx="151">
                  <c:v>1.2377994974889199</c:v>
                </c:pt>
                <c:pt idx="152">
                  <c:v>1.2377807391355</c:v>
                </c:pt>
                <c:pt idx="153">
                  <c:v>1.2378052609599199</c:v>
                </c:pt>
                <c:pt idx="154">
                  <c:v>1.2377807391355</c:v>
                </c:pt>
                <c:pt idx="155">
                  <c:v>1.23755614096726</c:v>
                </c:pt>
                <c:pt idx="156">
                  <c:v>1.2373863860157801</c:v>
                </c:pt>
                <c:pt idx="157">
                  <c:v>1.23717448021054</c:v>
                </c:pt>
                <c:pt idx="158">
                  <c:v>1.23694478640033</c:v>
                </c:pt>
                <c:pt idx="159">
                  <c:v>1.23670835877067</c:v>
                </c:pt>
                <c:pt idx="160">
                  <c:v>1.2367339842656999</c:v>
                </c:pt>
                <c:pt idx="161">
                  <c:v>1.23671034669553</c:v>
                </c:pt>
                <c:pt idx="162">
                  <c:v>1.23673495299474</c:v>
                </c:pt>
                <c:pt idx="163">
                  <c:v>1.2366739574388801</c:v>
                </c:pt>
                <c:pt idx="164">
                  <c:v>1.2366611573147499</c:v>
                </c:pt>
                <c:pt idx="165">
                  <c:v>1.2369551980314399</c:v>
                </c:pt>
                <c:pt idx="166">
                  <c:v>1.23697684972114</c:v>
                </c:pt>
                <c:pt idx="167">
                  <c:v>1.2370233499943299</c:v>
                </c:pt>
                <c:pt idx="168">
                  <c:v>1.2369973389796101</c:v>
                </c:pt>
                <c:pt idx="169">
                  <c:v>1.23703788203651</c:v>
                </c:pt>
                <c:pt idx="170">
                  <c:v>1.23704809233972</c:v>
                </c:pt>
                <c:pt idx="171">
                  <c:v>1.23705830264293</c:v>
                </c:pt>
                <c:pt idx="172">
                  <c:v>1.23710905440876</c:v>
                </c:pt>
                <c:pt idx="173">
                  <c:v>1.2371034785119599</c:v>
                </c:pt>
                <c:pt idx="174">
                  <c:v>1.2371471402082399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0C-4049-B428-C7072A962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[1]Sheet1!$AF$1</c:f>
              <c:strCache>
                <c:ptCount val="1"/>
                <c:pt idx="0">
                  <c:v>log diff BSCS* x 10 dma / IBDT*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[1]Sheet1!$AF$2:$AF$176</c:f>
              <c:numCache>
                <c:formatCode>General</c:formatCode>
                <c:ptCount val="175"/>
                <c:pt idx="10">
                  <c:v>1.45702380690385E-4</c:v>
                </c:pt>
                <c:pt idx="11">
                  <c:v>2.7699477791069303E-4</c:v>
                </c:pt>
                <c:pt idx="12">
                  <c:v>-8.1215952695356305E-4</c:v>
                </c:pt>
                <c:pt idx="13">
                  <c:v>-2.6177284072075502E-4</c:v>
                </c:pt>
                <c:pt idx="14">
                  <c:v>-6.5136506716179305E-4</c:v>
                </c:pt>
                <c:pt idx="15">
                  <c:v>-4.7245796360962202E-4</c:v>
                </c:pt>
                <c:pt idx="16">
                  <c:v>1.7233546126199599E-4</c:v>
                </c:pt>
                <c:pt idx="17">
                  <c:v>6.2721061216547403E-4</c:v>
                </c:pt>
                <c:pt idx="18">
                  <c:v>6.6004829366683899E-4</c:v>
                </c:pt>
                <c:pt idx="19">
                  <c:v>3.40476512893816E-4</c:v>
                </c:pt>
                <c:pt idx="20">
                  <c:v>5.4097049536139297E-5</c:v>
                </c:pt>
                <c:pt idx="21">
                  <c:v>-1.4566400194726E-5</c:v>
                </c:pt>
                <c:pt idx="22">
                  <c:v>-2.6780676574755802E-4</c:v>
                </c:pt>
                <c:pt idx="23">
                  <c:v>-2.34771978753548E-5</c:v>
                </c:pt>
                <c:pt idx="24">
                  <c:v>5.6891618532355801E-5</c:v>
                </c:pt>
                <c:pt idx="25">
                  <c:v>-4.0342153108595402E-4</c:v>
                </c:pt>
                <c:pt idx="26">
                  <c:v>4.4909985836431398E-4</c:v>
                </c:pt>
                <c:pt idx="27">
                  <c:v>-8.4545211173387897E-5</c:v>
                </c:pt>
                <c:pt idx="28">
                  <c:v>5.3441914206455599E-5</c:v>
                </c:pt>
                <c:pt idx="29">
                  <c:v>-1.07089883378466E-4</c:v>
                </c:pt>
                <c:pt idx="30">
                  <c:v>3.1986759044605901E-4</c:v>
                </c:pt>
                <c:pt idx="31">
                  <c:v>2.9452528370888198E-4</c:v>
                </c:pt>
                <c:pt idx="32">
                  <c:v>-2.2245146186229399E-4</c:v>
                </c:pt>
                <c:pt idx="33">
                  <c:v>-1.46660960280617E-4</c:v>
                </c:pt>
                <c:pt idx="34">
                  <c:v>-7.9831535745572199E-4</c:v>
                </c:pt>
                <c:pt idx="35">
                  <c:v>-4.2357217378522199E-4</c:v>
                </c:pt>
                <c:pt idx="36">
                  <c:v>-8.0580253304792199E-4</c:v>
                </c:pt>
                <c:pt idx="37">
                  <c:v>-1.06148884968357E-3</c:v>
                </c:pt>
                <c:pt idx="38">
                  <c:v>9.9158687753188291E-4</c:v>
                </c:pt>
                <c:pt idx="39">
                  <c:v>5.4002321817783999E-4</c:v>
                </c:pt>
                <c:pt idx="40">
                  <c:v>-3.7246933409692097E-4</c:v>
                </c:pt>
                <c:pt idx="41">
                  <c:v>-4.7068187343918299E-4</c:v>
                </c:pt>
                <c:pt idx="42">
                  <c:v>4.1555688055631599E-4</c:v>
                </c:pt>
                <c:pt idx="43">
                  <c:v>4.8613340114294002E-4</c:v>
                </c:pt>
                <c:pt idx="44">
                  <c:v>-3.1639105135781699E-4</c:v>
                </c:pt>
                <c:pt idx="45">
                  <c:v>2.7170787026942498E-4</c:v>
                </c:pt>
                <c:pt idx="46">
                  <c:v>-5.2780834890259502E-4</c:v>
                </c:pt>
                <c:pt idx="47">
                  <c:v>1.8365644724749699E-4</c:v>
                </c:pt>
                <c:pt idx="48">
                  <c:v>-2.0931994850008698E-5</c:v>
                </c:pt>
                <c:pt idx="49">
                  <c:v>-2.3078003601031101E-4</c:v>
                </c:pt>
                <c:pt idx="50">
                  <c:v>-3.5675281839515698E-4</c:v>
                </c:pt>
                <c:pt idx="51">
                  <c:v>5.57174829033794E-4</c:v>
                </c:pt>
                <c:pt idx="52">
                  <c:v>2.5529354352463402E-4</c:v>
                </c:pt>
                <c:pt idx="53">
                  <c:v>5.8333742037937201E-4</c:v>
                </c:pt>
                <c:pt idx="54">
                  <c:v>5.7898644880603105E-4</c:v>
                </c:pt>
                <c:pt idx="55">
                  <c:v>2.96015293834172E-4</c:v>
                </c:pt>
                <c:pt idx="56">
                  <c:v>-2.4160488434059798E-5</c:v>
                </c:pt>
                <c:pt idx="57">
                  <c:v>-1.6058346988636501E-4</c:v>
                </c:pt>
                <c:pt idx="58">
                  <c:v>-7.4910800521177997E-4</c:v>
                </c:pt>
                <c:pt idx="59">
                  <c:v>-3.1387729075718098E-4</c:v>
                </c:pt>
                <c:pt idx="60">
                  <c:v>1.45256774982269E-4</c:v>
                </c:pt>
                <c:pt idx="61">
                  <c:v>-4.5347265281709499E-4</c:v>
                </c:pt>
                <c:pt idx="62">
                  <c:v>1.95099236340642E-4</c:v>
                </c:pt>
                <c:pt idx="63">
                  <c:v>4.1459849421008499E-6</c:v>
                </c:pt>
                <c:pt idx="64">
                  <c:v>2.3331192155920399E-4</c:v>
                </c:pt>
                <c:pt idx="65">
                  <c:v>-3.8352936616807402E-5</c:v>
                </c:pt>
                <c:pt idx="66">
                  <c:v>-2.98233483625919E-4</c:v>
                </c:pt>
                <c:pt idx="67">
                  <c:v>-3.5199501196764402E-4</c:v>
                </c:pt>
                <c:pt idx="68">
                  <c:v>-1.26344577873718E-4</c:v>
                </c:pt>
                <c:pt idx="69">
                  <c:v>4.1091877552360299E-4</c:v>
                </c:pt>
                <c:pt idx="70">
                  <c:v>3.5284953956577902E-4</c:v>
                </c:pt>
                <c:pt idx="71">
                  <c:v>7.3176151485414005E-4</c:v>
                </c:pt>
                <c:pt idx="72">
                  <c:v>5.1305488047134003E-4</c:v>
                </c:pt>
                <c:pt idx="73">
                  <c:v>6.3516081761535201E-4</c:v>
                </c:pt>
                <c:pt idx="74">
                  <c:v>1.07266464605068E-3</c:v>
                </c:pt>
                <c:pt idx="75">
                  <c:v>-2.00182265665813E-4</c:v>
                </c:pt>
                <c:pt idx="76">
                  <c:v>-2.13680796785352E-4</c:v>
                </c:pt>
                <c:pt idx="77">
                  <c:v>-4.6316037267489399E-4</c:v>
                </c:pt>
                <c:pt idx="78">
                  <c:v>-5.8729379866289799E-4</c:v>
                </c:pt>
                <c:pt idx="79">
                  <c:v>9.7145717718108895E-5</c:v>
                </c:pt>
                <c:pt idx="80">
                  <c:v>-2.8689017119491402E-4</c:v>
                </c:pt>
                <c:pt idx="81">
                  <c:v>1.0649032952050299E-5</c:v>
                </c:pt>
                <c:pt idx="82">
                  <c:v>3.8346582212881001E-4</c:v>
                </c:pt>
                <c:pt idx="83">
                  <c:v>-2.0424880314119699E-4</c:v>
                </c:pt>
                <c:pt idx="84">
                  <c:v>-5.3486278137639999E-4</c:v>
                </c:pt>
                <c:pt idx="85">
                  <c:v>3.7370875035766901E-4</c:v>
                </c:pt>
                <c:pt idx="86">
                  <c:v>-2.4378162548337E-4</c:v>
                </c:pt>
                <c:pt idx="87">
                  <c:v>-4.3547397633847401E-4</c:v>
                </c:pt>
                <c:pt idx="88">
                  <c:v>-2.1532742517262399E-4</c:v>
                </c:pt>
                <c:pt idx="89">
                  <c:v>-8.0599799822679205E-4</c:v>
                </c:pt>
                <c:pt idx="90">
                  <c:v>7.5282407306006399E-4</c:v>
                </c:pt>
                <c:pt idx="91">
                  <c:v>-2.8309601612703302E-4</c:v>
                </c:pt>
                <c:pt idx="92">
                  <c:v>4.5970423640137798E-4</c:v>
                </c:pt>
                <c:pt idx="93">
                  <c:v>3.7979116664597798E-4</c:v>
                </c:pt>
                <c:pt idx="94">
                  <c:v>-2.2473848199138901E-4</c:v>
                </c:pt>
                <c:pt idx="95">
                  <c:v>-4.4173561040362799E-4</c:v>
                </c:pt>
                <c:pt idx="96">
                  <c:v>-3.56067226228313E-4</c:v>
                </c:pt>
                <c:pt idx="97">
                  <c:v>6.2825184701326007E-5</c:v>
                </c:pt>
                <c:pt idx="98">
                  <c:v>3.07508746946717E-4</c:v>
                </c:pt>
                <c:pt idx="99">
                  <c:v>-2.9083677017156599E-5</c:v>
                </c:pt>
                <c:pt idx="100">
                  <c:v>-3.2890844580393402E-6</c:v>
                </c:pt>
                <c:pt idx="101">
                  <c:v>2.4981683973249299E-4</c:v>
                </c:pt>
                <c:pt idx="102">
                  <c:v>-4.8577377140573698E-4</c:v>
                </c:pt>
                <c:pt idx="103">
                  <c:v>-3.9320185270057799E-4</c:v>
                </c:pt>
                <c:pt idx="104">
                  <c:v>7.9225259816944599E-5</c:v>
                </c:pt>
                <c:pt idx="105">
                  <c:v>-7.1374617829916603E-4</c:v>
                </c:pt>
                <c:pt idx="106">
                  <c:v>2.23130596272667E-4</c:v>
                </c:pt>
                <c:pt idx="107">
                  <c:v>2.6935354584188998E-4</c:v>
                </c:pt>
                <c:pt idx="108">
                  <c:v>4.7365892152459898E-5</c:v>
                </c:pt>
                <c:pt idx="109">
                  <c:v>8.59495171742511E-4</c:v>
                </c:pt>
                <c:pt idx="110">
                  <c:v>6.6908484465771196E-4</c:v>
                </c:pt>
                <c:pt idx="111">
                  <c:v>-2.5621459369365001E-4</c:v>
                </c:pt>
                <c:pt idx="112">
                  <c:v>3.6720525426180601E-4</c:v>
                </c:pt>
                <c:pt idx="113">
                  <c:v>2.9151633987008099E-4</c:v>
                </c:pt>
                <c:pt idx="114">
                  <c:v>-3.35406715137093E-4</c:v>
                </c:pt>
                <c:pt idx="115">
                  <c:v>-1.3293304080179601E-4</c:v>
                </c:pt>
                <c:pt idx="116">
                  <c:v>-4.3829377086770498E-4</c:v>
                </c:pt>
                <c:pt idx="117">
                  <c:v>-7.0165180427773802E-4</c:v>
                </c:pt>
                <c:pt idx="118">
                  <c:v>-5.5194949735595297E-5</c:v>
                </c:pt>
                <c:pt idx="119">
                  <c:v>3.1742620943974497E-5</c:v>
                </c:pt>
                <c:pt idx="120">
                  <c:v>2.7900224274277302E-4</c:v>
                </c:pt>
                <c:pt idx="121">
                  <c:v>-7.5656604900974602E-5</c:v>
                </c:pt>
                <c:pt idx="122">
                  <c:v>2.99079582633148E-4</c:v>
                </c:pt>
                <c:pt idx="123">
                  <c:v>6.9413968761151303E-5</c:v>
                </c:pt>
                <c:pt idx="124">
                  <c:v>7.5122625761296096E-5</c:v>
                </c:pt>
                <c:pt idx="125">
                  <c:v>4.9969661201171901E-5</c:v>
                </c:pt>
                <c:pt idx="126">
                  <c:v>-2.31912359608177E-4</c:v>
                </c:pt>
                <c:pt idx="127">
                  <c:v>1.5502544138753E-4</c:v>
                </c:pt>
                <c:pt idx="128">
                  <c:v>6.5635582987105595E-4</c:v>
                </c:pt>
                <c:pt idx="129">
                  <c:v>1.3939171662285499E-5</c:v>
                </c:pt>
                <c:pt idx="130">
                  <c:v>-6.5492714665488997E-4</c:v>
                </c:pt>
                <c:pt idx="131">
                  <c:v>1.82202743096571E-4</c:v>
                </c:pt>
                <c:pt idx="132">
                  <c:v>-5.7021468217282899E-5</c:v>
                </c:pt>
                <c:pt idx="133">
                  <c:v>-3.1415690520935099E-5</c:v>
                </c:pt>
                <c:pt idx="134">
                  <c:v>-4.1751556282091301E-4</c:v>
                </c:pt>
                <c:pt idx="135">
                  <c:v>9.3368879668797499E-5</c:v>
                </c:pt>
                <c:pt idx="136">
                  <c:v>8.4995180687222205E-5</c:v>
                </c:pt>
                <c:pt idx="137">
                  <c:v>-1.34303762673176E-4</c:v>
                </c:pt>
                <c:pt idx="138">
                  <c:v>-3.8866922091733799E-4</c:v>
                </c:pt>
                <c:pt idx="139">
                  <c:v>-6.8694618159563096E-6</c:v>
                </c:pt>
                <c:pt idx="140">
                  <c:v>4.0353243886650202E-4</c:v>
                </c:pt>
                <c:pt idx="141">
                  <c:v>-2.7477137843677702E-4</c:v>
                </c:pt>
                <c:pt idx="142">
                  <c:v>-4.0353366260484403E-5</c:v>
                </c:pt>
                <c:pt idx="143">
                  <c:v>-4.1636048124776701E-4</c:v>
                </c:pt>
                <c:pt idx="144">
                  <c:v>2.2763778150893899E-5</c:v>
                </c:pt>
                <c:pt idx="145">
                  <c:v>8.3410993591408395E-4</c:v>
                </c:pt>
                <c:pt idx="146">
                  <c:v>5.65299892727939E-4</c:v>
                </c:pt>
                <c:pt idx="147">
                  <c:v>-2.52573365556622E-4</c:v>
                </c:pt>
                <c:pt idx="148">
                  <c:v>-4.1927037730739601E-4</c:v>
                </c:pt>
                <c:pt idx="149">
                  <c:v>2.4988697890723403E-4</c:v>
                </c:pt>
                <c:pt idx="150">
                  <c:v>-2.6035337075870299E-4</c:v>
                </c:pt>
                <c:pt idx="151">
                  <c:v>-2.04999989492702E-4</c:v>
                </c:pt>
                <c:pt idx="152">
                  <c:v>3.6096692053122102E-4</c:v>
                </c:pt>
                <c:pt idx="153">
                  <c:v>-3.6457677444892299E-4</c:v>
                </c:pt>
                <c:pt idx="154">
                  <c:v>9.05446059386267E-6</c:v>
                </c:pt>
                <c:pt idx="155">
                  <c:v>-4.0905182491951899E-6</c:v>
                </c:pt>
                <c:pt idx="156">
                  <c:v>-7.9871793412462303E-4</c:v>
                </c:pt>
                <c:pt idx="157">
                  <c:v>-1.83729031326967E-4</c:v>
                </c:pt>
                <c:pt idx="158">
                  <c:v>-1.7245005010511501E-4</c:v>
                </c:pt>
                <c:pt idx="159">
                  <c:v>2.0741714858128001E-4</c:v>
                </c:pt>
                <c:pt idx="160">
                  <c:v>1.5082354526294801E-4</c:v>
                </c:pt>
                <c:pt idx="161">
                  <c:v>3.1347835977312298E-4</c:v>
                </c:pt>
                <c:pt idx="162">
                  <c:v>-2.9357911821578702E-4</c:v>
                </c:pt>
                <c:pt idx="163">
                  <c:v>7.3810810796299999E-4</c:v>
                </c:pt>
                <c:pt idx="164">
                  <c:v>2.8580873082707998E-4</c:v>
                </c:pt>
                <c:pt idx="165">
                  <c:v>-1.14141492413948E-4</c:v>
                </c:pt>
                <c:pt idx="166">
                  <c:v>3.7454391876871299E-4</c:v>
                </c:pt>
                <c:pt idx="167">
                  <c:v>-8.9466975545471805E-4</c:v>
                </c:pt>
                <c:pt idx="168">
                  <c:v>1.20166497641378E-4</c:v>
                </c:pt>
                <c:pt idx="169">
                  <c:v>-3.0550008732997501E-4</c:v>
                </c:pt>
                <c:pt idx="170">
                  <c:v>-2.66597828744542E-4</c:v>
                </c:pt>
                <c:pt idx="171">
                  <c:v>-2.3540168748308201E-4</c:v>
                </c:pt>
                <c:pt idx="172">
                  <c:v>-2.56398021042346E-4</c:v>
                </c:pt>
                <c:pt idx="173">
                  <c:v>-5.2067880895613101E-5</c:v>
                </c:pt>
                <c:pt idx="174">
                  <c:v>-3.6579771273589603E-4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B8-4D22-8587-E9193DBA0EE8}"/>
            </c:ext>
          </c:extLst>
        </c:ser>
        <c:ser>
          <c:idx val="2"/>
          <c:order val="1"/>
          <c:tx>
            <c:strRef>
              <c:f>[1]Sheet1!$AG$1</c:f>
              <c:strCache>
                <c:ptCount val="1"/>
                <c:pt idx="0">
                  <c:v>log diff BSCS* x 20 dma / IBDT*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[1]Sheet1!$AG$2:$AG$176</c:f>
              <c:numCache>
                <c:formatCode>General</c:formatCode>
                <c:ptCount val="175"/>
                <c:pt idx="20">
                  <c:v>-1.83882145029226E-5</c:v>
                </c:pt>
                <c:pt idx="21">
                  <c:v>-9.8877613821869495E-5</c:v>
                </c:pt>
                <c:pt idx="22">
                  <c:v>-3.77064344153697E-4</c:v>
                </c:pt>
                <c:pt idx="23">
                  <c:v>-8.3734636618434301E-5</c:v>
                </c:pt>
                <c:pt idx="24">
                  <c:v>5.02132670107245E-5</c:v>
                </c:pt>
                <c:pt idx="25">
                  <c:v>-3.3225824781026898E-4</c:v>
                </c:pt>
                <c:pt idx="26">
                  <c:v>5.6465466458250398E-4</c:v>
                </c:pt>
                <c:pt idx="27">
                  <c:v>4.1701856908027703E-5</c:v>
                </c:pt>
                <c:pt idx="28">
                  <c:v>1.27087579351125E-4</c:v>
                </c:pt>
                <c:pt idx="29">
                  <c:v>-6.6395961487713506E-5</c:v>
                </c:pt>
                <c:pt idx="30">
                  <c:v>3.1371674094331198E-4</c:v>
                </c:pt>
                <c:pt idx="31">
                  <c:v>3.1287261379823702E-4</c:v>
                </c:pt>
                <c:pt idx="32">
                  <c:v>-1.6381103628962599E-4</c:v>
                </c:pt>
                <c:pt idx="33">
                  <c:v>-9.6185375116831099E-5</c:v>
                </c:pt>
                <c:pt idx="34">
                  <c:v>-7.5484138407730795E-4</c:v>
                </c:pt>
                <c:pt idx="35">
                  <c:v>-4.53282490075833E-4</c:v>
                </c:pt>
                <c:pt idx="36">
                  <c:v>-8.5006582039564703E-4</c:v>
                </c:pt>
                <c:pt idx="37">
                  <c:v>-1.19830852383646E-3</c:v>
                </c:pt>
                <c:pt idx="38">
                  <c:v>8.1517997001476596E-4</c:v>
                </c:pt>
                <c:pt idx="39">
                  <c:v>4.1581286879433898E-4</c:v>
                </c:pt>
                <c:pt idx="40">
                  <c:v>-4.5844896218953798E-4</c:v>
                </c:pt>
                <c:pt idx="41">
                  <c:v>-6.1253702230305298E-4</c:v>
                </c:pt>
                <c:pt idx="42">
                  <c:v>2.0398524796525001E-4</c:v>
                </c:pt>
                <c:pt idx="43">
                  <c:v>2.77164869802665E-4</c:v>
                </c:pt>
                <c:pt idx="44">
                  <c:v>-5.1351335292738399E-4</c:v>
                </c:pt>
                <c:pt idx="45">
                  <c:v>1.1738916869671201E-4</c:v>
                </c:pt>
                <c:pt idx="46">
                  <c:v>-6.5882045749689395E-4</c:v>
                </c:pt>
                <c:pt idx="47">
                  <c:v>1.20611856959575E-4</c:v>
                </c:pt>
                <c:pt idx="48">
                  <c:v>3.45532020106705E-5</c:v>
                </c:pt>
                <c:pt idx="49">
                  <c:v>-2.49597788041422E-4</c:v>
                </c:pt>
                <c:pt idx="50">
                  <c:v>-4.3590838357830799E-4</c:v>
                </c:pt>
                <c:pt idx="51">
                  <c:v>5.1409576369311103E-4</c:v>
                </c:pt>
                <c:pt idx="52">
                  <c:v>3.1173944336998998E-4</c:v>
                </c:pt>
                <c:pt idx="53">
                  <c:v>6.2667677525411302E-4</c:v>
                </c:pt>
                <c:pt idx="54">
                  <c:v>6.2077861863832004E-4</c:v>
                </c:pt>
                <c:pt idx="55">
                  <c:v>3.8237270031174199E-4</c:v>
                </c:pt>
                <c:pt idx="56">
                  <c:v>5.2715235414712402E-5</c:v>
                </c:pt>
                <c:pt idx="57">
                  <c:v>-5.1620480970137399E-5</c:v>
                </c:pt>
                <c:pt idx="58">
                  <c:v>-7.02443507509388E-4</c:v>
                </c:pt>
                <c:pt idx="59">
                  <c:v>-2.53911064211961E-4</c:v>
                </c:pt>
                <c:pt idx="60">
                  <c:v>2.4748193697170901E-4</c:v>
                </c:pt>
                <c:pt idx="61">
                  <c:v>-3.08779150820202E-4</c:v>
                </c:pt>
                <c:pt idx="62">
                  <c:v>2.5663505658715701E-4</c:v>
                </c:pt>
                <c:pt idx="63">
                  <c:v>7.1193402085981204E-5</c:v>
                </c:pt>
                <c:pt idx="64">
                  <c:v>2.6891859951253298E-4</c:v>
                </c:pt>
                <c:pt idx="65">
                  <c:v>-6.5410397538538599E-5</c:v>
                </c:pt>
                <c:pt idx="66">
                  <c:v>-3.5455940419286001E-4</c:v>
                </c:pt>
                <c:pt idx="67">
                  <c:v>-4.6053703422009601E-4</c:v>
                </c:pt>
                <c:pt idx="68">
                  <c:v>-2.4899607200895899E-4</c:v>
                </c:pt>
                <c:pt idx="69">
                  <c:v>3.3889608315776099E-4</c:v>
                </c:pt>
                <c:pt idx="70">
                  <c:v>3.0801768078059802E-4</c:v>
                </c:pt>
                <c:pt idx="71">
                  <c:v>6.5749499392121996E-4</c:v>
                </c:pt>
                <c:pt idx="72">
                  <c:v>5.26678220588862E-4</c:v>
                </c:pt>
                <c:pt idx="73">
                  <c:v>6.6289580624719297E-4</c:v>
                </c:pt>
                <c:pt idx="74">
                  <c:v>1.1569676804628901E-3</c:v>
                </c:pt>
                <c:pt idx="75">
                  <c:v>-5.1782453800778198E-5</c:v>
                </c:pt>
                <c:pt idx="76">
                  <c:v>-3.9106704192788297E-5</c:v>
                </c:pt>
                <c:pt idx="77">
                  <c:v>-2.4754689345121001E-4</c:v>
                </c:pt>
                <c:pt idx="78">
                  <c:v>-3.3523284385483001E-4</c:v>
                </c:pt>
                <c:pt idx="79">
                  <c:v>3.3248080068758098E-4</c:v>
                </c:pt>
                <c:pt idx="80">
                  <c:v>-7.2752466827798596E-5</c:v>
                </c:pt>
                <c:pt idx="81">
                  <c:v>2.0831138082325E-4</c:v>
                </c:pt>
                <c:pt idx="82">
                  <c:v>5.1300236992042603E-4</c:v>
                </c:pt>
                <c:pt idx="83">
                  <c:v>-8.5496781480890195E-5</c:v>
                </c:pt>
                <c:pt idx="84">
                  <c:v>-4.8052386374629498E-4</c:v>
                </c:pt>
                <c:pt idx="85">
                  <c:v>3.0275629513410699E-4</c:v>
                </c:pt>
                <c:pt idx="86">
                  <c:v>-2.9988817570398901E-4</c:v>
                </c:pt>
                <c:pt idx="87">
                  <c:v>-5.2038885466595302E-4</c:v>
                </c:pt>
                <c:pt idx="88">
                  <c:v>-3.2336112788786402E-4</c:v>
                </c:pt>
                <c:pt idx="89">
                  <c:v>-9.0839235850890805E-4</c:v>
                </c:pt>
                <c:pt idx="90">
                  <c:v>5.8718814615953802E-4</c:v>
                </c:pt>
                <c:pt idx="91">
                  <c:v>-4.0275330639560301E-4</c:v>
                </c:pt>
                <c:pt idx="92">
                  <c:v>3.2968306135762899E-4</c:v>
                </c:pt>
                <c:pt idx="93">
                  <c:v>2.34114918861427E-4</c:v>
                </c:pt>
                <c:pt idx="94">
                  <c:v>-3.2569796616619599E-4</c:v>
                </c:pt>
                <c:pt idx="95">
                  <c:v>-4.6236774127001801E-4</c:v>
                </c:pt>
                <c:pt idx="96">
                  <c:v>-4.4112625800810801E-4</c:v>
                </c:pt>
                <c:pt idx="97">
                  <c:v>-2.9239574736580599E-5</c:v>
                </c:pt>
                <c:pt idx="98">
                  <c:v>2.3826200112387101E-4</c:v>
                </c:pt>
                <c:pt idx="99">
                  <c:v>-8.6912812891431506E-5</c:v>
                </c:pt>
                <c:pt idx="100">
                  <c:v>2.73642442837827E-5</c:v>
                </c:pt>
                <c:pt idx="101">
                  <c:v>2.10335378562441E-4</c:v>
                </c:pt>
                <c:pt idx="102">
                  <c:v>-4.7590511895373899E-4</c:v>
                </c:pt>
                <c:pt idx="103">
                  <c:v>-4.2043294822706299E-4</c:v>
                </c:pt>
                <c:pt idx="104">
                  <c:v>-4.0030914404322698E-6</c:v>
                </c:pt>
                <c:pt idx="105">
                  <c:v>-7.9551096425892404E-4</c:v>
                </c:pt>
                <c:pt idx="106">
                  <c:v>1.6241083254230499E-4</c:v>
                </c:pt>
                <c:pt idx="107">
                  <c:v>2.4564398549320601E-4</c:v>
                </c:pt>
                <c:pt idx="108">
                  <c:v>1.59007473938713E-5</c:v>
                </c:pt>
                <c:pt idx="109">
                  <c:v>7.9266664611982098E-4</c:v>
                </c:pt>
                <c:pt idx="110">
                  <c:v>6.0690949433994603E-4</c:v>
                </c:pt>
                <c:pt idx="111">
                  <c:v>-2.5627376754794101E-4</c:v>
                </c:pt>
                <c:pt idx="112">
                  <c:v>3.1914289149278803E-4</c:v>
                </c:pt>
                <c:pt idx="113">
                  <c:v>3.2758388900927402E-4</c:v>
                </c:pt>
                <c:pt idx="114">
                  <c:v>-2.20115611316914E-4</c:v>
                </c:pt>
                <c:pt idx="115">
                  <c:v>-3.3723950600760802E-5</c:v>
                </c:pt>
                <c:pt idx="116">
                  <c:v>-2.7830617640370699E-4</c:v>
                </c:pt>
                <c:pt idx="117">
                  <c:v>-5.81636206497596E-4</c:v>
                </c:pt>
                <c:pt idx="118">
                  <c:v>2.0301928935579E-5</c:v>
                </c:pt>
                <c:pt idx="119">
                  <c:v>1.2581270482661799E-4</c:v>
                </c:pt>
                <c:pt idx="120">
                  <c:v>3.0337029992439502E-4</c:v>
                </c:pt>
                <c:pt idx="121">
                  <c:v>-9.5738928442116805E-5</c:v>
                </c:pt>
                <c:pt idx="122">
                  <c:v>3.1132478087136603E-4</c:v>
                </c:pt>
                <c:pt idx="123">
                  <c:v>4.1633954221572403E-5</c:v>
                </c:pt>
                <c:pt idx="124">
                  <c:v>-4.3820109052552303E-6</c:v>
                </c:pt>
                <c:pt idx="125">
                  <c:v>-7.75467952679568E-6</c:v>
                </c:pt>
                <c:pt idx="126">
                  <c:v>-3.25244478256678E-4</c:v>
                </c:pt>
                <c:pt idx="127">
                  <c:v>7.9755477970588697E-5</c:v>
                </c:pt>
                <c:pt idx="128">
                  <c:v>6.5295824291262505E-4</c:v>
                </c:pt>
                <c:pt idx="129">
                  <c:v>4.3348763985548299E-5</c:v>
                </c:pt>
                <c:pt idx="130">
                  <c:v>-5.91496414962221E-4</c:v>
                </c:pt>
                <c:pt idx="131">
                  <c:v>2.2232954308345899E-4</c:v>
                </c:pt>
                <c:pt idx="132">
                  <c:v>-7.0093123464734402E-6</c:v>
                </c:pt>
                <c:pt idx="133">
                  <c:v>7.9741681918971605E-6</c:v>
                </c:pt>
                <c:pt idx="134">
                  <c:v>-3.6534763993847398E-4</c:v>
                </c:pt>
                <c:pt idx="135">
                  <c:v>1.13539949674328E-4</c:v>
                </c:pt>
                <c:pt idx="136">
                  <c:v>1.05980625938197E-4</c:v>
                </c:pt>
                <c:pt idx="137">
                  <c:v>-9.6357563598492595E-5</c:v>
                </c:pt>
                <c:pt idx="138">
                  <c:v>-3.9671062554370601E-4</c:v>
                </c:pt>
                <c:pt idx="139">
                  <c:v>-1.03179629691166E-4</c:v>
                </c:pt>
                <c:pt idx="140">
                  <c:v>2.9450208306907401E-4</c:v>
                </c:pt>
                <c:pt idx="141">
                  <c:v>-3.01423391928778E-4</c:v>
                </c:pt>
                <c:pt idx="142">
                  <c:v>-1.09422773133591E-4</c:v>
                </c:pt>
                <c:pt idx="143">
                  <c:v>-4.7870105487540099E-4</c:v>
                </c:pt>
                <c:pt idx="144">
                  <c:v>-6.3957340999653195E-5</c:v>
                </c:pt>
                <c:pt idx="145">
                  <c:v>7.80148858972775E-4</c:v>
                </c:pt>
                <c:pt idx="146">
                  <c:v>5.3877628600881996E-4</c:v>
                </c:pt>
                <c:pt idx="147">
                  <c:v>-2.7568718874631599E-4</c:v>
                </c:pt>
                <c:pt idx="148">
                  <c:v>-4.3993838377432798E-4</c:v>
                </c:pt>
                <c:pt idx="149">
                  <c:v>2.7866598475315802E-4</c:v>
                </c:pt>
                <c:pt idx="150">
                  <c:v>-2.0518805361747599E-4</c:v>
                </c:pt>
                <c:pt idx="151">
                  <c:v>-2.1953459524106999E-4</c:v>
                </c:pt>
                <c:pt idx="152">
                  <c:v>3.7398164810941001E-4</c:v>
                </c:pt>
                <c:pt idx="153">
                  <c:v>-3.24122911686992E-4</c:v>
                </c:pt>
                <c:pt idx="154">
                  <c:v>8.16324909051871E-5</c:v>
                </c:pt>
                <c:pt idx="155">
                  <c:v>6.1716399541950797E-5</c:v>
                </c:pt>
                <c:pt idx="156">
                  <c:v>-7.9985457058159403E-4</c:v>
                </c:pt>
                <c:pt idx="157">
                  <c:v>-2.7453511834780499E-4</c:v>
                </c:pt>
                <c:pt idx="158">
                  <c:v>-2.6066963675919002E-4</c:v>
                </c:pt>
                <c:pt idx="159">
                  <c:v>1.2631461673852601E-4</c:v>
                </c:pt>
                <c:pt idx="160">
                  <c:v>4.3778183982044497E-5</c:v>
                </c:pt>
                <c:pt idx="161">
                  <c:v>2.4395969432635601E-4</c:v>
                </c:pt>
                <c:pt idx="162">
                  <c:v>-3.4616455727037897E-4</c:v>
                </c:pt>
                <c:pt idx="163">
                  <c:v>6.2618149740220196E-4</c:v>
                </c:pt>
                <c:pt idx="164">
                  <c:v>2.1117101262683099E-4</c:v>
                </c:pt>
                <c:pt idx="165">
                  <c:v>-1.8897939658652399E-4</c:v>
                </c:pt>
                <c:pt idx="166">
                  <c:v>3.2203431219825402E-4</c:v>
                </c:pt>
                <c:pt idx="167">
                  <c:v>-8.2543718118535702E-4</c:v>
                </c:pt>
                <c:pt idx="168">
                  <c:v>1.66396615166223E-4</c:v>
                </c:pt>
                <c:pt idx="169">
                  <c:v>-2.4353303349138299E-4</c:v>
                </c:pt>
                <c:pt idx="170">
                  <c:v>-2.1385163366800699E-4</c:v>
                </c:pt>
                <c:pt idx="171">
                  <c:v>-2.0810790015789201E-4</c:v>
                </c:pt>
                <c:pt idx="172">
                  <c:v>-2.7278805335413198E-4</c:v>
                </c:pt>
                <c:pt idx="173">
                  <c:v>-3.02564494141231E-5</c:v>
                </c:pt>
                <c:pt idx="174">
                  <c:v>-4.2522881814071901E-4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B8-4D22-8587-E9193DBA0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[1]Sheet1!$Y$1</c:f>
              <c:strCache>
                <c:ptCount val="1"/>
                <c:pt idx="0">
                  <c:v>IBDT*/BSCS* 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[1]Sheet1!$Y$2:$Y$176</c:f>
              <c:numCache>
                <c:formatCode>General</c:formatCode>
                <c:ptCount val="175"/>
                <c:pt idx="0">
                  <c:v>1.2358474847357901</c:v>
                </c:pt>
                <c:pt idx="1">
                  <c:v>1.2358474847357901</c:v>
                </c:pt>
                <c:pt idx="2">
                  <c:v>1.2358474847357901</c:v>
                </c:pt>
                <c:pt idx="3">
                  <c:v>1.2358474847357901</c:v>
                </c:pt>
                <c:pt idx="4">
                  <c:v>1.2358474847357901</c:v>
                </c:pt>
                <c:pt idx="5">
                  <c:v>1.2358474847357901</c:v>
                </c:pt>
                <c:pt idx="6">
                  <c:v>1.2358474847357901</c:v>
                </c:pt>
                <c:pt idx="7">
                  <c:v>1.2358474847357901</c:v>
                </c:pt>
                <c:pt idx="8">
                  <c:v>1.2358474847357901</c:v>
                </c:pt>
                <c:pt idx="9">
                  <c:v>1.2358474847357901</c:v>
                </c:pt>
                <c:pt idx="10">
                  <c:v>1.2358474847357901</c:v>
                </c:pt>
                <c:pt idx="11">
                  <c:v>1.2358474847357901</c:v>
                </c:pt>
                <c:pt idx="12">
                  <c:v>1.2358474847357901</c:v>
                </c:pt>
                <c:pt idx="13">
                  <c:v>1.2358474847357901</c:v>
                </c:pt>
                <c:pt idx="14">
                  <c:v>1.2358474847357901</c:v>
                </c:pt>
                <c:pt idx="15">
                  <c:v>1.2358474847357901</c:v>
                </c:pt>
                <c:pt idx="16">
                  <c:v>1.2358474847357901</c:v>
                </c:pt>
                <c:pt idx="17">
                  <c:v>1.2358474847357901</c:v>
                </c:pt>
                <c:pt idx="18">
                  <c:v>1.2358474847357901</c:v>
                </c:pt>
                <c:pt idx="19">
                  <c:v>1.2358474847357901</c:v>
                </c:pt>
                <c:pt idx="20">
                  <c:v>1.2358474847357901</c:v>
                </c:pt>
                <c:pt idx="21">
                  <c:v>1.2358474847357901</c:v>
                </c:pt>
                <c:pt idx="22">
                  <c:v>1.2358474847357901</c:v>
                </c:pt>
                <c:pt idx="23">
                  <c:v>1.2358474847357901</c:v>
                </c:pt>
                <c:pt idx="24">
                  <c:v>1.2358474847357901</c:v>
                </c:pt>
                <c:pt idx="25">
                  <c:v>1.2358474847357901</c:v>
                </c:pt>
                <c:pt idx="26">
                  <c:v>1.2358474847357901</c:v>
                </c:pt>
                <c:pt idx="27">
                  <c:v>1.2358474847357901</c:v>
                </c:pt>
                <c:pt idx="28">
                  <c:v>1.2358474847357901</c:v>
                </c:pt>
                <c:pt idx="29">
                  <c:v>1.2358474847357901</c:v>
                </c:pt>
                <c:pt idx="30">
                  <c:v>1.2358474847357901</c:v>
                </c:pt>
                <c:pt idx="31">
                  <c:v>1.2358474847357901</c:v>
                </c:pt>
                <c:pt idx="32">
                  <c:v>1.2358474847357901</c:v>
                </c:pt>
                <c:pt idx="33">
                  <c:v>1.2358474847357901</c:v>
                </c:pt>
                <c:pt idx="34">
                  <c:v>1.2358474847357901</c:v>
                </c:pt>
                <c:pt idx="35">
                  <c:v>1.2358474847357901</c:v>
                </c:pt>
                <c:pt idx="36">
                  <c:v>1.2358474847357901</c:v>
                </c:pt>
                <c:pt idx="37">
                  <c:v>1.2358474847357901</c:v>
                </c:pt>
                <c:pt idx="38">
                  <c:v>1.2358474847357901</c:v>
                </c:pt>
                <c:pt idx="39">
                  <c:v>1.2358474847357901</c:v>
                </c:pt>
                <c:pt idx="40">
                  <c:v>1.2358474847357901</c:v>
                </c:pt>
                <c:pt idx="41">
                  <c:v>1.2358474847357901</c:v>
                </c:pt>
                <c:pt idx="42">
                  <c:v>1.2358474847357901</c:v>
                </c:pt>
                <c:pt idx="43">
                  <c:v>1.2358474847357901</c:v>
                </c:pt>
                <c:pt idx="44">
                  <c:v>1.2358474847357901</c:v>
                </c:pt>
                <c:pt idx="45">
                  <c:v>1.2358474847357901</c:v>
                </c:pt>
                <c:pt idx="46">
                  <c:v>1.2358474847357901</c:v>
                </c:pt>
                <c:pt idx="47">
                  <c:v>1.2358474847357901</c:v>
                </c:pt>
                <c:pt idx="48">
                  <c:v>1.2358474847357901</c:v>
                </c:pt>
                <c:pt idx="49">
                  <c:v>1.2358474847357901</c:v>
                </c:pt>
                <c:pt idx="50">
                  <c:v>1.2358474847357901</c:v>
                </c:pt>
                <c:pt idx="51">
                  <c:v>1.2358474847357901</c:v>
                </c:pt>
                <c:pt idx="52">
                  <c:v>1.2358474847357901</c:v>
                </c:pt>
                <c:pt idx="53">
                  <c:v>1.2358474847357901</c:v>
                </c:pt>
                <c:pt idx="54">
                  <c:v>1.2358474847357901</c:v>
                </c:pt>
                <c:pt idx="55">
                  <c:v>1.2358474847357901</c:v>
                </c:pt>
                <c:pt idx="56">
                  <c:v>1.2358474847357901</c:v>
                </c:pt>
                <c:pt idx="57">
                  <c:v>1.2358474847357901</c:v>
                </c:pt>
                <c:pt idx="58">
                  <c:v>1.2358474847357901</c:v>
                </c:pt>
                <c:pt idx="59">
                  <c:v>1.2358474847357901</c:v>
                </c:pt>
                <c:pt idx="60">
                  <c:v>1.2358474847357901</c:v>
                </c:pt>
                <c:pt idx="61">
                  <c:v>1.2358474847357901</c:v>
                </c:pt>
                <c:pt idx="62">
                  <c:v>1.2358474847357901</c:v>
                </c:pt>
                <c:pt idx="63">
                  <c:v>1.2358474847357901</c:v>
                </c:pt>
                <c:pt idx="64">
                  <c:v>1.2358474847357901</c:v>
                </c:pt>
                <c:pt idx="65">
                  <c:v>1.2358474847357901</c:v>
                </c:pt>
                <c:pt idx="66">
                  <c:v>1.2358474847357901</c:v>
                </c:pt>
                <c:pt idx="67">
                  <c:v>1.2358474847357901</c:v>
                </c:pt>
                <c:pt idx="68">
                  <c:v>1.2358474847357901</c:v>
                </c:pt>
                <c:pt idx="69">
                  <c:v>1.2358474847357901</c:v>
                </c:pt>
                <c:pt idx="70">
                  <c:v>1.2358474847357901</c:v>
                </c:pt>
                <c:pt idx="71">
                  <c:v>1.2358474847357901</c:v>
                </c:pt>
                <c:pt idx="72">
                  <c:v>1.2358474847357901</c:v>
                </c:pt>
                <c:pt idx="73">
                  <c:v>1.2358474847357901</c:v>
                </c:pt>
                <c:pt idx="74">
                  <c:v>1.2358474847357901</c:v>
                </c:pt>
                <c:pt idx="75">
                  <c:v>1.2358474847357901</c:v>
                </c:pt>
                <c:pt idx="76">
                  <c:v>1.2358474847357901</c:v>
                </c:pt>
                <c:pt idx="77">
                  <c:v>1.2358474847357901</c:v>
                </c:pt>
                <c:pt idx="78">
                  <c:v>1.2358474847357901</c:v>
                </c:pt>
                <c:pt idx="79">
                  <c:v>1.2358474847357901</c:v>
                </c:pt>
                <c:pt idx="80">
                  <c:v>1.2358474847357901</c:v>
                </c:pt>
                <c:pt idx="81">
                  <c:v>1.2358474847357901</c:v>
                </c:pt>
                <c:pt idx="82">
                  <c:v>1.2358474847357901</c:v>
                </c:pt>
                <c:pt idx="83">
                  <c:v>1.2358474847357901</c:v>
                </c:pt>
                <c:pt idx="84">
                  <c:v>1.2358474847357901</c:v>
                </c:pt>
                <c:pt idx="85">
                  <c:v>1.2358474847357901</c:v>
                </c:pt>
                <c:pt idx="86">
                  <c:v>1.2358474847357901</c:v>
                </c:pt>
                <c:pt idx="87">
                  <c:v>1.2358474847357901</c:v>
                </c:pt>
                <c:pt idx="88">
                  <c:v>1.2358474847357901</c:v>
                </c:pt>
                <c:pt idx="89">
                  <c:v>1.2358474847357901</c:v>
                </c:pt>
                <c:pt idx="90">
                  <c:v>1.2358474847357901</c:v>
                </c:pt>
                <c:pt idx="91">
                  <c:v>1.2358474847357901</c:v>
                </c:pt>
                <c:pt idx="92">
                  <c:v>1.2358474847357901</c:v>
                </c:pt>
                <c:pt idx="93">
                  <c:v>1.2358474847357901</c:v>
                </c:pt>
                <c:pt idx="94">
                  <c:v>1.2358474847357901</c:v>
                </c:pt>
                <c:pt idx="95">
                  <c:v>1.2358474847357901</c:v>
                </c:pt>
                <c:pt idx="96">
                  <c:v>1.2358474847357901</c:v>
                </c:pt>
                <c:pt idx="97">
                  <c:v>1.2358474847357901</c:v>
                </c:pt>
                <c:pt idx="98">
                  <c:v>1.2358474847357901</c:v>
                </c:pt>
                <c:pt idx="99">
                  <c:v>1.2358474847357901</c:v>
                </c:pt>
                <c:pt idx="100">
                  <c:v>1.2358474847357901</c:v>
                </c:pt>
                <c:pt idx="101">
                  <c:v>1.2358474847357901</c:v>
                </c:pt>
                <c:pt idx="102">
                  <c:v>1.2358474847357901</c:v>
                </c:pt>
                <c:pt idx="103">
                  <c:v>1.2358474847357901</c:v>
                </c:pt>
                <c:pt idx="104">
                  <c:v>1.2358474847357901</c:v>
                </c:pt>
                <c:pt idx="105">
                  <c:v>1.2358474847357901</c:v>
                </c:pt>
                <c:pt idx="106">
                  <c:v>1.2358474847357901</c:v>
                </c:pt>
                <c:pt idx="107">
                  <c:v>1.2358474847357901</c:v>
                </c:pt>
                <c:pt idx="108">
                  <c:v>1.2358474847357901</c:v>
                </c:pt>
                <c:pt idx="109">
                  <c:v>1.2358474847357901</c:v>
                </c:pt>
                <c:pt idx="110">
                  <c:v>1.2358474847357901</c:v>
                </c:pt>
                <c:pt idx="111">
                  <c:v>1.2358474847357901</c:v>
                </c:pt>
                <c:pt idx="112">
                  <c:v>1.2358474847357901</c:v>
                </c:pt>
                <c:pt idx="113">
                  <c:v>1.2358474847357901</c:v>
                </c:pt>
                <c:pt idx="114">
                  <c:v>1.2358474847357901</c:v>
                </c:pt>
                <c:pt idx="115">
                  <c:v>1.2358474847357901</c:v>
                </c:pt>
                <c:pt idx="116">
                  <c:v>1.2358474847357901</c:v>
                </c:pt>
                <c:pt idx="117">
                  <c:v>1.2358474847357901</c:v>
                </c:pt>
                <c:pt idx="118">
                  <c:v>1.2358474847357901</c:v>
                </c:pt>
                <c:pt idx="119">
                  <c:v>1.2358474847357901</c:v>
                </c:pt>
                <c:pt idx="120">
                  <c:v>1.2358474847357901</c:v>
                </c:pt>
                <c:pt idx="121">
                  <c:v>1.2358474847357901</c:v>
                </c:pt>
                <c:pt idx="122">
                  <c:v>1.2358474847357901</c:v>
                </c:pt>
                <c:pt idx="123">
                  <c:v>1.2358474847357901</c:v>
                </c:pt>
                <c:pt idx="124">
                  <c:v>1.2358474847357901</c:v>
                </c:pt>
                <c:pt idx="125">
                  <c:v>1.2358474847357901</c:v>
                </c:pt>
                <c:pt idx="126">
                  <c:v>1.2358474847357901</c:v>
                </c:pt>
                <c:pt idx="127">
                  <c:v>1.2358474847357901</c:v>
                </c:pt>
                <c:pt idx="128">
                  <c:v>1.2358474847357901</c:v>
                </c:pt>
                <c:pt idx="129">
                  <c:v>1.2358474847357901</c:v>
                </c:pt>
                <c:pt idx="130">
                  <c:v>1.2358474847357901</c:v>
                </c:pt>
                <c:pt idx="131">
                  <c:v>1.2358474847357901</c:v>
                </c:pt>
                <c:pt idx="132">
                  <c:v>1.2358474847357901</c:v>
                </c:pt>
                <c:pt idx="133">
                  <c:v>1.2358474847357901</c:v>
                </c:pt>
                <c:pt idx="134">
                  <c:v>1.2358474847357901</c:v>
                </c:pt>
                <c:pt idx="135">
                  <c:v>1.2358474847357901</c:v>
                </c:pt>
                <c:pt idx="136">
                  <c:v>1.2358474847357901</c:v>
                </c:pt>
                <c:pt idx="137">
                  <c:v>1.2358474847357901</c:v>
                </c:pt>
                <c:pt idx="138">
                  <c:v>1.2358474847357901</c:v>
                </c:pt>
                <c:pt idx="139">
                  <c:v>1.2358474847357901</c:v>
                </c:pt>
                <c:pt idx="140">
                  <c:v>1.2358474847357901</c:v>
                </c:pt>
                <c:pt idx="141">
                  <c:v>1.2358474847357901</c:v>
                </c:pt>
                <c:pt idx="142">
                  <c:v>1.2358474847357901</c:v>
                </c:pt>
                <c:pt idx="143">
                  <c:v>1.2358474847357901</c:v>
                </c:pt>
                <c:pt idx="144">
                  <c:v>1.2358474847357901</c:v>
                </c:pt>
                <c:pt idx="145">
                  <c:v>1.2358474847357901</c:v>
                </c:pt>
                <c:pt idx="146">
                  <c:v>1.2358474847357901</c:v>
                </c:pt>
                <c:pt idx="147">
                  <c:v>1.2358474847357901</c:v>
                </c:pt>
                <c:pt idx="148">
                  <c:v>1.2358474847357901</c:v>
                </c:pt>
                <c:pt idx="149">
                  <c:v>1.2358474847357901</c:v>
                </c:pt>
                <c:pt idx="150">
                  <c:v>1.2358474847357901</c:v>
                </c:pt>
                <c:pt idx="151">
                  <c:v>1.2358474847357901</c:v>
                </c:pt>
                <c:pt idx="152">
                  <c:v>1.2358474847357901</c:v>
                </c:pt>
                <c:pt idx="153">
                  <c:v>1.2358474847357901</c:v>
                </c:pt>
                <c:pt idx="154">
                  <c:v>1.2358474847357901</c:v>
                </c:pt>
                <c:pt idx="155">
                  <c:v>1.2358474847357901</c:v>
                </c:pt>
                <c:pt idx="156">
                  <c:v>1.2358474847357901</c:v>
                </c:pt>
                <c:pt idx="157">
                  <c:v>1.2358474847357901</c:v>
                </c:pt>
                <c:pt idx="158">
                  <c:v>1.2358474847357901</c:v>
                </c:pt>
                <c:pt idx="159">
                  <c:v>1.2358474847357901</c:v>
                </c:pt>
                <c:pt idx="160">
                  <c:v>1.2358474847357901</c:v>
                </c:pt>
                <c:pt idx="161">
                  <c:v>1.2358474847357901</c:v>
                </c:pt>
                <c:pt idx="162">
                  <c:v>1.2358474847357901</c:v>
                </c:pt>
                <c:pt idx="163">
                  <c:v>1.2358474847357901</c:v>
                </c:pt>
                <c:pt idx="164">
                  <c:v>1.2358474847357901</c:v>
                </c:pt>
                <c:pt idx="165">
                  <c:v>1.2358474847357901</c:v>
                </c:pt>
                <c:pt idx="166">
                  <c:v>1.2358474847357901</c:v>
                </c:pt>
                <c:pt idx="167">
                  <c:v>1.2358474847357901</c:v>
                </c:pt>
                <c:pt idx="168">
                  <c:v>1.2358474847357901</c:v>
                </c:pt>
                <c:pt idx="169">
                  <c:v>1.2358474847357901</c:v>
                </c:pt>
                <c:pt idx="170">
                  <c:v>1.2358474847357901</c:v>
                </c:pt>
                <c:pt idx="171">
                  <c:v>1.2358474847357901</c:v>
                </c:pt>
                <c:pt idx="172">
                  <c:v>1.2358474847357901</c:v>
                </c:pt>
                <c:pt idx="173">
                  <c:v>1.2358474847357901</c:v>
                </c:pt>
                <c:pt idx="174">
                  <c:v>1.2358474847357901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E2-4E9A-AB55-D4F380C8183B}"/>
            </c:ext>
          </c:extLst>
        </c:ser>
        <c:ser>
          <c:idx val="1"/>
          <c:order val="1"/>
          <c:tx>
            <c:strRef>
              <c:f>[1]Sheet1!$Z$1</c:f>
              <c:strCache>
                <c:ptCount val="1"/>
                <c:pt idx="0">
                  <c:v>IBDT*/BSCS* 10 dma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[1]Sheet1!$Z$2:$Z$176</c:f>
              <c:numCache>
                <c:formatCode>General</c:formatCode>
                <c:ptCount val="175"/>
                <c:pt idx="9">
                  <c:v>1.23550266146885</c:v>
                </c:pt>
                <c:pt idx="10">
                  <c:v>1.23550266146885</c:v>
                </c:pt>
                <c:pt idx="11">
                  <c:v>1.2354978560362699</c:v>
                </c:pt>
                <c:pt idx="12">
                  <c:v>1.2355786743877899</c:v>
                </c:pt>
                <c:pt idx="13">
                  <c:v>1.23569653321928</c:v>
                </c:pt>
                <c:pt idx="14">
                  <c:v>1.2358030123958901</c:v>
                </c:pt>
                <c:pt idx="15">
                  <c:v>1.23588659008117</c:v>
                </c:pt>
                <c:pt idx="16">
                  <c:v>1.2358502611037001</c:v>
                </c:pt>
                <c:pt idx="17">
                  <c:v>1.23577701165166</c:v>
                </c:pt>
                <c:pt idx="18">
                  <c:v>1.23575231893903</c:v>
                </c:pt>
                <c:pt idx="19">
                  <c:v>1.2356817924185699</c:v>
                </c:pt>
                <c:pt idx="20">
                  <c:v>1.23571102127698</c:v>
                </c:pt>
                <c:pt idx="21">
                  <c:v>1.23576787529623</c:v>
                </c:pt>
                <c:pt idx="22">
                  <c:v>1.2357275934605301</c:v>
                </c:pt>
                <c:pt idx="23">
                  <c:v>1.23571303821626</c:v>
                </c:pt>
                <c:pt idx="24">
                  <c:v>1.23562714356938</c:v>
                </c:pt>
                <c:pt idx="25">
                  <c:v>1.2356010143101199</c:v>
                </c:pt>
                <c:pt idx="26">
                  <c:v>1.23553827524096</c:v>
                </c:pt>
                <c:pt idx="27">
                  <c:v>1.2355950125169299</c:v>
                </c:pt>
                <c:pt idx="28">
                  <c:v>1.2356517498611801</c:v>
                </c:pt>
                <c:pt idx="29">
                  <c:v>1.2356969935443001</c:v>
                </c:pt>
                <c:pt idx="30">
                  <c:v>1.23566567852885</c:v>
                </c:pt>
                <c:pt idx="31">
                  <c:v>1.2356229561352301</c:v>
                </c:pt>
                <c:pt idx="32">
                  <c:v>1.2356028547581801</c:v>
                </c:pt>
                <c:pt idx="33">
                  <c:v>1.23560560251081</c:v>
                </c:pt>
                <c:pt idx="34">
                  <c:v>1.2357005685881</c:v>
                </c:pt>
                <c:pt idx="35">
                  <c:v>1.2357104050985901</c:v>
                </c:pt>
                <c:pt idx="36">
                  <c:v>1.23587643652955</c:v>
                </c:pt>
                <c:pt idx="37">
                  <c:v>1.23603106288945</c:v>
                </c:pt>
                <c:pt idx="38">
                  <c:v>1.2359587685342599</c:v>
                </c:pt>
                <c:pt idx="39">
                  <c:v>1.23590951048824</c:v>
                </c:pt>
                <c:pt idx="40">
                  <c:v>1.23601632421716</c:v>
                </c:pt>
                <c:pt idx="41">
                  <c:v>1.2361459676470701</c:v>
                </c:pt>
                <c:pt idx="42">
                  <c:v>1.2361194209031601</c:v>
                </c:pt>
                <c:pt idx="43">
                  <c:v>1.2360928774287601</c:v>
                </c:pt>
                <c:pt idx="44">
                  <c:v>1.2360820403042301</c:v>
                </c:pt>
                <c:pt idx="45">
                  <c:v>1.23603425479204</c:v>
                </c:pt>
                <c:pt idx="46">
                  <c:v>1.23603228191449</c:v>
                </c:pt>
                <c:pt idx="47">
                  <c:v>1.23589391145059</c:v>
                </c:pt>
                <c:pt idx="48">
                  <c:v>1.23600528577854</c:v>
                </c:pt>
                <c:pt idx="49">
                  <c:v>1.2361051919536901</c:v>
                </c:pt>
                <c:pt idx="50">
                  <c:v>1.23612282395499</c:v>
                </c:pt>
                <c:pt idx="51">
                  <c:v>1.23600642871874</c:v>
                </c:pt>
                <c:pt idx="52">
                  <c:v>1.23601228263164</c:v>
                </c:pt>
                <c:pt idx="53">
                  <c:v>1.23598956589827</c:v>
                </c:pt>
                <c:pt idx="54">
                  <c:v>1.23586857827701</c:v>
                </c:pt>
                <c:pt idx="55">
                  <c:v>1.2358442346479599</c:v>
                </c:pt>
                <c:pt idx="56">
                  <c:v>1.23576296238988</c:v>
                </c:pt>
                <c:pt idx="57">
                  <c:v>1.2357785747866199</c:v>
                </c:pt>
                <c:pt idx="58">
                  <c:v>1.23585706196526</c:v>
                </c:pt>
                <c:pt idx="59">
                  <c:v>1.23585250859284</c:v>
                </c:pt>
                <c:pt idx="60">
                  <c:v>1.23576518369736</c:v>
                </c:pt>
                <c:pt idx="61">
                  <c:v>1.2358543254196399</c:v>
                </c:pt>
                <c:pt idx="62">
                  <c:v>1.23584655643675</c:v>
                </c:pt>
                <c:pt idx="63">
                  <c:v>1.23590155163427</c:v>
                </c:pt>
                <c:pt idx="64">
                  <c:v>1.2359354599229999</c:v>
                </c:pt>
                <c:pt idx="65">
                  <c:v>1.2359834665398599</c:v>
                </c:pt>
                <c:pt idx="66">
                  <c:v>1.2360312704956</c:v>
                </c:pt>
                <c:pt idx="67">
                  <c:v>1.2360817707446301</c:v>
                </c:pt>
                <c:pt idx="68">
                  <c:v>1.23603510070539</c:v>
                </c:pt>
                <c:pt idx="69">
                  <c:v>1.23596332717541</c:v>
                </c:pt>
                <c:pt idx="70">
                  <c:v>1.2359487561089599</c:v>
                </c:pt>
                <c:pt idx="71">
                  <c:v>1.2358206531801099</c:v>
                </c:pt>
                <c:pt idx="72">
                  <c:v>1.2357780069082001</c:v>
                </c:pt>
                <c:pt idx="73">
                  <c:v>1.2356931974796499</c:v>
                </c:pt>
                <c:pt idx="74">
                  <c:v>1.2355687163812299</c:v>
                </c:pt>
                <c:pt idx="75">
                  <c:v>1.2355520381310201</c:v>
                </c:pt>
                <c:pt idx="76">
                  <c:v>1.23549843282282</c:v>
                </c:pt>
                <c:pt idx="77">
                  <c:v>1.2354588703585201</c:v>
                </c:pt>
                <c:pt idx="78">
                  <c:v>1.2354535411541701</c:v>
                </c:pt>
                <c:pt idx="79">
                  <c:v>1.23543416444885</c:v>
                </c:pt>
                <c:pt idx="80">
                  <c:v>1.2354602998687001</c:v>
                </c:pt>
                <c:pt idx="81">
                  <c:v>1.23550054749644</c:v>
                </c:pt>
                <c:pt idx="82">
                  <c:v>1.2354845569069299</c:v>
                </c:pt>
                <c:pt idx="83">
                  <c:v>1.235558915963</c:v>
                </c:pt>
                <c:pt idx="84">
                  <c:v>1.23574406831168</c:v>
                </c:pt>
                <c:pt idx="85">
                  <c:v>1.23569069492527</c:v>
                </c:pt>
                <c:pt idx="86">
                  <c:v>1.2357082839501099</c:v>
                </c:pt>
                <c:pt idx="87">
                  <c:v>1.23572585601607</c:v>
                </c:pt>
                <c:pt idx="88">
                  <c:v>1.23570658696965</c:v>
                </c:pt>
                <c:pt idx="89">
                  <c:v>1.23584353072246</c:v>
                </c:pt>
                <c:pt idx="90">
                  <c:v>1.23575601660878</c:v>
                </c:pt>
                <c:pt idx="91">
                  <c:v>1.2358218926344</c:v>
                </c:pt>
                <c:pt idx="92">
                  <c:v>1.2358445970891401</c:v>
                </c:pt>
                <c:pt idx="93">
                  <c:v>1.23580843653164</c:v>
                </c:pt>
                <c:pt idx="94">
                  <c:v>1.2357950619565099</c:v>
                </c:pt>
                <c:pt idx="95">
                  <c:v>1.23590093505756</c:v>
                </c:pt>
                <c:pt idx="96">
                  <c:v>1.2359358457473799</c:v>
                </c:pt>
                <c:pt idx="97">
                  <c:v>1.2358970137826899</c:v>
                </c:pt>
                <c:pt idx="98">
                  <c:v>1.2358495190563099</c:v>
                </c:pt>
                <c:pt idx="99">
                  <c:v>1.23576776876996</c:v>
                </c:pt>
                <c:pt idx="100">
                  <c:v>1.23585360129432</c:v>
                </c:pt>
                <c:pt idx="101">
                  <c:v>1.23579750120196</c:v>
                </c:pt>
                <c:pt idx="102">
                  <c:v>1.2359119066430599</c:v>
                </c:pt>
                <c:pt idx="103">
                  <c:v>1.23601417081319</c:v>
                </c:pt>
                <c:pt idx="104">
                  <c:v>1.2359971757825501</c:v>
                </c:pt>
                <c:pt idx="105">
                  <c:v>1.2360510359541901</c:v>
                </c:pt>
                <c:pt idx="106">
                  <c:v>1.2359944548228099</c:v>
                </c:pt>
                <c:pt idx="107">
                  <c:v>1.23597479281057</c:v>
                </c:pt>
                <c:pt idx="108">
                  <c:v>1.23601471561851</c:v>
                </c:pt>
                <c:pt idx="109">
                  <c:v>1.23592145169071</c:v>
                </c:pt>
                <c:pt idx="110">
                  <c:v>1.23585374755477</c:v>
                </c:pt>
                <c:pt idx="111">
                  <c:v>1.23591630046222</c:v>
                </c:pt>
                <c:pt idx="112">
                  <c:v>1.2358227588392401</c:v>
                </c:pt>
                <c:pt idx="113">
                  <c:v>1.23572921721625</c:v>
                </c:pt>
                <c:pt idx="114">
                  <c:v>1.23575196796241</c:v>
                </c:pt>
                <c:pt idx="115">
                  <c:v>1.2356556251825099</c:v>
                </c:pt>
                <c:pt idx="116">
                  <c:v>1.2356978309957001</c:v>
                </c:pt>
                <c:pt idx="117">
                  <c:v>1.2357881894646701</c:v>
                </c:pt>
                <c:pt idx="118">
                  <c:v>1.2357822044112501</c:v>
                </c:pt>
                <c:pt idx="119">
                  <c:v>1.2358612198831</c:v>
                </c:pt>
                <c:pt idx="120">
                  <c:v>1.23590338667969</c:v>
                </c:pt>
                <c:pt idx="121">
                  <c:v>1.23588603293796</c:v>
                </c:pt>
                <c:pt idx="122">
                  <c:v>1.23589142404893</c:v>
                </c:pt>
                <c:pt idx="123">
                  <c:v>1.23592573305689</c:v>
                </c:pt>
                <c:pt idx="124">
                  <c:v>1.2358946462517</c:v>
                </c:pt>
                <c:pt idx="125">
                  <c:v>1.23588631019266</c:v>
                </c:pt>
                <c:pt idx="126">
                  <c:v>1.2358838738618401</c:v>
                </c:pt>
                <c:pt idx="127">
                  <c:v>1.23579658690314</c:v>
                </c:pt>
                <c:pt idx="128">
                  <c:v>1.23570951991602</c:v>
                </c:pt>
                <c:pt idx="129">
                  <c:v>1.23570445163614</c:v>
                </c:pt>
                <c:pt idx="130">
                  <c:v>1.2358042069533499</c:v>
                </c:pt>
                <c:pt idx="131">
                  <c:v>1.23576242356111</c:v>
                </c:pt>
                <c:pt idx="132">
                  <c:v>1.23579406662413</c:v>
                </c:pt>
                <c:pt idx="133">
                  <c:v>1.23579679179016</c:v>
                </c:pt>
                <c:pt idx="134">
                  <c:v>1.2358447891253499</c:v>
                </c:pt>
                <c:pt idx="135">
                  <c:v>1.2358344405764199</c:v>
                </c:pt>
                <c:pt idx="136">
                  <c:v>1.2357900850092201</c:v>
                </c:pt>
                <c:pt idx="137">
                  <c:v>1.23581646222366</c:v>
                </c:pt>
                <c:pt idx="138">
                  <c:v>1.2359475770894499</c:v>
                </c:pt>
                <c:pt idx="139">
                  <c:v>1.2359739543038799</c:v>
                </c:pt>
                <c:pt idx="140">
                  <c:v>1.23587008292773</c:v>
                </c:pt>
                <c:pt idx="141">
                  <c:v>1.2359331480040501</c:v>
                </c:pt>
                <c:pt idx="142">
                  <c:v>1.2359481612556</c:v>
                </c:pt>
                <c:pt idx="143">
                  <c:v>1.23601115903693</c:v>
                </c:pt>
                <c:pt idx="144">
                  <c:v>1.2359781749532901</c:v>
                </c:pt>
                <c:pt idx="145">
                  <c:v>1.2359000007581</c:v>
                </c:pt>
                <c:pt idx="146">
                  <c:v>1.2358472146570001</c:v>
                </c:pt>
                <c:pt idx="147">
                  <c:v>1.2358675475326699</c:v>
                </c:pt>
                <c:pt idx="148">
                  <c:v>1.2358764414751799</c:v>
                </c:pt>
                <c:pt idx="149">
                  <c:v>1.23583759979664</c:v>
                </c:pt>
                <c:pt idx="150">
                  <c:v>1.23590600947982</c:v>
                </c:pt>
                <c:pt idx="151">
                  <c:v>1.23590097796563</c:v>
                </c:pt>
                <c:pt idx="152">
                  <c:v>1.2358481695685899</c:v>
                </c:pt>
                <c:pt idx="153">
                  <c:v>1.23583176405648</c:v>
                </c:pt>
                <c:pt idx="154">
                  <c:v>1.23581551918086</c:v>
                </c:pt>
                <c:pt idx="155">
                  <c:v>1.23590281030089</c:v>
                </c:pt>
                <c:pt idx="156">
                  <c:v>1.23607169013189</c:v>
                </c:pt>
                <c:pt idx="157">
                  <c:v>1.2360856318398901</c:v>
                </c:pt>
                <c:pt idx="158">
                  <c:v>1.2360769312823101</c:v>
                </c:pt>
                <c:pt idx="159">
                  <c:v>1.23610222365123</c:v>
                </c:pt>
                <c:pt idx="160">
                  <c:v>1.23607786447324</c:v>
                </c:pt>
                <c:pt idx="161">
                  <c:v>1.2360309690101601</c:v>
                </c:pt>
                <c:pt idx="162">
                  <c:v>1.23612486461619</c:v>
                </c:pt>
                <c:pt idx="163">
                  <c:v>1.2360162640382799</c:v>
                </c:pt>
                <c:pt idx="164">
                  <c:v>1.2360005116342401</c:v>
                </c:pt>
                <c:pt idx="165">
                  <c:v>1.2360326140654301</c:v>
                </c:pt>
                <c:pt idx="166">
                  <c:v>1.2359005550539599</c:v>
                </c:pt>
                <c:pt idx="167">
                  <c:v>1.2359713509966801</c:v>
                </c:pt>
                <c:pt idx="168">
                  <c:v>1.2359237534288301</c:v>
                </c:pt>
                <c:pt idx="169">
                  <c:v>1.2359718345895001</c:v>
                </c:pt>
                <c:pt idx="170">
                  <c:v>1.23601039274288</c:v>
                </c:pt>
                <c:pt idx="171">
                  <c:v>1.2360714871813401</c:v>
                </c:pt>
                <c:pt idx="172">
                  <c:v>1.23607094307478</c:v>
                </c:pt>
                <c:pt idx="173">
                  <c:v>1.2361631927621799</c:v>
                </c:pt>
                <c:pt idx="174">
                  <c:v>1.2362584338489999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E2-4E9A-AB55-D4F380C8183B}"/>
            </c:ext>
          </c:extLst>
        </c:ser>
        <c:ser>
          <c:idx val="2"/>
          <c:order val="2"/>
          <c:tx>
            <c:strRef>
              <c:f>[1]Sheet1!$AA$1</c:f>
              <c:strCache>
                <c:ptCount val="1"/>
                <c:pt idx="0">
                  <c:v>IBDT*/BSCS* 20 dma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[1]Sheet1!$AA$2:$AA$176</c:f>
              <c:numCache>
                <c:formatCode>General</c:formatCode>
                <c:ptCount val="175"/>
                <c:pt idx="19">
                  <c:v>1.2355922269437101</c:v>
                </c:pt>
                <c:pt idx="20">
                  <c:v>1.23560684137291</c:v>
                </c:pt>
                <c:pt idx="21">
                  <c:v>1.2356328656662501</c:v>
                </c:pt>
                <c:pt idx="22">
                  <c:v>1.2356531339241601</c:v>
                </c:pt>
                <c:pt idx="23">
                  <c:v>1.2357047857177701</c:v>
                </c:pt>
                <c:pt idx="24">
                  <c:v>1.23571507798264</c:v>
                </c:pt>
                <c:pt idx="25">
                  <c:v>1.2357438021956499</c:v>
                </c:pt>
                <c:pt idx="26">
                  <c:v>1.23569426817233</c:v>
                </c:pt>
                <c:pt idx="27">
                  <c:v>1.2356860120842901</c:v>
                </c:pt>
                <c:pt idx="28">
                  <c:v>1.2357020344001</c:v>
                </c:pt>
                <c:pt idx="29">
                  <c:v>1.2356893929814401</c:v>
                </c:pt>
                <c:pt idx="30">
                  <c:v>1.2356883499029201</c:v>
                </c:pt>
                <c:pt idx="31">
                  <c:v>1.2356954157157301</c:v>
                </c:pt>
                <c:pt idx="32">
                  <c:v>1.23566522410936</c:v>
                </c:pt>
                <c:pt idx="33">
                  <c:v>1.23565932036354</c:v>
                </c:pt>
                <c:pt idx="34">
                  <c:v>1.2356638560787401</c:v>
                </c:pt>
                <c:pt idx="35">
                  <c:v>1.2356557097043499</c:v>
                </c:pt>
                <c:pt idx="36">
                  <c:v>1.23570735588526</c:v>
                </c:pt>
                <c:pt idx="37">
                  <c:v>1.23581303770319</c:v>
                </c:pt>
                <c:pt idx="38">
                  <c:v>1.23580525919772</c:v>
                </c:pt>
                <c:pt idx="39">
                  <c:v>1.2358032520162701</c:v>
                </c:pt>
                <c:pt idx="40">
                  <c:v>1.2358410013730099</c:v>
                </c:pt>
                <c:pt idx="41">
                  <c:v>1.23588446189115</c:v>
                </c:pt>
                <c:pt idx="42">
                  <c:v>1.2358611378306701</c:v>
                </c:pt>
                <c:pt idx="43">
                  <c:v>1.23584923996979</c:v>
                </c:pt>
                <c:pt idx="44">
                  <c:v>1.2358913044461699</c:v>
                </c:pt>
                <c:pt idx="45">
                  <c:v>1.23587232994531</c:v>
                </c:pt>
                <c:pt idx="46">
                  <c:v>1.2359543592220199</c:v>
                </c:pt>
                <c:pt idx="47">
                  <c:v>1.2359624871700201</c:v>
                </c:pt>
                <c:pt idx="48">
                  <c:v>1.2359820271563999</c:v>
                </c:pt>
                <c:pt idx="49">
                  <c:v>1.2360073512209699</c:v>
                </c:pt>
                <c:pt idx="50">
                  <c:v>1.2360695740860701</c:v>
                </c:pt>
                <c:pt idx="51">
                  <c:v>1.2360761981829</c:v>
                </c:pt>
                <c:pt idx="52">
                  <c:v>1.2360658517673999</c:v>
                </c:pt>
                <c:pt idx="53">
                  <c:v>1.2360412216635199</c:v>
                </c:pt>
                <c:pt idx="54">
                  <c:v>1.2359753092906201</c:v>
                </c:pt>
                <c:pt idx="55">
                  <c:v>1.2359392447199999</c:v>
                </c:pt>
                <c:pt idx="56">
                  <c:v>1.23589762215219</c:v>
                </c:pt>
                <c:pt idx="57">
                  <c:v>1.2358362431186101</c:v>
                </c:pt>
                <c:pt idx="58">
                  <c:v>1.2359311738719001</c:v>
                </c:pt>
                <c:pt idx="59">
                  <c:v>1.23597885027326</c:v>
                </c:pt>
                <c:pt idx="60">
                  <c:v>1.23594400382617</c:v>
                </c:pt>
                <c:pt idx="61">
                  <c:v>1.2359303770691901</c:v>
                </c:pt>
                <c:pt idx="62">
                  <c:v>1.2359294195341901</c:v>
                </c:pt>
                <c:pt idx="63">
                  <c:v>1.23594555876627</c:v>
                </c:pt>
                <c:pt idx="64">
                  <c:v>1.2359020191000101</c:v>
                </c:pt>
                <c:pt idx="65">
                  <c:v>1.23591385059391</c:v>
                </c:pt>
                <c:pt idx="66">
                  <c:v>1.2358971164427399</c:v>
                </c:pt>
                <c:pt idx="67">
                  <c:v>1.23593017276563</c:v>
                </c:pt>
                <c:pt idx="68">
                  <c:v>1.23594608133533</c:v>
                </c:pt>
                <c:pt idx="69">
                  <c:v>1.2359079178841299</c:v>
                </c:pt>
                <c:pt idx="70">
                  <c:v>1.2358569699031601</c:v>
                </c:pt>
                <c:pt idx="71">
                  <c:v>1.23583748929988</c:v>
                </c:pt>
                <c:pt idx="72">
                  <c:v>1.2358122816724699</c:v>
                </c:pt>
                <c:pt idx="73">
                  <c:v>1.2357973745569599</c:v>
                </c:pt>
                <c:pt idx="74">
                  <c:v>1.23575208815212</c:v>
                </c:pt>
                <c:pt idx="75">
                  <c:v>1.23576775233544</c:v>
                </c:pt>
                <c:pt idx="76">
                  <c:v>1.2357648516592099</c:v>
                </c:pt>
                <c:pt idx="77">
                  <c:v>1.23577032055158</c:v>
                </c:pt>
                <c:pt idx="78">
                  <c:v>1.23574432092978</c:v>
                </c:pt>
                <c:pt idx="79">
                  <c:v>1.23569874581213</c:v>
                </c:pt>
                <c:pt idx="80">
                  <c:v>1.2357045279888299</c:v>
                </c:pt>
                <c:pt idx="81">
                  <c:v>1.23566060033828</c:v>
                </c:pt>
                <c:pt idx="82">
                  <c:v>1.2356312819075601</c:v>
                </c:pt>
                <c:pt idx="83">
                  <c:v>1.23562605672133</c:v>
                </c:pt>
                <c:pt idx="84">
                  <c:v>1.2356563923464501</c:v>
                </c:pt>
                <c:pt idx="85">
                  <c:v>1.2356213665281499</c:v>
                </c:pt>
                <c:pt idx="86">
                  <c:v>1.2356033583864601</c:v>
                </c:pt>
                <c:pt idx="87">
                  <c:v>1.23559236318729</c:v>
                </c:pt>
                <c:pt idx="88">
                  <c:v>1.2355800640619099</c:v>
                </c:pt>
                <c:pt idx="89">
                  <c:v>1.2356388475856499</c:v>
                </c:pt>
                <c:pt idx="90">
                  <c:v>1.2356081582387399</c:v>
                </c:pt>
                <c:pt idx="91">
                  <c:v>1.23566122006542</c:v>
                </c:pt>
                <c:pt idx="92">
                  <c:v>1.2356645769980299</c:v>
                </c:pt>
                <c:pt idx="93">
                  <c:v>1.23568367624732</c:v>
                </c:pt>
                <c:pt idx="94">
                  <c:v>1.2357695651340901</c:v>
                </c:pt>
                <c:pt idx="95">
                  <c:v>1.2357958149914201</c:v>
                </c:pt>
                <c:pt idx="96">
                  <c:v>1.2358220648487399</c:v>
                </c:pt>
                <c:pt idx="97">
                  <c:v>1.2358114348993801</c:v>
                </c:pt>
                <c:pt idx="98">
                  <c:v>1.23577805301298</c:v>
                </c:pt>
                <c:pt idx="99">
                  <c:v>1.23580564974621</c:v>
                </c:pt>
                <c:pt idx="100">
                  <c:v>1.2358048089515501</c:v>
                </c:pt>
                <c:pt idx="101">
                  <c:v>1.23580969691818</c:v>
                </c:pt>
                <c:pt idx="102">
                  <c:v>1.2358782518661</c:v>
                </c:pt>
                <c:pt idx="103">
                  <c:v>1.2359113036724201</c:v>
                </c:pt>
                <c:pt idx="104">
                  <c:v>1.2358961188695301</c:v>
                </c:pt>
                <c:pt idx="105">
                  <c:v>1.2359759855058801</c:v>
                </c:pt>
                <c:pt idx="106">
                  <c:v>1.2359651502850899</c:v>
                </c:pt>
                <c:pt idx="107">
                  <c:v>1.2359359032966299</c:v>
                </c:pt>
                <c:pt idx="108">
                  <c:v>1.23593211733741</c:v>
                </c:pt>
                <c:pt idx="109">
                  <c:v>1.23584461023034</c:v>
                </c:pt>
                <c:pt idx="110">
                  <c:v>1.2358536744245401</c:v>
                </c:pt>
                <c:pt idx="111">
                  <c:v>1.2358569008320901</c:v>
                </c:pt>
                <c:pt idx="112">
                  <c:v>1.23586733274115</c:v>
                </c:pt>
                <c:pt idx="113">
                  <c:v>1.2358716940147201</c:v>
                </c:pt>
                <c:pt idx="114">
                  <c:v>1.23587457187248</c:v>
                </c:pt>
                <c:pt idx="115">
                  <c:v>1.2358533305683499</c:v>
                </c:pt>
                <c:pt idx="116">
                  <c:v>1.23584614290925</c:v>
                </c:pt>
                <c:pt idx="117">
                  <c:v>1.2358814911376199</c:v>
                </c:pt>
                <c:pt idx="118">
                  <c:v>1.2358984600148799</c:v>
                </c:pt>
                <c:pt idx="119">
                  <c:v>1.2358913357869099</c:v>
                </c:pt>
                <c:pt idx="120">
                  <c:v>1.2358785671172301</c:v>
                </c:pt>
                <c:pt idx="121">
                  <c:v>1.2359011667000901</c:v>
                </c:pt>
                <c:pt idx="122">
                  <c:v>1.2358570914440801</c:v>
                </c:pt>
                <c:pt idx="123">
                  <c:v>1.2358274751365701</c:v>
                </c:pt>
                <c:pt idx="124">
                  <c:v>1.2358233071070499</c:v>
                </c:pt>
                <c:pt idx="125">
                  <c:v>1.2357709676875801</c:v>
                </c:pt>
                <c:pt idx="126">
                  <c:v>1.23579085242877</c:v>
                </c:pt>
                <c:pt idx="127">
                  <c:v>1.2357923881838999</c:v>
                </c:pt>
                <c:pt idx="128">
                  <c:v>1.2357458621636399</c:v>
                </c:pt>
                <c:pt idx="129">
                  <c:v>1.2357828357596199</c:v>
                </c:pt>
                <c:pt idx="130">
                  <c:v>1.23585379681652</c:v>
                </c:pt>
                <c:pt idx="131">
                  <c:v>1.23582422824953</c:v>
                </c:pt>
                <c:pt idx="132">
                  <c:v>1.2358427453365299</c:v>
                </c:pt>
                <c:pt idx="133">
                  <c:v>1.2358612624235299</c:v>
                </c:pt>
                <c:pt idx="134">
                  <c:v>1.2358697176885201</c:v>
                </c:pt>
                <c:pt idx="135">
                  <c:v>1.2358603753845401</c:v>
                </c:pt>
                <c:pt idx="136">
                  <c:v>1.2358369794355299</c:v>
                </c:pt>
                <c:pt idx="137">
                  <c:v>1.2358065245634</c:v>
                </c:pt>
                <c:pt idx="138">
                  <c:v>1.2358285485027301</c:v>
                </c:pt>
                <c:pt idx="139">
                  <c:v>1.23583920297001</c:v>
                </c:pt>
                <c:pt idx="140">
                  <c:v>1.2358371449405401</c:v>
                </c:pt>
                <c:pt idx="141">
                  <c:v>1.23584778578258</c:v>
                </c:pt>
                <c:pt idx="142">
                  <c:v>1.2358711139398599</c:v>
                </c:pt>
                <c:pt idx="143">
                  <c:v>1.2359039754135499</c:v>
                </c:pt>
                <c:pt idx="144">
                  <c:v>1.23591148203932</c:v>
                </c:pt>
                <c:pt idx="145">
                  <c:v>1.2358672206672601</c:v>
                </c:pt>
                <c:pt idx="146">
                  <c:v>1.2358186498331101</c:v>
                </c:pt>
                <c:pt idx="147">
                  <c:v>1.23584200487816</c:v>
                </c:pt>
                <c:pt idx="148">
                  <c:v>1.2359120092823099</c:v>
                </c:pt>
                <c:pt idx="149">
                  <c:v>1.2359057770502599</c:v>
                </c:pt>
                <c:pt idx="150">
                  <c:v>1.23588804620377</c:v>
                </c:pt>
                <c:pt idx="151">
                  <c:v>1.2359170629848399</c:v>
                </c:pt>
                <c:pt idx="152">
                  <c:v>1.2358981654121</c:v>
                </c:pt>
                <c:pt idx="153">
                  <c:v>1.23592146154671</c:v>
                </c:pt>
                <c:pt idx="154">
                  <c:v>1.2358968470670699</c:v>
                </c:pt>
                <c:pt idx="155">
                  <c:v>1.2359014055294999</c:v>
                </c:pt>
                <c:pt idx="156">
                  <c:v>1.2359594523944399</c:v>
                </c:pt>
                <c:pt idx="157">
                  <c:v>1.23597658968628</c:v>
                </c:pt>
                <c:pt idx="158">
                  <c:v>1.23597668637874</c:v>
                </c:pt>
                <c:pt idx="159">
                  <c:v>1.23596991172393</c:v>
                </c:pt>
                <c:pt idx="160">
                  <c:v>1.23599193697653</c:v>
                </c:pt>
                <c:pt idx="161">
                  <c:v>1.2359659734878901</c:v>
                </c:pt>
                <c:pt idx="162">
                  <c:v>1.23598651709239</c:v>
                </c:pt>
                <c:pt idx="163">
                  <c:v>1.2359240140473799</c:v>
                </c:pt>
                <c:pt idx="164">
                  <c:v>1.2359080154075499</c:v>
                </c:pt>
                <c:pt idx="165">
                  <c:v>1.23596771218316</c:v>
                </c:pt>
                <c:pt idx="166">
                  <c:v>1.2359861225929201</c:v>
                </c:pt>
                <c:pt idx="167">
                  <c:v>1.23602849141829</c:v>
                </c:pt>
                <c:pt idx="168">
                  <c:v>1.2360003423555701</c:v>
                </c:pt>
                <c:pt idx="169">
                  <c:v>1.2360370291203699</c:v>
                </c:pt>
                <c:pt idx="170">
                  <c:v>1.2360441286080599</c:v>
                </c:pt>
                <c:pt idx="171">
                  <c:v>1.2360512280957501</c:v>
                </c:pt>
                <c:pt idx="172">
                  <c:v>1.23609790384548</c:v>
                </c:pt>
                <c:pt idx="173">
                  <c:v>1.2360897284002299</c:v>
                </c:pt>
                <c:pt idx="174">
                  <c:v>1.2361294727416201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E2-4E9A-AB55-D4F380C81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[1]Sheet1!$U$1</c:f>
              <c:strCache>
                <c:ptCount val="1"/>
                <c:pt idx="0">
                  <c:v>log diff BSCS x avg / IBDT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[1]Sheet1!$U$2:$U$176</c:f>
              <c:numCache>
                <c:formatCode>General</c:formatCode>
                <c:ptCount val="175"/>
                <c:pt idx="1">
                  <c:v>1.5579376968590901E-3</c:v>
                </c:pt>
                <c:pt idx="2">
                  <c:v>1.1653959842618899E-3</c:v>
                </c:pt>
                <c:pt idx="3">
                  <c:v>1.9506335589641701E-3</c:v>
                </c:pt>
                <c:pt idx="4">
                  <c:v>1.37308089841439E-3</c:v>
                </c:pt>
                <c:pt idx="5">
                  <c:v>1.2805306671871599E-3</c:v>
                </c:pt>
                <c:pt idx="6">
                  <c:v>8.8752614257695103E-4</c:v>
                </c:pt>
                <c:pt idx="7">
                  <c:v>1.0728540104126801E-3</c:v>
                </c:pt>
                <c:pt idx="8">
                  <c:v>1.5579376968590901E-3</c:v>
                </c:pt>
                <c:pt idx="9">
                  <c:v>8.8752614257695103E-4</c:v>
                </c:pt>
                <c:pt idx="10">
                  <c:v>1.4655498725178501E-3</c:v>
                </c:pt>
                <c:pt idx="11">
                  <c:v>-2.0307638662788799E-3</c:v>
                </c:pt>
                <c:pt idx="12">
                  <c:v>-3.1142657882012401E-3</c:v>
                </c:pt>
                <c:pt idx="13">
                  <c:v>-2.62752934636979E-3</c:v>
                </c:pt>
                <c:pt idx="14">
                  <c:v>-3.1142657882012401E-3</c:v>
                </c:pt>
                <c:pt idx="15">
                  <c:v>-3.0197631227262402E-3</c:v>
                </c:pt>
                <c:pt idx="16">
                  <c:v>-2.43908038944373E-3</c:v>
                </c:pt>
                <c:pt idx="17">
                  <c:v>-1.95305364840602E-3</c:v>
                </c:pt>
                <c:pt idx="18">
                  <c:v>-1.8591893374804299E-3</c:v>
                </c:pt>
                <c:pt idx="19">
                  <c:v>-2.1570267094470599E-3</c:v>
                </c:pt>
                <c:pt idx="20">
                  <c:v>1.2805306671871599E-3</c:v>
                </c:pt>
                <c:pt idx="21">
                  <c:v>1.18789907128589E-3</c:v>
                </c:pt>
                <c:pt idx="22">
                  <c:v>8.8752614257695103E-4</c:v>
                </c:pt>
                <c:pt idx="23">
                  <c:v>1.1653959842618899E-3</c:v>
                </c:pt>
                <c:pt idx="24">
                  <c:v>1.2578567945471201E-3</c:v>
                </c:pt>
                <c:pt idx="25">
                  <c:v>8.6562301819050795E-4</c:v>
                </c:pt>
                <c:pt idx="26">
                  <c:v>1.74247032474855E-3</c:v>
                </c:pt>
                <c:pt idx="27">
                  <c:v>1.2578567945471201E-3</c:v>
                </c:pt>
                <c:pt idx="28">
                  <c:v>1.3502365483922601E-3</c:v>
                </c:pt>
                <c:pt idx="29">
                  <c:v>1.1429805375105799E-3</c:v>
                </c:pt>
                <c:pt idx="30">
                  <c:v>1.5347533143141099E-3</c:v>
                </c:pt>
                <c:pt idx="31">
                  <c:v>1.5347533143141099E-3</c:v>
                </c:pt>
                <c:pt idx="32">
                  <c:v>1.0506090298632901E-3</c:v>
                </c:pt>
                <c:pt idx="33">
                  <c:v>1.1429805375105799E-3</c:v>
                </c:pt>
                <c:pt idx="34">
                  <c:v>-3.03404751060481E-3</c:v>
                </c:pt>
                <c:pt idx="35">
                  <c:v>-2.7367527480784502E-3</c:v>
                </c:pt>
                <c:pt idx="36">
                  <c:v>-3.1283720990791502E-3</c:v>
                </c:pt>
                <c:pt idx="37">
                  <c:v>-3.5198381443994099E-3</c:v>
                </c:pt>
                <c:pt idx="38">
                  <c:v>-1.5780899614889301E-3</c:v>
                </c:pt>
                <c:pt idx="39">
                  <c:v>1.6736897050803499E-3</c:v>
                </c:pt>
                <c:pt idx="40">
                  <c:v>7.9474003339268103E-4</c:v>
                </c:pt>
                <c:pt idx="41">
                  <c:v>6.08922925066956E-4</c:v>
                </c:pt>
                <c:pt idx="42">
                  <c:v>1.3960146618839701E-3</c:v>
                </c:pt>
                <c:pt idx="43">
                  <c:v>1.4886544322037299E-3</c:v>
                </c:pt>
                <c:pt idx="44">
                  <c:v>7.0187233024821504E-4</c:v>
                </c:pt>
                <c:pt idx="45">
                  <c:v>1.30329332506713E-3</c:v>
                </c:pt>
                <c:pt idx="46">
                  <c:v>5.3719061467470404E-4</c:v>
                </c:pt>
                <c:pt idx="47">
                  <c:v>1.2559393442344599E-3</c:v>
                </c:pt>
                <c:pt idx="48">
                  <c:v>1.1627091881183901E-3</c:v>
                </c:pt>
                <c:pt idx="49">
                  <c:v>8.6044794101740102E-4</c:v>
                </c:pt>
                <c:pt idx="50">
                  <c:v>6.5195099474222196E-4</c:v>
                </c:pt>
                <c:pt idx="51">
                  <c:v>1.5585136658762099E-3</c:v>
                </c:pt>
                <c:pt idx="52">
                  <c:v>1.3490870907348501E-3</c:v>
                </c:pt>
                <c:pt idx="53">
                  <c:v>1.6752302991566101E-3</c:v>
                </c:pt>
                <c:pt idx="54">
                  <c:v>-1.87034102835576E-3</c:v>
                </c:pt>
                <c:pt idx="55">
                  <c:v>-2.0600978912796802E-3</c:v>
                </c:pt>
                <c:pt idx="56">
                  <c:v>-2.3611385842199199E-3</c:v>
                </c:pt>
                <c:pt idx="57">
                  <c:v>-2.4406237076858598E-3</c:v>
                </c:pt>
                <c:pt idx="58">
                  <c:v>-3.0428989531877202E-3</c:v>
                </c:pt>
                <c:pt idx="59">
                  <c:v>-2.6617933846673301E-3</c:v>
                </c:pt>
                <c:pt idx="60">
                  <c:v>-2.1873070846425298E-3</c:v>
                </c:pt>
                <c:pt idx="61">
                  <c:v>9.7600120757245705E-4</c:v>
                </c:pt>
                <c:pt idx="62">
                  <c:v>1.5585136658762099E-3</c:v>
                </c:pt>
                <c:pt idx="63">
                  <c:v>1.37211925592883E-3</c:v>
                </c:pt>
                <c:pt idx="64">
                  <c:v>1.5585136658762099E-3</c:v>
                </c:pt>
                <c:pt idx="65">
                  <c:v>1.2559393442344599E-3</c:v>
                </c:pt>
                <c:pt idx="66">
                  <c:v>9.5375203913398499E-4</c:v>
                </c:pt>
                <c:pt idx="67">
                  <c:v>8.6044794101740102E-4</c:v>
                </c:pt>
                <c:pt idx="68">
                  <c:v>1.0469737136851601E-3</c:v>
                </c:pt>
                <c:pt idx="69">
                  <c:v>1.62803696779766E-3</c:v>
                </c:pt>
                <c:pt idx="70">
                  <c:v>1.62803696779766E-3</c:v>
                </c:pt>
                <c:pt idx="71">
                  <c:v>2.02305968674058E-3</c:v>
                </c:pt>
                <c:pt idx="72">
                  <c:v>1.9062490930606499E-3</c:v>
                </c:pt>
                <c:pt idx="73">
                  <c:v>-1.5092214143010601E-3</c:v>
                </c:pt>
                <c:pt idx="74">
                  <c:v>-1.00223880453326E-3</c:v>
                </c:pt>
                <c:pt idx="75">
                  <c:v>-2.1873070846425298E-3</c:v>
                </c:pt>
                <c:pt idx="76">
                  <c:v>-2.1873070846425298E-3</c:v>
                </c:pt>
                <c:pt idx="77">
                  <c:v>-2.3924989808038698E-3</c:v>
                </c:pt>
                <c:pt idx="78">
                  <c:v>-2.4872166022779198E-3</c:v>
                </c:pt>
                <c:pt idx="79">
                  <c:v>-1.7924403470341999E-3</c:v>
                </c:pt>
                <c:pt idx="80">
                  <c:v>-2.1712365928822199E-3</c:v>
                </c:pt>
                <c:pt idx="81">
                  <c:v>-1.8870137211024699E-3</c:v>
                </c:pt>
                <c:pt idx="82">
                  <c:v>2.1648263921678801E-3</c:v>
                </c:pt>
                <c:pt idx="83">
                  <c:v>1.58198372133548E-3</c:v>
                </c:pt>
                <c:pt idx="84">
                  <c:v>1.1853943843906901E-3</c:v>
                </c:pt>
                <c:pt idx="85">
                  <c:v>1.95447486685242E-3</c:v>
                </c:pt>
                <c:pt idx="86">
                  <c:v>1.37211925592883E-3</c:v>
                </c:pt>
                <c:pt idx="87">
                  <c:v>1.1627091881183901E-3</c:v>
                </c:pt>
                <c:pt idx="88">
                  <c:v>1.37211925592883E-3</c:v>
                </c:pt>
                <c:pt idx="89">
                  <c:v>7.8896226819771299E-4</c:v>
                </c:pt>
                <c:pt idx="90">
                  <c:v>2.2577507819479098E-3</c:v>
                </c:pt>
                <c:pt idx="91">
                  <c:v>1.2787981829638299E-3</c:v>
                </c:pt>
                <c:pt idx="92">
                  <c:v>1.97873040378654E-3</c:v>
                </c:pt>
                <c:pt idx="93">
                  <c:v>-1.85360248000396E-3</c:v>
                </c:pt>
                <c:pt idx="94">
                  <c:v>-2.4406237076858598E-3</c:v>
                </c:pt>
                <c:pt idx="95">
                  <c:v>-2.6466239331418501E-3</c:v>
                </c:pt>
                <c:pt idx="96">
                  <c:v>-2.6466239331418501E-3</c:v>
                </c:pt>
                <c:pt idx="97">
                  <c:v>-2.2501918169489099E-3</c:v>
                </c:pt>
                <c:pt idx="98">
                  <c:v>-1.96517738324372E-3</c:v>
                </c:pt>
                <c:pt idx="99">
                  <c:v>-2.2661455061135302E-3</c:v>
                </c:pt>
                <c:pt idx="100">
                  <c:v>-2.1712365928822199E-3</c:v>
                </c:pt>
                <c:pt idx="101">
                  <c:v>-1.9816708123105201E-3</c:v>
                </c:pt>
                <c:pt idx="102">
                  <c:v>9.9833816839695207E-4</c:v>
                </c:pt>
                <c:pt idx="103">
                  <c:v>9.9833816839695207E-4</c:v>
                </c:pt>
                <c:pt idx="104">
                  <c:v>1.39524232125557E-3</c:v>
                </c:pt>
                <c:pt idx="105">
                  <c:v>6.0159148594598805E-4</c:v>
                </c:pt>
                <c:pt idx="106">
                  <c:v>1.5120432359844701E-3</c:v>
                </c:pt>
                <c:pt idx="107">
                  <c:v>1.60554650588533E-3</c:v>
                </c:pt>
                <c:pt idx="108">
                  <c:v>1.39524232125557E-3</c:v>
                </c:pt>
                <c:pt idx="109">
                  <c:v>2.18952353854992E-3</c:v>
                </c:pt>
                <c:pt idx="110">
                  <c:v>2.0718196361017198E-3</c:v>
                </c:pt>
                <c:pt idx="111">
                  <c:v>1.1853943843906901E-3</c:v>
                </c:pt>
                <c:pt idx="112">
                  <c:v>1.7683942759748601E-3</c:v>
                </c:pt>
                <c:pt idx="113">
                  <c:v>1.7683942759748601E-3</c:v>
                </c:pt>
                <c:pt idx="114">
                  <c:v>1.2081691909005101E-3</c:v>
                </c:pt>
                <c:pt idx="115">
                  <c:v>1.39524232125557E-3</c:v>
                </c:pt>
                <c:pt idx="116">
                  <c:v>-2.5359666728150599E-3</c:v>
                </c:pt>
                <c:pt idx="117">
                  <c:v>-2.8373703901368101E-3</c:v>
                </c:pt>
                <c:pt idx="118">
                  <c:v>-2.2501918169489099E-3</c:v>
                </c:pt>
                <c:pt idx="119">
                  <c:v>-2.1551026649516999E-3</c:v>
                </c:pt>
                <c:pt idx="120">
                  <c:v>-1.96517738324372E-3</c:v>
                </c:pt>
                <c:pt idx="121">
                  <c:v>-2.3611385842199199E-3</c:v>
                </c:pt>
                <c:pt idx="122">
                  <c:v>-1.96517738324372E-3</c:v>
                </c:pt>
                <c:pt idx="123">
                  <c:v>1.4184568259132601E-3</c:v>
                </c:pt>
                <c:pt idx="124">
                  <c:v>1.39524232125557E-3</c:v>
                </c:pt>
                <c:pt idx="125">
                  <c:v>1.39524232125557E-3</c:v>
                </c:pt>
                <c:pt idx="126">
                  <c:v>1.11450794949286E-3</c:v>
                </c:pt>
                <c:pt idx="127">
                  <c:v>1.5120432359844701E-3</c:v>
                </c:pt>
                <c:pt idx="128">
                  <c:v>2.0963440617496501E-3</c:v>
                </c:pt>
                <c:pt idx="129">
                  <c:v>1.5120432359844701E-3</c:v>
                </c:pt>
                <c:pt idx="130">
                  <c:v>8.3302418416493604E-4</c:v>
                </c:pt>
                <c:pt idx="131">
                  <c:v>1.60554650588533E-3</c:v>
                </c:pt>
                <c:pt idx="132">
                  <c:v>1.39524232125557E-3</c:v>
                </c:pt>
                <c:pt idx="133">
                  <c:v>1.39524232125557E-3</c:v>
                </c:pt>
                <c:pt idx="134">
                  <c:v>9.9833816839695207E-4</c:v>
                </c:pt>
                <c:pt idx="135">
                  <c:v>-2.2341750000723398E-3</c:v>
                </c:pt>
                <c:pt idx="136">
                  <c:v>-2.2341750000723398E-3</c:v>
                </c:pt>
                <c:pt idx="137">
                  <c:v>-2.4249697233551101E-3</c:v>
                </c:pt>
                <c:pt idx="138">
                  <c:v>-2.7117999480391702E-3</c:v>
                </c:pt>
                <c:pt idx="139">
                  <c:v>-2.4249697233551101E-3</c:v>
                </c:pt>
                <c:pt idx="140">
                  <c:v>-2.0272763397083402E-3</c:v>
                </c:pt>
                <c:pt idx="141">
                  <c:v>-2.6313944690488701E-3</c:v>
                </c:pt>
                <c:pt idx="142">
                  <c:v>-2.4406237076858598E-3</c:v>
                </c:pt>
                <c:pt idx="143">
                  <c:v>-2.8373703901368101E-3</c:v>
                </c:pt>
                <c:pt idx="144">
                  <c:v>-2.4406237076858598E-3</c:v>
                </c:pt>
                <c:pt idx="145">
                  <c:v>2.12096555033092E-3</c:v>
                </c:pt>
                <c:pt idx="146">
                  <c:v>1.90973661963132E-3</c:v>
                </c:pt>
                <c:pt idx="147">
                  <c:v>1.11450794949286E-3</c:v>
                </c:pt>
                <c:pt idx="148">
                  <c:v>9.2693555772311404E-4</c:v>
                </c:pt>
                <c:pt idx="149">
                  <c:v>1.60554650588533E-3</c:v>
                </c:pt>
                <c:pt idx="150">
                  <c:v>1.11450794949286E-3</c:v>
                </c:pt>
                <c:pt idx="151">
                  <c:v>1.11450794949286E-3</c:v>
                </c:pt>
                <c:pt idx="152">
                  <c:v>1.69896674676484E-3</c:v>
                </c:pt>
                <c:pt idx="153">
                  <c:v>9.9833816839695207E-4</c:v>
                </c:pt>
                <c:pt idx="154">
                  <c:v>1.39524232125557E-3</c:v>
                </c:pt>
                <c:pt idx="155">
                  <c:v>1.39524232125557E-3</c:v>
                </c:pt>
                <c:pt idx="156">
                  <c:v>5.0778137661179796E-4</c:v>
                </c:pt>
                <c:pt idx="157">
                  <c:v>9.9833816839695207E-4</c:v>
                </c:pt>
                <c:pt idx="158">
                  <c:v>9.9833816839695207E-4</c:v>
                </c:pt>
                <c:pt idx="159">
                  <c:v>1.39524232125557E-3</c:v>
                </c:pt>
                <c:pt idx="160">
                  <c:v>-2.4406237076858598E-3</c:v>
                </c:pt>
                <c:pt idx="161">
                  <c:v>-2.2501918169489099E-3</c:v>
                </c:pt>
                <c:pt idx="162">
                  <c:v>-2.8373703901368101E-3</c:v>
                </c:pt>
                <c:pt idx="163">
                  <c:v>-1.85360248000396E-3</c:v>
                </c:pt>
                <c:pt idx="164">
                  <c:v>-2.2341750000723398E-3</c:v>
                </c:pt>
                <c:pt idx="165">
                  <c:v>-2.6313944690488701E-3</c:v>
                </c:pt>
                <c:pt idx="166">
                  <c:v>1.55909929151915E-3</c:v>
                </c:pt>
                <c:pt idx="167">
                  <c:v>3.6221105767319698E-4</c:v>
                </c:pt>
                <c:pt idx="168">
                  <c:v>1.3479183824323499E-3</c:v>
                </c:pt>
                <c:pt idx="169">
                  <c:v>9.4927376882125605E-4</c:v>
                </c:pt>
                <c:pt idx="170">
                  <c:v>9.4927376882125605E-4</c:v>
                </c:pt>
                <c:pt idx="171">
                  <c:v>9.4927376882125605E-4</c:v>
                </c:pt>
                <c:pt idx="172">
                  <c:v>8.7743620827579298E-4</c:v>
                </c:pt>
                <c:pt idx="173">
                  <c:v>1.08857441086394E-3</c:v>
                </c:pt>
                <c:pt idx="174">
                  <c:v>6.8865438953698602E-4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D3-485D-951B-576CDAAB50A4}"/>
            </c:ext>
          </c:extLst>
        </c:ser>
        <c:ser>
          <c:idx val="1"/>
          <c:order val="1"/>
          <c:tx>
            <c:strRef>
              <c:f>[1]Sheet1!$V$1</c:f>
              <c:strCache>
                <c:ptCount val="1"/>
                <c:pt idx="0">
                  <c:v>log diff BSCS x 10 dma / IBDT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[1]Sheet1!$V$2:$V$176</c:f>
              <c:numCache>
                <c:formatCode>General</c:formatCode>
                <c:ptCount val="175"/>
                <c:pt idx="10">
                  <c:v>1.45702380690385E-4</c:v>
                </c:pt>
                <c:pt idx="11">
                  <c:v>-3.3506113581065E-3</c:v>
                </c:pt>
                <c:pt idx="12">
                  <c:v>-4.0747485797849601E-3</c:v>
                </c:pt>
                <c:pt idx="13">
                  <c:v>-3.1593086589650201E-3</c:v>
                </c:pt>
                <c:pt idx="14">
                  <c:v>-3.18793478106207E-3</c:v>
                </c:pt>
                <c:pt idx="15">
                  <c:v>-2.6443739888115398E-3</c:v>
                </c:pt>
                <c:pt idx="16">
                  <c:v>-1.6335414880059599E-3</c:v>
                </c:pt>
                <c:pt idx="17">
                  <c:v>-8.1491915685314299E-4</c:v>
                </c:pt>
                <c:pt idx="18">
                  <c:v>-4.1872081736928101E-4</c:v>
                </c:pt>
                <c:pt idx="19">
                  <c:v>-3.7534401154702002E-4</c:v>
                </c:pt>
                <c:pt idx="20">
                  <c:v>3.3662735472956801E-3</c:v>
                </c:pt>
                <c:pt idx="21">
                  <c:v>3.2920798183878499E-3</c:v>
                </c:pt>
                <c:pt idx="22">
                  <c:v>2.6703299857194201E-3</c:v>
                </c:pt>
                <c:pt idx="23">
                  <c:v>2.5482081854054199E-3</c:v>
                </c:pt>
                <c:pt idx="24">
                  <c:v>2.2615515011308799E-3</c:v>
                </c:pt>
                <c:pt idx="25">
                  <c:v>1.4320425314316499E-3</c:v>
                </c:pt>
                <c:pt idx="26">
                  <c:v>1.9200769433207301E-3</c:v>
                </c:pt>
                <c:pt idx="27">
                  <c:v>1.01714917129458E-3</c:v>
                </c:pt>
                <c:pt idx="28">
                  <c:v>7.8819716592796497E-4</c:v>
                </c:pt>
                <c:pt idx="29">
                  <c:v>2.59684669561714E-4</c:v>
                </c:pt>
                <c:pt idx="30">
                  <c:v>3.2094283243088199E-4</c:v>
                </c:pt>
                <c:pt idx="31">
                  <c:v>2.9552517178215701E-4</c:v>
                </c:pt>
                <c:pt idx="32">
                  <c:v>-2.23300903787572E-4</c:v>
                </c:pt>
                <c:pt idx="33">
                  <c:v>-1.47242790164321E-4</c:v>
                </c:pt>
                <c:pt idx="34">
                  <c:v>-4.3220289911680204E-3</c:v>
                </c:pt>
                <c:pt idx="35">
                  <c:v>-3.5947009772838798E-3</c:v>
                </c:pt>
                <c:pt idx="36">
                  <c:v>-3.6255009891072998E-3</c:v>
                </c:pt>
                <c:pt idx="37">
                  <c:v>-3.5294211656007801E-3</c:v>
                </c:pt>
                <c:pt idx="38">
                  <c:v>-1.1094721479150999E-3</c:v>
                </c:pt>
                <c:pt idx="39">
                  <c:v>2.43499359076628E-3</c:v>
                </c:pt>
                <c:pt idx="40">
                  <c:v>1.50308661939729E-3</c:v>
                </c:pt>
                <c:pt idx="41">
                  <c:v>1.3911296314693599E-3</c:v>
                </c:pt>
                <c:pt idx="42">
                  <c:v>2.2706286467513801E-3</c:v>
                </c:pt>
                <c:pt idx="43">
                  <c:v>2.3287996472375E-3</c:v>
                </c:pt>
                <c:pt idx="44">
                  <c:v>1.5075240064680599E-3</c:v>
                </c:pt>
                <c:pt idx="45">
                  <c:v>1.7351482663285299E-3</c:v>
                </c:pt>
                <c:pt idx="46">
                  <c:v>5.6484388818371298E-4</c:v>
                </c:pt>
                <c:pt idx="47">
                  <c:v>9.1650370679568398E-4</c:v>
                </c:pt>
                <c:pt idx="48">
                  <c:v>3.4487771626814598E-4</c:v>
                </c:pt>
                <c:pt idx="49">
                  <c:v>-2.3178239471081599E-4</c:v>
                </c:pt>
                <c:pt idx="50">
                  <c:v>-3.58972685167853E-4</c:v>
                </c:pt>
                <c:pt idx="51">
                  <c:v>5.6187289473354001E-4</c:v>
                </c:pt>
                <c:pt idx="52">
                  <c:v>2.5749100227162803E-4</c:v>
                </c:pt>
                <c:pt idx="53">
                  <c:v>5.8832563853648096E-4</c:v>
                </c:pt>
                <c:pt idx="54">
                  <c:v>-2.9758942156578598E-3</c:v>
                </c:pt>
                <c:pt idx="55">
                  <c:v>-2.9080278425601602E-3</c:v>
                </c:pt>
                <c:pt idx="56">
                  <c:v>-2.87237322684633E-3</c:v>
                </c:pt>
                <c:pt idx="57">
                  <c:v>-2.6616546556159802E-3</c:v>
                </c:pt>
                <c:pt idx="58">
                  <c:v>-2.8940410118018802E-3</c:v>
                </c:pt>
                <c:pt idx="59">
                  <c:v>-2.0921299750745101E-3</c:v>
                </c:pt>
                <c:pt idx="60">
                  <c:v>-1.2653648090682301E-3</c:v>
                </c:pt>
                <c:pt idx="61">
                  <c:v>2.1817853033196302E-3</c:v>
                </c:pt>
                <c:pt idx="62">
                  <c:v>2.82240344034099E-3</c:v>
                </c:pt>
                <c:pt idx="63">
                  <c:v>2.61512299311416E-3</c:v>
                </c:pt>
                <c:pt idx="64">
                  <c:v>2.83174430548273E-3</c:v>
                </c:pt>
                <c:pt idx="65">
                  <c:v>2.1866085769750398E-3</c:v>
                </c:pt>
                <c:pt idx="66">
                  <c:v>1.5529376979432101E-3</c:v>
                </c:pt>
                <c:pt idx="67">
                  <c:v>1.1280547745771399E-3</c:v>
                </c:pt>
                <c:pt idx="68">
                  <c:v>9.8424615821239591E-4</c:v>
                </c:pt>
                <c:pt idx="69">
                  <c:v>1.15580398545881E-3</c:v>
                </c:pt>
                <c:pt idx="70">
                  <c:v>7.2630387714860405E-4</c:v>
                </c:pt>
                <c:pt idx="71">
                  <c:v>7.3926798512289596E-4</c:v>
                </c:pt>
                <c:pt idx="72">
                  <c:v>5.1776864574035804E-4</c:v>
                </c:pt>
                <c:pt idx="73">
                  <c:v>-2.9324640521151699E-3</c:v>
                </c:pt>
                <c:pt idx="74">
                  <c:v>-2.1369587448162699E-3</c:v>
                </c:pt>
                <c:pt idx="75">
                  <c:v>-3.0657651021993798E-3</c:v>
                </c:pt>
                <c:pt idx="76">
                  <c:v>-2.7210365823281701E-3</c:v>
                </c:pt>
                <c:pt idx="77">
                  <c:v>-2.6118102823953402E-3</c:v>
                </c:pt>
                <c:pt idx="78">
                  <c:v>-2.3809653865480701E-3</c:v>
                </c:pt>
                <c:pt idx="79">
                  <c:v>-1.3326154101923799E-3</c:v>
                </c:pt>
                <c:pt idx="80">
                  <c:v>-1.3695513395644201E-3</c:v>
                </c:pt>
                <c:pt idx="81">
                  <c:v>-7.0567430169088396E-4</c:v>
                </c:pt>
                <c:pt idx="82">
                  <c:v>3.7366089634519898E-3</c:v>
                </c:pt>
                <c:pt idx="83">
                  <c:v>3.12800133980008E-3</c:v>
                </c:pt>
                <c:pt idx="84">
                  <c:v>2.42273249490097E-3</c:v>
                </c:pt>
                <c:pt idx="85">
                  <c:v>2.97331627120739E-3</c:v>
                </c:pt>
                <c:pt idx="86">
                  <c:v>1.9770701247728301E-3</c:v>
                </c:pt>
                <c:pt idx="87">
                  <c:v>1.4117241381896501E-3</c:v>
                </c:pt>
                <c:pt idx="88">
                  <c:v>1.26541984121537E-3</c:v>
                </c:pt>
                <c:pt idx="89">
                  <c:v>2.9599799651978698E-4</c:v>
                </c:pt>
                <c:pt idx="90">
                  <c:v>1.5063558859635499E-3</c:v>
                </c:pt>
                <c:pt idx="91">
                  <c:v>8.4092194989267497E-5</c:v>
                </c:pt>
                <c:pt idx="92">
                  <c:v>4.6691796805606599E-4</c:v>
                </c:pt>
                <c:pt idx="93">
                  <c:v>-3.3468159076568602E-3</c:v>
                </c:pt>
                <c:pt idx="94">
                  <c:v>-3.5897774203701499E-3</c:v>
                </c:pt>
                <c:pt idx="95">
                  <c:v>-3.4325967636649299E-3</c:v>
                </c:pt>
                <c:pt idx="96">
                  <c:v>-2.9720713743352002E-3</c:v>
                </c:pt>
                <c:pt idx="97">
                  <c:v>-2.1734584834675399E-3</c:v>
                </c:pt>
                <c:pt idx="98">
                  <c:v>-1.5470526417954501E-3</c:v>
                </c:pt>
                <c:pt idx="99">
                  <c:v>-1.5143871853850999E-3</c:v>
                </c:pt>
                <c:pt idx="100">
                  <c:v>-1.11401805617511E-3</c:v>
                </c:pt>
                <c:pt idx="101">
                  <c:v>-4.8213814302440797E-4</c:v>
                </c:pt>
                <c:pt idx="102">
                  <c:v>2.8234907430954902E-3</c:v>
                </c:pt>
                <c:pt idx="103">
                  <c:v>2.9212008631384202E-3</c:v>
                </c:pt>
                <c:pt idx="104">
                  <c:v>3.0332964127574402E-3</c:v>
                </c:pt>
                <c:pt idx="105">
                  <c:v>1.85641291533871E-3</c:v>
                </c:pt>
                <c:pt idx="106">
                  <c:v>2.4420656881967398E-3</c:v>
                </c:pt>
                <c:pt idx="107">
                  <c:v>2.1197663285384399E-3</c:v>
                </c:pt>
                <c:pt idx="108">
                  <c:v>1.52388773199526E-3</c:v>
                </c:pt>
                <c:pt idx="109">
                  <c:v>1.9820177933321101E-3</c:v>
                </c:pt>
                <c:pt idx="110">
                  <c:v>1.4185377330592601E-3</c:v>
                </c:pt>
                <c:pt idx="111">
                  <c:v>1.07417982349849E-4</c:v>
                </c:pt>
                <c:pt idx="112">
                  <c:v>3.7319307090886202E-4</c:v>
                </c:pt>
                <c:pt idx="113">
                  <c:v>2.9618358172859698E-4</c:v>
                </c:pt>
                <c:pt idx="114">
                  <c:v>-3.4105692344450598E-4</c:v>
                </c:pt>
                <c:pt idx="115">
                  <c:v>-1.3527202407907299E-4</c:v>
                </c:pt>
                <c:pt idx="116">
                  <c:v>-4.1458914978885798E-3</c:v>
                </c:pt>
                <c:pt idx="117">
                  <c:v>-4.0417163518774203E-3</c:v>
                </c:pt>
                <c:pt idx="118">
                  <c:v>-3.0095352893464802E-3</c:v>
                </c:pt>
                <c:pt idx="119">
                  <c:v>-2.5495362055601299E-3</c:v>
                </c:pt>
                <c:pt idx="120">
                  <c:v>-1.9250784643239001E-3</c:v>
                </c:pt>
                <c:pt idx="121">
                  <c:v>-1.91745885083332E-3</c:v>
                </c:pt>
                <c:pt idx="122">
                  <c:v>-1.1668559179309099E-3</c:v>
                </c:pt>
                <c:pt idx="123">
                  <c:v>2.5898048583703798E-3</c:v>
                </c:pt>
                <c:pt idx="124">
                  <c:v>2.6014868738467199E-3</c:v>
                </c:pt>
                <c:pt idx="125">
                  <c:v>2.5828262449036701E-3</c:v>
                </c:pt>
                <c:pt idx="126">
                  <c:v>2.3020918731408101E-3</c:v>
                </c:pt>
                <c:pt idx="127">
                  <c:v>2.3346869452763202E-3</c:v>
                </c:pt>
                <c:pt idx="128">
                  <c:v>2.48402105775684E-3</c:v>
                </c:pt>
                <c:pt idx="129">
                  <c:v>1.4651069203652899E-3</c:v>
                </c:pt>
                <c:pt idx="130">
                  <c:v>4.1917062022725602E-4</c:v>
                </c:pt>
                <c:pt idx="131">
                  <c:v>9.1155912140526599E-4</c:v>
                </c:pt>
                <c:pt idx="132">
                  <c:v>3.0408193402642998E-4</c:v>
                </c:pt>
                <c:pt idx="133">
                  <c:v>-3.2479580297285198E-5</c:v>
                </c:pt>
                <c:pt idx="134">
                  <c:v>-4.2706223693022801E-4</c:v>
                </c:pt>
                <c:pt idx="135">
                  <c:v>-3.6198767031875002E-3</c:v>
                </c:pt>
                <c:pt idx="136">
                  <c:v>-3.2563450945942598E-3</c:v>
                </c:pt>
                <c:pt idx="137">
                  <c:v>-3.1117974176391198E-3</c:v>
                </c:pt>
                <c:pt idx="138">
                  <c:v>-3.00455337676738E-3</c:v>
                </c:pt>
                <c:pt idx="139">
                  <c:v>-2.2367351741484501E-3</c:v>
                </c:pt>
                <c:pt idx="140">
                  <c:v>-1.4453121457747599E-3</c:v>
                </c:pt>
                <c:pt idx="141">
                  <c:v>-1.7634366884995199E-3</c:v>
                </c:pt>
                <c:pt idx="142">
                  <c:v>-1.1492115813113699E-3</c:v>
                </c:pt>
                <c:pt idx="143">
                  <c:v>-1.16273962146028E-3</c:v>
                </c:pt>
                <c:pt idx="144">
                  <c:v>-3.43224147040663E-4</c:v>
                </c:pt>
                <c:pt idx="145">
                  <c:v>4.5617295475681198E-3</c:v>
                </c:pt>
                <c:pt idx="146">
                  <c:v>3.9159289039277199E-3</c:v>
                </c:pt>
                <c:pt idx="147">
                  <c:v>2.7069866302678702E-3</c:v>
                </c:pt>
                <c:pt idx="148">
                  <c:v>2.1657353309677799E-3</c:v>
                </c:pt>
                <c:pt idx="149">
                  <c:v>2.4805323678003602E-3</c:v>
                </c:pt>
                <c:pt idx="150">
                  <c:v>1.5865482300495999E-3</c:v>
                </c:pt>
                <c:pt idx="151">
                  <c:v>1.27232522780383E-3</c:v>
                </c:pt>
                <c:pt idx="152">
                  <c:v>1.4818982469776401E-3</c:v>
                </c:pt>
                <c:pt idx="153">
                  <c:v>3.6698108493112599E-4</c:v>
                </c:pt>
                <c:pt idx="154">
                  <c:v>3.7964500432670399E-4</c:v>
                </c:pt>
                <c:pt idx="155">
                  <c:v>-4.6061698767230202E-6</c:v>
                </c:pt>
                <c:pt idx="156">
                  <c:v>-8.1952341615178399E-4</c:v>
                </c:pt>
                <c:pt idx="157">
                  <c:v>-1.88764296812804E-4</c:v>
                </c:pt>
                <c:pt idx="158">
                  <c:v>-1.77145867991824E-4</c:v>
                </c:pt>
                <c:pt idx="159">
                  <c:v>2.1261647834932001E-4</c:v>
                </c:pt>
                <c:pt idx="160">
                  <c:v>-3.6022260348303999E-3</c:v>
                </c:pt>
                <c:pt idx="161">
                  <c:v>-3.0556949187615198E-3</c:v>
                </c:pt>
                <c:pt idx="162">
                  <c:v>-3.30599769856938E-3</c:v>
                </c:pt>
                <c:pt idx="163">
                  <c:v>-1.8682277212502499E-3</c:v>
                </c:pt>
                <c:pt idx="164">
                  <c:v>-1.9635206188054598E-3</c:v>
                </c:pt>
                <c:pt idx="165">
                  <c:v>-1.99781000941537E-3</c:v>
                </c:pt>
                <c:pt idx="166">
                  <c:v>2.59526041273402E-3</c:v>
                </c:pt>
                <c:pt idx="167">
                  <c:v>1.2934522345718E-3</c:v>
                </c:pt>
                <c:pt idx="168">
                  <c:v>2.3426678244496801E-3</c:v>
                </c:pt>
                <c:pt idx="169">
                  <c:v>1.90914028348376E-3</c:v>
                </c:pt>
                <c:pt idx="170">
                  <c:v>1.9536411641627701E-3</c:v>
                </c:pt>
                <c:pt idx="171">
                  <c:v>1.61468149664288E-3</c:v>
                </c:pt>
                <c:pt idx="172">
                  <c:v>1.22285083147506E-3</c:v>
                </c:pt>
                <c:pt idx="173">
                  <c:v>1.06220325794605E-3</c:v>
                </c:pt>
                <c:pt idx="174">
                  <c:v>3.6790178954959401E-4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D3-485D-951B-576CDAAB50A4}"/>
            </c:ext>
          </c:extLst>
        </c:ser>
        <c:ser>
          <c:idx val="2"/>
          <c:order val="2"/>
          <c:tx>
            <c:strRef>
              <c:f>[1]Sheet1!$W$1</c:f>
              <c:strCache>
                <c:ptCount val="1"/>
                <c:pt idx="0">
                  <c:v>log diff BSCS x 20 dma / IBDT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[1]Sheet1!$W$2:$W$176</c:f>
              <c:numCache>
                <c:formatCode>General</c:formatCode>
                <c:ptCount val="175"/>
                <c:pt idx="20">
                  <c:v>1.6649281163499099E-3</c:v>
                </c:pt>
                <c:pt idx="21">
                  <c:v>1.58153119437977E-3</c:v>
                </c:pt>
                <c:pt idx="22">
                  <c:v>1.29962737075664E-3</c:v>
                </c:pt>
                <c:pt idx="23">
                  <c:v>1.59137063604929E-3</c:v>
                </c:pt>
                <c:pt idx="24">
                  <c:v>1.7230147404689799E-3</c:v>
                </c:pt>
                <c:pt idx="25">
                  <c:v>1.3365319033442E-3</c:v>
                </c:pt>
                <c:pt idx="26">
                  <c:v>2.2340923721216998E-3</c:v>
                </c:pt>
                <c:pt idx="27">
                  <c:v>1.70680787937577E-3</c:v>
                </c:pt>
                <c:pt idx="28">
                  <c:v>1.7899523718691601E-3</c:v>
                </c:pt>
                <c:pt idx="29">
                  <c:v>1.59306171606809E-3</c:v>
                </c:pt>
                <c:pt idx="30">
                  <c:v>1.9720803943581301E-3</c:v>
                </c:pt>
                <c:pt idx="31">
                  <c:v>1.9686269138235999E-3</c:v>
                </c:pt>
                <c:pt idx="32">
                  <c:v>1.30622392154356E-3</c:v>
                </c:pt>
                <c:pt idx="33">
                  <c:v>1.1901681138462899E-3</c:v>
                </c:pt>
                <c:pt idx="34">
                  <c:v>-3.17553442527002E-3</c:v>
                </c:pt>
                <c:pt idx="35">
                  <c:v>-2.8822635031489599E-3</c:v>
                </c:pt>
                <c:pt idx="36">
                  <c:v>-3.2880763263071901E-3</c:v>
                </c:pt>
                <c:pt idx="37">
                  <c:v>-3.6449767893034402E-3</c:v>
                </c:pt>
                <c:pt idx="38">
                  <c:v>-1.6246679641579E-3</c:v>
                </c:pt>
                <c:pt idx="39">
                  <c:v>1.6130318024544499E-3</c:v>
                </c:pt>
                <c:pt idx="40">
                  <c:v>5.4246992135660501E-4</c:v>
                </c:pt>
                <c:pt idx="41">
                  <c:v>3.8092298177118102E-4</c:v>
                </c:pt>
                <c:pt idx="42">
                  <c:v>1.1969437067600099E-3</c:v>
                </c:pt>
                <c:pt idx="43">
                  <c:v>1.2641826845418099E-3</c:v>
                </c:pt>
                <c:pt idx="44">
                  <c:v>4.6125534045101101E-4</c:v>
                </c:pt>
                <c:pt idx="45">
                  <c:v>1.09045463010795E-3</c:v>
                </c:pt>
                <c:pt idx="46">
                  <c:v>3.0248723095486601E-4</c:v>
                </c:pt>
                <c:pt idx="47">
                  <c:v>1.08144361525774E-3</c:v>
                </c:pt>
                <c:pt idx="48">
                  <c:v>9.8830922793655802E-4</c:v>
                </c:pt>
                <c:pt idx="49">
                  <c:v>6.9541416457365602E-4</c:v>
                </c:pt>
                <c:pt idx="50">
                  <c:v>5.0103193402503601E-4</c:v>
                </c:pt>
                <c:pt idx="51">
                  <c:v>1.45169217074732E-3</c:v>
                </c:pt>
                <c:pt idx="52">
                  <c:v>1.2410792866154E-3</c:v>
                </c:pt>
                <c:pt idx="53">
                  <c:v>1.55231476644476E-3</c:v>
                </c:pt>
                <c:pt idx="54">
                  <c:v>-2.01983519596263E-3</c:v>
                </c:pt>
                <c:pt idx="55">
                  <c:v>-2.2679306651318802E-3</c:v>
                </c:pt>
                <c:pt idx="56">
                  <c:v>-2.6028929687561199E-3</c:v>
                </c:pt>
                <c:pt idx="57">
                  <c:v>-2.7208552479113901E-3</c:v>
                </c:pt>
                <c:pt idx="58">
                  <c:v>-3.3772689073717698E-3</c:v>
                </c:pt>
                <c:pt idx="59">
                  <c:v>-2.9227316114222301E-3</c:v>
                </c:pt>
                <c:pt idx="60">
                  <c:v>-2.2313307905326299E-3</c:v>
                </c:pt>
                <c:pt idx="61">
                  <c:v>1.0811792041638001E-3</c:v>
                </c:pt>
                <c:pt idx="62">
                  <c:v>1.6453540479227E-3</c:v>
                </c:pt>
                <c:pt idx="63">
                  <c:v>1.45084735320068E-3</c:v>
                </c:pt>
                <c:pt idx="64">
                  <c:v>1.64305971842369E-3</c:v>
                </c:pt>
                <c:pt idx="65">
                  <c:v>1.2977044117945299E-3</c:v>
                </c:pt>
                <c:pt idx="66">
                  <c:v>9.9788167637320695E-4</c:v>
                </c:pt>
                <c:pt idx="67">
                  <c:v>8.8376572969202805E-4</c:v>
                </c:pt>
                <c:pt idx="68">
                  <c:v>1.0900445026946299E-3</c:v>
                </c:pt>
                <c:pt idx="69">
                  <c:v>1.6768878749299501E-3</c:v>
                </c:pt>
                <c:pt idx="70">
                  <c:v>1.6385572841829199E-3</c:v>
                </c:pt>
                <c:pt idx="71">
                  <c:v>1.9848306320614799E-3</c:v>
                </c:pt>
                <c:pt idx="72">
                  <c:v>1.84483313984932E-3</c:v>
                </c:pt>
                <c:pt idx="73">
                  <c:v>-1.5984522561621299E-3</c:v>
                </c:pt>
                <c:pt idx="74">
                  <c:v>-9.3225867679715905E-4</c:v>
                </c:pt>
                <c:pt idx="75">
                  <c:v>-2.1607923594303999E-3</c:v>
                </c:pt>
                <c:pt idx="76">
                  <c:v>-2.1544185669952099E-3</c:v>
                </c:pt>
                <c:pt idx="77">
                  <c:v>-2.3683215786613099E-3</c:v>
                </c:pt>
                <c:pt idx="78">
                  <c:v>-2.4654512029212098E-3</c:v>
                </c:pt>
                <c:pt idx="79">
                  <c:v>-1.7985357782911401E-3</c:v>
                </c:pt>
                <c:pt idx="80">
                  <c:v>-2.2208978073348499E-3</c:v>
                </c:pt>
                <c:pt idx="81">
                  <c:v>-1.9374802534675201E-3</c:v>
                </c:pt>
                <c:pt idx="82">
                  <c:v>2.2575728483924299E-3</c:v>
                </c:pt>
                <c:pt idx="83">
                  <c:v>1.64447327456468E-3</c:v>
                </c:pt>
                <c:pt idx="84">
                  <c:v>1.23740680176371E-3</c:v>
                </c:pt>
                <c:pt idx="85">
                  <c:v>2.0251165283212201E-3</c:v>
                </c:pt>
                <c:pt idx="86">
                  <c:v>1.4078920156213399E-3</c:v>
                </c:pt>
                <c:pt idx="87">
                  <c:v>1.1775884285431101E-3</c:v>
                </c:pt>
                <c:pt idx="88">
                  <c:v>1.3719008249333E-3</c:v>
                </c:pt>
                <c:pt idx="89">
                  <c:v>7.7250607668481004E-4</c:v>
                </c:pt>
                <c:pt idx="90">
                  <c:v>2.2831974678280799E-3</c:v>
                </c:pt>
                <c:pt idx="91">
                  <c:v>1.27282059748853E-3</c:v>
                </c:pt>
                <c:pt idx="92">
                  <c:v>2.00990404086331E-3</c:v>
                </c:pt>
                <c:pt idx="93">
                  <c:v>-1.82604576937382E-3</c:v>
                </c:pt>
                <c:pt idx="94">
                  <c:v>-2.3958195910389899E-3</c:v>
                </c:pt>
                <c:pt idx="95">
                  <c:v>-2.5297824769782901E-3</c:v>
                </c:pt>
                <c:pt idx="96">
                  <c:v>-2.5067640141936401E-3</c:v>
                </c:pt>
                <c:pt idx="97">
                  <c:v>-2.0873139650533501E-3</c:v>
                </c:pt>
                <c:pt idx="98">
                  <c:v>-1.8094302898274499E-3</c:v>
                </c:pt>
                <c:pt idx="99">
                  <c:v>-2.13655481480899E-3</c:v>
                </c:pt>
                <c:pt idx="100">
                  <c:v>-2.01791588725817E-3</c:v>
                </c:pt>
                <c:pt idx="101">
                  <c:v>-1.82835010668633E-3</c:v>
                </c:pt>
                <c:pt idx="102">
                  <c:v>1.1564001541702199E-3</c:v>
                </c:pt>
                <c:pt idx="103">
                  <c:v>1.214621498241E-3</c:v>
                </c:pt>
                <c:pt idx="104">
                  <c:v>1.6406635762678901E-3</c:v>
                </c:pt>
                <c:pt idx="105">
                  <c:v>8.3653639044181302E-4</c:v>
                </c:pt>
                <c:pt idx="106">
                  <c:v>1.81452776706262E-3</c:v>
                </c:pt>
                <c:pt idx="107">
                  <c:v>1.90104700825591E-3</c:v>
                </c:pt>
                <c:pt idx="108">
                  <c:v>1.66863787213475E-3</c:v>
                </c:pt>
                <c:pt idx="109">
                  <c:v>2.4617648497444601E-3</c:v>
                </c:pt>
                <c:pt idx="110">
                  <c:v>2.2741536793588601E-3</c:v>
                </c:pt>
                <c:pt idx="111">
                  <c:v>1.39700296191003E-3</c:v>
                </c:pt>
                <c:pt idx="112">
                  <c:v>1.9846662950395301E-3</c:v>
                </c:pt>
                <c:pt idx="113">
                  <c:v>1.9951610909451699E-3</c:v>
                </c:pt>
                <c:pt idx="114">
                  <c:v>1.25385302333024E-3</c:v>
                </c:pt>
                <c:pt idx="115">
                  <c:v>1.25836562489299E-3</c:v>
                </c:pt>
                <c:pt idx="116">
                  <c:v>-2.8751114429410199E-3</c:v>
                </c:pt>
                <c:pt idx="117">
                  <c:v>-3.1820642761815998E-3</c:v>
                </c:pt>
                <c:pt idx="118">
                  <c:v>-2.5654422822491202E-3</c:v>
                </c:pt>
                <c:pt idx="119">
                  <c:v>-2.4560679401147301E-3</c:v>
                </c:pt>
                <c:pt idx="120">
                  <c:v>-2.2717087781857202E-3</c:v>
                </c:pt>
                <c:pt idx="121">
                  <c:v>-2.6779974889005699E-3</c:v>
                </c:pt>
                <c:pt idx="122">
                  <c:v>-2.2630158105278902E-3</c:v>
                </c:pt>
                <c:pt idx="123">
                  <c:v>1.2688990451070099E-3</c:v>
                </c:pt>
                <c:pt idx="124">
                  <c:v>1.2247006174029901E-3</c:v>
                </c:pt>
                <c:pt idx="125">
                  <c:v>1.2247006174029901E-3</c:v>
                </c:pt>
                <c:pt idx="126">
                  <c:v>9.0431575536103299E-4</c:v>
                </c:pt>
                <c:pt idx="127">
                  <c:v>1.3217056955626299E-3</c:v>
                </c:pt>
                <c:pt idx="128">
                  <c:v>1.9106752805396099E-3</c:v>
                </c:pt>
                <c:pt idx="129">
                  <c:v>1.2913734021607001E-3</c:v>
                </c:pt>
                <c:pt idx="130">
                  <c:v>6.4617262076262498E-4</c:v>
                </c:pt>
                <c:pt idx="131">
                  <c:v>1.48055446613866E-3</c:v>
                </c:pt>
                <c:pt idx="132">
                  <c:v>1.2492691279398799E-3</c:v>
                </c:pt>
                <c:pt idx="133">
                  <c:v>1.2678997820351999E-3</c:v>
                </c:pt>
                <c:pt idx="134">
                  <c:v>8.8962593617728696E-4</c:v>
                </c:pt>
                <c:pt idx="135">
                  <c:v>-2.33240616516967E-3</c:v>
                </c:pt>
                <c:pt idx="136">
                  <c:v>-2.15085770903087E-3</c:v>
                </c:pt>
                <c:pt idx="137">
                  <c:v>-2.3567769028884499E-3</c:v>
                </c:pt>
                <c:pt idx="138">
                  <c:v>-2.6642802912055499E-3</c:v>
                </c:pt>
                <c:pt idx="139">
                  <c:v>-2.35431369339436E-3</c:v>
                </c:pt>
                <c:pt idx="140">
                  <c:v>-1.9430970680898499E-3</c:v>
                </c:pt>
                <c:pt idx="141">
                  <c:v>-2.5441043119580199E-3</c:v>
                </c:pt>
                <c:pt idx="142">
                  <c:v>-2.3397882568081401E-3</c:v>
                </c:pt>
                <c:pt idx="143">
                  <c:v>-2.7127128830459202E-3</c:v>
                </c:pt>
                <c:pt idx="144">
                  <c:v>-2.10307286587889E-3</c:v>
                </c:pt>
                <c:pt idx="145">
                  <c:v>2.6503269262446402E-3</c:v>
                </c:pt>
                <c:pt idx="146">
                  <c:v>2.4028940864175802E-3</c:v>
                </c:pt>
                <c:pt idx="147">
                  <c:v>1.56798284729169E-3</c:v>
                </c:pt>
                <c:pt idx="148">
                  <c:v>1.4002519368539899E-3</c:v>
                </c:pt>
                <c:pt idx="149">
                  <c:v>2.13721566486581E-3</c:v>
                </c:pt>
                <c:pt idx="150">
                  <c:v>1.64151169714643E-3</c:v>
                </c:pt>
                <c:pt idx="151">
                  <c:v>1.62745851636313E-3</c:v>
                </c:pt>
                <c:pt idx="152">
                  <c:v>2.23642299925621E-3</c:v>
                </c:pt>
                <c:pt idx="153">
                  <c:v>1.52063970835173E-3</c:v>
                </c:pt>
                <c:pt idx="154">
                  <c:v>1.9373547863197401E-3</c:v>
                </c:pt>
                <c:pt idx="155">
                  <c:v>1.91754386121065E-3</c:v>
                </c:pt>
                <c:pt idx="156">
                  <c:v>8.4861414708048497E-4</c:v>
                </c:pt>
                <c:pt idx="157">
                  <c:v>1.2019920347871101E-3</c:v>
                </c:pt>
                <c:pt idx="158">
                  <c:v>1.03072463243731E-3</c:v>
                </c:pt>
                <c:pt idx="159">
                  <c:v>1.24195155140741E-3</c:v>
                </c:pt>
                <c:pt idx="160">
                  <c:v>-2.7850711324955801E-3</c:v>
                </c:pt>
                <c:pt idx="161">
                  <c:v>-2.5739187304347801E-3</c:v>
                </c:pt>
                <c:pt idx="162">
                  <c:v>-3.1802103840173198E-3</c:v>
                </c:pt>
                <c:pt idx="163">
                  <c:v>-2.1765460975900902E-3</c:v>
                </c:pt>
                <c:pt idx="164">
                  <c:v>-2.60643966248872E-3</c:v>
                </c:pt>
                <c:pt idx="165">
                  <c:v>-3.0140096286915699E-3</c:v>
                </c:pt>
                <c:pt idx="166">
                  <c:v>1.41422570197309E-3</c:v>
                </c:pt>
                <c:pt idx="167">
                  <c:v>2.34841335886154E-4</c:v>
                </c:pt>
                <c:pt idx="168">
                  <c:v>1.25813982429988E-3</c:v>
                </c:pt>
                <c:pt idx="169">
                  <c:v>8.3846788877767295E-4</c:v>
                </c:pt>
                <c:pt idx="170">
                  <c:v>8.7124273090998699E-4</c:v>
                </c:pt>
                <c:pt idx="171">
                  <c:v>8.7949652913505002E-4</c:v>
                </c:pt>
                <c:pt idx="172">
                  <c:v>8.1591269869014699E-4</c:v>
                </c:pt>
                <c:pt idx="173">
                  <c:v>1.0680762310278E-3</c:v>
                </c:pt>
                <c:pt idx="174">
                  <c:v>6.6364900045335902E-4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D3-485D-951B-576CDAAB5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[1]Sheet1!$AR$22:$AR$176</c:f>
              <c:numCache>
                <c:formatCode>General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1.9417481829103801E-3</c:v>
                </c:pt>
                <c:pt idx="19">
                  <c:v>1.9417481829103801E-3</c:v>
                </c:pt>
                <c:pt idx="20">
                  <c:v>1.9417481829103801E-3</c:v>
                </c:pt>
                <c:pt idx="21">
                  <c:v>1.9417481829103801E-3</c:v>
                </c:pt>
                <c:pt idx="22">
                  <c:v>1.9417481829103801E-3</c:v>
                </c:pt>
                <c:pt idx="23">
                  <c:v>1.9417481829103801E-3</c:v>
                </c:pt>
                <c:pt idx="24">
                  <c:v>1.9417481829103801E-3</c:v>
                </c:pt>
                <c:pt idx="25">
                  <c:v>1.9417481829103801E-3</c:v>
                </c:pt>
                <c:pt idx="26">
                  <c:v>1.9417481829103801E-3</c:v>
                </c:pt>
                <c:pt idx="27">
                  <c:v>1.9417481829103801E-3</c:v>
                </c:pt>
                <c:pt idx="28">
                  <c:v>1.9417481829103801E-3</c:v>
                </c:pt>
                <c:pt idx="29">
                  <c:v>1.9417481829103801E-3</c:v>
                </c:pt>
                <c:pt idx="30">
                  <c:v>1.9417481829103801E-3</c:v>
                </c:pt>
                <c:pt idx="31">
                  <c:v>1.9417481829103801E-3</c:v>
                </c:pt>
                <c:pt idx="32">
                  <c:v>1.9417481829103801E-3</c:v>
                </c:pt>
                <c:pt idx="33">
                  <c:v>1.9417481829103801E-3</c:v>
                </c:pt>
                <c:pt idx="34">
                  <c:v>1.9417481829103801E-3</c:v>
                </c:pt>
                <c:pt idx="35">
                  <c:v>1.9417481829103801E-3</c:v>
                </c:pt>
                <c:pt idx="36">
                  <c:v>1.9417481829103801E-3</c:v>
                </c:pt>
                <c:pt idx="37">
                  <c:v>1.9417481829103801E-3</c:v>
                </c:pt>
                <c:pt idx="38">
                  <c:v>1.9417481829103801E-3</c:v>
                </c:pt>
                <c:pt idx="39">
                  <c:v>1.9417481829103801E-3</c:v>
                </c:pt>
                <c:pt idx="40">
                  <c:v>1.9417481829103801E-3</c:v>
                </c:pt>
                <c:pt idx="41">
                  <c:v>1.9417481829103801E-3</c:v>
                </c:pt>
                <c:pt idx="42">
                  <c:v>1.9417481829103801E-3</c:v>
                </c:pt>
                <c:pt idx="43">
                  <c:v>1.9417481829103801E-3</c:v>
                </c:pt>
                <c:pt idx="44">
                  <c:v>1.9417481829103801E-3</c:v>
                </c:pt>
                <c:pt idx="45">
                  <c:v>1.9417481829103801E-3</c:v>
                </c:pt>
                <c:pt idx="46">
                  <c:v>1.9417481829103801E-3</c:v>
                </c:pt>
                <c:pt idx="47">
                  <c:v>1.9417481829103801E-3</c:v>
                </c:pt>
                <c:pt idx="48">
                  <c:v>1.9417481829103801E-3</c:v>
                </c:pt>
                <c:pt idx="49">
                  <c:v>1.9417481829103801E-3</c:v>
                </c:pt>
                <c:pt idx="50">
                  <c:v>1.9417481829103801E-3</c:v>
                </c:pt>
                <c:pt idx="51">
                  <c:v>1.9417481829103801E-3</c:v>
                </c:pt>
                <c:pt idx="52">
                  <c:v>1.9417481829103801E-3</c:v>
                </c:pt>
                <c:pt idx="53">
                  <c:v>1.9417481829103801E-3</c:v>
                </c:pt>
                <c:pt idx="54">
                  <c:v>1.9417481829103801E-3</c:v>
                </c:pt>
                <c:pt idx="55">
                  <c:v>1.9417481829103801E-3</c:v>
                </c:pt>
                <c:pt idx="56">
                  <c:v>1.9417481829103801E-3</c:v>
                </c:pt>
                <c:pt idx="57">
                  <c:v>1.9417481829103801E-3</c:v>
                </c:pt>
                <c:pt idx="58">
                  <c:v>1.9417481829103801E-3</c:v>
                </c:pt>
                <c:pt idx="59">
                  <c:v>1.9417481829103801E-3</c:v>
                </c:pt>
                <c:pt idx="60">
                  <c:v>1.9417481829103801E-3</c:v>
                </c:pt>
                <c:pt idx="61">
                  <c:v>1.9417481829103801E-3</c:v>
                </c:pt>
                <c:pt idx="62">
                  <c:v>1.9417481829103801E-3</c:v>
                </c:pt>
                <c:pt idx="63">
                  <c:v>1.9417481829103801E-3</c:v>
                </c:pt>
                <c:pt idx="64">
                  <c:v>1.9417481829103801E-3</c:v>
                </c:pt>
                <c:pt idx="65">
                  <c:v>1.9417481829103801E-3</c:v>
                </c:pt>
                <c:pt idx="66">
                  <c:v>1.9417481829103801E-3</c:v>
                </c:pt>
                <c:pt idx="67">
                  <c:v>1.9417481829103801E-3</c:v>
                </c:pt>
                <c:pt idx="68">
                  <c:v>1.9417481829103801E-3</c:v>
                </c:pt>
                <c:pt idx="69">
                  <c:v>1.9417481829103801E-3</c:v>
                </c:pt>
                <c:pt idx="70">
                  <c:v>1.9417481829103801E-3</c:v>
                </c:pt>
                <c:pt idx="71">
                  <c:v>1.9417481829103801E-3</c:v>
                </c:pt>
                <c:pt idx="72">
                  <c:v>1.9417481829103801E-3</c:v>
                </c:pt>
                <c:pt idx="73">
                  <c:v>1.9417481829103801E-3</c:v>
                </c:pt>
                <c:pt idx="74">
                  <c:v>1.9417481829103801E-3</c:v>
                </c:pt>
                <c:pt idx="75">
                  <c:v>1.9417481829103801E-3</c:v>
                </c:pt>
                <c:pt idx="76">
                  <c:v>1.9417481829103801E-3</c:v>
                </c:pt>
                <c:pt idx="77">
                  <c:v>1.9417481829103801E-3</c:v>
                </c:pt>
                <c:pt idx="78">
                  <c:v>1.9417481829103801E-3</c:v>
                </c:pt>
                <c:pt idx="79">
                  <c:v>1.9417481829103801E-3</c:v>
                </c:pt>
                <c:pt idx="80">
                  <c:v>1.9417481829103801E-3</c:v>
                </c:pt>
                <c:pt idx="81">
                  <c:v>1.9417481829103801E-3</c:v>
                </c:pt>
                <c:pt idx="82">
                  <c:v>1.9417481829103801E-3</c:v>
                </c:pt>
                <c:pt idx="83">
                  <c:v>1.9417481829103801E-3</c:v>
                </c:pt>
                <c:pt idx="84">
                  <c:v>1.9417481829103801E-3</c:v>
                </c:pt>
                <c:pt idx="85">
                  <c:v>1.9417481829103801E-3</c:v>
                </c:pt>
                <c:pt idx="86">
                  <c:v>1.9417481829103801E-3</c:v>
                </c:pt>
                <c:pt idx="87">
                  <c:v>1.9417481829103801E-3</c:v>
                </c:pt>
                <c:pt idx="88">
                  <c:v>1.9417481829103801E-3</c:v>
                </c:pt>
                <c:pt idx="89">
                  <c:v>1.9417481829103801E-3</c:v>
                </c:pt>
                <c:pt idx="90">
                  <c:v>1.9417481829103801E-3</c:v>
                </c:pt>
                <c:pt idx="91">
                  <c:v>1.9417481829103801E-3</c:v>
                </c:pt>
                <c:pt idx="92">
                  <c:v>1.9417481829103801E-3</c:v>
                </c:pt>
                <c:pt idx="93">
                  <c:v>1.9417481829103801E-3</c:v>
                </c:pt>
                <c:pt idx="94">
                  <c:v>1.9417481829103801E-3</c:v>
                </c:pt>
                <c:pt idx="95">
                  <c:v>1.9417481829103801E-3</c:v>
                </c:pt>
                <c:pt idx="96">
                  <c:v>1.9417481829103801E-3</c:v>
                </c:pt>
                <c:pt idx="97">
                  <c:v>1.9417481829103801E-3</c:v>
                </c:pt>
                <c:pt idx="98">
                  <c:v>1.9417481829103801E-3</c:v>
                </c:pt>
                <c:pt idx="99">
                  <c:v>1.9417481829103801E-3</c:v>
                </c:pt>
                <c:pt idx="100">
                  <c:v>1.9417481829103801E-3</c:v>
                </c:pt>
                <c:pt idx="101">
                  <c:v>1.9417481829103801E-3</c:v>
                </c:pt>
                <c:pt idx="102">
                  <c:v>1.9417481829103801E-3</c:v>
                </c:pt>
                <c:pt idx="103">
                  <c:v>1.9417481829103801E-3</c:v>
                </c:pt>
                <c:pt idx="104">
                  <c:v>1.9417481829103801E-3</c:v>
                </c:pt>
                <c:pt idx="105">
                  <c:v>1.9417481829103801E-3</c:v>
                </c:pt>
                <c:pt idx="106">
                  <c:v>1.9417481829103801E-3</c:v>
                </c:pt>
                <c:pt idx="107">
                  <c:v>1.9417481829103801E-3</c:v>
                </c:pt>
                <c:pt idx="108">
                  <c:v>1.9417481829103801E-3</c:v>
                </c:pt>
                <c:pt idx="109">
                  <c:v>1.9417481829103801E-3</c:v>
                </c:pt>
                <c:pt idx="110">
                  <c:v>1.9417481829103801E-3</c:v>
                </c:pt>
                <c:pt idx="111">
                  <c:v>1.9417481829103801E-3</c:v>
                </c:pt>
                <c:pt idx="112">
                  <c:v>1.9417481829103801E-3</c:v>
                </c:pt>
                <c:pt idx="113">
                  <c:v>1.9417481829103801E-3</c:v>
                </c:pt>
                <c:pt idx="114">
                  <c:v>1.9417481829103801E-3</c:v>
                </c:pt>
                <c:pt idx="115">
                  <c:v>1.9417481829103801E-3</c:v>
                </c:pt>
                <c:pt idx="116">
                  <c:v>1.9417481829103801E-3</c:v>
                </c:pt>
                <c:pt idx="117">
                  <c:v>1.9417481829103801E-3</c:v>
                </c:pt>
                <c:pt idx="118">
                  <c:v>1.9417481829103801E-3</c:v>
                </c:pt>
                <c:pt idx="119">
                  <c:v>1.9417481829103801E-3</c:v>
                </c:pt>
                <c:pt idx="120">
                  <c:v>1.9417481829103801E-3</c:v>
                </c:pt>
                <c:pt idx="121">
                  <c:v>1.9417481829103801E-3</c:v>
                </c:pt>
                <c:pt idx="122">
                  <c:v>1.9417481829103801E-3</c:v>
                </c:pt>
                <c:pt idx="123">
                  <c:v>1.9417481829103801E-3</c:v>
                </c:pt>
                <c:pt idx="124">
                  <c:v>1.9417481829103801E-3</c:v>
                </c:pt>
                <c:pt idx="125">
                  <c:v>1.9417481829103801E-3</c:v>
                </c:pt>
                <c:pt idx="126">
                  <c:v>1.9417481829103801E-3</c:v>
                </c:pt>
                <c:pt idx="127">
                  <c:v>1.9417481829103801E-3</c:v>
                </c:pt>
                <c:pt idx="128">
                  <c:v>1.9417481829103801E-3</c:v>
                </c:pt>
                <c:pt idx="129">
                  <c:v>1.9417481829103801E-3</c:v>
                </c:pt>
                <c:pt idx="130">
                  <c:v>1.9417481829103801E-3</c:v>
                </c:pt>
                <c:pt idx="131">
                  <c:v>1.9417481829103801E-3</c:v>
                </c:pt>
                <c:pt idx="132">
                  <c:v>1.9417481829103801E-3</c:v>
                </c:pt>
                <c:pt idx="133">
                  <c:v>1.9417481829103801E-3</c:v>
                </c:pt>
                <c:pt idx="134">
                  <c:v>1.9417481829103801E-3</c:v>
                </c:pt>
                <c:pt idx="135">
                  <c:v>1.9417481829103801E-3</c:v>
                </c:pt>
                <c:pt idx="136">
                  <c:v>1.9417481829103801E-3</c:v>
                </c:pt>
                <c:pt idx="137">
                  <c:v>1.9417481829103801E-3</c:v>
                </c:pt>
                <c:pt idx="138">
                  <c:v>1.9417481829103801E-3</c:v>
                </c:pt>
                <c:pt idx="139">
                  <c:v>1.9417481829103801E-3</c:v>
                </c:pt>
                <c:pt idx="140">
                  <c:v>1.9417481829103801E-3</c:v>
                </c:pt>
                <c:pt idx="141">
                  <c:v>1.9417481829103801E-3</c:v>
                </c:pt>
                <c:pt idx="142">
                  <c:v>1.9417481829103801E-3</c:v>
                </c:pt>
                <c:pt idx="143">
                  <c:v>1.9417481829103801E-3</c:v>
                </c:pt>
                <c:pt idx="144">
                  <c:v>1.9417481829103801E-3</c:v>
                </c:pt>
                <c:pt idx="145">
                  <c:v>1.9417481829103801E-3</c:v>
                </c:pt>
                <c:pt idx="146">
                  <c:v>1.9417481829103801E-3</c:v>
                </c:pt>
                <c:pt idx="147">
                  <c:v>1.9417481829103801E-3</c:v>
                </c:pt>
                <c:pt idx="148">
                  <c:v>1.9417481829103801E-3</c:v>
                </c:pt>
                <c:pt idx="149">
                  <c:v>1.9417481829103801E-3</c:v>
                </c:pt>
                <c:pt idx="150">
                  <c:v>1.9417481829103801E-3</c:v>
                </c:pt>
                <c:pt idx="151">
                  <c:v>1.9417481829103801E-3</c:v>
                </c:pt>
                <c:pt idx="152">
                  <c:v>1.9417481829103801E-3</c:v>
                </c:pt>
                <c:pt idx="153">
                  <c:v>1.9417481829103801E-3</c:v>
                </c:pt>
                <c:pt idx="154">
                  <c:v>1.9417481829103801E-3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1B-43AB-A901-BDA7C7B28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[1]Sheet1!$BC$22:$BC$176</c:f>
              <c:numCache>
                <c:formatCode>General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1.18506828010929E-3</c:v>
                </c:pt>
                <c:pt idx="56">
                  <c:v>1.18506828010929E-3</c:v>
                </c:pt>
                <c:pt idx="57">
                  <c:v>1.18506828010929E-3</c:v>
                </c:pt>
                <c:pt idx="58">
                  <c:v>1.18506828010929E-3</c:v>
                </c:pt>
                <c:pt idx="59">
                  <c:v>1.18506828010929E-3</c:v>
                </c:pt>
                <c:pt idx="60">
                  <c:v>1.18506828010929E-3</c:v>
                </c:pt>
                <c:pt idx="61">
                  <c:v>1.18506828010929E-3</c:v>
                </c:pt>
                <c:pt idx="62">
                  <c:v>1.18506828010929E-3</c:v>
                </c:pt>
                <c:pt idx="63">
                  <c:v>1.18506828010929E-3</c:v>
                </c:pt>
                <c:pt idx="64">
                  <c:v>1.18506828010929E-3</c:v>
                </c:pt>
                <c:pt idx="65">
                  <c:v>1.18506828010929E-3</c:v>
                </c:pt>
                <c:pt idx="66">
                  <c:v>1.18506828010929E-3</c:v>
                </c:pt>
                <c:pt idx="67">
                  <c:v>1.18506828010929E-3</c:v>
                </c:pt>
                <c:pt idx="68">
                  <c:v>1.18506828010929E-3</c:v>
                </c:pt>
                <c:pt idx="69">
                  <c:v>1.18506828010929E-3</c:v>
                </c:pt>
                <c:pt idx="70">
                  <c:v>1.18506828010929E-3</c:v>
                </c:pt>
                <c:pt idx="71">
                  <c:v>1.18506828010929E-3</c:v>
                </c:pt>
                <c:pt idx="72">
                  <c:v>1.18506828010929E-3</c:v>
                </c:pt>
                <c:pt idx="73">
                  <c:v>1.18506828010929E-3</c:v>
                </c:pt>
                <c:pt idx="74">
                  <c:v>1.18506828010929E-3</c:v>
                </c:pt>
                <c:pt idx="75">
                  <c:v>1.18506828010929E-3</c:v>
                </c:pt>
                <c:pt idx="76">
                  <c:v>1.18506828010929E-3</c:v>
                </c:pt>
                <c:pt idx="77">
                  <c:v>1.18506828010929E-3</c:v>
                </c:pt>
                <c:pt idx="78">
                  <c:v>1.18506828010929E-3</c:v>
                </c:pt>
                <c:pt idx="79">
                  <c:v>1.18506828010929E-3</c:v>
                </c:pt>
                <c:pt idx="80">
                  <c:v>1.18506828010929E-3</c:v>
                </c:pt>
                <c:pt idx="81">
                  <c:v>1.18506828010929E-3</c:v>
                </c:pt>
                <c:pt idx="82">
                  <c:v>1.18506828010929E-3</c:v>
                </c:pt>
                <c:pt idx="83">
                  <c:v>1.18506828010929E-3</c:v>
                </c:pt>
                <c:pt idx="84">
                  <c:v>1.18506828010929E-3</c:v>
                </c:pt>
                <c:pt idx="85">
                  <c:v>1.18506828010929E-3</c:v>
                </c:pt>
                <c:pt idx="86">
                  <c:v>1.18506828010929E-3</c:v>
                </c:pt>
                <c:pt idx="87">
                  <c:v>1.18506828010929E-3</c:v>
                </c:pt>
                <c:pt idx="88">
                  <c:v>1.18506828010929E-3</c:v>
                </c:pt>
                <c:pt idx="89">
                  <c:v>1.18506828010929E-3</c:v>
                </c:pt>
                <c:pt idx="90">
                  <c:v>1.18506828010929E-3</c:v>
                </c:pt>
                <c:pt idx="91">
                  <c:v>1.18506828010929E-3</c:v>
                </c:pt>
                <c:pt idx="92">
                  <c:v>1.18506828010929E-3</c:v>
                </c:pt>
                <c:pt idx="93">
                  <c:v>1.18506828010929E-3</c:v>
                </c:pt>
                <c:pt idx="94">
                  <c:v>1.18506828010929E-3</c:v>
                </c:pt>
                <c:pt idx="95">
                  <c:v>1.18506828010929E-3</c:v>
                </c:pt>
                <c:pt idx="96">
                  <c:v>1.18506828010929E-3</c:v>
                </c:pt>
                <c:pt idx="97">
                  <c:v>1.18506828010929E-3</c:v>
                </c:pt>
                <c:pt idx="98">
                  <c:v>1.18506828010929E-3</c:v>
                </c:pt>
                <c:pt idx="99">
                  <c:v>1.18506828010929E-3</c:v>
                </c:pt>
                <c:pt idx="100">
                  <c:v>1.18506828010929E-3</c:v>
                </c:pt>
                <c:pt idx="101">
                  <c:v>1.18506828010929E-3</c:v>
                </c:pt>
                <c:pt idx="102">
                  <c:v>1.18506828010929E-3</c:v>
                </c:pt>
                <c:pt idx="103">
                  <c:v>1.18506828010929E-3</c:v>
                </c:pt>
                <c:pt idx="104">
                  <c:v>1.18506828010929E-3</c:v>
                </c:pt>
                <c:pt idx="105">
                  <c:v>1.18506828010929E-3</c:v>
                </c:pt>
                <c:pt idx="106">
                  <c:v>1.18506828010929E-3</c:v>
                </c:pt>
                <c:pt idx="107">
                  <c:v>1.18506828010929E-3</c:v>
                </c:pt>
                <c:pt idx="108">
                  <c:v>1.18506828010929E-3</c:v>
                </c:pt>
                <c:pt idx="109">
                  <c:v>1.18506828010929E-3</c:v>
                </c:pt>
                <c:pt idx="110">
                  <c:v>1.18506828010929E-3</c:v>
                </c:pt>
                <c:pt idx="111">
                  <c:v>1.18506828010929E-3</c:v>
                </c:pt>
                <c:pt idx="112">
                  <c:v>1.18506828010929E-3</c:v>
                </c:pt>
                <c:pt idx="113">
                  <c:v>1.18506828010929E-3</c:v>
                </c:pt>
                <c:pt idx="114">
                  <c:v>1.18506828010929E-3</c:v>
                </c:pt>
                <c:pt idx="115">
                  <c:v>1.18506828010929E-3</c:v>
                </c:pt>
                <c:pt idx="116">
                  <c:v>1.18506828010929E-3</c:v>
                </c:pt>
                <c:pt idx="117">
                  <c:v>1.18506828010929E-3</c:v>
                </c:pt>
                <c:pt idx="118">
                  <c:v>1.18506828010929E-3</c:v>
                </c:pt>
                <c:pt idx="119">
                  <c:v>1.18506828010929E-3</c:v>
                </c:pt>
                <c:pt idx="120">
                  <c:v>1.18506828010929E-3</c:v>
                </c:pt>
                <c:pt idx="121">
                  <c:v>1.18506828010929E-3</c:v>
                </c:pt>
                <c:pt idx="122">
                  <c:v>1.18506828010929E-3</c:v>
                </c:pt>
                <c:pt idx="123">
                  <c:v>1.18506828010929E-3</c:v>
                </c:pt>
                <c:pt idx="124">
                  <c:v>1.18506828010929E-3</c:v>
                </c:pt>
                <c:pt idx="125">
                  <c:v>1.18506828010929E-3</c:v>
                </c:pt>
                <c:pt idx="126">
                  <c:v>1.18506828010929E-3</c:v>
                </c:pt>
                <c:pt idx="127">
                  <c:v>1.18506828010929E-3</c:v>
                </c:pt>
                <c:pt idx="128">
                  <c:v>1.18506828010929E-3</c:v>
                </c:pt>
                <c:pt idx="129">
                  <c:v>1.18506828010929E-3</c:v>
                </c:pt>
                <c:pt idx="130">
                  <c:v>1.18506828010929E-3</c:v>
                </c:pt>
                <c:pt idx="131">
                  <c:v>1.18506828010929E-3</c:v>
                </c:pt>
                <c:pt idx="132">
                  <c:v>1.18506828010929E-3</c:v>
                </c:pt>
                <c:pt idx="133">
                  <c:v>1.18506828010929E-3</c:v>
                </c:pt>
                <c:pt idx="134">
                  <c:v>1.18506828010929E-3</c:v>
                </c:pt>
                <c:pt idx="135">
                  <c:v>1.18506828010929E-3</c:v>
                </c:pt>
                <c:pt idx="136">
                  <c:v>1.18506828010929E-3</c:v>
                </c:pt>
                <c:pt idx="137">
                  <c:v>1.18506828010929E-3</c:v>
                </c:pt>
                <c:pt idx="138">
                  <c:v>1.18506828010929E-3</c:v>
                </c:pt>
                <c:pt idx="139">
                  <c:v>1.18506828010929E-3</c:v>
                </c:pt>
                <c:pt idx="140">
                  <c:v>1.18506828010929E-3</c:v>
                </c:pt>
                <c:pt idx="141">
                  <c:v>1.18506828010929E-3</c:v>
                </c:pt>
                <c:pt idx="142">
                  <c:v>1.18506828010929E-3</c:v>
                </c:pt>
                <c:pt idx="143">
                  <c:v>1.18506828010929E-3</c:v>
                </c:pt>
                <c:pt idx="144">
                  <c:v>1.18506828010929E-3</c:v>
                </c:pt>
                <c:pt idx="145">
                  <c:v>1.18506828010929E-3</c:v>
                </c:pt>
                <c:pt idx="146">
                  <c:v>1.18506828010929E-3</c:v>
                </c:pt>
                <c:pt idx="147">
                  <c:v>1.18506828010929E-3</c:v>
                </c:pt>
                <c:pt idx="148">
                  <c:v>1.18506828010929E-3</c:v>
                </c:pt>
                <c:pt idx="149">
                  <c:v>1.18506828010929E-3</c:v>
                </c:pt>
                <c:pt idx="150">
                  <c:v>1.18506828010929E-3</c:v>
                </c:pt>
                <c:pt idx="151">
                  <c:v>1.18506828010929E-3</c:v>
                </c:pt>
                <c:pt idx="152">
                  <c:v>1.18506828010929E-3</c:v>
                </c:pt>
                <c:pt idx="153">
                  <c:v>1.18506828010929E-3</c:v>
                </c:pt>
                <c:pt idx="154">
                  <c:v>1.18506828010929E-3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F9-40A7-BB80-17240E67D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[1]Sheet1!$BF$22:$BF$176</c:f>
              <c:numCache>
                <c:formatCode>General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1.9417481829103801E-3</c:v>
                </c:pt>
                <c:pt idx="19">
                  <c:v>1.9417481829103801E-3</c:v>
                </c:pt>
                <c:pt idx="20">
                  <c:v>1.9417481829103801E-3</c:v>
                </c:pt>
                <c:pt idx="21">
                  <c:v>1.9417481829103801E-3</c:v>
                </c:pt>
                <c:pt idx="22">
                  <c:v>1.9417481829103801E-3</c:v>
                </c:pt>
                <c:pt idx="23">
                  <c:v>1.9417481829103801E-3</c:v>
                </c:pt>
                <c:pt idx="24">
                  <c:v>1.9417481829103801E-3</c:v>
                </c:pt>
                <c:pt idx="25">
                  <c:v>1.9417481829103801E-3</c:v>
                </c:pt>
                <c:pt idx="26">
                  <c:v>1.9417481829103801E-3</c:v>
                </c:pt>
                <c:pt idx="27">
                  <c:v>1.9417481829103801E-3</c:v>
                </c:pt>
                <c:pt idx="28">
                  <c:v>1.9417481829103801E-3</c:v>
                </c:pt>
                <c:pt idx="29">
                  <c:v>1.9417481829103801E-3</c:v>
                </c:pt>
                <c:pt idx="30">
                  <c:v>1.9417481829103801E-3</c:v>
                </c:pt>
                <c:pt idx="31">
                  <c:v>1.9417481829103801E-3</c:v>
                </c:pt>
                <c:pt idx="32">
                  <c:v>1.9417481829103801E-3</c:v>
                </c:pt>
                <c:pt idx="33">
                  <c:v>1.9417481829103801E-3</c:v>
                </c:pt>
                <c:pt idx="34">
                  <c:v>1.9417481829103801E-3</c:v>
                </c:pt>
                <c:pt idx="35">
                  <c:v>1.9417481829103801E-3</c:v>
                </c:pt>
                <c:pt idx="36">
                  <c:v>1.9417481829103801E-3</c:v>
                </c:pt>
                <c:pt idx="37">
                  <c:v>1.9417481829103801E-3</c:v>
                </c:pt>
                <c:pt idx="38">
                  <c:v>1.9417481829103801E-3</c:v>
                </c:pt>
                <c:pt idx="39">
                  <c:v>1.9417481829103801E-3</c:v>
                </c:pt>
                <c:pt idx="40">
                  <c:v>1.9417481829103801E-3</c:v>
                </c:pt>
                <c:pt idx="41">
                  <c:v>1.9417481829103801E-3</c:v>
                </c:pt>
                <c:pt idx="42">
                  <c:v>1.9417481829103801E-3</c:v>
                </c:pt>
                <c:pt idx="43">
                  <c:v>1.9417481829103801E-3</c:v>
                </c:pt>
                <c:pt idx="44">
                  <c:v>1.9417481829103801E-3</c:v>
                </c:pt>
                <c:pt idx="45">
                  <c:v>1.9417481829103801E-3</c:v>
                </c:pt>
                <c:pt idx="46">
                  <c:v>1.9417481829103801E-3</c:v>
                </c:pt>
                <c:pt idx="47">
                  <c:v>1.9417481829103801E-3</c:v>
                </c:pt>
                <c:pt idx="48">
                  <c:v>1.9417481829103801E-3</c:v>
                </c:pt>
                <c:pt idx="49">
                  <c:v>1.9417481829103801E-3</c:v>
                </c:pt>
                <c:pt idx="50">
                  <c:v>1.9417481829103801E-3</c:v>
                </c:pt>
                <c:pt idx="51">
                  <c:v>1.9417481829103801E-3</c:v>
                </c:pt>
                <c:pt idx="52">
                  <c:v>1.9417481829103801E-3</c:v>
                </c:pt>
                <c:pt idx="53">
                  <c:v>1.9417481829103801E-3</c:v>
                </c:pt>
                <c:pt idx="54">
                  <c:v>1.9417481829103801E-3</c:v>
                </c:pt>
                <c:pt idx="55">
                  <c:v>3.1268164630196701E-3</c:v>
                </c:pt>
                <c:pt idx="56">
                  <c:v>3.1268164630196701E-3</c:v>
                </c:pt>
                <c:pt idx="57">
                  <c:v>3.1268164630196701E-3</c:v>
                </c:pt>
                <c:pt idx="58">
                  <c:v>3.1268164630196701E-3</c:v>
                </c:pt>
                <c:pt idx="59">
                  <c:v>3.1268164630196701E-3</c:v>
                </c:pt>
                <c:pt idx="60">
                  <c:v>3.1268164630196701E-3</c:v>
                </c:pt>
                <c:pt idx="61">
                  <c:v>3.1268164630196701E-3</c:v>
                </c:pt>
                <c:pt idx="62">
                  <c:v>3.1268164630196701E-3</c:v>
                </c:pt>
                <c:pt idx="63">
                  <c:v>3.1268164630196701E-3</c:v>
                </c:pt>
                <c:pt idx="64">
                  <c:v>3.1268164630196701E-3</c:v>
                </c:pt>
                <c:pt idx="65">
                  <c:v>3.1268164630196701E-3</c:v>
                </c:pt>
                <c:pt idx="66">
                  <c:v>3.1268164630196701E-3</c:v>
                </c:pt>
                <c:pt idx="67">
                  <c:v>3.1268164630196701E-3</c:v>
                </c:pt>
                <c:pt idx="68">
                  <c:v>3.1268164630196701E-3</c:v>
                </c:pt>
                <c:pt idx="69">
                  <c:v>3.1268164630196701E-3</c:v>
                </c:pt>
                <c:pt idx="70">
                  <c:v>3.1268164630196701E-3</c:v>
                </c:pt>
                <c:pt idx="71">
                  <c:v>3.1268164630196701E-3</c:v>
                </c:pt>
                <c:pt idx="72">
                  <c:v>3.1268164630196701E-3</c:v>
                </c:pt>
                <c:pt idx="73">
                  <c:v>3.1268164630196701E-3</c:v>
                </c:pt>
                <c:pt idx="74">
                  <c:v>3.1268164630196701E-3</c:v>
                </c:pt>
                <c:pt idx="75">
                  <c:v>3.1268164630196701E-3</c:v>
                </c:pt>
                <c:pt idx="76">
                  <c:v>3.1268164630196701E-3</c:v>
                </c:pt>
                <c:pt idx="77">
                  <c:v>3.1268164630196701E-3</c:v>
                </c:pt>
                <c:pt idx="78">
                  <c:v>3.1268164630196701E-3</c:v>
                </c:pt>
                <c:pt idx="79">
                  <c:v>3.1268164630196701E-3</c:v>
                </c:pt>
                <c:pt idx="80">
                  <c:v>3.1268164630196701E-3</c:v>
                </c:pt>
                <c:pt idx="81">
                  <c:v>3.1268164630196701E-3</c:v>
                </c:pt>
                <c:pt idx="82">
                  <c:v>3.1268164630196701E-3</c:v>
                </c:pt>
                <c:pt idx="83">
                  <c:v>3.1268164630196701E-3</c:v>
                </c:pt>
                <c:pt idx="84">
                  <c:v>3.1268164630196701E-3</c:v>
                </c:pt>
                <c:pt idx="85">
                  <c:v>3.1268164630196701E-3</c:v>
                </c:pt>
                <c:pt idx="86">
                  <c:v>3.1268164630196701E-3</c:v>
                </c:pt>
                <c:pt idx="87">
                  <c:v>3.1268164630196701E-3</c:v>
                </c:pt>
                <c:pt idx="88">
                  <c:v>3.1268164630196701E-3</c:v>
                </c:pt>
                <c:pt idx="89">
                  <c:v>3.1268164630196701E-3</c:v>
                </c:pt>
                <c:pt idx="90">
                  <c:v>3.1268164630196701E-3</c:v>
                </c:pt>
                <c:pt idx="91">
                  <c:v>3.1268164630196701E-3</c:v>
                </c:pt>
                <c:pt idx="92">
                  <c:v>3.1268164630196701E-3</c:v>
                </c:pt>
                <c:pt idx="93">
                  <c:v>3.1268164630196701E-3</c:v>
                </c:pt>
                <c:pt idx="94">
                  <c:v>3.1268164630196701E-3</c:v>
                </c:pt>
                <c:pt idx="95">
                  <c:v>3.1268164630196701E-3</c:v>
                </c:pt>
                <c:pt idx="96">
                  <c:v>3.1268164630196701E-3</c:v>
                </c:pt>
                <c:pt idx="97">
                  <c:v>3.1268164630196701E-3</c:v>
                </c:pt>
                <c:pt idx="98">
                  <c:v>3.1268164630196701E-3</c:v>
                </c:pt>
                <c:pt idx="99">
                  <c:v>3.1268164630196701E-3</c:v>
                </c:pt>
                <c:pt idx="100">
                  <c:v>3.1268164630196701E-3</c:v>
                </c:pt>
                <c:pt idx="101">
                  <c:v>3.1268164630196701E-3</c:v>
                </c:pt>
                <c:pt idx="102">
                  <c:v>3.1268164630196701E-3</c:v>
                </c:pt>
                <c:pt idx="103">
                  <c:v>3.1268164630196701E-3</c:v>
                </c:pt>
                <c:pt idx="104">
                  <c:v>3.1268164630196701E-3</c:v>
                </c:pt>
                <c:pt idx="105">
                  <c:v>3.1268164630196701E-3</c:v>
                </c:pt>
                <c:pt idx="106">
                  <c:v>3.1268164630196701E-3</c:v>
                </c:pt>
                <c:pt idx="107">
                  <c:v>3.1268164630196701E-3</c:v>
                </c:pt>
                <c:pt idx="108">
                  <c:v>3.1268164630196701E-3</c:v>
                </c:pt>
                <c:pt idx="109">
                  <c:v>3.1268164630196701E-3</c:v>
                </c:pt>
                <c:pt idx="110">
                  <c:v>3.1268164630196701E-3</c:v>
                </c:pt>
                <c:pt idx="111">
                  <c:v>3.1268164630196701E-3</c:v>
                </c:pt>
                <c:pt idx="112">
                  <c:v>3.1268164630196701E-3</c:v>
                </c:pt>
                <c:pt idx="113">
                  <c:v>3.1268164630196701E-3</c:v>
                </c:pt>
                <c:pt idx="114">
                  <c:v>3.1268164630196701E-3</c:v>
                </c:pt>
                <c:pt idx="115">
                  <c:v>3.1268164630196701E-3</c:v>
                </c:pt>
                <c:pt idx="116">
                  <c:v>3.1268164630196701E-3</c:v>
                </c:pt>
                <c:pt idx="117">
                  <c:v>3.1268164630196701E-3</c:v>
                </c:pt>
                <c:pt idx="118">
                  <c:v>3.1268164630196701E-3</c:v>
                </c:pt>
                <c:pt idx="119">
                  <c:v>3.1268164630196701E-3</c:v>
                </c:pt>
                <c:pt idx="120">
                  <c:v>3.1268164630196701E-3</c:v>
                </c:pt>
                <c:pt idx="121">
                  <c:v>3.1268164630196701E-3</c:v>
                </c:pt>
                <c:pt idx="122">
                  <c:v>3.1268164630196701E-3</c:v>
                </c:pt>
                <c:pt idx="123">
                  <c:v>3.1268164630196701E-3</c:v>
                </c:pt>
                <c:pt idx="124">
                  <c:v>3.1268164630196701E-3</c:v>
                </c:pt>
                <c:pt idx="125">
                  <c:v>3.1268164630196701E-3</c:v>
                </c:pt>
                <c:pt idx="126">
                  <c:v>3.1268164630196701E-3</c:v>
                </c:pt>
                <c:pt idx="127">
                  <c:v>3.1268164630196701E-3</c:v>
                </c:pt>
                <c:pt idx="128">
                  <c:v>3.1268164630196701E-3</c:v>
                </c:pt>
                <c:pt idx="129">
                  <c:v>3.1268164630196701E-3</c:v>
                </c:pt>
                <c:pt idx="130">
                  <c:v>3.1268164630196701E-3</c:v>
                </c:pt>
                <c:pt idx="131">
                  <c:v>3.1268164630196701E-3</c:v>
                </c:pt>
                <c:pt idx="132">
                  <c:v>3.1268164630196701E-3</c:v>
                </c:pt>
                <c:pt idx="133">
                  <c:v>3.1268164630196701E-3</c:v>
                </c:pt>
                <c:pt idx="134">
                  <c:v>3.1268164630196701E-3</c:v>
                </c:pt>
                <c:pt idx="135">
                  <c:v>3.1268164630196701E-3</c:v>
                </c:pt>
                <c:pt idx="136">
                  <c:v>3.1268164630196701E-3</c:v>
                </c:pt>
                <c:pt idx="137">
                  <c:v>3.1268164630196701E-3</c:v>
                </c:pt>
                <c:pt idx="138">
                  <c:v>3.1268164630196701E-3</c:v>
                </c:pt>
                <c:pt idx="139">
                  <c:v>3.1268164630196701E-3</c:v>
                </c:pt>
                <c:pt idx="140">
                  <c:v>3.1268164630196701E-3</c:v>
                </c:pt>
                <c:pt idx="141">
                  <c:v>3.1268164630196701E-3</c:v>
                </c:pt>
                <c:pt idx="142">
                  <c:v>3.1268164630196701E-3</c:v>
                </c:pt>
                <c:pt idx="143">
                  <c:v>3.1268164630196701E-3</c:v>
                </c:pt>
                <c:pt idx="144">
                  <c:v>3.1268164630196701E-3</c:v>
                </c:pt>
                <c:pt idx="145">
                  <c:v>3.1268164630196701E-3</c:v>
                </c:pt>
                <c:pt idx="146">
                  <c:v>3.1268164630196701E-3</c:v>
                </c:pt>
                <c:pt idx="147">
                  <c:v>3.1268164630196701E-3</c:v>
                </c:pt>
                <c:pt idx="148">
                  <c:v>3.1268164630196701E-3</c:v>
                </c:pt>
                <c:pt idx="149">
                  <c:v>3.1268164630196701E-3</c:v>
                </c:pt>
                <c:pt idx="150">
                  <c:v>3.1268164630196701E-3</c:v>
                </c:pt>
                <c:pt idx="151">
                  <c:v>3.1268164630196701E-3</c:v>
                </c:pt>
                <c:pt idx="152">
                  <c:v>3.1268164630196701E-3</c:v>
                </c:pt>
                <c:pt idx="153">
                  <c:v>3.1268164630196701E-3</c:v>
                </c:pt>
                <c:pt idx="154">
                  <c:v>3.1268164630196701E-3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32-48DD-9242-B83856CE5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9524</xdr:colOff>
      <xdr:row>1</xdr:row>
      <xdr:rowOff>0</xdr:rowOff>
    </xdr:from>
    <xdr:to>
      <xdr:col>67</xdr:col>
      <xdr:colOff>342899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E93EE4-6E91-4BD4-B9A3-55142FF626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0</xdr:colOff>
      <xdr:row>18</xdr:row>
      <xdr:rowOff>0</xdr:rowOff>
    </xdr:from>
    <xdr:to>
      <xdr:col>75</xdr:col>
      <xdr:colOff>304800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FBF72D-1E0F-40D6-ADA9-D032DE6D5A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0</xdr:colOff>
      <xdr:row>1</xdr:row>
      <xdr:rowOff>0</xdr:rowOff>
    </xdr:from>
    <xdr:to>
      <xdr:col>75</xdr:col>
      <xdr:colOff>304800</xdr:colOff>
      <xdr:row>15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F51051-093F-4968-9C6C-CDA7815F59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9524</xdr:colOff>
      <xdr:row>18</xdr:row>
      <xdr:rowOff>114300</xdr:rowOff>
    </xdr:from>
    <xdr:to>
      <xdr:col>67</xdr:col>
      <xdr:colOff>342899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D96CA74-F939-4D22-B306-3D33430A02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76</xdr:col>
      <xdr:colOff>0</xdr:colOff>
      <xdr:row>1</xdr:row>
      <xdr:rowOff>0</xdr:rowOff>
    </xdr:from>
    <xdr:to>
      <xdr:col>85</xdr:col>
      <xdr:colOff>304800</xdr:colOff>
      <xdr:row>15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836682D-6DBD-4F04-B1FC-14AC29CD39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609599</xdr:colOff>
      <xdr:row>18</xdr:row>
      <xdr:rowOff>0</xdr:rowOff>
    </xdr:from>
    <xdr:to>
      <xdr:col>85</xdr:col>
      <xdr:colOff>304799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0A196C3-8526-46F6-800F-41AEDD2B89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76</xdr:col>
      <xdr:colOff>0</xdr:colOff>
      <xdr:row>35</xdr:row>
      <xdr:rowOff>0</xdr:rowOff>
    </xdr:from>
    <xdr:to>
      <xdr:col>85</xdr:col>
      <xdr:colOff>304800</xdr:colOff>
      <xdr:row>49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494B64F-3968-4278-8DC2-4A848809E0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projects\backtesting\backtests\BSCS_IBDT_2.xlsx" TargetMode="External"/><Relationship Id="rId1" Type="http://schemas.openxmlformats.org/officeDocument/2006/relationships/externalLinkPath" Target="BSCS_IBDT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O1" t="str">
            <v>IBDT/BSCS avg</v>
          </cell>
          <cell r="P1" t="str">
            <v>IBDT/BSCS 10 dma</v>
          </cell>
          <cell r="Q1" t="str">
            <v>IBDT/BSCS 20 dma</v>
          </cell>
          <cell r="U1" t="str">
            <v>log diff BSCS x avg / IBDT</v>
          </cell>
          <cell r="V1" t="str">
            <v>log diff BSCS x 10 dma / IBDT</v>
          </cell>
          <cell r="W1" t="str">
            <v>log diff BSCS x 20 dma / IBDT</v>
          </cell>
          <cell r="Y1" t="str">
            <v>IBDT*/BSCS* avg</v>
          </cell>
          <cell r="Z1" t="str">
            <v>IBDT*/BSCS* 10 dma</v>
          </cell>
          <cell r="AA1" t="str">
            <v>IBDT*/BSCS* 20 dma</v>
          </cell>
          <cell r="AF1" t="str">
            <v>log diff BSCS* x 10 dma / IBDT*</v>
          </cell>
          <cell r="AG1" t="str">
            <v>log diff BSCS* x 20 dma / IBDT*</v>
          </cell>
        </row>
        <row r="2">
          <cell r="O2">
            <v>1.2371344131525399</v>
          </cell>
          <cell r="Y2">
            <v>1.2358474847357901</v>
          </cell>
        </row>
        <row r="3">
          <cell r="O3">
            <v>1.2371344131525399</v>
          </cell>
          <cell r="U3">
            <v>1.5579376968590901E-3</v>
          </cell>
          <cell r="Y3">
            <v>1.2358474847357901</v>
          </cell>
        </row>
        <row r="4">
          <cell r="O4">
            <v>1.2371344131525399</v>
          </cell>
          <cell r="U4">
            <v>1.1653959842618899E-3</v>
          </cell>
          <cell r="Y4">
            <v>1.2358474847357901</v>
          </cell>
        </row>
        <row r="5">
          <cell r="O5">
            <v>1.2371344131525399</v>
          </cell>
          <cell r="U5">
            <v>1.9506335589641701E-3</v>
          </cell>
          <cell r="Y5">
            <v>1.2358474847357901</v>
          </cell>
        </row>
        <row r="6">
          <cell r="O6">
            <v>1.2371344131525399</v>
          </cell>
          <cell r="U6">
            <v>1.37308089841439E-3</v>
          </cell>
          <cell r="Y6">
            <v>1.2358474847357901</v>
          </cell>
        </row>
        <row r="7">
          <cell r="O7">
            <v>1.2371344131525399</v>
          </cell>
          <cell r="U7">
            <v>1.2805306671871599E-3</v>
          </cell>
          <cell r="Y7">
            <v>1.2358474847357901</v>
          </cell>
        </row>
        <row r="8">
          <cell r="O8">
            <v>1.2371344131525399</v>
          </cell>
          <cell r="U8">
            <v>8.8752614257695103E-4</v>
          </cell>
          <cell r="Y8">
            <v>1.2358474847357901</v>
          </cell>
        </row>
        <row r="9">
          <cell r="O9">
            <v>1.2371344131525399</v>
          </cell>
          <cell r="U9">
            <v>1.0728540104126801E-3</v>
          </cell>
          <cell r="Y9">
            <v>1.2358474847357901</v>
          </cell>
        </row>
        <row r="10">
          <cell r="O10">
            <v>1.2371344131525399</v>
          </cell>
          <cell r="U10">
            <v>1.5579376968590901E-3</v>
          </cell>
          <cell r="Y10">
            <v>1.2358474847357901</v>
          </cell>
        </row>
        <row r="11">
          <cell r="O11">
            <v>1.2371344131525399</v>
          </cell>
          <cell r="P11">
            <v>1.23550266146885</v>
          </cell>
          <cell r="U11">
            <v>8.8752614257695103E-4</v>
          </cell>
          <cell r="Y11">
            <v>1.2358474847357901</v>
          </cell>
          <cell r="Z11">
            <v>1.23550266146885</v>
          </cell>
        </row>
        <row r="12">
          <cell r="O12">
            <v>1.2371344131525399</v>
          </cell>
          <cell r="P12">
            <v>1.23550266146885</v>
          </cell>
          <cell r="U12">
            <v>1.4655498725178501E-3</v>
          </cell>
          <cell r="V12">
            <v>1.45702380690385E-4</v>
          </cell>
          <cell r="Y12">
            <v>1.2358474847357901</v>
          </cell>
          <cell r="Z12">
            <v>1.23550266146885</v>
          </cell>
          <cell r="AF12">
            <v>1.45702380690385E-4</v>
          </cell>
        </row>
        <row r="13">
          <cell r="O13">
            <v>1.2371344131525399</v>
          </cell>
          <cell r="P13">
            <v>1.23594673730024</v>
          </cell>
          <cell r="U13">
            <v>-2.0307638662788799E-3</v>
          </cell>
          <cell r="V13">
            <v>-3.3506113581065E-3</v>
          </cell>
          <cell r="Y13">
            <v>1.2358474847357901</v>
          </cell>
          <cell r="Z13">
            <v>1.2354978560362699</v>
          </cell>
          <cell r="AF13">
            <v>2.7699477791069303E-4</v>
          </cell>
        </row>
        <row r="14">
          <cell r="O14">
            <v>1.2371344131525399</v>
          </cell>
          <cell r="P14">
            <v>1.23647670555787</v>
          </cell>
          <cell r="U14">
            <v>-3.1142657882012401E-3</v>
          </cell>
          <cell r="V14">
            <v>-4.0747485797849601E-3</v>
          </cell>
          <cell r="Y14">
            <v>1.2358474847357901</v>
          </cell>
          <cell r="Z14">
            <v>1.2355786743877899</v>
          </cell>
          <cell r="AF14">
            <v>-8.1215952695356305E-4</v>
          </cell>
        </row>
        <row r="15">
          <cell r="O15">
            <v>1.2371344131525399</v>
          </cell>
          <cell r="P15">
            <v>1.2370432780632501</v>
          </cell>
          <cell r="U15">
            <v>-2.62752934636979E-3</v>
          </cell>
          <cell r="V15">
            <v>-3.1593086589650201E-3</v>
          </cell>
          <cell r="Y15">
            <v>1.2358474847357901</v>
          </cell>
          <cell r="Z15">
            <v>1.23569653321928</v>
          </cell>
          <cell r="AF15">
            <v>-2.6177284072075502E-4</v>
          </cell>
        </row>
        <row r="16">
          <cell r="O16">
            <v>1.2371344131525399</v>
          </cell>
          <cell r="P16">
            <v>1.2375989071459701</v>
          </cell>
          <cell r="U16">
            <v>-3.1142657882012401E-3</v>
          </cell>
          <cell r="V16">
            <v>-3.18793478106207E-3</v>
          </cell>
          <cell r="Y16">
            <v>1.2358474847357901</v>
          </cell>
          <cell r="Z16">
            <v>1.2358030123958901</v>
          </cell>
          <cell r="AF16">
            <v>-6.5136506716179305E-4</v>
          </cell>
        </row>
        <row r="17">
          <cell r="O17">
            <v>1.2371344131525399</v>
          </cell>
          <cell r="P17">
            <v>1.23813137454032</v>
          </cell>
          <cell r="U17">
            <v>-3.0197631227262402E-3</v>
          </cell>
          <cell r="V17">
            <v>-2.6443739888115398E-3</v>
          </cell>
          <cell r="Y17">
            <v>1.2358474847357901</v>
          </cell>
          <cell r="Z17">
            <v>1.23588659008117</v>
          </cell>
          <cell r="AF17">
            <v>-4.7245796360962202E-4</v>
          </cell>
        </row>
        <row r="18">
          <cell r="O18">
            <v>1.2371344131525399</v>
          </cell>
          <cell r="P18">
            <v>1.23854324006401</v>
          </cell>
          <cell r="U18">
            <v>-2.43908038944373E-3</v>
          </cell>
          <cell r="V18">
            <v>-1.6335414880059599E-3</v>
          </cell>
          <cell r="Y18">
            <v>1.2358474847357901</v>
          </cell>
          <cell r="Z18">
            <v>1.2358502611037001</v>
          </cell>
          <cell r="AF18">
            <v>1.7233546126199599E-4</v>
          </cell>
        </row>
        <row r="19">
          <cell r="O19">
            <v>1.2371344131525399</v>
          </cell>
          <cell r="P19">
            <v>1.2389177504420801</v>
          </cell>
          <cell r="U19">
            <v>-1.95305364840602E-3</v>
          </cell>
          <cell r="V19">
            <v>-8.1491915685314299E-4</v>
          </cell>
          <cell r="Y19">
            <v>1.2358474847357901</v>
          </cell>
          <cell r="Z19">
            <v>1.23577701165166</v>
          </cell>
          <cell r="AF19">
            <v>6.2721061216547403E-4</v>
          </cell>
        </row>
        <row r="20">
          <cell r="O20">
            <v>1.2371344131525399</v>
          </cell>
          <cell r="P20">
            <v>1.2393405588736599</v>
          </cell>
          <cell r="U20">
            <v>-1.8591893374804299E-3</v>
          </cell>
          <cell r="V20">
            <v>-4.1872081736928101E-4</v>
          </cell>
          <cell r="Y20">
            <v>1.2358474847357901</v>
          </cell>
          <cell r="Z20">
            <v>1.23575231893903</v>
          </cell>
          <cell r="AF20">
            <v>6.6004829366683899E-4</v>
          </cell>
        </row>
        <row r="21">
          <cell r="O21">
            <v>1.2371344131525399</v>
          </cell>
          <cell r="P21">
            <v>1.23971745028574</v>
          </cell>
          <cell r="Q21">
            <v>1.23761005587729</v>
          </cell>
          <cell r="U21">
            <v>-2.1570267094470599E-3</v>
          </cell>
          <cell r="V21">
            <v>-3.7534401154702002E-4</v>
          </cell>
          <cell r="Y21">
            <v>1.2358474847357901</v>
          </cell>
          <cell r="Z21">
            <v>1.2356817924185699</v>
          </cell>
          <cell r="AA21">
            <v>1.2355922269437101</v>
          </cell>
          <cell r="AF21">
            <v>3.40476512893816E-4</v>
          </cell>
        </row>
        <row r="22">
          <cell r="O22">
            <v>1.2371344131525399</v>
          </cell>
          <cell r="P22">
            <v>1.23974030824193</v>
          </cell>
          <cell r="Q22">
            <v>1.2376214848553899</v>
          </cell>
          <cell r="U22">
            <v>1.2805306671871599E-3</v>
          </cell>
          <cell r="V22">
            <v>3.3662735472956801E-3</v>
          </cell>
          <cell r="W22">
            <v>1.6649281163499099E-3</v>
          </cell>
          <cell r="Y22">
            <v>1.2358474847357901</v>
          </cell>
          <cell r="Z22">
            <v>1.23571102127698</v>
          </cell>
          <cell r="AA22">
            <v>1.23560684137291</v>
          </cell>
          <cell r="AF22">
            <v>5.4097049536139297E-5</v>
          </cell>
          <cell r="AG22">
            <v>-1.83882145029226E-5</v>
          </cell>
          <cell r="AR22">
            <v>0</v>
          </cell>
          <cell r="BC22">
            <v>0</v>
          </cell>
          <cell r="BF22">
            <v>0</v>
          </cell>
        </row>
        <row r="23">
          <cell r="O23">
            <v>1.2371344131525399</v>
          </cell>
          <cell r="P23">
            <v>1.2393419483552099</v>
          </cell>
          <cell r="Q23">
            <v>1.2376443428277299</v>
          </cell>
          <cell r="U23">
            <v>1.18789907128589E-3</v>
          </cell>
          <cell r="V23">
            <v>3.2920798183878499E-3</v>
          </cell>
          <cell r="W23">
            <v>1.58153119437977E-3</v>
          </cell>
          <cell r="Y23">
            <v>1.2358474847357901</v>
          </cell>
          <cell r="Z23">
            <v>1.23576787529623</v>
          </cell>
          <cell r="AA23">
            <v>1.2356328656662501</v>
          </cell>
          <cell r="AF23">
            <v>-1.4566400194726E-5</v>
          </cell>
          <cell r="AG23">
            <v>-9.8877613821869495E-5</v>
          </cell>
          <cell r="AR23">
            <v>0</v>
          </cell>
          <cell r="BC23">
            <v>0</v>
          </cell>
          <cell r="BF23">
            <v>0</v>
          </cell>
        </row>
        <row r="24">
          <cell r="O24">
            <v>1.2371344131525399</v>
          </cell>
          <cell r="P24">
            <v>1.2388463210642899</v>
          </cell>
          <cell r="Q24">
            <v>1.23766151331108</v>
          </cell>
          <cell r="U24">
            <v>8.8752614257695103E-4</v>
          </cell>
          <cell r="V24">
            <v>2.6703299857194201E-3</v>
          </cell>
          <cell r="W24">
            <v>1.29962737075664E-3</v>
          </cell>
          <cell r="Y24">
            <v>1.2358474847357901</v>
          </cell>
          <cell r="Z24">
            <v>1.2357275934605301</v>
          </cell>
          <cell r="AA24">
            <v>1.2356531339241601</v>
          </cell>
          <cell r="AF24">
            <v>-2.6780676574755802E-4</v>
          </cell>
          <cell r="AG24">
            <v>-3.77064344153697E-4</v>
          </cell>
          <cell r="AR24">
            <v>0</v>
          </cell>
          <cell r="BC24">
            <v>0</v>
          </cell>
          <cell r="BF24">
            <v>0</v>
          </cell>
        </row>
        <row r="25">
          <cell r="O25">
            <v>1.2371344131525399</v>
          </cell>
          <cell r="P25">
            <v>1.2383767417693901</v>
          </cell>
          <cell r="Q25">
            <v>1.2377100099163201</v>
          </cell>
          <cell r="U25">
            <v>1.1653959842618899E-3</v>
          </cell>
          <cell r="V25">
            <v>2.5482081854054199E-3</v>
          </cell>
          <cell r="W25">
            <v>1.59137063604929E-3</v>
          </cell>
          <cell r="Y25">
            <v>1.2358474847357901</v>
          </cell>
          <cell r="Z25">
            <v>1.23571303821626</v>
          </cell>
          <cell r="AA25">
            <v>1.2357047857177701</v>
          </cell>
          <cell r="AF25">
            <v>-2.34771978753548E-5</v>
          </cell>
          <cell r="AG25">
            <v>-8.3734636618434301E-5</v>
          </cell>
          <cell r="AR25">
            <v>0</v>
          </cell>
          <cell r="BC25">
            <v>0</v>
          </cell>
          <cell r="BF25">
            <v>0</v>
          </cell>
        </row>
        <row r="26">
          <cell r="O26">
            <v>1.2371344131525399</v>
          </cell>
          <cell r="P26">
            <v>1.2378353487177001</v>
          </cell>
          <cell r="Q26">
            <v>1.23771712793184</v>
          </cell>
          <cell r="U26">
            <v>1.2578567945471201E-3</v>
          </cell>
          <cell r="V26">
            <v>2.2615515011308799E-3</v>
          </cell>
          <cell r="W26">
            <v>1.7230147404689799E-3</v>
          </cell>
          <cell r="Y26">
            <v>1.2358474847357901</v>
          </cell>
          <cell r="Z26">
            <v>1.23562714356938</v>
          </cell>
          <cell r="AA26">
            <v>1.23571507798264</v>
          </cell>
          <cell r="AF26">
            <v>5.6891618532355801E-5</v>
          </cell>
          <cell r="AG26">
            <v>5.02132670107245E-5</v>
          </cell>
          <cell r="AR26">
            <v>0</v>
          </cell>
          <cell r="BC26">
            <v>0</v>
          </cell>
          <cell r="BF26">
            <v>0</v>
          </cell>
        </row>
        <row r="27">
          <cell r="O27">
            <v>1.2371344131525399</v>
          </cell>
          <cell r="P27">
            <v>1.23735415592569</v>
          </cell>
          <cell r="Q27">
            <v>1.237742765233</v>
          </cell>
          <cell r="U27">
            <v>8.6562301819050795E-4</v>
          </cell>
          <cell r="V27">
            <v>1.4320425314316499E-3</v>
          </cell>
          <cell r="W27">
            <v>1.3365319033442E-3</v>
          </cell>
          <cell r="Y27">
            <v>1.2358474847357901</v>
          </cell>
          <cell r="Z27">
            <v>1.2356010143101199</v>
          </cell>
          <cell r="AA27">
            <v>1.2357438021956499</v>
          </cell>
          <cell r="AF27">
            <v>-4.0342153108595402E-4</v>
          </cell>
          <cell r="AG27">
            <v>-3.3225824781026898E-4</v>
          </cell>
          <cell r="AR27">
            <v>0</v>
          </cell>
          <cell r="BC27">
            <v>0</v>
          </cell>
          <cell r="BF27">
            <v>0</v>
          </cell>
        </row>
        <row r="28">
          <cell r="O28">
            <v>1.2371344131525399</v>
          </cell>
          <cell r="P28">
            <v>1.2368366613053099</v>
          </cell>
          <cell r="Q28">
            <v>1.2376899506846599</v>
          </cell>
          <cell r="U28">
            <v>1.74247032474855E-3</v>
          </cell>
          <cell r="V28">
            <v>1.9200769433207301E-3</v>
          </cell>
          <cell r="W28">
            <v>2.2340923721216998E-3</v>
          </cell>
          <cell r="Y28">
            <v>1.2358474847357901</v>
          </cell>
          <cell r="Z28">
            <v>1.23553827524096</v>
          </cell>
          <cell r="AA28">
            <v>1.23569426817233</v>
          </cell>
          <cell r="AF28">
            <v>4.4909985836431398E-4</v>
          </cell>
          <cell r="AG28">
            <v>5.6465466458250398E-4</v>
          </cell>
          <cell r="AR28">
            <v>0</v>
          </cell>
          <cell r="BC28">
            <v>0</v>
          </cell>
          <cell r="BF28">
            <v>0</v>
          </cell>
        </row>
        <row r="29">
          <cell r="O29">
            <v>1.2371344131525399</v>
          </cell>
          <cell r="P29">
            <v>1.2364392902524699</v>
          </cell>
          <cell r="Q29">
            <v>1.23767852034728</v>
          </cell>
          <cell r="U29">
            <v>1.2578567945471201E-3</v>
          </cell>
          <cell r="V29">
            <v>1.01714917129458E-3</v>
          </cell>
          <cell r="W29">
            <v>1.70680787937577E-3</v>
          </cell>
          <cell r="Y29">
            <v>1.2358474847357901</v>
          </cell>
          <cell r="Z29">
            <v>1.2355950125169299</v>
          </cell>
          <cell r="AA29">
            <v>1.2356860120842901</v>
          </cell>
          <cell r="AF29">
            <v>-8.4545211173387897E-5</v>
          </cell>
          <cell r="AG29">
            <v>4.1701856908027703E-5</v>
          </cell>
          <cell r="AR29">
            <v>0</v>
          </cell>
          <cell r="BC29">
            <v>0</v>
          </cell>
          <cell r="BF29">
            <v>0</v>
          </cell>
        </row>
        <row r="30">
          <cell r="O30">
            <v>1.2371344131525399</v>
          </cell>
          <cell r="P30">
            <v>1.2360421399085399</v>
          </cell>
          <cell r="Q30">
            <v>1.2376913493910999</v>
          </cell>
          <cell r="U30">
            <v>1.3502365483922601E-3</v>
          </cell>
          <cell r="V30">
            <v>7.8819716592796497E-4</v>
          </cell>
          <cell r="W30">
            <v>1.7899523718691601E-3</v>
          </cell>
          <cell r="Y30">
            <v>1.2358474847357901</v>
          </cell>
          <cell r="Z30">
            <v>1.2356517498611801</v>
          </cell>
          <cell r="AA30">
            <v>1.2357020344001</v>
          </cell>
          <cell r="AF30">
            <v>5.3441914206455599E-5</v>
          </cell>
          <cell r="AG30">
            <v>1.27087579351125E-4</v>
          </cell>
          <cell r="AR30">
            <v>0</v>
          </cell>
          <cell r="BC30">
            <v>0</v>
          </cell>
          <cell r="BF30">
            <v>0</v>
          </cell>
        </row>
        <row r="31">
          <cell r="O31">
            <v>1.2371344131525399</v>
          </cell>
          <cell r="P31">
            <v>1.2356336774229899</v>
          </cell>
          <cell r="Q31">
            <v>1.2376755638543699</v>
          </cell>
          <cell r="U31">
            <v>1.1429805375105799E-3</v>
          </cell>
          <cell r="V31">
            <v>2.59684669561714E-4</v>
          </cell>
          <cell r="W31">
            <v>1.59306171606809E-3</v>
          </cell>
          <cell r="Y31">
            <v>1.2358474847357901</v>
          </cell>
          <cell r="Z31">
            <v>1.2356969935443001</v>
          </cell>
          <cell r="AA31">
            <v>1.2356893929814401</v>
          </cell>
          <cell r="AF31">
            <v>-1.07089883378466E-4</v>
          </cell>
          <cell r="AG31">
            <v>-6.6395961487713506E-5</v>
          </cell>
          <cell r="AR31">
            <v>0</v>
          </cell>
          <cell r="BC31">
            <v>0</v>
          </cell>
          <cell r="BF31">
            <v>0</v>
          </cell>
        </row>
        <row r="32">
          <cell r="O32">
            <v>1.2371344131525399</v>
          </cell>
          <cell r="P32">
            <v>1.2356022709046399</v>
          </cell>
          <cell r="Q32">
            <v>1.23767128957328</v>
          </cell>
          <cell r="U32">
            <v>1.5347533143141099E-3</v>
          </cell>
          <cell r="V32">
            <v>3.2094283243088199E-4</v>
          </cell>
          <cell r="W32">
            <v>1.9720803943581301E-3</v>
          </cell>
          <cell r="Y32">
            <v>1.2358474847357901</v>
          </cell>
          <cell r="Z32">
            <v>1.23566567852885</v>
          </cell>
          <cell r="AA32">
            <v>1.2356883499029201</v>
          </cell>
          <cell r="AF32">
            <v>3.1986759044605901E-4</v>
          </cell>
          <cell r="AG32">
            <v>3.1371674094331198E-4</v>
          </cell>
          <cell r="AR32">
            <v>0</v>
          </cell>
          <cell r="BC32">
            <v>0</v>
          </cell>
          <cell r="BF32">
            <v>0</v>
          </cell>
        </row>
        <row r="33">
          <cell r="O33">
            <v>1.2371344131525399</v>
          </cell>
          <cell r="P33">
            <v>1.23555941874787</v>
          </cell>
          <cell r="Q33">
            <v>1.23745068355154</v>
          </cell>
          <cell r="U33">
            <v>1.5347533143141099E-3</v>
          </cell>
          <cell r="V33">
            <v>2.9552517178215701E-4</v>
          </cell>
          <cell r="W33">
            <v>1.9686269138235999E-3</v>
          </cell>
          <cell r="Y33">
            <v>1.2358474847357901</v>
          </cell>
          <cell r="Z33">
            <v>1.2356229561352301</v>
          </cell>
          <cell r="AA33">
            <v>1.2356954157157301</v>
          </cell>
          <cell r="AF33">
            <v>2.9452528370888198E-4</v>
          </cell>
          <cell r="AG33">
            <v>3.1287261379823702E-4</v>
          </cell>
          <cell r="AR33">
            <v>0</v>
          </cell>
          <cell r="BC33">
            <v>0</v>
          </cell>
          <cell r="BF33">
            <v>0</v>
          </cell>
        </row>
        <row r="34">
          <cell r="O34">
            <v>1.2371344131525399</v>
          </cell>
          <cell r="P34">
            <v>1.23553926274464</v>
          </cell>
          <cell r="Q34">
            <v>1.2371927919044601</v>
          </cell>
          <cell r="U34">
            <v>1.0506090298632901E-3</v>
          </cell>
          <cell r="V34">
            <v>-2.23300903787572E-4</v>
          </cell>
          <cell r="W34">
            <v>1.30622392154356E-3</v>
          </cell>
          <cell r="Y34">
            <v>1.2358474847357901</v>
          </cell>
          <cell r="Z34">
            <v>1.2356028547581801</v>
          </cell>
          <cell r="AA34">
            <v>1.23566522410936</v>
          </cell>
          <cell r="AF34">
            <v>-2.2245146186229399E-4</v>
          </cell>
          <cell r="AG34">
            <v>-1.6381103628962599E-4</v>
          </cell>
          <cell r="AR34">
            <v>0</v>
          </cell>
          <cell r="BC34">
            <v>0</v>
          </cell>
          <cell r="BF34">
            <v>0</v>
          </cell>
        </row>
        <row r="35">
          <cell r="O35">
            <v>1.2371344131525399</v>
          </cell>
          <cell r="P35">
            <v>1.2355420326378701</v>
          </cell>
          <cell r="Q35">
            <v>1.23695938720363</v>
          </cell>
          <cell r="U35">
            <v>1.1429805375105799E-3</v>
          </cell>
          <cell r="V35">
            <v>-1.47242790164321E-4</v>
          </cell>
          <cell r="W35">
            <v>1.1901681138462899E-3</v>
          </cell>
          <cell r="Y35">
            <v>1.2358474847357901</v>
          </cell>
          <cell r="Z35">
            <v>1.23560560251081</v>
          </cell>
          <cell r="AA35">
            <v>1.23565932036354</v>
          </cell>
          <cell r="AF35">
            <v>-1.46660960280617E-4</v>
          </cell>
          <cell r="AG35">
            <v>-9.6185375116831099E-5</v>
          </cell>
          <cell r="AR35">
            <v>0</v>
          </cell>
          <cell r="BC35">
            <v>0</v>
          </cell>
          <cell r="BF35">
            <v>0</v>
          </cell>
        </row>
        <row r="36">
          <cell r="O36">
            <v>1.2371344131525399</v>
          </cell>
          <cell r="P36">
            <v>1.2360734710552601</v>
          </cell>
          <cell r="Q36">
            <v>1.23695440988648</v>
          </cell>
          <cell r="U36">
            <v>-3.03404751060481E-3</v>
          </cell>
          <cell r="V36">
            <v>-4.3220289911680204E-3</v>
          </cell>
          <cell r="W36">
            <v>-3.17553442527002E-3</v>
          </cell>
          <cell r="Y36">
            <v>1.2358474847357901</v>
          </cell>
          <cell r="Z36">
            <v>1.2357005685881</v>
          </cell>
          <cell r="AA36">
            <v>1.2356638560787401</v>
          </cell>
          <cell r="AF36">
            <v>-7.9831535745572199E-4</v>
          </cell>
          <cell r="AG36">
            <v>-7.5484138407730795E-4</v>
          </cell>
          <cell r="AR36">
            <v>0</v>
          </cell>
          <cell r="BC36">
            <v>0</v>
          </cell>
          <cell r="BF36">
            <v>0</v>
          </cell>
        </row>
        <row r="37">
          <cell r="O37">
            <v>1.2371344131525399</v>
          </cell>
          <cell r="P37">
            <v>1.23651955074051</v>
          </cell>
          <cell r="Q37">
            <v>1.2369368533331</v>
          </cell>
          <cell r="U37">
            <v>-2.7367527480784502E-3</v>
          </cell>
          <cell r="V37">
            <v>-3.5947009772838798E-3</v>
          </cell>
          <cell r="W37">
            <v>-2.8822635031489599E-3</v>
          </cell>
          <cell r="Y37">
            <v>1.2358474847357901</v>
          </cell>
          <cell r="Z37">
            <v>1.2357104050985901</v>
          </cell>
          <cell r="AA37">
            <v>1.2356557097043499</v>
          </cell>
          <cell r="AF37">
            <v>-4.2357217378522199E-4</v>
          </cell>
          <cell r="AG37">
            <v>-4.53282490075833E-4</v>
          </cell>
          <cell r="AR37">
            <v>0</v>
          </cell>
          <cell r="BC37">
            <v>0</v>
          </cell>
          <cell r="BF37">
            <v>0</v>
          </cell>
        </row>
        <row r="38">
          <cell r="O38">
            <v>1.2371344131525399</v>
          </cell>
          <cell r="P38">
            <v>1.2371225577240299</v>
          </cell>
          <cell r="Q38">
            <v>1.2369796095146699</v>
          </cell>
          <cell r="U38">
            <v>-3.1283720990791502E-3</v>
          </cell>
          <cell r="V38">
            <v>-3.6255009891072998E-3</v>
          </cell>
          <cell r="W38">
            <v>-3.2880763263071901E-3</v>
          </cell>
          <cell r="Y38">
            <v>1.2358474847357901</v>
          </cell>
          <cell r="Z38">
            <v>1.23587643652955</v>
          </cell>
          <cell r="AA38">
            <v>1.23570735588526</v>
          </cell>
          <cell r="AF38">
            <v>-8.0580253304792199E-4</v>
          </cell>
          <cell r="AG38">
            <v>-8.5006582039564703E-4</v>
          </cell>
          <cell r="AR38">
            <v>0</v>
          </cell>
          <cell r="BC38">
            <v>0</v>
          </cell>
          <cell r="BF38">
            <v>0</v>
          </cell>
        </row>
        <row r="39">
          <cell r="O39">
            <v>1.2371344131525399</v>
          </cell>
          <cell r="P39">
            <v>1.2377142922365501</v>
          </cell>
          <cell r="Q39">
            <v>1.23707679124451</v>
          </cell>
          <cell r="U39">
            <v>-3.5198381443994099E-3</v>
          </cell>
          <cell r="V39">
            <v>-3.5294211656007801E-3</v>
          </cell>
          <cell r="W39">
            <v>-3.6449767893034402E-3</v>
          </cell>
          <cell r="Y39">
            <v>1.2358474847357901</v>
          </cell>
          <cell r="Z39">
            <v>1.23603106288945</v>
          </cell>
          <cell r="AA39">
            <v>1.23581303770319</v>
          </cell>
          <cell r="AF39">
            <v>-1.06148884968357E-3</v>
          </cell>
          <cell r="AG39">
            <v>-1.19830852383646E-3</v>
          </cell>
          <cell r="AR39">
            <v>0</v>
          </cell>
          <cell r="BC39">
            <v>0</v>
          </cell>
          <cell r="BF39">
            <v>0</v>
          </cell>
        </row>
        <row r="40">
          <cell r="O40">
            <v>1.2371344131525399</v>
          </cell>
          <cell r="P40">
            <v>1.2380766069908</v>
          </cell>
          <cell r="Q40">
            <v>1.23705937344967</v>
          </cell>
          <cell r="U40">
            <v>-1.5780899614889301E-3</v>
          </cell>
          <cell r="V40">
            <v>-1.1094721479150999E-3</v>
          </cell>
          <cell r="W40">
            <v>-1.6246679641579E-3</v>
          </cell>
          <cell r="Y40">
            <v>1.2358474847357901</v>
          </cell>
          <cell r="Z40">
            <v>1.2359587685342599</v>
          </cell>
          <cell r="AA40">
            <v>1.23580525919772</v>
          </cell>
          <cell r="AF40">
            <v>9.9158687753188291E-4</v>
          </cell>
          <cell r="AG40">
            <v>8.1517997001476596E-4</v>
          </cell>
          <cell r="AR40">
            <v>1.9417481829103801E-3</v>
          </cell>
          <cell r="BC40">
            <v>0</v>
          </cell>
          <cell r="BF40">
            <v>1.9417481829103801E-3</v>
          </cell>
        </row>
        <row r="41">
          <cell r="O41">
            <v>1.2371344131525399</v>
          </cell>
          <cell r="P41">
            <v>1.2380110435329399</v>
          </cell>
          <cell r="Q41">
            <v>1.23682236047797</v>
          </cell>
          <cell r="U41">
            <v>1.6736897050803499E-3</v>
          </cell>
          <cell r="V41">
            <v>2.43499359076628E-3</v>
          </cell>
          <cell r="W41">
            <v>1.6130318024544499E-3</v>
          </cell>
          <cell r="Y41">
            <v>1.2358474847357901</v>
          </cell>
          <cell r="Z41">
            <v>1.23590951048824</v>
          </cell>
          <cell r="AA41">
            <v>1.2358032520162701</v>
          </cell>
          <cell r="AF41">
            <v>5.4002321817783999E-4</v>
          </cell>
          <cell r="AG41">
            <v>4.1581286879433898E-4</v>
          </cell>
          <cell r="AR41">
            <v>1.9417481829103801E-3</v>
          </cell>
          <cell r="BC41">
            <v>0</v>
          </cell>
          <cell r="BF41">
            <v>1.9417481829103801E-3</v>
          </cell>
        </row>
        <row r="42">
          <cell r="O42">
            <v>1.2371344131525399</v>
          </cell>
          <cell r="P42">
            <v>1.23810248655462</v>
          </cell>
          <cell r="Q42">
            <v>1.2368523787296299</v>
          </cell>
          <cell r="U42">
            <v>7.9474003339268103E-4</v>
          </cell>
          <cell r="V42">
            <v>1.50308661939729E-3</v>
          </cell>
          <cell r="W42">
            <v>5.4246992135660501E-4</v>
          </cell>
          <cell r="Y42">
            <v>1.2358474847357901</v>
          </cell>
          <cell r="Z42">
            <v>1.23601632421716</v>
          </cell>
          <cell r="AA42">
            <v>1.2358410013730099</v>
          </cell>
          <cell r="AF42">
            <v>-3.7246933409692097E-4</v>
          </cell>
          <cell r="AG42">
            <v>-4.5844896218953798E-4</v>
          </cell>
          <cell r="AR42">
            <v>1.9417481829103801E-3</v>
          </cell>
          <cell r="BC42">
            <v>0</v>
          </cell>
          <cell r="BF42">
            <v>1.9417481829103801E-3</v>
          </cell>
        </row>
        <row r="43">
          <cell r="O43">
            <v>1.2371344131525399</v>
          </cell>
          <cell r="P43">
            <v>1.23821690152217</v>
          </cell>
          <cell r="Q43">
            <v>1.2368881601350199</v>
          </cell>
          <cell r="U43">
            <v>6.08922925066956E-4</v>
          </cell>
          <cell r="V43">
            <v>1.3911296314693599E-3</v>
          </cell>
          <cell r="W43">
            <v>3.8092298177118102E-4</v>
          </cell>
          <cell r="Y43">
            <v>1.2358474847357901</v>
          </cell>
          <cell r="Z43">
            <v>1.2361459676470701</v>
          </cell>
          <cell r="AA43">
            <v>1.23588446189115</v>
          </cell>
          <cell r="AF43">
            <v>-4.7068187343918299E-4</v>
          </cell>
          <cell r="AG43">
            <v>-6.1253702230305298E-4</v>
          </cell>
          <cell r="AR43">
            <v>1.9417481829103801E-3</v>
          </cell>
          <cell r="BC43">
            <v>0</v>
          </cell>
          <cell r="BF43">
            <v>1.9417481829103801E-3</v>
          </cell>
        </row>
        <row r="44">
          <cell r="O44">
            <v>1.2371344131525399</v>
          </cell>
          <cell r="P44">
            <v>1.2381742224443399</v>
          </cell>
          <cell r="Q44">
            <v>1.2368567425944901</v>
          </cell>
          <cell r="U44">
            <v>1.3960146618839701E-3</v>
          </cell>
          <cell r="V44">
            <v>2.2706286467513801E-3</v>
          </cell>
          <cell r="W44">
            <v>1.1969437067600099E-3</v>
          </cell>
          <cell r="Y44">
            <v>1.2358474847357901</v>
          </cell>
          <cell r="Z44">
            <v>1.2361194209031601</v>
          </cell>
          <cell r="AA44">
            <v>1.2358611378306701</v>
          </cell>
          <cell r="AF44">
            <v>4.1555688055631599E-4</v>
          </cell>
          <cell r="AG44">
            <v>2.0398524796525001E-4</v>
          </cell>
          <cell r="AR44">
            <v>1.9417481829103801E-3</v>
          </cell>
          <cell r="BC44">
            <v>0</v>
          </cell>
          <cell r="BF44">
            <v>1.9417481829103801E-3</v>
          </cell>
        </row>
        <row r="45">
          <cell r="O45">
            <v>1.2371344131525399</v>
          </cell>
          <cell r="P45">
            <v>1.23813151417033</v>
          </cell>
          <cell r="Q45">
            <v>1.2368367734040999</v>
          </cell>
          <cell r="U45">
            <v>1.4886544322037299E-3</v>
          </cell>
          <cell r="V45">
            <v>2.3287996472375E-3</v>
          </cell>
          <cell r="W45">
            <v>1.2641826845418099E-3</v>
          </cell>
          <cell r="Y45">
            <v>1.2358474847357901</v>
          </cell>
          <cell r="Z45">
            <v>1.2360928774287601</v>
          </cell>
          <cell r="AA45">
            <v>1.23584923996979</v>
          </cell>
          <cell r="AF45">
            <v>4.8613340114294002E-4</v>
          </cell>
          <cell r="AG45">
            <v>2.77164869802665E-4</v>
          </cell>
          <cell r="AR45">
            <v>1.9417481829103801E-3</v>
          </cell>
          <cell r="BC45">
            <v>0</v>
          </cell>
          <cell r="BF45">
            <v>1.9417481829103801E-3</v>
          </cell>
        </row>
        <row r="46">
          <cell r="O46">
            <v>1.2371344131525399</v>
          </cell>
          <cell r="P46">
            <v>1.23766879114045</v>
          </cell>
          <cell r="Q46">
            <v>1.23687113109785</v>
          </cell>
          <cell r="U46">
            <v>7.0187233024821504E-4</v>
          </cell>
          <cell r="V46">
            <v>1.5075240064680599E-3</v>
          </cell>
          <cell r="W46">
            <v>4.6125534045101101E-4</v>
          </cell>
          <cell r="Y46">
            <v>1.2358474847357901</v>
          </cell>
          <cell r="Z46">
            <v>1.2360820403042301</v>
          </cell>
          <cell r="AA46">
            <v>1.2358913044461699</v>
          </cell>
          <cell r="AF46">
            <v>-3.1639105135781699E-4</v>
          </cell>
          <cell r="AG46">
            <v>-5.1351335292738399E-4</v>
          </cell>
          <cell r="AR46">
            <v>1.9417481829103801E-3</v>
          </cell>
          <cell r="BC46">
            <v>0</v>
          </cell>
          <cell r="BF46">
            <v>1.9417481829103801E-3</v>
          </cell>
        </row>
        <row r="47">
          <cell r="O47">
            <v>1.2371344131525399</v>
          </cell>
          <cell r="P47">
            <v>1.23716862444186</v>
          </cell>
          <cell r="Q47">
            <v>1.2368440875911799</v>
          </cell>
          <cell r="U47">
            <v>1.30329332506713E-3</v>
          </cell>
          <cell r="V47">
            <v>1.7351482663285299E-3</v>
          </cell>
          <cell r="W47">
            <v>1.09045463010795E-3</v>
          </cell>
          <cell r="Y47">
            <v>1.2358474847357901</v>
          </cell>
          <cell r="Z47">
            <v>1.23603425479204</v>
          </cell>
          <cell r="AA47">
            <v>1.23587232994531</v>
          </cell>
          <cell r="AF47">
            <v>2.7170787026942498E-4</v>
          </cell>
          <cell r="AG47">
            <v>1.1738916869671201E-4</v>
          </cell>
          <cell r="AR47">
            <v>1.9417481829103801E-3</v>
          </cell>
          <cell r="BC47">
            <v>0</v>
          </cell>
          <cell r="BF47">
            <v>1.9417481829103801E-3</v>
          </cell>
        </row>
        <row r="48">
          <cell r="O48">
            <v>1.2371344131525399</v>
          </cell>
          <cell r="P48">
            <v>1.23671455690553</v>
          </cell>
          <cell r="Q48">
            <v>1.2369185573147801</v>
          </cell>
          <cell r="U48">
            <v>5.3719061467470404E-4</v>
          </cell>
          <cell r="V48">
            <v>5.6484388818371298E-4</v>
          </cell>
          <cell r="W48">
            <v>3.0248723095486601E-4</v>
          </cell>
          <cell r="Y48">
            <v>1.2358474847357901</v>
          </cell>
          <cell r="Z48">
            <v>1.23603228191449</v>
          </cell>
          <cell r="AA48">
            <v>1.2359543592220199</v>
          </cell>
          <cell r="AF48">
            <v>-5.2780834890259502E-4</v>
          </cell>
          <cell r="AG48">
            <v>-6.5882045749689395E-4</v>
          </cell>
          <cell r="AR48">
            <v>1.9417481829103801E-3</v>
          </cell>
          <cell r="BC48">
            <v>0</v>
          </cell>
          <cell r="BF48">
            <v>1.9417481829103801E-3</v>
          </cell>
        </row>
        <row r="49">
          <cell r="O49">
            <v>1.2371344131525399</v>
          </cell>
          <cell r="P49">
            <v>1.2361230593094299</v>
          </cell>
          <cell r="Q49">
            <v>1.23691867577299</v>
          </cell>
          <cell r="U49">
            <v>1.2559393442344599E-3</v>
          </cell>
          <cell r="V49">
            <v>9.1650370679568398E-4</v>
          </cell>
          <cell r="W49">
            <v>1.08144361525774E-3</v>
          </cell>
          <cell r="Y49">
            <v>1.2358474847357901</v>
          </cell>
          <cell r="Z49">
            <v>1.23589391145059</v>
          </cell>
          <cell r="AA49">
            <v>1.2359624871700201</v>
          </cell>
          <cell r="AF49">
            <v>1.8365644724749699E-4</v>
          </cell>
          <cell r="AG49">
            <v>1.20611856959575E-4</v>
          </cell>
          <cell r="AR49">
            <v>1.9417481829103801E-3</v>
          </cell>
          <cell r="BC49">
            <v>0</v>
          </cell>
          <cell r="BF49">
            <v>1.9417481829103801E-3</v>
          </cell>
        </row>
        <row r="50">
          <cell r="O50">
            <v>1.2371344131525399</v>
          </cell>
          <cell r="P50">
            <v>1.2357839150788601</v>
          </cell>
          <cell r="Q50">
            <v>1.2369302610348301</v>
          </cell>
          <cell r="U50">
            <v>1.1627091881183901E-3</v>
          </cell>
          <cell r="V50">
            <v>3.4487771626814598E-4</v>
          </cell>
          <cell r="W50">
            <v>9.8830922793655802E-4</v>
          </cell>
          <cell r="Y50">
            <v>1.2358474847357901</v>
          </cell>
          <cell r="Z50">
            <v>1.23600528577854</v>
          </cell>
          <cell r="AA50">
            <v>1.2359820271563999</v>
          </cell>
          <cell r="AF50">
            <v>-2.0931994850008698E-5</v>
          </cell>
          <cell r="AG50">
            <v>3.45532020106705E-5</v>
          </cell>
          <cell r="AR50">
            <v>1.9417481829103801E-3</v>
          </cell>
          <cell r="BC50">
            <v>0</v>
          </cell>
          <cell r="BF50">
            <v>1.9417481829103801E-3</v>
          </cell>
        </row>
        <row r="51">
          <cell r="O51">
            <v>1.2371344131525399</v>
          </cell>
          <cell r="P51">
            <v>1.2358843966211599</v>
          </cell>
          <cell r="Q51">
            <v>1.23694772007705</v>
          </cell>
          <cell r="U51">
            <v>8.6044794101740102E-4</v>
          </cell>
          <cell r="V51">
            <v>-2.3178239471081599E-4</v>
          </cell>
          <cell r="W51">
            <v>6.9541416457365602E-4</v>
          </cell>
          <cell r="Y51">
            <v>1.2358474847357901</v>
          </cell>
          <cell r="Z51">
            <v>1.2361051919536901</v>
          </cell>
          <cell r="AA51">
            <v>1.2360073512209699</v>
          </cell>
          <cell r="AF51">
            <v>-2.3078003601031101E-4</v>
          </cell>
          <cell r="AG51">
            <v>-2.49597788041422E-4</v>
          </cell>
          <cell r="AR51">
            <v>1.9417481829103801E-3</v>
          </cell>
          <cell r="BC51">
            <v>0</v>
          </cell>
          <cell r="BF51">
            <v>1.9417481829103801E-3</v>
          </cell>
        </row>
        <row r="52">
          <cell r="O52">
            <v>1.2371344131525399</v>
          </cell>
          <cell r="P52">
            <v>1.2359020487713099</v>
          </cell>
          <cell r="Q52">
            <v>1.2370022676629699</v>
          </cell>
          <cell r="U52">
            <v>6.5195099474222196E-4</v>
          </cell>
          <cell r="V52">
            <v>-3.58972685167853E-4</v>
          </cell>
          <cell r="W52">
            <v>5.0103193402503601E-4</v>
          </cell>
          <cell r="Y52">
            <v>1.2358474847357901</v>
          </cell>
          <cell r="Z52">
            <v>1.23612282395499</v>
          </cell>
          <cell r="AA52">
            <v>1.2360695740860701</v>
          </cell>
          <cell r="AF52">
            <v>-3.5675281839515698E-4</v>
          </cell>
          <cell r="AG52">
            <v>-4.3590838357830799E-4</v>
          </cell>
          <cell r="AR52">
            <v>1.9417481829103801E-3</v>
          </cell>
          <cell r="BC52">
            <v>0</v>
          </cell>
          <cell r="BF52">
            <v>1.9417481829103801E-3</v>
          </cell>
        </row>
        <row r="53">
          <cell r="O53">
            <v>1.2371344131525399</v>
          </cell>
          <cell r="P53">
            <v>1.2357846988716801</v>
          </cell>
          <cell r="Q53">
            <v>1.2370008001969299</v>
          </cell>
          <cell r="U53">
            <v>1.5585136658762099E-3</v>
          </cell>
          <cell r="V53">
            <v>5.6187289473354001E-4</v>
          </cell>
          <cell r="W53">
            <v>1.45169217074732E-3</v>
          </cell>
          <cell r="Y53">
            <v>1.2358474847357901</v>
          </cell>
          <cell r="Z53">
            <v>1.23600642871874</v>
          </cell>
          <cell r="AA53">
            <v>1.2360761981829</v>
          </cell>
          <cell r="AF53">
            <v>5.57174829033794E-4</v>
          </cell>
          <cell r="AG53">
            <v>5.1409576369311103E-4</v>
          </cell>
          <cell r="AR53">
            <v>1.9417481829103801E-3</v>
          </cell>
          <cell r="BC53">
            <v>0</v>
          </cell>
          <cell r="BF53">
            <v>1.9417481829103801E-3</v>
          </cell>
        </row>
        <row r="54">
          <cell r="O54">
            <v>1.2371344131525399</v>
          </cell>
          <cell r="P54">
            <v>1.2357904964800199</v>
          </cell>
          <cell r="Q54">
            <v>1.23698235946218</v>
          </cell>
          <cell r="U54">
            <v>1.3490870907348501E-3</v>
          </cell>
          <cell r="V54">
            <v>2.5749100227162803E-4</v>
          </cell>
          <cell r="W54">
            <v>1.2410792866154E-3</v>
          </cell>
          <cell r="Y54">
            <v>1.2358474847357901</v>
          </cell>
          <cell r="Z54">
            <v>1.23601228263164</v>
          </cell>
          <cell r="AA54">
            <v>1.2360658517673999</v>
          </cell>
          <cell r="AF54">
            <v>2.5529354352463402E-4</v>
          </cell>
          <cell r="AG54">
            <v>3.1173944336998998E-4</v>
          </cell>
          <cell r="AR54">
            <v>1.9417481829103801E-3</v>
          </cell>
          <cell r="BC54">
            <v>0</v>
          </cell>
          <cell r="BF54">
            <v>1.9417481829103801E-3</v>
          </cell>
        </row>
        <row r="55">
          <cell r="O55">
            <v>1.2371344131525399</v>
          </cell>
          <cell r="P55">
            <v>1.23576745102286</v>
          </cell>
          <cell r="Q55">
            <v>1.2369494825965901</v>
          </cell>
          <cell r="U55">
            <v>1.6752302991566101E-3</v>
          </cell>
          <cell r="V55">
            <v>5.8832563853648096E-4</v>
          </cell>
          <cell r="W55">
            <v>1.55231476644476E-3</v>
          </cell>
          <cell r="Y55">
            <v>1.2358474847357901</v>
          </cell>
          <cell r="Z55">
            <v>1.23598956589827</v>
          </cell>
          <cell r="AA55">
            <v>1.2360412216635199</v>
          </cell>
          <cell r="AF55">
            <v>5.8333742037937201E-4</v>
          </cell>
          <cell r="AG55">
            <v>6.2667677525411302E-4</v>
          </cell>
          <cell r="AR55">
            <v>1.9417481829103801E-3</v>
          </cell>
          <cell r="BC55">
            <v>0</v>
          </cell>
          <cell r="BF55">
            <v>1.9417481829103801E-3</v>
          </cell>
        </row>
        <row r="56">
          <cell r="O56">
            <v>1.2371344131525399</v>
          </cell>
          <cell r="P56">
            <v>1.2360858544448601</v>
          </cell>
          <cell r="Q56">
            <v>1.2368773227926499</v>
          </cell>
          <cell r="U56">
            <v>-1.87034102835576E-3</v>
          </cell>
          <cell r="V56">
            <v>-2.9758942156578598E-3</v>
          </cell>
          <cell r="W56">
            <v>-2.01983519596263E-3</v>
          </cell>
          <cell r="Y56">
            <v>1.2358474847357901</v>
          </cell>
          <cell r="Z56">
            <v>1.23586857827701</v>
          </cell>
          <cell r="AA56">
            <v>1.2359753092906201</v>
          </cell>
          <cell r="AF56">
            <v>5.7898644880603105E-4</v>
          </cell>
          <cell r="AG56">
            <v>6.2077861863832004E-4</v>
          </cell>
          <cell r="AR56">
            <v>1.9417481829103801E-3</v>
          </cell>
          <cell r="BC56">
            <v>0</v>
          </cell>
          <cell r="BF56">
            <v>1.9417481829103801E-3</v>
          </cell>
        </row>
        <row r="57">
          <cell r="O57">
            <v>1.2371344131525399</v>
          </cell>
          <cell r="P57">
            <v>1.2365021088246599</v>
          </cell>
          <cell r="Q57">
            <v>1.2368353666332601</v>
          </cell>
          <cell r="U57">
            <v>-2.0600978912796802E-3</v>
          </cell>
          <cell r="V57">
            <v>-2.9080278425601602E-3</v>
          </cell>
          <cell r="W57">
            <v>-2.2679306651318802E-3</v>
          </cell>
          <cell r="Y57">
            <v>1.2358474847357901</v>
          </cell>
          <cell r="Z57">
            <v>1.2358442346479599</v>
          </cell>
          <cell r="AA57">
            <v>1.2359392447199999</v>
          </cell>
          <cell r="AF57">
            <v>2.96015293834172E-4</v>
          </cell>
          <cell r="AG57">
            <v>3.8237270031174199E-4</v>
          </cell>
          <cell r="AR57">
            <v>1.9417481829103801E-3</v>
          </cell>
          <cell r="BC57">
            <v>0</v>
          </cell>
          <cell r="BF57">
            <v>1.9417481829103801E-3</v>
          </cell>
        </row>
        <row r="58">
          <cell r="O58">
            <v>1.2371344131525399</v>
          </cell>
          <cell r="P58">
            <v>1.23686099837816</v>
          </cell>
          <cell r="Q58">
            <v>1.2367877776418501</v>
          </cell>
          <cell r="U58">
            <v>-2.3611385842199199E-3</v>
          </cell>
          <cell r="V58">
            <v>-2.87237322684633E-3</v>
          </cell>
          <cell r="W58">
            <v>-2.6028929687561199E-3</v>
          </cell>
          <cell r="Y58">
            <v>1.2358474847357901</v>
          </cell>
          <cell r="Z58">
            <v>1.23576296238988</v>
          </cell>
          <cell r="AA58">
            <v>1.23589762215219</v>
          </cell>
          <cell r="AF58">
            <v>-2.4160488434059798E-5</v>
          </cell>
          <cell r="AG58">
            <v>5.2715235414712402E-5</v>
          </cell>
          <cell r="AR58">
            <v>1.9417481829103801E-3</v>
          </cell>
          <cell r="BC58">
            <v>0</v>
          </cell>
          <cell r="BF58">
            <v>1.9417481829103801E-3</v>
          </cell>
        </row>
        <row r="59">
          <cell r="O59">
            <v>1.2371344131525399</v>
          </cell>
          <cell r="P59">
            <v>1.2373185841418199</v>
          </cell>
          <cell r="Q59">
            <v>1.23672082172562</v>
          </cell>
          <cell r="U59">
            <v>-2.4406237076858598E-3</v>
          </cell>
          <cell r="V59">
            <v>-2.6616546556159802E-3</v>
          </cell>
          <cell r="W59">
            <v>-2.7208552479113901E-3</v>
          </cell>
          <cell r="Y59">
            <v>1.2358474847357901</v>
          </cell>
          <cell r="Z59">
            <v>1.2357785747866199</v>
          </cell>
          <cell r="AA59">
            <v>1.2358362431186101</v>
          </cell>
          <cell r="AF59">
            <v>-1.6058346988636501E-4</v>
          </cell>
          <cell r="AG59">
            <v>-5.1620480970137399E-5</v>
          </cell>
          <cell r="AR59">
            <v>1.9417481829103801E-3</v>
          </cell>
          <cell r="BC59">
            <v>0</v>
          </cell>
          <cell r="BF59">
            <v>1.9417481829103801E-3</v>
          </cell>
        </row>
        <row r="60">
          <cell r="O60">
            <v>1.2371344131525399</v>
          </cell>
          <cell r="P60">
            <v>1.2378393641337899</v>
          </cell>
          <cell r="Q60">
            <v>1.23681163960632</v>
          </cell>
          <cell r="U60">
            <v>-3.0428989531877202E-3</v>
          </cell>
          <cell r="V60">
            <v>-2.8940410118018802E-3</v>
          </cell>
          <cell r="W60">
            <v>-3.3772689073717698E-3</v>
          </cell>
          <cell r="Y60">
            <v>1.2358474847357901</v>
          </cell>
          <cell r="Z60">
            <v>1.23585706196526</v>
          </cell>
          <cell r="AA60">
            <v>1.2359311738719001</v>
          </cell>
          <cell r="AF60">
            <v>-7.4910800521177997E-4</v>
          </cell>
          <cell r="AG60">
            <v>-7.02443507509388E-4</v>
          </cell>
          <cell r="AR60">
            <v>1.9417481829103801E-3</v>
          </cell>
          <cell r="BC60">
            <v>0</v>
          </cell>
          <cell r="BF60">
            <v>1.9417481829103801E-3</v>
          </cell>
        </row>
        <row r="61">
          <cell r="O61">
            <v>1.2371344131525399</v>
          </cell>
          <cell r="P61">
            <v>1.23827550559845</v>
          </cell>
          <cell r="Q61">
            <v>1.2370799511098101</v>
          </cell>
          <cell r="U61">
            <v>-2.6617933846673301E-3</v>
          </cell>
          <cell r="V61">
            <v>-2.0921299750745101E-3</v>
          </cell>
          <cell r="W61">
            <v>-2.9227316114222301E-3</v>
          </cell>
          <cell r="Y61">
            <v>1.2358474847357901</v>
          </cell>
          <cell r="Z61">
            <v>1.23585250859284</v>
          </cell>
          <cell r="AA61">
            <v>1.23597885027326</v>
          </cell>
          <cell r="AF61">
            <v>-3.1387729075718098E-4</v>
          </cell>
          <cell r="AG61">
            <v>-2.53911064211961E-4</v>
          </cell>
          <cell r="AR61">
            <v>1.9417481829103801E-3</v>
          </cell>
          <cell r="BC61">
            <v>0</v>
          </cell>
          <cell r="BF61">
            <v>1.9417481829103801E-3</v>
          </cell>
        </row>
        <row r="62">
          <cell r="O62">
            <v>1.2371344131525399</v>
          </cell>
          <cell r="P62">
            <v>1.2386270298581199</v>
          </cell>
          <cell r="Q62">
            <v>1.2372645393147099</v>
          </cell>
          <cell r="U62">
            <v>-2.1873070846425298E-3</v>
          </cell>
          <cell r="V62">
            <v>-1.2653648090682301E-3</v>
          </cell>
          <cell r="W62">
            <v>-2.2313307905326299E-3</v>
          </cell>
          <cell r="Y62">
            <v>1.2358474847357901</v>
          </cell>
          <cell r="Z62">
            <v>1.23576518369736</v>
          </cell>
          <cell r="AA62">
            <v>1.23594400382617</v>
          </cell>
          <cell r="AF62">
            <v>1.45256774982269E-4</v>
          </cell>
          <cell r="AG62">
            <v>2.4748193697170901E-4</v>
          </cell>
          <cell r="AR62">
            <v>1.9417481829103801E-3</v>
          </cell>
          <cell r="BC62">
            <v>0</v>
          </cell>
          <cell r="BF62">
            <v>1.9417481829103801E-3</v>
          </cell>
        </row>
        <row r="63">
          <cell r="O63">
            <v>1.2371344131525399</v>
          </cell>
          <cell r="P63">
            <v>1.23869900321338</v>
          </cell>
          <cell r="Q63">
            <v>1.23724185104253</v>
          </cell>
          <cell r="U63">
            <v>9.7600120757245705E-4</v>
          </cell>
          <cell r="V63">
            <v>2.1817853033196302E-3</v>
          </cell>
          <cell r="W63">
            <v>1.0811792041638001E-3</v>
          </cell>
          <cell r="Y63">
            <v>1.2358474847357901</v>
          </cell>
          <cell r="Z63">
            <v>1.2358543254196399</v>
          </cell>
          <cell r="AA63">
            <v>1.2359303770691901</v>
          </cell>
          <cell r="AF63">
            <v>-4.5347265281709499E-4</v>
          </cell>
          <cell r="AG63">
            <v>-3.08779150820202E-4</v>
          </cell>
          <cell r="AR63">
            <v>1.9417481829103801E-3</v>
          </cell>
          <cell r="BC63">
            <v>0</v>
          </cell>
          <cell r="BF63">
            <v>1.9417481829103801E-3</v>
          </cell>
        </row>
        <row r="64">
          <cell r="O64">
            <v>1.2371344131525399</v>
          </cell>
          <cell r="P64">
            <v>1.23867313196999</v>
          </cell>
          <cell r="Q64">
            <v>1.2372318142250101</v>
          </cell>
          <cell r="U64">
            <v>1.5585136658762099E-3</v>
          </cell>
          <cell r="V64">
            <v>2.82240344034099E-3</v>
          </cell>
          <cell r="W64">
            <v>1.6453540479227E-3</v>
          </cell>
          <cell r="Y64">
            <v>1.2358474847357901</v>
          </cell>
          <cell r="Z64">
            <v>1.23584655643675</v>
          </cell>
          <cell r="AA64">
            <v>1.2359294195341901</v>
          </cell>
          <cell r="AF64">
            <v>1.95099236340642E-4</v>
          </cell>
          <cell r="AG64">
            <v>2.5663505658715701E-4</v>
          </cell>
          <cell r="AR64">
            <v>1.9417481829103801E-3</v>
          </cell>
          <cell r="BC64">
            <v>0</v>
          </cell>
          <cell r="BF64">
            <v>1.9417481829103801E-3</v>
          </cell>
        </row>
        <row r="65">
          <cell r="O65">
            <v>1.2371344131525399</v>
          </cell>
          <cell r="P65">
            <v>1.2387105737877599</v>
          </cell>
          <cell r="Q65">
            <v>1.2372390124053101</v>
          </cell>
          <cell r="U65">
            <v>1.37211925592883E-3</v>
          </cell>
          <cell r="V65">
            <v>2.61512299311416E-3</v>
          </cell>
          <cell r="W65">
            <v>1.45084735320068E-3</v>
          </cell>
          <cell r="Y65">
            <v>1.2358474847357901</v>
          </cell>
          <cell r="Z65">
            <v>1.23590155163427</v>
          </cell>
          <cell r="AA65">
            <v>1.23594555876627</v>
          </cell>
          <cell r="AF65">
            <v>4.1459849421008499E-6</v>
          </cell>
          <cell r="AG65">
            <v>7.1193402085981204E-5</v>
          </cell>
          <cell r="AR65">
            <v>1.9417481829103801E-3</v>
          </cell>
          <cell r="BC65">
            <v>0</v>
          </cell>
          <cell r="BF65">
            <v>1.9417481829103801E-3</v>
          </cell>
        </row>
        <row r="66">
          <cell r="O66">
            <v>1.2371344131525399</v>
          </cell>
          <cell r="P66">
            <v>1.2382863120229</v>
          </cell>
          <cell r="Q66">
            <v>1.2371860832338799</v>
          </cell>
          <cell r="U66">
            <v>1.5585136658762099E-3</v>
          </cell>
          <cell r="V66">
            <v>2.83174430548273E-3</v>
          </cell>
          <cell r="W66">
            <v>1.64305971842369E-3</v>
          </cell>
          <cell r="Y66">
            <v>1.2358474847357901</v>
          </cell>
          <cell r="Z66">
            <v>1.2359354599229999</v>
          </cell>
          <cell r="AA66">
            <v>1.2359020191000101</v>
          </cell>
          <cell r="AF66">
            <v>2.3331192155920399E-4</v>
          </cell>
          <cell r="AG66">
            <v>2.6891859951253298E-4</v>
          </cell>
          <cell r="AR66">
            <v>1.9417481829103801E-3</v>
          </cell>
          <cell r="BC66">
            <v>0</v>
          </cell>
          <cell r="BF66">
            <v>1.9417481829103801E-3</v>
          </cell>
        </row>
        <row r="67">
          <cell r="O67">
            <v>1.2371344131525399</v>
          </cell>
          <cell r="P67">
            <v>1.2378759084754201</v>
          </cell>
          <cell r="Q67">
            <v>1.2371890086500399</v>
          </cell>
          <cell r="U67">
            <v>1.2559393442344599E-3</v>
          </cell>
          <cell r="V67">
            <v>2.1866085769750398E-3</v>
          </cell>
          <cell r="W67">
            <v>1.2977044117945299E-3</v>
          </cell>
          <cell r="Y67">
            <v>1.2358474847357901</v>
          </cell>
          <cell r="Z67">
            <v>1.2359834665398599</v>
          </cell>
          <cell r="AA67">
            <v>1.23591385059391</v>
          </cell>
          <cell r="AF67">
            <v>-3.8352936616807402E-5</v>
          </cell>
          <cell r="AG67">
            <v>-6.5410397538538599E-5</v>
          </cell>
          <cell r="AR67">
            <v>1.9417481829103801E-3</v>
          </cell>
          <cell r="BC67">
            <v>0</v>
          </cell>
          <cell r="BF67">
            <v>1.9417481829103801E-3</v>
          </cell>
        </row>
        <row r="68">
          <cell r="O68">
            <v>1.2371344131525399</v>
          </cell>
          <cell r="P68">
            <v>1.23746552307719</v>
          </cell>
          <cell r="Q68">
            <v>1.2371632607276799</v>
          </cell>
          <cell r="U68">
            <v>9.5375203913398499E-4</v>
          </cell>
          <cell r="V68">
            <v>1.5529376979432101E-3</v>
          </cell>
          <cell r="W68">
            <v>9.9788167637320695E-4</v>
          </cell>
          <cell r="Y68">
            <v>1.2358474847357901</v>
          </cell>
          <cell r="Z68">
            <v>1.2360312704956</v>
          </cell>
          <cell r="AA68">
            <v>1.2358971164427399</v>
          </cell>
          <cell r="AF68">
            <v>-2.98233483625919E-4</v>
          </cell>
          <cell r="AG68">
            <v>-3.5455940419286001E-4</v>
          </cell>
          <cell r="AR68">
            <v>1.9417481829103801E-3</v>
          </cell>
          <cell r="BC68">
            <v>0</v>
          </cell>
          <cell r="BF68">
            <v>1.9417481829103801E-3</v>
          </cell>
        </row>
        <row r="69">
          <cell r="O69">
            <v>1.2371344131525399</v>
          </cell>
          <cell r="P69">
            <v>1.23705681316887</v>
          </cell>
          <cell r="Q69">
            <v>1.2371876986553401</v>
          </cell>
          <cell r="U69">
            <v>8.6044794101740102E-4</v>
          </cell>
          <cell r="V69">
            <v>1.1280547745771399E-3</v>
          </cell>
          <cell r="W69">
            <v>8.8376572969202805E-4</v>
          </cell>
          <cell r="Y69">
            <v>1.2358474847357901</v>
          </cell>
          <cell r="Z69">
            <v>1.2360817707446301</v>
          </cell>
          <cell r="AA69">
            <v>1.23593017276563</v>
          </cell>
          <cell r="AF69">
            <v>-3.5199501196764402E-4</v>
          </cell>
          <cell r="AG69">
            <v>-4.6053703422009601E-4</v>
          </cell>
          <cell r="AR69">
            <v>1.9417481829103801E-3</v>
          </cell>
          <cell r="BC69">
            <v>0</v>
          </cell>
          <cell r="BF69">
            <v>1.9417481829103801E-3</v>
          </cell>
        </row>
        <row r="70">
          <cell r="O70">
            <v>1.2371344131525399</v>
          </cell>
          <cell r="P70">
            <v>1.23655033540031</v>
          </cell>
          <cell r="Q70">
            <v>1.23719484976705</v>
          </cell>
          <cell r="U70">
            <v>1.0469737136851601E-3</v>
          </cell>
          <cell r="V70">
            <v>9.8424615821239591E-4</v>
          </cell>
          <cell r="W70">
            <v>1.0900445026946299E-3</v>
          </cell>
          <cell r="Y70">
            <v>1.2358474847357901</v>
          </cell>
          <cell r="Z70">
            <v>1.23603510070539</v>
          </cell>
          <cell r="AA70">
            <v>1.23594608133533</v>
          </cell>
          <cell r="AF70">
            <v>-1.26344577873718E-4</v>
          </cell>
          <cell r="AG70">
            <v>-2.4899607200895899E-4</v>
          </cell>
          <cell r="AR70">
            <v>1.9417481829103801E-3</v>
          </cell>
          <cell r="BC70">
            <v>0</v>
          </cell>
          <cell r="BF70">
            <v>1.9417481829103801E-3</v>
          </cell>
        </row>
        <row r="71">
          <cell r="O71">
            <v>1.2371344131525399</v>
          </cell>
          <cell r="P71">
            <v>1.2360193509344299</v>
          </cell>
          <cell r="Q71">
            <v>1.2371474282664401</v>
          </cell>
          <cell r="U71">
            <v>1.62803696779766E-3</v>
          </cell>
          <cell r="V71">
            <v>1.15580398545881E-3</v>
          </cell>
          <cell r="W71">
            <v>1.6768878749299501E-3</v>
          </cell>
          <cell r="Y71">
            <v>1.2358474847357901</v>
          </cell>
          <cell r="Z71">
            <v>1.23596332717541</v>
          </cell>
          <cell r="AA71">
            <v>1.2359079178841299</v>
          </cell>
          <cell r="AF71">
            <v>4.1091877552360299E-4</v>
          </cell>
          <cell r="AG71">
            <v>3.3889608315776099E-4</v>
          </cell>
          <cell r="AR71">
            <v>1.9417481829103801E-3</v>
          </cell>
          <cell r="BC71">
            <v>0</v>
          </cell>
          <cell r="BF71">
            <v>1.9417481829103801E-3</v>
          </cell>
        </row>
        <row r="72">
          <cell r="O72">
            <v>1.2371344131525399</v>
          </cell>
          <cell r="P72">
            <v>1.2355472092967099</v>
          </cell>
          <cell r="Q72">
            <v>1.23708711957741</v>
          </cell>
          <cell r="U72">
            <v>1.62803696779766E-3</v>
          </cell>
          <cell r="V72">
            <v>7.2630387714860405E-4</v>
          </cell>
          <cell r="W72">
            <v>1.6385572841829199E-3</v>
          </cell>
          <cell r="Y72">
            <v>1.2358474847357901</v>
          </cell>
          <cell r="Z72">
            <v>1.2359487561089599</v>
          </cell>
          <cell r="AA72">
            <v>1.2358569699031601</v>
          </cell>
          <cell r="AF72">
            <v>3.5284953956577902E-4</v>
          </cell>
          <cell r="AG72">
            <v>3.0801768078059802E-4</v>
          </cell>
          <cell r="AR72">
            <v>1.9417481829103801E-3</v>
          </cell>
          <cell r="BC72">
            <v>0</v>
          </cell>
          <cell r="BF72">
            <v>1.9417481829103801E-3</v>
          </cell>
        </row>
        <row r="73">
          <cell r="O73">
            <v>1.2371344131525399</v>
          </cell>
          <cell r="P73">
            <v>1.23541786817951</v>
          </cell>
          <cell r="Q73">
            <v>1.23705843569644</v>
          </cell>
          <cell r="U73">
            <v>2.02305968674058E-3</v>
          </cell>
          <cell r="V73">
            <v>7.3926798512289596E-4</v>
          </cell>
          <cell r="W73">
            <v>1.9848306320614799E-3</v>
          </cell>
          <cell r="Y73">
            <v>1.2358474847357901</v>
          </cell>
          <cell r="Z73">
            <v>1.2358206531801099</v>
          </cell>
          <cell r="AA73">
            <v>1.23583748929988</v>
          </cell>
          <cell r="AF73">
            <v>7.3176151485414005E-4</v>
          </cell>
          <cell r="AG73">
            <v>6.5749499392121996E-4</v>
          </cell>
          <cell r="AR73">
            <v>1.9417481829103801E-3</v>
          </cell>
          <cell r="BC73">
            <v>0</v>
          </cell>
          <cell r="BF73">
            <v>1.9417481829103801E-3</v>
          </cell>
        </row>
        <row r="74">
          <cell r="O74">
            <v>1.2371344131525399</v>
          </cell>
          <cell r="P74">
            <v>1.23537492309467</v>
          </cell>
          <cell r="Q74">
            <v>1.2370240275323301</v>
          </cell>
          <cell r="U74">
            <v>1.9062490930606499E-3</v>
          </cell>
          <cell r="V74">
            <v>5.1776864574035804E-4</v>
          </cell>
          <cell r="W74">
            <v>1.84483313984932E-3</v>
          </cell>
          <cell r="Y74">
            <v>1.2358474847357901</v>
          </cell>
          <cell r="Z74">
            <v>1.2357780069082001</v>
          </cell>
          <cell r="AA74">
            <v>1.2358122816724699</v>
          </cell>
          <cell r="AF74">
            <v>5.1305488047134003E-4</v>
          </cell>
          <cell r="AG74">
            <v>5.26678220588862E-4</v>
          </cell>
          <cell r="AR74">
            <v>1.9417481829103801E-3</v>
          </cell>
          <cell r="BC74">
            <v>0</v>
          </cell>
          <cell r="BF74">
            <v>1.9417481829103801E-3</v>
          </cell>
        </row>
        <row r="75">
          <cell r="O75">
            <v>1.2371344131525399</v>
          </cell>
          <cell r="P75">
            <v>1.2357314082244999</v>
          </cell>
          <cell r="Q75">
            <v>1.23722099100613</v>
          </cell>
          <cell r="U75">
            <v>-1.5092214143010601E-3</v>
          </cell>
          <cell r="V75">
            <v>-2.9324640521151699E-3</v>
          </cell>
          <cell r="W75">
            <v>-1.5984522561621299E-3</v>
          </cell>
          <cell r="Y75">
            <v>1.2358474847357901</v>
          </cell>
          <cell r="Z75">
            <v>1.2356931974796499</v>
          </cell>
          <cell r="AA75">
            <v>1.2357973745569599</v>
          </cell>
          <cell r="AF75">
            <v>6.3516081761535201E-4</v>
          </cell>
          <cell r="AG75">
            <v>6.6289580624719297E-4</v>
          </cell>
          <cell r="AR75">
            <v>1.9417481829103801E-3</v>
          </cell>
          <cell r="BC75">
            <v>0</v>
          </cell>
          <cell r="BF75">
            <v>1.9417481829103801E-3</v>
          </cell>
        </row>
        <row r="76">
          <cell r="O76">
            <v>1.2371344131525399</v>
          </cell>
          <cell r="P76">
            <v>1.23604811970996</v>
          </cell>
          <cell r="Q76">
            <v>1.23716721586643</v>
          </cell>
          <cell r="U76">
            <v>-1.00223880453326E-3</v>
          </cell>
          <cell r="V76">
            <v>-2.1369587448162699E-3</v>
          </cell>
          <cell r="W76">
            <v>-9.3225867679715905E-4</v>
          </cell>
          <cell r="Y76">
            <v>1.2358474847357901</v>
          </cell>
          <cell r="Z76">
            <v>1.2355687163812299</v>
          </cell>
          <cell r="AA76">
            <v>1.23575208815212</v>
          </cell>
          <cell r="AF76">
            <v>1.07266464605068E-3</v>
          </cell>
          <cell r="AG76">
            <v>1.1569676804628901E-3</v>
          </cell>
          <cell r="AR76">
            <v>1.9417481829103801E-3</v>
          </cell>
          <cell r="BC76">
            <v>0</v>
          </cell>
          <cell r="BF76">
            <v>1.9417481829103801E-3</v>
          </cell>
        </row>
        <row r="77">
          <cell r="O77">
            <v>1.2371344131525399</v>
          </cell>
          <cell r="P77">
            <v>1.2364742942017899</v>
          </cell>
          <cell r="Q77">
            <v>1.2371751013386001</v>
          </cell>
          <cell r="U77">
            <v>-2.1873070846425298E-3</v>
          </cell>
          <cell r="V77">
            <v>-3.0657651021993798E-3</v>
          </cell>
          <cell r="W77">
            <v>-2.1607923594303999E-3</v>
          </cell>
          <cell r="Y77">
            <v>1.2358474847357901</v>
          </cell>
          <cell r="Z77">
            <v>1.2355520381310201</v>
          </cell>
          <cell r="AA77">
            <v>1.23576775233544</v>
          </cell>
          <cell r="AF77">
            <v>-2.00182265665813E-4</v>
          </cell>
          <cell r="AG77">
            <v>-5.1782453800778198E-5</v>
          </cell>
          <cell r="AR77">
            <v>1.9417481829103801E-3</v>
          </cell>
          <cell r="BC77">
            <v>1.18506828010929E-3</v>
          </cell>
          <cell r="BF77">
            <v>3.1268164630196701E-3</v>
          </cell>
        </row>
        <row r="78">
          <cell r="O78">
            <v>1.2371344131525399</v>
          </cell>
          <cell r="P78">
            <v>1.2368631253434801</v>
          </cell>
          <cell r="Q78">
            <v>1.2371643242103301</v>
          </cell>
          <cell r="U78">
            <v>-2.1873070846425298E-3</v>
          </cell>
          <cell r="V78">
            <v>-2.7210365823281701E-3</v>
          </cell>
          <cell r="W78">
            <v>-2.1544185669952099E-3</v>
          </cell>
          <cell r="Y78">
            <v>1.2358474847357901</v>
          </cell>
          <cell r="Z78">
            <v>1.23549843282282</v>
          </cell>
          <cell r="AA78">
            <v>1.2357648516592099</v>
          </cell>
          <cell r="AF78">
            <v>-2.13680796785352E-4</v>
          </cell>
          <cell r="AG78">
            <v>-3.9106704192788297E-5</v>
          </cell>
          <cell r="AR78">
            <v>1.9417481829103801E-3</v>
          </cell>
          <cell r="BC78">
            <v>1.18506828010929E-3</v>
          </cell>
          <cell r="BF78">
            <v>3.1268164630196701E-3</v>
          </cell>
        </row>
        <row r="79">
          <cell r="O79">
            <v>1.2371344131525399</v>
          </cell>
          <cell r="P79">
            <v>1.2372658671714101</v>
          </cell>
          <cell r="Q79">
            <v>1.23716134017014</v>
          </cell>
          <cell r="U79">
            <v>-2.3924989808038698E-3</v>
          </cell>
          <cell r="V79">
            <v>-2.6118102823953402E-3</v>
          </cell>
          <cell r="W79">
            <v>-2.3683215786613099E-3</v>
          </cell>
          <cell r="Y79">
            <v>1.2358474847357901</v>
          </cell>
          <cell r="Z79">
            <v>1.2354588703585201</v>
          </cell>
          <cell r="AA79">
            <v>1.23577032055158</v>
          </cell>
          <cell r="AF79">
            <v>-4.6316037267489399E-4</v>
          </cell>
          <cell r="AG79">
            <v>-2.4754689345121001E-4</v>
          </cell>
          <cell r="AR79">
            <v>1.9417481829103801E-3</v>
          </cell>
          <cell r="BC79">
            <v>1.18506828010929E-3</v>
          </cell>
          <cell r="BF79">
            <v>3.1268164630196701E-3</v>
          </cell>
        </row>
        <row r="80">
          <cell r="O80">
            <v>1.2371344131525399</v>
          </cell>
          <cell r="P80">
            <v>1.2377034092151999</v>
          </cell>
          <cell r="Q80">
            <v>1.23712687230775</v>
          </cell>
          <cell r="U80">
            <v>-2.4872166022779198E-3</v>
          </cell>
          <cell r="V80">
            <v>-2.3809653865480701E-3</v>
          </cell>
          <cell r="W80">
            <v>-2.4654512029212098E-3</v>
          </cell>
          <cell r="Y80">
            <v>1.2358474847357901</v>
          </cell>
          <cell r="Z80">
            <v>1.2354535411541701</v>
          </cell>
          <cell r="AA80">
            <v>1.23574432092978</v>
          </cell>
          <cell r="AF80">
            <v>-5.8729379866289799E-4</v>
          </cell>
          <cell r="AG80">
            <v>-3.3523284385483001E-4</v>
          </cell>
          <cell r="AR80">
            <v>1.9417481829103801E-3</v>
          </cell>
          <cell r="BC80">
            <v>1.18506828010929E-3</v>
          </cell>
          <cell r="BF80">
            <v>3.1268164630196701E-3</v>
          </cell>
        </row>
        <row r="81">
          <cell r="O81">
            <v>1.2371344131525399</v>
          </cell>
          <cell r="P81">
            <v>1.2381266032268701</v>
          </cell>
          <cell r="Q81">
            <v>1.2370729770806499</v>
          </cell>
          <cell r="U81">
            <v>-1.7924403470341999E-3</v>
          </cell>
          <cell r="V81">
            <v>-1.3326154101923799E-3</v>
          </cell>
          <cell r="W81">
            <v>-1.7985357782911401E-3</v>
          </cell>
          <cell r="Y81">
            <v>1.2358474847357901</v>
          </cell>
          <cell r="Z81">
            <v>1.23543416444885</v>
          </cell>
          <cell r="AA81">
            <v>1.23569874581213</v>
          </cell>
          <cell r="AF81">
            <v>9.7145717718108895E-5</v>
          </cell>
          <cell r="AG81">
            <v>3.3248080068758098E-4</v>
          </cell>
          <cell r="AR81">
            <v>1.9417481829103801E-3</v>
          </cell>
          <cell r="BC81">
            <v>1.18506828010929E-3</v>
          </cell>
          <cell r="BF81">
            <v>3.1268164630196701E-3</v>
          </cell>
        </row>
        <row r="82">
          <cell r="O82">
            <v>1.2371344131525399</v>
          </cell>
          <cell r="P82">
            <v>1.2385967523913399</v>
          </cell>
          <cell r="Q82">
            <v>1.23707198084402</v>
          </cell>
          <cell r="U82">
            <v>-2.1712365928822199E-3</v>
          </cell>
          <cell r="V82">
            <v>-1.3695513395644201E-3</v>
          </cell>
          <cell r="W82">
            <v>-2.2208978073348499E-3</v>
          </cell>
          <cell r="Y82">
            <v>1.2358474847357901</v>
          </cell>
          <cell r="Z82">
            <v>1.2354602998687001</v>
          </cell>
          <cell r="AA82">
            <v>1.2357045279888299</v>
          </cell>
          <cell r="AF82">
            <v>-2.8689017119491402E-4</v>
          </cell>
          <cell r="AG82">
            <v>-7.2752466827798596E-5</v>
          </cell>
          <cell r="AR82">
            <v>1.9417481829103801E-3</v>
          </cell>
          <cell r="BC82">
            <v>1.18506828010929E-3</v>
          </cell>
          <cell r="BF82">
            <v>3.1268164630196701E-3</v>
          </cell>
        </row>
        <row r="83">
          <cell r="O83">
            <v>1.2371344131525399</v>
          </cell>
          <cell r="P83">
            <v>1.239080448433</v>
          </cell>
          <cell r="Q83">
            <v>1.2372491583062499</v>
          </cell>
          <cell r="U83">
            <v>-1.8870137211024699E-3</v>
          </cell>
          <cell r="V83">
            <v>-7.0567430169088396E-4</v>
          </cell>
          <cell r="W83">
            <v>-1.9374802534675201E-3</v>
          </cell>
          <cell r="Y83">
            <v>1.2358474847357901</v>
          </cell>
          <cell r="Z83">
            <v>1.23550054749644</v>
          </cell>
          <cell r="AA83">
            <v>1.23566060033828</v>
          </cell>
          <cell r="AF83">
            <v>1.0649032952050299E-5</v>
          </cell>
          <cell r="AG83">
            <v>2.0831138082325E-4</v>
          </cell>
          <cell r="AR83">
            <v>1.9417481829103801E-3</v>
          </cell>
          <cell r="BC83">
            <v>1.18506828010929E-3</v>
          </cell>
          <cell r="BF83">
            <v>3.1268164630196701E-3</v>
          </cell>
        </row>
        <row r="84">
          <cell r="O84">
            <v>1.2371344131525399</v>
          </cell>
          <cell r="P84">
            <v>1.23904852399497</v>
          </cell>
          <cell r="Q84">
            <v>1.2372117235448199</v>
          </cell>
          <cell r="U84">
            <v>2.1648263921678801E-3</v>
          </cell>
          <cell r="V84">
            <v>3.7366089634519898E-3</v>
          </cell>
          <cell r="W84">
            <v>2.2575728483924299E-3</v>
          </cell>
          <cell r="Y84">
            <v>1.2358474847357901</v>
          </cell>
          <cell r="Z84">
            <v>1.2354845569069299</v>
          </cell>
          <cell r="AA84">
            <v>1.2356312819075601</v>
          </cell>
          <cell r="AF84">
            <v>3.8346582212881001E-4</v>
          </cell>
          <cell r="AG84">
            <v>5.1300236992042603E-4</v>
          </cell>
          <cell r="AR84">
            <v>1.9417481829103801E-3</v>
          </cell>
          <cell r="BC84">
            <v>1.18506828010929E-3</v>
          </cell>
          <cell r="BF84">
            <v>3.1268164630196701E-3</v>
          </cell>
        </row>
        <row r="85">
          <cell r="O85">
            <v>1.2371344131525399</v>
          </cell>
          <cell r="P85">
            <v>1.2386661141303299</v>
          </cell>
          <cell r="Q85">
            <v>1.23719876117742</v>
          </cell>
          <cell r="U85">
            <v>1.58198372133548E-3</v>
          </cell>
          <cell r="V85">
            <v>3.12800133980008E-3</v>
          </cell>
          <cell r="W85">
            <v>1.64447327456468E-3</v>
          </cell>
          <cell r="Y85">
            <v>1.2358474847357901</v>
          </cell>
          <cell r="Z85">
            <v>1.235558915963</v>
          </cell>
          <cell r="AA85">
            <v>1.23562605672133</v>
          </cell>
          <cell r="AF85">
            <v>-2.0424880314119699E-4</v>
          </cell>
          <cell r="AG85">
            <v>-8.5496781480890195E-5</v>
          </cell>
          <cell r="AR85">
            <v>1.9417481829103801E-3</v>
          </cell>
          <cell r="BC85">
            <v>1.18506828010929E-3</v>
          </cell>
          <cell r="BF85">
            <v>3.1268164630196701E-3</v>
          </cell>
        </row>
        <row r="86">
          <cell r="O86">
            <v>1.2371344131525399</v>
          </cell>
          <cell r="P86">
            <v>1.23839549922968</v>
          </cell>
          <cell r="Q86">
            <v>1.23722180946982</v>
          </cell>
          <cell r="U86">
            <v>1.1853943843906901E-3</v>
          </cell>
          <cell r="V86">
            <v>2.42273249490097E-3</v>
          </cell>
          <cell r="W86">
            <v>1.23740680176371E-3</v>
          </cell>
          <cell r="Y86">
            <v>1.2358474847357901</v>
          </cell>
          <cell r="Z86">
            <v>1.23574406831168</v>
          </cell>
          <cell r="AA86">
            <v>1.2356563923464501</v>
          </cell>
          <cell r="AF86">
            <v>-5.3486278137639999E-4</v>
          </cell>
          <cell r="AG86">
            <v>-4.8052386374629498E-4</v>
          </cell>
          <cell r="AR86">
            <v>1.9417481829103801E-3</v>
          </cell>
          <cell r="BC86">
            <v>1.18506828010929E-3</v>
          </cell>
          <cell r="BF86">
            <v>3.1268164630196701E-3</v>
          </cell>
        </row>
        <row r="87">
          <cell r="O87">
            <v>1.2371344131525399</v>
          </cell>
          <cell r="P87">
            <v>1.2378830451106</v>
          </cell>
          <cell r="Q87">
            <v>1.2371786696561899</v>
          </cell>
          <cell r="U87">
            <v>1.95447486685242E-3</v>
          </cell>
          <cell r="V87">
            <v>2.97331627120739E-3</v>
          </cell>
          <cell r="W87">
            <v>2.0251165283212201E-3</v>
          </cell>
          <cell r="Y87">
            <v>1.2358474847357901</v>
          </cell>
          <cell r="Z87">
            <v>1.23569069492527</v>
          </cell>
          <cell r="AA87">
            <v>1.2356213665281499</v>
          </cell>
          <cell r="AF87">
            <v>3.7370875035766901E-4</v>
          </cell>
          <cell r="AG87">
            <v>3.0275629513410699E-4</v>
          </cell>
          <cell r="AR87">
            <v>1.9417481829103801E-3</v>
          </cell>
          <cell r="BC87">
            <v>1.18506828010929E-3</v>
          </cell>
          <cell r="BF87">
            <v>3.1268164630196701E-3</v>
          </cell>
        </row>
        <row r="88">
          <cell r="O88">
            <v>1.2371344131525399</v>
          </cell>
          <cell r="P88">
            <v>1.2374425164762399</v>
          </cell>
          <cell r="Q88">
            <v>1.2371528209098599</v>
          </cell>
          <cell r="U88">
            <v>1.37211925592883E-3</v>
          </cell>
          <cell r="V88">
            <v>1.9770701247728301E-3</v>
          </cell>
          <cell r="W88">
            <v>1.4078920156213399E-3</v>
          </cell>
          <cell r="Y88">
            <v>1.2358474847357901</v>
          </cell>
          <cell r="Z88">
            <v>1.2357082839501099</v>
          </cell>
          <cell r="AA88">
            <v>1.2356033583864601</v>
          </cell>
          <cell r="AF88">
            <v>-2.4378162548337E-4</v>
          </cell>
          <cell r="AG88">
            <v>-2.9988817570398901E-4</v>
          </cell>
          <cell r="AR88">
            <v>1.9417481829103801E-3</v>
          </cell>
          <cell r="BC88">
            <v>1.18506828010929E-3</v>
          </cell>
          <cell r="BF88">
            <v>3.1268164630196701E-3</v>
          </cell>
        </row>
        <row r="89">
          <cell r="O89">
            <v>1.2371344131525399</v>
          </cell>
          <cell r="P89">
            <v>1.2370024186767301</v>
          </cell>
          <cell r="Q89">
            <v>1.2371341429240701</v>
          </cell>
          <cell r="U89">
            <v>1.1627091881183901E-3</v>
          </cell>
          <cell r="V89">
            <v>1.4117241381896501E-3</v>
          </cell>
          <cell r="W89">
            <v>1.1775884285431101E-3</v>
          </cell>
          <cell r="Y89">
            <v>1.2358474847357901</v>
          </cell>
          <cell r="Z89">
            <v>1.23572585601607</v>
          </cell>
          <cell r="AA89">
            <v>1.23559236318729</v>
          </cell>
          <cell r="AF89">
            <v>-4.3547397633847401E-4</v>
          </cell>
          <cell r="AG89">
            <v>-5.2038885466595302E-4</v>
          </cell>
          <cell r="AR89">
            <v>1.9417481829103801E-3</v>
          </cell>
          <cell r="BC89">
            <v>1.18506828010929E-3</v>
          </cell>
          <cell r="BF89">
            <v>3.1268164630196701E-3</v>
          </cell>
        </row>
        <row r="90">
          <cell r="O90">
            <v>1.2371344131525399</v>
          </cell>
          <cell r="P90">
            <v>1.23652470038325</v>
          </cell>
          <cell r="Q90">
            <v>1.2371140547992201</v>
          </cell>
          <cell r="U90">
            <v>1.37211925592883E-3</v>
          </cell>
          <cell r="V90">
            <v>1.26541984121537E-3</v>
          </cell>
          <cell r="W90">
            <v>1.3719008249333E-3</v>
          </cell>
          <cell r="Y90">
            <v>1.2358474847357901</v>
          </cell>
          <cell r="Z90">
            <v>1.23570658696965</v>
          </cell>
          <cell r="AA90">
            <v>1.2355800640619099</v>
          </cell>
          <cell r="AF90">
            <v>-2.1532742517262399E-4</v>
          </cell>
          <cell r="AG90">
            <v>-3.2336112788786402E-4</v>
          </cell>
          <cell r="AR90">
            <v>1.9417481829103801E-3</v>
          </cell>
          <cell r="BC90">
            <v>1.18506828010929E-3</v>
          </cell>
          <cell r="BF90">
            <v>3.1268164630196701E-3</v>
          </cell>
        </row>
        <row r="91">
          <cell r="O91">
            <v>1.2371344131525399</v>
          </cell>
          <cell r="P91">
            <v>1.23620518582091</v>
          </cell>
          <cell r="Q91">
            <v>1.2371658945238899</v>
          </cell>
          <cell r="U91">
            <v>7.8896226819771299E-4</v>
          </cell>
          <cell r="V91">
            <v>2.9599799651978698E-4</v>
          </cell>
          <cell r="W91">
            <v>7.7250607668481004E-4</v>
          </cell>
          <cell r="Y91">
            <v>1.2358474847357901</v>
          </cell>
          <cell r="Z91">
            <v>1.23584353072246</v>
          </cell>
          <cell r="AA91">
            <v>1.2356388475856499</v>
          </cell>
          <cell r="AF91">
            <v>-8.0599799822679205E-4</v>
          </cell>
          <cell r="AG91">
            <v>-9.0839235850890805E-4</v>
          </cell>
          <cell r="AR91">
            <v>1.9417481829103801E-3</v>
          </cell>
          <cell r="BC91">
            <v>1.18506828010929E-3</v>
          </cell>
          <cell r="BF91">
            <v>3.1268164630196701E-3</v>
          </cell>
        </row>
        <row r="92">
          <cell r="O92">
            <v>1.2371344131525399</v>
          </cell>
          <cell r="P92">
            <v>1.2356572838045501</v>
          </cell>
          <cell r="Q92">
            <v>1.2371270180979399</v>
          </cell>
          <cell r="U92">
            <v>2.2577507819479098E-3</v>
          </cell>
          <cell r="V92">
            <v>1.5063558859635499E-3</v>
          </cell>
          <cell r="W92">
            <v>2.2831974678280799E-3</v>
          </cell>
          <cell r="Y92">
            <v>1.2358474847357901</v>
          </cell>
          <cell r="Z92">
            <v>1.23575601660878</v>
          </cell>
          <cell r="AA92">
            <v>1.2356081582387399</v>
          </cell>
          <cell r="AF92">
            <v>7.5282407306006399E-4</v>
          </cell>
          <cell r="AG92">
            <v>5.8718814615953802E-4</v>
          </cell>
          <cell r="AR92">
            <v>1.9417481829103801E-3</v>
          </cell>
          <cell r="BC92">
            <v>1.18506828010929E-3</v>
          </cell>
          <cell r="BF92">
            <v>3.1268164630196701E-3</v>
          </cell>
        </row>
        <row r="93">
          <cell r="O93">
            <v>1.2371344131525399</v>
          </cell>
          <cell r="P93">
            <v>1.2352655110327599</v>
          </cell>
          <cell r="Q93">
            <v>1.2371729797328801</v>
          </cell>
          <cell r="U93">
            <v>1.2787981829638299E-3</v>
          </cell>
          <cell r="V93">
            <v>8.4092194989267497E-5</v>
          </cell>
          <cell r="W93">
            <v>1.27282059748853E-3</v>
          </cell>
          <cell r="Y93">
            <v>1.2358474847357901</v>
          </cell>
          <cell r="Z93">
            <v>1.2358218926344</v>
          </cell>
          <cell r="AA93">
            <v>1.23566122006542</v>
          </cell>
          <cell r="AF93">
            <v>-2.8309601612703302E-4</v>
          </cell>
          <cell r="AG93">
            <v>-4.0275330639560301E-4</v>
          </cell>
          <cell r="AR93">
            <v>1.9417481829103801E-3</v>
          </cell>
          <cell r="BC93">
            <v>1.18506828010929E-3</v>
          </cell>
          <cell r="BF93">
            <v>3.1268164630196701E-3</v>
          </cell>
        </row>
        <row r="94">
          <cell r="O94">
            <v>1.2371344131525399</v>
          </cell>
          <cell r="P94">
            <v>1.23528848595963</v>
          </cell>
          <cell r="Q94">
            <v>1.2371685049773</v>
          </cell>
          <cell r="U94">
            <v>1.97873040378654E-3</v>
          </cell>
          <cell r="V94">
            <v>4.6691796805606599E-4</v>
          </cell>
          <cell r="W94">
            <v>2.00990404086331E-3</v>
          </cell>
          <cell r="Y94">
            <v>1.2358474847357901</v>
          </cell>
          <cell r="Z94">
            <v>1.2358445970891401</v>
          </cell>
          <cell r="AA94">
            <v>1.2356645769980299</v>
          </cell>
          <cell r="AF94">
            <v>4.5970423640137798E-4</v>
          </cell>
          <cell r="AG94">
            <v>3.2968306135762899E-4</v>
          </cell>
          <cell r="AR94">
            <v>1.9417481829103801E-3</v>
          </cell>
          <cell r="BC94">
            <v>1.18506828010929E-3</v>
          </cell>
          <cell r="BF94">
            <v>3.1268164630196701E-3</v>
          </cell>
        </row>
        <row r="95">
          <cell r="O95">
            <v>1.2371344131525399</v>
          </cell>
          <cell r="P95">
            <v>1.23571357208733</v>
          </cell>
          <cell r="Q95">
            <v>1.23718984310883</v>
          </cell>
          <cell r="U95">
            <v>-1.85360248000396E-3</v>
          </cell>
          <cell r="V95">
            <v>-3.3468159076568602E-3</v>
          </cell>
          <cell r="W95">
            <v>-1.82604576937382E-3</v>
          </cell>
          <cell r="Y95">
            <v>1.2358474847357901</v>
          </cell>
          <cell r="Z95">
            <v>1.23580843653164</v>
          </cell>
          <cell r="AA95">
            <v>1.23568367624732</v>
          </cell>
          <cell r="AF95">
            <v>3.7979116664597798E-4</v>
          </cell>
          <cell r="AG95">
            <v>2.34114918861427E-4</v>
          </cell>
          <cell r="AR95">
            <v>1.9417481829103801E-3</v>
          </cell>
          <cell r="BC95">
            <v>1.18506828010929E-3</v>
          </cell>
          <cell r="BF95">
            <v>3.1268164630196701E-3</v>
          </cell>
        </row>
        <row r="96">
          <cell r="O96">
            <v>1.2371344131525399</v>
          </cell>
          <cell r="P96">
            <v>1.2361624411379299</v>
          </cell>
          <cell r="Q96">
            <v>1.2372789701838001</v>
          </cell>
          <cell r="U96">
            <v>-2.4406237076858598E-3</v>
          </cell>
          <cell r="V96">
            <v>-3.5897774203701499E-3</v>
          </cell>
          <cell r="W96">
            <v>-2.3958195910389899E-3</v>
          </cell>
          <cell r="Y96">
            <v>1.2358474847357901</v>
          </cell>
          <cell r="Z96">
            <v>1.2357950619565099</v>
          </cell>
          <cell r="AA96">
            <v>1.2357695651340901</v>
          </cell>
          <cell r="AF96">
            <v>-2.2473848199138901E-4</v>
          </cell>
          <cell r="AG96">
            <v>-3.2569796616619599E-4</v>
          </cell>
          <cell r="AR96">
            <v>1.9417481829103801E-3</v>
          </cell>
          <cell r="BC96">
            <v>1.18506828010929E-3</v>
          </cell>
          <cell r="BF96">
            <v>3.1268164630196701E-3</v>
          </cell>
        </row>
        <row r="97">
          <cell r="O97">
            <v>1.2371344131525399</v>
          </cell>
          <cell r="P97">
            <v>1.2367318564324501</v>
          </cell>
          <cell r="Q97">
            <v>1.23730745077152</v>
          </cell>
          <cell r="U97">
            <v>-2.6466239331418501E-3</v>
          </cell>
          <cell r="V97">
            <v>-3.4325967636649299E-3</v>
          </cell>
          <cell r="W97">
            <v>-2.5297824769782901E-3</v>
          </cell>
          <cell r="Y97">
            <v>1.2358474847357901</v>
          </cell>
          <cell r="Z97">
            <v>1.23590093505756</v>
          </cell>
          <cell r="AA97">
            <v>1.2357958149914201</v>
          </cell>
          <cell r="AF97">
            <v>-4.4173561040362799E-4</v>
          </cell>
          <cell r="AG97">
            <v>-4.6236774127001801E-4</v>
          </cell>
          <cell r="AR97">
            <v>1.9417481829103801E-3</v>
          </cell>
          <cell r="BC97">
            <v>1.18506828010929E-3</v>
          </cell>
          <cell r="BF97">
            <v>3.1268164630196701E-3</v>
          </cell>
        </row>
        <row r="98">
          <cell r="O98">
            <v>1.2371344131525399</v>
          </cell>
          <cell r="P98">
            <v>1.2372293462422399</v>
          </cell>
          <cell r="Q98">
            <v>1.23733593135924</v>
          </cell>
          <cell r="U98">
            <v>-2.6466239331418501E-3</v>
          </cell>
          <cell r="V98">
            <v>-2.9720713743352002E-3</v>
          </cell>
          <cell r="W98">
            <v>-2.5067640141936401E-3</v>
          </cell>
          <cell r="Y98">
            <v>1.2358474847357901</v>
          </cell>
          <cell r="Z98">
            <v>1.2359358457473799</v>
          </cell>
          <cell r="AA98">
            <v>1.2358220648487399</v>
          </cell>
          <cell r="AF98">
            <v>-3.56067226228313E-4</v>
          </cell>
          <cell r="AG98">
            <v>-4.4112625800810801E-4</v>
          </cell>
          <cell r="AR98">
            <v>1.9417481829103801E-3</v>
          </cell>
          <cell r="BC98">
            <v>1.18506828010929E-3</v>
          </cell>
          <cell r="BF98">
            <v>3.1268164630196701E-3</v>
          </cell>
        </row>
        <row r="99">
          <cell r="O99">
            <v>1.2371344131525399</v>
          </cell>
          <cell r="P99">
            <v>1.2376517978173001</v>
          </cell>
          <cell r="Q99">
            <v>1.2373271082470101</v>
          </cell>
          <cell r="U99">
            <v>-2.2501918169489099E-3</v>
          </cell>
          <cell r="V99">
            <v>-2.1734584834675399E-3</v>
          </cell>
          <cell r="W99">
            <v>-2.0873139650533501E-3</v>
          </cell>
          <cell r="Y99">
            <v>1.2358474847357901</v>
          </cell>
          <cell r="Z99">
            <v>1.2358970137826899</v>
          </cell>
          <cell r="AA99">
            <v>1.2358114348993801</v>
          </cell>
          <cell r="AF99">
            <v>6.2825184701326007E-5</v>
          </cell>
          <cell r="AG99">
            <v>-2.9239574736580599E-5</v>
          </cell>
          <cell r="AR99">
            <v>1.9417481829103801E-3</v>
          </cell>
          <cell r="BC99">
            <v>1.18506828010929E-3</v>
          </cell>
          <cell r="BF99">
            <v>3.1268164630196701E-3</v>
          </cell>
        </row>
        <row r="100">
          <cell r="O100">
            <v>1.2371344131525399</v>
          </cell>
          <cell r="P100">
            <v>1.2380647889065299</v>
          </cell>
          <cell r="Q100">
            <v>1.2372947446448901</v>
          </cell>
          <cell r="U100">
            <v>-1.96517738324372E-3</v>
          </cell>
          <cell r="V100">
            <v>-1.5470526417954501E-3</v>
          </cell>
          <cell r="W100">
            <v>-1.8094302898274499E-3</v>
          </cell>
          <cell r="Y100">
            <v>1.2358474847357901</v>
          </cell>
          <cell r="Z100">
            <v>1.2358495190563099</v>
          </cell>
          <cell r="AA100">
            <v>1.23577805301298</v>
          </cell>
          <cell r="AF100">
            <v>3.07508746946717E-4</v>
          </cell>
          <cell r="AG100">
            <v>2.3826200112387101E-4</v>
          </cell>
          <cell r="AR100">
            <v>1.9417481829103801E-3</v>
          </cell>
          <cell r="BC100">
            <v>1.18506828010929E-3</v>
          </cell>
          <cell r="BF100">
            <v>3.1268164630196701E-3</v>
          </cell>
        </row>
        <row r="101">
          <cell r="O101">
            <v>1.2371344131525399</v>
          </cell>
          <cell r="P101">
            <v>1.23844302620963</v>
          </cell>
          <cell r="Q101">
            <v>1.23732410601527</v>
          </cell>
          <cell r="U101">
            <v>-2.2661455061135302E-3</v>
          </cell>
          <cell r="V101">
            <v>-1.5143871853850999E-3</v>
          </cell>
          <cell r="W101">
            <v>-2.13655481480899E-3</v>
          </cell>
          <cell r="Y101">
            <v>1.2358474847357901</v>
          </cell>
          <cell r="Z101">
            <v>1.23576776876996</v>
          </cell>
          <cell r="AA101">
            <v>1.23580564974621</v>
          </cell>
          <cell r="AF101">
            <v>-2.9083677017156599E-5</v>
          </cell>
          <cell r="AG101">
            <v>-8.6912812891431506E-5</v>
          </cell>
          <cell r="AR101">
            <v>1.9417481829103801E-3</v>
          </cell>
          <cell r="BC101">
            <v>1.18506828010929E-3</v>
          </cell>
          <cell r="BF101">
            <v>3.1268164630196701E-3</v>
          </cell>
        </row>
        <row r="102">
          <cell r="O102">
            <v>1.2371344131525399</v>
          </cell>
          <cell r="P102">
            <v>1.2389909282259799</v>
          </cell>
          <cell r="Q102">
            <v>1.23732410601527</v>
          </cell>
          <cell r="U102">
            <v>-2.1712365928822199E-3</v>
          </cell>
          <cell r="V102">
            <v>-1.11401805617511E-3</v>
          </cell>
          <cell r="W102">
            <v>-2.01791588725817E-3</v>
          </cell>
          <cell r="Y102">
            <v>1.2358474847357901</v>
          </cell>
          <cell r="Z102">
            <v>1.23585360129432</v>
          </cell>
          <cell r="AA102">
            <v>1.2358048089515501</v>
          </cell>
          <cell r="AF102">
            <v>-3.2890844580393402E-6</v>
          </cell>
          <cell r="AG102">
            <v>2.73642442837827E-5</v>
          </cell>
          <cell r="AR102">
            <v>1.9417481829103801E-3</v>
          </cell>
          <cell r="BC102">
            <v>1.18506828010929E-3</v>
          </cell>
          <cell r="BF102">
            <v>3.1268164630196701E-3</v>
          </cell>
        </row>
        <row r="103">
          <cell r="O103">
            <v>1.2371344131525399</v>
          </cell>
          <cell r="P103">
            <v>1.2393944340260299</v>
          </cell>
          <cell r="Q103">
            <v>1.2373299725294</v>
          </cell>
          <cell r="U103">
            <v>-1.9816708123105201E-3</v>
          </cell>
          <cell r="V103">
            <v>-4.8213814302440797E-4</v>
          </cell>
          <cell r="W103">
            <v>-1.82835010668633E-3</v>
          </cell>
          <cell r="Y103">
            <v>1.2358474847357901</v>
          </cell>
          <cell r="Z103">
            <v>1.23579750120196</v>
          </cell>
          <cell r="AA103">
            <v>1.23580969691818</v>
          </cell>
          <cell r="AF103">
            <v>2.4981683973249299E-4</v>
          </cell>
          <cell r="AG103">
            <v>2.10335378562441E-4</v>
          </cell>
          <cell r="AR103">
            <v>1.9417481829103801E-3</v>
          </cell>
          <cell r="BC103">
            <v>1.18506828010929E-3</v>
          </cell>
          <cell r="BF103">
            <v>3.1268164630196701E-3</v>
          </cell>
        </row>
        <row r="104">
          <cell r="O104">
            <v>1.2371344131525399</v>
          </cell>
          <cell r="P104">
            <v>1.2395155413215699</v>
          </cell>
          <cell r="Q104">
            <v>1.2374020136406001</v>
          </cell>
          <cell r="U104">
            <v>9.9833816839695207E-4</v>
          </cell>
          <cell r="V104">
            <v>2.8234907430954902E-3</v>
          </cell>
          <cell r="W104">
            <v>1.1564001541702199E-3</v>
          </cell>
          <cell r="Y104">
            <v>1.2358474847357901</v>
          </cell>
          <cell r="Z104">
            <v>1.2359119066430599</v>
          </cell>
          <cell r="AA104">
            <v>1.2358782518661</v>
          </cell>
          <cell r="AF104">
            <v>-4.8577377140573698E-4</v>
          </cell>
          <cell r="AG104">
            <v>-4.7590511895373899E-4</v>
          </cell>
          <cell r="AR104">
            <v>1.9417481829103801E-3</v>
          </cell>
          <cell r="BC104">
            <v>1.18506828010929E-3</v>
          </cell>
          <cell r="BF104">
            <v>3.1268164630196701E-3</v>
          </cell>
        </row>
        <row r="105">
          <cell r="O105">
            <v>1.2371344131525399</v>
          </cell>
          <cell r="P105">
            <v>1.2391625668990101</v>
          </cell>
          <cell r="Q105">
            <v>1.2374380694931699</v>
          </cell>
          <cell r="U105">
            <v>9.9833816839695207E-4</v>
          </cell>
          <cell r="V105">
            <v>2.9212008631384202E-3</v>
          </cell>
          <cell r="W105">
            <v>1.214621498241E-3</v>
          </cell>
          <cell r="Y105">
            <v>1.2358474847357901</v>
          </cell>
          <cell r="Z105">
            <v>1.23601417081319</v>
          </cell>
          <cell r="AA105">
            <v>1.2359113036724201</v>
          </cell>
          <cell r="AF105">
            <v>-3.9320185270057799E-4</v>
          </cell>
          <cell r="AG105">
            <v>-4.2043294822706299E-4</v>
          </cell>
          <cell r="AR105">
            <v>1.9417481829103801E-3</v>
          </cell>
          <cell r="BC105">
            <v>1.18506828010929E-3</v>
          </cell>
          <cell r="BF105">
            <v>3.1268164630196701E-3</v>
          </cell>
        </row>
        <row r="106">
          <cell r="O106">
            <v>1.2371344131525399</v>
          </cell>
          <cell r="P106">
            <v>1.23868777031431</v>
          </cell>
          <cell r="Q106">
            <v>1.2374251057261201</v>
          </cell>
          <cell r="U106">
            <v>1.39524232125557E-3</v>
          </cell>
          <cell r="V106">
            <v>3.0332964127574402E-3</v>
          </cell>
          <cell r="W106">
            <v>1.6406635762678901E-3</v>
          </cell>
          <cell r="Y106">
            <v>1.2358474847357901</v>
          </cell>
          <cell r="Z106">
            <v>1.2359971757825501</v>
          </cell>
          <cell r="AA106">
            <v>1.2358961188695301</v>
          </cell>
          <cell r="AF106">
            <v>7.9225259816944599E-5</v>
          </cell>
          <cell r="AG106">
            <v>-4.0030914404322698E-6</v>
          </cell>
          <cell r="AR106">
            <v>1.9417481829103801E-3</v>
          </cell>
          <cell r="BC106">
            <v>1.18506828010929E-3</v>
          </cell>
          <cell r="BF106">
            <v>3.1268164630196701E-3</v>
          </cell>
        </row>
        <row r="107">
          <cell r="O107">
            <v>1.2371344131525399</v>
          </cell>
          <cell r="P107">
            <v>1.2382855111236899</v>
          </cell>
          <cell r="Q107">
            <v>1.23750868377807</v>
          </cell>
          <cell r="U107">
            <v>6.0159148594598805E-4</v>
          </cell>
          <cell r="V107">
            <v>1.85641291533871E-3</v>
          </cell>
          <cell r="W107">
            <v>8.3653639044181302E-4</v>
          </cell>
          <cell r="Y107">
            <v>1.2358474847357901</v>
          </cell>
          <cell r="Z107">
            <v>1.2360510359541901</v>
          </cell>
          <cell r="AA107">
            <v>1.2359759855058801</v>
          </cell>
          <cell r="AF107">
            <v>-7.1374617829916603E-4</v>
          </cell>
          <cell r="AG107">
            <v>-7.9551096425892404E-4</v>
          </cell>
          <cell r="AR107">
            <v>1.9417481829103801E-3</v>
          </cell>
          <cell r="BC107">
            <v>1.18506828010929E-3</v>
          </cell>
          <cell r="BF107">
            <v>3.1268164630196701E-3</v>
          </cell>
        </row>
        <row r="108">
          <cell r="O108">
            <v>1.2371344131525399</v>
          </cell>
          <cell r="P108">
            <v>1.2377707357818999</v>
          </cell>
          <cell r="Q108">
            <v>1.23750004101207</v>
          </cell>
          <cell r="U108">
            <v>1.5120432359844701E-3</v>
          </cell>
          <cell r="V108">
            <v>2.4420656881967398E-3</v>
          </cell>
          <cell r="W108">
            <v>1.81452776706262E-3</v>
          </cell>
          <cell r="Y108">
            <v>1.2358474847357901</v>
          </cell>
          <cell r="Z108">
            <v>1.2359944548228099</v>
          </cell>
          <cell r="AA108">
            <v>1.2359651502850899</v>
          </cell>
          <cell r="AF108">
            <v>2.23130596272667E-4</v>
          </cell>
          <cell r="AG108">
            <v>1.6241083254230499E-4</v>
          </cell>
          <cell r="AR108">
            <v>1.9417481829103801E-3</v>
          </cell>
          <cell r="BC108">
            <v>1.18506828010929E-3</v>
          </cell>
          <cell r="BF108">
            <v>3.1268164630196701E-3</v>
          </cell>
        </row>
        <row r="109">
          <cell r="O109">
            <v>1.2371344131525399</v>
          </cell>
          <cell r="P109">
            <v>1.23729357505476</v>
          </cell>
          <cell r="Q109">
            <v>1.2374726864360299</v>
          </cell>
          <cell r="U109">
            <v>1.60554650588533E-3</v>
          </cell>
          <cell r="V109">
            <v>2.1197663285384399E-3</v>
          </cell>
          <cell r="W109">
            <v>1.90104700825591E-3</v>
          </cell>
          <cell r="Y109">
            <v>1.2358474847357901</v>
          </cell>
          <cell r="Z109">
            <v>1.23597479281057</v>
          </cell>
          <cell r="AA109">
            <v>1.2359359032966299</v>
          </cell>
          <cell r="AF109">
            <v>2.6935354584188998E-4</v>
          </cell>
          <cell r="AG109">
            <v>2.4564398549320601E-4</v>
          </cell>
          <cell r="AR109">
            <v>1.9417481829103801E-3</v>
          </cell>
          <cell r="BC109">
            <v>1.18506828010929E-3</v>
          </cell>
          <cell r="BF109">
            <v>3.1268164630196701E-3</v>
          </cell>
        </row>
        <row r="110">
          <cell r="O110">
            <v>1.2371344131525399</v>
          </cell>
          <cell r="P110">
            <v>1.2368777272870199</v>
          </cell>
          <cell r="Q110">
            <v>1.2374712580967699</v>
          </cell>
          <cell r="U110">
            <v>1.39524232125557E-3</v>
          </cell>
          <cell r="V110">
            <v>1.52388773199526E-3</v>
          </cell>
          <cell r="W110">
            <v>1.66863787213475E-3</v>
          </cell>
          <cell r="Y110">
            <v>1.2358474847357901</v>
          </cell>
          <cell r="Z110">
            <v>1.23601471561851</v>
          </cell>
          <cell r="AA110">
            <v>1.23593211733741</v>
          </cell>
          <cell r="AF110">
            <v>4.7365892152459898E-5</v>
          </cell>
          <cell r="AG110">
            <v>1.59007473938713E-5</v>
          </cell>
          <cell r="AR110">
            <v>1.9417481829103801E-3</v>
          </cell>
          <cell r="BC110">
            <v>1.18506828010929E-3</v>
          </cell>
          <cell r="BF110">
            <v>3.1268164630196701E-3</v>
          </cell>
        </row>
        <row r="111">
          <cell r="O111">
            <v>1.2371344131525399</v>
          </cell>
          <cell r="P111">
            <v>1.2363264795617299</v>
          </cell>
          <cell r="Q111">
            <v>1.2373847528856801</v>
          </cell>
          <cell r="U111">
            <v>2.18952353854992E-3</v>
          </cell>
          <cell r="V111">
            <v>1.9820177933321101E-3</v>
          </cell>
          <cell r="W111">
            <v>2.4617648497444601E-3</v>
          </cell>
          <cell r="Y111">
            <v>1.2358474847357901</v>
          </cell>
          <cell r="Z111">
            <v>1.23592145169071</v>
          </cell>
          <cell r="AA111">
            <v>1.23584461023034</v>
          </cell>
          <cell r="AF111">
            <v>8.59495171742511E-4</v>
          </cell>
          <cell r="AG111">
            <v>7.9266664611982098E-4</v>
          </cell>
          <cell r="AR111">
            <v>1.9417481829103801E-3</v>
          </cell>
          <cell r="BC111">
            <v>1.18506828010929E-3</v>
          </cell>
          <cell r="BF111">
            <v>3.1268164630196701E-3</v>
          </cell>
        </row>
        <row r="112">
          <cell r="O112">
            <v>1.2371344131525399</v>
          </cell>
          <cell r="P112">
            <v>1.23580152998638</v>
          </cell>
          <cell r="Q112">
            <v>1.23739622910618</v>
          </cell>
          <cell r="U112">
            <v>2.0718196361017198E-3</v>
          </cell>
          <cell r="V112">
            <v>1.4185377330592601E-3</v>
          </cell>
          <cell r="W112">
            <v>2.2741536793588601E-3</v>
          </cell>
          <cell r="Y112">
            <v>1.2358474847357901</v>
          </cell>
          <cell r="Z112">
            <v>1.23585374755477</v>
          </cell>
          <cell r="AA112">
            <v>1.2358536744245401</v>
          </cell>
          <cell r="AF112">
            <v>6.6908484465771196E-4</v>
          </cell>
          <cell r="AG112">
            <v>6.0690949433994603E-4</v>
          </cell>
          <cell r="AR112">
            <v>1.9417481829103801E-3</v>
          </cell>
          <cell r="BC112">
            <v>1.18506828010929E-3</v>
          </cell>
          <cell r="BF112">
            <v>3.1268164630196701E-3</v>
          </cell>
        </row>
        <row r="113">
          <cell r="O113">
            <v>1.2371344131525399</v>
          </cell>
          <cell r="P113">
            <v>1.2354095652632</v>
          </cell>
          <cell r="Q113">
            <v>1.2374019996446199</v>
          </cell>
          <cell r="U113">
            <v>1.1853943843906901E-3</v>
          </cell>
          <cell r="V113">
            <v>1.07417982349849E-4</v>
          </cell>
          <cell r="W113">
            <v>1.39700296191003E-3</v>
          </cell>
          <cell r="Y113">
            <v>1.2358474847357901</v>
          </cell>
          <cell r="Z113">
            <v>1.23591630046222</v>
          </cell>
          <cell r="AA113">
            <v>1.2358569008320901</v>
          </cell>
          <cell r="AF113">
            <v>-2.5621459369365001E-4</v>
          </cell>
          <cell r="AG113">
            <v>-2.5627376754794101E-4</v>
          </cell>
          <cell r="AR113">
            <v>1.9417481829103801E-3</v>
          </cell>
          <cell r="BC113">
            <v>1.18506828010929E-3</v>
          </cell>
          <cell r="BF113">
            <v>3.1268164630196701E-3</v>
          </cell>
        </row>
        <row r="114">
          <cell r="O114">
            <v>1.2371344131525399</v>
          </cell>
          <cell r="P114">
            <v>1.23531443066684</v>
          </cell>
          <cell r="Q114">
            <v>1.2374149859942001</v>
          </cell>
          <cell r="U114">
            <v>1.7683942759748601E-3</v>
          </cell>
          <cell r="V114">
            <v>3.7319307090886202E-4</v>
          </cell>
          <cell r="W114">
            <v>1.9846662950395301E-3</v>
          </cell>
          <cell r="Y114">
            <v>1.2358474847357901</v>
          </cell>
          <cell r="Z114">
            <v>1.2358227588392401</v>
          </cell>
          <cell r="AA114">
            <v>1.23586733274115</v>
          </cell>
          <cell r="AF114">
            <v>3.6720525426180601E-4</v>
          </cell>
          <cell r="AG114">
            <v>3.1914289149278803E-4</v>
          </cell>
          <cell r="AR114">
            <v>1.9417481829103801E-3</v>
          </cell>
          <cell r="BC114">
            <v>1.18506828010929E-3</v>
          </cell>
          <cell r="BF114">
            <v>3.1268164630196701E-3</v>
          </cell>
        </row>
        <row r="115">
          <cell r="O115">
            <v>1.2371344131525399</v>
          </cell>
          <cell r="P115">
            <v>1.23521929607047</v>
          </cell>
          <cell r="Q115">
            <v>1.23719093148474</v>
          </cell>
          <cell r="U115">
            <v>1.7683942759748601E-3</v>
          </cell>
          <cell r="V115">
            <v>2.9618358172859698E-4</v>
          </cell>
          <cell r="W115">
            <v>1.9951610909451699E-3</v>
          </cell>
          <cell r="Y115">
            <v>1.2358474847357901</v>
          </cell>
          <cell r="Z115">
            <v>1.23572921721625</v>
          </cell>
          <cell r="AA115">
            <v>1.2358716940147201</v>
          </cell>
          <cell r="AF115">
            <v>2.9151633987008099E-4</v>
          </cell>
          <cell r="AG115">
            <v>3.2758388900927402E-4</v>
          </cell>
          <cell r="AR115">
            <v>1.9417481829103801E-3</v>
          </cell>
          <cell r="BC115">
            <v>1.18506828010929E-3</v>
          </cell>
          <cell r="BF115">
            <v>3.1268164630196701E-3</v>
          </cell>
        </row>
        <row r="116">
          <cell r="O116">
            <v>1.2371344131525399</v>
          </cell>
          <cell r="P116">
            <v>1.23524240942486</v>
          </cell>
          <cell r="Q116">
            <v>1.2369650898695801</v>
          </cell>
          <cell r="U116">
            <v>1.2081691909005101E-3</v>
          </cell>
          <cell r="V116">
            <v>-3.4105692344450598E-4</v>
          </cell>
          <cell r="W116">
            <v>1.25385302333024E-3</v>
          </cell>
          <cell r="Y116">
            <v>1.2358474847357901</v>
          </cell>
          <cell r="Z116">
            <v>1.23575196796241</v>
          </cell>
          <cell r="AA116">
            <v>1.23587457187248</v>
          </cell>
          <cell r="AF116">
            <v>-3.35406715137093E-4</v>
          </cell>
          <cell r="AG116">
            <v>-2.20115611316914E-4</v>
          </cell>
          <cell r="AR116">
            <v>1.9417481829103801E-3</v>
          </cell>
          <cell r="BC116">
            <v>1.18506828010929E-3</v>
          </cell>
          <cell r="BF116">
            <v>3.1268164630196701E-3</v>
          </cell>
        </row>
        <row r="117">
          <cell r="O117">
            <v>1.2371344131525399</v>
          </cell>
          <cell r="P117">
            <v>1.2351443221271601</v>
          </cell>
          <cell r="Q117">
            <v>1.2367149166254201</v>
          </cell>
          <cell r="U117">
            <v>1.39524232125557E-3</v>
          </cell>
          <cell r="V117">
            <v>-1.3527202407907299E-4</v>
          </cell>
          <cell r="W117">
            <v>1.25836562489299E-3</v>
          </cell>
          <cell r="Y117">
            <v>1.2358474847357901</v>
          </cell>
          <cell r="Z117">
            <v>1.2356556251825099</v>
          </cell>
          <cell r="AA117">
            <v>1.2358533305683499</v>
          </cell>
          <cell r="AF117">
            <v>-1.3293304080179601E-4</v>
          </cell>
          <cell r="AG117">
            <v>-3.3723950600760802E-5</v>
          </cell>
          <cell r="AR117">
            <v>1.9417481829103801E-3</v>
          </cell>
          <cell r="BC117">
            <v>1.18506828010929E-3</v>
          </cell>
          <cell r="BF117">
            <v>3.1268164630196701E-3</v>
          </cell>
        </row>
        <row r="118">
          <cell r="O118">
            <v>1.2371344131525399</v>
          </cell>
          <cell r="P118">
            <v>1.2356453721581599</v>
          </cell>
          <cell r="Q118">
            <v>1.2367080539700299</v>
          </cell>
          <cell r="U118">
            <v>-2.5359666728150599E-3</v>
          </cell>
          <cell r="V118">
            <v>-4.1458914978885798E-3</v>
          </cell>
          <cell r="W118">
            <v>-2.8751114429410199E-3</v>
          </cell>
          <cell r="Y118">
            <v>1.2358474847357901</v>
          </cell>
          <cell r="Z118">
            <v>1.2356978309957001</v>
          </cell>
          <cell r="AA118">
            <v>1.23584614290925</v>
          </cell>
          <cell r="AF118">
            <v>-4.3829377086770498E-4</v>
          </cell>
          <cell r="AG118">
            <v>-2.7830617640370699E-4</v>
          </cell>
          <cell r="AR118">
            <v>1.9417481829103801E-3</v>
          </cell>
          <cell r="BC118">
            <v>1.18506828010929E-3</v>
          </cell>
          <cell r="BF118">
            <v>3.1268164630196701E-3</v>
          </cell>
        </row>
        <row r="119">
          <cell r="O119">
            <v>1.2371344131525399</v>
          </cell>
          <cell r="P119">
            <v>1.23619535978858</v>
          </cell>
          <cell r="Q119">
            <v>1.2367444674216701</v>
          </cell>
          <cell r="U119">
            <v>-2.8373703901368101E-3</v>
          </cell>
          <cell r="V119">
            <v>-4.0417163518774203E-3</v>
          </cell>
          <cell r="W119">
            <v>-3.1820642761815998E-3</v>
          </cell>
          <cell r="Y119">
            <v>1.2358474847357901</v>
          </cell>
          <cell r="Z119">
            <v>1.2357881894646701</v>
          </cell>
          <cell r="AA119">
            <v>1.2358814911376199</v>
          </cell>
          <cell r="AF119">
            <v>-7.0165180427773802E-4</v>
          </cell>
          <cell r="AG119">
            <v>-5.81636206497596E-4</v>
          </cell>
          <cell r="AR119">
            <v>1.9417481829103801E-3</v>
          </cell>
          <cell r="BC119">
            <v>1.18506828010929E-3</v>
          </cell>
          <cell r="BF119">
            <v>3.1268164630196701E-3</v>
          </cell>
        </row>
        <row r="120">
          <cell r="O120">
            <v>1.2371344131525399</v>
          </cell>
          <cell r="P120">
            <v>1.23664654206844</v>
          </cell>
          <cell r="Q120">
            <v>1.23676213467773</v>
          </cell>
          <cell r="U120">
            <v>-2.2501918169489099E-3</v>
          </cell>
          <cell r="V120">
            <v>-3.0095352893464802E-3</v>
          </cell>
          <cell r="W120">
            <v>-2.5654422822491202E-3</v>
          </cell>
          <cell r="Y120">
            <v>1.2358474847357901</v>
          </cell>
          <cell r="Z120">
            <v>1.2357822044112501</v>
          </cell>
          <cell r="AA120">
            <v>1.2358984600148799</v>
          </cell>
          <cell r="AF120">
            <v>-5.5194949735595297E-5</v>
          </cell>
          <cell r="AG120">
            <v>2.0301928935579E-5</v>
          </cell>
          <cell r="AR120">
            <v>1.9417481829103801E-3</v>
          </cell>
          <cell r="BC120">
            <v>1.18506828010929E-3</v>
          </cell>
          <cell r="BF120">
            <v>3.1268164630196701E-3</v>
          </cell>
        </row>
        <row r="121">
          <cell r="O121">
            <v>1.2371344131525399</v>
          </cell>
          <cell r="P121">
            <v>1.2371840218996899</v>
          </cell>
          <cell r="Q121">
            <v>1.23675525073071</v>
          </cell>
          <cell r="U121">
            <v>-2.1551026649516999E-3</v>
          </cell>
          <cell r="V121">
            <v>-2.5495362055601299E-3</v>
          </cell>
          <cell r="W121">
            <v>-2.4560679401147301E-3</v>
          </cell>
          <cell r="Y121">
            <v>1.2358474847357901</v>
          </cell>
          <cell r="Z121">
            <v>1.2358612198831</v>
          </cell>
          <cell r="AA121">
            <v>1.2358913357869099</v>
          </cell>
          <cell r="AF121">
            <v>3.1742620943974497E-5</v>
          </cell>
          <cell r="AG121">
            <v>1.2581270482661799E-4</v>
          </cell>
          <cell r="AR121">
            <v>1.9417481829103801E-3</v>
          </cell>
          <cell r="BC121">
            <v>1.18506828010929E-3</v>
          </cell>
          <cell r="BF121">
            <v>3.1268164630196701E-3</v>
          </cell>
        </row>
        <row r="122">
          <cell r="O122">
            <v>1.2371344131525399</v>
          </cell>
          <cell r="P122">
            <v>1.23768342640315</v>
          </cell>
          <cell r="Q122">
            <v>1.23674247819477</v>
          </cell>
          <cell r="U122">
            <v>-1.96517738324372E-3</v>
          </cell>
          <cell r="V122">
            <v>-1.9250784643239001E-3</v>
          </cell>
          <cell r="W122">
            <v>-2.2717087781857202E-3</v>
          </cell>
          <cell r="Y122">
            <v>1.2358474847357901</v>
          </cell>
          <cell r="Z122">
            <v>1.23590338667969</v>
          </cell>
          <cell r="AA122">
            <v>1.2358785671172301</v>
          </cell>
          <cell r="AF122">
            <v>2.7900224274277302E-4</v>
          </cell>
          <cell r="AG122">
            <v>3.0337029992439502E-4</v>
          </cell>
          <cell r="AR122">
            <v>1.9417481829103801E-3</v>
          </cell>
          <cell r="BC122">
            <v>1.18506828010929E-3</v>
          </cell>
          <cell r="BF122">
            <v>3.1268164630196701E-3</v>
          </cell>
        </row>
        <row r="123">
          <cell r="O123">
            <v>1.2371344131525399</v>
          </cell>
          <cell r="P123">
            <v>1.2381224384384599</v>
          </cell>
          <cell r="Q123">
            <v>1.23676600185083</v>
          </cell>
          <cell r="U123">
            <v>-2.3611385842199199E-3</v>
          </cell>
          <cell r="V123">
            <v>-1.91745885083332E-3</v>
          </cell>
          <cell r="W123">
            <v>-2.6779974889005699E-3</v>
          </cell>
          <cell r="Y123">
            <v>1.2358474847357901</v>
          </cell>
          <cell r="Z123">
            <v>1.23588603293796</v>
          </cell>
          <cell r="AA123">
            <v>1.2359011667000901</v>
          </cell>
          <cell r="AF123">
            <v>-7.5656604900974602E-5</v>
          </cell>
          <cell r="AG123">
            <v>-9.5738928442116805E-5</v>
          </cell>
          <cell r="AR123">
            <v>1.9417481829103801E-3</v>
          </cell>
          <cell r="BC123">
            <v>1.18506828010929E-3</v>
          </cell>
          <cell r="BF123">
            <v>3.1268164630196701E-3</v>
          </cell>
        </row>
        <row r="124">
          <cell r="O124">
            <v>1.2371344131525399</v>
          </cell>
          <cell r="P124">
            <v>1.2385843771537199</v>
          </cell>
          <cell r="Q124">
            <v>1.23694940391028</v>
          </cell>
          <cell r="U124">
            <v>-1.96517738324372E-3</v>
          </cell>
          <cell r="V124">
            <v>-1.1668559179309099E-3</v>
          </cell>
          <cell r="W124">
            <v>-2.2630158105278902E-3</v>
          </cell>
          <cell r="Y124">
            <v>1.2358474847357901</v>
          </cell>
          <cell r="Z124">
            <v>1.23589142404893</v>
          </cell>
          <cell r="AA124">
            <v>1.2358570914440801</v>
          </cell>
          <cell r="AF124">
            <v>2.99079582633148E-4</v>
          </cell>
          <cell r="AG124">
            <v>3.1132478087136603E-4</v>
          </cell>
          <cell r="AR124">
            <v>1.9417481829103801E-3</v>
          </cell>
          <cell r="BC124">
            <v>1.18506828010929E-3</v>
          </cell>
          <cell r="BF124">
            <v>3.1268164630196701E-3</v>
          </cell>
        </row>
        <row r="125">
          <cell r="O125">
            <v>1.2371344131525399</v>
          </cell>
          <cell r="P125">
            <v>1.23862760019254</v>
          </cell>
          <cell r="Q125">
            <v>1.2369234481314999</v>
          </cell>
          <cell r="U125">
            <v>1.4184568259132601E-3</v>
          </cell>
          <cell r="V125">
            <v>2.5898048583703798E-3</v>
          </cell>
          <cell r="W125">
            <v>1.2688990451070099E-3</v>
          </cell>
          <cell r="Y125">
            <v>1.2358474847357901</v>
          </cell>
          <cell r="Z125">
            <v>1.23592573305689</v>
          </cell>
          <cell r="AA125">
            <v>1.2358274751365701</v>
          </cell>
          <cell r="AF125">
            <v>6.9413968761151303E-5</v>
          </cell>
          <cell r="AG125">
            <v>4.1633954221572403E-5</v>
          </cell>
          <cell r="AR125">
            <v>1.9417481829103801E-3</v>
          </cell>
          <cell r="BC125">
            <v>1.18506828010929E-3</v>
          </cell>
          <cell r="BF125">
            <v>3.1268164630196701E-3</v>
          </cell>
        </row>
        <row r="126">
          <cell r="O126">
            <v>1.2371344131525399</v>
          </cell>
          <cell r="P126">
            <v>1.2386044868381501</v>
          </cell>
          <cell r="Q126">
            <v>1.2369234481314999</v>
          </cell>
          <cell r="U126">
            <v>1.39524232125557E-3</v>
          </cell>
          <cell r="V126">
            <v>2.6014868738467199E-3</v>
          </cell>
          <cell r="W126">
            <v>1.2247006174029901E-3</v>
          </cell>
          <cell r="Y126">
            <v>1.2358474847357901</v>
          </cell>
          <cell r="Z126">
            <v>1.2358946462517</v>
          </cell>
          <cell r="AA126">
            <v>1.2358233071070499</v>
          </cell>
          <cell r="AF126">
            <v>7.5122625761296096E-5</v>
          </cell>
          <cell r="AG126">
            <v>-4.3820109052552303E-6</v>
          </cell>
          <cell r="AR126">
            <v>1.9417481829103801E-3</v>
          </cell>
          <cell r="BC126">
            <v>1.18506828010929E-3</v>
          </cell>
          <cell r="BF126">
            <v>3.1268164630196701E-3</v>
          </cell>
        </row>
        <row r="127">
          <cell r="O127">
            <v>1.2371344131525399</v>
          </cell>
          <cell r="P127">
            <v>1.2386044868381501</v>
          </cell>
          <cell r="Q127">
            <v>1.2368744044826601</v>
          </cell>
          <cell r="U127">
            <v>1.39524232125557E-3</v>
          </cell>
          <cell r="V127">
            <v>2.5828262449036701E-3</v>
          </cell>
          <cell r="W127">
            <v>1.2247006174029901E-3</v>
          </cell>
          <cell r="Y127">
            <v>1.2358474847357901</v>
          </cell>
          <cell r="Z127">
            <v>1.23588631019266</v>
          </cell>
          <cell r="AA127">
            <v>1.2357709676875801</v>
          </cell>
          <cell r="AF127">
            <v>4.9969661201171901E-5</v>
          </cell>
          <cell r="AG127">
            <v>-7.75467952679568E-6</v>
          </cell>
          <cell r="AR127">
            <v>1.9417481829103801E-3</v>
          </cell>
          <cell r="BC127">
            <v>1.18506828010929E-3</v>
          </cell>
          <cell r="BF127">
            <v>3.1268164630196701E-3</v>
          </cell>
        </row>
        <row r="128">
          <cell r="O128">
            <v>1.2371344131525399</v>
          </cell>
          <cell r="P128">
            <v>1.23815255272071</v>
          </cell>
          <cell r="Q128">
            <v>1.23689896243943</v>
          </cell>
          <cell r="U128">
            <v>1.11450794949286E-3</v>
          </cell>
          <cell r="V128">
            <v>2.3020918731408101E-3</v>
          </cell>
          <cell r="W128">
            <v>9.0431575536103299E-4</v>
          </cell>
          <cell r="Y128">
            <v>1.2358474847357901</v>
          </cell>
          <cell r="Z128">
            <v>1.2358838738618401</v>
          </cell>
          <cell r="AA128">
            <v>1.23579085242877</v>
          </cell>
          <cell r="AF128">
            <v>-2.31912359608177E-4</v>
          </cell>
          <cell r="AG128">
            <v>-3.25244478256678E-4</v>
          </cell>
          <cell r="AR128">
            <v>1.9417481829103801E-3</v>
          </cell>
          <cell r="BC128">
            <v>1.18506828010929E-3</v>
          </cell>
          <cell r="BF128">
            <v>3.1268164630196701E-3</v>
          </cell>
        </row>
        <row r="129">
          <cell r="O129">
            <v>1.2371344131525399</v>
          </cell>
          <cell r="P129">
            <v>1.2376141146841</v>
          </cell>
          <cell r="Q129">
            <v>1.23690473723634</v>
          </cell>
          <cell r="U129">
            <v>1.5120432359844701E-3</v>
          </cell>
          <cell r="V129">
            <v>2.3346869452763202E-3</v>
          </cell>
          <cell r="W129">
            <v>1.3217056955626299E-3</v>
          </cell>
          <cell r="Y129">
            <v>1.2358474847357901</v>
          </cell>
          <cell r="Z129">
            <v>1.23579658690314</v>
          </cell>
          <cell r="AA129">
            <v>1.2357923881838999</v>
          </cell>
          <cell r="AF129">
            <v>1.5502544138753E-4</v>
          </cell>
          <cell r="AG129">
            <v>7.9755477970588697E-5</v>
          </cell>
          <cell r="AR129">
            <v>1.9417481829103801E-3</v>
          </cell>
          <cell r="BC129">
            <v>1.18506828010929E-3</v>
          </cell>
          <cell r="BF129">
            <v>3.1268164630196701E-3</v>
          </cell>
        </row>
        <row r="130">
          <cell r="O130">
            <v>1.2371344131525399</v>
          </cell>
          <cell r="P130">
            <v>1.2370763479839499</v>
          </cell>
          <cell r="Q130">
            <v>1.2368614450261901</v>
          </cell>
          <cell r="U130">
            <v>2.0963440617496501E-3</v>
          </cell>
          <cell r="V130">
            <v>2.48402105775684E-3</v>
          </cell>
          <cell r="W130">
            <v>1.9106752805396099E-3</v>
          </cell>
          <cell r="Y130">
            <v>1.2358474847357901</v>
          </cell>
          <cell r="Z130">
            <v>1.23570951991602</v>
          </cell>
          <cell r="AA130">
            <v>1.2357458621636399</v>
          </cell>
          <cell r="AF130">
            <v>6.5635582987105595E-4</v>
          </cell>
          <cell r="AG130">
            <v>6.5295824291262505E-4</v>
          </cell>
          <cell r="AR130">
            <v>1.9417481829103801E-3</v>
          </cell>
          <cell r="BC130">
            <v>1.18506828010929E-3</v>
          </cell>
          <cell r="BF130">
            <v>3.1268164630196701E-3</v>
          </cell>
        </row>
        <row r="131">
          <cell r="O131">
            <v>1.2371344131525399</v>
          </cell>
          <cell r="P131">
            <v>1.2366225265969299</v>
          </cell>
          <cell r="Q131">
            <v>1.2369032742483099</v>
          </cell>
          <cell r="U131">
            <v>1.5120432359844701E-3</v>
          </cell>
          <cell r="V131">
            <v>1.4651069203652899E-3</v>
          </cell>
          <cell r="W131">
            <v>1.2913734021607001E-3</v>
          </cell>
          <cell r="Y131">
            <v>1.2358474847357901</v>
          </cell>
          <cell r="Z131">
            <v>1.23570445163614</v>
          </cell>
          <cell r="AA131">
            <v>1.2357828357596199</v>
          </cell>
          <cell r="AF131">
            <v>1.3939171662285499E-5</v>
          </cell>
          <cell r="AG131">
            <v>4.3348763985548299E-5</v>
          </cell>
          <cell r="AR131">
            <v>1.9417481829103801E-3</v>
          </cell>
          <cell r="BC131">
            <v>1.18506828010929E-3</v>
          </cell>
          <cell r="BF131">
            <v>3.1268164630196701E-3</v>
          </cell>
        </row>
        <row r="132">
          <cell r="O132">
            <v>1.2371344131525399</v>
          </cell>
          <cell r="P132">
            <v>1.2362761553214101</v>
          </cell>
          <cell r="Q132">
            <v>1.2369797908622799</v>
          </cell>
          <cell r="U132">
            <v>8.3302418416493604E-4</v>
          </cell>
          <cell r="V132">
            <v>4.1917062022725602E-4</v>
          </cell>
          <cell r="W132">
            <v>6.4617262076262498E-4</v>
          </cell>
          <cell r="Y132">
            <v>1.2358474847357901</v>
          </cell>
          <cell r="Z132">
            <v>1.2358042069533499</v>
          </cell>
          <cell r="AA132">
            <v>1.23585379681652</v>
          </cell>
          <cell r="AF132">
            <v>-6.5492714665488997E-4</v>
          </cell>
          <cell r="AG132">
            <v>-5.91496414962221E-4</v>
          </cell>
          <cell r="AR132">
            <v>1.9417481829103801E-3</v>
          </cell>
          <cell r="BC132">
            <v>1.18506828010929E-3</v>
          </cell>
          <cell r="BF132">
            <v>3.1268164630196701E-3</v>
          </cell>
        </row>
        <row r="133">
          <cell r="O133">
            <v>1.2371344131525399</v>
          </cell>
          <cell r="P133">
            <v>1.23578523730471</v>
          </cell>
          <cell r="Q133">
            <v>1.2369538378715901</v>
          </cell>
          <cell r="U133">
            <v>1.60554650588533E-3</v>
          </cell>
          <cell r="V133">
            <v>9.1155912140526599E-4</v>
          </cell>
          <cell r="W133">
            <v>1.48055446613866E-3</v>
          </cell>
          <cell r="Y133">
            <v>1.2358474847357901</v>
          </cell>
          <cell r="Z133">
            <v>1.23576242356111</v>
          </cell>
          <cell r="AA133">
            <v>1.23582422824953</v>
          </cell>
          <cell r="AF133">
            <v>1.82202743096571E-4</v>
          </cell>
          <cell r="AG133">
            <v>2.2232954308345899E-4</v>
          </cell>
          <cell r="AR133">
            <v>1.9417481829103801E-3</v>
          </cell>
          <cell r="BC133">
            <v>1.18506828010929E-3</v>
          </cell>
          <cell r="BF133">
            <v>3.1268164630196701E-3</v>
          </cell>
        </row>
        <row r="134">
          <cell r="O134">
            <v>1.2371344131525399</v>
          </cell>
          <cell r="P134">
            <v>1.23536938953697</v>
          </cell>
          <cell r="Q134">
            <v>1.2369768833453501</v>
          </cell>
          <cell r="U134">
            <v>1.39524232125557E-3</v>
          </cell>
          <cell r="V134">
            <v>3.0408193402642998E-4</v>
          </cell>
          <cell r="W134">
            <v>1.2492691279398799E-3</v>
          </cell>
          <cell r="Y134">
            <v>1.2358474847357901</v>
          </cell>
          <cell r="Z134">
            <v>1.23579406662413</v>
          </cell>
          <cell r="AA134">
            <v>1.2358427453365299</v>
          </cell>
          <cell r="AF134">
            <v>-5.7021468217282899E-5</v>
          </cell>
          <cell r="AG134">
            <v>-7.0093123464734402E-6</v>
          </cell>
          <cell r="AR134">
            <v>1.9417481829103801E-3</v>
          </cell>
          <cell r="BC134">
            <v>1.18506828010929E-3</v>
          </cell>
          <cell r="BF134">
            <v>3.1268164630196701E-3</v>
          </cell>
        </row>
        <row r="135">
          <cell r="O135">
            <v>1.2371344131525399</v>
          </cell>
          <cell r="P135">
            <v>1.23537225744567</v>
          </cell>
          <cell r="Q135">
            <v>1.23699992881911</v>
          </cell>
          <cell r="U135">
            <v>1.39524232125557E-3</v>
          </cell>
          <cell r="V135">
            <v>-3.2479580297285198E-5</v>
          </cell>
          <cell r="W135">
            <v>1.2678997820351999E-3</v>
          </cell>
          <cell r="Y135">
            <v>1.2358474847357901</v>
          </cell>
          <cell r="Z135">
            <v>1.23579679179016</v>
          </cell>
          <cell r="AA135">
            <v>1.2358612624235299</v>
          </cell>
          <cell r="AF135">
            <v>-3.1415690520935099E-5</v>
          </cell>
          <cell r="AG135">
            <v>7.9741681918971605E-6</v>
          </cell>
          <cell r="AR135">
            <v>1.9417481829103801E-3</v>
          </cell>
          <cell r="BC135">
            <v>1.18506828010929E-3</v>
          </cell>
          <cell r="BF135">
            <v>3.1268164630196701E-3</v>
          </cell>
        </row>
        <row r="136">
          <cell r="O136">
            <v>1.2371344131525399</v>
          </cell>
          <cell r="P136">
            <v>1.2354213010945201</v>
          </cell>
          <cell r="Q136">
            <v>1.2370128939663401</v>
          </cell>
          <cell r="U136">
            <v>9.9833816839695207E-4</v>
          </cell>
          <cell r="V136">
            <v>-4.2706223693022801E-4</v>
          </cell>
          <cell r="W136">
            <v>8.8962593617728696E-4</v>
          </cell>
          <cell r="Y136">
            <v>1.2358474847357901</v>
          </cell>
          <cell r="Z136">
            <v>1.2358447891253499</v>
          </cell>
          <cell r="AA136">
            <v>1.2358697176885201</v>
          </cell>
          <cell r="AF136">
            <v>-4.1751556282091301E-4</v>
          </cell>
          <cell r="AG136">
            <v>-3.6534763993847398E-4</v>
          </cell>
          <cell r="AR136">
            <v>1.9417481829103801E-3</v>
          </cell>
          <cell r="BC136">
            <v>1.18506828010929E-3</v>
          </cell>
          <cell r="BF136">
            <v>3.1268164630196701E-3</v>
          </cell>
        </row>
        <row r="137">
          <cell r="O137">
            <v>1.2371344131525399</v>
          </cell>
          <cell r="P137">
            <v>1.23587049743099</v>
          </cell>
          <cell r="Q137">
            <v>1.2372374921345699</v>
          </cell>
          <cell r="U137">
            <v>-2.2341750000723398E-3</v>
          </cell>
          <cell r="V137">
            <v>-3.6198767031875002E-3</v>
          </cell>
          <cell r="W137">
            <v>-2.33240616516967E-3</v>
          </cell>
          <cell r="Y137">
            <v>1.2358474847357901</v>
          </cell>
          <cell r="Z137">
            <v>1.2358344405764199</v>
          </cell>
          <cell r="AA137">
            <v>1.2358603753845401</v>
          </cell>
          <cell r="AF137">
            <v>9.3368879668797499E-5</v>
          </cell>
          <cell r="AG137">
            <v>1.13539949674328E-4</v>
          </cell>
          <cell r="AR137">
            <v>1.9417481829103801E-3</v>
          </cell>
          <cell r="BC137">
            <v>1.18506828010929E-3</v>
          </cell>
          <cell r="BF137">
            <v>3.1268164630196701E-3</v>
          </cell>
        </row>
        <row r="138">
          <cell r="O138">
            <v>1.2371344131525399</v>
          </cell>
          <cell r="P138">
            <v>1.2362850067073601</v>
          </cell>
          <cell r="Q138">
            <v>1.2372187797140299</v>
          </cell>
          <cell r="U138">
            <v>-2.2341750000723398E-3</v>
          </cell>
          <cell r="V138">
            <v>-3.2563450945942598E-3</v>
          </cell>
          <cell r="W138">
            <v>-2.15085770903087E-3</v>
          </cell>
          <cell r="Y138">
            <v>1.2358474847357901</v>
          </cell>
          <cell r="Z138">
            <v>1.2357900850092201</v>
          </cell>
          <cell r="AA138">
            <v>1.2358369794355299</v>
          </cell>
          <cell r="AF138">
            <v>8.4995180687222205E-5</v>
          </cell>
          <cell r="AG138">
            <v>1.05980625938197E-4</v>
          </cell>
          <cell r="AR138">
            <v>1.9417481829103801E-3</v>
          </cell>
          <cell r="BC138">
            <v>1.18506828010929E-3</v>
          </cell>
          <cell r="BF138">
            <v>3.1268164630196701E-3</v>
          </cell>
        </row>
        <row r="139">
          <cell r="O139">
            <v>1.2371344131525399</v>
          </cell>
          <cell r="P139">
            <v>1.2367722908201499</v>
          </cell>
          <cell r="Q139">
            <v>1.23719320275213</v>
          </cell>
          <cell r="U139">
            <v>-2.4249697233551101E-3</v>
          </cell>
          <cell r="V139">
            <v>-3.1117974176391198E-3</v>
          </cell>
          <cell r="W139">
            <v>-2.3567769028884499E-3</v>
          </cell>
          <cell r="Y139">
            <v>1.2358474847357901</v>
          </cell>
          <cell r="Z139">
            <v>1.23581646222366</v>
          </cell>
          <cell r="AA139">
            <v>1.2358065245634</v>
          </cell>
          <cell r="AF139">
            <v>-1.34303762673176E-4</v>
          </cell>
          <cell r="AG139">
            <v>-9.6357563598492595E-5</v>
          </cell>
          <cell r="AR139">
            <v>1.9417481829103801E-3</v>
          </cell>
          <cell r="BC139">
            <v>1.18506828010929E-3</v>
          </cell>
          <cell r="BF139">
            <v>3.1268164630196701E-3</v>
          </cell>
        </row>
        <row r="140">
          <cell r="O140">
            <v>1.2371344131525399</v>
          </cell>
          <cell r="P140">
            <v>1.2373673065097099</v>
          </cell>
          <cell r="Q140">
            <v>1.2372218272468301</v>
          </cell>
          <cell r="U140">
            <v>-2.7117999480391702E-3</v>
          </cell>
          <cell r="V140">
            <v>-3.00455337676738E-3</v>
          </cell>
          <cell r="W140">
            <v>-2.6642802912055499E-3</v>
          </cell>
          <cell r="Y140">
            <v>1.2358474847357901</v>
          </cell>
          <cell r="Z140">
            <v>1.2359475770894499</v>
          </cell>
          <cell r="AA140">
            <v>1.2358285485027301</v>
          </cell>
          <cell r="AF140">
            <v>-3.8866922091733799E-4</v>
          </cell>
          <cell r="AG140">
            <v>-3.9671062554370601E-4</v>
          </cell>
          <cell r="AR140">
            <v>1.9417481829103801E-3</v>
          </cell>
          <cell r="BC140">
            <v>1.18506828010929E-3</v>
          </cell>
          <cell r="BF140">
            <v>3.1268164630196701E-3</v>
          </cell>
        </row>
        <row r="141">
          <cell r="O141">
            <v>1.2371344131525399</v>
          </cell>
          <cell r="P141">
            <v>1.2378545906225</v>
          </cell>
          <cell r="Q141">
            <v>1.2372385586097201</v>
          </cell>
          <cell r="U141">
            <v>-2.4249697233551101E-3</v>
          </cell>
          <cell r="V141">
            <v>-2.2367351741484501E-3</v>
          </cell>
          <cell r="W141">
            <v>-2.35431369339436E-3</v>
          </cell>
          <cell r="Y141">
            <v>1.2358474847357901</v>
          </cell>
          <cell r="Z141">
            <v>1.2359739543038799</v>
          </cell>
          <cell r="AA141">
            <v>1.23583920297001</v>
          </cell>
          <cell r="AF141">
            <v>-6.8694618159563096E-6</v>
          </cell>
          <cell r="AG141">
            <v>-1.03179629691166E-4</v>
          </cell>
          <cell r="AR141">
            <v>1.9417481829103801E-3</v>
          </cell>
          <cell r="BC141">
            <v>1.18506828010929E-3</v>
          </cell>
          <cell r="BF141">
            <v>3.1268164630196701E-3</v>
          </cell>
        </row>
        <row r="142">
          <cell r="O142">
            <v>1.2371344131525399</v>
          </cell>
          <cell r="P142">
            <v>1.23820865972492</v>
          </cell>
          <cell r="Q142">
            <v>1.2372424075231601</v>
          </cell>
          <cell r="U142">
            <v>-2.0272763397083402E-3</v>
          </cell>
          <cell r="V142">
            <v>-1.4453121457747599E-3</v>
          </cell>
          <cell r="W142">
            <v>-1.9430970680898499E-3</v>
          </cell>
          <cell r="Y142">
            <v>1.2358474847357901</v>
          </cell>
          <cell r="Z142">
            <v>1.23587008292773</v>
          </cell>
          <cell r="AA142">
            <v>1.2358371449405401</v>
          </cell>
          <cell r="AF142">
            <v>4.0353243886650202E-4</v>
          </cell>
          <cell r="AG142">
            <v>2.9450208306907401E-4</v>
          </cell>
          <cell r="AR142">
            <v>1.9417481829103801E-3</v>
          </cell>
          <cell r="BC142">
            <v>1.18506828010929E-3</v>
          </cell>
          <cell r="BF142">
            <v>3.1268164630196701E-3</v>
          </cell>
        </row>
        <row r="143">
          <cell r="O143">
            <v>1.2371344131525399</v>
          </cell>
          <cell r="P143">
            <v>1.2387330955924001</v>
          </cell>
          <cell r="Q143">
            <v>1.2372591664485599</v>
          </cell>
          <cell r="U143">
            <v>-2.6313944690488701E-3</v>
          </cell>
          <cell r="V143">
            <v>-1.7634366884995199E-3</v>
          </cell>
          <cell r="W143">
            <v>-2.5441043119580199E-3</v>
          </cell>
          <cell r="Y143">
            <v>1.2358474847357901</v>
          </cell>
          <cell r="Z143">
            <v>1.2359331480040501</v>
          </cell>
          <cell r="AA143">
            <v>1.23584778578258</v>
          </cell>
          <cell r="AF143">
            <v>-2.7477137843677702E-4</v>
          </cell>
          <cell r="AG143">
            <v>-3.01423391928778E-4</v>
          </cell>
          <cell r="AR143">
            <v>1.9417481829103801E-3</v>
          </cell>
          <cell r="BC143">
            <v>1.18506828010929E-3</v>
          </cell>
          <cell r="BF143">
            <v>3.1268164630196701E-3</v>
          </cell>
        </row>
        <row r="144">
          <cell r="O144">
            <v>1.2371344131525399</v>
          </cell>
          <cell r="P144">
            <v>1.2392078921771099</v>
          </cell>
          <cell r="Q144">
            <v>1.23728864085704</v>
          </cell>
          <cell r="U144">
            <v>-2.4406237076858598E-3</v>
          </cell>
          <cell r="V144">
            <v>-1.1492115813113699E-3</v>
          </cell>
          <cell r="W144">
            <v>-2.3397882568081401E-3</v>
          </cell>
          <cell r="Y144">
            <v>1.2358474847357901</v>
          </cell>
          <cell r="Z144">
            <v>1.2359481612556</v>
          </cell>
          <cell r="AA144">
            <v>1.2358711139398599</v>
          </cell>
          <cell r="AF144">
            <v>-4.0353366260484403E-5</v>
          </cell>
          <cell r="AG144">
            <v>-1.09422773133591E-4</v>
          </cell>
          <cell r="AR144">
            <v>1.9417481829103801E-3</v>
          </cell>
          <cell r="BC144">
            <v>1.18506828010929E-3</v>
          </cell>
          <cell r="BF144">
            <v>3.1268164630196701E-3</v>
          </cell>
        </row>
        <row r="145">
          <cell r="O145">
            <v>1.2371344131525399</v>
          </cell>
          <cell r="P145">
            <v>1.2397319013602399</v>
          </cell>
          <cell r="Q145">
            <v>1.23755207940296</v>
          </cell>
          <cell r="U145">
            <v>-2.8373703901368101E-3</v>
          </cell>
          <cell r="V145">
            <v>-1.16273962146028E-3</v>
          </cell>
          <cell r="W145">
            <v>-2.7127128830459202E-3</v>
          </cell>
          <cell r="Y145">
            <v>1.2358474847357901</v>
          </cell>
          <cell r="Z145">
            <v>1.23601115903693</v>
          </cell>
          <cell r="AA145">
            <v>1.2359039754135499</v>
          </cell>
          <cell r="AF145">
            <v>-4.1636048124776701E-4</v>
          </cell>
          <cell r="AG145">
            <v>-4.7870105487540099E-4</v>
          </cell>
          <cell r="AR145">
            <v>1.9417481829103801E-3</v>
          </cell>
          <cell r="BC145">
            <v>1.18506828010929E-3</v>
          </cell>
          <cell r="BF145">
            <v>3.1268164630196701E-3</v>
          </cell>
        </row>
        <row r="146">
          <cell r="O146">
            <v>1.2371344131525399</v>
          </cell>
          <cell r="P146">
            <v>1.2401576542960999</v>
          </cell>
          <cell r="Q146">
            <v>1.23778947769531</v>
          </cell>
          <cell r="U146">
            <v>-2.4406237076858598E-3</v>
          </cell>
          <cell r="V146">
            <v>-3.43224147040663E-4</v>
          </cell>
          <cell r="W146">
            <v>-2.10307286587889E-3</v>
          </cell>
          <cell r="Y146">
            <v>1.2358474847357901</v>
          </cell>
          <cell r="Z146">
            <v>1.2359781749532901</v>
          </cell>
          <cell r="AA146">
            <v>1.23591148203932</v>
          </cell>
          <cell r="AF146">
            <v>2.2763778150893899E-5</v>
          </cell>
          <cell r="AG146">
            <v>-6.3957340999653195E-5</v>
          </cell>
          <cell r="AR146">
            <v>1.9417481829103801E-3</v>
          </cell>
          <cell r="BC146">
            <v>1.18506828010929E-3</v>
          </cell>
          <cell r="BF146">
            <v>3.1268164630196701E-3</v>
          </cell>
        </row>
        <row r="147">
          <cell r="O147">
            <v>1.2371344131525399</v>
          </cell>
          <cell r="P147">
            <v>1.23961883394648</v>
          </cell>
          <cell r="Q147">
            <v>1.2377446656887301</v>
          </cell>
          <cell r="U147">
            <v>2.12096555033092E-3</v>
          </cell>
          <cell r="V147">
            <v>4.5617295475681198E-3</v>
          </cell>
          <cell r="W147">
            <v>2.6503269262446402E-3</v>
          </cell>
          <cell r="Y147">
            <v>1.2358474847357901</v>
          </cell>
          <cell r="Z147">
            <v>1.2359000007581</v>
          </cell>
          <cell r="AA147">
            <v>1.2358672206672601</v>
          </cell>
          <cell r="AF147">
            <v>8.3410993591408395E-4</v>
          </cell>
          <cell r="AG147">
            <v>7.80148858972775E-4</v>
          </cell>
          <cell r="AR147">
            <v>1.9417481829103801E-3</v>
          </cell>
          <cell r="BC147">
            <v>1.18506828010929E-3</v>
          </cell>
          <cell r="BF147">
            <v>3.1268164630196701E-3</v>
          </cell>
        </row>
        <row r="148">
          <cell r="O148">
            <v>1.2371344131525399</v>
          </cell>
          <cell r="P148">
            <v>1.23910609284299</v>
          </cell>
          <cell r="Q148">
            <v>1.23769554977518</v>
          </cell>
          <cell r="U148">
            <v>1.90973661963132E-3</v>
          </cell>
          <cell r="V148">
            <v>3.9159289039277199E-3</v>
          </cell>
          <cell r="W148">
            <v>2.4028940864175802E-3</v>
          </cell>
          <cell r="Y148">
            <v>1.2358474847357901</v>
          </cell>
          <cell r="Z148">
            <v>1.2358472146570001</v>
          </cell>
          <cell r="AA148">
            <v>1.2358186498331101</v>
          </cell>
          <cell r="AF148">
            <v>5.65299892727939E-4</v>
          </cell>
          <cell r="AG148">
            <v>5.3877628600881996E-4</v>
          </cell>
          <cell r="AR148">
            <v>1.9417481829103801E-3</v>
          </cell>
          <cell r="BC148">
            <v>1.18506828010929E-3</v>
          </cell>
          <cell r="BF148">
            <v>3.1268164630196701E-3</v>
          </cell>
        </row>
        <row r="149">
          <cell r="O149">
            <v>1.2371344131525399</v>
          </cell>
          <cell r="P149">
            <v>1.23866792464376</v>
          </cell>
          <cell r="Q149">
            <v>1.23772010773196</v>
          </cell>
          <cell r="U149">
            <v>1.11450794949286E-3</v>
          </cell>
          <cell r="V149">
            <v>2.7069866302678702E-3</v>
          </cell>
          <cell r="W149">
            <v>1.56798284729169E-3</v>
          </cell>
          <cell r="Y149">
            <v>1.2358474847357901</v>
          </cell>
          <cell r="Z149">
            <v>1.2358675475326699</v>
          </cell>
          <cell r="AA149">
            <v>1.23584200487816</v>
          </cell>
          <cell r="AF149">
            <v>-2.52573365556622E-4</v>
          </cell>
          <cell r="AG149">
            <v>-2.7568718874631599E-4</v>
          </cell>
          <cell r="AR149">
            <v>1.9417481829103801E-3</v>
          </cell>
          <cell r="BC149">
            <v>1.18506828010929E-3</v>
          </cell>
          <cell r="BF149">
            <v>3.1268164630196701E-3</v>
          </cell>
        </row>
        <row r="150">
          <cell r="O150">
            <v>1.2371344131525399</v>
          </cell>
          <cell r="P150">
            <v>1.2382173619867001</v>
          </cell>
          <cell r="Q150">
            <v>1.23779233424821</v>
          </cell>
          <cell r="U150">
            <v>9.2693555772311404E-4</v>
          </cell>
          <cell r="V150">
            <v>2.1657353309677799E-3</v>
          </cell>
          <cell r="W150">
            <v>1.4002519368539899E-3</v>
          </cell>
          <cell r="Y150">
            <v>1.2358474847357901</v>
          </cell>
          <cell r="Z150">
            <v>1.2358764414751799</v>
          </cell>
          <cell r="AA150">
            <v>1.2359120092823099</v>
          </cell>
          <cell r="AF150">
            <v>-4.1927037730739601E-4</v>
          </cell>
          <cell r="AG150">
            <v>-4.3993838377432798E-4</v>
          </cell>
          <cell r="AR150">
            <v>1.9417481829103801E-3</v>
          </cell>
          <cell r="BC150">
            <v>1.18506828010929E-3</v>
          </cell>
          <cell r="BF150">
            <v>3.1268164630196701E-3</v>
          </cell>
        </row>
        <row r="151">
          <cell r="O151">
            <v>1.2371344131525399</v>
          </cell>
          <cell r="P151">
            <v>1.2377185282801</v>
          </cell>
          <cell r="Q151">
            <v>1.2377865594513</v>
          </cell>
          <cell r="U151">
            <v>1.60554650588533E-3</v>
          </cell>
          <cell r="V151">
            <v>2.4805323678003602E-3</v>
          </cell>
          <cell r="W151">
            <v>2.13721566486581E-3</v>
          </cell>
          <cell r="Y151">
            <v>1.2358474847357901</v>
          </cell>
          <cell r="Z151">
            <v>1.23583759979664</v>
          </cell>
          <cell r="AA151">
            <v>1.2359057770502599</v>
          </cell>
          <cell r="AF151">
            <v>2.4988697890723403E-4</v>
          </cell>
          <cell r="AG151">
            <v>2.7866598475315802E-4</v>
          </cell>
          <cell r="AR151">
            <v>1.9417481829103801E-3</v>
          </cell>
          <cell r="BC151">
            <v>1.18506828010929E-3</v>
          </cell>
          <cell r="BF151">
            <v>3.1268164630196701E-3</v>
          </cell>
        </row>
        <row r="152">
          <cell r="O152">
            <v>1.2371344131525399</v>
          </cell>
          <cell r="P152">
            <v>1.23732966974555</v>
          </cell>
          <cell r="Q152">
            <v>1.23776916473524</v>
          </cell>
          <cell r="U152">
            <v>1.11450794949286E-3</v>
          </cell>
          <cell r="V152">
            <v>1.5865482300495999E-3</v>
          </cell>
          <cell r="W152">
            <v>1.64151169714643E-3</v>
          </cell>
          <cell r="Y152">
            <v>1.2358474847357901</v>
          </cell>
          <cell r="Z152">
            <v>1.23590600947982</v>
          </cell>
          <cell r="AA152">
            <v>1.23588804620377</v>
          </cell>
          <cell r="AF152">
            <v>-2.6035337075870299E-4</v>
          </cell>
          <cell r="AG152">
            <v>-2.0518805361747599E-4</v>
          </cell>
          <cell r="AR152">
            <v>1.9417481829103801E-3</v>
          </cell>
          <cell r="BC152">
            <v>1.18506828010929E-3</v>
          </cell>
          <cell r="BF152">
            <v>3.1268164630196701E-3</v>
          </cell>
        </row>
        <row r="153">
          <cell r="O153">
            <v>1.2371344131525399</v>
          </cell>
          <cell r="P153">
            <v>1.23686589938544</v>
          </cell>
          <cell r="Q153">
            <v>1.2377994974889199</v>
          </cell>
          <cell r="U153">
            <v>1.11450794949286E-3</v>
          </cell>
          <cell r="V153">
            <v>1.27232522780383E-3</v>
          </cell>
          <cell r="W153">
            <v>1.62745851636313E-3</v>
          </cell>
          <cell r="Y153">
            <v>1.2358474847357901</v>
          </cell>
          <cell r="Z153">
            <v>1.23590097796563</v>
          </cell>
          <cell r="AA153">
            <v>1.2359170629848399</v>
          </cell>
          <cell r="AF153">
            <v>-2.04999989492702E-4</v>
          </cell>
          <cell r="AG153">
            <v>-2.1953459524106999E-4</v>
          </cell>
          <cell r="AR153">
            <v>1.9417481829103801E-3</v>
          </cell>
          <cell r="BC153">
            <v>1.18506828010929E-3</v>
          </cell>
          <cell r="BF153">
            <v>3.1268164630196701E-3</v>
          </cell>
        </row>
        <row r="154">
          <cell r="O154">
            <v>1.2371344131525399</v>
          </cell>
          <cell r="P154">
            <v>1.2363535860938799</v>
          </cell>
          <cell r="Q154">
            <v>1.2377807391355</v>
          </cell>
          <cell r="U154">
            <v>1.69896674676484E-3</v>
          </cell>
          <cell r="V154">
            <v>1.4818982469776401E-3</v>
          </cell>
          <cell r="W154">
            <v>2.23642299925621E-3</v>
          </cell>
          <cell r="Y154">
            <v>1.2358474847357901</v>
          </cell>
          <cell r="Z154">
            <v>1.2358481695685899</v>
          </cell>
          <cell r="AA154">
            <v>1.2358981654121</v>
          </cell>
          <cell r="AF154">
            <v>3.6096692053122102E-4</v>
          </cell>
          <cell r="AG154">
            <v>3.7398164810941001E-4</v>
          </cell>
          <cell r="AR154">
            <v>1.9417481829103801E-3</v>
          </cell>
          <cell r="BC154">
            <v>1.18506828010929E-3</v>
          </cell>
          <cell r="BF154">
            <v>3.1268164630196701E-3</v>
          </cell>
        </row>
        <row r="155">
          <cell r="O155">
            <v>1.2371344131525399</v>
          </cell>
          <cell r="P155">
            <v>1.23587862055959</v>
          </cell>
          <cell r="Q155">
            <v>1.2378052609599199</v>
          </cell>
          <cell r="U155">
            <v>9.9833816839695207E-4</v>
          </cell>
          <cell r="V155">
            <v>3.6698108493112599E-4</v>
          </cell>
          <cell r="W155">
            <v>1.52063970835173E-3</v>
          </cell>
          <cell r="Y155">
            <v>1.2358474847357901</v>
          </cell>
          <cell r="Z155">
            <v>1.23583176405648</v>
          </cell>
          <cell r="AA155">
            <v>1.23592146154671</v>
          </cell>
          <cell r="AF155">
            <v>-3.6457677444892299E-4</v>
          </cell>
          <cell r="AG155">
            <v>-3.24122911686992E-4</v>
          </cell>
          <cell r="AR155">
            <v>1.9417481829103801E-3</v>
          </cell>
          <cell r="BC155">
            <v>1.18506828010929E-3</v>
          </cell>
          <cell r="BF155">
            <v>3.1268164630196701E-3</v>
          </cell>
        </row>
        <row r="156">
          <cell r="O156">
            <v>1.2371344131525399</v>
          </cell>
          <cell r="P156">
            <v>1.2354038239748899</v>
          </cell>
          <cell r="Q156">
            <v>1.2377807391355</v>
          </cell>
          <cell r="U156">
            <v>1.39524232125557E-3</v>
          </cell>
          <cell r="V156">
            <v>3.7964500432670399E-4</v>
          </cell>
          <cell r="W156">
            <v>1.9373547863197401E-3</v>
          </cell>
          <cell r="Y156">
            <v>1.2358474847357901</v>
          </cell>
          <cell r="Z156">
            <v>1.23581551918086</v>
          </cell>
          <cell r="AA156">
            <v>1.2358968470670699</v>
          </cell>
          <cell r="AF156">
            <v>9.05446059386267E-6</v>
          </cell>
          <cell r="AG156">
            <v>8.16324909051871E-5</v>
          </cell>
          <cell r="AR156">
            <v>1.9417481829103801E-3</v>
          </cell>
          <cell r="BC156">
            <v>1.18506828010929E-3</v>
          </cell>
          <cell r="BF156">
            <v>3.1268164630196701E-3</v>
          </cell>
        </row>
        <row r="157">
          <cell r="O157">
            <v>1.2371344131525399</v>
          </cell>
          <cell r="P157">
            <v>1.2354934479880499</v>
          </cell>
          <cell r="Q157">
            <v>1.23755614096726</v>
          </cell>
          <cell r="U157">
            <v>1.39524232125557E-3</v>
          </cell>
          <cell r="V157">
            <v>-4.6061698767230202E-6</v>
          </cell>
          <cell r="W157">
            <v>1.91754386121065E-3</v>
          </cell>
          <cell r="Y157">
            <v>1.2358474847357901</v>
          </cell>
          <cell r="Z157">
            <v>1.23590281030089</v>
          </cell>
          <cell r="AA157">
            <v>1.2359014055294999</v>
          </cell>
          <cell r="AF157">
            <v>-4.0905182491951899E-6</v>
          </cell>
          <cell r="AG157">
            <v>6.1716399541950797E-5</v>
          </cell>
          <cell r="AR157">
            <v>1.9417481829103801E-3</v>
          </cell>
          <cell r="BC157">
            <v>1.18506828010929E-3</v>
          </cell>
          <cell r="BF157">
            <v>3.1268164630196701E-3</v>
          </cell>
        </row>
        <row r="158">
          <cell r="O158">
            <v>1.2371344131525399</v>
          </cell>
          <cell r="P158">
            <v>1.23566667918856</v>
          </cell>
          <cell r="Q158">
            <v>1.2373863860157801</v>
          </cell>
          <cell r="U158">
            <v>5.0778137661179796E-4</v>
          </cell>
          <cell r="V158">
            <v>-8.1952341615178399E-4</v>
          </cell>
          <cell r="W158">
            <v>8.4861414708048497E-4</v>
          </cell>
          <cell r="Y158">
            <v>1.2358474847357901</v>
          </cell>
          <cell r="Z158">
            <v>1.23607169013189</v>
          </cell>
          <cell r="AA158">
            <v>1.2359594523944399</v>
          </cell>
          <cell r="AF158">
            <v>-7.9871793412462303E-4</v>
          </cell>
          <cell r="AG158">
            <v>-7.9985457058159403E-4</v>
          </cell>
          <cell r="AR158">
            <v>1.9417481829103801E-3</v>
          </cell>
          <cell r="BC158">
            <v>1.18506828010929E-3</v>
          </cell>
          <cell r="BF158">
            <v>3.1268164630196701E-3</v>
          </cell>
        </row>
        <row r="159">
          <cell r="O159">
            <v>1.2371344131525399</v>
          </cell>
          <cell r="P159">
            <v>1.23568103577732</v>
          </cell>
          <cell r="Q159">
            <v>1.23717448021054</v>
          </cell>
          <cell r="U159">
            <v>9.9833816839695207E-4</v>
          </cell>
          <cell r="V159">
            <v>-1.88764296812804E-4</v>
          </cell>
          <cell r="W159">
            <v>1.2019920347871101E-3</v>
          </cell>
          <cell r="Y159">
            <v>1.2358474847357901</v>
          </cell>
          <cell r="Z159">
            <v>1.2360856318398901</v>
          </cell>
          <cell r="AA159">
            <v>1.23597658968628</v>
          </cell>
          <cell r="AF159">
            <v>-1.83729031326967E-4</v>
          </cell>
          <cell r="AG159">
            <v>-2.7453511834780499E-4</v>
          </cell>
          <cell r="AR159">
            <v>1.9417481829103801E-3</v>
          </cell>
          <cell r="BC159">
            <v>1.18506828010929E-3</v>
          </cell>
          <cell r="BF159">
            <v>3.1268164630196701E-3</v>
          </cell>
        </row>
        <row r="160">
          <cell r="O160">
            <v>1.2371344131525399</v>
          </cell>
          <cell r="P160">
            <v>1.23567221081395</v>
          </cell>
          <cell r="Q160">
            <v>1.23694478640033</v>
          </cell>
          <cell r="U160">
            <v>9.9833816839695207E-4</v>
          </cell>
          <cell r="V160">
            <v>-1.77145867991824E-4</v>
          </cell>
          <cell r="W160">
            <v>1.03072463243731E-3</v>
          </cell>
          <cell r="Y160">
            <v>1.2358474847357901</v>
          </cell>
          <cell r="Z160">
            <v>1.2360769312823101</v>
          </cell>
          <cell r="AA160">
            <v>1.23597668637874</v>
          </cell>
          <cell r="AF160">
            <v>-1.7245005010511501E-4</v>
          </cell>
          <cell r="AG160">
            <v>-2.6066963675919002E-4</v>
          </cell>
          <cell r="AR160">
            <v>1.9417481829103801E-3</v>
          </cell>
          <cell r="BC160">
            <v>1.18506828010929E-3</v>
          </cell>
          <cell r="BF160">
            <v>3.1268164630196701E-3</v>
          </cell>
        </row>
        <row r="161">
          <cell r="O161">
            <v>1.2371344131525399</v>
          </cell>
          <cell r="P161">
            <v>1.23569818926123</v>
          </cell>
          <cell r="Q161">
            <v>1.23670835877067</v>
          </cell>
          <cell r="U161">
            <v>1.39524232125557E-3</v>
          </cell>
          <cell r="V161">
            <v>2.1261647834932001E-4</v>
          </cell>
          <cell r="W161">
            <v>1.24195155140741E-3</v>
          </cell>
          <cell r="Y161">
            <v>1.2358474847357901</v>
          </cell>
          <cell r="Z161">
            <v>1.23610222365123</v>
          </cell>
          <cell r="AA161">
            <v>1.23596991172393</v>
          </cell>
          <cell r="AF161">
            <v>2.0741714858128001E-4</v>
          </cell>
          <cell r="AG161">
            <v>1.2631461673852601E-4</v>
          </cell>
          <cell r="AR161">
            <v>1.9417481829103801E-3</v>
          </cell>
          <cell r="BC161">
            <v>1.18506828010929E-3</v>
          </cell>
          <cell r="BF161">
            <v>3.1268164630196701E-3</v>
          </cell>
        </row>
        <row r="162">
          <cell r="O162">
            <v>1.2371344131525399</v>
          </cell>
          <cell r="P162">
            <v>1.23613829878585</v>
          </cell>
          <cell r="Q162">
            <v>1.2367339842656999</v>
          </cell>
          <cell r="U162">
            <v>-2.4406237076858598E-3</v>
          </cell>
          <cell r="V162">
            <v>-3.6022260348303999E-3</v>
          </cell>
          <cell r="W162">
            <v>-2.7850711324955801E-3</v>
          </cell>
          <cell r="Y162">
            <v>1.2358474847357901</v>
          </cell>
          <cell r="Z162">
            <v>1.23607786447324</v>
          </cell>
          <cell r="AA162">
            <v>1.23599193697653</v>
          </cell>
          <cell r="AF162">
            <v>1.5082354526294801E-4</v>
          </cell>
          <cell r="AG162">
            <v>4.3778183982044497E-5</v>
          </cell>
          <cell r="AR162">
            <v>1.9417481829103801E-3</v>
          </cell>
          <cell r="BC162">
            <v>1.18506828010929E-3</v>
          </cell>
          <cell r="BF162">
            <v>3.1268164630196701E-3</v>
          </cell>
        </row>
        <row r="163">
          <cell r="O163">
            <v>1.2371344131525399</v>
          </cell>
          <cell r="P163">
            <v>1.2365547940056201</v>
          </cell>
          <cell r="Q163">
            <v>1.23671034669553</v>
          </cell>
          <cell r="U163">
            <v>-2.2501918169489099E-3</v>
          </cell>
          <cell r="V163">
            <v>-3.0556949187615198E-3</v>
          </cell>
          <cell r="W163">
            <v>-2.5739187304347801E-3</v>
          </cell>
          <cell r="Y163">
            <v>1.2358474847357901</v>
          </cell>
          <cell r="Z163">
            <v>1.2360309690101601</v>
          </cell>
          <cell r="AA163">
            <v>1.2359659734878901</v>
          </cell>
          <cell r="AF163">
            <v>3.1347835977312298E-4</v>
          </cell>
          <cell r="AG163">
            <v>2.4395969432635601E-4</v>
          </cell>
          <cell r="AR163">
            <v>1.9417481829103801E-3</v>
          </cell>
          <cell r="BC163">
            <v>1.18506828010929E-3</v>
          </cell>
          <cell r="BF163">
            <v>3.1268164630196701E-3</v>
          </cell>
        </row>
        <row r="164">
          <cell r="O164">
            <v>1.2371344131525399</v>
          </cell>
          <cell r="P164">
            <v>1.2371163198955999</v>
          </cell>
          <cell r="Q164">
            <v>1.23673495299474</v>
          </cell>
          <cell r="U164">
            <v>-2.8373703901368101E-3</v>
          </cell>
          <cell r="V164">
            <v>-3.30599769856938E-3</v>
          </cell>
          <cell r="W164">
            <v>-3.1802103840173198E-3</v>
          </cell>
          <cell r="Y164">
            <v>1.2358474847357901</v>
          </cell>
          <cell r="Z164">
            <v>1.23612486461619</v>
          </cell>
          <cell r="AA164">
            <v>1.23598651709239</v>
          </cell>
          <cell r="AF164">
            <v>-2.9357911821578702E-4</v>
          </cell>
          <cell r="AG164">
            <v>-3.4616455727037897E-4</v>
          </cell>
          <cell r="AR164">
            <v>1.9417481829103801E-3</v>
          </cell>
          <cell r="BC164">
            <v>1.18506828010929E-3</v>
          </cell>
          <cell r="BF164">
            <v>3.1268164630196701E-3</v>
          </cell>
        </row>
        <row r="165">
          <cell r="O165">
            <v>1.2371344131525399</v>
          </cell>
          <cell r="P165">
            <v>1.23746929431816</v>
          </cell>
          <cell r="Q165">
            <v>1.2366739574388801</v>
          </cell>
          <cell r="U165">
            <v>-1.85360248000396E-3</v>
          </cell>
          <cell r="V165">
            <v>-1.8682277212502499E-3</v>
          </cell>
          <cell r="W165">
            <v>-2.1765460975900902E-3</v>
          </cell>
          <cell r="Y165">
            <v>1.2358474847357901</v>
          </cell>
          <cell r="Z165">
            <v>1.2360162640382799</v>
          </cell>
          <cell r="AA165">
            <v>1.2359240140473799</v>
          </cell>
          <cell r="AF165">
            <v>7.3810810796299999E-4</v>
          </cell>
          <cell r="AG165">
            <v>6.2618149740220196E-4</v>
          </cell>
          <cell r="AR165">
            <v>1.9417481829103801E-3</v>
          </cell>
          <cell r="BC165">
            <v>1.18506828010929E-3</v>
          </cell>
          <cell r="BF165">
            <v>3.1268164630196701E-3</v>
          </cell>
        </row>
        <row r="166">
          <cell r="O166">
            <v>1.2371344131525399</v>
          </cell>
          <cell r="P166">
            <v>1.2379184906546199</v>
          </cell>
          <cell r="Q166">
            <v>1.2366611573147499</v>
          </cell>
          <cell r="U166">
            <v>-2.2341750000723398E-3</v>
          </cell>
          <cell r="V166">
            <v>-1.9635206188054598E-3</v>
          </cell>
          <cell r="W166">
            <v>-2.60643966248872E-3</v>
          </cell>
          <cell r="Y166">
            <v>1.2358474847357901</v>
          </cell>
          <cell r="Z166">
            <v>1.2360005116342401</v>
          </cell>
          <cell r="AA166">
            <v>1.2359080154075499</v>
          </cell>
          <cell r="AF166">
            <v>2.8580873082707998E-4</v>
          </cell>
          <cell r="AG166">
            <v>2.1117101262683099E-4</v>
          </cell>
          <cell r="AR166">
            <v>1.9417481829103801E-3</v>
          </cell>
          <cell r="BC166">
            <v>1.18506828010929E-3</v>
          </cell>
          <cell r="BF166">
            <v>3.1268164630196701E-3</v>
          </cell>
        </row>
        <row r="167">
          <cell r="O167">
            <v>1.2371344131525399</v>
          </cell>
          <cell r="P167">
            <v>1.2384169480748299</v>
          </cell>
          <cell r="Q167">
            <v>1.2369551980314399</v>
          </cell>
          <cell r="U167">
            <v>-2.6313944690488701E-3</v>
          </cell>
          <cell r="V167">
            <v>-1.99781000941537E-3</v>
          </cell>
          <cell r="W167">
            <v>-3.0140096286915699E-3</v>
          </cell>
          <cell r="Y167">
            <v>1.2358474847357901</v>
          </cell>
          <cell r="Z167">
            <v>1.2360326140654301</v>
          </cell>
          <cell r="AA167">
            <v>1.23596771218316</v>
          </cell>
          <cell r="AF167">
            <v>-1.14141492413948E-4</v>
          </cell>
          <cell r="AG167">
            <v>-1.8897939658652399E-4</v>
          </cell>
          <cell r="AR167">
            <v>1.9417481829103801E-3</v>
          </cell>
          <cell r="BC167">
            <v>1.18506828010929E-3</v>
          </cell>
          <cell r="BF167">
            <v>3.1268164630196701E-3</v>
          </cell>
        </row>
        <row r="168">
          <cell r="O168">
            <v>1.2371344131525399</v>
          </cell>
          <cell r="P168">
            <v>1.2382870202537299</v>
          </cell>
          <cell r="Q168">
            <v>1.23697684972114</v>
          </cell>
          <cell r="U168">
            <v>1.55909929151915E-3</v>
          </cell>
          <cell r="V168">
            <v>2.59526041273402E-3</v>
          </cell>
          <cell r="W168">
            <v>1.41422570197309E-3</v>
          </cell>
          <cell r="Y168">
            <v>1.2358474847357901</v>
          </cell>
          <cell r="Z168">
            <v>1.2359005550539599</v>
          </cell>
          <cell r="AA168">
            <v>1.2359861225929201</v>
          </cell>
          <cell r="AF168">
            <v>3.7454391876871299E-4</v>
          </cell>
          <cell r="AG168">
            <v>3.2203431219825402E-4</v>
          </cell>
          <cell r="AR168">
            <v>1.9417481829103801E-3</v>
          </cell>
          <cell r="BC168">
            <v>1.18506828010929E-3</v>
          </cell>
          <cell r="BF168">
            <v>3.1268164630196701E-3</v>
          </cell>
        </row>
        <row r="169">
          <cell r="O169">
            <v>1.2371344131525399</v>
          </cell>
          <cell r="P169">
            <v>1.2383656642113501</v>
          </cell>
          <cell r="Q169">
            <v>1.2370233499943299</v>
          </cell>
          <cell r="U169">
            <v>3.6221105767319698E-4</v>
          </cell>
          <cell r="V169">
            <v>1.2934522345718E-3</v>
          </cell>
          <cell r="W169">
            <v>2.34841335886154E-4</v>
          </cell>
          <cell r="Y169">
            <v>1.2358474847357901</v>
          </cell>
          <cell r="Z169">
            <v>1.2359713509966801</v>
          </cell>
          <cell r="AA169">
            <v>1.23602849141829</v>
          </cell>
          <cell r="AF169">
            <v>-8.9466975545471805E-4</v>
          </cell>
          <cell r="AG169">
            <v>-8.2543718118535702E-4</v>
          </cell>
          <cell r="AR169">
            <v>1.9417481829103801E-3</v>
          </cell>
          <cell r="BC169">
            <v>1.18506828010929E-3</v>
          </cell>
          <cell r="BF169">
            <v>3.1268164630196701E-3</v>
          </cell>
        </row>
        <row r="170">
          <cell r="O170">
            <v>1.2371344131525399</v>
          </cell>
          <cell r="P170">
            <v>1.2383224671452699</v>
          </cell>
          <cell r="Q170">
            <v>1.2369973389796101</v>
          </cell>
          <cell r="U170">
            <v>1.3479183824323499E-3</v>
          </cell>
          <cell r="V170">
            <v>2.3426678244496801E-3</v>
          </cell>
          <cell r="W170">
            <v>1.25813982429988E-3</v>
          </cell>
          <cell r="Y170">
            <v>1.2358474847357901</v>
          </cell>
          <cell r="Z170">
            <v>1.2359237534288301</v>
          </cell>
          <cell r="AA170">
            <v>1.2360003423555701</v>
          </cell>
          <cell r="AF170">
            <v>1.20166497641378E-4</v>
          </cell>
          <cell r="AG170">
            <v>1.66396615166223E-4</v>
          </cell>
          <cell r="AR170">
            <v>1.9417481829103801E-3</v>
          </cell>
          <cell r="BC170">
            <v>1.18506828010929E-3</v>
          </cell>
          <cell r="BF170">
            <v>3.1268164630196701E-3</v>
          </cell>
        </row>
        <row r="171">
          <cell r="O171">
            <v>1.2371344131525399</v>
          </cell>
          <cell r="P171">
            <v>1.23837757481178</v>
          </cell>
          <cell r="Q171">
            <v>1.23703788203651</v>
          </cell>
          <cell r="U171">
            <v>9.4927376882125605E-4</v>
          </cell>
          <cell r="V171">
            <v>1.90914028348376E-3</v>
          </cell>
          <cell r="W171">
            <v>8.3846788877767295E-4</v>
          </cell>
          <cell r="Y171">
            <v>1.2358474847357901</v>
          </cell>
          <cell r="Z171">
            <v>1.2359718345895001</v>
          </cell>
          <cell r="AA171">
            <v>1.2360370291203699</v>
          </cell>
          <cell r="AF171">
            <v>-3.0550008732997501E-4</v>
          </cell>
          <cell r="AG171">
            <v>-2.4353303349138299E-4</v>
          </cell>
          <cell r="AR171">
            <v>1.9417481829103801E-3</v>
          </cell>
          <cell r="BC171">
            <v>1.18506828010929E-3</v>
          </cell>
          <cell r="BF171">
            <v>3.1268164630196701E-3</v>
          </cell>
        </row>
        <row r="172">
          <cell r="O172">
            <v>1.2371344131525399</v>
          </cell>
          <cell r="P172">
            <v>1.23795788589358</v>
          </cell>
          <cell r="Q172">
            <v>1.23704809233972</v>
          </cell>
          <cell r="U172">
            <v>9.4927376882125605E-4</v>
          </cell>
          <cell r="V172">
            <v>1.9536411641627701E-3</v>
          </cell>
          <cell r="W172">
            <v>8.7124273090998699E-4</v>
          </cell>
          <cell r="Y172">
            <v>1.2358474847357901</v>
          </cell>
          <cell r="Z172">
            <v>1.23601039274288</v>
          </cell>
          <cell r="AA172">
            <v>1.2360441286080599</v>
          </cell>
          <cell r="AF172">
            <v>-2.66597828744542E-4</v>
          </cell>
          <cell r="AG172">
            <v>-2.1385163366800699E-4</v>
          </cell>
          <cell r="AR172">
            <v>1.9417481829103801E-3</v>
          </cell>
          <cell r="BC172">
            <v>1.18506828010929E-3</v>
          </cell>
          <cell r="BF172">
            <v>3.1268164630196701E-3</v>
          </cell>
        </row>
        <row r="173">
          <cell r="O173">
            <v>1.2371344131525399</v>
          </cell>
          <cell r="P173">
            <v>1.23756181128024</v>
          </cell>
          <cell r="Q173">
            <v>1.23705830264293</v>
          </cell>
          <cell r="U173">
            <v>9.4927376882125605E-4</v>
          </cell>
          <cell r="V173">
            <v>1.61468149664288E-3</v>
          </cell>
          <cell r="W173">
            <v>8.7949652913505002E-4</v>
          </cell>
          <cell r="Y173">
            <v>1.2358474847357901</v>
          </cell>
          <cell r="Z173">
            <v>1.2360714871813401</v>
          </cell>
          <cell r="AA173">
            <v>1.2360512280957501</v>
          </cell>
          <cell r="AF173">
            <v>-2.3540168748308201E-4</v>
          </cell>
          <cell r="AG173">
            <v>-2.0810790015789201E-4</v>
          </cell>
          <cell r="AR173">
            <v>1.9417481829103801E-3</v>
          </cell>
          <cell r="BC173">
            <v>1.18506828010929E-3</v>
          </cell>
          <cell r="BF173">
            <v>3.1268164630196701E-3</v>
          </cell>
        </row>
        <row r="174">
          <cell r="O174">
            <v>1.2371344131525399</v>
          </cell>
          <cell r="P174">
            <v>1.23710178892192</v>
          </cell>
          <cell r="Q174">
            <v>1.23710905440876</v>
          </cell>
          <cell r="U174">
            <v>8.7743620827579298E-4</v>
          </cell>
          <cell r="V174">
            <v>1.22285083147506E-3</v>
          </cell>
          <cell r="W174">
            <v>8.1591269869014699E-4</v>
          </cell>
          <cell r="Y174">
            <v>1.2358474847357901</v>
          </cell>
          <cell r="Z174">
            <v>1.23607094307478</v>
          </cell>
          <cell r="AA174">
            <v>1.23609790384548</v>
          </cell>
          <cell r="AF174">
            <v>-2.56398021042346E-4</v>
          </cell>
          <cell r="AG174">
            <v>-2.7278805335413198E-4</v>
          </cell>
          <cell r="AR174">
            <v>1.9417481829103801E-3</v>
          </cell>
          <cell r="BC174">
            <v>1.18506828010929E-3</v>
          </cell>
          <cell r="BF174">
            <v>3.1268164630196701E-3</v>
          </cell>
        </row>
        <row r="175">
          <cell r="O175">
            <v>1.2371344131525399</v>
          </cell>
          <cell r="P175">
            <v>1.23673766270576</v>
          </cell>
          <cell r="Q175">
            <v>1.2371034785119599</v>
          </cell>
          <cell r="U175">
            <v>1.08857441086394E-3</v>
          </cell>
          <cell r="V175">
            <v>1.06220325794605E-3</v>
          </cell>
          <cell r="W175">
            <v>1.0680762310278E-3</v>
          </cell>
          <cell r="Y175">
            <v>1.2358474847357901</v>
          </cell>
          <cell r="Z175">
            <v>1.2361631927621799</v>
          </cell>
          <cell r="AA175">
            <v>1.2360897284002299</v>
          </cell>
          <cell r="AF175">
            <v>-5.2067880895613101E-5</v>
          </cell>
          <cell r="AG175">
            <v>-3.02564494141231E-5</v>
          </cell>
          <cell r="AR175">
            <v>1.9417481829103801E-3</v>
          </cell>
          <cell r="BC175">
            <v>1.18506828010929E-3</v>
          </cell>
          <cell r="BF175">
            <v>3.1268164630196701E-3</v>
          </cell>
        </row>
        <row r="176">
          <cell r="O176">
            <v>1.2371344131525399</v>
          </cell>
          <cell r="P176">
            <v>1.2363757897618499</v>
          </cell>
          <cell r="Q176">
            <v>1.2371471402082399</v>
          </cell>
          <cell r="U176">
            <v>6.8865438953698602E-4</v>
          </cell>
          <cell r="V176">
            <v>3.6790178954959401E-4</v>
          </cell>
          <cell r="W176">
            <v>6.6364900045335902E-4</v>
          </cell>
          <cell r="Y176">
            <v>1.2358474847357901</v>
          </cell>
          <cell r="Z176">
            <v>1.2362584338489999</v>
          </cell>
          <cell r="AA176">
            <v>1.2361294727416201</v>
          </cell>
          <cell r="AF176">
            <v>-3.6579771273589603E-4</v>
          </cell>
          <cell r="AG176">
            <v>-4.2522881814071901E-4</v>
          </cell>
          <cell r="AR176">
            <v>1.9417481829103801E-3</v>
          </cell>
          <cell r="BC176">
            <v>1.18506828010929E-3</v>
          </cell>
          <cell r="BF176">
            <v>3.1268164630196701E-3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ED0D1-C2A8-41D0-A9D8-D86F504D8D74}">
  <dimension ref="A1:DZ183"/>
  <sheetViews>
    <sheetView tabSelected="1" topLeftCell="AG1" workbookViewId="0">
      <selection activeCell="AP16" sqref="AP16"/>
    </sheetView>
  </sheetViews>
  <sheetFormatPr defaultRowHeight="15" x14ac:dyDescent="0.25"/>
  <cols>
    <col min="1" max="1" width="9.42578125" bestFit="1" customWidth="1"/>
    <col min="2" max="3" width="11" style="33" bestFit="1" customWidth="1"/>
    <col min="4" max="4" width="11.28515625" style="15" bestFit="1" customWidth="1"/>
    <col min="5" max="5" width="12" style="15" bestFit="1" customWidth="1"/>
    <col min="6" max="6" width="9.7109375" style="33" bestFit="1" customWidth="1"/>
    <col min="7" max="7" width="18.140625" style="33" bestFit="1" customWidth="1"/>
    <col min="8" max="8" width="10.42578125" style="33" bestFit="1" customWidth="1"/>
    <col min="9" max="9" width="18.85546875" style="33" bestFit="1" customWidth="1"/>
    <col min="10" max="10" width="20.7109375" style="33" bestFit="1" customWidth="1"/>
    <col min="11" max="11" width="21.5703125" style="33" bestFit="1" customWidth="1"/>
    <col min="12" max="13" width="11" style="33" bestFit="1" customWidth="1"/>
    <col min="14" max="14" width="12.140625" style="34" bestFit="1" customWidth="1"/>
    <col min="15" max="15" width="15.7109375" style="34" bestFit="1" customWidth="1"/>
    <col min="16" max="17" width="19.140625" style="34" bestFit="1" customWidth="1"/>
    <col min="18" max="18" width="11.42578125" style="33" bestFit="1" customWidth="1"/>
    <col min="19" max="20" width="14.85546875" style="33" bestFit="1" customWidth="1"/>
    <col min="21" max="21" width="23.5703125" style="15" bestFit="1" customWidth="1"/>
    <col min="22" max="23" width="27" style="15" bestFit="1" customWidth="1"/>
    <col min="24" max="24" width="14.28515625" style="34" bestFit="1" customWidth="1"/>
    <col min="25" max="25" width="17.85546875" style="34" bestFit="1" customWidth="1"/>
    <col min="26" max="27" width="21.140625" style="34" bestFit="1" customWidth="1"/>
    <col min="28" max="28" width="12.42578125" style="33" bestFit="1" customWidth="1"/>
    <col min="29" max="30" width="15.85546875" style="33" bestFit="1" customWidth="1"/>
    <col min="31" max="31" width="25.7109375" style="15" bestFit="1" customWidth="1"/>
    <col min="32" max="33" width="29" style="15" bestFit="1" customWidth="1"/>
    <col min="34" max="34" width="1.7109375" style="9" customWidth="1"/>
    <col min="35" max="35" width="7.7109375" style="15" bestFit="1" customWidth="1"/>
    <col min="36" max="36" width="6.7109375" style="15" bestFit="1" customWidth="1"/>
    <col min="37" max="38" width="6.85546875" style="15" bestFit="1" customWidth="1"/>
    <col min="39" max="39" width="7.85546875" style="15" bestFit="1" customWidth="1"/>
    <col min="40" max="40" width="8.42578125" style="15" bestFit="1" customWidth="1"/>
    <col min="41" max="41" width="11.28515625" style="15" bestFit="1" customWidth="1"/>
    <col min="42" max="42" width="12" style="15" bestFit="1" customWidth="1"/>
    <col min="43" max="43" width="12.7109375" style="15" bestFit="1" customWidth="1"/>
    <col min="44" max="44" width="8.7109375" style="15" bestFit="1" customWidth="1"/>
    <col min="45" max="45" width="1.7109375" style="9" customWidth="1"/>
    <col min="46" max="46" width="7.7109375" style="15" bestFit="1" customWidth="1"/>
    <col min="47" max="47" width="6.140625" style="15" bestFit="1" customWidth="1"/>
    <col min="48" max="48" width="6.28515625" style="15" bestFit="1" customWidth="1"/>
    <col min="49" max="49" width="6.140625" style="15" bestFit="1" customWidth="1"/>
    <col min="50" max="50" width="7.85546875" style="15" bestFit="1" customWidth="1"/>
    <col min="51" max="51" width="8.42578125" style="15" bestFit="1" customWidth="1"/>
    <col min="52" max="52" width="11.28515625" style="15" bestFit="1" customWidth="1"/>
    <col min="53" max="54" width="12" style="15" bestFit="1" customWidth="1"/>
    <col min="55" max="55" width="8.7109375" style="15" bestFit="1" customWidth="1"/>
    <col min="56" max="56" width="1.7109375" style="9" customWidth="1"/>
    <col min="57" max="57" width="12.7109375" bestFit="1" customWidth="1"/>
    <col min="58" max="58" width="8.7109375" bestFit="1" customWidth="1"/>
    <col min="59" max="59" width="1.7109375" style="9" customWidth="1"/>
    <col min="60" max="60" width="6.85546875" customWidth="1"/>
    <col min="61" max="61" width="8.7109375" bestFit="1" customWidth="1"/>
    <col min="78" max="78" width="7.28515625" style="12" bestFit="1" customWidth="1"/>
    <col min="79" max="79" width="6.7109375" style="12" bestFit="1" customWidth="1"/>
    <col min="80" max="80" width="5.7109375" bestFit="1" customWidth="1"/>
    <col min="81" max="81" width="4.5703125" bestFit="1" customWidth="1"/>
    <col min="82" max="82" width="4.85546875" bestFit="1" customWidth="1"/>
    <col min="83" max="83" width="7.28515625" bestFit="1" customWidth="1"/>
    <col min="84" max="84" width="7.7109375" bestFit="1" customWidth="1"/>
    <col min="85" max="85" width="10.7109375" bestFit="1" customWidth="1"/>
    <col min="86" max="86" width="9.28515625" bestFit="1" customWidth="1"/>
    <col min="87" max="87" width="6.7109375" bestFit="1" customWidth="1"/>
    <col min="88" max="88" width="7.42578125" bestFit="1" customWidth="1"/>
    <col min="90" max="90" width="7.28515625" style="12" bestFit="1" customWidth="1"/>
    <col min="91" max="91" width="6.140625" style="12" bestFit="1" customWidth="1"/>
    <col min="92" max="92" width="4.5703125" bestFit="1" customWidth="1"/>
    <col min="93" max="93" width="5.7109375" bestFit="1" customWidth="1"/>
    <col min="94" max="94" width="4.85546875" bestFit="1" customWidth="1"/>
    <col min="95" max="95" width="7.28515625" bestFit="1" customWidth="1"/>
    <col min="96" max="96" width="7.7109375" bestFit="1" customWidth="1"/>
    <col min="97" max="97" width="10.7109375" bestFit="1" customWidth="1"/>
    <col min="98" max="98" width="9.28515625" bestFit="1" customWidth="1"/>
    <col min="99" max="99" width="6.7109375" bestFit="1" customWidth="1"/>
    <col min="100" max="100" width="7.42578125" bestFit="1" customWidth="1"/>
    <col min="102" max="102" width="6.7109375" bestFit="1" customWidth="1"/>
    <col min="103" max="103" width="7.42578125" bestFit="1" customWidth="1"/>
    <col min="116" max="116" width="7.5703125" bestFit="1" customWidth="1"/>
    <col min="117" max="124" width="7.42578125" bestFit="1" customWidth="1"/>
    <col min="125" max="125" width="5.42578125" bestFit="1" customWidth="1"/>
    <col min="126" max="126" width="4.28515625" bestFit="1" customWidth="1"/>
    <col min="127" max="127" width="5.85546875" bestFit="1" customWidth="1"/>
  </cols>
  <sheetData>
    <row r="1" spans="1:130" s="7" customFormat="1" x14ac:dyDescent="0.25">
      <c r="A1" s="7" t="s">
        <v>0</v>
      </c>
      <c r="B1" s="30" t="s">
        <v>1</v>
      </c>
      <c r="C1" s="30" t="s">
        <v>2</v>
      </c>
      <c r="D1" s="31" t="s">
        <v>3</v>
      </c>
      <c r="E1" s="31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0" t="s">
        <v>17</v>
      </c>
      <c r="S1" s="30" t="s">
        <v>18</v>
      </c>
      <c r="T1" s="30" t="s">
        <v>19</v>
      </c>
      <c r="U1" s="31" t="s">
        <v>20</v>
      </c>
      <c r="V1" s="31" t="s">
        <v>21</v>
      </c>
      <c r="W1" s="31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0" t="s">
        <v>27</v>
      </c>
      <c r="AC1" s="30" t="s">
        <v>28</v>
      </c>
      <c r="AD1" s="30" t="s">
        <v>29</v>
      </c>
      <c r="AE1" s="31" t="s">
        <v>30</v>
      </c>
      <c r="AF1" s="31" t="s">
        <v>31</v>
      </c>
      <c r="AG1" s="31" t="s">
        <v>32</v>
      </c>
      <c r="AH1" s="2"/>
      <c r="AI1" s="3" t="e">
        <f>AQ16</f>
        <v>#DIV/0!</v>
      </c>
      <c r="AJ1" s="4">
        <v>0</v>
      </c>
      <c r="AK1" s="4">
        <f t="shared" ref="AK1:AQ1" si="0">AJ1-$AK12</f>
        <v>-2.0000000000000001E-4</v>
      </c>
      <c r="AL1" s="4">
        <f t="shared" si="0"/>
        <v>-4.0000000000000002E-4</v>
      </c>
      <c r="AM1" s="4">
        <f t="shared" si="0"/>
        <v>-6.0000000000000006E-4</v>
      </c>
      <c r="AN1" s="4">
        <f t="shared" si="0"/>
        <v>-8.0000000000000004E-4</v>
      </c>
      <c r="AO1" s="4">
        <f t="shared" si="0"/>
        <v>-1E-3</v>
      </c>
      <c r="AP1" s="4">
        <f t="shared" si="0"/>
        <v>-1.2000000000000001E-3</v>
      </c>
      <c r="AQ1" s="4">
        <f t="shared" si="0"/>
        <v>-1.4000000000000002E-3</v>
      </c>
      <c r="AR1" s="5" t="s">
        <v>33</v>
      </c>
      <c r="AS1" s="2"/>
      <c r="AT1" s="3">
        <f>BB16</f>
        <v>1.4863293713320433</v>
      </c>
      <c r="AU1" s="4">
        <v>0</v>
      </c>
      <c r="AV1" s="6">
        <f>AU1+$AV12</f>
        <v>2.0000000000000001E-4</v>
      </c>
      <c r="AW1" s="6">
        <f t="shared" ref="AW1:BB1" si="1">AV1+$AV12</f>
        <v>4.0000000000000002E-4</v>
      </c>
      <c r="AX1" s="6">
        <f t="shared" si="1"/>
        <v>6.0000000000000006E-4</v>
      </c>
      <c r="AY1" s="6">
        <f t="shared" si="1"/>
        <v>8.0000000000000004E-4</v>
      </c>
      <c r="AZ1" s="6">
        <f t="shared" si="1"/>
        <v>1E-3</v>
      </c>
      <c r="BA1" s="6">
        <f t="shared" si="1"/>
        <v>1.2000000000000001E-3</v>
      </c>
      <c r="BB1" s="6">
        <f t="shared" si="1"/>
        <v>1.4000000000000002E-3</v>
      </c>
      <c r="BC1" s="5" t="s">
        <v>33</v>
      </c>
      <c r="BD1" s="2"/>
      <c r="BG1" s="2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Z1" s="8"/>
      <c r="CA1" s="8"/>
      <c r="CB1" s="8"/>
      <c r="CC1" s="8"/>
      <c r="CD1" s="8"/>
      <c r="CE1" s="8"/>
      <c r="CF1" s="8"/>
      <c r="CK1" s="8"/>
      <c r="CL1" s="8"/>
      <c r="CM1" s="8"/>
      <c r="CN1" s="8"/>
      <c r="CO1" s="8"/>
      <c r="CP1" s="8"/>
      <c r="CQ1" s="8"/>
      <c r="CR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</row>
    <row r="2" spans="1:130" x14ac:dyDescent="0.25">
      <c r="A2" s="1">
        <v>46024</v>
      </c>
      <c r="C2" s="33">
        <v>20.52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  <c r="K2" s="33">
        <v>0</v>
      </c>
      <c r="M2" s="33">
        <v>20.52</v>
      </c>
      <c r="O2" s="34">
        <v>0.80070241399324205</v>
      </c>
      <c r="Y2" s="34">
        <v>0.81414850939960204</v>
      </c>
      <c r="AI2" s="4">
        <v>0</v>
      </c>
      <c r="AJ2" s="10">
        <v>4.9726253941699152</v>
      </c>
      <c r="AK2" s="10">
        <v>5.5499373561338494</v>
      </c>
      <c r="AL2" s="10">
        <v>4.6789532362431077</v>
      </c>
      <c r="AM2" s="10">
        <v>3.308870615782729</v>
      </c>
      <c r="AN2" s="10">
        <v>1.9308233468844676</v>
      </c>
      <c r="AO2" s="10">
        <v>1.2750711555097243</v>
      </c>
      <c r="AP2" s="10" t="e">
        <v>#DIV/0!</v>
      </c>
      <c r="AQ2" s="10" t="e">
        <v>#DIV/0!</v>
      </c>
      <c r="AR2"/>
      <c r="AT2" s="4">
        <v>0</v>
      </c>
      <c r="AU2" s="10">
        <v>6.0644983507490791</v>
      </c>
      <c r="AV2" s="11">
        <v>5.7806652793741193</v>
      </c>
      <c r="AW2" s="11">
        <v>4.1744531311271995</v>
      </c>
      <c r="AX2" s="11">
        <v>3.3591708175098658</v>
      </c>
      <c r="AY2" s="11">
        <v>1.2750711555097243</v>
      </c>
      <c r="AZ2" s="11">
        <v>1.2750711555097243</v>
      </c>
      <c r="BA2" s="11" t="e">
        <v>#DIV/0!</v>
      </c>
      <c r="BB2" s="11" t="e">
        <v>#DIV/0!</v>
      </c>
      <c r="BC2"/>
    </row>
    <row r="3" spans="1:130" x14ac:dyDescent="0.25">
      <c r="A3" s="1">
        <v>46027</v>
      </c>
      <c r="C3" s="33">
        <v>20.55</v>
      </c>
      <c r="E3" s="15">
        <v>1.4609206396748601E-3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M3" s="33">
        <v>20.55</v>
      </c>
      <c r="O3" s="34">
        <v>0.80070241399324205</v>
      </c>
      <c r="Y3" s="34">
        <v>0.81414850939960204</v>
      </c>
      <c r="AI3" s="4">
        <f t="shared" ref="AI3:AI9" si="2">AI2-AK$12</f>
        <v>-2.0000000000000001E-4</v>
      </c>
      <c r="AJ3" s="10">
        <v>4.9726253941699152</v>
      </c>
      <c r="AK3" s="10">
        <v>6.0316130915469648</v>
      </c>
      <c r="AL3" s="10">
        <v>4.9905736436251305</v>
      </c>
      <c r="AM3" s="10">
        <v>3.308870615782729</v>
      </c>
      <c r="AN3" s="10">
        <v>1.9308233468844676</v>
      </c>
      <c r="AO3" s="11">
        <v>1.2750711555097243</v>
      </c>
      <c r="AP3" s="10" t="e">
        <v>#DIV/0!</v>
      </c>
      <c r="AQ3" s="10" t="e">
        <v>#DIV/0!</v>
      </c>
      <c r="AR3"/>
      <c r="AT3" s="4">
        <f>AT2+AV$12</f>
        <v>2.0000000000000001E-4</v>
      </c>
      <c r="AU3" s="10">
        <v>6.0644983507490791</v>
      </c>
      <c r="AV3" s="11">
        <v>6.1517170629025344</v>
      </c>
      <c r="AW3" s="11">
        <v>3.8684684629709261</v>
      </c>
      <c r="AX3" s="11">
        <v>3.0442726066153996</v>
      </c>
      <c r="AY3" s="11">
        <v>1.2750711555097243</v>
      </c>
      <c r="AZ3" s="11">
        <v>1.2750711555097243</v>
      </c>
      <c r="BA3" s="11" t="e">
        <v>#DIV/0!</v>
      </c>
      <c r="BB3" s="11" t="e">
        <v>#DIV/0!</v>
      </c>
      <c r="BC3"/>
    </row>
    <row r="4" spans="1:130" x14ac:dyDescent="0.25">
      <c r="A4" s="1">
        <v>46028</v>
      </c>
      <c r="C4" s="33">
        <v>20.55</v>
      </c>
      <c r="E4" s="15">
        <v>0</v>
      </c>
      <c r="F4" s="33">
        <v>0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M4" s="33">
        <v>20.55</v>
      </c>
      <c r="O4" s="34">
        <v>0.80070241399324205</v>
      </c>
      <c r="Y4" s="34">
        <v>0.81414850939960204</v>
      </c>
      <c r="AG4"/>
      <c r="AI4" s="4">
        <f t="shared" si="2"/>
        <v>-4.0000000000000002E-4</v>
      </c>
      <c r="AJ4" s="10">
        <v>4.9726253941699152</v>
      </c>
      <c r="AK4" s="11">
        <v>6.0316130915469648</v>
      </c>
      <c r="AL4" s="11">
        <v>4.8548834221129722</v>
      </c>
      <c r="AM4" s="11">
        <v>2.9982522769160713</v>
      </c>
      <c r="AN4" s="10">
        <v>1.9308233468844676</v>
      </c>
      <c r="AO4" s="11">
        <v>1.2750711555097243</v>
      </c>
      <c r="AP4" s="11" t="e">
        <v>#DIV/0!</v>
      </c>
      <c r="AQ4" s="11" t="e">
        <v>#DIV/0!</v>
      </c>
      <c r="AR4"/>
      <c r="AT4" s="4">
        <f t="shared" ref="AT4:AT9" si="3">AT3+AV$12</f>
        <v>4.0000000000000002E-4</v>
      </c>
      <c r="AU4" s="10">
        <v>6.0644983507490791</v>
      </c>
      <c r="AV4" s="11">
        <v>6.1517170629025344</v>
      </c>
      <c r="AW4" s="11">
        <v>3.7774223583440243</v>
      </c>
      <c r="AX4" s="11">
        <v>2.6627809813420398</v>
      </c>
      <c r="AY4" s="11">
        <v>1.2750711555097243</v>
      </c>
      <c r="AZ4" s="11">
        <v>1.2750711555097243</v>
      </c>
      <c r="BA4" s="11" t="e">
        <v>#DIV/0!</v>
      </c>
      <c r="BB4" s="11" t="e">
        <v>#DIV/0!</v>
      </c>
      <c r="BC4"/>
      <c r="BE4" s="8"/>
      <c r="BF4" s="8"/>
    </row>
    <row r="5" spans="1:130" x14ac:dyDescent="0.25">
      <c r="A5" s="1">
        <v>46029</v>
      </c>
      <c r="C5" s="33">
        <v>20.57</v>
      </c>
      <c r="E5" s="15">
        <v>9.7276272262214101E-4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M5" s="33">
        <v>20.57</v>
      </c>
      <c r="O5" s="34">
        <v>0.80070241399324205</v>
      </c>
      <c r="Y5" s="34">
        <v>0.81414850939960204</v>
      </c>
      <c r="AG5" s="29"/>
      <c r="AI5" s="4">
        <f t="shared" si="2"/>
        <v>-6.0000000000000006E-4</v>
      </c>
      <c r="AJ5" s="10">
        <v>4.9726253941699152</v>
      </c>
      <c r="AK5" s="11">
        <v>6.0316130915469648</v>
      </c>
      <c r="AL5" s="11">
        <v>4.8548834221129722</v>
      </c>
      <c r="AM5" s="11">
        <v>3.1942535487532417</v>
      </c>
      <c r="AN5" s="11">
        <v>1.9308233468844676</v>
      </c>
      <c r="AO5" s="11">
        <v>1.2750711555097243</v>
      </c>
      <c r="AP5" s="10" t="e">
        <v>#DIV/0!</v>
      </c>
      <c r="AQ5" s="11" t="e">
        <v>#DIV/0!</v>
      </c>
      <c r="AR5"/>
      <c r="AT5" s="4">
        <f t="shared" si="3"/>
        <v>6.0000000000000006E-4</v>
      </c>
      <c r="AU5" s="10">
        <v>6.0644983507490791</v>
      </c>
      <c r="AV5" s="11">
        <v>6.1517170629025344</v>
      </c>
      <c r="AW5" s="11">
        <v>3.7774223583440243</v>
      </c>
      <c r="AX5" s="11">
        <v>2.33133009002148</v>
      </c>
      <c r="AY5" s="11">
        <v>1.2750711555097243</v>
      </c>
      <c r="AZ5" s="11">
        <v>1.2750711555097243</v>
      </c>
      <c r="BA5" s="11" t="e">
        <v>#DIV/0!</v>
      </c>
      <c r="BB5" s="11" t="e">
        <v>#DIV/0!</v>
      </c>
      <c r="BC5"/>
    </row>
    <row r="6" spans="1:130" x14ac:dyDescent="0.25">
      <c r="A6" s="1">
        <v>46030</v>
      </c>
      <c r="C6" s="33">
        <v>20.54</v>
      </c>
      <c r="E6" s="15">
        <v>-1.4594991644537099E-3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M6" s="33">
        <v>20.54</v>
      </c>
      <c r="O6" s="34">
        <v>0.80070241399324205</v>
      </c>
      <c r="Y6" s="34">
        <v>0.81414850939960204</v>
      </c>
      <c r="AG6" s="29"/>
      <c r="AI6" s="4">
        <f t="shared" si="2"/>
        <v>-8.0000000000000004E-4</v>
      </c>
      <c r="AJ6" s="10">
        <v>4.9726253941699152</v>
      </c>
      <c r="AK6" s="11">
        <v>6.0316130915469648</v>
      </c>
      <c r="AL6" s="11">
        <v>4.8548834221129722</v>
      </c>
      <c r="AM6" s="11">
        <v>3.1942535487532417</v>
      </c>
      <c r="AN6" s="11">
        <v>1.9308233468844676</v>
      </c>
      <c r="AO6" s="11">
        <v>1.2750711555097243</v>
      </c>
      <c r="AP6" s="11" t="e">
        <v>#DIV/0!</v>
      </c>
      <c r="AQ6" s="11" t="e">
        <v>#DIV/0!</v>
      </c>
      <c r="AR6"/>
      <c r="AT6" s="4">
        <f t="shared" si="3"/>
        <v>8.0000000000000004E-4</v>
      </c>
      <c r="AU6" s="10">
        <v>6.0644983507490791</v>
      </c>
      <c r="AV6" s="11">
        <v>6.1517170629025344</v>
      </c>
      <c r="AW6" s="11">
        <v>3.7774223583440243</v>
      </c>
      <c r="AX6" s="11">
        <v>2.33133009002148</v>
      </c>
      <c r="AY6" s="11">
        <v>1.2750711555097243</v>
      </c>
      <c r="AZ6" s="11">
        <v>1.2750711555097243</v>
      </c>
      <c r="BA6" s="11" t="e">
        <v>#DIV/0!</v>
      </c>
      <c r="BB6" s="11" t="e">
        <v>#DIV/0!</v>
      </c>
      <c r="BC6"/>
    </row>
    <row r="7" spans="1:130" x14ac:dyDescent="0.25">
      <c r="A7" s="1">
        <v>46031</v>
      </c>
      <c r="C7" s="33">
        <v>20.53</v>
      </c>
      <c r="E7" s="15">
        <v>-4.8697346956985102E-4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M7" s="33">
        <v>20.53</v>
      </c>
      <c r="O7" s="34">
        <v>0.80070241399324205</v>
      </c>
      <c r="Y7" s="34">
        <v>0.81414850939960204</v>
      </c>
      <c r="AG7"/>
      <c r="AI7" s="4">
        <f t="shared" si="2"/>
        <v>-1E-3</v>
      </c>
      <c r="AJ7" s="10">
        <v>4.9726253941699152</v>
      </c>
      <c r="AK7" s="11">
        <v>6.0316130915469648</v>
      </c>
      <c r="AL7" s="11">
        <v>4.8548834221129722</v>
      </c>
      <c r="AM7" s="11">
        <v>3.1942535487532417</v>
      </c>
      <c r="AN7" s="11">
        <v>1.9308233468844676</v>
      </c>
      <c r="AO7" s="11">
        <v>1.2750711555097243</v>
      </c>
      <c r="AP7" s="11" t="e">
        <v>#DIV/0!</v>
      </c>
      <c r="AQ7" s="11" t="e">
        <v>#DIV/0!</v>
      </c>
      <c r="AR7"/>
      <c r="AT7" s="4">
        <f t="shared" si="3"/>
        <v>1E-3</v>
      </c>
      <c r="AU7" s="10">
        <v>6.0644983507490791</v>
      </c>
      <c r="AV7" s="11">
        <v>6.1517170629025344</v>
      </c>
      <c r="AW7" s="11">
        <v>3.7774223583440243</v>
      </c>
      <c r="AX7" s="11">
        <v>2.33133009002148</v>
      </c>
      <c r="AY7" s="11">
        <v>1.2750711555097243</v>
      </c>
      <c r="AZ7" s="11">
        <v>1.2750711555097243</v>
      </c>
      <c r="BA7" s="11" t="e">
        <v>#DIV/0!</v>
      </c>
      <c r="BB7" s="11" t="e">
        <v>#DIV/0!</v>
      </c>
      <c r="BC7"/>
    </row>
    <row r="8" spans="1:130" x14ac:dyDescent="0.25">
      <c r="A8" s="1">
        <v>46034</v>
      </c>
      <c r="C8" s="33">
        <v>20.52</v>
      </c>
      <c r="E8" s="15">
        <v>-4.87210728273543E-4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M8" s="33">
        <v>20.52</v>
      </c>
      <c r="O8" s="34">
        <v>0.80070241399324205</v>
      </c>
      <c r="Y8" s="34">
        <v>0.81414850939960204</v>
      </c>
      <c r="AG8"/>
      <c r="AI8" s="4">
        <f t="shared" si="2"/>
        <v>-1.2000000000000001E-3</v>
      </c>
      <c r="AJ8" s="10">
        <v>4.9726253941699152</v>
      </c>
      <c r="AK8" s="11">
        <v>6.0316130915469648</v>
      </c>
      <c r="AL8" s="11">
        <v>4.8548834221129722</v>
      </c>
      <c r="AM8" s="11">
        <v>3.1942535487532417</v>
      </c>
      <c r="AN8" s="11">
        <v>1.9308233468844676</v>
      </c>
      <c r="AO8" s="11">
        <v>1.2750711555097243</v>
      </c>
      <c r="AP8" s="11" t="e">
        <v>#DIV/0!</v>
      </c>
      <c r="AQ8" s="11" t="e">
        <v>#DIV/0!</v>
      </c>
      <c r="AR8"/>
      <c r="AT8" s="4">
        <f t="shared" si="3"/>
        <v>1.2000000000000001E-3</v>
      </c>
      <c r="AU8" s="10">
        <v>6.0644983507490791</v>
      </c>
      <c r="AV8" s="11">
        <v>6.1517170629025344</v>
      </c>
      <c r="AW8" s="11">
        <v>3.7774223583440243</v>
      </c>
      <c r="AX8" s="11">
        <v>2.33133009002148</v>
      </c>
      <c r="AY8" s="11">
        <v>1.2750711555097243</v>
      </c>
      <c r="AZ8" s="11">
        <v>1.2750711555097243</v>
      </c>
      <c r="BA8" s="11" t="e">
        <v>#DIV/0!</v>
      </c>
      <c r="BB8" s="11" t="e">
        <v>#DIV/0!</v>
      </c>
      <c r="BC8"/>
    </row>
    <row r="9" spans="1:130" x14ac:dyDescent="0.25">
      <c r="A9" s="1">
        <v>46035</v>
      </c>
      <c r="C9" s="33">
        <v>20.54</v>
      </c>
      <c r="E9" s="15">
        <v>9.7418419784341397E-4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M9" s="33">
        <v>20.54</v>
      </c>
      <c r="O9" s="34">
        <v>0.80070241399324205</v>
      </c>
      <c r="Y9" s="34">
        <v>0.81414850939960204</v>
      </c>
      <c r="AF9"/>
      <c r="AI9" s="4">
        <f t="shared" si="2"/>
        <v>-1.4000000000000002E-3</v>
      </c>
      <c r="AJ9" s="10">
        <v>4.9726253941699152</v>
      </c>
      <c r="AK9" s="11">
        <v>6.0316130915469648</v>
      </c>
      <c r="AL9" s="11">
        <v>4.8548834221129722</v>
      </c>
      <c r="AM9" s="11">
        <v>3.1942535487532417</v>
      </c>
      <c r="AN9" s="11">
        <v>1.9308233468844676</v>
      </c>
      <c r="AO9" s="11">
        <v>1.2750711555097243</v>
      </c>
      <c r="AP9" s="11" t="e">
        <v>#DIV/0!</v>
      </c>
      <c r="AQ9" s="11" t="e">
        <v>#DIV/0!</v>
      </c>
      <c r="AR9"/>
      <c r="AT9" s="4">
        <f t="shared" si="3"/>
        <v>1.4000000000000002E-3</v>
      </c>
      <c r="AU9" s="10">
        <v>6.0644983507490791</v>
      </c>
      <c r="AV9" s="10">
        <v>6.1517170629025344</v>
      </c>
      <c r="AW9" s="10">
        <v>3.7774223583440243</v>
      </c>
      <c r="AX9" s="10">
        <v>2.33133009002148</v>
      </c>
      <c r="AY9" s="10">
        <v>1.2750711555097243</v>
      </c>
      <c r="AZ9" s="10">
        <v>1.2750711555097243</v>
      </c>
      <c r="BA9" s="10" t="e">
        <v>#DIV/0!</v>
      </c>
      <c r="BB9" s="10" t="e">
        <v>#DIV/0!</v>
      </c>
      <c r="BC9"/>
    </row>
    <row r="10" spans="1:130" x14ac:dyDescent="0.25">
      <c r="A10" s="1">
        <v>46036</v>
      </c>
      <c r="C10" s="33">
        <v>20.57</v>
      </c>
      <c r="E10" s="15">
        <v>1.4594991644537199E-3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M10" s="33">
        <v>20.57</v>
      </c>
      <c r="O10" s="34">
        <v>0.80070241399324205</v>
      </c>
      <c r="Y10" s="34">
        <v>0.81414850939960204</v>
      </c>
      <c r="AF10"/>
      <c r="AI10" s="13" t="s">
        <v>34</v>
      </c>
      <c r="AJ10"/>
      <c r="AK10"/>
      <c r="AL10"/>
      <c r="AM10"/>
      <c r="AN10"/>
      <c r="AO10"/>
      <c r="AP10"/>
      <c r="AQ10"/>
      <c r="AR10"/>
      <c r="AT10" s="13" t="s">
        <v>34</v>
      </c>
      <c r="AU10"/>
      <c r="AV10"/>
      <c r="AW10"/>
      <c r="AX10"/>
      <c r="AY10"/>
      <c r="AZ10"/>
      <c r="BA10"/>
      <c r="BB10"/>
      <c r="BC10"/>
      <c r="BZ10" s="14"/>
      <c r="CL10" s="14"/>
    </row>
    <row r="11" spans="1:130" x14ac:dyDescent="0.25">
      <c r="A11" s="1">
        <v>46037</v>
      </c>
      <c r="C11" s="33">
        <v>20.53</v>
      </c>
      <c r="E11" s="15">
        <v>-1.9464726340235601E-3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M11" s="33">
        <v>20.53</v>
      </c>
      <c r="O11" s="34">
        <v>0.80070241399324205</v>
      </c>
      <c r="Y11" s="34">
        <v>0.81414850939960204</v>
      </c>
      <c r="AL11" s="16" t="s">
        <v>35</v>
      </c>
      <c r="AM11" s="16" t="s">
        <v>36</v>
      </c>
      <c r="AW11" s="16" t="s">
        <v>35</v>
      </c>
      <c r="AX11" s="16" t="s">
        <v>36</v>
      </c>
    </row>
    <row r="12" spans="1:130" x14ac:dyDescent="0.25">
      <c r="A12" s="1">
        <v>46038</v>
      </c>
      <c r="C12" s="33">
        <v>20.48</v>
      </c>
      <c r="E12" s="15">
        <v>-2.43843085953524E-3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M12" s="33">
        <v>20.48</v>
      </c>
      <c r="O12" s="34">
        <v>0.80070241399324205</v>
      </c>
      <c r="Y12" s="34">
        <v>0.81414850939960204</v>
      </c>
      <c r="AK12" s="17">
        <v>2.0000000000000001E-4</v>
      </c>
      <c r="AL12" s="18" t="s">
        <v>37</v>
      </c>
      <c r="AM12" s="19" t="s">
        <v>38</v>
      </c>
      <c r="AV12" s="17">
        <v>2.0000000000000001E-4</v>
      </c>
      <c r="AW12" s="18" t="s">
        <v>39</v>
      </c>
      <c r="AX12" s="19" t="s">
        <v>40</v>
      </c>
    </row>
    <row r="13" spans="1:130" x14ac:dyDescent="0.25">
      <c r="A13" s="1">
        <v>46042</v>
      </c>
      <c r="C13" s="33">
        <v>20.43</v>
      </c>
      <c r="E13" s="15">
        <v>-2.4443913417763401E-3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M13" s="33">
        <v>20.43</v>
      </c>
      <c r="O13" s="34">
        <v>0.80070241399324205</v>
      </c>
      <c r="Y13" s="34">
        <v>0.81414850939960204</v>
      </c>
    </row>
    <row r="14" spans="1:130" x14ac:dyDescent="0.25">
      <c r="A14" s="1">
        <v>46043</v>
      </c>
      <c r="C14" s="33">
        <v>20.46</v>
      </c>
      <c r="E14" s="15">
        <v>1.4673516939497401E-3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M14" s="33">
        <v>20.46</v>
      </c>
      <c r="O14" s="34">
        <v>0.80070241399324205</v>
      </c>
      <c r="Y14" s="34">
        <v>0.81414850939960204</v>
      </c>
      <c r="AQ14" s="20">
        <f>AVERAGE(AQ22:AQ176)</f>
        <v>0</v>
      </c>
      <c r="AR14" s="21" t="s">
        <v>41</v>
      </c>
      <c r="BB14" s="20">
        <f>AVERAGE(BB22:BB176)</f>
        <v>8.4542875908174196E-6</v>
      </c>
      <c r="BC14" s="21" t="s">
        <v>41</v>
      </c>
      <c r="BD14" s="22"/>
      <c r="BE14" s="20">
        <f>AVERAGE(BE22:BE176)</f>
        <v>8.4542875908174196E-6</v>
      </c>
      <c r="BF14" s="21" t="s">
        <v>41</v>
      </c>
    </row>
    <row r="15" spans="1:130" x14ac:dyDescent="0.25">
      <c r="A15" s="1">
        <v>46044</v>
      </c>
      <c r="C15" s="33">
        <v>20.45</v>
      </c>
      <c r="E15" s="15">
        <v>-4.8887803466978103E-4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M15" s="33">
        <v>20.45</v>
      </c>
      <c r="O15" s="34">
        <v>0.80070241399324205</v>
      </c>
      <c r="Y15" s="34">
        <v>0.81414850939960204</v>
      </c>
      <c r="AQ15" s="20">
        <f>STDEV(AQ22:AQ176)</f>
        <v>0</v>
      </c>
      <c r="AR15" s="21" t="s">
        <v>42</v>
      </c>
      <c r="BB15" s="20">
        <f>STDEV(BB22:BB176)</f>
        <v>9.0294693392795763E-5</v>
      </c>
      <c r="BC15" s="21" t="s">
        <v>42</v>
      </c>
      <c r="BD15" s="22"/>
      <c r="BE15" s="20">
        <f>STDEV(BE22:BE176)</f>
        <v>9.0294693392795763E-5</v>
      </c>
      <c r="BF15" s="21" t="s">
        <v>42</v>
      </c>
    </row>
    <row r="16" spans="1:130" x14ac:dyDescent="0.25">
      <c r="A16" s="1">
        <v>46045</v>
      </c>
      <c r="C16" s="33">
        <v>20.48</v>
      </c>
      <c r="E16" s="15">
        <v>1.46591768249641E-3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M16" s="33">
        <v>20.48</v>
      </c>
      <c r="O16" s="34">
        <v>0.80070241399324205</v>
      </c>
      <c r="Y16" s="34">
        <v>0.81414850939960204</v>
      </c>
      <c r="AQ16" s="23" t="e">
        <f>SQRT(252)*AQ14/AQ15</f>
        <v>#DIV/0!</v>
      </c>
      <c r="AR16" s="21" t="s">
        <v>43</v>
      </c>
      <c r="BB16" s="23">
        <f>SQRT(252)*BB14/BB15</f>
        <v>1.4863293713320433</v>
      </c>
      <c r="BC16" s="21" t="s">
        <v>43</v>
      </c>
      <c r="BD16" s="22"/>
      <c r="BE16" s="23">
        <f>SQRT(252)*BE14/BE15</f>
        <v>1.4863293713320433</v>
      </c>
      <c r="BF16" s="21" t="s">
        <v>43</v>
      </c>
    </row>
    <row r="17" spans="1:124" x14ac:dyDescent="0.25">
      <c r="A17" s="1">
        <v>46048</v>
      </c>
      <c r="C17" s="33">
        <v>20.48</v>
      </c>
      <c r="E17" s="15">
        <v>0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M17" s="33">
        <v>20.48</v>
      </c>
      <c r="O17" s="34">
        <v>0.80070241399324205</v>
      </c>
      <c r="Y17" s="34">
        <v>0.81414850939960204</v>
      </c>
    </row>
    <row r="18" spans="1:124" x14ac:dyDescent="0.25">
      <c r="A18" s="1">
        <v>46049</v>
      </c>
      <c r="C18" s="33">
        <v>20.48</v>
      </c>
      <c r="E18" s="15">
        <v>0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M18" s="33">
        <v>20.48</v>
      </c>
      <c r="O18" s="34">
        <v>0.80070241399324205</v>
      </c>
      <c r="Y18" s="34">
        <v>0.81414850939960204</v>
      </c>
      <c r="BE18" s="24">
        <f>SUM(BE22:BE176)</f>
        <v>1.3104145765767E-3</v>
      </c>
      <c r="BF18" s="20">
        <f>BF176</f>
        <v>1.3104145765767E-3</v>
      </c>
    </row>
    <row r="19" spans="1:124" x14ac:dyDescent="0.25">
      <c r="A19" s="1">
        <v>46050</v>
      </c>
      <c r="C19" s="33">
        <v>20.48</v>
      </c>
      <c r="E19" s="15">
        <v>0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M19" s="33">
        <v>20.48</v>
      </c>
      <c r="O19" s="34">
        <v>0.80070241399324205</v>
      </c>
      <c r="Y19" s="34">
        <v>0.81414850939960204</v>
      </c>
      <c r="AI19" s="12"/>
      <c r="AJ19"/>
      <c r="AK19"/>
      <c r="AL19"/>
      <c r="AM19"/>
      <c r="AN19"/>
      <c r="AO19"/>
      <c r="AP19"/>
      <c r="AQ19" s="24">
        <f>SUM(AQ22:AQ176)</f>
        <v>0</v>
      </c>
      <c r="AR19" s="24">
        <f>AR176</f>
        <v>0</v>
      </c>
      <c r="AU19"/>
      <c r="AV19"/>
      <c r="AW19"/>
      <c r="AX19"/>
      <c r="AY19"/>
      <c r="AZ19"/>
      <c r="BA19"/>
      <c r="BB19" s="24">
        <f>SUM(BB22:BB176)</f>
        <v>1.3104145765767E-3</v>
      </c>
      <c r="BC19" s="24">
        <f>BC176</f>
        <v>1.3104145765767E-3</v>
      </c>
      <c r="BE19" s="7" t="s">
        <v>44</v>
      </c>
      <c r="BF19" s="7" t="s">
        <v>44</v>
      </c>
      <c r="BH19" s="7"/>
    </row>
    <row r="20" spans="1:124" x14ac:dyDescent="0.25">
      <c r="A20" s="1">
        <v>46051</v>
      </c>
      <c r="C20" s="33">
        <v>20.5</v>
      </c>
      <c r="E20" s="15">
        <v>9.7608597305545795E-4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M20" s="33">
        <v>20.5</v>
      </c>
      <c r="O20" s="34">
        <v>0.80070241399324205</v>
      </c>
      <c r="Y20" s="34">
        <v>0.81414850939960204</v>
      </c>
      <c r="AI20" s="25" t="s">
        <v>45</v>
      </c>
      <c r="AJ20" s="7" t="s">
        <v>46</v>
      </c>
      <c r="AK20" s="7" t="s">
        <v>47</v>
      </c>
      <c r="AL20" s="7" t="s">
        <v>48</v>
      </c>
      <c r="AM20" s="7" t="s">
        <v>49</v>
      </c>
      <c r="AN20" s="7" t="s">
        <v>50</v>
      </c>
      <c r="AO20" s="7" t="str">
        <f>D1</f>
        <v>BSTV log rtn</v>
      </c>
      <c r="AP20" s="7" t="str">
        <f>E1</f>
        <v>IBTL log rtn</v>
      </c>
      <c r="AQ20" s="7" t="s">
        <v>51</v>
      </c>
      <c r="AR20" s="7" t="s">
        <v>52</v>
      </c>
      <c r="AT20" s="25" t="s">
        <v>45</v>
      </c>
      <c r="AU20" s="7" t="s">
        <v>47</v>
      </c>
      <c r="AV20" s="7" t="s">
        <v>46</v>
      </c>
      <c r="AW20" s="7" t="s">
        <v>48</v>
      </c>
      <c r="AX20" s="7" t="s">
        <v>49</v>
      </c>
      <c r="AY20" s="7" t="s">
        <v>50</v>
      </c>
      <c r="AZ20" s="24" t="str">
        <f>D1</f>
        <v>BSTV log rtn</v>
      </c>
      <c r="BA20" s="24" t="str">
        <f>E1</f>
        <v>IBTL log rtn</v>
      </c>
      <c r="BB20" s="7" t="s">
        <v>51</v>
      </c>
      <c r="BC20" s="7" t="s">
        <v>52</v>
      </c>
      <c r="BE20" s="7" t="s">
        <v>51</v>
      </c>
      <c r="BF20" s="7" t="s">
        <v>52</v>
      </c>
      <c r="BH20" s="7"/>
    </row>
    <row r="21" spans="1:124" x14ac:dyDescent="0.25">
      <c r="A21" s="1">
        <v>46052</v>
      </c>
      <c r="C21" s="33">
        <v>20.53</v>
      </c>
      <c r="E21" s="15">
        <v>1.4623448864797099E-3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M21" s="33">
        <v>20.53</v>
      </c>
      <c r="O21" s="34">
        <v>0.80070241399324205</v>
      </c>
      <c r="Y21" s="34">
        <v>0.81414850939960204</v>
      </c>
      <c r="AI21" s="26">
        <v>-1E-3</v>
      </c>
      <c r="AJ21"/>
      <c r="AK21"/>
      <c r="AL21"/>
      <c r="AM21">
        <f t="shared" ref="AM21:AM84" si="4">IF(F22+H22&gt;0,0,1)</f>
        <v>0</v>
      </c>
      <c r="AN21" s="27">
        <v>0</v>
      </c>
      <c r="AO21"/>
      <c r="AP21"/>
      <c r="AQ21"/>
      <c r="AR21"/>
      <c r="AT21" s="26">
        <v>1E-3</v>
      </c>
      <c r="AU21"/>
      <c r="AV21"/>
      <c r="AW21"/>
      <c r="AX21">
        <f t="shared" ref="AX21:AX84" si="5">IF(F22+H22&gt;0,0,1)</f>
        <v>0</v>
      </c>
      <c r="AY21" s="27">
        <v>0</v>
      </c>
      <c r="AZ21"/>
      <c r="BA21"/>
      <c r="BB21"/>
      <c r="BC21"/>
    </row>
    <row r="22" spans="1:124" x14ac:dyDescent="0.25">
      <c r="A22" s="1">
        <v>46055</v>
      </c>
      <c r="C22" s="33">
        <v>20.43</v>
      </c>
      <c r="E22" s="15">
        <v>-4.8828222013115397E-3</v>
      </c>
      <c r="F22" s="33">
        <v>0</v>
      </c>
      <c r="G22" s="33">
        <v>0</v>
      </c>
      <c r="H22" s="33">
        <v>6.3516000000000003E-2</v>
      </c>
      <c r="I22" s="33">
        <v>6.3516000000000003E-2</v>
      </c>
      <c r="J22" s="33">
        <v>0</v>
      </c>
      <c r="K22" s="33">
        <v>6.3516000000000003E-2</v>
      </c>
      <c r="M22" s="33">
        <v>20.493516</v>
      </c>
      <c r="O22" s="34">
        <v>0.80070241399324205</v>
      </c>
      <c r="Y22" s="34">
        <v>0.81414850939960204</v>
      </c>
      <c r="AI22" s="26">
        <v>-2.0000000000000001E-4</v>
      </c>
      <c r="AJ22">
        <f t="shared" ref="AJ22:AJ85" si="6">IF($AG22&lt;AI$21,1,0)</f>
        <v>0</v>
      </c>
      <c r="AK22">
        <f t="shared" ref="AK22:AK85" si="7">IF($AG22&gt;AI$22,1,0)</f>
        <v>1</v>
      </c>
      <c r="AL22">
        <f>AN21</f>
        <v>0</v>
      </c>
      <c r="AM22">
        <f t="shared" si="4"/>
        <v>1</v>
      </c>
      <c r="AN22">
        <f>IF(AJ21,1,IF(AK21,0,AL21))*AM21</f>
        <v>0</v>
      </c>
      <c r="AO22" s="28">
        <f t="shared" ref="AO22:AO85" si="8">AN22*D22</f>
        <v>0</v>
      </c>
      <c r="AP22" s="28">
        <f t="shared" ref="AP22:AP85" si="9">-AN22*$E22</f>
        <v>0</v>
      </c>
      <c r="AQ22" s="28">
        <f>AO22+AP22</f>
        <v>0</v>
      </c>
      <c r="AR22" s="29">
        <f>AR21+AQ22</f>
        <v>0</v>
      </c>
      <c r="AT22" s="26">
        <v>2.0000000000000001E-4</v>
      </c>
      <c r="AU22">
        <f t="shared" ref="AU22:AU85" si="10">IF($AG22&gt;AT$21,1,0)</f>
        <v>0</v>
      </c>
      <c r="AV22">
        <f t="shared" ref="AV22:AV85" si="11">IF($AG22&lt;AT$22,1,0)</f>
        <v>1</v>
      </c>
      <c r="AW22">
        <f>AY21</f>
        <v>0</v>
      </c>
      <c r="AX22">
        <f t="shared" si="5"/>
        <v>1</v>
      </c>
      <c r="AY22">
        <f>IF(AU21,1,IF(AV21,0,AW21))*AX21</f>
        <v>0</v>
      </c>
      <c r="AZ22" s="28">
        <f t="shared" ref="AZ22:AZ85" si="12">-AY22*D22</f>
        <v>0</v>
      </c>
      <c r="BA22" s="28">
        <f t="shared" ref="BA22:BA85" si="13">AY22*$E22</f>
        <v>0</v>
      </c>
      <c r="BB22" s="28">
        <f>AZ22+BA22</f>
        <v>0</v>
      </c>
      <c r="BC22" s="29">
        <f>BC21+BB22</f>
        <v>0</v>
      </c>
      <c r="BE22" s="29">
        <f>AQ22+BB22</f>
        <v>0</v>
      </c>
      <c r="BF22" s="29">
        <f>BF21+BE22</f>
        <v>0</v>
      </c>
      <c r="BH22" s="29"/>
    </row>
    <row r="23" spans="1:124" x14ac:dyDescent="0.25">
      <c r="A23" s="1">
        <v>46056</v>
      </c>
      <c r="C23" s="33">
        <v>20.43</v>
      </c>
      <c r="E23" s="15">
        <v>0</v>
      </c>
      <c r="F23" s="33">
        <v>0</v>
      </c>
      <c r="G23" s="33">
        <v>0</v>
      </c>
      <c r="H23" s="33">
        <v>0</v>
      </c>
      <c r="I23" s="33">
        <v>6.3516000000000003E-2</v>
      </c>
      <c r="J23" s="33">
        <v>0</v>
      </c>
      <c r="K23" s="33">
        <v>6.3516000000000003E-2</v>
      </c>
      <c r="M23" s="33">
        <v>20.493516</v>
      </c>
      <c r="O23" s="34">
        <v>0.80070241399324205</v>
      </c>
      <c r="Y23" s="34">
        <v>0.81414850939960204</v>
      </c>
      <c r="AI23" s="12"/>
      <c r="AJ23">
        <f t="shared" si="6"/>
        <v>0</v>
      </c>
      <c r="AK23">
        <f t="shared" si="7"/>
        <v>1</v>
      </c>
      <c r="AL23">
        <f t="shared" ref="AL23:AL86" si="14">AN23</f>
        <v>0</v>
      </c>
      <c r="AM23">
        <f t="shared" si="4"/>
        <v>1</v>
      </c>
      <c r="AN23">
        <f t="shared" ref="AN23:AN86" si="15">IF(AJ22,1,IF(AK22,0,AL22))*AM22</f>
        <v>0</v>
      </c>
      <c r="AO23" s="28">
        <f t="shared" si="8"/>
        <v>0</v>
      </c>
      <c r="AP23" s="28">
        <f t="shared" si="9"/>
        <v>0</v>
      </c>
      <c r="AQ23" s="28">
        <f t="shared" ref="AQ23:AQ86" si="16">AO23+AP23</f>
        <v>0</v>
      </c>
      <c r="AR23" s="29">
        <f t="shared" ref="AR23:AR86" si="17">AR22+AQ23</f>
        <v>0</v>
      </c>
      <c r="AT23" s="12"/>
      <c r="AU23">
        <f t="shared" si="10"/>
        <v>0</v>
      </c>
      <c r="AV23">
        <f t="shared" si="11"/>
        <v>1</v>
      </c>
      <c r="AW23">
        <f t="shared" ref="AW23:AW86" si="18">AY23</f>
        <v>0</v>
      </c>
      <c r="AX23">
        <f t="shared" si="5"/>
        <v>1</v>
      </c>
      <c r="AY23">
        <f t="shared" ref="AY23:AY86" si="19">IF(AU22,1,IF(AV22,0,AW22))*AX22</f>
        <v>0</v>
      </c>
      <c r="AZ23" s="28">
        <f t="shared" si="12"/>
        <v>0</v>
      </c>
      <c r="BA23" s="28">
        <f t="shared" si="13"/>
        <v>0</v>
      </c>
      <c r="BB23" s="28">
        <f t="shared" ref="BB23:BB86" si="20">AZ23+BA23</f>
        <v>0</v>
      </c>
      <c r="BC23" s="29">
        <f t="shared" ref="BC23:BC86" si="21">BC22+BB23</f>
        <v>0</v>
      </c>
      <c r="BE23" s="29">
        <f t="shared" ref="BE23:BE86" si="22">AQ23+BB23</f>
        <v>0</v>
      </c>
      <c r="BF23" s="29">
        <f t="shared" ref="BF23:BF86" si="23">BF22+BE23</f>
        <v>0</v>
      </c>
      <c r="BH23" s="29"/>
    </row>
    <row r="24" spans="1:124" x14ac:dyDescent="0.25">
      <c r="A24" s="1">
        <v>46057</v>
      </c>
      <c r="C24" s="33">
        <v>20.43</v>
      </c>
      <c r="E24" s="15">
        <v>0</v>
      </c>
      <c r="F24" s="33">
        <v>0</v>
      </c>
      <c r="G24" s="33">
        <v>0</v>
      </c>
      <c r="H24" s="33">
        <v>0</v>
      </c>
      <c r="I24" s="33">
        <v>6.3516000000000003E-2</v>
      </c>
      <c r="J24" s="33">
        <v>0</v>
      </c>
      <c r="K24" s="33">
        <v>6.3516000000000003E-2</v>
      </c>
      <c r="M24" s="33">
        <v>20.493516</v>
      </c>
      <c r="O24" s="34">
        <v>0.80070241399324205</v>
      </c>
      <c r="Y24" s="34">
        <v>0.81414850939960204</v>
      </c>
      <c r="AI24" s="12"/>
      <c r="AJ24">
        <f t="shared" si="6"/>
        <v>0</v>
      </c>
      <c r="AK24">
        <f t="shared" si="7"/>
        <v>1</v>
      </c>
      <c r="AL24">
        <f t="shared" si="14"/>
        <v>0</v>
      </c>
      <c r="AM24">
        <f t="shared" si="4"/>
        <v>1</v>
      </c>
      <c r="AN24">
        <f t="shared" si="15"/>
        <v>0</v>
      </c>
      <c r="AO24" s="28">
        <f t="shared" si="8"/>
        <v>0</v>
      </c>
      <c r="AP24" s="28">
        <f t="shared" si="9"/>
        <v>0</v>
      </c>
      <c r="AQ24" s="28">
        <f t="shared" si="16"/>
        <v>0</v>
      </c>
      <c r="AR24" s="29">
        <f t="shared" si="17"/>
        <v>0</v>
      </c>
      <c r="AT24" s="12"/>
      <c r="AU24">
        <f t="shared" si="10"/>
        <v>0</v>
      </c>
      <c r="AV24">
        <f t="shared" si="11"/>
        <v>1</v>
      </c>
      <c r="AW24">
        <f t="shared" si="18"/>
        <v>0</v>
      </c>
      <c r="AX24">
        <f t="shared" si="5"/>
        <v>1</v>
      </c>
      <c r="AY24">
        <f t="shared" si="19"/>
        <v>0</v>
      </c>
      <c r="AZ24" s="28">
        <f t="shared" si="12"/>
        <v>0</v>
      </c>
      <c r="BA24" s="28">
        <f t="shared" si="13"/>
        <v>0</v>
      </c>
      <c r="BB24" s="28">
        <f t="shared" si="20"/>
        <v>0</v>
      </c>
      <c r="BC24" s="29">
        <f t="shared" si="21"/>
        <v>0</v>
      </c>
      <c r="BE24" s="29">
        <f t="shared" si="22"/>
        <v>0</v>
      </c>
      <c r="BF24" s="29">
        <f t="shared" si="23"/>
        <v>0</v>
      </c>
      <c r="BH24" s="29"/>
    </row>
    <row r="25" spans="1:124" x14ac:dyDescent="0.25">
      <c r="A25" s="1">
        <v>46058</v>
      </c>
      <c r="C25" s="33">
        <v>20.53</v>
      </c>
      <c r="E25" s="15">
        <v>4.8828222013114703E-3</v>
      </c>
      <c r="F25" s="33">
        <v>0</v>
      </c>
      <c r="G25" s="33">
        <v>0</v>
      </c>
      <c r="H25" s="33">
        <v>0</v>
      </c>
      <c r="I25" s="33">
        <v>6.3516000000000003E-2</v>
      </c>
      <c r="J25" s="33">
        <v>0</v>
      </c>
      <c r="K25" s="33">
        <v>6.3516000000000003E-2</v>
      </c>
      <c r="M25" s="33">
        <v>20.593516000000001</v>
      </c>
      <c r="O25" s="34">
        <v>0.80070241399324205</v>
      </c>
      <c r="Y25" s="34">
        <v>0.81414850939960204</v>
      </c>
      <c r="AI25" s="12"/>
      <c r="AJ25">
        <f t="shared" si="6"/>
        <v>0</v>
      </c>
      <c r="AK25">
        <f t="shared" si="7"/>
        <v>1</v>
      </c>
      <c r="AL25">
        <f t="shared" si="14"/>
        <v>0</v>
      </c>
      <c r="AM25">
        <f t="shared" si="4"/>
        <v>1</v>
      </c>
      <c r="AN25">
        <f t="shared" si="15"/>
        <v>0</v>
      </c>
      <c r="AO25" s="28">
        <f t="shared" si="8"/>
        <v>0</v>
      </c>
      <c r="AP25" s="28">
        <f t="shared" si="9"/>
        <v>0</v>
      </c>
      <c r="AQ25" s="28">
        <f t="shared" si="16"/>
        <v>0</v>
      </c>
      <c r="AR25" s="29">
        <f t="shared" si="17"/>
        <v>0</v>
      </c>
      <c r="AT25" s="12"/>
      <c r="AU25">
        <f t="shared" si="10"/>
        <v>0</v>
      </c>
      <c r="AV25">
        <f t="shared" si="11"/>
        <v>1</v>
      </c>
      <c r="AW25">
        <f t="shared" si="18"/>
        <v>0</v>
      </c>
      <c r="AX25">
        <f t="shared" si="5"/>
        <v>1</v>
      </c>
      <c r="AY25">
        <f t="shared" si="19"/>
        <v>0</v>
      </c>
      <c r="AZ25" s="28">
        <f t="shared" si="12"/>
        <v>0</v>
      </c>
      <c r="BA25" s="28">
        <f t="shared" si="13"/>
        <v>0</v>
      </c>
      <c r="BB25" s="28">
        <f t="shared" si="20"/>
        <v>0</v>
      </c>
      <c r="BC25" s="29">
        <f t="shared" si="21"/>
        <v>0</v>
      </c>
      <c r="BE25" s="29">
        <f t="shared" si="22"/>
        <v>0</v>
      </c>
      <c r="BF25" s="29">
        <f t="shared" si="23"/>
        <v>0</v>
      </c>
      <c r="BH25" s="29"/>
      <c r="DL25" s="4"/>
      <c r="DM25" s="4"/>
      <c r="DN25" s="4"/>
      <c r="DO25" s="4"/>
      <c r="DP25" s="4"/>
      <c r="DR25" s="4"/>
      <c r="DS25" s="4"/>
      <c r="DT25" s="4"/>
    </row>
    <row r="26" spans="1:124" x14ac:dyDescent="0.25">
      <c r="A26" s="1">
        <v>46059</v>
      </c>
      <c r="C26" s="33">
        <v>20.52</v>
      </c>
      <c r="E26" s="15">
        <v>-4.87210728273543E-4</v>
      </c>
      <c r="F26" s="33">
        <v>0</v>
      </c>
      <c r="G26" s="33">
        <v>0</v>
      </c>
      <c r="H26" s="33">
        <v>0</v>
      </c>
      <c r="I26" s="33">
        <v>6.3516000000000003E-2</v>
      </c>
      <c r="J26" s="33">
        <v>0</v>
      </c>
      <c r="K26" s="33">
        <v>6.3516000000000003E-2</v>
      </c>
      <c r="M26" s="33">
        <v>20.583515999999999</v>
      </c>
      <c r="O26" s="34">
        <v>0.80070241399324205</v>
      </c>
      <c r="Y26" s="34">
        <v>0.81414850939960204</v>
      </c>
      <c r="AI26" s="12"/>
      <c r="AJ26">
        <f t="shared" si="6"/>
        <v>0</v>
      </c>
      <c r="AK26">
        <f t="shared" si="7"/>
        <v>1</v>
      </c>
      <c r="AL26">
        <f t="shared" si="14"/>
        <v>0</v>
      </c>
      <c r="AM26">
        <f t="shared" si="4"/>
        <v>1</v>
      </c>
      <c r="AN26">
        <f t="shared" si="15"/>
        <v>0</v>
      </c>
      <c r="AO26" s="28">
        <f t="shared" si="8"/>
        <v>0</v>
      </c>
      <c r="AP26" s="28">
        <f t="shared" si="9"/>
        <v>0</v>
      </c>
      <c r="AQ26" s="28">
        <f t="shared" si="16"/>
        <v>0</v>
      </c>
      <c r="AR26" s="29">
        <f t="shared" si="17"/>
        <v>0</v>
      </c>
      <c r="AT26" s="12"/>
      <c r="AU26">
        <f t="shared" si="10"/>
        <v>0</v>
      </c>
      <c r="AV26">
        <f t="shared" si="11"/>
        <v>1</v>
      </c>
      <c r="AW26">
        <f t="shared" si="18"/>
        <v>0</v>
      </c>
      <c r="AX26">
        <f t="shared" si="5"/>
        <v>1</v>
      </c>
      <c r="AY26">
        <f t="shared" si="19"/>
        <v>0</v>
      </c>
      <c r="AZ26" s="28">
        <f t="shared" si="12"/>
        <v>0</v>
      </c>
      <c r="BA26" s="28">
        <f t="shared" si="13"/>
        <v>0</v>
      </c>
      <c r="BB26" s="28">
        <f t="shared" si="20"/>
        <v>0</v>
      </c>
      <c r="BC26" s="29">
        <f t="shared" si="21"/>
        <v>0</v>
      </c>
      <c r="BE26" s="29">
        <f t="shared" si="22"/>
        <v>0</v>
      </c>
      <c r="BF26" s="29">
        <f t="shared" si="23"/>
        <v>0</v>
      </c>
      <c r="BH26" s="29"/>
      <c r="DL26" s="4"/>
      <c r="DM26" s="10"/>
      <c r="DN26" s="10"/>
      <c r="DO26" s="10"/>
      <c r="DP26" s="10"/>
      <c r="DR26" s="10"/>
      <c r="DS26" s="10"/>
      <c r="DT26" s="10"/>
    </row>
    <row r="27" spans="1:124" x14ac:dyDescent="0.25">
      <c r="A27" s="1">
        <v>46062</v>
      </c>
      <c r="C27" s="33">
        <v>20.53</v>
      </c>
      <c r="E27" s="15">
        <v>4.8721072827343198E-4</v>
      </c>
      <c r="F27" s="33">
        <v>0</v>
      </c>
      <c r="G27" s="33">
        <v>0</v>
      </c>
      <c r="H27" s="33">
        <v>0</v>
      </c>
      <c r="I27" s="33">
        <v>6.3516000000000003E-2</v>
      </c>
      <c r="J27" s="33">
        <v>0</v>
      </c>
      <c r="K27" s="33">
        <v>6.3516000000000003E-2</v>
      </c>
      <c r="M27" s="33">
        <v>20.593516000000001</v>
      </c>
      <c r="O27" s="34">
        <v>0.80070241399324205</v>
      </c>
      <c r="Y27" s="34">
        <v>0.81414850939960204</v>
      </c>
      <c r="AI27" s="12"/>
      <c r="AJ27">
        <f t="shared" si="6"/>
        <v>0</v>
      </c>
      <c r="AK27">
        <f t="shared" si="7"/>
        <v>1</v>
      </c>
      <c r="AL27">
        <f t="shared" si="14"/>
        <v>0</v>
      </c>
      <c r="AM27">
        <f t="shared" si="4"/>
        <v>1</v>
      </c>
      <c r="AN27">
        <f t="shared" si="15"/>
        <v>0</v>
      </c>
      <c r="AO27" s="28">
        <f t="shared" si="8"/>
        <v>0</v>
      </c>
      <c r="AP27" s="28">
        <f t="shared" si="9"/>
        <v>0</v>
      </c>
      <c r="AQ27" s="28">
        <f t="shared" si="16"/>
        <v>0</v>
      </c>
      <c r="AR27" s="29">
        <f t="shared" si="17"/>
        <v>0</v>
      </c>
      <c r="AT27" s="12"/>
      <c r="AU27">
        <f t="shared" si="10"/>
        <v>0</v>
      </c>
      <c r="AV27">
        <f t="shared" si="11"/>
        <v>1</v>
      </c>
      <c r="AW27">
        <f t="shared" si="18"/>
        <v>0</v>
      </c>
      <c r="AX27">
        <f t="shared" si="5"/>
        <v>1</v>
      </c>
      <c r="AY27">
        <f t="shared" si="19"/>
        <v>0</v>
      </c>
      <c r="AZ27" s="28">
        <f t="shared" si="12"/>
        <v>0</v>
      </c>
      <c r="BA27" s="28">
        <f t="shared" si="13"/>
        <v>0</v>
      </c>
      <c r="BB27" s="28">
        <f t="shared" si="20"/>
        <v>0</v>
      </c>
      <c r="BC27" s="29">
        <f t="shared" si="21"/>
        <v>0</v>
      </c>
      <c r="BE27" s="29">
        <f t="shared" si="22"/>
        <v>0</v>
      </c>
      <c r="BF27" s="29">
        <f t="shared" si="23"/>
        <v>0</v>
      </c>
      <c r="BH27" s="29"/>
      <c r="DL27" s="4"/>
      <c r="DM27" s="10"/>
      <c r="DN27" s="10"/>
      <c r="DO27" s="10"/>
      <c r="DP27" s="10"/>
      <c r="DR27" s="10"/>
      <c r="DS27" s="10"/>
      <c r="DT27" s="10"/>
    </row>
    <row r="28" spans="1:124" x14ac:dyDescent="0.25">
      <c r="A28" s="1">
        <v>46063</v>
      </c>
      <c r="C28" s="33">
        <v>20.57</v>
      </c>
      <c r="E28" s="15">
        <v>1.9464726340236501E-3</v>
      </c>
      <c r="F28" s="33">
        <v>0</v>
      </c>
      <c r="G28" s="33">
        <v>0</v>
      </c>
      <c r="H28" s="33">
        <v>0</v>
      </c>
      <c r="I28" s="33">
        <v>6.3516000000000003E-2</v>
      </c>
      <c r="J28" s="33">
        <v>0</v>
      </c>
      <c r="K28" s="33">
        <v>6.3516000000000003E-2</v>
      </c>
      <c r="M28" s="33">
        <v>20.633516</v>
      </c>
      <c r="O28" s="34">
        <v>0.80070241399324205</v>
      </c>
      <c r="Y28" s="34">
        <v>0.81414850939960204</v>
      </c>
      <c r="AI28" s="12"/>
      <c r="AJ28">
        <f t="shared" si="6"/>
        <v>0</v>
      </c>
      <c r="AK28">
        <f t="shared" si="7"/>
        <v>1</v>
      </c>
      <c r="AL28">
        <f t="shared" si="14"/>
        <v>0</v>
      </c>
      <c r="AM28">
        <f t="shared" si="4"/>
        <v>1</v>
      </c>
      <c r="AN28">
        <f t="shared" si="15"/>
        <v>0</v>
      </c>
      <c r="AO28" s="28">
        <f t="shared" si="8"/>
        <v>0</v>
      </c>
      <c r="AP28" s="28">
        <f t="shared" si="9"/>
        <v>0</v>
      </c>
      <c r="AQ28" s="28">
        <f t="shared" si="16"/>
        <v>0</v>
      </c>
      <c r="AR28" s="29">
        <f t="shared" si="17"/>
        <v>0</v>
      </c>
      <c r="AT28" s="12"/>
      <c r="AU28">
        <f t="shared" si="10"/>
        <v>0</v>
      </c>
      <c r="AV28">
        <f t="shared" si="11"/>
        <v>1</v>
      </c>
      <c r="AW28">
        <f t="shared" si="18"/>
        <v>0</v>
      </c>
      <c r="AX28">
        <f t="shared" si="5"/>
        <v>1</v>
      </c>
      <c r="AY28">
        <f t="shared" si="19"/>
        <v>0</v>
      </c>
      <c r="AZ28" s="28">
        <f t="shared" si="12"/>
        <v>0</v>
      </c>
      <c r="BA28" s="28">
        <f t="shared" si="13"/>
        <v>0</v>
      </c>
      <c r="BB28" s="28">
        <f t="shared" si="20"/>
        <v>0</v>
      </c>
      <c r="BC28" s="29">
        <f t="shared" si="21"/>
        <v>0</v>
      </c>
      <c r="BE28" s="29">
        <f t="shared" si="22"/>
        <v>0</v>
      </c>
      <c r="BF28" s="29">
        <f t="shared" si="23"/>
        <v>0</v>
      </c>
      <c r="BH28" s="29"/>
      <c r="DL28" s="4"/>
      <c r="DM28" s="10"/>
      <c r="DN28" s="10"/>
      <c r="DO28" s="10"/>
      <c r="DP28" s="11"/>
      <c r="DR28" s="10"/>
      <c r="DS28" s="10"/>
      <c r="DT28" s="10"/>
    </row>
    <row r="29" spans="1:124" x14ac:dyDescent="0.25">
      <c r="A29" s="1">
        <v>46064</v>
      </c>
      <c r="C29" s="33">
        <v>20.54</v>
      </c>
      <c r="E29" s="15">
        <v>-1.4594991644537099E-3</v>
      </c>
      <c r="F29" s="33">
        <v>0</v>
      </c>
      <c r="G29" s="33">
        <v>0</v>
      </c>
      <c r="H29" s="33">
        <v>0</v>
      </c>
      <c r="I29" s="33">
        <v>6.3516000000000003E-2</v>
      </c>
      <c r="J29" s="33">
        <v>0</v>
      </c>
      <c r="K29" s="33">
        <v>6.3516000000000003E-2</v>
      </c>
      <c r="M29" s="33">
        <v>20.603515999999999</v>
      </c>
      <c r="O29" s="34">
        <v>0.80070241399324205</v>
      </c>
      <c r="Y29" s="34">
        <v>0.81414850939960204</v>
      </c>
      <c r="AI29" s="12"/>
      <c r="AJ29">
        <f t="shared" si="6"/>
        <v>0</v>
      </c>
      <c r="AK29">
        <f t="shared" si="7"/>
        <v>1</v>
      </c>
      <c r="AL29">
        <f t="shared" si="14"/>
        <v>0</v>
      </c>
      <c r="AM29">
        <f t="shared" si="4"/>
        <v>1</v>
      </c>
      <c r="AN29">
        <f t="shared" si="15"/>
        <v>0</v>
      </c>
      <c r="AO29" s="28">
        <f t="shared" si="8"/>
        <v>0</v>
      </c>
      <c r="AP29" s="28">
        <f t="shared" si="9"/>
        <v>0</v>
      </c>
      <c r="AQ29" s="28">
        <f t="shared" si="16"/>
        <v>0</v>
      </c>
      <c r="AR29" s="29">
        <f t="shared" si="17"/>
        <v>0</v>
      </c>
      <c r="AT29" s="12"/>
      <c r="AU29">
        <f t="shared" si="10"/>
        <v>0</v>
      </c>
      <c r="AV29">
        <f t="shared" si="11"/>
        <v>1</v>
      </c>
      <c r="AW29">
        <f t="shared" si="18"/>
        <v>0</v>
      </c>
      <c r="AX29">
        <f t="shared" si="5"/>
        <v>1</v>
      </c>
      <c r="AY29">
        <f t="shared" si="19"/>
        <v>0</v>
      </c>
      <c r="AZ29" s="28">
        <f t="shared" si="12"/>
        <v>0</v>
      </c>
      <c r="BA29" s="28">
        <f t="shared" si="13"/>
        <v>0</v>
      </c>
      <c r="BB29" s="28">
        <f t="shared" si="20"/>
        <v>0</v>
      </c>
      <c r="BC29" s="29">
        <f t="shared" si="21"/>
        <v>0</v>
      </c>
      <c r="BE29" s="29">
        <f t="shared" si="22"/>
        <v>0</v>
      </c>
      <c r="BF29" s="29">
        <f t="shared" si="23"/>
        <v>0</v>
      </c>
      <c r="BH29" s="29"/>
      <c r="DL29" s="4"/>
      <c r="DM29" s="10"/>
      <c r="DN29" s="10"/>
      <c r="DO29" s="10"/>
      <c r="DP29" s="10"/>
      <c r="DR29" s="10"/>
      <c r="DS29" s="10"/>
      <c r="DT29" s="10"/>
    </row>
    <row r="30" spans="1:124" x14ac:dyDescent="0.25">
      <c r="A30" s="1">
        <v>46065</v>
      </c>
      <c r="C30" s="33">
        <v>20.62</v>
      </c>
      <c r="E30" s="15">
        <v>3.8872740884018601E-3</v>
      </c>
      <c r="F30" s="33">
        <v>0</v>
      </c>
      <c r="G30" s="33">
        <v>0</v>
      </c>
      <c r="H30" s="33">
        <v>0</v>
      </c>
      <c r="I30" s="33">
        <v>6.3516000000000003E-2</v>
      </c>
      <c r="J30" s="33">
        <v>0</v>
      </c>
      <c r="K30" s="33">
        <v>6.3516000000000003E-2</v>
      </c>
      <c r="M30" s="33">
        <v>20.683516000000001</v>
      </c>
      <c r="O30" s="34">
        <v>0.80070241399324205</v>
      </c>
      <c r="Y30" s="34">
        <v>0.81414850939960204</v>
      </c>
      <c r="AI30" s="12"/>
      <c r="AJ30">
        <f t="shared" si="6"/>
        <v>0</v>
      </c>
      <c r="AK30">
        <f t="shared" si="7"/>
        <v>1</v>
      </c>
      <c r="AL30">
        <f t="shared" si="14"/>
        <v>0</v>
      </c>
      <c r="AM30">
        <f t="shared" si="4"/>
        <v>1</v>
      </c>
      <c r="AN30">
        <f t="shared" si="15"/>
        <v>0</v>
      </c>
      <c r="AO30" s="28">
        <f t="shared" si="8"/>
        <v>0</v>
      </c>
      <c r="AP30" s="28">
        <f t="shared" si="9"/>
        <v>0</v>
      </c>
      <c r="AQ30" s="28">
        <f t="shared" si="16"/>
        <v>0</v>
      </c>
      <c r="AR30" s="29">
        <f t="shared" si="17"/>
        <v>0</v>
      </c>
      <c r="AT30" s="12"/>
      <c r="AU30">
        <f t="shared" si="10"/>
        <v>0</v>
      </c>
      <c r="AV30">
        <f t="shared" si="11"/>
        <v>1</v>
      </c>
      <c r="AW30">
        <f t="shared" si="18"/>
        <v>0</v>
      </c>
      <c r="AX30">
        <f t="shared" si="5"/>
        <v>1</v>
      </c>
      <c r="AY30">
        <f t="shared" si="19"/>
        <v>0</v>
      </c>
      <c r="AZ30" s="28">
        <f t="shared" si="12"/>
        <v>0</v>
      </c>
      <c r="BA30" s="28">
        <f t="shared" si="13"/>
        <v>0</v>
      </c>
      <c r="BB30" s="28">
        <f t="shared" si="20"/>
        <v>0</v>
      </c>
      <c r="BC30" s="29">
        <f t="shared" si="21"/>
        <v>0</v>
      </c>
      <c r="BE30" s="29">
        <f t="shared" si="22"/>
        <v>0</v>
      </c>
      <c r="BF30" s="29">
        <f t="shared" si="23"/>
        <v>0</v>
      </c>
      <c r="BH30" s="29"/>
      <c r="DL30" s="4"/>
      <c r="DM30" s="10"/>
      <c r="DN30" s="10"/>
      <c r="DO30" s="10"/>
      <c r="DP30" s="10"/>
      <c r="DR30" s="10"/>
      <c r="DS30" s="10"/>
      <c r="DT30" s="10"/>
    </row>
    <row r="31" spans="1:124" x14ac:dyDescent="0.25">
      <c r="A31" s="1">
        <v>46066</v>
      </c>
      <c r="C31" s="33">
        <v>20.68</v>
      </c>
      <c r="E31" s="15">
        <v>2.90557105141443E-3</v>
      </c>
      <c r="F31" s="33">
        <v>0</v>
      </c>
      <c r="G31" s="33">
        <v>0</v>
      </c>
      <c r="H31" s="33">
        <v>0</v>
      </c>
      <c r="I31" s="33">
        <v>6.3516000000000003E-2</v>
      </c>
      <c r="J31" s="33">
        <v>0</v>
      </c>
      <c r="K31" s="33">
        <v>6.3516000000000003E-2</v>
      </c>
      <c r="M31" s="33">
        <v>20.743516</v>
      </c>
      <c r="O31" s="34">
        <v>0.80070241399324205</v>
      </c>
      <c r="Y31" s="34">
        <v>0.81414850939960204</v>
      </c>
      <c r="AI31" s="12"/>
      <c r="AJ31">
        <f t="shared" si="6"/>
        <v>0</v>
      </c>
      <c r="AK31">
        <f t="shared" si="7"/>
        <v>1</v>
      </c>
      <c r="AL31">
        <f t="shared" si="14"/>
        <v>0</v>
      </c>
      <c r="AM31">
        <f t="shared" si="4"/>
        <v>1</v>
      </c>
      <c r="AN31">
        <f t="shared" si="15"/>
        <v>0</v>
      </c>
      <c r="AO31" s="28">
        <f t="shared" si="8"/>
        <v>0</v>
      </c>
      <c r="AP31" s="28">
        <f t="shared" si="9"/>
        <v>0</v>
      </c>
      <c r="AQ31" s="28">
        <f t="shared" si="16"/>
        <v>0</v>
      </c>
      <c r="AR31" s="29">
        <f t="shared" si="17"/>
        <v>0</v>
      </c>
      <c r="AT31" s="12"/>
      <c r="AU31">
        <f t="shared" si="10"/>
        <v>0</v>
      </c>
      <c r="AV31">
        <f t="shared" si="11"/>
        <v>1</v>
      </c>
      <c r="AW31">
        <f t="shared" si="18"/>
        <v>0</v>
      </c>
      <c r="AX31">
        <f t="shared" si="5"/>
        <v>1</v>
      </c>
      <c r="AY31">
        <f t="shared" si="19"/>
        <v>0</v>
      </c>
      <c r="AZ31" s="28">
        <f t="shared" si="12"/>
        <v>0</v>
      </c>
      <c r="BA31" s="28">
        <f t="shared" si="13"/>
        <v>0</v>
      </c>
      <c r="BB31" s="28">
        <f t="shared" si="20"/>
        <v>0</v>
      </c>
      <c r="BC31" s="29">
        <f t="shared" si="21"/>
        <v>0</v>
      </c>
      <c r="BE31" s="29">
        <f t="shared" si="22"/>
        <v>0</v>
      </c>
      <c r="BF31" s="29">
        <f t="shared" si="23"/>
        <v>0</v>
      </c>
      <c r="BH31" s="29"/>
      <c r="DL31" s="4"/>
      <c r="DM31" s="10"/>
      <c r="DN31" s="10"/>
      <c r="DO31" s="10"/>
      <c r="DP31" s="10"/>
      <c r="DR31" s="10"/>
      <c r="DS31" s="10"/>
      <c r="DT31" s="10"/>
    </row>
    <row r="32" spans="1:124" x14ac:dyDescent="0.25">
      <c r="A32" s="1">
        <v>46070</v>
      </c>
      <c r="C32" s="33">
        <v>20.68</v>
      </c>
      <c r="E32" s="15">
        <v>0</v>
      </c>
      <c r="F32" s="33">
        <v>0</v>
      </c>
      <c r="G32" s="33">
        <v>0</v>
      </c>
      <c r="H32" s="33">
        <v>0</v>
      </c>
      <c r="I32" s="33">
        <v>6.3516000000000003E-2</v>
      </c>
      <c r="J32" s="33">
        <v>0</v>
      </c>
      <c r="K32" s="33">
        <v>6.3516000000000003E-2</v>
      </c>
      <c r="M32" s="33">
        <v>20.743516</v>
      </c>
      <c r="O32" s="34">
        <v>0.80070241399324205</v>
      </c>
      <c r="Y32" s="34">
        <v>0.81414850939960204</v>
      </c>
      <c r="AI32" s="12"/>
      <c r="AJ32">
        <f t="shared" si="6"/>
        <v>0</v>
      </c>
      <c r="AK32">
        <f t="shared" si="7"/>
        <v>1</v>
      </c>
      <c r="AL32">
        <f t="shared" si="14"/>
        <v>0</v>
      </c>
      <c r="AM32">
        <f t="shared" si="4"/>
        <v>1</v>
      </c>
      <c r="AN32">
        <f t="shared" si="15"/>
        <v>0</v>
      </c>
      <c r="AO32" s="28">
        <f t="shared" si="8"/>
        <v>0</v>
      </c>
      <c r="AP32" s="28">
        <f t="shared" si="9"/>
        <v>0</v>
      </c>
      <c r="AQ32" s="28">
        <f t="shared" si="16"/>
        <v>0</v>
      </c>
      <c r="AR32" s="29">
        <f t="shared" si="17"/>
        <v>0</v>
      </c>
      <c r="AT32" s="12"/>
      <c r="AU32">
        <f t="shared" si="10"/>
        <v>0</v>
      </c>
      <c r="AV32">
        <f t="shared" si="11"/>
        <v>1</v>
      </c>
      <c r="AW32">
        <f t="shared" si="18"/>
        <v>0</v>
      </c>
      <c r="AX32">
        <f t="shared" si="5"/>
        <v>1</v>
      </c>
      <c r="AY32">
        <f t="shared" si="19"/>
        <v>0</v>
      </c>
      <c r="AZ32" s="28">
        <f t="shared" si="12"/>
        <v>0</v>
      </c>
      <c r="BA32" s="28">
        <f t="shared" si="13"/>
        <v>0</v>
      </c>
      <c r="BB32" s="28">
        <f t="shared" si="20"/>
        <v>0</v>
      </c>
      <c r="BC32" s="29">
        <f t="shared" si="21"/>
        <v>0</v>
      </c>
      <c r="BE32" s="29">
        <f t="shared" si="22"/>
        <v>0</v>
      </c>
      <c r="BF32" s="29">
        <f t="shared" si="23"/>
        <v>0</v>
      </c>
      <c r="BH32" s="29"/>
      <c r="DL32" s="4"/>
      <c r="DM32" s="10"/>
      <c r="DN32" s="10"/>
      <c r="DO32" s="10"/>
      <c r="DP32" s="10"/>
      <c r="DR32" s="10"/>
      <c r="DS32" s="10"/>
      <c r="DT32" s="10"/>
    </row>
    <row r="33" spans="1:124" x14ac:dyDescent="0.25">
      <c r="A33" s="1">
        <v>46071</v>
      </c>
      <c r="C33" s="33">
        <v>20.64</v>
      </c>
      <c r="E33" s="15">
        <v>-1.93610902686632E-3</v>
      </c>
      <c r="F33" s="33">
        <v>0</v>
      </c>
      <c r="G33" s="33">
        <v>0</v>
      </c>
      <c r="H33" s="33">
        <v>0</v>
      </c>
      <c r="I33" s="33">
        <v>6.3516000000000003E-2</v>
      </c>
      <c r="J33" s="33">
        <v>0</v>
      </c>
      <c r="K33" s="33">
        <v>6.3516000000000003E-2</v>
      </c>
      <c r="M33" s="33">
        <v>20.703516</v>
      </c>
      <c r="O33" s="34">
        <v>0.80070241399324205</v>
      </c>
      <c r="Y33" s="34">
        <v>0.81414850939960204</v>
      </c>
      <c r="AI33" s="12"/>
      <c r="AJ33">
        <f t="shared" si="6"/>
        <v>0</v>
      </c>
      <c r="AK33">
        <f t="shared" si="7"/>
        <v>1</v>
      </c>
      <c r="AL33">
        <f t="shared" si="14"/>
        <v>0</v>
      </c>
      <c r="AM33">
        <f t="shared" si="4"/>
        <v>1</v>
      </c>
      <c r="AN33">
        <f t="shared" si="15"/>
        <v>0</v>
      </c>
      <c r="AO33" s="28">
        <f t="shared" si="8"/>
        <v>0</v>
      </c>
      <c r="AP33" s="28">
        <f t="shared" si="9"/>
        <v>0</v>
      </c>
      <c r="AQ33" s="28">
        <f t="shared" si="16"/>
        <v>0</v>
      </c>
      <c r="AR33" s="29">
        <f t="shared" si="17"/>
        <v>0</v>
      </c>
      <c r="AT33" s="12"/>
      <c r="AU33">
        <f t="shared" si="10"/>
        <v>0</v>
      </c>
      <c r="AV33">
        <f t="shared" si="11"/>
        <v>1</v>
      </c>
      <c r="AW33">
        <f t="shared" si="18"/>
        <v>0</v>
      </c>
      <c r="AX33">
        <f t="shared" si="5"/>
        <v>1</v>
      </c>
      <c r="AY33">
        <f t="shared" si="19"/>
        <v>0</v>
      </c>
      <c r="AZ33" s="28">
        <f t="shared" si="12"/>
        <v>0</v>
      </c>
      <c r="BA33" s="28">
        <f t="shared" si="13"/>
        <v>0</v>
      </c>
      <c r="BB33" s="28">
        <f t="shared" si="20"/>
        <v>0</v>
      </c>
      <c r="BC33" s="29">
        <f t="shared" si="21"/>
        <v>0</v>
      </c>
      <c r="BE33" s="29">
        <f t="shared" si="22"/>
        <v>0</v>
      </c>
      <c r="BF33" s="29">
        <f t="shared" si="23"/>
        <v>0</v>
      </c>
      <c r="BH33" s="29"/>
      <c r="DL33" s="4"/>
      <c r="DM33" s="10"/>
      <c r="DN33" s="10"/>
      <c r="DO33" s="10"/>
      <c r="DP33" s="10"/>
      <c r="DQ33" s="10"/>
      <c r="DR33" s="10"/>
      <c r="DS33" s="10"/>
      <c r="DT33" s="10"/>
    </row>
    <row r="34" spans="1:124" x14ac:dyDescent="0.25">
      <c r="A34" s="1">
        <v>46072</v>
      </c>
      <c r="C34" s="33">
        <v>20.66</v>
      </c>
      <c r="E34" s="15">
        <v>9.6852307813050499E-4</v>
      </c>
      <c r="F34" s="33">
        <v>0</v>
      </c>
      <c r="G34" s="33">
        <v>0</v>
      </c>
      <c r="H34" s="33">
        <v>0</v>
      </c>
      <c r="I34" s="33">
        <v>6.3516000000000003E-2</v>
      </c>
      <c r="J34" s="33">
        <v>0</v>
      </c>
      <c r="K34" s="33">
        <v>6.3516000000000003E-2</v>
      </c>
      <c r="M34" s="33">
        <v>20.723516</v>
      </c>
      <c r="O34" s="34">
        <v>0.80070241399324205</v>
      </c>
      <c r="Y34" s="34">
        <v>0.81414850939960204</v>
      </c>
      <c r="AI34" s="12"/>
      <c r="AJ34">
        <f t="shared" si="6"/>
        <v>0</v>
      </c>
      <c r="AK34">
        <f t="shared" si="7"/>
        <v>1</v>
      </c>
      <c r="AL34">
        <f t="shared" si="14"/>
        <v>0</v>
      </c>
      <c r="AM34">
        <f t="shared" si="4"/>
        <v>1</v>
      </c>
      <c r="AN34">
        <f t="shared" si="15"/>
        <v>0</v>
      </c>
      <c r="AO34" s="28">
        <f t="shared" si="8"/>
        <v>0</v>
      </c>
      <c r="AP34" s="28">
        <f t="shared" si="9"/>
        <v>0</v>
      </c>
      <c r="AQ34" s="28">
        <f t="shared" si="16"/>
        <v>0</v>
      </c>
      <c r="AR34" s="29">
        <f t="shared" si="17"/>
        <v>0</v>
      </c>
      <c r="AT34" s="12"/>
      <c r="AU34">
        <f t="shared" si="10"/>
        <v>0</v>
      </c>
      <c r="AV34">
        <f t="shared" si="11"/>
        <v>1</v>
      </c>
      <c r="AW34">
        <f t="shared" si="18"/>
        <v>0</v>
      </c>
      <c r="AX34">
        <f t="shared" si="5"/>
        <v>1</v>
      </c>
      <c r="AY34">
        <f t="shared" si="19"/>
        <v>0</v>
      </c>
      <c r="AZ34" s="28">
        <f t="shared" si="12"/>
        <v>0</v>
      </c>
      <c r="BA34" s="28">
        <f t="shared" si="13"/>
        <v>0</v>
      </c>
      <c r="BB34" s="28">
        <f t="shared" si="20"/>
        <v>0</v>
      </c>
      <c r="BC34" s="29">
        <f t="shared" si="21"/>
        <v>0</v>
      </c>
      <c r="BE34" s="29">
        <f t="shared" si="22"/>
        <v>0</v>
      </c>
      <c r="BF34" s="29">
        <f t="shared" si="23"/>
        <v>0</v>
      </c>
      <c r="BH34" s="29"/>
    </row>
    <row r="35" spans="1:124" x14ac:dyDescent="0.25">
      <c r="A35" s="1">
        <v>46073</v>
      </c>
      <c r="C35" s="33">
        <v>20.66</v>
      </c>
      <c r="E35" s="15">
        <v>0</v>
      </c>
      <c r="F35" s="33">
        <v>0</v>
      </c>
      <c r="G35" s="33">
        <v>0</v>
      </c>
      <c r="H35" s="33">
        <v>0</v>
      </c>
      <c r="I35" s="33">
        <v>6.3516000000000003E-2</v>
      </c>
      <c r="J35" s="33">
        <v>0</v>
      </c>
      <c r="K35" s="33">
        <v>6.3516000000000003E-2</v>
      </c>
      <c r="M35" s="33">
        <v>20.723516</v>
      </c>
      <c r="O35" s="34">
        <v>0.80070241399324205</v>
      </c>
      <c r="Y35" s="34">
        <v>0.81414850939960204</v>
      </c>
      <c r="AI35" s="12"/>
      <c r="AJ35">
        <f t="shared" si="6"/>
        <v>0</v>
      </c>
      <c r="AK35">
        <f t="shared" si="7"/>
        <v>1</v>
      </c>
      <c r="AL35">
        <f t="shared" si="14"/>
        <v>0</v>
      </c>
      <c r="AM35">
        <f t="shared" si="4"/>
        <v>1</v>
      </c>
      <c r="AN35">
        <f t="shared" si="15"/>
        <v>0</v>
      </c>
      <c r="AO35" s="28">
        <f t="shared" si="8"/>
        <v>0</v>
      </c>
      <c r="AP35" s="28">
        <f t="shared" si="9"/>
        <v>0</v>
      </c>
      <c r="AQ35" s="28">
        <f t="shared" si="16"/>
        <v>0</v>
      </c>
      <c r="AR35" s="29">
        <f t="shared" si="17"/>
        <v>0</v>
      </c>
      <c r="AT35" s="12"/>
      <c r="AU35">
        <f t="shared" si="10"/>
        <v>0</v>
      </c>
      <c r="AV35">
        <f t="shared" si="11"/>
        <v>1</v>
      </c>
      <c r="AW35">
        <f t="shared" si="18"/>
        <v>0</v>
      </c>
      <c r="AX35">
        <f t="shared" si="5"/>
        <v>1</v>
      </c>
      <c r="AY35">
        <f t="shared" si="19"/>
        <v>0</v>
      </c>
      <c r="AZ35" s="28">
        <f t="shared" si="12"/>
        <v>0</v>
      </c>
      <c r="BA35" s="28">
        <f t="shared" si="13"/>
        <v>0</v>
      </c>
      <c r="BB35" s="28">
        <f t="shared" si="20"/>
        <v>0</v>
      </c>
      <c r="BC35" s="29">
        <f t="shared" si="21"/>
        <v>0</v>
      </c>
      <c r="BE35" s="29">
        <f t="shared" si="22"/>
        <v>0</v>
      </c>
      <c r="BF35" s="29">
        <f t="shared" si="23"/>
        <v>0</v>
      </c>
      <c r="BH35" s="29"/>
    </row>
    <row r="36" spans="1:124" x14ac:dyDescent="0.25">
      <c r="A36" s="1">
        <v>46076</v>
      </c>
      <c r="C36" s="33">
        <v>20.73</v>
      </c>
      <c r="E36" s="15">
        <v>3.3824627561957902E-3</v>
      </c>
      <c r="F36" s="33">
        <v>0</v>
      </c>
      <c r="G36" s="33">
        <v>0</v>
      </c>
      <c r="H36" s="33">
        <v>0</v>
      </c>
      <c r="I36" s="33">
        <v>6.3516000000000003E-2</v>
      </c>
      <c r="J36" s="33">
        <v>0</v>
      </c>
      <c r="K36" s="33">
        <v>6.3516000000000003E-2</v>
      </c>
      <c r="M36" s="33">
        <v>20.793516</v>
      </c>
      <c r="O36" s="34">
        <v>0.80070241399324205</v>
      </c>
      <c r="Y36" s="34">
        <v>0.81414850939960204</v>
      </c>
      <c r="AI36" s="12"/>
      <c r="AJ36">
        <f t="shared" si="6"/>
        <v>0</v>
      </c>
      <c r="AK36">
        <f t="shared" si="7"/>
        <v>1</v>
      </c>
      <c r="AL36">
        <f t="shared" si="14"/>
        <v>0</v>
      </c>
      <c r="AM36">
        <f t="shared" si="4"/>
        <v>1</v>
      </c>
      <c r="AN36">
        <f t="shared" si="15"/>
        <v>0</v>
      </c>
      <c r="AO36" s="28">
        <f t="shared" si="8"/>
        <v>0</v>
      </c>
      <c r="AP36" s="28">
        <f t="shared" si="9"/>
        <v>0</v>
      </c>
      <c r="AQ36" s="28">
        <f t="shared" si="16"/>
        <v>0</v>
      </c>
      <c r="AR36" s="29">
        <f t="shared" si="17"/>
        <v>0</v>
      </c>
      <c r="AT36" s="12"/>
      <c r="AU36">
        <f t="shared" si="10"/>
        <v>0</v>
      </c>
      <c r="AV36">
        <f t="shared" si="11"/>
        <v>1</v>
      </c>
      <c r="AW36">
        <f t="shared" si="18"/>
        <v>0</v>
      </c>
      <c r="AX36">
        <f t="shared" si="5"/>
        <v>1</v>
      </c>
      <c r="AY36">
        <f t="shared" si="19"/>
        <v>0</v>
      </c>
      <c r="AZ36" s="28">
        <f t="shared" si="12"/>
        <v>0</v>
      </c>
      <c r="BA36" s="28">
        <f t="shared" si="13"/>
        <v>0</v>
      </c>
      <c r="BB36" s="28">
        <f t="shared" si="20"/>
        <v>0</v>
      </c>
      <c r="BC36" s="29">
        <f t="shared" si="21"/>
        <v>0</v>
      </c>
      <c r="BE36" s="29">
        <f t="shared" si="22"/>
        <v>0</v>
      </c>
      <c r="BF36" s="29">
        <f t="shared" si="23"/>
        <v>0</v>
      </c>
      <c r="BH36" s="29"/>
    </row>
    <row r="37" spans="1:124" x14ac:dyDescent="0.25">
      <c r="A37" s="1">
        <v>46077</v>
      </c>
      <c r="C37" s="33">
        <v>20.72</v>
      </c>
      <c r="E37" s="15">
        <v>-4.8250905640596198E-4</v>
      </c>
      <c r="F37" s="33">
        <v>0</v>
      </c>
      <c r="G37" s="33">
        <v>0</v>
      </c>
      <c r="H37" s="33">
        <v>0</v>
      </c>
      <c r="I37" s="33">
        <v>6.3516000000000003E-2</v>
      </c>
      <c r="J37" s="33">
        <v>0</v>
      </c>
      <c r="K37" s="33">
        <v>6.3516000000000003E-2</v>
      </c>
      <c r="M37" s="33">
        <v>20.783515999999999</v>
      </c>
      <c r="O37" s="34">
        <v>0.80070241399324205</v>
      </c>
      <c r="Y37" s="34">
        <v>0.81414850939960204</v>
      </c>
      <c r="AI37" s="12"/>
      <c r="AJ37">
        <f t="shared" si="6"/>
        <v>0</v>
      </c>
      <c r="AK37">
        <f t="shared" si="7"/>
        <v>1</v>
      </c>
      <c r="AL37">
        <f t="shared" si="14"/>
        <v>0</v>
      </c>
      <c r="AM37">
        <f t="shared" si="4"/>
        <v>1</v>
      </c>
      <c r="AN37">
        <f t="shared" si="15"/>
        <v>0</v>
      </c>
      <c r="AO37" s="28">
        <f t="shared" si="8"/>
        <v>0</v>
      </c>
      <c r="AP37" s="28">
        <f t="shared" si="9"/>
        <v>0</v>
      </c>
      <c r="AQ37" s="28">
        <f t="shared" si="16"/>
        <v>0</v>
      </c>
      <c r="AR37" s="29">
        <f t="shared" si="17"/>
        <v>0</v>
      </c>
      <c r="AT37" s="12"/>
      <c r="AU37">
        <f t="shared" si="10"/>
        <v>0</v>
      </c>
      <c r="AV37">
        <f t="shared" si="11"/>
        <v>1</v>
      </c>
      <c r="AW37">
        <f t="shared" si="18"/>
        <v>0</v>
      </c>
      <c r="AX37">
        <f t="shared" si="5"/>
        <v>1</v>
      </c>
      <c r="AY37">
        <f t="shared" si="19"/>
        <v>0</v>
      </c>
      <c r="AZ37" s="28">
        <f t="shared" si="12"/>
        <v>0</v>
      </c>
      <c r="BA37" s="28">
        <f t="shared" si="13"/>
        <v>0</v>
      </c>
      <c r="BB37" s="28">
        <f t="shared" si="20"/>
        <v>0</v>
      </c>
      <c r="BC37" s="29">
        <f t="shared" si="21"/>
        <v>0</v>
      </c>
      <c r="BE37" s="29">
        <f t="shared" si="22"/>
        <v>0</v>
      </c>
      <c r="BF37" s="29">
        <f t="shared" si="23"/>
        <v>0</v>
      </c>
      <c r="BH37" s="29"/>
    </row>
    <row r="38" spans="1:124" x14ac:dyDescent="0.25">
      <c r="A38" s="1">
        <v>46078</v>
      </c>
      <c r="C38" s="33">
        <v>20.7</v>
      </c>
      <c r="E38" s="15">
        <v>-9.6571711995886201E-4</v>
      </c>
      <c r="F38" s="33">
        <v>0</v>
      </c>
      <c r="G38" s="33">
        <v>0</v>
      </c>
      <c r="H38" s="33">
        <v>0</v>
      </c>
      <c r="I38" s="33">
        <v>6.3516000000000003E-2</v>
      </c>
      <c r="J38" s="33">
        <v>0</v>
      </c>
      <c r="K38" s="33">
        <v>6.3516000000000003E-2</v>
      </c>
      <c r="M38" s="33">
        <v>20.763515999999999</v>
      </c>
      <c r="O38" s="34">
        <v>0.80070241399324205</v>
      </c>
      <c r="Y38" s="34">
        <v>0.81414850939960204</v>
      </c>
      <c r="AI38" s="12"/>
      <c r="AJ38">
        <f t="shared" si="6"/>
        <v>0</v>
      </c>
      <c r="AK38">
        <f t="shared" si="7"/>
        <v>1</v>
      </c>
      <c r="AL38">
        <f t="shared" si="14"/>
        <v>0</v>
      </c>
      <c r="AM38">
        <f t="shared" si="4"/>
        <v>1</v>
      </c>
      <c r="AN38">
        <f t="shared" si="15"/>
        <v>0</v>
      </c>
      <c r="AO38" s="28">
        <f t="shared" si="8"/>
        <v>0</v>
      </c>
      <c r="AP38" s="28">
        <f t="shared" si="9"/>
        <v>0</v>
      </c>
      <c r="AQ38" s="28">
        <f t="shared" si="16"/>
        <v>0</v>
      </c>
      <c r="AR38" s="29">
        <f t="shared" si="17"/>
        <v>0</v>
      </c>
      <c r="AT38" s="12"/>
      <c r="AU38">
        <f t="shared" si="10"/>
        <v>0</v>
      </c>
      <c r="AV38">
        <f t="shared" si="11"/>
        <v>1</v>
      </c>
      <c r="AW38">
        <f t="shared" si="18"/>
        <v>0</v>
      </c>
      <c r="AX38">
        <f t="shared" si="5"/>
        <v>1</v>
      </c>
      <c r="AY38">
        <f t="shared" si="19"/>
        <v>0</v>
      </c>
      <c r="AZ38" s="28">
        <f t="shared" si="12"/>
        <v>0</v>
      </c>
      <c r="BA38" s="28">
        <f t="shared" si="13"/>
        <v>0</v>
      </c>
      <c r="BB38" s="28">
        <f t="shared" si="20"/>
        <v>0</v>
      </c>
      <c r="BC38" s="29">
        <f t="shared" si="21"/>
        <v>0</v>
      </c>
      <c r="BE38" s="29">
        <f t="shared" si="22"/>
        <v>0</v>
      </c>
      <c r="BF38" s="29">
        <f t="shared" si="23"/>
        <v>0</v>
      </c>
      <c r="BH38" s="29"/>
    </row>
    <row r="39" spans="1:124" x14ac:dyDescent="0.25">
      <c r="A39" s="1">
        <v>46079</v>
      </c>
      <c r="C39" s="33">
        <v>20.73</v>
      </c>
      <c r="E39" s="15">
        <v>1.4482261763649599E-3</v>
      </c>
      <c r="F39" s="33">
        <v>0</v>
      </c>
      <c r="G39" s="33">
        <v>0</v>
      </c>
      <c r="H39" s="33">
        <v>0</v>
      </c>
      <c r="I39" s="33">
        <v>6.3516000000000003E-2</v>
      </c>
      <c r="J39" s="33">
        <v>0</v>
      </c>
      <c r="K39" s="33">
        <v>6.3516000000000003E-2</v>
      </c>
      <c r="M39" s="33">
        <v>20.793516</v>
      </c>
      <c r="O39" s="34">
        <v>0.80070241399324205</v>
      </c>
      <c r="Y39" s="34">
        <v>0.81414850939960204</v>
      </c>
      <c r="AI39" s="12"/>
      <c r="AJ39">
        <f t="shared" si="6"/>
        <v>0</v>
      </c>
      <c r="AK39">
        <f t="shared" si="7"/>
        <v>1</v>
      </c>
      <c r="AL39">
        <f t="shared" si="14"/>
        <v>0</v>
      </c>
      <c r="AM39">
        <f t="shared" si="4"/>
        <v>1</v>
      </c>
      <c r="AN39">
        <f t="shared" si="15"/>
        <v>0</v>
      </c>
      <c r="AO39" s="28">
        <f t="shared" si="8"/>
        <v>0</v>
      </c>
      <c r="AP39" s="28">
        <f t="shared" si="9"/>
        <v>0</v>
      </c>
      <c r="AQ39" s="28">
        <f t="shared" si="16"/>
        <v>0</v>
      </c>
      <c r="AR39" s="29">
        <f t="shared" si="17"/>
        <v>0</v>
      </c>
      <c r="AT39" s="12"/>
      <c r="AU39">
        <f t="shared" si="10"/>
        <v>0</v>
      </c>
      <c r="AV39">
        <f t="shared" si="11"/>
        <v>1</v>
      </c>
      <c r="AW39">
        <f t="shared" si="18"/>
        <v>0</v>
      </c>
      <c r="AX39">
        <f t="shared" si="5"/>
        <v>1</v>
      </c>
      <c r="AY39">
        <f t="shared" si="19"/>
        <v>0</v>
      </c>
      <c r="AZ39" s="28">
        <f t="shared" si="12"/>
        <v>0</v>
      </c>
      <c r="BA39" s="28">
        <f t="shared" si="13"/>
        <v>0</v>
      </c>
      <c r="BB39" s="28">
        <f t="shared" si="20"/>
        <v>0</v>
      </c>
      <c r="BC39" s="29">
        <f t="shared" si="21"/>
        <v>0</v>
      </c>
      <c r="BE39" s="29">
        <f t="shared" si="22"/>
        <v>0</v>
      </c>
      <c r="BF39" s="29">
        <f t="shared" si="23"/>
        <v>0</v>
      </c>
      <c r="BH39" s="29"/>
    </row>
    <row r="40" spans="1:124" x14ac:dyDescent="0.25">
      <c r="A40" s="1">
        <v>46080</v>
      </c>
      <c r="C40" s="33">
        <v>20.8</v>
      </c>
      <c r="E40" s="15">
        <v>3.3710602595840898E-3</v>
      </c>
      <c r="F40" s="33">
        <v>0</v>
      </c>
      <c r="G40" s="33">
        <v>0</v>
      </c>
      <c r="H40" s="33">
        <v>0</v>
      </c>
      <c r="I40" s="33">
        <v>6.3516000000000003E-2</v>
      </c>
      <c r="J40" s="33">
        <v>0</v>
      </c>
      <c r="K40" s="33">
        <v>6.3516000000000003E-2</v>
      </c>
      <c r="M40" s="33">
        <v>20.863516000000001</v>
      </c>
      <c r="O40" s="34">
        <v>0.80070241399324205</v>
      </c>
      <c r="Y40" s="34">
        <v>0.81414850939960204</v>
      </c>
      <c r="AI40" s="12"/>
      <c r="AJ40">
        <f t="shared" si="6"/>
        <v>0</v>
      </c>
      <c r="AK40">
        <f t="shared" si="7"/>
        <v>1</v>
      </c>
      <c r="AL40">
        <f t="shared" si="14"/>
        <v>0</v>
      </c>
      <c r="AM40">
        <f t="shared" si="4"/>
        <v>0</v>
      </c>
      <c r="AN40">
        <f t="shared" si="15"/>
        <v>0</v>
      </c>
      <c r="AO40" s="28">
        <f t="shared" si="8"/>
        <v>0</v>
      </c>
      <c r="AP40" s="28">
        <f t="shared" si="9"/>
        <v>0</v>
      </c>
      <c r="AQ40" s="28">
        <f t="shared" si="16"/>
        <v>0</v>
      </c>
      <c r="AR40" s="29">
        <f t="shared" si="17"/>
        <v>0</v>
      </c>
      <c r="AT40" s="12"/>
      <c r="AU40">
        <f t="shared" si="10"/>
        <v>0</v>
      </c>
      <c r="AV40">
        <f t="shared" si="11"/>
        <v>1</v>
      </c>
      <c r="AW40">
        <f t="shared" si="18"/>
        <v>0</v>
      </c>
      <c r="AX40">
        <f t="shared" si="5"/>
        <v>0</v>
      </c>
      <c r="AY40">
        <f t="shared" si="19"/>
        <v>0</v>
      </c>
      <c r="AZ40" s="28">
        <f t="shared" si="12"/>
        <v>0</v>
      </c>
      <c r="BA40" s="28">
        <f t="shared" si="13"/>
        <v>0</v>
      </c>
      <c r="BB40" s="28">
        <f t="shared" si="20"/>
        <v>0</v>
      </c>
      <c r="BC40" s="29">
        <f t="shared" si="21"/>
        <v>0</v>
      </c>
      <c r="BE40" s="29">
        <f t="shared" si="22"/>
        <v>0</v>
      </c>
      <c r="BF40" s="29">
        <f t="shared" si="23"/>
        <v>0</v>
      </c>
      <c r="BH40" s="29"/>
    </row>
    <row r="41" spans="1:124" x14ac:dyDescent="0.25">
      <c r="A41" s="1">
        <v>46083</v>
      </c>
      <c r="C41" s="33">
        <v>20.64</v>
      </c>
      <c r="E41" s="15">
        <v>-7.72204609391027E-3</v>
      </c>
      <c r="F41" s="33">
        <v>0</v>
      </c>
      <c r="G41" s="33">
        <v>0</v>
      </c>
      <c r="H41" s="33">
        <v>6.1471999999999999E-2</v>
      </c>
      <c r="I41" s="33">
        <v>0.124988</v>
      </c>
      <c r="J41" s="33">
        <v>0</v>
      </c>
      <c r="K41" s="33">
        <v>0.124988</v>
      </c>
      <c r="M41" s="33">
        <v>20.764987999999999</v>
      </c>
      <c r="O41" s="34">
        <v>0.80070241399324205</v>
      </c>
      <c r="Y41" s="34">
        <v>0.81414850939960204</v>
      </c>
      <c r="AI41" s="12"/>
      <c r="AJ41">
        <f t="shared" si="6"/>
        <v>0</v>
      </c>
      <c r="AK41">
        <f t="shared" si="7"/>
        <v>1</v>
      </c>
      <c r="AL41">
        <f t="shared" si="14"/>
        <v>0</v>
      </c>
      <c r="AM41">
        <f t="shared" si="4"/>
        <v>1</v>
      </c>
      <c r="AN41">
        <f t="shared" si="15"/>
        <v>0</v>
      </c>
      <c r="AO41" s="28">
        <f t="shared" si="8"/>
        <v>0</v>
      </c>
      <c r="AP41" s="28">
        <f t="shared" si="9"/>
        <v>0</v>
      </c>
      <c r="AQ41" s="28">
        <f t="shared" si="16"/>
        <v>0</v>
      </c>
      <c r="AR41" s="29">
        <f t="shared" si="17"/>
        <v>0</v>
      </c>
      <c r="AT41" s="12"/>
      <c r="AU41">
        <f t="shared" si="10"/>
        <v>0</v>
      </c>
      <c r="AV41">
        <f t="shared" si="11"/>
        <v>1</v>
      </c>
      <c r="AW41">
        <f t="shared" si="18"/>
        <v>0</v>
      </c>
      <c r="AX41">
        <f t="shared" si="5"/>
        <v>1</v>
      </c>
      <c r="AY41">
        <f t="shared" si="19"/>
        <v>0</v>
      </c>
      <c r="AZ41" s="28">
        <f t="shared" si="12"/>
        <v>0</v>
      </c>
      <c r="BA41" s="28">
        <f t="shared" si="13"/>
        <v>0</v>
      </c>
      <c r="BB41" s="28">
        <f t="shared" si="20"/>
        <v>0</v>
      </c>
      <c r="BC41" s="29">
        <f t="shared" si="21"/>
        <v>0</v>
      </c>
      <c r="BE41" s="29">
        <f t="shared" si="22"/>
        <v>0</v>
      </c>
      <c r="BF41" s="29">
        <f t="shared" si="23"/>
        <v>0</v>
      </c>
      <c r="BH41" s="29"/>
    </row>
    <row r="42" spans="1:124" x14ac:dyDescent="0.25">
      <c r="A42" s="1">
        <v>46084</v>
      </c>
      <c r="C42" s="33">
        <v>20.63</v>
      </c>
      <c r="E42" s="15">
        <v>-4.84613530201641E-4</v>
      </c>
      <c r="F42" s="33">
        <v>0</v>
      </c>
      <c r="G42" s="33">
        <v>0</v>
      </c>
      <c r="H42" s="33">
        <v>0</v>
      </c>
      <c r="I42" s="33">
        <v>0.124988</v>
      </c>
      <c r="J42" s="33">
        <v>0</v>
      </c>
      <c r="K42" s="33">
        <v>0.124988</v>
      </c>
      <c r="M42" s="33">
        <v>20.754987999999901</v>
      </c>
      <c r="O42" s="34">
        <v>0.80070241399324205</v>
      </c>
      <c r="Y42" s="34">
        <v>0.81414850939960204</v>
      </c>
      <c r="AI42" s="12"/>
      <c r="AJ42">
        <f t="shared" si="6"/>
        <v>0</v>
      </c>
      <c r="AK42">
        <f t="shared" si="7"/>
        <v>1</v>
      </c>
      <c r="AL42">
        <f t="shared" si="14"/>
        <v>0</v>
      </c>
      <c r="AM42">
        <f t="shared" si="4"/>
        <v>1</v>
      </c>
      <c r="AN42">
        <f t="shared" si="15"/>
        <v>0</v>
      </c>
      <c r="AO42" s="28">
        <f t="shared" si="8"/>
        <v>0</v>
      </c>
      <c r="AP42" s="28">
        <f t="shared" si="9"/>
        <v>0</v>
      </c>
      <c r="AQ42" s="28">
        <f t="shared" si="16"/>
        <v>0</v>
      </c>
      <c r="AR42" s="29">
        <f t="shared" si="17"/>
        <v>0</v>
      </c>
      <c r="AT42" s="12"/>
      <c r="AU42">
        <f t="shared" si="10"/>
        <v>0</v>
      </c>
      <c r="AV42">
        <f t="shared" si="11"/>
        <v>1</v>
      </c>
      <c r="AW42">
        <f t="shared" si="18"/>
        <v>0</v>
      </c>
      <c r="AX42">
        <f t="shared" si="5"/>
        <v>1</v>
      </c>
      <c r="AY42">
        <f t="shared" si="19"/>
        <v>0</v>
      </c>
      <c r="AZ42" s="28">
        <f t="shared" si="12"/>
        <v>0</v>
      </c>
      <c r="BA42" s="28">
        <f t="shared" si="13"/>
        <v>0</v>
      </c>
      <c r="BB42" s="28">
        <f t="shared" si="20"/>
        <v>0</v>
      </c>
      <c r="BC42" s="29">
        <f t="shared" si="21"/>
        <v>0</v>
      </c>
      <c r="BE42" s="29">
        <f t="shared" si="22"/>
        <v>0</v>
      </c>
      <c r="BF42" s="29">
        <f t="shared" si="23"/>
        <v>0</v>
      </c>
      <c r="BH42" s="29"/>
    </row>
    <row r="43" spans="1:124" x14ac:dyDescent="0.25">
      <c r="A43" s="1">
        <v>46085</v>
      </c>
      <c r="C43" s="33">
        <v>20.59</v>
      </c>
      <c r="E43" s="15">
        <v>-1.94080604346238E-3</v>
      </c>
      <c r="F43" s="33">
        <v>0</v>
      </c>
      <c r="G43" s="33">
        <v>0</v>
      </c>
      <c r="H43" s="33">
        <v>0</v>
      </c>
      <c r="I43" s="33">
        <v>0.124988</v>
      </c>
      <c r="J43" s="33">
        <v>0</v>
      </c>
      <c r="K43" s="33">
        <v>0.124988</v>
      </c>
      <c r="M43" s="33">
        <v>20.714987999999899</v>
      </c>
      <c r="O43" s="34">
        <v>0.80070241399324205</v>
      </c>
      <c r="Y43" s="34">
        <v>0.81414850939960204</v>
      </c>
      <c r="AI43" s="12"/>
      <c r="AJ43">
        <f t="shared" si="6"/>
        <v>0</v>
      </c>
      <c r="AK43">
        <f t="shared" si="7"/>
        <v>1</v>
      </c>
      <c r="AL43">
        <f t="shared" si="14"/>
        <v>0</v>
      </c>
      <c r="AM43">
        <f t="shared" si="4"/>
        <v>1</v>
      </c>
      <c r="AN43">
        <f t="shared" si="15"/>
        <v>0</v>
      </c>
      <c r="AO43" s="28">
        <f t="shared" si="8"/>
        <v>0</v>
      </c>
      <c r="AP43" s="28">
        <f t="shared" si="9"/>
        <v>0</v>
      </c>
      <c r="AQ43" s="28">
        <f t="shared" si="16"/>
        <v>0</v>
      </c>
      <c r="AR43" s="29">
        <f t="shared" si="17"/>
        <v>0</v>
      </c>
      <c r="AT43" s="12"/>
      <c r="AU43">
        <f t="shared" si="10"/>
        <v>0</v>
      </c>
      <c r="AV43">
        <f t="shared" si="11"/>
        <v>1</v>
      </c>
      <c r="AW43">
        <f t="shared" si="18"/>
        <v>0</v>
      </c>
      <c r="AX43">
        <f t="shared" si="5"/>
        <v>1</v>
      </c>
      <c r="AY43">
        <f t="shared" si="19"/>
        <v>0</v>
      </c>
      <c r="AZ43" s="28">
        <f t="shared" si="12"/>
        <v>0</v>
      </c>
      <c r="BA43" s="28">
        <f t="shared" si="13"/>
        <v>0</v>
      </c>
      <c r="BB43" s="28">
        <f t="shared" si="20"/>
        <v>0</v>
      </c>
      <c r="BC43" s="29">
        <f t="shared" si="21"/>
        <v>0</v>
      </c>
      <c r="BE43" s="29">
        <f t="shared" si="22"/>
        <v>0</v>
      </c>
      <c r="BF43" s="29">
        <f t="shared" si="23"/>
        <v>0</v>
      </c>
      <c r="BH43" s="29"/>
    </row>
    <row r="44" spans="1:124" x14ac:dyDescent="0.25">
      <c r="A44" s="1">
        <v>46086</v>
      </c>
      <c r="C44" s="33">
        <v>20.55</v>
      </c>
      <c r="E44" s="15">
        <v>-1.9445800974543801E-3</v>
      </c>
      <c r="F44" s="33">
        <v>0</v>
      </c>
      <c r="G44" s="33">
        <v>0</v>
      </c>
      <c r="H44" s="33">
        <v>0</v>
      </c>
      <c r="I44" s="33">
        <v>0.124988</v>
      </c>
      <c r="J44" s="33">
        <v>0</v>
      </c>
      <c r="K44" s="33">
        <v>0.124988</v>
      </c>
      <c r="M44" s="33">
        <v>20.674987999999999</v>
      </c>
      <c r="O44" s="34">
        <v>0.80070241399324205</v>
      </c>
      <c r="Y44" s="34">
        <v>0.81414850939960204</v>
      </c>
      <c r="AI44" s="12"/>
      <c r="AJ44">
        <f t="shared" si="6"/>
        <v>0</v>
      </c>
      <c r="AK44">
        <f t="shared" si="7"/>
        <v>1</v>
      </c>
      <c r="AL44">
        <f t="shared" si="14"/>
        <v>0</v>
      </c>
      <c r="AM44">
        <f t="shared" si="4"/>
        <v>1</v>
      </c>
      <c r="AN44">
        <f t="shared" si="15"/>
        <v>0</v>
      </c>
      <c r="AO44" s="28">
        <f t="shared" si="8"/>
        <v>0</v>
      </c>
      <c r="AP44" s="28">
        <f t="shared" si="9"/>
        <v>0</v>
      </c>
      <c r="AQ44" s="28">
        <f t="shared" si="16"/>
        <v>0</v>
      </c>
      <c r="AR44" s="29">
        <f t="shared" si="17"/>
        <v>0</v>
      </c>
      <c r="AT44" s="12"/>
      <c r="AU44">
        <f t="shared" si="10"/>
        <v>0</v>
      </c>
      <c r="AV44">
        <f t="shared" si="11"/>
        <v>1</v>
      </c>
      <c r="AW44">
        <f t="shared" si="18"/>
        <v>0</v>
      </c>
      <c r="AX44">
        <f t="shared" si="5"/>
        <v>1</v>
      </c>
      <c r="AY44">
        <f t="shared" si="19"/>
        <v>0</v>
      </c>
      <c r="AZ44" s="28">
        <f t="shared" si="12"/>
        <v>0</v>
      </c>
      <c r="BA44" s="28">
        <f t="shared" si="13"/>
        <v>0</v>
      </c>
      <c r="BB44" s="28">
        <f t="shared" si="20"/>
        <v>0</v>
      </c>
      <c r="BC44" s="29">
        <f t="shared" si="21"/>
        <v>0</v>
      </c>
      <c r="BE44" s="29">
        <f t="shared" si="22"/>
        <v>0</v>
      </c>
      <c r="BF44" s="29">
        <f t="shared" si="23"/>
        <v>0</v>
      </c>
      <c r="BH44" s="29"/>
    </row>
    <row r="45" spans="1:124" x14ac:dyDescent="0.25">
      <c r="A45" s="1">
        <v>46087</v>
      </c>
      <c r="C45" s="33">
        <v>20.55</v>
      </c>
      <c r="E45" s="15">
        <v>0</v>
      </c>
      <c r="F45" s="33">
        <v>0</v>
      </c>
      <c r="G45" s="33">
        <v>0</v>
      </c>
      <c r="H45" s="33">
        <v>0</v>
      </c>
      <c r="I45" s="33">
        <v>0.124988</v>
      </c>
      <c r="J45" s="33">
        <v>0</v>
      </c>
      <c r="K45" s="33">
        <v>0.124988</v>
      </c>
      <c r="M45" s="33">
        <v>20.674987999999999</v>
      </c>
      <c r="O45" s="34">
        <v>0.80070241399324205</v>
      </c>
      <c r="Y45" s="34">
        <v>0.81414850939960204</v>
      </c>
      <c r="AI45" s="12"/>
      <c r="AJ45">
        <f t="shared" si="6"/>
        <v>0</v>
      </c>
      <c r="AK45">
        <f t="shared" si="7"/>
        <v>1</v>
      </c>
      <c r="AL45">
        <f t="shared" si="14"/>
        <v>0</v>
      </c>
      <c r="AM45">
        <f t="shared" si="4"/>
        <v>1</v>
      </c>
      <c r="AN45">
        <f t="shared" si="15"/>
        <v>0</v>
      </c>
      <c r="AO45" s="28">
        <f t="shared" si="8"/>
        <v>0</v>
      </c>
      <c r="AP45" s="28">
        <f t="shared" si="9"/>
        <v>0</v>
      </c>
      <c r="AQ45" s="28">
        <f t="shared" si="16"/>
        <v>0</v>
      </c>
      <c r="AR45" s="29">
        <f t="shared" si="17"/>
        <v>0</v>
      </c>
      <c r="AT45" s="12"/>
      <c r="AU45">
        <f t="shared" si="10"/>
        <v>0</v>
      </c>
      <c r="AV45">
        <f t="shared" si="11"/>
        <v>1</v>
      </c>
      <c r="AW45">
        <f t="shared" si="18"/>
        <v>0</v>
      </c>
      <c r="AX45">
        <f t="shared" si="5"/>
        <v>1</v>
      </c>
      <c r="AY45">
        <f t="shared" si="19"/>
        <v>0</v>
      </c>
      <c r="AZ45" s="28">
        <f t="shared" si="12"/>
        <v>0</v>
      </c>
      <c r="BA45" s="28">
        <f t="shared" si="13"/>
        <v>0</v>
      </c>
      <c r="BB45" s="28">
        <f t="shared" si="20"/>
        <v>0</v>
      </c>
      <c r="BC45" s="29">
        <f t="shared" si="21"/>
        <v>0</v>
      </c>
      <c r="BE45" s="29">
        <f t="shared" si="22"/>
        <v>0</v>
      </c>
      <c r="BF45" s="29">
        <f t="shared" si="23"/>
        <v>0</v>
      </c>
      <c r="BH45" s="29"/>
    </row>
    <row r="46" spans="1:124" x14ac:dyDescent="0.25">
      <c r="A46" s="1">
        <v>46090</v>
      </c>
      <c r="C46" s="33">
        <v>20.59</v>
      </c>
      <c r="E46" s="15">
        <v>1.9445800974543701E-3</v>
      </c>
      <c r="F46" s="33">
        <v>0</v>
      </c>
      <c r="G46" s="33">
        <v>0</v>
      </c>
      <c r="H46" s="33">
        <v>0</v>
      </c>
      <c r="I46" s="33">
        <v>0.124988</v>
      </c>
      <c r="J46" s="33">
        <v>0</v>
      </c>
      <c r="K46" s="33">
        <v>0.124988</v>
      </c>
      <c r="M46" s="33">
        <v>20.714987999999899</v>
      </c>
      <c r="O46" s="34">
        <v>0.80070241399324205</v>
      </c>
      <c r="Y46" s="34">
        <v>0.81414850939960204</v>
      </c>
      <c r="AI46" s="12"/>
      <c r="AJ46">
        <f t="shared" si="6"/>
        <v>0</v>
      </c>
      <c r="AK46">
        <f t="shared" si="7"/>
        <v>1</v>
      </c>
      <c r="AL46">
        <f t="shared" si="14"/>
        <v>0</v>
      </c>
      <c r="AM46">
        <f t="shared" si="4"/>
        <v>1</v>
      </c>
      <c r="AN46">
        <f t="shared" si="15"/>
        <v>0</v>
      </c>
      <c r="AO46" s="28">
        <f t="shared" si="8"/>
        <v>0</v>
      </c>
      <c r="AP46" s="28">
        <f t="shared" si="9"/>
        <v>0</v>
      </c>
      <c r="AQ46" s="28">
        <f t="shared" si="16"/>
        <v>0</v>
      </c>
      <c r="AR46" s="29">
        <f t="shared" si="17"/>
        <v>0</v>
      </c>
      <c r="AT46" s="12"/>
      <c r="AU46">
        <f t="shared" si="10"/>
        <v>0</v>
      </c>
      <c r="AV46">
        <f t="shared" si="11"/>
        <v>1</v>
      </c>
      <c r="AW46">
        <f t="shared" si="18"/>
        <v>0</v>
      </c>
      <c r="AX46">
        <f t="shared" si="5"/>
        <v>1</v>
      </c>
      <c r="AY46">
        <f t="shared" si="19"/>
        <v>0</v>
      </c>
      <c r="AZ46" s="28">
        <f t="shared" si="12"/>
        <v>0</v>
      </c>
      <c r="BA46" s="28">
        <f t="shared" si="13"/>
        <v>0</v>
      </c>
      <c r="BB46" s="28">
        <f t="shared" si="20"/>
        <v>0</v>
      </c>
      <c r="BC46" s="29">
        <f t="shared" si="21"/>
        <v>0</v>
      </c>
      <c r="BE46" s="29">
        <f t="shared" si="22"/>
        <v>0</v>
      </c>
      <c r="BF46" s="29">
        <f t="shared" si="23"/>
        <v>0</v>
      </c>
      <c r="BH46" s="29"/>
    </row>
    <row r="47" spans="1:124" x14ac:dyDescent="0.25">
      <c r="A47" s="1">
        <v>46091</v>
      </c>
      <c r="C47" s="33">
        <v>20.55</v>
      </c>
      <c r="E47" s="15">
        <v>-1.9445800974543801E-3</v>
      </c>
      <c r="F47" s="33">
        <v>0</v>
      </c>
      <c r="G47" s="33">
        <v>0</v>
      </c>
      <c r="H47" s="33">
        <v>0</v>
      </c>
      <c r="I47" s="33">
        <v>0.124988</v>
      </c>
      <c r="J47" s="33">
        <v>0</v>
      </c>
      <c r="K47" s="33">
        <v>0.124988</v>
      </c>
      <c r="M47" s="33">
        <v>20.674987999999999</v>
      </c>
      <c r="O47" s="34">
        <v>0.80070241399324205</v>
      </c>
      <c r="Y47" s="34">
        <v>0.81414850939960204</v>
      </c>
      <c r="AI47" s="12"/>
      <c r="AJ47">
        <f t="shared" si="6"/>
        <v>0</v>
      </c>
      <c r="AK47">
        <f t="shared" si="7"/>
        <v>1</v>
      </c>
      <c r="AL47">
        <f t="shared" si="14"/>
        <v>0</v>
      </c>
      <c r="AM47">
        <f t="shared" si="4"/>
        <v>1</v>
      </c>
      <c r="AN47">
        <f t="shared" si="15"/>
        <v>0</v>
      </c>
      <c r="AO47" s="28">
        <f t="shared" si="8"/>
        <v>0</v>
      </c>
      <c r="AP47" s="28">
        <f t="shared" si="9"/>
        <v>0</v>
      </c>
      <c r="AQ47" s="28">
        <f t="shared" si="16"/>
        <v>0</v>
      </c>
      <c r="AR47" s="29">
        <f t="shared" si="17"/>
        <v>0</v>
      </c>
      <c r="AT47" s="12"/>
      <c r="AU47">
        <f t="shared" si="10"/>
        <v>0</v>
      </c>
      <c r="AV47">
        <f t="shared" si="11"/>
        <v>1</v>
      </c>
      <c r="AW47">
        <f t="shared" si="18"/>
        <v>0</v>
      </c>
      <c r="AX47">
        <f t="shared" si="5"/>
        <v>1</v>
      </c>
      <c r="AY47">
        <f t="shared" si="19"/>
        <v>0</v>
      </c>
      <c r="AZ47" s="28">
        <f t="shared" si="12"/>
        <v>0</v>
      </c>
      <c r="BA47" s="28">
        <f t="shared" si="13"/>
        <v>0</v>
      </c>
      <c r="BB47" s="28">
        <f t="shared" si="20"/>
        <v>0</v>
      </c>
      <c r="BC47" s="29">
        <f t="shared" si="21"/>
        <v>0</v>
      </c>
      <c r="BE47" s="29">
        <f t="shared" si="22"/>
        <v>0</v>
      </c>
      <c r="BF47" s="29">
        <f t="shared" si="23"/>
        <v>0</v>
      </c>
      <c r="BH47" s="29"/>
    </row>
    <row r="48" spans="1:124" x14ac:dyDescent="0.25">
      <c r="A48" s="1">
        <v>46092</v>
      </c>
      <c r="C48" s="33">
        <v>20.5</v>
      </c>
      <c r="E48" s="15">
        <v>-2.4360547978811101E-3</v>
      </c>
      <c r="F48" s="33">
        <v>0</v>
      </c>
      <c r="G48" s="33">
        <v>0</v>
      </c>
      <c r="H48" s="33">
        <v>0</v>
      </c>
      <c r="I48" s="33">
        <v>0.124988</v>
      </c>
      <c r="J48" s="33">
        <v>0</v>
      </c>
      <c r="K48" s="33">
        <v>0.124988</v>
      </c>
      <c r="M48" s="33">
        <v>20.624987999999998</v>
      </c>
      <c r="O48" s="34">
        <v>0.80070241399324205</v>
      </c>
      <c r="Y48" s="34">
        <v>0.81414850939960204</v>
      </c>
      <c r="AI48" s="12"/>
      <c r="AJ48">
        <f t="shared" si="6"/>
        <v>0</v>
      </c>
      <c r="AK48">
        <f t="shared" si="7"/>
        <v>1</v>
      </c>
      <c r="AL48">
        <f t="shared" si="14"/>
        <v>0</v>
      </c>
      <c r="AM48">
        <f t="shared" si="4"/>
        <v>1</v>
      </c>
      <c r="AN48">
        <f t="shared" si="15"/>
        <v>0</v>
      </c>
      <c r="AO48" s="28">
        <f t="shared" si="8"/>
        <v>0</v>
      </c>
      <c r="AP48" s="28">
        <f t="shared" si="9"/>
        <v>0</v>
      </c>
      <c r="AQ48" s="28">
        <f t="shared" si="16"/>
        <v>0</v>
      </c>
      <c r="AR48" s="29">
        <f t="shared" si="17"/>
        <v>0</v>
      </c>
      <c r="AT48" s="12"/>
      <c r="AU48">
        <f t="shared" si="10"/>
        <v>0</v>
      </c>
      <c r="AV48">
        <f t="shared" si="11"/>
        <v>1</v>
      </c>
      <c r="AW48">
        <f t="shared" si="18"/>
        <v>0</v>
      </c>
      <c r="AX48">
        <f t="shared" si="5"/>
        <v>1</v>
      </c>
      <c r="AY48">
        <f t="shared" si="19"/>
        <v>0</v>
      </c>
      <c r="AZ48" s="28">
        <f t="shared" si="12"/>
        <v>0</v>
      </c>
      <c r="BA48" s="28">
        <f t="shared" si="13"/>
        <v>0</v>
      </c>
      <c r="BB48" s="28">
        <f t="shared" si="20"/>
        <v>0</v>
      </c>
      <c r="BC48" s="29">
        <f t="shared" si="21"/>
        <v>0</v>
      </c>
      <c r="BE48" s="29">
        <f t="shared" si="22"/>
        <v>0</v>
      </c>
      <c r="BF48" s="29">
        <f t="shared" si="23"/>
        <v>0</v>
      </c>
      <c r="BH48" s="29"/>
    </row>
    <row r="49" spans="1:60" x14ac:dyDescent="0.25">
      <c r="A49" s="1">
        <v>46093</v>
      </c>
      <c r="C49" s="33">
        <v>20.43</v>
      </c>
      <c r="E49" s="15">
        <v>-3.4204773148317998E-3</v>
      </c>
      <c r="F49" s="33">
        <v>0</v>
      </c>
      <c r="G49" s="33">
        <v>0</v>
      </c>
      <c r="H49" s="33">
        <v>0</v>
      </c>
      <c r="I49" s="33">
        <v>0.124988</v>
      </c>
      <c r="J49" s="33">
        <v>0</v>
      </c>
      <c r="K49" s="33">
        <v>0.124988</v>
      </c>
      <c r="M49" s="33">
        <v>20.554987999999899</v>
      </c>
      <c r="O49" s="34">
        <v>0.80070241399324205</v>
      </c>
      <c r="Y49" s="34">
        <v>0.81414850939960204</v>
      </c>
      <c r="AI49" s="12"/>
      <c r="AJ49">
        <f t="shared" si="6"/>
        <v>0</v>
      </c>
      <c r="AK49">
        <f t="shared" si="7"/>
        <v>1</v>
      </c>
      <c r="AL49">
        <f t="shared" si="14"/>
        <v>0</v>
      </c>
      <c r="AM49">
        <f t="shared" si="4"/>
        <v>1</v>
      </c>
      <c r="AN49">
        <f t="shared" si="15"/>
        <v>0</v>
      </c>
      <c r="AO49" s="28">
        <f t="shared" si="8"/>
        <v>0</v>
      </c>
      <c r="AP49" s="28">
        <f t="shared" si="9"/>
        <v>0</v>
      </c>
      <c r="AQ49" s="28">
        <f t="shared" si="16"/>
        <v>0</v>
      </c>
      <c r="AR49" s="29">
        <f t="shared" si="17"/>
        <v>0</v>
      </c>
      <c r="AT49" s="12"/>
      <c r="AU49">
        <f t="shared" si="10"/>
        <v>0</v>
      </c>
      <c r="AV49">
        <f t="shared" si="11"/>
        <v>1</v>
      </c>
      <c r="AW49">
        <f t="shared" si="18"/>
        <v>0</v>
      </c>
      <c r="AX49">
        <f t="shared" si="5"/>
        <v>1</v>
      </c>
      <c r="AY49">
        <f t="shared" si="19"/>
        <v>0</v>
      </c>
      <c r="AZ49" s="28">
        <f t="shared" si="12"/>
        <v>0</v>
      </c>
      <c r="BA49" s="28">
        <f t="shared" si="13"/>
        <v>0</v>
      </c>
      <c r="BB49" s="28">
        <f t="shared" si="20"/>
        <v>0</v>
      </c>
      <c r="BC49" s="29">
        <f t="shared" si="21"/>
        <v>0</v>
      </c>
      <c r="BE49" s="29">
        <f t="shared" si="22"/>
        <v>0</v>
      </c>
      <c r="BF49" s="29">
        <f t="shared" si="23"/>
        <v>0</v>
      </c>
      <c r="BH49" s="29"/>
    </row>
    <row r="50" spans="1:60" x14ac:dyDescent="0.25">
      <c r="A50" s="1">
        <v>46094</v>
      </c>
      <c r="C50" s="33">
        <v>20.43</v>
      </c>
      <c r="E50" s="15">
        <v>0</v>
      </c>
      <c r="F50" s="33">
        <v>0</v>
      </c>
      <c r="G50" s="33">
        <v>0</v>
      </c>
      <c r="H50" s="33">
        <v>0</v>
      </c>
      <c r="I50" s="33">
        <v>0.124988</v>
      </c>
      <c r="J50" s="33">
        <v>0</v>
      </c>
      <c r="K50" s="33">
        <v>0.124988</v>
      </c>
      <c r="M50" s="33">
        <v>20.554987999999899</v>
      </c>
      <c r="O50" s="34">
        <v>0.80070241399324205</v>
      </c>
      <c r="Y50" s="34">
        <v>0.81414850939960204</v>
      </c>
      <c r="AI50" s="12"/>
      <c r="AJ50">
        <f t="shared" si="6"/>
        <v>0</v>
      </c>
      <c r="AK50">
        <f t="shared" si="7"/>
        <v>1</v>
      </c>
      <c r="AL50">
        <f t="shared" si="14"/>
        <v>0</v>
      </c>
      <c r="AM50">
        <f t="shared" si="4"/>
        <v>1</v>
      </c>
      <c r="AN50">
        <f t="shared" si="15"/>
        <v>0</v>
      </c>
      <c r="AO50" s="28">
        <f t="shared" si="8"/>
        <v>0</v>
      </c>
      <c r="AP50" s="28">
        <f t="shared" si="9"/>
        <v>0</v>
      </c>
      <c r="AQ50" s="28">
        <f t="shared" si="16"/>
        <v>0</v>
      </c>
      <c r="AR50" s="29">
        <f t="shared" si="17"/>
        <v>0</v>
      </c>
      <c r="AT50" s="12"/>
      <c r="AU50">
        <f t="shared" si="10"/>
        <v>0</v>
      </c>
      <c r="AV50">
        <f t="shared" si="11"/>
        <v>1</v>
      </c>
      <c r="AW50">
        <f t="shared" si="18"/>
        <v>0</v>
      </c>
      <c r="AX50">
        <f t="shared" si="5"/>
        <v>1</v>
      </c>
      <c r="AY50">
        <f t="shared" si="19"/>
        <v>0</v>
      </c>
      <c r="AZ50" s="28">
        <f t="shared" si="12"/>
        <v>0</v>
      </c>
      <c r="BA50" s="28">
        <f t="shared" si="13"/>
        <v>0</v>
      </c>
      <c r="BB50" s="28">
        <f t="shared" si="20"/>
        <v>0</v>
      </c>
      <c r="BC50" s="29">
        <f t="shared" si="21"/>
        <v>0</v>
      </c>
      <c r="BE50" s="29">
        <f t="shared" si="22"/>
        <v>0</v>
      </c>
      <c r="BF50" s="29">
        <f t="shared" si="23"/>
        <v>0</v>
      </c>
      <c r="BH50" s="29"/>
    </row>
    <row r="51" spans="1:60" x14ac:dyDescent="0.25">
      <c r="A51" s="1">
        <v>46097</v>
      </c>
      <c r="C51" s="33">
        <v>20.48</v>
      </c>
      <c r="E51" s="15">
        <v>2.4443913417764298E-3</v>
      </c>
      <c r="F51" s="33">
        <v>0</v>
      </c>
      <c r="G51" s="33">
        <v>0</v>
      </c>
      <c r="H51" s="33">
        <v>0</v>
      </c>
      <c r="I51" s="33">
        <v>0.124988</v>
      </c>
      <c r="J51" s="33">
        <v>0</v>
      </c>
      <c r="K51" s="33">
        <v>0.124988</v>
      </c>
      <c r="M51" s="33">
        <v>20.604987999999999</v>
      </c>
      <c r="O51" s="34">
        <v>0.80070241399324205</v>
      </c>
      <c r="Y51" s="34">
        <v>0.81414850939960204</v>
      </c>
      <c r="AI51" s="12"/>
      <c r="AJ51">
        <f t="shared" si="6"/>
        <v>0</v>
      </c>
      <c r="AK51">
        <f t="shared" si="7"/>
        <v>1</v>
      </c>
      <c r="AL51">
        <f t="shared" si="14"/>
        <v>0</v>
      </c>
      <c r="AM51">
        <f t="shared" si="4"/>
        <v>1</v>
      </c>
      <c r="AN51">
        <f t="shared" si="15"/>
        <v>0</v>
      </c>
      <c r="AO51" s="28">
        <f t="shared" si="8"/>
        <v>0</v>
      </c>
      <c r="AP51" s="28">
        <f t="shared" si="9"/>
        <v>0</v>
      </c>
      <c r="AQ51" s="28">
        <f t="shared" si="16"/>
        <v>0</v>
      </c>
      <c r="AR51" s="29">
        <f t="shared" si="17"/>
        <v>0</v>
      </c>
      <c r="AT51" s="12"/>
      <c r="AU51">
        <f t="shared" si="10"/>
        <v>0</v>
      </c>
      <c r="AV51">
        <f t="shared" si="11"/>
        <v>1</v>
      </c>
      <c r="AW51">
        <f t="shared" si="18"/>
        <v>0</v>
      </c>
      <c r="AX51">
        <f t="shared" si="5"/>
        <v>1</v>
      </c>
      <c r="AY51">
        <f t="shared" si="19"/>
        <v>0</v>
      </c>
      <c r="AZ51" s="28">
        <f t="shared" si="12"/>
        <v>0</v>
      </c>
      <c r="BA51" s="28">
        <f t="shared" si="13"/>
        <v>0</v>
      </c>
      <c r="BB51" s="28">
        <f t="shared" si="20"/>
        <v>0</v>
      </c>
      <c r="BC51" s="29">
        <f t="shared" si="21"/>
        <v>0</v>
      </c>
      <c r="BE51" s="29">
        <f t="shared" si="22"/>
        <v>0</v>
      </c>
      <c r="BF51" s="29">
        <f t="shared" si="23"/>
        <v>0</v>
      </c>
      <c r="BH51" s="29"/>
    </row>
    <row r="52" spans="1:60" x14ac:dyDescent="0.25">
      <c r="A52" s="1">
        <v>46098</v>
      </c>
      <c r="C52" s="33">
        <v>20.52</v>
      </c>
      <c r="E52" s="15">
        <v>1.95122013126174E-3</v>
      </c>
      <c r="F52" s="33">
        <v>0</v>
      </c>
      <c r="G52" s="33">
        <v>0</v>
      </c>
      <c r="H52" s="33">
        <v>0</v>
      </c>
      <c r="I52" s="33">
        <v>0.124988</v>
      </c>
      <c r="J52" s="33">
        <v>0</v>
      </c>
      <c r="K52" s="33">
        <v>0.124988</v>
      </c>
      <c r="M52" s="33">
        <v>20.644987999999898</v>
      </c>
      <c r="O52" s="34">
        <v>0.80070241399324205</v>
      </c>
      <c r="Y52" s="34">
        <v>0.81414850939960204</v>
      </c>
      <c r="AI52" s="12"/>
      <c r="AJ52">
        <f t="shared" si="6"/>
        <v>0</v>
      </c>
      <c r="AK52">
        <f t="shared" si="7"/>
        <v>1</v>
      </c>
      <c r="AL52">
        <f t="shared" si="14"/>
        <v>0</v>
      </c>
      <c r="AM52">
        <f t="shared" si="4"/>
        <v>1</v>
      </c>
      <c r="AN52">
        <f t="shared" si="15"/>
        <v>0</v>
      </c>
      <c r="AO52" s="28">
        <f t="shared" si="8"/>
        <v>0</v>
      </c>
      <c r="AP52" s="28">
        <f t="shared" si="9"/>
        <v>0</v>
      </c>
      <c r="AQ52" s="28">
        <f t="shared" si="16"/>
        <v>0</v>
      </c>
      <c r="AR52" s="29">
        <f t="shared" si="17"/>
        <v>0</v>
      </c>
      <c r="AT52" s="12"/>
      <c r="AU52">
        <f t="shared" si="10"/>
        <v>0</v>
      </c>
      <c r="AV52">
        <f t="shared" si="11"/>
        <v>1</v>
      </c>
      <c r="AW52">
        <f t="shared" si="18"/>
        <v>0</v>
      </c>
      <c r="AX52">
        <f t="shared" si="5"/>
        <v>1</v>
      </c>
      <c r="AY52">
        <f t="shared" si="19"/>
        <v>0</v>
      </c>
      <c r="AZ52" s="28">
        <f t="shared" si="12"/>
        <v>0</v>
      </c>
      <c r="BA52" s="28">
        <f t="shared" si="13"/>
        <v>0</v>
      </c>
      <c r="BB52" s="28">
        <f t="shared" si="20"/>
        <v>0</v>
      </c>
      <c r="BC52" s="29">
        <f t="shared" si="21"/>
        <v>0</v>
      </c>
      <c r="BE52" s="29">
        <f t="shared" si="22"/>
        <v>0</v>
      </c>
      <c r="BF52" s="29">
        <f t="shared" si="23"/>
        <v>0</v>
      </c>
      <c r="BH52" s="29"/>
    </row>
    <row r="53" spans="1:60" x14ac:dyDescent="0.25">
      <c r="A53" s="1">
        <v>46099</v>
      </c>
      <c r="C53" s="33">
        <v>20.43</v>
      </c>
      <c r="E53" s="15">
        <v>-4.3956114730380998E-3</v>
      </c>
      <c r="F53" s="33">
        <v>0</v>
      </c>
      <c r="G53" s="33">
        <v>0</v>
      </c>
      <c r="H53" s="33">
        <v>0</v>
      </c>
      <c r="I53" s="33">
        <v>0.124988</v>
      </c>
      <c r="J53" s="33">
        <v>0</v>
      </c>
      <c r="K53" s="33">
        <v>0.124988</v>
      </c>
      <c r="M53" s="33">
        <v>20.554987999999899</v>
      </c>
      <c r="O53" s="34">
        <v>0.80070241399324205</v>
      </c>
      <c r="Y53" s="34">
        <v>0.81414850939960204</v>
      </c>
      <c r="AI53" s="12"/>
      <c r="AJ53">
        <f t="shared" si="6"/>
        <v>0</v>
      </c>
      <c r="AK53">
        <f t="shared" si="7"/>
        <v>1</v>
      </c>
      <c r="AL53">
        <f t="shared" si="14"/>
        <v>0</v>
      </c>
      <c r="AM53">
        <f t="shared" si="4"/>
        <v>1</v>
      </c>
      <c r="AN53">
        <f t="shared" si="15"/>
        <v>0</v>
      </c>
      <c r="AO53" s="28">
        <f t="shared" si="8"/>
        <v>0</v>
      </c>
      <c r="AP53" s="28">
        <f t="shared" si="9"/>
        <v>0</v>
      </c>
      <c r="AQ53" s="28">
        <f t="shared" si="16"/>
        <v>0</v>
      </c>
      <c r="AR53" s="29">
        <f t="shared" si="17"/>
        <v>0</v>
      </c>
      <c r="AT53" s="12"/>
      <c r="AU53">
        <f t="shared" si="10"/>
        <v>0</v>
      </c>
      <c r="AV53">
        <f t="shared" si="11"/>
        <v>1</v>
      </c>
      <c r="AW53">
        <f t="shared" si="18"/>
        <v>0</v>
      </c>
      <c r="AX53">
        <f t="shared" si="5"/>
        <v>1</v>
      </c>
      <c r="AY53">
        <f t="shared" si="19"/>
        <v>0</v>
      </c>
      <c r="AZ53" s="28">
        <f t="shared" si="12"/>
        <v>0</v>
      </c>
      <c r="BA53" s="28">
        <f t="shared" si="13"/>
        <v>0</v>
      </c>
      <c r="BB53" s="28">
        <f t="shared" si="20"/>
        <v>0</v>
      </c>
      <c r="BC53" s="29">
        <f t="shared" si="21"/>
        <v>0</v>
      </c>
      <c r="BE53" s="29">
        <f t="shared" si="22"/>
        <v>0</v>
      </c>
      <c r="BF53" s="29">
        <f t="shared" si="23"/>
        <v>0</v>
      </c>
      <c r="BH53" s="29"/>
    </row>
    <row r="54" spans="1:60" x14ac:dyDescent="0.25">
      <c r="A54" s="1">
        <v>46100</v>
      </c>
      <c r="C54" s="33">
        <v>20.41</v>
      </c>
      <c r="E54" s="15">
        <v>-9.7943200777723493E-4</v>
      </c>
      <c r="F54" s="33">
        <v>0</v>
      </c>
      <c r="G54" s="33">
        <v>0</v>
      </c>
      <c r="H54" s="33">
        <v>0</v>
      </c>
      <c r="I54" s="33">
        <v>0.124988</v>
      </c>
      <c r="J54" s="33">
        <v>0</v>
      </c>
      <c r="K54" s="33">
        <v>0.124988</v>
      </c>
      <c r="M54" s="33">
        <v>20.534987999999998</v>
      </c>
      <c r="O54" s="34">
        <v>0.80070241399324205</v>
      </c>
      <c r="Y54" s="34">
        <v>0.81414850939960204</v>
      </c>
      <c r="AI54" s="12"/>
      <c r="AJ54">
        <f t="shared" si="6"/>
        <v>0</v>
      </c>
      <c r="AK54">
        <f t="shared" si="7"/>
        <v>1</v>
      </c>
      <c r="AL54">
        <f t="shared" si="14"/>
        <v>0</v>
      </c>
      <c r="AM54">
        <f t="shared" si="4"/>
        <v>1</v>
      </c>
      <c r="AN54">
        <f t="shared" si="15"/>
        <v>0</v>
      </c>
      <c r="AO54" s="28">
        <f t="shared" si="8"/>
        <v>0</v>
      </c>
      <c r="AP54" s="28">
        <f t="shared" si="9"/>
        <v>0</v>
      </c>
      <c r="AQ54" s="28">
        <f t="shared" si="16"/>
        <v>0</v>
      </c>
      <c r="AR54" s="29">
        <f t="shared" si="17"/>
        <v>0</v>
      </c>
      <c r="AT54" s="12"/>
      <c r="AU54">
        <f t="shared" si="10"/>
        <v>0</v>
      </c>
      <c r="AV54">
        <f t="shared" si="11"/>
        <v>1</v>
      </c>
      <c r="AW54">
        <f t="shared" si="18"/>
        <v>0</v>
      </c>
      <c r="AX54">
        <f t="shared" si="5"/>
        <v>1</v>
      </c>
      <c r="AY54">
        <f t="shared" si="19"/>
        <v>0</v>
      </c>
      <c r="AZ54" s="28">
        <f t="shared" si="12"/>
        <v>0</v>
      </c>
      <c r="BA54" s="28">
        <f t="shared" si="13"/>
        <v>0</v>
      </c>
      <c r="BB54" s="28">
        <f t="shared" si="20"/>
        <v>0</v>
      </c>
      <c r="BC54" s="29">
        <f t="shared" si="21"/>
        <v>0</v>
      </c>
      <c r="BE54" s="29">
        <f t="shared" si="22"/>
        <v>0</v>
      </c>
      <c r="BF54" s="29">
        <f t="shared" si="23"/>
        <v>0</v>
      </c>
      <c r="BH54" s="29"/>
    </row>
    <row r="55" spans="1:60" x14ac:dyDescent="0.25">
      <c r="A55" s="1">
        <v>46101</v>
      </c>
      <c r="C55" s="33">
        <v>20.3</v>
      </c>
      <c r="E55" s="15">
        <v>-5.40409077401173E-3</v>
      </c>
      <c r="F55" s="33">
        <v>0</v>
      </c>
      <c r="G55" s="33">
        <v>0</v>
      </c>
      <c r="H55" s="33">
        <v>0</v>
      </c>
      <c r="I55" s="33">
        <v>0.124988</v>
      </c>
      <c r="J55" s="33">
        <v>0</v>
      </c>
      <c r="K55" s="33">
        <v>0.124988</v>
      </c>
      <c r="M55" s="33">
        <v>20.424987999999999</v>
      </c>
      <c r="O55" s="34">
        <v>0.80070241399324205</v>
      </c>
      <c r="Y55" s="34">
        <v>0.81414850939960204</v>
      </c>
      <c r="AI55" s="12"/>
      <c r="AJ55">
        <f t="shared" si="6"/>
        <v>0</v>
      </c>
      <c r="AK55">
        <f t="shared" si="7"/>
        <v>1</v>
      </c>
      <c r="AL55">
        <f t="shared" si="14"/>
        <v>0</v>
      </c>
      <c r="AM55">
        <f t="shared" si="4"/>
        <v>1</v>
      </c>
      <c r="AN55">
        <f t="shared" si="15"/>
        <v>0</v>
      </c>
      <c r="AO55" s="28">
        <f t="shared" si="8"/>
        <v>0</v>
      </c>
      <c r="AP55" s="28">
        <f t="shared" si="9"/>
        <v>0</v>
      </c>
      <c r="AQ55" s="28">
        <f t="shared" si="16"/>
        <v>0</v>
      </c>
      <c r="AR55" s="29">
        <f t="shared" si="17"/>
        <v>0</v>
      </c>
      <c r="AT55" s="12"/>
      <c r="AU55">
        <f t="shared" si="10"/>
        <v>0</v>
      </c>
      <c r="AV55">
        <f t="shared" si="11"/>
        <v>1</v>
      </c>
      <c r="AW55">
        <f t="shared" si="18"/>
        <v>0</v>
      </c>
      <c r="AX55">
        <f t="shared" si="5"/>
        <v>1</v>
      </c>
      <c r="AY55">
        <f t="shared" si="19"/>
        <v>0</v>
      </c>
      <c r="AZ55" s="28">
        <f t="shared" si="12"/>
        <v>0</v>
      </c>
      <c r="BA55" s="28">
        <f t="shared" si="13"/>
        <v>0</v>
      </c>
      <c r="BB55" s="28">
        <f t="shared" si="20"/>
        <v>0</v>
      </c>
      <c r="BC55" s="29">
        <f t="shared" si="21"/>
        <v>0</v>
      </c>
      <c r="BE55" s="29">
        <f t="shared" si="22"/>
        <v>0</v>
      </c>
      <c r="BF55" s="29">
        <f t="shared" si="23"/>
        <v>0</v>
      </c>
      <c r="BH55" s="29"/>
    </row>
    <row r="56" spans="1:60" x14ac:dyDescent="0.25">
      <c r="A56" s="1">
        <v>46104</v>
      </c>
      <c r="C56" s="33">
        <v>20.36</v>
      </c>
      <c r="E56" s="15">
        <v>2.9513056345803102E-3</v>
      </c>
      <c r="F56" s="33">
        <v>0</v>
      </c>
      <c r="G56" s="33">
        <v>0</v>
      </c>
      <c r="H56" s="33">
        <v>0</v>
      </c>
      <c r="I56" s="33">
        <v>0.124988</v>
      </c>
      <c r="J56" s="33">
        <v>0</v>
      </c>
      <c r="K56" s="33">
        <v>0.124988</v>
      </c>
      <c r="M56" s="33">
        <v>20.484987999999898</v>
      </c>
      <c r="O56" s="34">
        <v>0.80070241399324205</v>
      </c>
      <c r="Y56" s="34">
        <v>0.81414850939960204</v>
      </c>
      <c r="AI56" s="12"/>
      <c r="AJ56">
        <f t="shared" si="6"/>
        <v>0</v>
      </c>
      <c r="AK56">
        <f t="shared" si="7"/>
        <v>1</v>
      </c>
      <c r="AL56">
        <f t="shared" si="14"/>
        <v>0</v>
      </c>
      <c r="AM56">
        <f t="shared" si="4"/>
        <v>1</v>
      </c>
      <c r="AN56">
        <f t="shared" si="15"/>
        <v>0</v>
      </c>
      <c r="AO56" s="28">
        <f t="shared" si="8"/>
        <v>0</v>
      </c>
      <c r="AP56" s="28">
        <f t="shared" si="9"/>
        <v>0</v>
      </c>
      <c r="AQ56" s="28">
        <f t="shared" si="16"/>
        <v>0</v>
      </c>
      <c r="AR56" s="29">
        <f t="shared" si="17"/>
        <v>0</v>
      </c>
      <c r="AT56" s="12"/>
      <c r="AU56">
        <f t="shared" si="10"/>
        <v>0</v>
      </c>
      <c r="AV56">
        <f t="shared" si="11"/>
        <v>1</v>
      </c>
      <c r="AW56">
        <f t="shared" si="18"/>
        <v>0</v>
      </c>
      <c r="AX56">
        <f t="shared" si="5"/>
        <v>1</v>
      </c>
      <c r="AY56">
        <f t="shared" si="19"/>
        <v>0</v>
      </c>
      <c r="AZ56" s="28">
        <f t="shared" si="12"/>
        <v>0</v>
      </c>
      <c r="BA56" s="28">
        <f t="shared" si="13"/>
        <v>0</v>
      </c>
      <c r="BB56" s="28">
        <f t="shared" si="20"/>
        <v>0</v>
      </c>
      <c r="BC56" s="29">
        <f t="shared" si="21"/>
        <v>0</v>
      </c>
      <c r="BE56" s="29">
        <f t="shared" si="22"/>
        <v>0</v>
      </c>
      <c r="BF56" s="29">
        <f t="shared" si="23"/>
        <v>0</v>
      </c>
      <c r="BH56" s="29"/>
    </row>
    <row r="57" spans="1:60" x14ac:dyDescent="0.25">
      <c r="A57" s="1">
        <v>46105</v>
      </c>
      <c r="C57" s="33">
        <v>20.3</v>
      </c>
      <c r="E57" s="15">
        <v>-2.9513056345803002E-3</v>
      </c>
      <c r="F57" s="33">
        <v>0</v>
      </c>
      <c r="G57" s="33">
        <v>0</v>
      </c>
      <c r="H57" s="33">
        <v>0</v>
      </c>
      <c r="I57" s="33">
        <v>0.124988</v>
      </c>
      <c r="J57" s="33">
        <v>0</v>
      </c>
      <c r="K57" s="33">
        <v>0.124988</v>
      </c>
      <c r="M57" s="33">
        <v>20.424987999999999</v>
      </c>
      <c r="O57" s="34">
        <v>0.80070241399324205</v>
      </c>
      <c r="Y57" s="34">
        <v>0.81414850939960204</v>
      </c>
      <c r="AI57" s="12"/>
      <c r="AJ57">
        <f t="shared" si="6"/>
        <v>0</v>
      </c>
      <c r="AK57">
        <f t="shared" si="7"/>
        <v>1</v>
      </c>
      <c r="AL57">
        <f t="shared" si="14"/>
        <v>0</v>
      </c>
      <c r="AM57">
        <f t="shared" si="4"/>
        <v>1</v>
      </c>
      <c r="AN57">
        <f t="shared" si="15"/>
        <v>0</v>
      </c>
      <c r="AO57" s="28">
        <f t="shared" si="8"/>
        <v>0</v>
      </c>
      <c r="AP57" s="28">
        <f t="shared" si="9"/>
        <v>0</v>
      </c>
      <c r="AQ57" s="28">
        <f t="shared" si="16"/>
        <v>0</v>
      </c>
      <c r="AR57" s="29">
        <f t="shared" si="17"/>
        <v>0</v>
      </c>
      <c r="AT57" s="12"/>
      <c r="AU57">
        <f t="shared" si="10"/>
        <v>0</v>
      </c>
      <c r="AV57">
        <f t="shared" si="11"/>
        <v>1</v>
      </c>
      <c r="AW57">
        <f t="shared" si="18"/>
        <v>0</v>
      </c>
      <c r="AX57">
        <f t="shared" si="5"/>
        <v>1</v>
      </c>
      <c r="AY57">
        <f t="shared" si="19"/>
        <v>0</v>
      </c>
      <c r="AZ57" s="28">
        <f t="shared" si="12"/>
        <v>0</v>
      </c>
      <c r="BA57" s="28">
        <f t="shared" si="13"/>
        <v>0</v>
      </c>
      <c r="BB57" s="28">
        <f t="shared" si="20"/>
        <v>0</v>
      </c>
      <c r="BC57" s="29">
        <f t="shared" si="21"/>
        <v>0</v>
      </c>
      <c r="BE57" s="29">
        <f t="shared" si="22"/>
        <v>0</v>
      </c>
      <c r="BF57" s="29">
        <f t="shared" si="23"/>
        <v>0</v>
      </c>
      <c r="BH57" s="29"/>
    </row>
    <row r="58" spans="1:60" x14ac:dyDescent="0.25">
      <c r="A58" s="1">
        <v>46106</v>
      </c>
      <c r="C58" s="33">
        <v>20.34</v>
      </c>
      <c r="E58" s="15">
        <v>1.96850457267215E-3</v>
      </c>
      <c r="F58" s="33">
        <v>0</v>
      </c>
      <c r="G58" s="33">
        <v>0</v>
      </c>
      <c r="H58" s="33">
        <v>0</v>
      </c>
      <c r="I58" s="33">
        <v>0.124988</v>
      </c>
      <c r="J58" s="33">
        <v>0</v>
      </c>
      <c r="K58" s="33">
        <v>0.124988</v>
      </c>
      <c r="M58" s="33">
        <v>20.464987999999899</v>
      </c>
      <c r="O58" s="34">
        <v>0.80070241399324205</v>
      </c>
      <c r="Y58" s="34">
        <v>0.81414850939960204</v>
      </c>
      <c r="AI58" s="12"/>
      <c r="AJ58">
        <f t="shared" si="6"/>
        <v>0</v>
      </c>
      <c r="AK58">
        <f t="shared" si="7"/>
        <v>1</v>
      </c>
      <c r="AL58">
        <f t="shared" si="14"/>
        <v>0</v>
      </c>
      <c r="AM58">
        <f t="shared" si="4"/>
        <v>1</v>
      </c>
      <c r="AN58">
        <f t="shared" si="15"/>
        <v>0</v>
      </c>
      <c r="AO58" s="28">
        <f t="shared" si="8"/>
        <v>0</v>
      </c>
      <c r="AP58" s="28">
        <f t="shared" si="9"/>
        <v>0</v>
      </c>
      <c r="AQ58" s="28">
        <f t="shared" si="16"/>
        <v>0</v>
      </c>
      <c r="AR58" s="29">
        <f t="shared" si="17"/>
        <v>0</v>
      </c>
      <c r="AT58" s="12"/>
      <c r="AU58">
        <f t="shared" si="10"/>
        <v>0</v>
      </c>
      <c r="AV58">
        <f t="shared" si="11"/>
        <v>1</v>
      </c>
      <c r="AW58">
        <f t="shared" si="18"/>
        <v>0</v>
      </c>
      <c r="AX58">
        <f t="shared" si="5"/>
        <v>1</v>
      </c>
      <c r="AY58">
        <f t="shared" si="19"/>
        <v>0</v>
      </c>
      <c r="AZ58" s="28">
        <f t="shared" si="12"/>
        <v>0</v>
      </c>
      <c r="BA58" s="28">
        <f t="shared" si="13"/>
        <v>0</v>
      </c>
      <c r="BB58" s="28">
        <f t="shared" si="20"/>
        <v>0</v>
      </c>
      <c r="BC58" s="29">
        <f t="shared" si="21"/>
        <v>0</v>
      </c>
      <c r="BE58" s="29">
        <f t="shared" si="22"/>
        <v>0</v>
      </c>
      <c r="BF58" s="29">
        <f t="shared" si="23"/>
        <v>0</v>
      </c>
      <c r="BH58" s="29"/>
    </row>
    <row r="59" spans="1:60" x14ac:dyDescent="0.25">
      <c r="A59" s="1">
        <v>46107</v>
      </c>
      <c r="C59" s="33">
        <v>20.23</v>
      </c>
      <c r="E59" s="15">
        <v>-5.42273944075977E-3</v>
      </c>
      <c r="F59" s="33">
        <v>0</v>
      </c>
      <c r="G59" s="33">
        <v>0</v>
      </c>
      <c r="H59" s="33">
        <v>0</v>
      </c>
      <c r="I59" s="33">
        <v>0.124988</v>
      </c>
      <c r="J59" s="33">
        <v>0</v>
      </c>
      <c r="K59" s="33">
        <v>0.124988</v>
      </c>
      <c r="M59" s="33">
        <v>20.354987999999999</v>
      </c>
      <c r="O59" s="34">
        <v>0.80070241399324205</v>
      </c>
      <c r="Y59" s="34">
        <v>0.81414850939960204</v>
      </c>
      <c r="AI59" s="12"/>
      <c r="AJ59">
        <f t="shared" si="6"/>
        <v>0</v>
      </c>
      <c r="AK59">
        <f t="shared" si="7"/>
        <v>1</v>
      </c>
      <c r="AL59">
        <f t="shared" si="14"/>
        <v>0</v>
      </c>
      <c r="AM59">
        <f t="shared" si="4"/>
        <v>1</v>
      </c>
      <c r="AN59">
        <f t="shared" si="15"/>
        <v>0</v>
      </c>
      <c r="AO59" s="28">
        <f t="shared" si="8"/>
        <v>0</v>
      </c>
      <c r="AP59" s="28">
        <f t="shared" si="9"/>
        <v>0</v>
      </c>
      <c r="AQ59" s="28">
        <f t="shared" si="16"/>
        <v>0</v>
      </c>
      <c r="AR59" s="29">
        <f t="shared" si="17"/>
        <v>0</v>
      </c>
      <c r="AT59" s="12"/>
      <c r="AU59">
        <f t="shared" si="10"/>
        <v>0</v>
      </c>
      <c r="AV59">
        <f t="shared" si="11"/>
        <v>1</v>
      </c>
      <c r="AW59">
        <f t="shared" si="18"/>
        <v>0</v>
      </c>
      <c r="AX59">
        <f t="shared" si="5"/>
        <v>1</v>
      </c>
      <c r="AY59">
        <f t="shared" si="19"/>
        <v>0</v>
      </c>
      <c r="AZ59" s="28">
        <f t="shared" si="12"/>
        <v>0</v>
      </c>
      <c r="BA59" s="28">
        <f t="shared" si="13"/>
        <v>0</v>
      </c>
      <c r="BB59" s="28">
        <f t="shared" si="20"/>
        <v>0</v>
      </c>
      <c r="BC59" s="29">
        <f t="shared" si="21"/>
        <v>0</v>
      </c>
      <c r="BE59" s="29">
        <f t="shared" si="22"/>
        <v>0</v>
      </c>
      <c r="BF59" s="29">
        <f t="shared" si="23"/>
        <v>0</v>
      </c>
      <c r="BH59" s="29"/>
    </row>
    <row r="60" spans="1:60" x14ac:dyDescent="0.25">
      <c r="A60" s="1">
        <v>46108</v>
      </c>
      <c r="C60" s="33">
        <v>20.27</v>
      </c>
      <c r="E60" s="15">
        <v>1.9753092842545298E-3</v>
      </c>
      <c r="F60" s="33">
        <v>0</v>
      </c>
      <c r="G60" s="33">
        <v>0</v>
      </c>
      <c r="H60" s="33">
        <v>0</v>
      </c>
      <c r="I60" s="33">
        <v>0.124988</v>
      </c>
      <c r="J60" s="33">
        <v>0</v>
      </c>
      <c r="K60" s="33">
        <v>0.124988</v>
      </c>
      <c r="M60" s="33">
        <v>20.394987999999898</v>
      </c>
      <c r="O60" s="34">
        <v>0.80070241399324205</v>
      </c>
      <c r="Y60" s="34">
        <v>0.81414850939960204</v>
      </c>
      <c r="AI60" s="12"/>
      <c r="AJ60">
        <f t="shared" si="6"/>
        <v>0</v>
      </c>
      <c r="AK60">
        <f t="shared" si="7"/>
        <v>1</v>
      </c>
      <c r="AL60">
        <f t="shared" si="14"/>
        <v>0</v>
      </c>
      <c r="AM60">
        <f t="shared" si="4"/>
        <v>1</v>
      </c>
      <c r="AN60">
        <f t="shared" si="15"/>
        <v>0</v>
      </c>
      <c r="AO60" s="28">
        <f t="shared" si="8"/>
        <v>0</v>
      </c>
      <c r="AP60" s="28">
        <f t="shared" si="9"/>
        <v>0</v>
      </c>
      <c r="AQ60" s="28">
        <f t="shared" si="16"/>
        <v>0</v>
      </c>
      <c r="AR60" s="29">
        <f t="shared" si="17"/>
        <v>0</v>
      </c>
      <c r="AT60" s="12"/>
      <c r="AU60">
        <f t="shared" si="10"/>
        <v>0</v>
      </c>
      <c r="AV60">
        <f t="shared" si="11"/>
        <v>1</v>
      </c>
      <c r="AW60">
        <f t="shared" si="18"/>
        <v>0</v>
      </c>
      <c r="AX60">
        <f t="shared" si="5"/>
        <v>1</v>
      </c>
      <c r="AY60">
        <f t="shared" si="19"/>
        <v>0</v>
      </c>
      <c r="AZ60" s="28">
        <f t="shared" si="12"/>
        <v>0</v>
      </c>
      <c r="BA60" s="28">
        <f t="shared" si="13"/>
        <v>0</v>
      </c>
      <c r="BB60" s="28">
        <f t="shared" si="20"/>
        <v>0</v>
      </c>
      <c r="BC60" s="29">
        <f t="shared" si="21"/>
        <v>0</v>
      </c>
      <c r="BE60" s="29">
        <f t="shared" si="22"/>
        <v>0</v>
      </c>
      <c r="BF60" s="29">
        <f t="shared" si="23"/>
        <v>0</v>
      </c>
      <c r="BH60" s="29"/>
    </row>
    <row r="61" spans="1:60" x14ac:dyDescent="0.25">
      <c r="A61" s="1">
        <v>46111</v>
      </c>
      <c r="C61" s="33">
        <v>20.36</v>
      </c>
      <c r="E61" s="15">
        <v>4.4302312184133601E-3</v>
      </c>
      <c r="F61" s="33">
        <v>0</v>
      </c>
      <c r="G61" s="33">
        <v>0</v>
      </c>
      <c r="H61" s="33">
        <v>0</v>
      </c>
      <c r="I61" s="33">
        <v>0.124988</v>
      </c>
      <c r="J61" s="33">
        <v>0</v>
      </c>
      <c r="K61" s="33">
        <v>0.124988</v>
      </c>
      <c r="M61" s="33">
        <v>20.484987999999898</v>
      </c>
      <c r="O61" s="34">
        <v>0.80070241399324205</v>
      </c>
      <c r="Y61" s="34">
        <v>0.81414850939960204</v>
      </c>
      <c r="AI61" s="12"/>
      <c r="AJ61">
        <f t="shared" si="6"/>
        <v>0</v>
      </c>
      <c r="AK61">
        <f t="shared" si="7"/>
        <v>1</v>
      </c>
      <c r="AL61">
        <f t="shared" si="14"/>
        <v>0</v>
      </c>
      <c r="AM61">
        <f t="shared" si="4"/>
        <v>1</v>
      </c>
      <c r="AN61">
        <f t="shared" si="15"/>
        <v>0</v>
      </c>
      <c r="AO61" s="28">
        <f t="shared" si="8"/>
        <v>0</v>
      </c>
      <c r="AP61" s="28">
        <f t="shared" si="9"/>
        <v>0</v>
      </c>
      <c r="AQ61" s="28">
        <f t="shared" si="16"/>
        <v>0</v>
      </c>
      <c r="AR61" s="29">
        <f t="shared" si="17"/>
        <v>0</v>
      </c>
      <c r="AT61" s="12"/>
      <c r="AU61">
        <f t="shared" si="10"/>
        <v>0</v>
      </c>
      <c r="AV61">
        <f t="shared" si="11"/>
        <v>1</v>
      </c>
      <c r="AW61">
        <f t="shared" si="18"/>
        <v>0</v>
      </c>
      <c r="AX61">
        <f t="shared" si="5"/>
        <v>1</v>
      </c>
      <c r="AY61">
        <f t="shared" si="19"/>
        <v>0</v>
      </c>
      <c r="AZ61" s="28">
        <f t="shared" si="12"/>
        <v>0</v>
      </c>
      <c r="BA61" s="28">
        <f t="shared" si="13"/>
        <v>0</v>
      </c>
      <c r="BB61" s="28">
        <f t="shared" si="20"/>
        <v>0</v>
      </c>
      <c r="BC61" s="29">
        <f t="shared" si="21"/>
        <v>0</v>
      </c>
      <c r="BE61" s="29">
        <f t="shared" si="22"/>
        <v>0</v>
      </c>
      <c r="BF61" s="29">
        <f t="shared" si="23"/>
        <v>0</v>
      </c>
      <c r="BH61" s="29"/>
    </row>
    <row r="62" spans="1:60" x14ac:dyDescent="0.25">
      <c r="A62" s="1">
        <v>46112</v>
      </c>
      <c r="C62" s="33">
        <v>20.399999999999999</v>
      </c>
      <c r="E62" s="15">
        <v>1.9627091678486798E-3</v>
      </c>
      <c r="F62" s="33">
        <v>0</v>
      </c>
      <c r="G62" s="33">
        <v>0</v>
      </c>
      <c r="H62" s="33">
        <v>0</v>
      </c>
      <c r="I62" s="33">
        <v>0.124988</v>
      </c>
      <c r="J62" s="33">
        <v>0</v>
      </c>
      <c r="K62" s="33">
        <v>0.124988</v>
      </c>
      <c r="M62" s="33">
        <v>20.524987999999901</v>
      </c>
      <c r="O62" s="34">
        <v>0.80070241399324205</v>
      </c>
      <c r="Y62" s="34">
        <v>0.81414850939960204</v>
      </c>
      <c r="AI62" s="12"/>
      <c r="AJ62">
        <f t="shared" si="6"/>
        <v>0</v>
      </c>
      <c r="AK62">
        <f t="shared" si="7"/>
        <v>1</v>
      </c>
      <c r="AL62">
        <f t="shared" si="14"/>
        <v>0</v>
      </c>
      <c r="AM62">
        <f t="shared" si="4"/>
        <v>0</v>
      </c>
      <c r="AN62">
        <f t="shared" si="15"/>
        <v>0</v>
      </c>
      <c r="AO62" s="28">
        <f t="shared" si="8"/>
        <v>0</v>
      </c>
      <c r="AP62" s="28">
        <f t="shared" si="9"/>
        <v>0</v>
      </c>
      <c r="AQ62" s="28">
        <f t="shared" si="16"/>
        <v>0</v>
      </c>
      <c r="AR62" s="29">
        <f t="shared" si="17"/>
        <v>0</v>
      </c>
      <c r="AT62" s="12"/>
      <c r="AU62">
        <f t="shared" si="10"/>
        <v>0</v>
      </c>
      <c r="AV62">
        <f t="shared" si="11"/>
        <v>1</v>
      </c>
      <c r="AW62">
        <f t="shared" si="18"/>
        <v>0</v>
      </c>
      <c r="AX62">
        <f t="shared" si="5"/>
        <v>0</v>
      </c>
      <c r="AY62">
        <f t="shared" si="19"/>
        <v>0</v>
      </c>
      <c r="AZ62" s="28">
        <f t="shared" si="12"/>
        <v>0</v>
      </c>
      <c r="BA62" s="28">
        <f t="shared" si="13"/>
        <v>0</v>
      </c>
      <c r="BB62" s="28">
        <f t="shared" si="20"/>
        <v>0</v>
      </c>
      <c r="BC62" s="29">
        <f t="shared" si="21"/>
        <v>0</v>
      </c>
      <c r="BE62" s="29">
        <f t="shared" si="22"/>
        <v>0</v>
      </c>
      <c r="BF62" s="29">
        <f t="shared" si="23"/>
        <v>0</v>
      </c>
      <c r="BH62" s="29"/>
    </row>
    <row r="63" spans="1:60" x14ac:dyDescent="0.25">
      <c r="A63" s="1">
        <v>46113</v>
      </c>
      <c r="C63" s="33">
        <v>20.3</v>
      </c>
      <c r="E63" s="15">
        <v>-4.9140148024289197E-3</v>
      </c>
      <c r="F63" s="33">
        <v>0</v>
      </c>
      <c r="G63" s="33">
        <v>0</v>
      </c>
      <c r="H63" s="33">
        <v>6.6687999999999997E-2</v>
      </c>
      <c r="I63" s="33">
        <v>0.19167600000000001</v>
      </c>
      <c r="J63" s="33">
        <v>0</v>
      </c>
      <c r="K63" s="33">
        <v>0.19167600000000001</v>
      </c>
      <c r="M63" s="33">
        <v>20.491675999999998</v>
      </c>
      <c r="O63" s="34">
        <v>0.80070241399324205</v>
      </c>
      <c r="Y63" s="34">
        <v>0.81414850939960204</v>
      </c>
      <c r="AI63" s="12"/>
      <c r="AJ63">
        <f t="shared" si="6"/>
        <v>0</v>
      </c>
      <c r="AK63">
        <f t="shared" si="7"/>
        <v>1</v>
      </c>
      <c r="AL63">
        <f t="shared" si="14"/>
        <v>0</v>
      </c>
      <c r="AM63">
        <f t="shared" si="4"/>
        <v>1</v>
      </c>
      <c r="AN63">
        <f t="shared" si="15"/>
        <v>0</v>
      </c>
      <c r="AO63" s="28">
        <f t="shared" si="8"/>
        <v>0</v>
      </c>
      <c r="AP63" s="28">
        <f t="shared" si="9"/>
        <v>0</v>
      </c>
      <c r="AQ63" s="28">
        <f t="shared" si="16"/>
        <v>0</v>
      </c>
      <c r="AR63" s="29">
        <f t="shared" si="17"/>
        <v>0</v>
      </c>
      <c r="AT63" s="12"/>
      <c r="AU63">
        <f t="shared" si="10"/>
        <v>0</v>
      </c>
      <c r="AV63">
        <f t="shared" si="11"/>
        <v>1</v>
      </c>
      <c r="AW63">
        <f t="shared" si="18"/>
        <v>0</v>
      </c>
      <c r="AX63">
        <f t="shared" si="5"/>
        <v>1</v>
      </c>
      <c r="AY63">
        <f t="shared" si="19"/>
        <v>0</v>
      </c>
      <c r="AZ63" s="28">
        <f t="shared" si="12"/>
        <v>0</v>
      </c>
      <c r="BA63" s="28">
        <f t="shared" si="13"/>
        <v>0</v>
      </c>
      <c r="BB63" s="28">
        <f t="shared" si="20"/>
        <v>0</v>
      </c>
      <c r="BC63" s="29">
        <f t="shared" si="21"/>
        <v>0</v>
      </c>
      <c r="BE63" s="29">
        <f t="shared" si="22"/>
        <v>0</v>
      </c>
      <c r="BF63" s="29">
        <f t="shared" si="23"/>
        <v>0</v>
      </c>
      <c r="BH63" s="29"/>
    </row>
    <row r="64" spans="1:60" x14ac:dyDescent="0.25">
      <c r="A64" s="1">
        <v>46114</v>
      </c>
      <c r="C64" s="33">
        <v>20.34</v>
      </c>
      <c r="E64" s="15">
        <v>1.96850457267215E-3</v>
      </c>
      <c r="F64" s="33">
        <v>0</v>
      </c>
      <c r="G64" s="33">
        <v>0</v>
      </c>
      <c r="H64" s="33">
        <v>0</v>
      </c>
      <c r="I64" s="33">
        <v>0.19167600000000001</v>
      </c>
      <c r="J64" s="33">
        <v>0</v>
      </c>
      <c r="K64" s="33">
        <v>0.19167600000000001</v>
      </c>
      <c r="M64" s="33">
        <v>20.531676000000001</v>
      </c>
      <c r="O64" s="34">
        <v>0.80070241399324205</v>
      </c>
      <c r="Y64" s="34">
        <v>0.81414850939960204</v>
      </c>
      <c r="AI64" s="12"/>
      <c r="AJ64">
        <f t="shared" si="6"/>
        <v>0</v>
      </c>
      <c r="AK64">
        <f t="shared" si="7"/>
        <v>1</v>
      </c>
      <c r="AL64">
        <f t="shared" si="14"/>
        <v>0</v>
      </c>
      <c r="AM64">
        <f t="shared" si="4"/>
        <v>1</v>
      </c>
      <c r="AN64">
        <f t="shared" si="15"/>
        <v>0</v>
      </c>
      <c r="AO64" s="28">
        <f t="shared" si="8"/>
        <v>0</v>
      </c>
      <c r="AP64" s="28">
        <f t="shared" si="9"/>
        <v>0</v>
      </c>
      <c r="AQ64" s="28">
        <f t="shared" si="16"/>
        <v>0</v>
      </c>
      <c r="AR64" s="29">
        <f t="shared" si="17"/>
        <v>0</v>
      </c>
      <c r="AT64" s="12"/>
      <c r="AU64">
        <f t="shared" si="10"/>
        <v>0</v>
      </c>
      <c r="AV64">
        <f t="shared" si="11"/>
        <v>1</v>
      </c>
      <c r="AW64">
        <f t="shared" si="18"/>
        <v>0</v>
      </c>
      <c r="AX64">
        <f t="shared" si="5"/>
        <v>1</v>
      </c>
      <c r="AY64">
        <f t="shared" si="19"/>
        <v>0</v>
      </c>
      <c r="AZ64" s="28">
        <f t="shared" si="12"/>
        <v>0</v>
      </c>
      <c r="BA64" s="28">
        <f t="shared" si="13"/>
        <v>0</v>
      </c>
      <c r="BB64" s="28">
        <f t="shared" si="20"/>
        <v>0</v>
      </c>
      <c r="BC64" s="29">
        <f t="shared" si="21"/>
        <v>0</v>
      </c>
      <c r="BE64" s="29">
        <f t="shared" si="22"/>
        <v>0</v>
      </c>
      <c r="BF64" s="29">
        <f t="shared" si="23"/>
        <v>0</v>
      </c>
      <c r="BH64" s="29"/>
    </row>
    <row r="65" spans="1:60" x14ac:dyDescent="0.25">
      <c r="A65" s="1">
        <v>46118</v>
      </c>
      <c r="C65" s="33">
        <v>20.3</v>
      </c>
      <c r="E65" s="15">
        <v>-1.9685045726721899E-3</v>
      </c>
      <c r="F65" s="33">
        <v>0</v>
      </c>
      <c r="G65" s="33">
        <v>0</v>
      </c>
      <c r="H65" s="33">
        <v>0</v>
      </c>
      <c r="I65" s="33">
        <v>0.19167600000000001</v>
      </c>
      <c r="J65" s="33">
        <v>0</v>
      </c>
      <c r="K65" s="33">
        <v>0.19167600000000001</v>
      </c>
      <c r="M65" s="33">
        <v>20.491675999999998</v>
      </c>
      <c r="O65" s="34">
        <v>0.80070241399324205</v>
      </c>
      <c r="Y65" s="34">
        <v>0.81414850939960204</v>
      </c>
      <c r="AI65" s="12"/>
      <c r="AJ65">
        <f t="shared" si="6"/>
        <v>0</v>
      </c>
      <c r="AK65">
        <f t="shared" si="7"/>
        <v>1</v>
      </c>
      <c r="AL65">
        <f t="shared" si="14"/>
        <v>0</v>
      </c>
      <c r="AM65">
        <f t="shared" si="4"/>
        <v>1</v>
      </c>
      <c r="AN65">
        <f t="shared" si="15"/>
        <v>0</v>
      </c>
      <c r="AO65" s="28">
        <f t="shared" si="8"/>
        <v>0</v>
      </c>
      <c r="AP65" s="28">
        <f t="shared" si="9"/>
        <v>0</v>
      </c>
      <c r="AQ65" s="28">
        <f t="shared" si="16"/>
        <v>0</v>
      </c>
      <c r="AR65" s="29">
        <f t="shared" si="17"/>
        <v>0</v>
      </c>
      <c r="AT65" s="12"/>
      <c r="AU65">
        <f t="shared" si="10"/>
        <v>0</v>
      </c>
      <c r="AV65">
        <f t="shared" si="11"/>
        <v>1</v>
      </c>
      <c r="AW65">
        <f t="shared" si="18"/>
        <v>0</v>
      </c>
      <c r="AX65">
        <f t="shared" si="5"/>
        <v>1</v>
      </c>
      <c r="AY65">
        <f t="shared" si="19"/>
        <v>0</v>
      </c>
      <c r="AZ65" s="28">
        <f t="shared" si="12"/>
        <v>0</v>
      </c>
      <c r="BA65" s="28">
        <f t="shared" si="13"/>
        <v>0</v>
      </c>
      <c r="BB65" s="28">
        <f t="shared" si="20"/>
        <v>0</v>
      </c>
      <c r="BC65" s="29">
        <f t="shared" si="21"/>
        <v>0</v>
      </c>
      <c r="BE65" s="29">
        <f t="shared" si="22"/>
        <v>0</v>
      </c>
      <c r="BF65" s="29">
        <f t="shared" si="23"/>
        <v>0</v>
      </c>
      <c r="BH65" s="29"/>
    </row>
    <row r="66" spans="1:60" x14ac:dyDescent="0.25">
      <c r="A66" s="1">
        <v>46119</v>
      </c>
      <c r="C66" s="33">
        <v>20.34</v>
      </c>
      <c r="E66" s="15">
        <v>1.96850457267215E-3</v>
      </c>
      <c r="F66" s="33">
        <v>0</v>
      </c>
      <c r="G66" s="33">
        <v>0</v>
      </c>
      <c r="H66" s="33">
        <v>0</v>
      </c>
      <c r="I66" s="33">
        <v>0.19167600000000001</v>
      </c>
      <c r="J66" s="33">
        <v>0</v>
      </c>
      <c r="K66" s="33">
        <v>0.19167600000000001</v>
      </c>
      <c r="M66" s="33">
        <v>20.531676000000001</v>
      </c>
      <c r="O66" s="34">
        <v>0.80070241399324205</v>
      </c>
      <c r="Y66" s="34">
        <v>0.81414850939960204</v>
      </c>
      <c r="AI66" s="12"/>
      <c r="AJ66">
        <f t="shared" si="6"/>
        <v>0</v>
      </c>
      <c r="AK66">
        <f t="shared" si="7"/>
        <v>1</v>
      </c>
      <c r="AL66">
        <f t="shared" si="14"/>
        <v>0</v>
      </c>
      <c r="AM66">
        <f t="shared" si="4"/>
        <v>1</v>
      </c>
      <c r="AN66">
        <f t="shared" si="15"/>
        <v>0</v>
      </c>
      <c r="AO66" s="28">
        <f t="shared" si="8"/>
        <v>0</v>
      </c>
      <c r="AP66" s="28">
        <f t="shared" si="9"/>
        <v>0</v>
      </c>
      <c r="AQ66" s="28">
        <f t="shared" si="16"/>
        <v>0</v>
      </c>
      <c r="AR66" s="29">
        <f t="shared" si="17"/>
        <v>0</v>
      </c>
      <c r="AT66" s="12"/>
      <c r="AU66">
        <f t="shared" si="10"/>
        <v>0</v>
      </c>
      <c r="AV66">
        <f t="shared" si="11"/>
        <v>1</v>
      </c>
      <c r="AW66">
        <f t="shared" si="18"/>
        <v>0</v>
      </c>
      <c r="AX66">
        <f t="shared" si="5"/>
        <v>1</v>
      </c>
      <c r="AY66">
        <f t="shared" si="19"/>
        <v>0</v>
      </c>
      <c r="AZ66" s="28">
        <f t="shared" si="12"/>
        <v>0</v>
      </c>
      <c r="BA66" s="28">
        <f t="shared" si="13"/>
        <v>0</v>
      </c>
      <c r="BB66" s="28">
        <f t="shared" si="20"/>
        <v>0</v>
      </c>
      <c r="BC66" s="29">
        <f t="shared" si="21"/>
        <v>0</v>
      </c>
      <c r="BE66" s="29">
        <f t="shared" si="22"/>
        <v>0</v>
      </c>
      <c r="BF66" s="29">
        <f t="shared" si="23"/>
        <v>0</v>
      </c>
      <c r="BH66" s="29"/>
    </row>
    <row r="67" spans="1:60" x14ac:dyDescent="0.25">
      <c r="A67" s="1">
        <v>46120</v>
      </c>
      <c r="C67" s="33">
        <v>20.38</v>
      </c>
      <c r="E67" s="15">
        <v>1.9646371741648102E-3</v>
      </c>
      <c r="F67" s="33">
        <v>0</v>
      </c>
      <c r="G67" s="33">
        <v>0</v>
      </c>
      <c r="H67" s="33">
        <v>0</v>
      </c>
      <c r="I67" s="33">
        <v>0.19167600000000001</v>
      </c>
      <c r="J67" s="33">
        <v>0</v>
      </c>
      <c r="K67" s="33">
        <v>0.19167600000000001</v>
      </c>
      <c r="M67" s="33">
        <v>20.571676</v>
      </c>
      <c r="O67" s="34">
        <v>0.80070241399324205</v>
      </c>
      <c r="Y67" s="34">
        <v>0.81414850939960204</v>
      </c>
      <c r="AI67" s="12"/>
      <c r="AJ67">
        <f t="shared" si="6"/>
        <v>0</v>
      </c>
      <c r="AK67">
        <f t="shared" si="7"/>
        <v>1</v>
      </c>
      <c r="AL67">
        <f t="shared" si="14"/>
        <v>0</v>
      </c>
      <c r="AM67">
        <f t="shared" si="4"/>
        <v>1</v>
      </c>
      <c r="AN67">
        <f t="shared" si="15"/>
        <v>0</v>
      </c>
      <c r="AO67" s="28">
        <f t="shared" si="8"/>
        <v>0</v>
      </c>
      <c r="AP67" s="28">
        <f t="shared" si="9"/>
        <v>0</v>
      </c>
      <c r="AQ67" s="28">
        <f t="shared" si="16"/>
        <v>0</v>
      </c>
      <c r="AR67" s="29">
        <f t="shared" si="17"/>
        <v>0</v>
      </c>
      <c r="AT67" s="12"/>
      <c r="AU67">
        <f t="shared" si="10"/>
        <v>0</v>
      </c>
      <c r="AV67">
        <f t="shared" si="11"/>
        <v>1</v>
      </c>
      <c r="AW67">
        <f t="shared" si="18"/>
        <v>0</v>
      </c>
      <c r="AX67">
        <f t="shared" si="5"/>
        <v>1</v>
      </c>
      <c r="AY67">
        <f t="shared" si="19"/>
        <v>0</v>
      </c>
      <c r="AZ67" s="28">
        <f t="shared" si="12"/>
        <v>0</v>
      </c>
      <c r="BA67" s="28">
        <f t="shared" si="13"/>
        <v>0</v>
      </c>
      <c r="BB67" s="28">
        <f t="shared" si="20"/>
        <v>0</v>
      </c>
      <c r="BC67" s="29">
        <f t="shared" si="21"/>
        <v>0</v>
      </c>
      <c r="BE67" s="29">
        <f t="shared" si="22"/>
        <v>0</v>
      </c>
      <c r="BF67" s="29">
        <f t="shared" si="23"/>
        <v>0</v>
      </c>
      <c r="BH67" s="29"/>
    </row>
    <row r="68" spans="1:60" x14ac:dyDescent="0.25">
      <c r="A68" s="1">
        <v>46121</v>
      </c>
      <c r="C68" s="33">
        <v>20.38</v>
      </c>
      <c r="E68" s="15">
        <v>0</v>
      </c>
      <c r="F68" s="33">
        <v>0</v>
      </c>
      <c r="G68" s="33">
        <v>0</v>
      </c>
      <c r="H68" s="33">
        <v>0</v>
      </c>
      <c r="I68" s="33">
        <v>0.19167600000000001</v>
      </c>
      <c r="J68" s="33">
        <v>0</v>
      </c>
      <c r="K68" s="33">
        <v>0.19167600000000001</v>
      </c>
      <c r="M68" s="33">
        <v>20.571676</v>
      </c>
      <c r="O68" s="34">
        <v>0.80070241399324205</v>
      </c>
      <c r="Y68" s="34">
        <v>0.81414850939960204</v>
      </c>
      <c r="AI68" s="12"/>
      <c r="AJ68">
        <f t="shared" si="6"/>
        <v>0</v>
      </c>
      <c r="AK68">
        <f t="shared" si="7"/>
        <v>1</v>
      </c>
      <c r="AL68">
        <f t="shared" si="14"/>
        <v>0</v>
      </c>
      <c r="AM68">
        <f t="shared" si="4"/>
        <v>1</v>
      </c>
      <c r="AN68">
        <f t="shared" si="15"/>
        <v>0</v>
      </c>
      <c r="AO68" s="28">
        <f t="shared" si="8"/>
        <v>0</v>
      </c>
      <c r="AP68" s="28">
        <f t="shared" si="9"/>
        <v>0</v>
      </c>
      <c r="AQ68" s="28">
        <f t="shared" si="16"/>
        <v>0</v>
      </c>
      <c r="AR68" s="29">
        <f t="shared" si="17"/>
        <v>0</v>
      </c>
      <c r="AT68" s="12"/>
      <c r="AU68">
        <f t="shared" si="10"/>
        <v>0</v>
      </c>
      <c r="AV68">
        <f t="shared" si="11"/>
        <v>1</v>
      </c>
      <c r="AW68">
        <f t="shared" si="18"/>
        <v>0</v>
      </c>
      <c r="AX68">
        <f t="shared" si="5"/>
        <v>1</v>
      </c>
      <c r="AY68">
        <f t="shared" si="19"/>
        <v>0</v>
      </c>
      <c r="AZ68" s="28">
        <f t="shared" si="12"/>
        <v>0</v>
      </c>
      <c r="BA68" s="28">
        <f t="shared" si="13"/>
        <v>0</v>
      </c>
      <c r="BB68" s="28">
        <f t="shared" si="20"/>
        <v>0</v>
      </c>
      <c r="BC68" s="29">
        <f t="shared" si="21"/>
        <v>0</v>
      </c>
      <c r="BE68" s="29">
        <f t="shared" si="22"/>
        <v>0</v>
      </c>
      <c r="BF68" s="29">
        <f t="shared" si="23"/>
        <v>0</v>
      </c>
      <c r="BH68" s="29"/>
    </row>
    <row r="69" spans="1:60" x14ac:dyDescent="0.25">
      <c r="A69" s="1">
        <v>46122</v>
      </c>
      <c r="C69" s="33">
        <v>20.36</v>
      </c>
      <c r="E69" s="15">
        <v>-9.8183611225670093E-4</v>
      </c>
      <c r="F69" s="33">
        <v>0</v>
      </c>
      <c r="G69" s="33">
        <v>0</v>
      </c>
      <c r="H69" s="33">
        <v>0</v>
      </c>
      <c r="I69" s="33">
        <v>0.19167600000000001</v>
      </c>
      <c r="J69" s="33">
        <v>0</v>
      </c>
      <c r="K69" s="33">
        <v>0.19167600000000001</v>
      </c>
      <c r="M69" s="33">
        <v>20.551676</v>
      </c>
      <c r="O69" s="34">
        <v>0.80070241399324205</v>
      </c>
      <c r="Y69" s="34">
        <v>0.81414850939960204</v>
      </c>
      <c r="AI69" s="12"/>
      <c r="AJ69">
        <f t="shared" si="6"/>
        <v>0</v>
      </c>
      <c r="AK69">
        <f t="shared" si="7"/>
        <v>1</v>
      </c>
      <c r="AL69">
        <f t="shared" si="14"/>
        <v>0</v>
      </c>
      <c r="AM69">
        <f t="shared" si="4"/>
        <v>1</v>
      </c>
      <c r="AN69">
        <f t="shared" si="15"/>
        <v>0</v>
      </c>
      <c r="AO69" s="28">
        <f t="shared" si="8"/>
        <v>0</v>
      </c>
      <c r="AP69" s="28">
        <f t="shared" si="9"/>
        <v>0</v>
      </c>
      <c r="AQ69" s="28">
        <f t="shared" si="16"/>
        <v>0</v>
      </c>
      <c r="AR69" s="29">
        <f t="shared" si="17"/>
        <v>0</v>
      </c>
      <c r="AT69" s="12"/>
      <c r="AU69">
        <f t="shared" si="10"/>
        <v>0</v>
      </c>
      <c r="AV69">
        <f t="shared" si="11"/>
        <v>1</v>
      </c>
      <c r="AW69">
        <f t="shared" si="18"/>
        <v>0</v>
      </c>
      <c r="AX69">
        <f t="shared" si="5"/>
        <v>1</v>
      </c>
      <c r="AY69">
        <f t="shared" si="19"/>
        <v>0</v>
      </c>
      <c r="AZ69" s="28">
        <f t="shared" si="12"/>
        <v>0</v>
      </c>
      <c r="BA69" s="28">
        <f t="shared" si="13"/>
        <v>0</v>
      </c>
      <c r="BB69" s="28">
        <f t="shared" si="20"/>
        <v>0</v>
      </c>
      <c r="BC69" s="29">
        <f t="shared" si="21"/>
        <v>0</v>
      </c>
      <c r="BE69" s="29">
        <f t="shared" si="22"/>
        <v>0</v>
      </c>
      <c r="BF69" s="29">
        <f t="shared" si="23"/>
        <v>0</v>
      </c>
      <c r="BH69" s="29"/>
    </row>
    <row r="70" spans="1:60" x14ac:dyDescent="0.25">
      <c r="A70" s="1">
        <v>46125</v>
      </c>
      <c r="C70" s="33">
        <v>20.39</v>
      </c>
      <c r="E70" s="15">
        <v>1.4723929040418499E-3</v>
      </c>
      <c r="F70" s="33">
        <v>0</v>
      </c>
      <c r="G70" s="33">
        <v>0</v>
      </c>
      <c r="H70" s="33">
        <v>0</v>
      </c>
      <c r="I70" s="33">
        <v>0.19167600000000001</v>
      </c>
      <c r="J70" s="33">
        <v>0</v>
      </c>
      <c r="K70" s="33">
        <v>0.19167600000000001</v>
      </c>
      <c r="M70" s="33">
        <v>20.581676000000002</v>
      </c>
      <c r="O70" s="34">
        <v>0.80070241399324205</v>
      </c>
      <c r="Y70" s="34">
        <v>0.81414850939960204</v>
      </c>
      <c r="AI70" s="12"/>
      <c r="AJ70">
        <f t="shared" si="6"/>
        <v>0</v>
      </c>
      <c r="AK70">
        <f t="shared" si="7"/>
        <v>1</v>
      </c>
      <c r="AL70">
        <f t="shared" si="14"/>
        <v>0</v>
      </c>
      <c r="AM70">
        <f t="shared" si="4"/>
        <v>1</v>
      </c>
      <c r="AN70">
        <f t="shared" si="15"/>
        <v>0</v>
      </c>
      <c r="AO70" s="28">
        <f t="shared" si="8"/>
        <v>0</v>
      </c>
      <c r="AP70" s="28">
        <f t="shared" si="9"/>
        <v>0</v>
      </c>
      <c r="AQ70" s="28">
        <f t="shared" si="16"/>
        <v>0</v>
      </c>
      <c r="AR70" s="29">
        <f t="shared" si="17"/>
        <v>0</v>
      </c>
      <c r="AT70" s="12"/>
      <c r="AU70">
        <f t="shared" si="10"/>
        <v>0</v>
      </c>
      <c r="AV70">
        <f t="shared" si="11"/>
        <v>1</v>
      </c>
      <c r="AW70">
        <f t="shared" si="18"/>
        <v>0</v>
      </c>
      <c r="AX70">
        <f t="shared" si="5"/>
        <v>1</v>
      </c>
      <c r="AY70">
        <f t="shared" si="19"/>
        <v>0</v>
      </c>
      <c r="AZ70" s="28">
        <f t="shared" si="12"/>
        <v>0</v>
      </c>
      <c r="BA70" s="28">
        <f t="shared" si="13"/>
        <v>0</v>
      </c>
      <c r="BB70" s="28">
        <f t="shared" si="20"/>
        <v>0</v>
      </c>
      <c r="BC70" s="29">
        <f t="shared" si="21"/>
        <v>0</v>
      </c>
      <c r="BE70" s="29">
        <f t="shared" si="22"/>
        <v>0</v>
      </c>
      <c r="BF70" s="29">
        <f t="shared" si="23"/>
        <v>0</v>
      </c>
      <c r="BH70" s="29"/>
    </row>
    <row r="71" spans="1:60" x14ac:dyDescent="0.25">
      <c r="A71" s="1">
        <v>46126</v>
      </c>
      <c r="C71" s="33">
        <v>20.43</v>
      </c>
      <c r="E71" s="15">
        <v>1.9598242431668801E-3</v>
      </c>
      <c r="F71" s="33">
        <v>0</v>
      </c>
      <c r="G71" s="33">
        <v>0</v>
      </c>
      <c r="H71" s="33">
        <v>0</v>
      </c>
      <c r="I71" s="33">
        <v>0.19167600000000001</v>
      </c>
      <c r="J71" s="33">
        <v>0</v>
      </c>
      <c r="K71" s="33">
        <v>0.19167600000000001</v>
      </c>
      <c r="M71" s="33">
        <v>20.621676000000001</v>
      </c>
      <c r="O71" s="34">
        <v>0.80070241399324205</v>
      </c>
      <c r="Y71" s="34">
        <v>0.81414850939960204</v>
      </c>
      <c r="AI71" s="12"/>
      <c r="AJ71">
        <f t="shared" si="6"/>
        <v>0</v>
      </c>
      <c r="AK71">
        <f t="shared" si="7"/>
        <v>1</v>
      </c>
      <c r="AL71">
        <f t="shared" si="14"/>
        <v>0</v>
      </c>
      <c r="AM71">
        <f t="shared" si="4"/>
        <v>1</v>
      </c>
      <c r="AN71">
        <f t="shared" si="15"/>
        <v>0</v>
      </c>
      <c r="AO71" s="28">
        <f t="shared" si="8"/>
        <v>0</v>
      </c>
      <c r="AP71" s="28">
        <f t="shared" si="9"/>
        <v>0</v>
      </c>
      <c r="AQ71" s="28">
        <f t="shared" si="16"/>
        <v>0</v>
      </c>
      <c r="AR71" s="29">
        <f t="shared" si="17"/>
        <v>0</v>
      </c>
      <c r="AT71" s="12"/>
      <c r="AU71">
        <f t="shared" si="10"/>
        <v>0</v>
      </c>
      <c r="AV71">
        <f t="shared" si="11"/>
        <v>1</v>
      </c>
      <c r="AW71">
        <f t="shared" si="18"/>
        <v>0</v>
      </c>
      <c r="AX71">
        <f t="shared" si="5"/>
        <v>1</v>
      </c>
      <c r="AY71">
        <f t="shared" si="19"/>
        <v>0</v>
      </c>
      <c r="AZ71" s="28">
        <f t="shared" si="12"/>
        <v>0</v>
      </c>
      <c r="BA71" s="28">
        <f t="shared" si="13"/>
        <v>0</v>
      </c>
      <c r="BB71" s="28">
        <f t="shared" si="20"/>
        <v>0</v>
      </c>
      <c r="BC71" s="29">
        <f t="shared" si="21"/>
        <v>0</v>
      </c>
      <c r="BE71" s="29">
        <f t="shared" si="22"/>
        <v>0</v>
      </c>
      <c r="BF71" s="29">
        <f t="shared" si="23"/>
        <v>0</v>
      </c>
      <c r="BH71" s="29"/>
    </row>
    <row r="72" spans="1:60" x14ac:dyDescent="0.25">
      <c r="A72" s="1">
        <v>46127</v>
      </c>
      <c r="C72" s="33">
        <v>20.41</v>
      </c>
      <c r="E72" s="15">
        <v>-9.7943200777723493E-4</v>
      </c>
      <c r="F72" s="33">
        <v>0</v>
      </c>
      <c r="G72" s="33">
        <v>0</v>
      </c>
      <c r="H72" s="33">
        <v>0</v>
      </c>
      <c r="I72" s="33">
        <v>0.19167600000000001</v>
      </c>
      <c r="J72" s="33">
        <v>0</v>
      </c>
      <c r="K72" s="33">
        <v>0.19167600000000001</v>
      </c>
      <c r="M72" s="33">
        <v>20.601676000000001</v>
      </c>
      <c r="O72" s="34">
        <v>0.80070241399324205</v>
      </c>
      <c r="Y72" s="34">
        <v>0.81414850939960204</v>
      </c>
      <c r="AI72" s="12"/>
      <c r="AJ72">
        <f t="shared" si="6"/>
        <v>0</v>
      </c>
      <c r="AK72">
        <f t="shared" si="7"/>
        <v>1</v>
      </c>
      <c r="AL72">
        <f t="shared" si="14"/>
        <v>0</v>
      </c>
      <c r="AM72">
        <f t="shared" si="4"/>
        <v>1</v>
      </c>
      <c r="AN72">
        <f t="shared" si="15"/>
        <v>0</v>
      </c>
      <c r="AO72" s="28">
        <f t="shared" si="8"/>
        <v>0</v>
      </c>
      <c r="AP72" s="28">
        <f t="shared" si="9"/>
        <v>0</v>
      </c>
      <c r="AQ72" s="28">
        <f t="shared" si="16"/>
        <v>0</v>
      </c>
      <c r="AR72" s="29">
        <f t="shared" si="17"/>
        <v>0</v>
      </c>
      <c r="AT72" s="12"/>
      <c r="AU72">
        <f t="shared" si="10"/>
        <v>0</v>
      </c>
      <c r="AV72">
        <f t="shared" si="11"/>
        <v>1</v>
      </c>
      <c r="AW72">
        <f t="shared" si="18"/>
        <v>0</v>
      </c>
      <c r="AX72">
        <f t="shared" si="5"/>
        <v>1</v>
      </c>
      <c r="AY72">
        <f t="shared" si="19"/>
        <v>0</v>
      </c>
      <c r="AZ72" s="28">
        <f t="shared" si="12"/>
        <v>0</v>
      </c>
      <c r="BA72" s="28">
        <f t="shared" si="13"/>
        <v>0</v>
      </c>
      <c r="BB72" s="28">
        <f t="shared" si="20"/>
        <v>0</v>
      </c>
      <c r="BC72" s="29">
        <f t="shared" si="21"/>
        <v>0</v>
      </c>
      <c r="BE72" s="29">
        <f t="shared" si="22"/>
        <v>0</v>
      </c>
      <c r="BF72" s="29">
        <f t="shared" si="23"/>
        <v>0</v>
      </c>
      <c r="BH72" s="29"/>
    </row>
    <row r="73" spans="1:60" x14ac:dyDescent="0.25">
      <c r="A73" s="1">
        <v>46128</v>
      </c>
      <c r="C73" s="33">
        <v>20.39</v>
      </c>
      <c r="E73" s="15">
        <v>-9.8039223538954907E-4</v>
      </c>
      <c r="F73" s="33">
        <v>0</v>
      </c>
      <c r="G73" s="33">
        <v>0</v>
      </c>
      <c r="H73" s="33">
        <v>0</v>
      </c>
      <c r="I73" s="33">
        <v>0.19167600000000001</v>
      </c>
      <c r="J73" s="33">
        <v>0</v>
      </c>
      <c r="K73" s="33">
        <v>0.19167600000000001</v>
      </c>
      <c r="M73" s="33">
        <v>20.581676000000002</v>
      </c>
      <c r="O73" s="34">
        <v>0.80070241399324205</v>
      </c>
      <c r="Y73" s="34">
        <v>0.81414850939960204</v>
      </c>
      <c r="AI73" s="12"/>
      <c r="AJ73">
        <f t="shared" si="6"/>
        <v>0</v>
      </c>
      <c r="AK73">
        <f t="shared" si="7"/>
        <v>1</v>
      </c>
      <c r="AL73">
        <f t="shared" si="14"/>
        <v>0</v>
      </c>
      <c r="AM73">
        <f t="shared" si="4"/>
        <v>1</v>
      </c>
      <c r="AN73">
        <f t="shared" si="15"/>
        <v>0</v>
      </c>
      <c r="AO73" s="28">
        <f t="shared" si="8"/>
        <v>0</v>
      </c>
      <c r="AP73" s="28">
        <f t="shared" si="9"/>
        <v>0</v>
      </c>
      <c r="AQ73" s="28">
        <f t="shared" si="16"/>
        <v>0</v>
      </c>
      <c r="AR73" s="29">
        <f t="shared" si="17"/>
        <v>0</v>
      </c>
      <c r="AT73" s="12"/>
      <c r="AU73">
        <f t="shared" si="10"/>
        <v>0</v>
      </c>
      <c r="AV73">
        <f t="shared" si="11"/>
        <v>1</v>
      </c>
      <c r="AW73">
        <f t="shared" si="18"/>
        <v>0</v>
      </c>
      <c r="AX73">
        <f t="shared" si="5"/>
        <v>1</v>
      </c>
      <c r="AY73">
        <f t="shared" si="19"/>
        <v>0</v>
      </c>
      <c r="AZ73" s="28">
        <f t="shared" si="12"/>
        <v>0</v>
      </c>
      <c r="BA73" s="28">
        <f t="shared" si="13"/>
        <v>0</v>
      </c>
      <c r="BB73" s="28">
        <f t="shared" si="20"/>
        <v>0</v>
      </c>
      <c r="BC73" s="29">
        <f t="shared" si="21"/>
        <v>0</v>
      </c>
      <c r="BE73" s="29">
        <f t="shared" si="22"/>
        <v>0</v>
      </c>
      <c r="BF73" s="29">
        <f t="shared" si="23"/>
        <v>0</v>
      </c>
      <c r="BH73" s="29"/>
    </row>
    <row r="74" spans="1:60" x14ac:dyDescent="0.25">
      <c r="A74" s="1">
        <v>46129</v>
      </c>
      <c r="C74" s="33">
        <v>20.46</v>
      </c>
      <c r="E74" s="15">
        <v>3.4271759371165599E-3</v>
      </c>
      <c r="F74" s="33">
        <v>0</v>
      </c>
      <c r="G74" s="33">
        <v>0</v>
      </c>
      <c r="H74" s="33">
        <v>0</v>
      </c>
      <c r="I74" s="33">
        <v>0.19167600000000001</v>
      </c>
      <c r="J74" s="33">
        <v>0</v>
      </c>
      <c r="K74" s="33">
        <v>0.19167600000000001</v>
      </c>
      <c r="M74" s="33">
        <v>20.651675999999998</v>
      </c>
      <c r="O74" s="34">
        <v>0.80070241399324205</v>
      </c>
      <c r="Y74" s="34">
        <v>0.81414850939960204</v>
      </c>
      <c r="AI74" s="12"/>
      <c r="AJ74">
        <f t="shared" si="6"/>
        <v>0</v>
      </c>
      <c r="AK74">
        <f t="shared" si="7"/>
        <v>1</v>
      </c>
      <c r="AL74">
        <f t="shared" si="14"/>
        <v>0</v>
      </c>
      <c r="AM74">
        <f t="shared" si="4"/>
        <v>1</v>
      </c>
      <c r="AN74">
        <f t="shared" si="15"/>
        <v>0</v>
      </c>
      <c r="AO74" s="28">
        <f t="shared" si="8"/>
        <v>0</v>
      </c>
      <c r="AP74" s="28">
        <f t="shared" si="9"/>
        <v>0</v>
      </c>
      <c r="AQ74" s="28">
        <f t="shared" si="16"/>
        <v>0</v>
      </c>
      <c r="AR74" s="29">
        <f t="shared" si="17"/>
        <v>0</v>
      </c>
      <c r="AT74" s="12"/>
      <c r="AU74">
        <f t="shared" si="10"/>
        <v>0</v>
      </c>
      <c r="AV74">
        <f t="shared" si="11"/>
        <v>1</v>
      </c>
      <c r="AW74">
        <f t="shared" si="18"/>
        <v>0</v>
      </c>
      <c r="AX74">
        <f t="shared" si="5"/>
        <v>1</v>
      </c>
      <c r="AY74">
        <f t="shared" si="19"/>
        <v>0</v>
      </c>
      <c r="AZ74" s="28">
        <f t="shared" si="12"/>
        <v>0</v>
      </c>
      <c r="BA74" s="28">
        <f t="shared" si="13"/>
        <v>0</v>
      </c>
      <c r="BB74" s="28">
        <f t="shared" si="20"/>
        <v>0</v>
      </c>
      <c r="BC74" s="29">
        <f t="shared" si="21"/>
        <v>0</v>
      </c>
      <c r="BE74" s="29">
        <f t="shared" si="22"/>
        <v>0</v>
      </c>
      <c r="BF74" s="29">
        <f t="shared" si="23"/>
        <v>0</v>
      </c>
      <c r="BH74" s="29"/>
    </row>
    <row r="75" spans="1:60" x14ac:dyDescent="0.25">
      <c r="A75" s="1">
        <v>46132</v>
      </c>
      <c r="C75" s="33">
        <v>20.46</v>
      </c>
      <c r="E75" s="15">
        <v>0</v>
      </c>
      <c r="F75" s="33">
        <v>0</v>
      </c>
      <c r="G75" s="33">
        <v>0</v>
      </c>
      <c r="H75" s="33">
        <v>0</v>
      </c>
      <c r="I75" s="33">
        <v>0.19167600000000001</v>
      </c>
      <c r="J75" s="33">
        <v>0</v>
      </c>
      <c r="K75" s="33">
        <v>0.19167600000000001</v>
      </c>
      <c r="M75" s="33">
        <v>20.651675999999998</v>
      </c>
      <c r="O75" s="34">
        <v>0.80070241399324205</v>
      </c>
      <c r="Y75" s="34">
        <v>0.81414850939960204</v>
      </c>
      <c r="AI75" s="12"/>
      <c r="AJ75">
        <f t="shared" si="6"/>
        <v>0</v>
      </c>
      <c r="AK75">
        <f t="shared" si="7"/>
        <v>1</v>
      </c>
      <c r="AL75">
        <f t="shared" si="14"/>
        <v>0</v>
      </c>
      <c r="AM75">
        <f t="shared" si="4"/>
        <v>1</v>
      </c>
      <c r="AN75">
        <f t="shared" si="15"/>
        <v>0</v>
      </c>
      <c r="AO75" s="28">
        <f t="shared" si="8"/>
        <v>0</v>
      </c>
      <c r="AP75" s="28">
        <f t="shared" si="9"/>
        <v>0</v>
      </c>
      <c r="AQ75" s="28">
        <f t="shared" si="16"/>
        <v>0</v>
      </c>
      <c r="AR75" s="29">
        <f t="shared" si="17"/>
        <v>0</v>
      </c>
      <c r="AT75" s="12"/>
      <c r="AU75">
        <f t="shared" si="10"/>
        <v>0</v>
      </c>
      <c r="AV75">
        <f t="shared" si="11"/>
        <v>1</v>
      </c>
      <c r="AW75">
        <f t="shared" si="18"/>
        <v>0</v>
      </c>
      <c r="AX75">
        <f t="shared" si="5"/>
        <v>1</v>
      </c>
      <c r="AY75">
        <f t="shared" si="19"/>
        <v>0</v>
      </c>
      <c r="AZ75" s="28">
        <f t="shared" si="12"/>
        <v>0</v>
      </c>
      <c r="BA75" s="28">
        <f t="shared" si="13"/>
        <v>0</v>
      </c>
      <c r="BB75" s="28">
        <f t="shared" si="20"/>
        <v>0</v>
      </c>
      <c r="BC75" s="29">
        <f t="shared" si="21"/>
        <v>0</v>
      </c>
      <c r="BE75" s="29">
        <f t="shared" si="22"/>
        <v>0</v>
      </c>
      <c r="BF75" s="29">
        <f t="shared" si="23"/>
        <v>0</v>
      </c>
      <c r="BH75" s="29"/>
    </row>
    <row r="76" spans="1:60" x14ac:dyDescent="0.25">
      <c r="A76" s="1">
        <v>46133</v>
      </c>
      <c r="C76" s="33">
        <v>20.39</v>
      </c>
      <c r="E76" s="15">
        <v>-3.4271759371166102E-3</v>
      </c>
      <c r="F76" s="33">
        <v>0</v>
      </c>
      <c r="G76" s="33">
        <v>0</v>
      </c>
      <c r="H76" s="33">
        <v>0</v>
      </c>
      <c r="I76" s="33">
        <v>0.19167600000000001</v>
      </c>
      <c r="J76" s="33">
        <v>0</v>
      </c>
      <c r="K76" s="33">
        <v>0.19167600000000001</v>
      </c>
      <c r="M76" s="33">
        <v>20.581676000000002</v>
      </c>
      <c r="O76" s="34">
        <v>0.80070241399324205</v>
      </c>
      <c r="Y76" s="34">
        <v>0.81414850939960204</v>
      </c>
      <c r="AI76" s="12"/>
      <c r="AJ76">
        <f t="shared" si="6"/>
        <v>0</v>
      </c>
      <c r="AK76">
        <f t="shared" si="7"/>
        <v>1</v>
      </c>
      <c r="AL76">
        <f t="shared" si="14"/>
        <v>0</v>
      </c>
      <c r="AM76">
        <f t="shared" si="4"/>
        <v>1</v>
      </c>
      <c r="AN76">
        <f t="shared" si="15"/>
        <v>0</v>
      </c>
      <c r="AO76" s="28">
        <f t="shared" si="8"/>
        <v>0</v>
      </c>
      <c r="AP76" s="28">
        <f t="shared" si="9"/>
        <v>0</v>
      </c>
      <c r="AQ76" s="28">
        <f t="shared" si="16"/>
        <v>0</v>
      </c>
      <c r="AR76" s="29">
        <f t="shared" si="17"/>
        <v>0</v>
      </c>
      <c r="AT76" s="12"/>
      <c r="AU76">
        <f t="shared" si="10"/>
        <v>0</v>
      </c>
      <c r="AV76">
        <f t="shared" si="11"/>
        <v>1</v>
      </c>
      <c r="AW76">
        <f t="shared" si="18"/>
        <v>0</v>
      </c>
      <c r="AX76">
        <f t="shared" si="5"/>
        <v>1</v>
      </c>
      <c r="AY76">
        <f t="shared" si="19"/>
        <v>0</v>
      </c>
      <c r="AZ76" s="28">
        <f t="shared" si="12"/>
        <v>0</v>
      </c>
      <c r="BA76" s="28">
        <f t="shared" si="13"/>
        <v>0</v>
      </c>
      <c r="BB76" s="28">
        <f t="shared" si="20"/>
        <v>0</v>
      </c>
      <c r="BC76" s="29">
        <f t="shared" si="21"/>
        <v>0</v>
      </c>
      <c r="BE76" s="29">
        <f t="shared" si="22"/>
        <v>0</v>
      </c>
      <c r="BF76" s="29">
        <f t="shared" si="23"/>
        <v>0</v>
      </c>
      <c r="BH76" s="29"/>
    </row>
    <row r="77" spans="1:60" x14ac:dyDescent="0.25">
      <c r="A77" s="1">
        <v>46134</v>
      </c>
      <c r="C77" s="33">
        <v>20.39</v>
      </c>
      <c r="E77" s="15">
        <v>0</v>
      </c>
      <c r="F77" s="33">
        <v>0</v>
      </c>
      <c r="G77" s="33">
        <v>0</v>
      </c>
      <c r="H77" s="33">
        <v>0</v>
      </c>
      <c r="I77" s="33">
        <v>0.19167600000000001</v>
      </c>
      <c r="J77" s="33">
        <v>0</v>
      </c>
      <c r="K77" s="33">
        <v>0.19167600000000001</v>
      </c>
      <c r="M77" s="33">
        <v>20.581676000000002</v>
      </c>
      <c r="O77" s="34">
        <v>0.80070241399324205</v>
      </c>
      <c r="Y77" s="34">
        <v>0.81414850939960204</v>
      </c>
      <c r="AI77" s="12"/>
      <c r="AJ77">
        <f t="shared" si="6"/>
        <v>0</v>
      </c>
      <c r="AK77">
        <f t="shared" si="7"/>
        <v>1</v>
      </c>
      <c r="AL77">
        <f t="shared" si="14"/>
        <v>0</v>
      </c>
      <c r="AM77">
        <f t="shared" si="4"/>
        <v>1</v>
      </c>
      <c r="AN77">
        <f t="shared" si="15"/>
        <v>0</v>
      </c>
      <c r="AO77" s="28">
        <f t="shared" si="8"/>
        <v>0</v>
      </c>
      <c r="AP77" s="28">
        <f t="shared" si="9"/>
        <v>0</v>
      </c>
      <c r="AQ77" s="28">
        <f t="shared" si="16"/>
        <v>0</v>
      </c>
      <c r="AR77" s="29">
        <f t="shared" si="17"/>
        <v>0</v>
      </c>
      <c r="AT77" s="12"/>
      <c r="AU77">
        <f t="shared" si="10"/>
        <v>0</v>
      </c>
      <c r="AV77">
        <f t="shared" si="11"/>
        <v>1</v>
      </c>
      <c r="AW77">
        <f t="shared" si="18"/>
        <v>0</v>
      </c>
      <c r="AX77">
        <f t="shared" si="5"/>
        <v>1</v>
      </c>
      <c r="AY77">
        <f t="shared" si="19"/>
        <v>0</v>
      </c>
      <c r="AZ77" s="28">
        <f t="shared" si="12"/>
        <v>0</v>
      </c>
      <c r="BA77" s="28">
        <f t="shared" si="13"/>
        <v>0</v>
      </c>
      <c r="BB77" s="28">
        <f t="shared" si="20"/>
        <v>0</v>
      </c>
      <c r="BC77" s="29">
        <f t="shared" si="21"/>
        <v>0</v>
      </c>
      <c r="BE77" s="29">
        <f t="shared" si="22"/>
        <v>0</v>
      </c>
      <c r="BF77" s="29">
        <f t="shared" si="23"/>
        <v>0</v>
      </c>
      <c r="BH77" s="29"/>
    </row>
    <row r="78" spans="1:60" x14ac:dyDescent="0.25">
      <c r="A78" s="1">
        <v>46135</v>
      </c>
      <c r="C78" s="33">
        <v>20.38</v>
      </c>
      <c r="E78" s="15">
        <v>-4.9055679178510901E-4</v>
      </c>
      <c r="F78" s="33">
        <v>0</v>
      </c>
      <c r="G78" s="33">
        <v>0</v>
      </c>
      <c r="H78" s="33">
        <v>0</v>
      </c>
      <c r="I78" s="33">
        <v>0.19167600000000001</v>
      </c>
      <c r="J78" s="33">
        <v>0</v>
      </c>
      <c r="K78" s="33">
        <v>0.19167600000000001</v>
      </c>
      <c r="M78" s="33">
        <v>20.571676</v>
      </c>
      <c r="O78" s="34">
        <v>0.80070241399324205</v>
      </c>
      <c r="Y78" s="34">
        <v>0.81414850939960204</v>
      </c>
      <c r="AI78" s="12"/>
      <c r="AJ78">
        <f t="shared" si="6"/>
        <v>0</v>
      </c>
      <c r="AK78">
        <f t="shared" si="7"/>
        <v>1</v>
      </c>
      <c r="AL78">
        <f t="shared" si="14"/>
        <v>0</v>
      </c>
      <c r="AM78">
        <f t="shared" si="4"/>
        <v>1</v>
      </c>
      <c r="AN78">
        <f t="shared" si="15"/>
        <v>0</v>
      </c>
      <c r="AO78" s="28">
        <f t="shared" si="8"/>
        <v>0</v>
      </c>
      <c r="AP78" s="28">
        <f t="shared" si="9"/>
        <v>0</v>
      </c>
      <c r="AQ78" s="28">
        <f t="shared" si="16"/>
        <v>0</v>
      </c>
      <c r="AR78" s="29">
        <f t="shared" si="17"/>
        <v>0</v>
      </c>
      <c r="AT78" s="12"/>
      <c r="AU78">
        <f t="shared" si="10"/>
        <v>0</v>
      </c>
      <c r="AV78">
        <f t="shared" si="11"/>
        <v>1</v>
      </c>
      <c r="AW78">
        <f t="shared" si="18"/>
        <v>0</v>
      </c>
      <c r="AX78">
        <f t="shared" si="5"/>
        <v>1</v>
      </c>
      <c r="AY78">
        <f t="shared" si="19"/>
        <v>0</v>
      </c>
      <c r="AZ78" s="28">
        <f t="shared" si="12"/>
        <v>0</v>
      </c>
      <c r="BA78" s="28">
        <f t="shared" si="13"/>
        <v>0</v>
      </c>
      <c r="BB78" s="28">
        <f t="shared" si="20"/>
        <v>0</v>
      </c>
      <c r="BC78" s="29">
        <f t="shared" si="21"/>
        <v>0</v>
      </c>
      <c r="BE78" s="29">
        <f t="shared" si="22"/>
        <v>0</v>
      </c>
      <c r="BF78" s="29">
        <f t="shared" si="23"/>
        <v>0</v>
      </c>
      <c r="BH78" s="29"/>
    </row>
    <row r="79" spans="1:60" x14ac:dyDescent="0.25">
      <c r="A79" s="1">
        <v>46136</v>
      </c>
      <c r="C79" s="33">
        <v>20.41</v>
      </c>
      <c r="E79" s="15">
        <v>1.4709490271748E-3</v>
      </c>
      <c r="F79" s="33">
        <v>0</v>
      </c>
      <c r="G79" s="33">
        <v>0</v>
      </c>
      <c r="H79" s="33">
        <v>0</v>
      </c>
      <c r="I79" s="33">
        <v>0.19167600000000001</v>
      </c>
      <c r="J79" s="33">
        <v>0</v>
      </c>
      <c r="K79" s="33">
        <v>0.19167600000000001</v>
      </c>
      <c r="M79" s="33">
        <v>20.601676000000001</v>
      </c>
      <c r="O79" s="34">
        <v>0.80070241399324205</v>
      </c>
      <c r="Y79" s="34">
        <v>0.81414850939960204</v>
      </c>
      <c r="AI79" s="12"/>
      <c r="AJ79">
        <f t="shared" si="6"/>
        <v>0</v>
      </c>
      <c r="AK79">
        <f t="shared" si="7"/>
        <v>1</v>
      </c>
      <c r="AL79">
        <f t="shared" si="14"/>
        <v>0</v>
      </c>
      <c r="AM79">
        <f t="shared" si="4"/>
        <v>1</v>
      </c>
      <c r="AN79">
        <f t="shared" si="15"/>
        <v>0</v>
      </c>
      <c r="AO79" s="28">
        <f t="shared" si="8"/>
        <v>0</v>
      </c>
      <c r="AP79" s="28">
        <f t="shared" si="9"/>
        <v>0</v>
      </c>
      <c r="AQ79" s="28">
        <f t="shared" si="16"/>
        <v>0</v>
      </c>
      <c r="AR79" s="29">
        <f t="shared" si="17"/>
        <v>0</v>
      </c>
      <c r="AT79" s="12"/>
      <c r="AU79">
        <f t="shared" si="10"/>
        <v>0</v>
      </c>
      <c r="AV79">
        <f t="shared" si="11"/>
        <v>1</v>
      </c>
      <c r="AW79">
        <f t="shared" si="18"/>
        <v>0</v>
      </c>
      <c r="AX79">
        <f t="shared" si="5"/>
        <v>1</v>
      </c>
      <c r="AY79">
        <f t="shared" si="19"/>
        <v>0</v>
      </c>
      <c r="AZ79" s="28">
        <f t="shared" si="12"/>
        <v>0</v>
      </c>
      <c r="BA79" s="28">
        <f t="shared" si="13"/>
        <v>0</v>
      </c>
      <c r="BB79" s="28">
        <f t="shared" si="20"/>
        <v>0</v>
      </c>
      <c r="BC79" s="29">
        <f t="shared" si="21"/>
        <v>0</v>
      </c>
      <c r="BE79" s="29">
        <f t="shared" si="22"/>
        <v>0</v>
      </c>
      <c r="BF79" s="29">
        <f t="shared" si="23"/>
        <v>0</v>
      </c>
      <c r="BH79" s="29"/>
    </row>
    <row r="80" spans="1:60" x14ac:dyDescent="0.25">
      <c r="A80" s="1">
        <v>46139</v>
      </c>
      <c r="C80" s="33">
        <v>20.39</v>
      </c>
      <c r="E80" s="15">
        <v>-9.8039223538954907E-4</v>
      </c>
      <c r="F80" s="33">
        <v>0</v>
      </c>
      <c r="G80" s="33">
        <v>0</v>
      </c>
      <c r="H80" s="33">
        <v>0</v>
      </c>
      <c r="I80" s="33">
        <v>0.19167600000000001</v>
      </c>
      <c r="J80" s="33">
        <v>0</v>
      </c>
      <c r="K80" s="33">
        <v>0.19167600000000001</v>
      </c>
      <c r="M80" s="33">
        <v>20.581676000000002</v>
      </c>
      <c r="O80" s="34">
        <v>0.80070241399324205</v>
      </c>
      <c r="Y80" s="34">
        <v>0.81414850939960204</v>
      </c>
      <c r="AI80" s="12"/>
      <c r="AJ80">
        <f t="shared" si="6"/>
        <v>0</v>
      </c>
      <c r="AK80">
        <f t="shared" si="7"/>
        <v>1</v>
      </c>
      <c r="AL80">
        <f t="shared" si="14"/>
        <v>0</v>
      </c>
      <c r="AM80">
        <f t="shared" si="4"/>
        <v>1</v>
      </c>
      <c r="AN80">
        <f t="shared" si="15"/>
        <v>0</v>
      </c>
      <c r="AO80" s="28">
        <f t="shared" si="8"/>
        <v>0</v>
      </c>
      <c r="AP80" s="28">
        <f t="shared" si="9"/>
        <v>0</v>
      </c>
      <c r="AQ80" s="28">
        <f t="shared" si="16"/>
        <v>0</v>
      </c>
      <c r="AR80" s="29">
        <f t="shared" si="17"/>
        <v>0</v>
      </c>
      <c r="AT80" s="12"/>
      <c r="AU80">
        <f t="shared" si="10"/>
        <v>0</v>
      </c>
      <c r="AV80">
        <f t="shared" si="11"/>
        <v>1</v>
      </c>
      <c r="AW80">
        <f t="shared" si="18"/>
        <v>0</v>
      </c>
      <c r="AX80">
        <f t="shared" si="5"/>
        <v>1</v>
      </c>
      <c r="AY80">
        <f t="shared" si="19"/>
        <v>0</v>
      </c>
      <c r="AZ80" s="28">
        <f t="shared" si="12"/>
        <v>0</v>
      </c>
      <c r="BA80" s="28">
        <f t="shared" si="13"/>
        <v>0</v>
      </c>
      <c r="BB80" s="28">
        <f t="shared" si="20"/>
        <v>0</v>
      </c>
      <c r="BC80" s="29">
        <f t="shared" si="21"/>
        <v>0</v>
      </c>
      <c r="BE80" s="29">
        <f t="shared" si="22"/>
        <v>0</v>
      </c>
      <c r="BF80" s="29">
        <f t="shared" si="23"/>
        <v>0</v>
      </c>
      <c r="BH80" s="29"/>
    </row>
    <row r="81" spans="1:60" x14ac:dyDescent="0.25">
      <c r="A81" s="1">
        <v>46140</v>
      </c>
      <c r="C81" s="33">
        <v>20.36</v>
      </c>
      <c r="E81" s="15">
        <v>-1.4723929040418699E-3</v>
      </c>
      <c r="F81" s="33">
        <v>0</v>
      </c>
      <c r="G81" s="33">
        <v>0</v>
      </c>
      <c r="H81" s="33">
        <v>0</v>
      </c>
      <c r="I81" s="33">
        <v>0.19167600000000001</v>
      </c>
      <c r="J81" s="33">
        <v>0</v>
      </c>
      <c r="K81" s="33">
        <v>0.19167600000000001</v>
      </c>
      <c r="M81" s="33">
        <v>20.551676</v>
      </c>
      <c r="O81" s="34">
        <v>0.80070241399324205</v>
      </c>
      <c r="Y81" s="34">
        <v>0.81414850939960204</v>
      </c>
      <c r="AI81" s="12"/>
      <c r="AJ81">
        <f t="shared" si="6"/>
        <v>0</v>
      </c>
      <c r="AK81">
        <f t="shared" si="7"/>
        <v>1</v>
      </c>
      <c r="AL81">
        <f t="shared" si="14"/>
        <v>0</v>
      </c>
      <c r="AM81">
        <f t="shared" si="4"/>
        <v>1</v>
      </c>
      <c r="AN81">
        <f t="shared" si="15"/>
        <v>0</v>
      </c>
      <c r="AO81" s="28">
        <f t="shared" si="8"/>
        <v>0</v>
      </c>
      <c r="AP81" s="28">
        <f t="shared" si="9"/>
        <v>0</v>
      </c>
      <c r="AQ81" s="28">
        <f t="shared" si="16"/>
        <v>0</v>
      </c>
      <c r="AR81" s="29">
        <f t="shared" si="17"/>
        <v>0</v>
      </c>
      <c r="AT81" s="12"/>
      <c r="AU81">
        <f t="shared" si="10"/>
        <v>0</v>
      </c>
      <c r="AV81">
        <f t="shared" si="11"/>
        <v>1</v>
      </c>
      <c r="AW81">
        <f t="shared" si="18"/>
        <v>0</v>
      </c>
      <c r="AX81">
        <f t="shared" si="5"/>
        <v>1</v>
      </c>
      <c r="AY81">
        <f t="shared" si="19"/>
        <v>0</v>
      </c>
      <c r="AZ81" s="28">
        <f t="shared" si="12"/>
        <v>0</v>
      </c>
      <c r="BA81" s="28">
        <f t="shared" si="13"/>
        <v>0</v>
      </c>
      <c r="BB81" s="28">
        <f t="shared" si="20"/>
        <v>0</v>
      </c>
      <c r="BC81" s="29">
        <f t="shared" si="21"/>
        <v>0</v>
      </c>
      <c r="BE81" s="29">
        <f t="shared" si="22"/>
        <v>0</v>
      </c>
      <c r="BF81" s="29">
        <f t="shared" si="23"/>
        <v>0</v>
      </c>
      <c r="BH81" s="29"/>
    </row>
    <row r="82" spans="1:60" x14ac:dyDescent="0.25">
      <c r="A82" s="1">
        <v>46141</v>
      </c>
      <c r="C82" s="33">
        <v>20.29</v>
      </c>
      <c r="E82" s="15">
        <v>-3.4440378445986298E-3</v>
      </c>
      <c r="F82" s="33">
        <v>0</v>
      </c>
      <c r="G82" s="33">
        <v>0</v>
      </c>
      <c r="H82" s="33">
        <v>0</v>
      </c>
      <c r="I82" s="33">
        <v>0.19167600000000001</v>
      </c>
      <c r="J82" s="33">
        <v>0</v>
      </c>
      <c r="K82" s="33">
        <v>0.19167600000000001</v>
      </c>
      <c r="M82" s="33">
        <v>20.481676</v>
      </c>
      <c r="O82" s="34">
        <v>0.80070241399324205</v>
      </c>
      <c r="Y82" s="34">
        <v>0.81414850939960204</v>
      </c>
      <c r="AI82" s="12"/>
      <c r="AJ82">
        <f t="shared" si="6"/>
        <v>0</v>
      </c>
      <c r="AK82">
        <f t="shared" si="7"/>
        <v>1</v>
      </c>
      <c r="AL82">
        <f t="shared" si="14"/>
        <v>0</v>
      </c>
      <c r="AM82">
        <f t="shared" si="4"/>
        <v>1</v>
      </c>
      <c r="AN82">
        <f t="shared" si="15"/>
        <v>0</v>
      </c>
      <c r="AO82" s="28">
        <f t="shared" si="8"/>
        <v>0</v>
      </c>
      <c r="AP82" s="28">
        <f t="shared" si="9"/>
        <v>0</v>
      </c>
      <c r="AQ82" s="28">
        <f t="shared" si="16"/>
        <v>0</v>
      </c>
      <c r="AR82" s="29">
        <f t="shared" si="17"/>
        <v>0</v>
      </c>
      <c r="AT82" s="12"/>
      <c r="AU82">
        <f t="shared" si="10"/>
        <v>0</v>
      </c>
      <c r="AV82">
        <f t="shared" si="11"/>
        <v>1</v>
      </c>
      <c r="AW82">
        <f t="shared" si="18"/>
        <v>0</v>
      </c>
      <c r="AX82">
        <f t="shared" si="5"/>
        <v>1</v>
      </c>
      <c r="AY82">
        <f t="shared" si="19"/>
        <v>0</v>
      </c>
      <c r="AZ82" s="28">
        <f t="shared" si="12"/>
        <v>0</v>
      </c>
      <c r="BA82" s="28">
        <f t="shared" si="13"/>
        <v>0</v>
      </c>
      <c r="BB82" s="28">
        <f t="shared" si="20"/>
        <v>0</v>
      </c>
      <c r="BC82" s="29">
        <f t="shared" si="21"/>
        <v>0</v>
      </c>
      <c r="BE82" s="29">
        <f t="shared" si="22"/>
        <v>0</v>
      </c>
      <c r="BF82" s="29">
        <f t="shared" si="23"/>
        <v>0</v>
      </c>
      <c r="BH82" s="29"/>
    </row>
    <row r="83" spans="1:60" x14ac:dyDescent="0.25">
      <c r="A83" s="1">
        <v>46142</v>
      </c>
      <c r="C83" s="33">
        <v>20.32</v>
      </c>
      <c r="E83" s="15">
        <v>1.47746887255776E-3</v>
      </c>
      <c r="F83" s="33">
        <v>0</v>
      </c>
      <c r="G83" s="33">
        <v>0</v>
      </c>
      <c r="H83" s="33">
        <v>0</v>
      </c>
      <c r="I83" s="33">
        <v>0.19167600000000001</v>
      </c>
      <c r="J83" s="33">
        <v>0</v>
      </c>
      <c r="K83" s="33">
        <v>0.19167600000000001</v>
      </c>
      <c r="M83" s="33">
        <v>20.511676000000001</v>
      </c>
      <c r="O83" s="34">
        <v>0.80070241399324205</v>
      </c>
      <c r="Y83" s="34">
        <v>0.81414850939960204</v>
      </c>
      <c r="AI83" s="12"/>
      <c r="AJ83">
        <f t="shared" si="6"/>
        <v>0</v>
      </c>
      <c r="AK83">
        <f t="shared" si="7"/>
        <v>1</v>
      </c>
      <c r="AL83">
        <f t="shared" si="14"/>
        <v>0</v>
      </c>
      <c r="AM83">
        <f t="shared" si="4"/>
        <v>0</v>
      </c>
      <c r="AN83">
        <f t="shared" si="15"/>
        <v>0</v>
      </c>
      <c r="AO83" s="28">
        <f t="shared" si="8"/>
        <v>0</v>
      </c>
      <c r="AP83" s="28">
        <f t="shared" si="9"/>
        <v>0</v>
      </c>
      <c r="AQ83" s="28">
        <f t="shared" si="16"/>
        <v>0</v>
      </c>
      <c r="AR83" s="29">
        <f t="shared" si="17"/>
        <v>0</v>
      </c>
      <c r="AT83" s="12"/>
      <c r="AU83">
        <f t="shared" si="10"/>
        <v>0</v>
      </c>
      <c r="AV83">
        <f t="shared" si="11"/>
        <v>1</v>
      </c>
      <c r="AW83">
        <f t="shared" si="18"/>
        <v>0</v>
      </c>
      <c r="AX83">
        <f t="shared" si="5"/>
        <v>0</v>
      </c>
      <c r="AY83">
        <f t="shared" si="19"/>
        <v>0</v>
      </c>
      <c r="AZ83" s="28">
        <f t="shared" si="12"/>
        <v>0</v>
      </c>
      <c r="BA83" s="28">
        <f t="shared" si="13"/>
        <v>0</v>
      </c>
      <c r="BB83" s="28">
        <f t="shared" si="20"/>
        <v>0</v>
      </c>
      <c r="BC83" s="29">
        <f t="shared" si="21"/>
        <v>0</v>
      </c>
      <c r="BE83" s="29">
        <f t="shared" si="22"/>
        <v>0</v>
      </c>
      <c r="BF83" s="29">
        <f t="shared" si="23"/>
        <v>0</v>
      </c>
      <c r="BH83" s="29"/>
    </row>
    <row r="84" spans="1:60" x14ac:dyDescent="0.25">
      <c r="A84" s="1">
        <v>46143</v>
      </c>
      <c r="C84" s="33">
        <v>20.27</v>
      </c>
      <c r="E84" s="15">
        <v>-2.4636622463724699E-3</v>
      </c>
      <c r="F84" s="33">
        <v>0</v>
      </c>
      <c r="G84" s="33">
        <v>0</v>
      </c>
      <c r="H84" s="33">
        <v>6.5906000000000006E-2</v>
      </c>
      <c r="I84" s="33">
        <v>0.25758199999999998</v>
      </c>
      <c r="J84" s="33">
        <v>0</v>
      </c>
      <c r="K84" s="33">
        <v>0.25758199999999998</v>
      </c>
      <c r="M84" s="33">
        <v>20.527581999999999</v>
      </c>
      <c r="O84" s="34">
        <v>0.80070241399324205</v>
      </c>
      <c r="Y84" s="34">
        <v>0.81414850939960204</v>
      </c>
      <c r="AI84" s="12"/>
      <c r="AJ84">
        <f t="shared" si="6"/>
        <v>0</v>
      </c>
      <c r="AK84">
        <f t="shared" si="7"/>
        <v>1</v>
      </c>
      <c r="AL84">
        <f t="shared" si="14"/>
        <v>0</v>
      </c>
      <c r="AM84">
        <f t="shared" si="4"/>
        <v>1</v>
      </c>
      <c r="AN84">
        <f t="shared" si="15"/>
        <v>0</v>
      </c>
      <c r="AO84" s="28">
        <f t="shared" si="8"/>
        <v>0</v>
      </c>
      <c r="AP84" s="28">
        <f t="shared" si="9"/>
        <v>0</v>
      </c>
      <c r="AQ84" s="28">
        <f t="shared" si="16"/>
        <v>0</v>
      </c>
      <c r="AR84" s="29">
        <f t="shared" si="17"/>
        <v>0</v>
      </c>
      <c r="AT84" s="12"/>
      <c r="AU84">
        <f t="shared" si="10"/>
        <v>0</v>
      </c>
      <c r="AV84">
        <f t="shared" si="11"/>
        <v>1</v>
      </c>
      <c r="AW84">
        <f t="shared" si="18"/>
        <v>0</v>
      </c>
      <c r="AX84">
        <f t="shared" si="5"/>
        <v>1</v>
      </c>
      <c r="AY84">
        <f t="shared" si="19"/>
        <v>0</v>
      </c>
      <c r="AZ84" s="28">
        <f t="shared" si="12"/>
        <v>0</v>
      </c>
      <c r="BA84" s="28">
        <f t="shared" si="13"/>
        <v>0</v>
      </c>
      <c r="BB84" s="28">
        <f t="shared" si="20"/>
        <v>0</v>
      </c>
      <c r="BC84" s="29">
        <f t="shared" si="21"/>
        <v>0</v>
      </c>
      <c r="BE84" s="29">
        <f t="shared" si="22"/>
        <v>0</v>
      </c>
      <c r="BF84" s="29">
        <f t="shared" si="23"/>
        <v>0</v>
      </c>
      <c r="BH84" s="29"/>
    </row>
    <row r="85" spans="1:60" x14ac:dyDescent="0.25">
      <c r="A85" s="1">
        <v>46146</v>
      </c>
      <c r="C85" s="33">
        <v>20.21</v>
      </c>
      <c r="E85" s="15">
        <v>-2.96442904837893E-3</v>
      </c>
      <c r="F85" s="33">
        <v>0</v>
      </c>
      <c r="G85" s="33">
        <v>0</v>
      </c>
      <c r="H85" s="33">
        <v>0</v>
      </c>
      <c r="I85" s="33">
        <v>0.25758199999999998</v>
      </c>
      <c r="J85" s="33">
        <v>0</v>
      </c>
      <c r="K85" s="33">
        <v>0.25758199999999998</v>
      </c>
      <c r="M85" s="33">
        <v>20.467582</v>
      </c>
      <c r="O85" s="34">
        <v>0.80070241399324205</v>
      </c>
      <c r="Y85" s="34">
        <v>0.81414850939960204</v>
      </c>
      <c r="AI85" s="12"/>
      <c r="AJ85">
        <f t="shared" si="6"/>
        <v>0</v>
      </c>
      <c r="AK85">
        <f t="shared" si="7"/>
        <v>1</v>
      </c>
      <c r="AL85">
        <f t="shared" si="14"/>
        <v>0</v>
      </c>
      <c r="AM85">
        <f t="shared" ref="AM85:AM148" si="24">IF(F86+H86&gt;0,0,1)</f>
        <v>1</v>
      </c>
      <c r="AN85">
        <f t="shared" si="15"/>
        <v>0</v>
      </c>
      <c r="AO85" s="28">
        <f t="shared" si="8"/>
        <v>0</v>
      </c>
      <c r="AP85" s="28">
        <f t="shared" si="9"/>
        <v>0</v>
      </c>
      <c r="AQ85" s="28">
        <f t="shared" si="16"/>
        <v>0</v>
      </c>
      <c r="AR85" s="29">
        <f t="shared" si="17"/>
        <v>0</v>
      </c>
      <c r="AT85" s="12"/>
      <c r="AU85">
        <f t="shared" si="10"/>
        <v>0</v>
      </c>
      <c r="AV85">
        <f t="shared" si="11"/>
        <v>1</v>
      </c>
      <c r="AW85">
        <f t="shared" si="18"/>
        <v>0</v>
      </c>
      <c r="AX85">
        <f t="shared" ref="AX85:AX148" si="25">IF(F86+H86&gt;0,0,1)</f>
        <v>1</v>
      </c>
      <c r="AY85">
        <f t="shared" si="19"/>
        <v>0</v>
      </c>
      <c r="AZ85" s="28">
        <f t="shared" si="12"/>
        <v>0</v>
      </c>
      <c r="BA85" s="28">
        <f t="shared" si="13"/>
        <v>0</v>
      </c>
      <c r="BB85" s="28">
        <f t="shared" si="20"/>
        <v>0</v>
      </c>
      <c r="BC85" s="29">
        <f t="shared" si="21"/>
        <v>0</v>
      </c>
      <c r="BE85" s="29">
        <f t="shared" si="22"/>
        <v>0</v>
      </c>
      <c r="BF85" s="29">
        <f t="shared" si="23"/>
        <v>0</v>
      </c>
      <c r="BH85" s="29"/>
    </row>
    <row r="86" spans="1:60" x14ac:dyDescent="0.25">
      <c r="A86" s="1">
        <v>46147</v>
      </c>
      <c r="C86" s="33">
        <v>20.23</v>
      </c>
      <c r="E86" s="15">
        <v>9.8911976412440492E-4</v>
      </c>
      <c r="F86" s="33">
        <v>0</v>
      </c>
      <c r="G86" s="33">
        <v>0</v>
      </c>
      <c r="H86" s="33">
        <v>0</v>
      </c>
      <c r="I86" s="33">
        <v>0.25758199999999998</v>
      </c>
      <c r="J86" s="33">
        <v>0</v>
      </c>
      <c r="K86" s="33">
        <v>0.25758199999999998</v>
      </c>
      <c r="M86" s="33">
        <v>20.487582</v>
      </c>
      <c r="O86" s="34">
        <v>0.80070241399324205</v>
      </c>
      <c r="Y86" s="34">
        <v>0.81414850939960204</v>
      </c>
      <c r="AI86" s="12"/>
      <c r="AJ86">
        <f t="shared" ref="AJ86:AJ149" si="26">IF($AG86&lt;AI$21,1,0)</f>
        <v>0</v>
      </c>
      <c r="AK86">
        <f t="shared" ref="AK86:AK149" si="27">IF($AG86&gt;AI$22,1,0)</f>
        <v>1</v>
      </c>
      <c r="AL86">
        <f t="shared" si="14"/>
        <v>0</v>
      </c>
      <c r="AM86">
        <f t="shared" si="24"/>
        <v>1</v>
      </c>
      <c r="AN86">
        <f t="shared" si="15"/>
        <v>0</v>
      </c>
      <c r="AO86" s="28">
        <f t="shared" ref="AO86:AO149" si="28">AN86*D86</f>
        <v>0</v>
      </c>
      <c r="AP86" s="28">
        <f t="shared" ref="AP86:AP149" si="29">-AN86*$E86</f>
        <v>0</v>
      </c>
      <c r="AQ86" s="28">
        <f t="shared" si="16"/>
        <v>0</v>
      </c>
      <c r="AR86" s="29">
        <f t="shared" si="17"/>
        <v>0</v>
      </c>
      <c r="AT86" s="12"/>
      <c r="AU86">
        <f t="shared" ref="AU86:AU149" si="30">IF($AG86&gt;AT$21,1,0)</f>
        <v>0</v>
      </c>
      <c r="AV86">
        <f t="shared" ref="AV86:AV149" si="31">IF($AG86&lt;AT$22,1,0)</f>
        <v>1</v>
      </c>
      <c r="AW86">
        <f t="shared" si="18"/>
        <v>0</v>
      </c>
      <c r="AX86">
        <f t="shared" si="25"/>
        <v>1</v>
      </c>
      <c r="AY86">
        <f t="shared" si="19"/>
        <v>0</v>
      </c>
      <c r="AZ86" s="28">
        <f t="shared" ref="AZ86:AZ149" si="32">-AY86*D86</f>
        <v>0</v>
      </c>
      <c r="BA86" s="28">
        <f t="shared" ref="BA86:BA149" si="33">AY86*$E86</f>
        <v>0</v>
      </c>
      <c r="BB86" s="28">
        <f t="shared" si="20"/>
        <v>0</v>
      </c>
      <c r="BC86" s="29">
        <f t="shared" si="21"/>
        <v>0</v>
      </c>
      <c r="BE86" s="29">
        <f t="shared" si="22"/>
        <v>0</v>
      </c>
      <c r="BF86" s="29">
        <f t="shared" si="23"/>
        <v>0</v>
      </c>
      <c r="BH86" s="29"/>
    </row>
    <row r="87" spans="1:60" x14ac:dyDescent="0.25">
      <c r="A87" s="1">
        <v>46148</v>
      </c>
      <c r="C87" s="33">
        <v>20.3</v>
      </c>
      <c r="E87" s="15">
        <v>3.4542348680876001E-3</v>
      </c>
      <c r="F87" s="33">
        <v>0</v>
      </c>
      <c r="G87" s="33">
        <v>0</v>
      </c>
      <c r="H87" s="33">
        <v>0</v>
      </c>
      <c r="I87" s="33">
        <v>0.25758199999999998</v>
      </c>
      <c r="J87" s="33">
        <v>0</v>
      </c>
      <c r="K87" s="33">
        <v>0.25758199999999998</v>
      </c>
      <c r="M87" s="33">
        <v>20.557582</v>
      </c>
      <c r="O87" s="34">
        <v>0.80070241399324205</v>
      </c>
      <c r="Y87" s="34">
        <v>0.81414850939960204</v>
      </c>
      <c r="AI87" s="12"/>
      <c r="AJ87">
        <f t="shared" si="26"/>
        <v>0</v>
      </c>
      <c r="AK87">
        <f t="shared" si="27"/>
        <v>1</v>
      </c>
      <c r="AL87">
        <f t="shared" ref="AL87:AL150" si="34">AN87</f>
        <v>0</v>
      </c>
      <c r="AM87">
        <f t="shared" si="24"/>
        <v>1</v>
      </c>
      <c r="AN87">
        <f t="shared" ref="AN87:AN150" si="35">IF(AJ86,1,IF(AK86,0,AL86))*AM86</f>
        <v>0</v>
      </c>
      <c r="AO87" s="28">
        <f t="shared" si="28"/>
        <v>0</v>
      </c>
      <c r="AP87" s="28">
        <f t="shared" si="29"/>
        <v>0</v>
      </c>
      <c r="AQ87" s="28">
        <f t="shared" ref="AQ87:AQ150" si="36">AO87+AP87</f>
        <v>0</v>
      </c>
      <c r="AR87" s="29">
        <f t="shared" ref="AR87:AR150" si="37">AR86+AQ87</f>
        <v>0</v>
      </c>
      <c r="AT87" s="12"/>
      <c r="AU87">
        <f t="shared" si="30"/>
        <v>0</v>
      </c>
      <c r="AV87">
        <f t="shared" si="31"/>
        <v>1</v>
      </c>
      <c r="AW87">
        <f t="shared" ref="AW87:AW150" si="38">AY87</f>
        <v>0</v>
      </c>
      <c r="AX87">
        <f t="shared" si="25"/>
        <v>1</v>
      </c>
      <c r="AY87">
        <f t="shared" ref="AY87:AY150" si="39">IF(AU86,1,IF(AV86,0,AW86))*AX86</f>
        <v>0</v>
      </c>
      <c r="AZ87" s="28">
        <f t="shared" si="32"/>
        <v>0</v>
      </c>
      <c r="BA87" s="28">
        <f t="shared" si="33"/>
        <v>0</v>
      </c>
      <c r="BB87" s="28">
        <f t="shared" ref="BB87:BB150" si="40">AZ87+BA87</f>
        <v>0</v>
      </c>
      <c r="BC87" s="29">
        <f t="shared" ref="BC87:BC150" si="41">BC86+BB87</f>
        <v>0</v>
      </c>
      <c r="BE87" s="29">
        <f t="shared" ref="BE87:BE150" si="42">AQ87+BB87</f>
        <v>0</v>
      </c>
      <c r="BF87" s="29">
        <f t="shared" ref="BF87:BF150" si="43">BF86+BE87</f>
        <v>0</v>
      </c>
      <c r="BH87" s="29"/>
    </row>
    <row r="88" spans="1:60" x14ac:dyDescent="0.25">
      <c r="A88" s="1">
        <v>46149</v>
      </c>
      <c r="C88" s="33">
        <v>20.25</v>
      </c>
      <c r="E88" s="15">
        <v>-2.4660924951935498E-3</v>
      </c>
      <c r="F88" s="33">
        <v>0</v>
      </c>
      <c r="G88" s="33">
        <v>0</v>
      </c>
      <c r="H88" s="33">
        <v>0</v>
      </c>
      <c r="I88" s="33">
        <v>0.25758199999999998</v>
      </c>
      <c r="J88" s="33">
        <v>0</v>
      </c>
      <c r="K88" s="33">
        <v>0.25758199999999998</v>
      </c>
      <c r="M88" s="33">
        <v>20.507581999999999</v>
      </c>
      <c r="O88" s="34">
        <v>0.80070241399324205</v>
      </c>
      <c r="Y88" s="34">
        <v>0.81414850939960204</v>
      </c>
      <c r="AI88" s="12"/>
      <c r="AJ88">
        <f t="shared" si="26"/>
        <v>0</v>
      </c>
      <c r="AK88">
        <f t="shared" si="27"/>
        <v>1</v>
      </c>
      <c r="AL88">
        <f t="shared" si="34"/>
        <v>0</v>
      </c>
      <c r="AM88">
        <f t="shared" si="24"/>
        <v>1</v>
      </c>
      <c r="AN88">
        <f t="shared" si="35"/>
        <v>0</v>
      </c>
      <c r="AO88" s="28">
        <f t="shared" si="28"/>
        <v>0</v>
      </c>
      <c r="AP88" s="28">
        <f t="shared" si="29"/>
        <v>0</v>
      </c>
      <c r="AQ88" s="28">
        <f t="shared" si="36"/>
        <v>0</v>
      </c>
      <c r="AR88" s="29">
        <f t="shared" si="37"/>
        <v>0</v>
      </c>
      <c r="AT88" s="12"/>
      <c r="AU88">
        <f t="shared" si="30"/>
        <v>0</v>
      </c>
      <c r="AV88">
        <f t="shared" si="31"/>
        <v>1</v>
      </c>
      <c r="AW88">
        <f t="shared" si="38"/>
        <v>0</v>
      </c>
      <c r="AX88">
        <f t="shared" si="25"/>
        <v>1</v>
      </c>
      <c r="AY88">
        <f t="shared" si="39"/>
        <v>0</v>
      </c>
      <c r="AZ88" s="28">
        <f t="shared" si="32"/>
        <v>0</v>
      </c>
      <c r="BA88" s="28">
        <f t="shared" si="33"/>
        <v>0</v>
      </c>
      <c r="BB88" s="28">
        <f t="shared" si="40"/>
        <v>0</v>
      </c>
      <c r="BC88" s="29">
        <f t="shared" si="41"/>
        <v>0</v>
      </c>
      <c r="BE88" s="29">
        <f t="shared" si="42"/>
        <v>0</v>
      </c>
      <c r="BF88" s="29">
        <f t="shared" si="43"/>
        <v>0</v>
      </c>
      <c r="BH88" s="29"/>
    </row>
    <row r="89" spans="1:60" x14ac:dyDescent="0.25">
      <c r="A89" s="1">
        <v>46150</v>
      </c>
      <c r="C89" s="33">
        <v>20.3</v>
      </c>
      <c r="E89" s="15">
        <v>2.46609249519346E-3</v>
      </c>
      <c r="F89" s="33">
        <v>0</v>
      </c>
      <c r="G89" s="33">
        <v>0</v>
      </c>
      <c r="H89" s="33">
        <v>0</v>
      </c>
      <c r="I89" s="33">
        <v>0.25758199999999998</v>
      </c>
      <c r="J89" s="33">
        <v>0</v>
      </c>
      <c r="K89" s="33">
        <v>0.25758199999999998</v>
      </c>
      <c r="M89" s="33">
        <v>20.557582</v>
      </c>
      <c r="O89" s="34">
        <v>0.80070241399324205</v>
      </c>
      <c r="Y89" s="34">
        <v>0.81414850939960204</v>
      </c>
      <c r="AI89" s="12"/>
      <c r="AJ89">
        <f t="shared" si="26"/>
        <v>0</v>
      </c>
      <c r="AK89">
        <f t="shared" si="27"/>
        <v>1</v>
      </c>
      <c r="AL89">
        <f t="shared" si="34"/>
        <v>0</v>
      </c>
      <c r="AM89">
        <f t="shared" si="24"/>
        <v>1</v>
      </c>
      <c r="AN89">
        <f t="shared" si="35"/>
        <v>0</v>
      </c>
      <c r="AO89" s="28">
        <f t="shared" si="28"/>
        <v>0</v>
      </c>
      <c r="AP89" s="28">
        <f t="shared" si="29"/>
        <v>0</v>
      </c>
      <c r="AQ89" s="28">
        <f t="shared" si="36"/>
        <v>0</v>
      </c>
      <c r="AR89" s="29">
        <f t="shared" si="37"/>
        <v>0</v>
      </c>
      <c r="AT89" s="12"/>
      <c r="AU89">
        <f t="shared" si="30"/>
        <v>0</v>
      </c>
      <c r="AV89">
        <f t="shared" si="31"/>
        <v>1</v>
      </c>
      <c r="AW89">
        <f t="shared" si="38"/>
        <v>0</v>
      </c>
      <c r="AX89">
        <f t="shared" si="25"/>
        <v>1</v>
      </c>
      <c r="AY89">
        <f t="shared" si="39"/>
        <v>0</v>
      </c>
      <c r="AZ89" s="28">
        <f t="shared" si="32"/>
        <v>0</v>
      </c>
      <c r="BA89" s="28">
        <f t="shared" si="33"/>
        <v>0</v>
      </c>
      <c r="BB89" s="28">
        <f t="shared" si="40"/>
        <v>0</v>
      </c>
      <c r="BC89" s="29">
        <f t="shared" si="41"/>
        <v>0</v>
      </c>
      <c r="BE89" s="29">
        <f t="shared" si="42"/>
        <v>0</v>
      </c>
      <c r="BF89" s="29">
        <f t="shared" si="43"/>
        <v>0</v>
      </c>
      <c r="BH89" s="29"/>
    </row>
    <row r="90" spans="1:60" x14ac:dyDescent="0.25">
      <c r="A90" s="1">
        <v>46153</v>
      </c>
      <c r="C90" s="33">
        <v>20.25</v>
      </c>
      <c r="E90" s="15">
        <v>-2.4660924951935498E-3</v>
      </c>
      <c r="F90" s="33">
        <v>0</v>
      </c>
      <c r="G90" s="33">
        <v>0</v>
      </c>
      <c r="H90" s="33">
        <v>0</v>
      </c>
      <c r="I90" s="33">
        <v>0.25758199999999998</v>
      </c>
      <c r="J90" s="33">
        <v>0</v>
      </c>
      <c r="K90" s="33">
        <v>0.25758199999999998</v>
      </c>
      <c r="M90" s="33">
        <v>20.507581999999999</v>
      </c>
      <c r="O90" s="34">
        <v>0.80070241399324205</v>
      </c>
      <c r="Y90" s="34">
        <v>0.81414850939960204</v>
      </c>
      <c r="AI90" s="12"/>
      <c r="AJ90">
        <f t="shared" si="26"/>
        <v>0</v>
      </c>
      <c r="AK90">
        <f t="shared" si="27"/>
        <v>1</v>
      </c>
      <c r="AL90">
        <f t="shared" si="34"/>
        <v>0</v>
      </c>
      <c r="AM90">
        <f t="shared" si="24"/>
        <v>1</v>
      </c>
      <c r="AN90">
        <f t="shared" si="35"/>
        <v>0</v>
      </c>
      <c r="AO90" s="28">
        <f t="shared" si="28"/>
        <v>0</v>
      </c>
      <c r="AP90" s="28">
        <f t="shared" si="29"/>
        <v>0</v>
      </c>
      <c r="AQ90" s="28">
        <f t="shared" si="36"/>
        <v>0</v>
      </c>
      <c r="AR90" s="29">
        <f t="shared" si="37"/>
        <v>0</v>
      </c>
      <c r="AT90" s="12"/>
      <c r="AU90">
        <f t="shared" si="30"/>
        <v>0</v>
      </c>
      <c r="AV90">
        <f t="shared" si="31"/>
        <v>1</v>
      </c>
      <c r="AW90">
        <f t="shared" si="38"/>
        <v>0</v>
      </c>
      <c r="AX90">
        <f t="shared" si="25"/>
        <v>1</v>
      </c>
      <c r="AY90">
        <f t="shared" si="39"/>
        <v>0</v>
      </c>
      <c r="AZ90" s="28">
        <f t="shared" si="32"/>
        <v>0</v>
      </c>
      <c r="BA90" s="28">
        <f t="shared" si="33"/>
        <v>0</v>
      </c>
      <c r="BB90" s="28">
        <f t="shared" si="40"/>
        <v>0</v>
      </c>
      <c r="BC90" s="29">
        <f t="shared" si="41"/>
        <v>0</v>
      </c>
      <c r="BE90" s="29">
        <f t="shared" si="42"/>
        <v>0</v>
      </c>
      <c r="BF90" s="29">
        <f t="shared" si="43"/>
        <v>0</v>
      </c>
      <c r="BH90" s="29"/>
    </row>
    <row r="91" spans="1:60" x14ac:dyDescent="0.25">
      <c r="A91" s="1">
        <v>46154</v>
      </c>
      <c r="C91" s="33">
        <v>20.2</v>
      </c>
      <c r="E91" s="15">
        <v>-2.47218914538914E-3</v>
      </c>
      <c r="F91" s="33">
        <v>0</v>
      </c>
      <c r="G91" s="33">
        <v>0</v>
      </c>
      <c r="H91" s="33">
        <v>0</v>
      </c>
      <c r="I91" s="33">
        <v>0.25758199999999998</v>
      </c>
      <c r="J91" s="33">
        <v>0</v>
      </c>
      <c r="K91" s="33">
        <v>0.25758199999999998</v>
      </c>
      <c r="M91" s="33">
        <v>20.457581999999999</v>
      </c>
      <c r="O91" s="34">
        <v>0.80070241399324205</v>
      </c>
      <c r="Y91" s="34">
        <v>0.81414850939960204</v>
      </c>
      <c r="AI91" s="12"/>
      <c r="AJ91">
        <f t="shared" si="26"/>
        <v>0</v>
      </c>
      <c r="AK91">
        <f t="shared" si="27"/>
        <v>1</v>
      </c>
      <c r="AL91">
        <f t="shared" si="34"/>
        <v>0</v>
      </c>
      <c r="AM91">
        <f t="shared" si="24"/>
        <v>1</v>
      </c>
      <c r="AN91">
        <f t="shared" si="35"/>
        <v>0</v>
      </c>
      <c r="AO91" s="28">
        <f t="shared" si="28"/>
        <v>0</v>
      </c>
      <c r="AP91" s="28">
        <f t="shared" si="29"/>
        <v>0</v>
      </c>
      <c r="AQ91" s="28">
        <f t="shared" si="36"/>
        <v>0</v>
      </c>
      <c r="AR91" s="29">
        <f t="shared" si="37"/>
        <v>0</v>
      </c>
      <c r="AT91" s="12"/>
      <c r="AU91">
        <f t="shared" si="30"/>
        <v>0</v>
      </c>
      <c r="AV91">
        <f t="shared" si="31"/>
        <v>1</v>
      </c>
      <c r="AW91">
        <f t="shared" si="38"/>
        <v>0</v>
      </c>
      <c r="AX91">
        <f t="shared" si="25"/>
        <v>1</v>
      </c>
      <c r="AY91">
        <f t="shared" si="39"/>
        <v>0</v>
      </c>
      <c r="AZ91" s="28">
        <f t="shared" si="32"/>
        <v>0</v>
      </c>
      <c r="BA91" s="28">
        <f t="shared" si="33"/>
        <v>0</v>
      </c>
      <c r="BB91" s="28">
        <f t="shared" si="40"/>
        <v>0</v>
      </c>
      <c r="BC91" s="29">
        <f t="shared" si="41"/>
        <v>0</v>
      </c>
      <c r="BE91" s="29">
        <f t="shared" si="42"/>
        <v>0</v>
      </c>
      <c r="BF91" s="29">
        <f t="shared" si="43"/>
        <v>0</v>
      </c>
      <c r="BH91" s="29"/>
    </row>
    <row r="92" spans="1:60" x14ac:dyDescent="0.25">
      <c r="A92" s="1">
        <v>46155</v>
      </c>
      <c r="C92" s="33">
        <v>20.2</v>
      </c>
      <c r="E92" s="15">
        <v>0</v>
      </c>
      <c r="F92" s="33">
        <v>0</v>
      </c>
      <c r="G92" s="33">
        <v>0</v>
      </c>
      <c r="H92" s="33">
        <v>0</v>
      </c>
      <c r="I92" s="33">
        <v>0.25758199999999998</v>
      </c>
      <c r="J92" s="33">
        <v>0</v>
      </c>
      <c r="K92" s="33">
        <v>0.25758199999999998</v>
      </c>
      <c r="M92" s="33">
        <v>20.457581999999999</v>
      </c>
      <c r="O92" s="34">
        <v>0.80070241399324205</v>
      </c>
      <c r="Y92" s="34">
        <v>0.81414850939960204</v>
      </c>
      <c r="AI92" s="12"/>
      <c r="AJ92">
        <f t="shared" si="26"/>
        <v>0</v>
      </c>
      <c r="AK92">
        <f t="shared" si="27"/>
        <v>1</v>
      </c>
      <c r="AL92">
        <f t="shared" si="34"/>
        <v>0</v>
      </c>
      <c r="AM92">
        <f t="shared" si="24"/>
        <v>1</v>
      </c>
      <c r="AN92">
        <f t="shared" si="35"/>
        <v>0</v>
      </c>
      <c r="AO92" s="28">
        <f t="shared" si="28"/>
        <v>0</v>
      </c>
      <c r="AP92" s="28">
        <f t="shared" si="29"/>
        <v>0</v>
      </c>
      <c r="AQ92" s="28">
        <f t="shared" si="36"/>
        <v>0</v>
      </c>
      <c r="AR92" s="29">
        <f t="shared" si="37"/>
        <v>0</v>
      </c>
      <c r="AT92" s="12"/>
      <c r="AU92">
        <f t="shared" si="30"/>
        <v>0</v>
      </c>
      <c r="AV92">
        <f t="shared" si="31"/>
        <v>1</v>
      </c>
      <c r="AW92">
        <f t="shared" si="38"/>
        <v>0</v>
      </c>
      <c r="AX92">
        <f t="shared" si="25"/>
        <v>1</v>
      </c>
      <c r="AY92">
        <f t="shared" si="39"/>
        <v>0</v>
      </c>
      <c r="AZ92" s="28">
        <f t="shared" si="32"/>
        <v>0</v>
      </c>
      <c r="BA92" s="28">
        <f t="shared" si="33"/>
        <v>0</v>
      </c>
      <c r="BB92" s="28">
        <f t="shared" si="40"/>
        <v>0</v>
      </c>
      <c r="BC92" s="29">
        <f t="shared" si="41"/>
        <v>0</v>
      </c>
      <c r="BE92" s="29">
        <f t="shared" si="42"/>
        <v>0</v>
      </c>
      <c r="BF92" s="29">
        <f t="shared" si="43"/>
        <v>0</v>
      </c>
      <c r="BH92" s="29"/>
    </row>
    <row r="93" spans="1:60" x14ac:dyDescent="0.25">
      <c r="A93" s="1">
        <v>46156</v>
      </c>
      <c r="C93" s="33">
        <v>20.18</v>
      </c>
      <c r="E93" s="15">
        <v>-9.9058948169617909E-4</v>
      </c>
      <c r="F93" s="33">
        <v>0</v>
      </c>
      <c r="G93" s="33">
        <v>0</v>
      </c>
      <c r="H93" s="33">
        <v>0</v>
      </c>
      <c r="I93" s="33">
        <v>0.25758199999999998</v>
      </c>
      <c r="J93" s="33">
        <v>0</v>
      </c>
      <c r="K93" s="33">
        <v>0.25758199999999998</v>
      </c>
      <c r="M93" s="33">
        <v>20.437581999999999</v>
      </c>
      <c r="O93" s="34">
        <v>0.80070241399324205</v>
      </c>
      <c r="Y93" s="34">
        <v>0.81414850939960204</v>
      </c>
      <c r="AI93" s="12"/>
      <c r="AJ93">
        <f t="shared" si="26"/>
        <v>0</v>
      </c>
      <c r="AK93">
        <f t="shared" si="27"/>
        <v>1</v>
      </c>
      <c r="AL93">
        <f t="shared" si="34"/>
        <v>0</v>
      </c>
      <c r="AM93">
        <f t="shared" si="24"/>
        <v>1</v>
      </c>
      <c r="AN93">
        <f t="shared" si="35"/>
        <v>0</v>
      </c>
      <c r="AO93" s="28">
        <f t="shared" si="28"/>
        <v>0</v>
      </c>
      <c r="AP93" s="28">
        <f t="shared" si="29"/>
        <v>0</v>
      </c>
      <c r="AQ93" s="28">
        <f t="shared" si="36"/>
        <v>0</v>
      </c>
      <c r="AR93" s="29">
        <f t="shared" si="37"/>
        <v>0</v>
      </c>
      <c r="AT93" s="12"/>
      <c r="AU93">
        <f t="shared" si="30"/>
        <v>0</v>
      </c>
      <c r="AV93">
        <f t="shared" si="31"/>
        <v>1</v>
      </c>
      <c r="AW93">
        <f t="shared" si="38"/>
        <v>0</v>
      </c>
      <c r="AX93">
        <f t="shared" si="25"/>
        <v>1</v>
      </c>
      <c r="AY93">
        <f t="shared" si="39"/>
        <v>0</v>
      </c>
      <c r="AZ93" s="28">
        <f t="shared" si="32"/>
        <v>0</v>
      </c>
      <c r="BA93" s="28">
        <f t="shared" si="33"/>
        <v>0</v>
      </c>
      <c r="BB93" s="28">
        <f t="shared" si="40"/>
        <v>0</v>
      </c>
      <c r="BC93" s="29">
        <f t="shared" si="41"/>
        <v>0</v>
      </c>
      <c r="BE93" s="29">
        <f t="shared" si="42"/>
        <v>0</v>
      </c>
      <c r="BF93" s="29">
        <f t="shared" si="43"/>
        <v>0</v>
      </c>
      <c r="BH93" s="29"/>
    </row>
    <row r="94" spans="1:60" x14ac:dyDescent="0.25">
      <c r="A94" s="1">
        <v>46157</v>
      </c>
      <c r="C94" s="33">
        <v>20.07</v>
      </c>
      <c r="E94" s="15">
        <v>-5.4658521172160704E-3</v>
      </c>
      <c r="F94" s="33">
        <v>0</v>
      </c>
      <c r="G94" s="33">
        <v>0</v>
      </c>
      <c r="H94" s="33">
        <v>0</v>
      </c>
      <c r="I94" s="33">
        <v>0.25758199999999998</v>
      </c>
      <c r="J94" s="33">
        <v>0</v>
      </c>
      <c r="K94" s="33">
        <v>0.25758199999999998</v>
      </c>
      <c r="M94" s="33">
        <v>20.327582</v>
      </c>
      <c r="O94" s="34">
        <v>0.80070241399324205</v>
      </c>
      <c r="Y94" s="34">
        <v>0.81414850939960204</v>
      </c>
      <c r="AI94" s="12"/>
      <c r="AJ94">
        <f t="shared" si="26"/>
        <v>0</v>
      </c>
      <c r="AK94">
        <f t="shared" si="27"/>
        <v>1</v>
      </c>
      <c r="AL94">
        <f t="shared" si="34"/>
        <v>0</v>
      </c>
      <c r="AM94">
        <f t="shared" si="24"/>
        <v>1</v>
      </c>
      <c r="AN94">
        <f t="shared" si="35"/>
        <v>0</v>
      </c>
      <c r="AO94" s="28">
        <f t="shared" si="28"/>
        <v>0</v>
      </c>
      <c r="AP94" s="28">
        <f t="shared" si="29"/>
        <v>0</v>
      </c>
      <c r="AQ94" s="28">
        <f t="shared" si="36"/>
        <v>0</v>
      </c>
      <c r="AR94" s="29">
        <f t="shared" si="37"/>
        <v>0</v>
      </c>
      <c r="AT94" s="12"/>
      <c r="AU94">
        <f t="shared" si="30"/>
        <v>0</v>
      </c>
      <c r="AV94">
        <f t="shared" si="31"/>
        <v>1</v>
      </c>
      <c r="AW94">
        <f t="shared" si="38"/>
        <v>0</v>
      </c>
      <c r="AX94">
        <f t="shared" si="25"/>
        <v>1</v>
      </c>
      <c r="AY94">
        <f t="shared" si="39"/>
        <v>0</v>
      </c>
      <c r="AZ94" s="28">
        <f t="shared" si="32"/>
        <v>0</v>
      </c>
      <c r="BA94" s="28">
        <f t="shared" si="33"/>
        <v>0</v>
      </c>
      <c r="BB94" s="28">
        <f t="shared" si="40"/>
        <v>0</v>
      </c>
      <c r="BC94" s="29">
        <f t="shared" si="41"/>
        <v>0</v>
      </c>
      <c r="BE94" s="29">
        <f t="shared" si="42"/>
        <v>0</v>
      </c>
      <c r="BF94" s="29">
        <f t="shared" si="43"/>
        <v>0</v>
      </c>
      <c r="BH94" s="29"/>
    </row>
    <row r="95" spans="1:60" x14ac:dyDescent="0.25">
      <c r="A95" s="1">
        <v>46160</v>
      </c>
      <c r="C95" s="33">
        <v>20.09</v>
      </c>
      <c r="E95" s="15">
        <v>9.9601601859632409E-4</v>
      </c>
      <c r="F95" s="33">
        <v>0</v>
      </c>
      <c r="G95" s="33">
        <v>0</v>
      </c>
      <c r="H95" s="33">
        <v>0</v>
      </c>
      <c r="I95" s="33">
        <v>0.25758199999999998</v>
      </c>
      <c r="J95" s="33">
        <v>0</v>
      </c>
      <c r="K95" s="33">
        <v>0.25758199999999998</v>
      </c>
      <c r="M95" s="33">
        <v>20.347581999999999</v>
      </c>
      <c r="O95" s="34">
        <v>0.80070241399324205</v>
      </c>
      <c r="Y95" s="34">
        <v>0.81414850939960204</v>
      </c>
      <c r="AI95" s="12"/>
      <c r="AJ95">
        <f t="shared" si="26"/>
        <v>0</v>
      </c>
      <c r="AK95">
        <f t="shared" si="27"/>
        <v>1</v>
      </c>
      <c r="AL95">
        <f t="shared" si="34"/>
        <v>0</v>
      </c>
      <c r="AM95">
        <f t="shared" si="24"/>
        <v>1</v>
      </c>
      <c r="AN95">
        <f t="shared" si="35"/>
        <v>0</v>
      </c>
      <c r="AO95" s="28">
        <f t="shared" si="28"/>
        <v>0</v>
      </c>
      <c r="AP95" s="28">
        <f t="shared" si="29"/>
        <v>0</v>
      </c>
      <c r="AQ95" s="28">
        <f t="shared" si="36"/>
        <v>0</v>
      </c>
      <c r="AR95" s="29">
        <f t="shared" si="37"/>
        <v>0</v>
      </c>
      <c r="AT95" s="12"/>
      <c r="AU95">
        <f t="shared" si="30"/>
        <v>0</v>
      </c>
      <c r="AV95">
        <f t="shared" si="31"/>
        <v>1</v>
      </c>
      <c r="AW95">
        <f t="shared" si="38"/>
        <v>0</v>
      </c>
      <c r="AX95">
        <f t="shared" si="25"/>
        <v>1</v>
      </c>
      <c r="AY95">
        <f t="shared" si="39"/>
        <v>0</v>
      </c>
      <c r="AZ95" s="28">
        <f t="shared" si="32"/>
        <v>0</v>
      </c>
      <c r="BA95" s="28">
        <f t="shared" si="33"/>
        <v>0</v>
      </c>
      <c r="BB95" s="28">
        <f t="shared" si="40"/>
        <v>0</v>
      </c>
      <c r="BC95" s="29">
        <f t="shared" si="41"/>
        <v>0</v>
      </c>
      <c r="BE95" s="29">
        <f t="shared" si="42"/>
        <v>0</v>
      </c>
      <c r="BF95" s="29">
        <f t="shared" si="43"/>
        <v>0</v>
      </c>
      <c r="BH95" s="29"/>
    </row>
    <row r="96" spans="1:60" x14ac:dyDescent="0.25">
      <c r="A96" s="1">
        <v>46161</v>
      </c>
      <c r="C96" s="33">
        <v>20.03</v>
      </c>
      <c r="E96" s="15">
        <v>-2.9910291491161002E-3</v>
      </c>
      <c r="F96" s="33">
        <v>0</v>
      </c>
      <c r="G96" s="33">
        <v>0</v>
      </c>
      <c r="H96" s="33">
        <v>0</v>
      </c>
      <c r="I96" s="33">
        <v>0.25758199999999998</v>
      </c>
      <c r="J96" s="33">
        <v>0</v>
      </c>
      <c r="K96" s="33">
        <v>0.25758199999999998</v>
      </c>
      <c r="M96" s="33">
        <v>20.287582</v>
      </c>
      <c r="O96" s="34">
        <v>0.80070241399324205</v>
      </c>
      <c r="Y96" s="34">
        <v>0.81414850939960204</v>
      </c>
      <c r="AI96" s="12"/>
      <c r="AJ96">
        <f t="shared" si="26"/>
        <v>0</v>
      </c>
      <c r="AK96">
        <f t="shared" si="27"/>
        <v>1</v>
      </c>
      <c r="AL96">
        <f t="shared" si="34"/>
        <v>0</v>
      </c>
      <c r="AM96">
        <f t="shared" si="24"/>
        <v>1</v>
      </c>
      <c r="AN96">
        <f t="shared" si="35"/>
        <v>0</v>
      </c>
      <c r="AO96" s="28">
        <f t="shared" si="28"/>
        <v>0</v>
      </c>
      <c r="AP96" s="28">
        <f t="shared" si="29"/>
        <v>0</v>
      </c>
      <c r="AQ96" s="28">
        <f t="shared" si="36"/>
        <v>0</v>
      </c>
      <c r="AR96" s="29">
        <f t="shared" si="37"/>
        <v>0</v>
      </c>
      <c r="AT96" s="12"/>
      <c r="AU96">
        <f t="shared" si="30"/>
        <v>0</v>
      </c>
      <c r="AV96">
        <f t="shared" si="31"/>
        <v>1</v>
      </c>
      <c r="AW96">
        <f t="shared" si="38"/>
        <v>0</v>
      </c>
      <c r="AX96">
        <f t="shared" si="25"/>
        <v>1</v>
      </c>
      <c r="AY96">
        <f t="shared" si="39"/>
        <v>0</v>
      </c>
      <c r="AZ96" s="28">
        <f t="shared" si="32"/>
        <v>0</v>
      </c>
      <c r="BA96" s="28">
        <f t="shared" si="33"/>
        <v>0</v>
      </c>
      <c r="BB96" s="28">
        <f t="shared" si="40"/>
        <v>0</v>
      </c>
      <c r="BC96" s="29">
        <f t="shared" si="41"/>
        <v>0</v>
      </c>
      <c r="BE96" s="29">
        <f t="shared" si="42"/>
        <v>0</v>
      </c>
      <c r="BF96" s="29">
        <f t="shared" si="43"/>
        <v>0</v>
      </c>
      <c r="BH96" s="29"/>
    </row>
    <row r="97" spans="1:60" x14ac:dyDescent="0.25">
      <c r="A97" s="1">
        <v>46162</v>
      </c>
      <c r="C97" s="33">
        <v>20.12</v>
      </c>
      <c r="E97" s="15">
        <v>4.48319555381163E-3</v>
      </c>
      <c r="F97" s="33">
        <v>0</v>
      </c>
      <c r="G97" s="33">
        <v>0</v>
      </c>
      <c r="H97" s="33">
        <v>0</v>
      </c>
      <c r="I97" s="33">
        <v>0.25758199999999998</v>
      </c>
      <c r="J97" s="33">
        <v>0</v>
      </c>
      <c r="K97" s="33">
        <v>0.25758199999999998</v>
      </c>
      <c r="M97" s="33">
        <v>20.377582</v>
      </c>
      <c r="O97" s="34">
        <v>0.80070241399324205</v>
      </c>
      <c r="Y97" s="34">
        <v>0.81414850939960204</v>
      </c>
      <c r="AI97" s="12"/>
      <c r="AJ97">
        <f t="shared" si="26"/>
        <v>0</v>
      </c>
      <c r="AK97">
        <f t="shared" si="27"/>
        <v>1</v>
      </c>
      <c r="AL97">
        <f t="shared" si="34"/>
        <v>0</v>
      </c>
      <c r="AM97">
        <f t="shared" si="24"/>
        <v>1</v>
      </c>
      <c r="AN97">
        <f t="shared" si="35"/>
        <v>0</v>
      </c>
      <c r="AO97" s="28">
        <f t="shared" si="28"/>
        <v>0</v>
      </c>
      <c r="AP97" s="28">
        <f t="shared" si="29"/>
        <v>0</v>
      </c>
      <c r="AQ97" s="28">
        <f t="shared" si="36"/>
        <v>0</v>
      </c>
      <c r="AR97" s="29">
        <f t="shared" si="37"/>
        <v>0</v>
      </c>
      <c r="AT97" s="12"/>
      <c r="AU97">
        <f t="shared" si="30"/>
        <v>0</v>
      </c>
      <c r="AV97">
        <f t="shared" si="31"/>
        <v>1</v>
      </c>
      <c r="AW97">
        <f t="shared" si="38"/>
        <v>0</v>
      </c>
      <c r="AX97">
        <f t="shared" si="25"/>
        <v>1</v>
      </c>
      <c r="AY97">
        <f t="shared" si="39"/>
        <v>0</v>
      </c>
      <c r="AZ97" s="28">
        <f t="shared" si="32"/>
        <v>0</v>
      </c>
      <c r="BA97" s="28">
        <f t="shared" si="33"/>
        <v>0</v>
      </c>
      <c r="BB97" s="28">
        <f t="shared" si="40"/>
        <v>0</v>
      </c>
      <c r="BC97" s="29">
        <f t="shared" si="41"/>
        <v>0</v>
      </c>
      <c r="BE97" s="29">
        <f t="shared" si="42"/>
        <v>0</v>
      </c>
      <c r="BF97" s="29">
        <f t="shared" si="43"/>
        <v>0</v>
      </c>
      <c r="BH97" s="29"/>
    </row>
    <row r="98" spans="1:60" x14ac:dyDescent="0.25">
      <c r="A98" s="1">
        <v>46163</v>
      </c>
      <c r="C98" s="33">
        <v>20.12</v>
      </c>
      <c r="E98" s="15">
        <v>0</v>
      </c>
      <c r="F98" s="33">
        <v>0</v>
      </c>
      <c r="G98" s="33">
        <v>0</v>
      </c>
      <c r="H98" s="33">
        <v>0</v>
      </c>
      <c r="I98" s="33">
        <v>0.25758199999999998</v>
      </c>
      <c r="J98" s="33">
        <v>0</v>
      </c>
      <c r="K98" s="33">
        <v>0.25758199999999998</v>
      </c>
      <c r="M98" s="33">
        <v>20.377582</v>
      </c>
      <c r="O98" s="34">
        <v>0.80070241399324205</v>
      </c>
      <c r="Y98" s="34">
        <v>0.81414850939960204</v>
      </c>
      <c r="AI98" s="12"/>
      <c r="AJ98">
        <f t="shared" si="26"/>
        <v>0</v>
      </c>
      <c r="AK98">
        <f t="shared" si="27"/>
        <v>1</v>
      </c>
      <c r="AL98">
        <f t="shared" si="34"/>
        <v>0</v>
      </c>
      <c r="AM98">
        <f t="shared" si="24"/>
        <v>1</v>
      </c>
      <c r="AN98">
        <f t="shared" si="35"/>
        <v>0</v>
      </c>
      <c r="AO98" s="28">
        <f t="shared" si="28"/>
        <v>0</v>
      </c>
      <c r="AP98" s="28">
        <f t="shared" si="29"/>
        <v>0</v>
      </c>
      <c r="AQ98" s="28">
        <f t="shared" si="36"/>
        <v>0</v>
      </c>
      <c r="AR98" s="29">
        <f t="shared" si="37"/>
        <v>0</v>
      </c>
      <c r="AT98" s="12"/>
      <c r="AU98">
        <f t="shared" si="30"/>
        <v>0</v>
      </c>
      <c r="AV98">
        <f t="shared" si="31"/>
        <v>1</v>
      </c>
      <c r="AW98">
        <f t="shared" si="38"/>
        <v>0</v>
      </c>
      <c r="AX98">
        <f t="shared" si="25"/>
        <v>1</v>
      </c>
      <c r="AY98">
        <f t="shared" si="39"/>
        <v>0</v>
      </c>
      <c r="AZ98" s="28">
        <f t="shared" si="32"/>
        <v>0</v>
      </c>
      <c r="BA98" s="28">
        <f t="shared" si="33"/>
        <v>0</v>
      </c>
      <c r="BB98" s="28">
        <f t="shared" si="40"/>
        <v>0</v>
      </c>
      <c r="BC98" s="29">
        <f t="shared" si="41"/>
        <v>0</v>
      </c>
      <c r="BE98" s="29">
        <f t="shared" si="42"/>
        <v>0</v>
      </c>
      <c r="BF98" s="29">
        <f t="shared" si="43"/>
        <v>0</v>
      </c>
      <c r="BH98" s="29"/>
    </row>
    <row r="99" spans="1:60" x14ac:dyDescent="0.25">
      <c r="A99" s="1">
        <v>46164</v>
      </c>
      <c r="C99" s="33">
        <v>20.11</v>
      </c>
      <c r="E99" s="15">
        <v>-4.9714144697786801E-4</v>
      </c>
      <c r="F99" s="33">
        <v>0</v>
      </c>
      <c r="G99" s="33">
        <v>0</v>
      </c>
      <c r="H99" s="33">
        <v>0</v>
      </c>
      <c r="I99" s="33">
        <v>0.25758199999999998</v>
      </c>
      <c r="J99" s="33">
        <v>0</v>
      </c>
      <c r="K99" s="33">
        <v>0.25758199999999998</v>
      </c>
      <c r="M99" s="33">
        <v>20.367581999999999</v>
      </c>
      <c r="O99" s="34">
        <v>0.80070241399324205</v>
      </c>
      <c r="Y99" s="34">
        <v>0.81414850939960204</v>
      </c>
      <c r="AI99" s="12"/>
      <c r="AJ99">
        <f t="shared" si="26"/>
        <v>0</v>
      </c>
      <c r="AK99">
        <f t="shared" si="27"/>
        <v>1</v>
      </c>
      <c r="AL99">
        <f t="shared" si="34"/>
        <v>0</v>
      </c>
      <c r="AM99">
        <f t="shared" si="24"/>
        <v>1</v>
      </c>
      <c r="AN99">
        <f t="shared" si="35"/>
        <v>0</v>
      </c>
      <c r="AO99" s="28">
        <f t="shared" si="28"/>
        <v>0</v>
      </c>
      <c r="AP99" s="28">
        <f t="shared" si="29"/>
        <v>0</v>
      </c>
      <c r="AQ99" s="28">
        <f t="shared" si="36"/>
        <v>0</v>
      </c>
      <c r="AR99" s="29">
        <f t="shared" si="37"/>
        <v>0</v>
      </c>
      <c r="AT99" s="12"/>
      <c r="AU99">
        <f t="shared" si="30"/>
        <v>0</v>
      </c>
      <c r="AV99">
        <f t="shared" si="31"/>
        <v>1</v>
      </c>
      <c r="AW99">
        <f t="shared" si="38"/>
        <v>0</v>
      </c>
      <c r="AX99">
        <f t="shared" si="25"/>
        <v>1</v>
      </c>
      <c r="AY99">
        <f t="shared" si="39"/>
        <v>0</v>
      </c>
      <c r="AZ99" s="28">
        <f t="shared" si="32"/>
        <v>0</v>
      </c>
      <c r="BA99" s="28">
        <f t="shared" si="33"/>
        <v>0</v>
      </c>
      <c r="BB99" s="28">
        <f t="shared" si="40"/>
        <v>0</v>
      </c>
      <c r="BC99" s="29">
        <f t="shared" si="41"/>
        <v>0</v>
      </c>
      <c r="BE99" s="29">
        <f t="shared" si="42"/>
        <v>0</v>
      </c>
      <c r="BF99" s="29">
        <f t="shared" si="43"/>
        <v>0</v>
      </c>
      <c r="BH99" s="29"/>
    </row>
    <row r="100" spans="1:60" x14ac:dyDescent="0.25">
      <c r="A100" s="1">
        <v>46168</v>
      </c>
      <c r="C100" s="33">
        <v>20.18</v>
      </c>
      <c r="E100" s="15">
        <v>3.4748111409022299E-3</v>
      </c>
      <c r="F100" s="33">
        <v>0</v>
      </c>
      <c r="G100" s="33">
        <v>0</v>
      </c>
      <c r="H100" s="33">
        <v>0</v>
      </c>
      <c r="I100" s="33">
        <v>0.25758199999999998</v>
      </c>
      <c r="J100" s="33">
        <v>0</v>
      </c>
      <c r="K100" s="33">
        <v>0.25758199999999998</v>
      </c>
      <c r="M100" s="33">
        <v>20.437581999999999</v>
      </c>
      <c r="O100" s="34">
        <v>0.80070241399324205</v>
      </c>
      <c r="Y100" s="34">
        <v>0.81414850939960204</v>
      </c>
      <c r="AI100" s="12"/>
      <c r="AJ100">
        <f t="shared" si="26"/>
        <v>0</v>
      </c>
      <c r="AK100">
        <f t="shared" si="27"/>
        <v>1</v>
      </c>
      <c r="AL100">
        <f t="shared" si="34"/>
        <v>0</v>
      </c>
      <c r="AM100">
        <f t="shared" si="24"/>
        <v>1</v>
      </c>
      <c r="AN100">
        <f t="shared" si="35"/>
        <v>0</v>
      </c>
      <c r="AO100" s="28">
        <f t="shared" si="28"/>
        <v>0</v>
      </c>
      <c r="AP100" s="28">
        <f t="shared" si="29"/>
        <v>0</v>
      </c>
      <c r="AQ100" s="28">
        <f t="shared" si="36"/>
        <v>0</v>
      </c>
      <c r="AR100" s="29">
        <f t="shared" si="37"/>
        <v>0</v>
      </c>
      <c r="AT100" s="12"/>
      <c r="AU100">
        <f t="shared" si="30"/>
        <v>0</v>
      </c>
      <c r="AV100">
        <f t="shared" si="31"/>
        <v>1</v>
      </c>
      <c r="AW100">
        <f t="shared" si="38"/>
        <v>0</v>
      </c>
      <c r="AX100">
        <f t="shared" si="25"/>
        <v>1</v>
      </c>
      <c r="AY100">
        <f t="shared" si="39"/>
        <v>0</v>
      </c>
      <c r="AZ100" s="28">
        <f t="shared" si="32"/>
        <v>0</v>
      </c>
      <c r="BA100" s="28">
        <f t="shared" si="33"/>
        <v>0</v>
      </c>
      <c r="BB100" s="28">
        <f t="shared" si="40"/>
        <v>0</v>
      </c>
      <c r="BC100" s="29">
        <f t="shared" si="41"/>
        <v>0</v>
      </c>
      <c r="BE100" s="29">
        <f t="shared" si="42"/>
        <v>0</v>
      </c>
      <c r="BF100" s="29">
        <f t="shared" si="43"/>
        <v>0</v>
      </c>
      <c r="BH100" s="29"/>
    </row>
    <row r="101" spans="1:60" x14ac:dyDescent="0.25">
      <c r="A101" s="1">
        <v>46169</v>
      </c>
      <c r="C101" s="33">
        <v>20.18</v>
      </c>
      <c r="E101" s="15">
        <v>0</v>
      </c>
      <c r="F101" s="33">
        <v>0</v>
      </c>
      <c r="G101" s="33">
        <v>0</v>
      </c>
      <c r="H101" s="33">
        <v>0</v>
      </c>
      <c r="I101" s="33">
        <v>0.25758199999999998</v>
      </c>
      <c r="J101" s="33">
        <v>0</v>
      </c>
      <c r="K101" s="33">
        <v>0.25758199999999998</v>
      </c>
      <c r="M101" s="33">
        <v>20.437581999999999</v>
      </c>
      <c r="O101" s="34">
        <v>0.80070241399324205</v>
      </c>
      <c r="Y101" s="34">
        <v>0.81414850939960204</v>
      </c>
      <c r="AI101" s="12"/>
      <c r="AJ101">
        <f t="shared" si="26"/>
        <v>0</v>
      </c>
      <c r="AK101">
        <f t="shared" si="27"/>
        <v>1</v>
      </c>
      <c r="AL101">
        <f t="shared" si="34"/>
        <v>0</v>
      </c>
      <c r="AM101">
        <f t="shared" si="24"/>
        <v>1</v>
      </c>
      <c r="AN101">
        <f t="shared" si="35"/>
        <v>0</v>
      </c>
      <c r="AO101" s="28">
        <f t="shared" si="28"/>
        <v>0</v>
      </c>
      <c r="AP101" s="28">
        <f t="shared" si="29"/>
        <v>0</v>
      </c>
      <c r="AQ101" s="28">
        <f t="shared" si="36"/>
        <v>0</v>
      </c>
      <c r="AR101" s="29">
        <f t="shared" si="37"/>
        <v>0</v>
      </c>
      <c r="AT101" s="12"/>
      <c r="AU101">
        <f t="shared" si="30"/>
        <v>0</v>
      </c>
      <c r="AV101">
        <f t="shared" si="31"/>
        <v>1</v>
      </c>
      <c r="AW101">
        <f t="shared" si="38"/>
        <v>0</v>
      </c>
      <c r="AX101">
        <f t="shared" si="25"/>
        <v>1</v>
      </c>
      <c r="AY101">
        <f t="shared" si="39"/>
        <v>0</v>
      </c>
      <c r="AZ101" s="28">
        <f t="shared" si="32"/>
        <v>0</v>
      </c>
      <c r="BA101" s="28">
        <f t="shared" si="33"/>
        <v>0</v>
      </c>
      <c r="BB101" s="28">
        <f t="shared" si="40"/>
        <v>0</v>
      </c>
      <c r="BC101" s="29">
        <f t="shared" si="41"/>
        <v>0</v>
      </c>
      <c r="BE101" s="29">
        <f t="shared" si="42"/>
        <v>0</v>
      </c>
      <c r="BF101" s="29">
        <f t="shared" si="43"/>
        <v>0</v>
      </c>
      <c r="BH101" s="29"/>
    </row>
    <row r="102" spans="1:60" x14ac:dyDescent="0.25">
      <c r="A102" s="1">
        <v>46170</v>
      </c>
      <c r="C102" s="33">
        <v>20.21</v>
      </c>
      <c r="E102" s="15">
        <v>1.4855164900668301E-3</v>
      </c>
      <c r="F102" s="33">
        <v>0</v>
      </c>
      <c r="G102" s="33">
        <v>0</v>
      </c>
      <c r="H102" s="33">
        <v>0</v>
      </c>
      <c r="I102" s="33">
        <v>0.25758199999999998</v>
      </c>
      <c r="J102" s="33">
        <v>0</v>
      </c>
      <c r="K102" s="33">
        <v>0.25758199999999998</v>
      </c>
      <c r="M102" s="33">
        <v>20.467582</v>
      </c>
      <c r="O102" s="34">
        <v>0.80070241399324205</v>
      </c>
      <c r="Y102" s="34">
        <v>0.81414850939960204</v>
      </c>
      <c r="AI102" s="12"/>
      <c r="AJ102">
        <f t="shared" si="26"/>
        <v>0</v>
      </c>
      <c r="AK102">
        <f t="shared" si="27"/>
        <v>1</v>
      </c>
      <c r="AL102">
        <f t="shared" si="34"/>
        <v>0</v>
      </c>
      <c r="AM102">
        <f t="shared" si="24"/>
        <v>1</v>
      </c>
      <c r="AN102">
        <f t="shared" si="35"/>
        <v>0</v>
      </c>
      <c r="AO102" s="28">
        <f t="shared" si="28"/>
        <v>0</v>
      </c>
      <c r="AP102" s="28">
        <f t="shared" si="29"/>
        <v>0</v>
      </c>
      <c r="AQ102" s="28">
        <f t="shared" si="36"/>
        <v>0</v>
      </c>
      <c r="AR102" s="29">
        <f t="shared" si="37"/>
        <v>0</v>
      </c>
      <c r="AT102" s="12"/>
      <c r="AU102">
        <f t="shared" si="30"/>
        <v>0</v>
      </c>
      <c r="AV102">
        <f t="shared" si="31"/>
        <v>1</v>
      </c>
      <c r="AW102">
        <f t="shared" si="38"/>
        <v>0</v>
      </c>
      <c r="AX102">
        <f t="shared" si="25"/>
        <v>1</v>
      </c>
      <c r="AY102">
        <f t="shared" si="39"/>
        <v>0</v>
      </c>
      <c r="AZ102" s="28">
        <f t="shared" si="32"/>
        <v>0</v>
      </c>
      <c r="BA102" s="28">
        <f t="shared" si="33"/>
        <v>0</v>
      </c>
      <c r="BB102" s="28">
        <f t="shared" si="40"/>
        <v>0</v>
      </c>
      <c r="BC102" s="29">
        <f t="shared" si="41"/>
        <v>0</v>
      </c>
      <c r="BE102" s="29">
        <f t="shared" si="42"/>
        <v>0</v>
      </c>
      <c r="BF102" s="29">
        <f t="shared" si="43"/>
        <v>0</v>
      </c>
      <c r="BH102" s="29"/>
    </row>
    <row r="103" spans="1:60" x14ac:dyDescent="0.25">
      <c r="A103" s="1">
        <v>46171</v>
      </c>
      <c r="C103" s="33">
        <v>20.23</v>
      </c>
      <c r="E103" s="15">
        <v>9.8911976412440492E-4</v>
      </c>
      <c r="F103" s="33">
        <v>0</v>
      </c>
      <c r="G103" s="33">
        <v>0</v>
      </c>
      <c r="H103" s="33">
        <v>0</v>
      </c>
      <c r="I103" s="33">
        <v>0.25758199999999998</v>
      </c>
      <c r="J103" s="33">
        <v>0</v>
      </c>
      <c r="K103" s="33">
        <v>0.25758199999999998</v>
      </c>
      <c r="M103" s="33">
        <v>20.487582</v>
      </c>
      <c r="O103" s="34">
        <v>0.80070241399324205</v>
      </c>
      <c r="Y103" s="34">
        <v>0.81414850939960204</v>
      </c>
      <c r="AI103" s="12"/>
      <c r="AJ103">
        <f t="shared" si="26"/>
        <v>0</v>
      </c>
      <c r="AK103">
        <f t="shared" si="27"/>
        <v>1</v>
      </c>
      <c r="AL103">
        <f t="shared" si="34"/>
        <v>0</v>
      </c>
      <c r="AM103">
        <f t="shared" si="24"/>
        <v>0</v>
      </c>
      <c r="AN103">
        <f t="shared" si="35"/>
        <v>0</v>
      </c>
      <c r="AO103" s="28">
        <f t="shared" si="28"/>
        <v>0</v>
      </c>
      <c r="AP103" s="28">
        <f t="shared" si="29"/>
        <v>0</v>
      </c>
      <c r="AQ103" s="28">
        <f t="shared" si="36"/>
        <v>0</v>
      </c>
      <c r="AR103" s="29">
        <f t="shared" si="37"/>
        <v>0</v>
      </c>
      <c r="AT103" s="12"/>
      <c r="AU103">
        <f t="shared" si="30"/>
        <v>0</v>
      </c>
      <c r="AV103">
        <f t="shared" si="31"/>
        <v>1</v>
      </c>
      <c r="AW103">
        <f t="shared" si="38"/>
        <v>0</v>
      </c>
      <c r="AX103">
        <f t="shared" si="25"/>
        <v>0</v>
      </c>
      <c r="AY103">
        <f t="shared" si="39"/>
        <v>0</v>
      </c>
      <c r="AZ103" s="28">
        <f t="shared" si="32"/>
        <v>0</v>
      </c>
      <c r="BA103" s="28">
        <f t="shared" si="33"/>
        <v>0</v>
      </c>
      <c r="BB103" s="28">
        <f t="shared" si="40"/>
        <v>0</v>
      </c>
      <c r="BC103" s="29">
        <f t="shared" si="41"/>
        <v>0</v>
      </c>
      <c r="BE103" s="29">
        <f t="shared" si="42"/>
        <v>0</v>
      </c>
      <c r="BF103" s="29">
        <f t="shared" si="43"/>
        <v>0</v>
      </c>
      <c r="BH103" s="29"/>
    </row>
    <row r="104" spans="1:60" x14ac:dyDescent="0.25">
      <c r="A104" s="1">
        <v>46174</v>
      </c>
      <c r="C104" s="33">
        <v>20.14</v>
      </c>
      <c r="E104" s="15">
        <v>-4.4587638892378901E-3</v>
      </c>
      <c r="F104" s="33">
        <v>0</v>
      </c>
      <c r="G104" s="33">
        <v>0</v>
      </c>
      <c r="H104" s="33">
        <v>6.8459000000000006E-2</v>
      </c>
      <c r="I104" s="33">
        <v>0.32604100000000003</v>
      </c>
      <c r="J104" s="33">
        <v>0</v>
      </c>
      <c r="K104" s="33">
        <v>0.32604100000000003</v>
      </c>
      <c r="M104" s="33">
        <v>20.466041000000001</v>
      </c>
      <c r="O104" s="34">
        <v>0.80070241399324205</v>
      </c>
      <c r="Y104" s="34">
        <v>0.81414850939960204</v>
      </c>
      <c r="AI104" s="12"/>
      <c r="AJ104">
        <f t="shared" si="26"/>
        <v>0</v>
      </c>
      <c r="AK104">
        <f t="shared" si="27"/>
        <v>1</v>
      </c>
      <c r="AL104">
        <f t="shared" si="34"/>
        <v>0</v>
      </c>
      <c r="AM104">
        <f t="shared" si="24"/>
        <v>1</v>
      </c>
      <c r="AN104">
        <f t="shared" si="35"/>
        <v>0</v>
      </c>
      <c r="AO104" s="28">
        <f t="shared" si="28"/>
        <v>0</v>
      </c>
      <c r="AP104" s="28">
        <f t="shared" si="29"/>
        <v>0</v>
      </c>
      <c r="AQ104" s="28">
        <f t="shared" si="36"/>
        <v>0</v>
      </c>
      <c r="AR104" s="29">
        <f t="shared" si="37"/>
        <v>0</v>
      </c>
      <c r="AT104" s="12"/>
      <c r="AU104">
        <f t="shared" si="30"/>
        <v>0</v>
      </c>
      <c r="AV104">
        <f t="shared" si="31"/>
        <v>1</v>
      </c>
      <c r="AW104">
        <f t="shared" si="38"/>
        <v>0</v>
      </c>
      <c r="AX104">
        <f t="shared" si="25"/>
        <v>1</v>
      </c>
      <c r="AY104">
        <f t="shared" si="39"/>
        <v>0</v>
      </c>
      <c r="AZ104" s="28">
        <f t="shared" si="32"/>
        <v>0</v>
      </c>
      <c r="BA104" s="28">
        <f t="shared" si="33"/>
        <v>0</v>
      </c>
      <c r="BB104" s="28">
        <f t="shared" si="40"/>
        <v>0</v>
      </c>
      <c r="BC104" s="29">
        <f t="shared" si="41"/>
        <v>0</v>
      </c>
      <c r="BE104" s="29">
        <f t="shared" si="42"/>
        <v>0</v>
      </c>
      <c r="BF104" s="29">
        <f t="shared" si="43"/>
        <v>0</v>
      </c>
      <c r="BH104" s="29"/>
    </row>
    <row r="105" spans="1:60" x14ac:dyDescent="0.25">
      <c r="A105" s="1">
        <v>46175</v>
      </c>
      <c r="C105" s="33">
        <v>20.14</v>
      </c>
      <c r="E105" s="15">
        <v>0</v>
      </c>
      <c r="F105" s="33">
        <v>0</v>
      </c>
      <c r="G105" s="33">
        <v>0</v>
      </c>
      <c r="H105" s="33">
        <v>0</v>
      </c>
      <c r="I105" s="33">
        <v>0.32604100000000003</v>
      </c>
      <c r="J105" s="33">
        <v>0</v>
      </c>
      <c r="K105" s="33">
        <v>0.32604100000000003</v>
      </c>
      <c r="M105" s="33">
        <v>20.466041000000001</v>
      </c>
      <c r="O105" s="34">
        <v>0.80070241399324205</v>
      </c>
      <c r="Y105" s="34">
        <v>0.81414850939960204</v>
      </c>
      <c r="AI105" s="12"/>
      <c r="AJ105">
        <f t="shared" si="26"/>
        <v>0</v>
      </c>
      <c r="AK105">
        <f t="shared" si="27"/>
        <v>1</v>
      </c>
      <c r="AL105">
        <f t="shared" si="34"/>
        <v>0</v>
      </c>
      <c r="AM105">
        <f t="shared" si="24"/>
        <v>1</v>
      </c>
      <c r="AN105">
        <f t="shared" si="35"/>
        <v>0</v>
      </c>
      <c r="AO105" s="28">
        <f t="shared" si="28"/>
        <v>0</v>
      </c>
      <c r="AP105" s="28">
        <f t="shared" si="29"/>
        <v>0</v>
      </c>
      <c r="AQ105" s="28">
        <f t="shared" si="36"/>
        <v>0</v>
      </c>
      <c r="AR105" s="29">
        <f t="shared" si="37"/>
        <v>0</v>
      </c>
      <c r="AT105" s="12"/>
      <c r="AU105">
        <f t="shared" si="30"/>
        <v>0</v>
      </c>
      <c r="AV105">
        <f t="shared" si="31"/>
        <v>1</v>
      </c>
      <c r="AW105">
        <f t="shared" si="38"/>
        <v>0</v>
      </c>
      <c r="AX105">
        <f t="shared" si="25"/>
        <v>1</v>
      </c>
      <c r="AY105">
        <f t="shared" si="39"/>
        <v>0</v>
      </c>
      <c r="AZ105" s="28">
        <f t="shared" si="32"/>
        <v>0</v>
      </c>
      <c r="BA105" s="28">
        <f t="shared" si="33"/>
        <v>0</v>
      </c>
      <c r="BB105" s="28">
        <f t="shared" si="40"/>
        <v>0</v>
      </c>
      <c r="BC105" s="29">
        <f t="shared" si="41"/>
        <v>0</v>
      </c>
      <c r="BE105" s="29">
        <f t="shared" si="42"/>
        <v>0</v>
      </c>
      <c r="BF105" s="29">
        <f t="shared" si="43"/>
        <v>0</v>
      </c>
      <c r="BH105" s="29"/>
    </row>
    <row r="106" spans="1:60" x14ac:dyDescent="0.25">
      <c r="A106" s="1">
        <v>46176</v>
      </c>
      <c r="C106" s="33">
        <v>20.11</v>
      </c>
      <c r="E106" s="15">
        <v>-1.4906835058555699E-3</v>
      </c>
      <c r="F106" s="33">
        <v>0</v>
      </c>
      <c r="G106" s="33">
        <v>0</v>
      </c>
      <c r="H106" s="33">
        <v>0</v>
      </c>
      <c r="I106" s="33">
        <v>0.32604100000000003</v>
      </c>
      <c r="J106" s="33">
        <v>0</v>
      </c>
      <c r="K106" s="33">
        <v>0.32604100000000003</v>
      </c>
      <c r="M106" s="33">
        <v>20.436040999999999</v>
      </c>
      <c r="O106" s="34">
        <v>0.80070241399324205</v>
      </c>
      <c r="Y106" s="34">
        <v>0.81414850939960204</v>
      </c>
      <c r="AI106" s="12"/>
      <c r="AJ106">
        <f t="shared" si="26"/>
        <v>0</v>
      </c>
      <c r="AK106">
        <f t="shared" si="27"/>
        <v>1</v>
      </c>
      <c r="AL106">
        <f t="shared" si="34"/>
        <v>0</v>
      </c>
      <c r="AM106">
        <f t="shared" si="24"/>
        <v>1</v>
      </c>
      <c r="AN106">
        <f t="shared" si="35"/>
        <v>0</v>
      </c>
      <c r="AO106" s="28">
        <f t="shared" si="28"/>
        <v>0</v>
      </c>
      <c r="AP106" s="28">
        <f t="shared" si="29"/>
        <v>0</v>
      </c>
      <c r="AQ106" s="28">
        <f t="shared" si="36"/>
        <v>0</v>
      </c>
      <c r="AR106" s="29">
        <f t="shared" si="37"/>
        <v>0</v>
      </c>
      <c r="AT106" s="12"/>
      <c r="AU106">
        <f t="shared" si="30"/>
        <v>0</v>
      </c>
      <c r="AV106">
        <f t="shared" si="31"/>
        <v>1</v>
      </c>
      <c r="AW106">
        <f t="shared" si="38"/>
        <v>0</v>
      </c>
      <c r="AX106">
        <f t="shared" si="25"/>
        <v>1</v>
      </c>
      <c r="AY106">
        <f t="shared" si="39"/>
        <v>0</v>
      </c>
      <c r="AZ106" s="28">
        <f t="shared" si="32"/>
        <v>0</v>
      </c>
      <c r="BA106" s="28">
        <f t="shared" si="33"/>
        <v>0</v>
      </c>
      <c r="BB106" s="28">
        <f t="shared" si="40"/>
        <v>0</v>
      </c>
      <c r="BC106" s="29">
        <f t="shared" si="41"/>
        <v>0</v>
      </c>
      <c r="BE106" s="29">
        <f t="shared" si="42"/>
        <v>0</v>
      </c>
      <c r="BF106" s="29">
        <f t="shared" si="43"/>
        <v>0</v>
      </c>
      <c r="BH106" s="29"/>
    </row>
    <row r="107" spans="1:60" x14ac:dyDescent="0.25">
      <c r="A107" s="1">
        <v>46177</v>
      </c>
      <c r="C107" s="33">
        <v>20.13</v>
      </c>
      <c r="E107" s="15">
        <v>9.9403586713947491E-4</v>
      </c>
      <c r="F107" s="33">
        <v>0</v>
      </c>
      <c r="G107" s="33">
        <v>0</v>
      </c>
      <c r="H107" s="33">
        <v>0</v>
      </c>
      <c r="I107" s="33">
        <v>0.32604100000000003</v>
      </c>
      <c r="J107" s="33">
        <v>0</v>
      </c>
      <c r="K107" s="33">
        <v>0.32604100000000003</v>
      </c>
      <c r="M107" s="33">
        <v>20.456040999999999</v>
      </c>
      <c r="O107" s="34">
        <v>0.80070241399324205</v>
      </c>
      <c r="Y107" s="34">
        <v>0.81414850939960204</v>
      </c>
      <c r="AI107" s="12"/>
      <c r="AJ107">
        <f t="shared" si="26"/>
        <v>0</v>
      </c>
      <c r="AK107">
        <f t="shared" si="27"/>
        <v>1</v>
      </c>
      <c r="AL107">
        <f t="shared" si="34"/>
        <v>0</v>
      </c>
      <c r="AM107">
        <f t="shared" si="24"/>
        <v>1</v>
      </c>
      <c r="AN107">
        <f t="shared" si="35"/>
        <v>0</v>
      </c>
      <c r="AO107" s="28">
        <f t="shared" si="28"/>
        <v>0</v>
      </c>
      <c r="AP107" s="28">
        <f t="shared" si="29"/>
        <v>0</v>
      </c>
      <c r="AQ107" s="28">
        <f t="shared" si="36"/>
        <v>0</v>
      </c>
      <c r="AR107" s="29">
        <f t="shared" si="37"/>
        <v>0</v>
      </c>
      <c r="AT107" s="12"/>
      <c r="AU107">
        <f t="shared" si="30"/>
        <v>0</v>
      </c>
      <c r="AV107">
        <f t="shared" si="31"/>
        <v>1</v>
      </c>
      <c r="AW107">
        <f t="shared" si="38"/>
        <v>0</v>
      </c>
      <c r="AX107">
        <f t="shared" si="25"/>
        <v>1</v>
      </c>
      <c r="AY107">
        <f t="shared" si="39"/>
        <v>0</v>
      </c>
      <c r="AZ107" s="28">
        <f t="shared" si="32"/>
        <v>0</v>
      </c>
      <c r="BA107" s="28">
        <f t="shared" si="33"/>
        <v>0</v>
      </c>
      <c r="BB107" s="28">
        <f t="shared" si="40"/>
        <v>0</v>
      </c>
      <c r="BC107" s="29">
        <f t="shared" si="41"/>
        <v>0</v>
      </c>
      <c r="BE107" s="29">
        <f t="shared" si="42"/>
        <v>0</v>
      </c>
      <c r="BF107" s="29">
        <f t="shared" si="43"/>
        <v>0</v>
      </c>
      <c r="BH107" s="29"/>
    </row>
    <row r="108" spans="1:60" x14ac:dyDescent="0.25">
      <c r="A108" s="1">
        <v>46178</v>
      </c>
      <c r="C108" s="33">
        <v>20.05</v>
      </c>
      <c r="E108" s="15">
        <v>-3.9820858991218401E-3</v>
      </c>
      <c r="F108" s="33">
        <v>0</v>
      </c>
      <c r="G108" s="33">
        <v>0</v>
      </c>
      <c r="H108" s="33">
        <v>0</v>
      </c>
      <c r="I108" s="33">
        <v>0.32604100000000003</v>
      </c>
      <c r="J108" s="33">
        <v>0</v>
      </c>
      <c r="K108" s="33">
        <v>0.32604100000000003</v>
      </c>
      <c r="M108" s="33">
        <v>20.376041000000001</v>
      </c>
      <c r="O108" s="34">
        <v>0.80070241399324205</v>
      </c>
      <c r="Y108" s="34">
        <v>0.81414850939960204</v>
      </c>
      <c r="AI108" s="12"/>
      <c r="AJ108">
        <f t="shared" si="26"/>
        <v>0</v>
      </c>
      <c r="AK108">
        <f t="shared" si="27"/>
        <v>1</v>
      </c>
      <c r="AL108">
        <f t="shared" si="34"/>
        <v>0</v>
      </c>
      <c r="AM108">
        <f t="shared" si="24"/>
        <v>1</v>
      </c>
      <c r="AN108">
        <f t="shared" si="35"/>
        <v>0</v>
      </c>
      <c r="AO108" s="28">
        <f t="shared" si="28"/>
        <v>0</v>
      </c>
      <c r="AP108" s="28">
        <f t="shared" si="29"/>
        <v>0</v>
      </c>
      <c r="AQ108" s="28">
        <f t="shared" si="36"/>
        <v>0</v>
      </c>
      <c r="AR108" s="29">
        <f t="shared" si="37"/>
        <v>0</v>
      </c>
      <c r="AT108" s="12"/>
      <c r="AU108">
        <f t="shared" si="30"/>
        <v>0</v>
      </c>
      <c r="AV108">
        <f t="shared" si="31"/>
        <v>1</v>
      </c>
      <c r="AW108">
        <f t="shared" si="38"/>
        <v>0</v>
      </c>
      <c r="AX108">
        <f t="shared" si="25"/>
        <v>1</v>
      </c>
      <c r="AY108">
        <f t="shared" si="39"/>
        <v>0</v>
      </c>
      <c r="AZ108" s="28">
        <f t="shared" si="32"/>
        <v>0</v>
      </c>
      <c r="BA108" s="28">
        <f t="shared" si="33"/>
        <v>0</v>
      </c>
      <c r="BB108" s="28">
        <f t="shared" si="40"/>
        <v>0</v>
      </c>
      <c r="BC108" s="29">
        <f t="shared" si="41"/>
        <v>0</v>
      </c>
      <c r="BE108" s="29">
        <f t="shared" si="42"/>
        <v>0</v>
      </c>
      <c r="BF108" s="29">
        <f t="shared" si="43"/>
        <v>0</v>
      </c>
      <c r="BH108" s="29"/>
    </row>
    <row r="109" spans="1:60" x14ac:dyDescent="0.25">
      <c r="A109" s="1">
        <v>46181</v>
      </c>
      <c r="C109" s="33">
        <v>20.05</v>
      </c>
      <c r="E109" s="15">
        <v>0</v>
      </c>
      <c r="F109" s="33">
        <v>0</v>
      </c>
      <c r="G109" s="33">
        <v>0</v>
      </c>
      <c r="H109" s="33">
        <v>0</v>
      </c>
      <c r="I109" s="33">
        <v>0.32604100000000003</v>
      </c>
      <c r="J109" s="33">
        <v>0</v>
      </c>
      <c r="K109" s="33">
        <v>0.32604100000000003</v>
      </c>
      <c r="M109" s="33">
        <v>20.376041000000001</v>
      </c>
      <c r="O109" s="34">
        <v>0.80070241399324205</v>
      </c>
      <c r="Y109" s="34">
        <v>0.81414850939960204</v>
      </c>
      <c r="AI109" s="12"/>
      <c r="AJ109">
        <f t="shared" si="26"/>
        <v>0</v>
      </c>
      <c r="AK109">
        <f t="shared" si="27"/>
        <v>1</v>
      </c>
      <c r="AL109">
        <f t="shared" si="34"/>
        <v>0</v>
      </c>
      <c r="AM109">
        <f t="shared" si="24"/>
        <v>1</v>
      </c>
      <c r="AN109">
        <f t="shared" si="35"/>
        <v>0</v>
      </c>
      <c r="AO109" s="28">
        <f t="shared" si="28"/>
        <v>0</v>
      </c>
      <c r="AP109" s="28">
        <f t="shared" si="29"/>
        <v>0</v>
      </c>
      <c r="AQ109" s="28">
        <f t="shared" si="36"/>
        <v>0</v>
      </c>
      <c r="AR109" s="29">
        <f t="shared" si="37"/>
        <v>0</v>
      </c>
      <c r="AT109" s="12"/>
      <c r="AU109">
        <f t="shared" si="30"/>
        <v>0</v>
      </c>
      <c r="AV109">
        <f t="shared" si="31"/>
        <v>1</v>
      </c>
      <c r="AW109">
        <f t="shared" si="38"/>
        <v>0</v>
      </c>
      <c r="AX109">
        <f t="shared" si="25"/>
        <v>1</v>
      </c>
      <c r="AY109">
        <f t="shared" si="39"/>
        <v>0</v>
      </c>
      <c r="AZ109" s="28">
        <f t="shared" si="32"/>
        <v>0</v>
      </c>
      <c r="BA109" s="28">
        <f t="shared" si="33"/>
        <v>0</v>
      </c>
      <c r="BB109" s="28">
        <f t="shared" si="40"/>
        <v>0</v>
      </c>
      <c r="BC109" s="29">
        <f t="shared" si="41"/>
        <v>0</v>
      </c>
      <c r="BE109" s="29">
        <f t="shared" si="42"/>
        <v>0</v>
      </c>
      <c r="BF109" s="29">
        <f t="shared" si="43"/>
        <v>0</v>
      </c>
      <c r="BH109" s="29"/>
    </row>
    <row r="110" spans="1:60" x14ac:dyDescent="0.25">
      <c r="A110" s="1">
        <v>46182</v>
      </c>
      <c r="C110" s="33">
        <v>20.07</v>
      </c>
      <c r="E110" s="15">
        <v>9.9700905566847404E-4</v>
      </c>
      <c r="F110" s="33">
        <v>0</v>
      </c>
      <c r="G110" s="33">
        <v>0</v>
      </c>
      <c r="H110" s="33">
        <v>0</v>
      </c>
      <c r="I110" s="33">
        <v>0.32604100000000003</v>
      </c>
      <c r="J110" s="33">
        <v>0</v>
      </c>
      <c r="K110" s="33">
        <v>0.32604100000000003</v>
      </c>
      <c r="M110" s="33">
        <v>20.396041</v>
      </c>
      <c r="O110" s="34">
        <v>0.80070241399324205</v>
      </c>
      <c r="Y110" s="34">
        <v>0.81414850939960204</v>
      </c>
      <c r="AI110" s="12"/>
      <c r="AJ110">
        <f t="shared" si="26"/>
        <v>0</v>
      </c>
      <c r="AK110">
        <f t="shared" si="27"/>
        <v>1</v>
      </c>
      <c r="AL110">
        <f t="shared" si="34"/>
        <v>0</v>
      </c>
      <c r="AM110">
        <f t="shared" si="24"/>
        <v>1</v>
      </c>
      <c r="AN110">
        <f t="shared" si="35"/>
        <v>0</v>
      </c>
      <c r="AO110" s="28">
        <f t="shared" si="28"/>
        <v>0</v>
      </c>
      <c r="AP110" s="28">
        <f t="shared" si="29"/>
        <v>0</v>
      </c>
      <c r="AQ110" s="28">
        <f t="shared" si="36"/>
        <v>0</v>
      </c>
      <c r="AR110" s="29">
        <f t="shared" si="37"/>
        <v>0</v>
      </c>
      <c r="AT110" s="12"/>
      <c r="AU110">
        <f t="shared" si="30"/>
        <v>0</v>
      </c>
      <c r="AV110">
        <f t="shared" si="31"/>
        <v>1</v>
      </c>
      <c r="AW110">
        <f t="shared" si="38"/>
        <v>0</v>
      </c>
      <c r="AX110">
        <f t="shared" si="25"/>
        <v>1</v>
      </c>
      <c r="AY110">
        <f t="shared" si="39"/>
        <v>0</v>
      </c>
      <c r="AZ110" s="28">
        <f t="shared" si="32"/>
        <v>0</v>
      </c>
      <c r="BA110" s="28">
        <f t="shared" si="33"/>
        <v>0</v>
      </c>
      <c r="BB110" s="28">
        <f t="shared" si="40"/>
        <v>0</v>
      </c>
      <c r="BC110" s="29">
        <f t="shared" si="41"/>
        <v>0</v>
      </c>
      <c r="BE110" s="29">
        <f t="shared" si="42"/>
        <v>0</v>
      </c>
      <c r="BF110" s="29">
        <f t="shared" si="43"/>
        <v>0</v>
      </c>
      <c r="BH110" s="29"/>
    </row>
    <row r="111" spans="1:60" x14ac:dyDescent="0.25">
      <c r="A111" s="1">
        <v>46183</v>
      </c>
      <c r="B111" s="33">
        <v>25.05</v>
      </c>
      <c r="C111" s="33">
        <v>20.07</v>
      </c>
      <c r="E111" s="15">
        <v>0</v>
      </c>
      <c r="F111" s="33">
        <v>0</v>
      </c>
      <c r="G111" s="33">
        <v>0</v>
      </c>
      <c r="H111" s="33">
        <v>0</v>
      </c>
      <c r="I111" s="33">
        <v>0.32604100000000003</v>
      </c>
      <c r="J111" s="33">
        <v>0</v>
      </c>
      <c r="K111" s="33">
        <v>0.32604100000000003</v>
      </c>
      <c r="L111" s="33">
        <v>25.05</v>
      </c>
      <c r="M111" s="33">
        <v>20.396041</v>
      </c>
      <c r="N111" s="34">
        <v>0.80119760479041902</v>
      </c>
      <c r="O111" s="34">
        <v>0.80070241399324205</v>
      </c>
      <c r="R111" s="33">
        <v>20.0575954705307</v>
      </c>
      <c r="U111" s="15">
        <v>-6.1825433191059205E-4</v>
      </c>
      <c r="X111" s="34">
        <v>0.81421321357285403</v>
      </c>
      <c r="Y111" s="34">
        <v>0.81414850939960204</v>
      </c>
      <c r="AB111" s="33">
        <v>20.394420160460001</v>
      </c>
      <c r="AE111" s="15">
        <v>-7.9471498713429601E-5</v>
      </c>
      <c r="AI111" s="12"/>
      <c r="AJ111">
        <f t="shared" si="26"/>
        <v>0</v>
      </c>
      <c r="AK111">
        <f t="shared" si="27"/>
        <v>1</v>
      </c>
      <c r="AL111">
        <f t="shared" si="34"/>
        <v>0</v>
      </c>
      <c r="AM111">
        <f t="shared" si="24"/>
        <v>1</v>
      </c>
      <c r="AN111">
        <f t="shared" si="35"/>
        <v>0</v>
      </c>
      <c r="AO111" s="28">
        <f t="shared" si="28"/>
        <v>0</v>
      </c>
      <c r="AP111" s="28">
        <f t="shared" si="29"/>
        <v>0</v>
      </c>
      <c r="AQ111" s="28">
        <f t="shared" si="36"/>
        <v>0</v>
      </c>
      <c r="AR111" s="29">
        <f t="shared" si="37"/>
        <v>0</v>
      </c>
      <c r="AT111" s="12"/>
      <c r="AU111">
        <f t="shared" si="30"/>
        <v>0</v>
      </c>
      <c r="AV111">
        <f t="shared" si="31"/>
        <v>1</v>
      </c>
      <c r="AW111">
        <f t="shared" si="38"/>
        <v>0</v>
      </c>
      <c r="AX111">
        <f t="shared" si="25"/>
        <v>1</v>
      </c>
      <c r="AY111">
        <f t="shared" si="39"/>
        <v>0</v>
      </c>
      <c r="AZ111" s="28">
        <f t="shared" si="32"/>
        <v>0</v>
      </c>
      <c r="BA111" s="28">
        <f t="shared" si="33"/>
        <v>0</v>
      </c>
      <c r="BB111" s="28">
        <f t="shared" si="40"/>
        <v>0</v>
      </c>
      <c r="BC111" s="29">
        <f t="shared" si="41"/>
        <v>0</v>
      </c>
      <c r="BE111" s="29">
        <f t="shared" si="42"/>
        <v>0</v>
      </c>
      <c r="BF111" s="29">
        <f t="shared" si="43"/>
        <v>0</v>
      </c>
      <c r="BH111" s="29"/>
    </row>
    <row r="112" spans="1:60" x14ac:dyDescent="0.25">
      <c r="A112" s="1">
        <v>46184</v>
      </c>
      <c r="B112" s="33">
        <v>25.16</v>
      </c>
      <c r="C112" s="33">
        <v>20.16</v>
      </c>
      <c r="D112" s="15">
        <v>4.3816043013658601E-3</v>
      </c>
      <c r="E112" s="15">
        <v>4.4742803949210999E-3</v>
      </c>
      <c r="F112" s="33">
        <v>0</v>
      </c>
      <c r="G112" s="33">
        <v>0</v>
      </c>
      <c r="H112" s="33">
        <v>0</v>
      </c>
      <c r="I112" s="33">
        <v>0.32604100000000003</v>
      </c>
      <c r="J112" s="33">
        <v>0</v>
      </c>
      <c r="K112" s="33">
        <v>0.32604100000000003</v>
      </c>
      <c r="L112" s="33">
        <v>25.16</v>
      </c>
      <c r="M112" s="33">
        <v>20.486041</v>
      </c>
      <c r="N112" s="34">
        <v>0.80127186009538898</v>
      </c>
      <c r="O112" s="34">
        <v>0.80070241399324205</v>
      </c>
      <c r="R112" s="33">
        <v>20.145672736069901</v>
      </c>
      <c r="U112" s="15">
        <v>-7.1093042546580302E-4</v>
      </c>
      <c r="X112" s="34">
        <v>0.81423056438791697</v>
      </c>
      <c r="Y112" s="34">
        <v>0.81414850939960204</v>
      </c>
      <c r="AB112" s="33">
        <v>20.483976496493899</v>
      </c>
      <c r="AE112" s="15">
        <v>-1.00781187507686E-4</v>
      </c>
      <c r="AI112" s="12"/>
      <c r="AJ112">
        <f t="shared" si="26"/>
        <v>0</v>
      </c>
      <c r="AK112">
        <f t="shared" si="27"/>
        <v>1</v>
      </c>
      <c r="AL112">
        <f t="shared" si="34"/>
        <v>0</v>
      </c>
      <c r="AM112">
        <f t="shared" si="24"/>
        <v>1</v>
      </c>
      <c r="AN112">
        <f t="shared" si="35"/>
        <v>0</v>
      </c>
      <c r="AO112" s="28">
        <f t="shared" si="28"/>
        <v>0</v>
      </c>
      <c r="AP112" s="28">
        <f t="shared" si="29"/>
        <v>0</v>
      </c>
      <c r="AQ112" s="28">
        <f t="shared" si="36"/>
        <v>0</v>
      </c>
      <c r="AR112" s="29">
        <f t="shared" si="37"/>
        <v>0</v>
      </c>
      <c r="AT112" s="12"/>
      <c r="AU112">
        <f t="shared" si="30"/>
        <v>0</v>
      </c>
      <c r="AV112">
        <f t="shared" si="31"/>
        <v>1</v>
      </c>
      <c r="AW112">
        <f t="shared" si="38"/>
        <v>0</v>
      </c>
      <c r="AX112">
        <f t="shared" si="25"/>
        <v>1</v>
      </c>
      <c r="AY112">
        <f t="shared" si="39"/>
        <v>0</v>
      </c>
      <c r="AZ112" s="28">
        <f t="shared" si="32"/>
        <v>0</v>
      </c>
      <c r="BA112" s="28">
        <f t="shared" si="33"/>
        <v>0</v>
      </c>
      <c r="BB112" s="28">
        <f t="shared" si="40"/>
        <v>0</v>
      </c>
      <c r="BC112" s="29">
        <f t="shared" si="41"/>
        <v>0</v>
      </c>
      <c r="BE112" s="29">
        <f t="shared" si="42"/>
        <v>0</v>
      </c>
      <c r="BF112" s="29">
        <f t="shared" si="43"/>
        <v>0</v>
      </c>
      <c r="BH112" s="29"/>
    </row>
    <row r="113" spans="1:60" x14ac:dyDescent="0.25">
      <c r="A113" s="1">
        <v>46185</v>
      </c>
      <c r="B113" s="33">
        <v>25.13</v>
      </c>
      <c r="C113" s="33">
        <v>20.13</v>
      </c>
      <c r="D113" s="15">
        <v>-1.1930802767390501E-3</v>
      </c>
      <c r="E113" s="15">
        <v>-1.48920355146785E-3</v>
      </c>
      <c r="F113" s="33">
        <v>0</v>
      </c>
      <c r="G113" s="33">
        <v>0</v>
      </c>
      <c r="H113" s="33">
        <v>0</v>
      </c>
      <c r="I113" s="33">
        <v>0.32604100000000003</v>
      </c>
      <c r="J113" s="33">
        <v>0</v>
      </c>
      <c r="K113" s="33">
        <v>0.32604100000000003</v>
      </c>
      <c r="L113" s="33">
        <v>25.13</v>
      </c>
      <c r="M113" s="33">
        <v>20.456040999999999</v>
      </c>
      <c r="N113" s="34">
        <v>0.80103461997612402</v>
      </c>
      <c r="O113" s="34">
        <v>0.80070241399324205</v>
      </c>
      <c r="R113" s="33">
        <v>20.121651663650098</v>
      </c>
      <c r="U113" s="15">
        <v>-4.1480715073715502E-4</v>
      </c>
      <c r="X113" s="34">
        <v>0.814008794269797</v>
      </c>
      <c r="Y113" s="34">
        <v>0.81414850939960204</v>
      </c>
      <c r="AB113" s="33">
        <v>20.459552041212</v>
      </c>
      <c r="AE113" s="15">
        <v>1.7162362608718701E-4</v>
      </c>
      <c r="AI113" s="12"/>
      <c r="AJ113">
        <f t="shared" si="26"/>
        <v>0</v>
      </c>
      <c r="AK113">
        <f t="shared" si="27"/>
        <v>1</v>
      </c>
      <c r="AL113">
        <f t="shared" si="34"/>
        <v>0</v>
      </c>
      <c r="AM113">
        <f t="shared" si="24"/>
        <v>1</v>
      </c>
      <c r="AN113">
        <f t="shared" si="35"/>
        <v>0</v>
      </c>
      <c r="AO113" s="28">
        <f t="shared" si="28"/>
        <v>0</v>
      </c>
      <c r="AP113" s="28">
        <f t="shared" si="29"/>
        <v>0</v>
      </c>
      <c r="AQ113" s="28">
        <f t="shared" si="36"/>
        <v>0</v>
      </c>
      <c r="AR113" s="29">
        <f t="shared" si="37"/>
        <v>0</v>
      </c>
      <c r="AT113" s="12"/>
      <c r="AU113">
        <f t="shared" si="30"/>
        <v>0</v>
      </c>
      <c r="AV113">
        <f t="shared" si="31"/>
        <v>1</v>
      </c>
      <c r="AW113">
        <f t="shared" si="38"/>
        <v>0</v>
      </c>
      <c r="AX113">
        <f t="shared" si="25"/>
        <v>1</v>
      </c>
      <c r="AY113">
        <f t="shared" si="39"/>
        <v>0</v>
      </c>
      <c r="AZ113" s="28">
        <f t="shared" si="32"/>
        <v>0</v>
      </c>
      <c r="BA113" s="28">
        <f t="shared" si="33"/>
        <v>0</v>
      </c>
      <c r="BB113" s="28">
        <f t="shared" si="40"/>
        <v>0</v>
      </c>
      <c r="BC113" s="29">
        <f t="shared" si="41"/>
        <v>0</v>
      </c>
      <c r="BE113" s="29">
        <f t="shared" si="42"/>
        <v>0</v>
      </c>
      <c r="BF113" s="29">
        <f t="shared" si="43"/>
        <v>0</v>
      </c>
      <c r="BH113" s="29"/>
    </row>
    <row r="114" spans="1:60" x14ac:dyDescent="0.25">
      <c r="A114" s="1">
        <v>46188</v>
      </c>
      <c r="B114" s="33">
        <v>25.16</v>
      </c>
      <c r="C114" s="33">
        <v>20.16</v>
      </c>
      <c r="D114" s="15">
        <v>1.1930802767389701E-3</v>
      </c>
      <c r="E114" s="15">
        <v>1.4892035514678301E-3</v>
      </c>
      <c r="F114" s="33">
        <v>0</v>
      </c>
      <c r="G114" s="33">
        <v>0</v>
      </c>
      <c r="H114" s="33">
        <v>0</v>
      </c>
      <c r="I114" s="33">
        <v>0.32604100000000003</v>
      </c>
      <c r="J114" s="33">
        <v>0</v>
      </c>
      <c r="K114" s="33">
        <v>0.32604100000000003</v>
      </c>
      <c r="L114" s="33">
        <v>25.16</v>
      </c>
      <c r="M114" s="33">
        <v>20.486041</v>
      </c>
      <c r="N114" s="34">
        <v>0.80127186009538898</v>
      </c>
      <c r="O114" s="34">
        <v>0.80070241399324205</v>
      </c>
      <c r="R114" s="33">
        <v>20.145672736069901</v>
      </c>
      <c r="U114" s="15">
        <v>-7.1093042546580302E-4</v>
      </c>
      <c r="X114" s="34">
        <v>0.81423056438791697</v>
      </c>
      <c r="Y114" s="34">
        <v>0.81414850939960204</v>
      </c>
      <c r="AB114" s="33">
        <v>20.483976496493899</v>
      </c>
      <c r="AE114" s="15">
        <v>-1.00781187507686E-4</v>
      </c>
      <c r="AI114" s="12"/>
      <c r="AJ114">
        <f t="shared" si="26"/>
        <v>0</v>
      </c>
      <c r="AK114">
        <f t="shared" si="27"/>
        <v>1</v>
      </c>
      <c r="AL114">
        <f t="shared" si="34"/>
        <v>0</v>
      </c>
      <c r="AM114">
        <f t="shared" si="24"/>
        <v>1</v>
      </c>
      <c r="AN114">
        <f t="shared" si="35"/>
        <v>0</v>
      </c>
      <c r="AO114" s="28">
        <f t="shared" si="28"/>
        <v>0</v>
      </c>
      <c r="AP114" s="28">
        <f t="shared" si="29"/>
        <v>0</v>
      </c>
      <c r="AQ114" s="28">
        <f t="shared" si="36"/>
        <v>0</v>
      </c>
      <c r="AR114" s="29">
        <f t="shared" si="37"/>
        <v>0</v>
      </c>
      <c r="AT114" s="12"/>
      <c r="AU114">
        <f t="shared" si="30"/>
        <v>0</v>
      </c>
      <c r="AV114">
        <f t="shared" si="31"/>
        <v>1</v>
      </c>
      <c r="AW114">
        <f t="shared" si="38"/>
        <v>0</v>
      </c>
      <c r="AX114">
        <f t="shared" si="25"/>
        <v>1</v>
      </c>
      <c r="AY114">
        <f t="shared" si="39"/>
        <v>0</v>
      </c>
      <c r="AZ114" s="28">
        <f t="shared" si="32"/>
        <v>0</v>
      </c>
      <c r="BA114" s="28">
        <f t="shared" si="33"/>
        <v>0</v>
      </c>
      <c r="BB114" s="28">
        <f t="shared" si="40"/>
        <v>0</v>
      </c>
      <c r="BC114" s="29">
        <f t="shared" si="41"/>
        <v>0</v>
      </c>
      <c r="BE114" s="29">
        <f t="shared" si="42"/>
        <v>0</v>
      </c>
      <c r="BF114" s="29">
        <f t="shared" si="43"/>
        <v>0</v>
      </c>
      <c r="BH114" s="29"/>
    </row>
    <row r="115" spans="1:60" x14ac:dyDescent="0.25">
      <c r="A115" s="1">
        <v>46189</v>
      </c>
      <c r="B115" s="33">
        <v>25.2</v>
      </c>
      <c r="C115" s="33">
        <v>20.18</v>
      </c>
      <c r="D115" s="15">
        <v>1.5885626851377399E-3</v>
      </c>
      <c r="E115" s="15">
        <v>9.9157172229502708E-4</v>
      </c>
      <c r="F115" s="33">
        <v>0</v>
      </c>
      <c r="G115" s="33">
        <v>0</v>
      </c>
      <c r="H115" s="33">
        <v>0</v>
      </c>
      <c r="I115" s="33">
        <v>0.32604100000000003</v>
      </c>
      <c r="J115" s="33">
        <v>0</v>
      </c>
      <c r="K115" s="33">
        <v>0.32604100000000003</v>
      </c>
      <c r="L115" s="33">
        <v>25.2</v>
      </c>
      <c r="M115" s="33">
        <v>20.506041</v>
      </c>
      <c r="N115" s="34">
        <v>0.80079365079364995</v>
      </c>
      <c r="O115" s="34">
        <v>0.80070241399324205</v>
      </c>
      <c r="R115" s="33">
        <v>20.1777008326297</v>
      </c>
      <c r="U115" s="15">
        <v>-1.1393946262314E-4</v>
      </c>
      <c r="X115" s="34">
        <v>0.81373178571428495</v>
      </c>
      <c r="Y115" s="34">
        <v>0.81414850939960204</v>
      </c>
      <c r="AB115" s="33">
        <v>20.516542436869901</v>
      </c>
      <c r="AE115" s="15">
        <v>5.11983216051248E-4</v>
      </c>
      <c r="AI115" s="12"/>
      <c r="AJ115">
        <f t="shared" si="26"/>
        <v>0</v>
      </c>
      <c r="AK115">
        <f t="shared" si="27"/>
        <v>1</v>
      </c>
      <c r="AL115">
        <f t="shared" si="34"/>
        <v>0</v>
      </c>
      <c r="AM115">
        <f t="shared" si="24"/>
        <v>1</v>
      </c>
      <c r="AN115">
        <f t="shared" si="35"/>
        <v>0</v>
      </c>
      <c r="AO115" s="28">
        <f t="shared" si="28"/>
        <v>0</v>
      </c>
      <c r="AP115" s="28">
        <f t="shared" si="29"/>
        <v>0</v>
      </c>
      <c r="AQ115" s="28">
        <f t="shared" si="36"/>
        <v>0</v>
      </c>
      <c r="AR115" s="29">
        <f t="shared" si="37"/>
        <v>0</v>
      </c>
      <c r="AT115" s="12"/>
      <c r="AU115">
        <f t="shared" si="30"/>
        <v>0</v>
      </c>
      <c r="AV115">
        <f t="shared" si="31"/>
        <v>1</v>
      </c>
      <c r="AW115">
        <f t="shared" si="38"/>
        <v>0</v>
      </c>
      <c r="AX115">
        <f t="shared" si="25"/>
        <v>1</v>
      </c>
      <c r="AY115">
        <f t="shared" si="39"/>
        <v>0</v>
      </c>
      <c r="AZ115" s="28">
        <f t="shared" si="32"/>
        <v>0</v>
      </c>
      <c r="BA115" s="28">
        <f t="shared" si="33"/>
        <v>0</v>
      </c>
      <c r="BB115" s="28">
        <f t="shared" si="40"/>
        <v>0</v>
      </c>
      <c r="BC115" s="29">
        <f t="shared" si="41"/>
        <v>0</v>
      </c>
      <c r="BE115" s="29">
        <f t="shared" si="42"/>
        <v>0</v>
      </c>
      <c r="BF115" s="29">
        <f t="shared" si="43"/>
        <v>0</v>
      </c>
      <c r="BH115" s="29"/>
    </row>
    <row r="116" spans="1:60" x14ac:dyDescent="0.25">
      <c r="A116" s="1">
        <v>46190</v>
      </c>
      <c r="B116" s="33">
        <v>25.06</v>
      </c>
      <c r="C116" s="33">
        <v>20.07</v>
      </c>
      <c r="D116" s="15">
        <v>-5.5710450494553601E-3</v>
      </c>
      <c r="E116" s="15">
        <v>-5.4658521172160704E-3</v>
      </c>
      <c r="F116" s="33">
        <v>0</v>
      </c>
      <c r="G116" s="33">
        <v>0</v>
      </c>
      <c r="H116" s="33">
        <v>0</v>
      </c>
      <c r="I116" s="33">
        <v>0.32604100000000003</v>
      </c>
      <c r="J116" s="33">
        <v>0</v>
      </c>
      <c r="K116" s="33">
        <v>0.32604100000000003</v>
      </c>
      <c r="L116" s="33">
        <v>25.06</v>
      </c>
      <c r="M116" s="33">
        <v>20.396041</v>
      </c>
      <c r="N116" s="34">
        <v>0.80087789305666401</v>
      </c>
      <c r="O116" s="34">
        <v>0.80070241399324205</v>
      </c>
      <c r="R116" s="33">
        <v>20.0656024946706</v>
      </c>
      <c r="U116" s="15">
        <v>-2.19132394862391E-4</v>
      </c>
      <c r="X116" s="34">
        <v>0.81388830806065404</v>
      </c>
      <c r="Y116" s="34">
        <v>0.81414850939960204</v>
      </c>
      <c r="AB116" s="33">
        <v>20.402561645554002</v>
      </c>
      <c r="AE116" s="15">
        <v>3.1965043833498798E-4</v>
      </c>
      <c r="AI116" s="12"/>
      <c r="AJ116">
        <f t="shared" si="26"/>
        <v>0</v>
      </c>
      <c r="AK116">
        <f t="shared" si="27"/>
        <v>1</v>
      </c>
      <c r="AL116">
        <f t="shared" si="34"/>
        <v>0</v>
      </c>
      <c r="AM116">
        <f t="shared" si="24"/>
        <v>1</v>
      </c>
      <c r="AN116">
        <f t="shared" si="35"/>
        <v>0</v>
      </c>
      <c r="AO116" s="28">
        <f t="shared" si="28"/>
        <v>0</v>
      </c>
      <c r="AP116" s="28">
        <f t="shared" si="29"/>
        <v>0</v>
      </c>
      <c r="AQ116" s="28">
        <f t="shared" si="36"/>
        <v>0</v>
      </c>
      <c r="AR116" s="29">
        <f t="shared" si="37"/>
        <v>0</v>
      </c>
      <c r="AT116" s="12"/>
      <c r="AU116">
        <f t="shared" si="30"/>
        <v>0</v>
      </c>
      <c r="AV116">
        <f t="shared" si="31"/>
        <v>1</v>
      </c>
      <c r="AW116">
        <f t="shared" si="38"/>
        <v>0</v>
      </c>
      <c r="AX116">
        <f t="shared" si="25"/>
        <v>1</v>
      </c>
      <c r="AY116">
        <f t="shared" si="39"/>
        <v>0</v>
      </c>
      <c r="AZ116" s="28">
        <f t="shared" si="32"/>
        <v>0</v>
      </c>
      <c r="BA116" s="28">
        <f t="shared" si="33"/>
        <v>0</v>
      </c>
      <c r="BB116" s="28">
        <f t="shared" si="40"/>
        <v>0</v>
      </c>
      <c r="BC116" s="29">
        <f t="shared" si="41"/>
        <v>0</v>
      </c>
      <c r="BE116" s="29">
        <f t="shared" si="42"/>
        <v>0</v>
      </c>
      <c r="BF116" s="29">
        <f t="shared" si="43"/>
        <v>0</v>
      </c>
      <c r="BH116" s="29"/>
    </row>
    <row r="117" spans="1:60" x14ac:dyDescent="0.25">
      <c r="A117" s="1">
        <v>46191</v>
      </c>
      <c r="B117" s="33">
        <v>25.12</v>
      </c>
      <c r="C117" s="33">
        <v>20.13</v>
      </c>
      <c r="D117" s="15">
        <v>2.3913921320757002E-3</v>
      </c>
      <c r="E117" s="15">
        <v>2.98507684345327E-3</v>
      </c>
      <c r="F117" s="33">
        <v>0</v>
      </c>
      <c r="G117" s="33">
        <v>0</v>
      </c>
      <c r="H117" s="33">
        <v>0</v>
      </c>
      <c r="I117" s="33">
        <v>0.32604100000000003</v>
      </c>
      <c r="J117" s="33">
        <v>0</v>
      </c>
      <c r="K117" s="33">
        <v>0.32604100000000003</v>
      </c>
      <c r="L117" s="33">
        <v>25.12</v>
      </c>
      <c r="M117" s="33">
        <v>20.456040999999999</v>
      </c>
      <c r="N117" s="34">
        <v>0.80135350318471299</v>
      </c>
      <c r="O117" s="34">
        <v>0.80070241399324205</v>
      </c>
      <c r="R117" s="33">
        <v>20.113644639510198</v>
      </c>
      <c r="U117" s="15">
        <v>-8.1281710623984295E-4</v>
      </c>
      <c r="X117" s="34">
        <v>0.81433284235668701</v>
      </c>
      <c r="Y117" s="34">
        <v>0.81414850939960204</v>
      </c>
      <c r="AB117" s="33">
        <v>20.451410556117999</v>
      </c>
      <c r="AE117" s="15">
        <v>-2.26386329415482E-4</v>
      </c>
      <c r="AI117" s="12"/>
      <c r="AJ117">
        <f t="shared" si="26"/>
        <v>0</v>
      </c>
      <c r="AK117">
        <f t="shared" si="27"/>
        <v>1</v>
      </c>
      <c r="AL117">
        <f t="shared" si="34"/>
        <v>0</v>
      </c>
      <c r="AM117">
        <f t="shared" si="24"/>
        <v>1</v>
      </c>
      <c r="AN117">
        <f t="shared" si="35"/>
        <v>0</v>
      </c>
      <c r="AO117" s="28">
        <f t="shared" si="28"/>
        <v>0</v>
      </c>
      <c r="AP117" s="28">
        <f t="shared" si="29"/>
        <v>0</v>
      </c>
      <c r="AQ117" s="28">
        <f t="shared" si="36"/>
        <v>0</v>
      </c>
      <c r="AR117" s="29">
        <f t="shared" si="37"/>
        <v>0</v>
      </c>
      <c r="AT117" s="12"/>
      <c r="AU117">
        <f t="shared" si="30"/>
        <v>0</v>
      </c>
      <c r="AV117">
        <f t="shared" si="31"/>
        <v>1</v>
      </c>
      <c r="AW117">
        <f t="shared" si="38"/>
        <v>0</v>
      </c>
      <c r="AX117">
        <f t="shared" si="25"/>
        <v>1</v>
      </c>
      <c r="AY117">
        <f t="shared" si="39"/>
        <v>0</v>
      </c>
      <c r="AZ117" s="28">
        <f t="shared" si="32"/>
        <v>0</v>
      </c>
      <c r="BA117" s="28">
        <f t="shared" si="33"/>
        <v>0</v>
      </c>
      <c r="BB117" s="28">
        <f t="shared" si="40"/>
        <v>0</v>
      </c>
      <c r="BC117" s="29">
        <f t="shared" si="41"/>
        <v>0</v>
      </c>
      <c r="BE117" s="29">
        <f t="shared" si="42"/>
        <v>0</v>
      </c>
      <c r="BF117" s="29">
        <f t="shared" si="43"/>
        <v>0</v>
      </c>
      <c r="BH117" s="29"/>
    </row>
    <row r="118" spans="1:60" x14ac:dyDescent="0.25">
      <c r="A118" s="1">
        <v>46195</v>
      </c>
      <c r="B118" s="33">
        <v>25.06</v>
      </c>
      <c r="C118" s="33">
        <v>20.07</v>
      </c>
      <c r="D118" s="15">
        <v>-2.39139213207576E-3</v>
      </c>
      <c r="E118" s="15">
        <v>-2.98507684345328E-3</v>
      </c>
      <c r="F118" s="33">
        <v>0</v>
      </c>
      <c r="G118" s="33">
        <v>0</v>
      </c>
      <c r="H118" s="33">
        <v>0</v>
      </c>
      <c r="I118" s="33">
        <v>0.32604100000000003</v>
      </c>
      <c r="J118" s="33">
        <v>0</v>
      </c>
      <c r="K118" s="33">
        <v>0.32604100000000003</v>
      </c>
      <c r="L118" s="33">
        <v>25.06</v>
      </c>
      <c r="M118" s="33">
        <v>20.396041</v>
      </c>
      <c r="N118" s="34">
        <v>0.80087789305666401</v>
      </c>
      <c r="O118" s="34">
        <v>0.80070241399324205</v>
      </c>
      <c r="R118" s="33">
        <v>20.0656024946706</v>
      </c>
      <c r="U118" s="15">
        <v>-2.19132394862391E-4</v>
      </c>
      <c r="X118" s="34">
        <v>0.81388830806065404</v>
      </c>
      <c r="Y118" s="34">
        <v>0.81414850939960204</v>
      </c>
      <c r="AB118" s="33">
        <v>20.402561645554002</v>
      </c>
      <c r="AE118" s="15">
        <v>3.1965043833498798E-4</v>
      </c>
      <c r="AI118" s="12"/>
      <c r="AJ118">
        <f t="shared" si="26"/>
        <v>0</v>
      </c>
      <c r="AK118">
        <f t="shared" si="27"/>
        <v>1</v>
      </c>
      <c r="AL118">
        <f t="shared" si="34"/>
        <v>0</v>
      </c>
      <c r="AM118">
        <f t="shared" si="24"/>
        <v>1</v>
      </c>
      <c r="AN118">
        <f t="shared" si="35"/>
        <v>0</v>
      </c>
      <c r="AO118" s="28">
        <f t="shared" si="28"/>
        <v>0</v>
      </c>
      <c r="AP118" s="28">
        <f t="shared" si="29"/>
        <v>0</v>
      </c>
      <c r="AQ118" s="28">
        <f t="shared" si="36"/>
        <v>0</v>
      </c>
      <c r="AR118" s="29">
        <f t="shared" si="37"/>
        <v>0</v>
      </c>
      <c r="AT118" s="12"/>
      <c r="AU118">
        <f t="shared" si="30"/>
        <v>0</v>
      </c>
      <c r="AV118">
        <f t="shared" si="31"/>
        <v>1</v>
      </c>
      <c r="AW118">
        <f t="shared" si="38"/>
        <v>0</v>
      </c>
      <c r="AX118">
        <f t="shared" si="25"/>
        <v>1</v>
      </c>
      <c r="AY118">
        <f t="shared" si="39"/>
        <v>0</v>
      </c>
      <c r="AZ118" s="28">
        <f t="shared" si="32"/>
        <v>0</v>
      </c>
      <c r="BA118" s="28">
        <f t="shared" si="33"/>
        <v>0</v>
      </c>
      <c r="BB118" s="28">
        <f t="shared" si="40"/>
        <v>0</v>
      </c>
      <c r="BC118" s="29">
        <f t="shared" si="41"/>
        <v>0</v>
      </c>
      <c r="BE118" s="29">
        <f t="shared" si="42"/>
        <v>0</v>
      </c>
      <c r="BF118" s="29">
        <f t="shared" si="43"/>
        <v>0</v>
      </c>
      <c r="BH118" s="29"/>
    </row>
    <row r="119" spans="1:60" x14ac:dyDescent="0.25">
      <c r="A119" s="1">
        <v>46196</v>
      </c>
      <c r="B119" s="33">
        <v>25.09</v>
      </c>
      <c r="C119" s="33">
        <v>20.11</v>
      </c>
      <c r="D119" s="15">
        <v>1.19641091040868E-3</v>
      </c>
      <c r="E119" s="15">
        <v>1.9910409763137802E-3</v>
      </c>
      <c r="F119" s="33">
        <v>0</v>
      </c>
      <c r="G119" s="33">
        <v>0</v>
      </c>
      <c r="H119" s="33">
        <v>0</v>
      </c>
      <c r="I119" s="33">
        <v>0.32604100000000003</v>
      </c>
      <c r="J119" s="33">
        <v>0</v>
      </c>
      <c r="K119" s="33">
        <v>0.32604100000000003</v>
      </c>
      <c r="L119" s="33">
        <v>25.09</v>
      </c>
      <c r="M119" s="33">
        <v>20.436040999999999</v>
      </c>
      <c r="N119" s="34">
        <v>0.80151454762853702</v>
      </c>
      <c r="O119" s="34">
        <v>0.80070241399324205</v>
      </c>
      <c r="R119" s="33">
        <v>20.089623567090399</v>
      </c>
      <c r="U119" s="15">
        <v>-1.01376246076749E-3</v>
      </c>
      <c r="X119" s="34">
        <v>0.81450940613790301</v>
      </c>
      <c r="Y119" s="34">
        <v>0.81414850939960204</v>
      </c>
      <c r="AB119" s="33">
        <v>20.426986100836</v>
      </c>
      <c r="AE119" s="15">
        <v>-4.4318299228494402E-4</v>
      </c>
      <c r="AI119" s="12"/>
      <c r="AJ119">
        <f t="shared" si="26"/>
        <v>0</v>
      </c>
      <c r="AK119">
        <f t="shared" si="27"/>
        <v>1</v>
      </c>
      <c r="AL119">
        <f t="shared" si="34"/>
        <v>0</v>
      </c>
      <c r="AM119">
        <f t="shared" si="24"/>
        <v>1</v>
      </c>
      <c r="AN119">
        <f t="shared" si="35"/>
        <v>0</v>
      </c>
      <c r="AO119" s="28">
        <f t="shared" si="28"/>
        <v>0</v>
      </c>
      <c r="AP119" s="28">
        <f t="shared" si="29"/>
        <v>0</v>
      </c>
      <c r="AQ119" s="28">
        <f t="shared" si="36"/>
        <v>0</v>
      </c>
      <c r="AR119" s="29">
        <f t="shared" si="37"/>
        <v>0</v>
      </c>
      <c r="AT119" s="12"/>
      <c r="AU119">
        <f t="shared" si="30"/>
        <v>0</v>
      </c>
      <c r="AV119">
        <f t="shared" si="31"/>
        <v>1</v>
      </c>
      <c r="AW119">
        <f t="shared" si="38"/>
        <v>0</v>
      </c>
      <c r="AX119">
        <f t="shared" si="25"/>
        <v>1</v>
      </c>
      <c r="AY119">
        <f t="shared" si="39"/>
        <v>0</v>
      </c>
      <c r="AZ119" s="28">
        <f t="shared" si="32"/>
        <v>0</v>
      </c>
      <c r="BA119" s="28">
        <f t="shared" si="33"/>
        <v>0</v>
      </c>
      <c r="BB119" s="28">
        <f t="shared" si="40"/>
        <v>0</v>
      </c>
      <c r="BC119" s="29">
        <f t="shared" si="41"/>
        <v>0</v>
      </c>
      <c r="BE119" s="29">
        <f t="shared" si="42"/>
        <v>0</v>
      </c>
      <c r="BF119" s="29">
        <f t="shared" si="43"/>
        <v>0</v>
      </c>
      <c r="BH119" s="29"/>
    </row>
    <row r="120" spans="1:60" x14ac:dyDescent="0.25">
      <c r="A120" s="1">
        <v>46197</v>
      </c>
      <c r="B120" s="33">
        <v>25.19</v>
      </c>
      <c r="C120" s="33">
        <v>20.190000000000001</v>
      </c>
      <c r="D120" s="15">
        <v>3.9777299861879804E-3</v>
      </c>
      <c r="E120" s="15">
        <v>3.97022854018559E-3</v>
      </c>
      <c r="F120" s="33">
        <v>0</v>
      </c>
      <c r="G120" s="33">
        <v>0</v>
      </c>
      <c r="H120" s="33">
        <v>0</v>
      </c>
      <c r="I120" s="33">
        <v>0.32604100000000003</v>
      </c>
      <c r="J120" s="33">
        <v>0</v>
      </c>
      <c r="K120" s="33">
        <v>0.32604100000000003</v>
      </c>
      <c r="L120" s="33">
        <v>25.19</v>
      </c>
      <c r="M120" s="33">
        <v>20.516041000000001</v>
      </c>
      <c r="N120" s="34">
        <v>0.80150853513298903</v>
      </c>
      <c r="O120" s="34">
        <v>0.80070241399324205</v>
      </c>
      <c r="P120" s="34">
        <v>0.80117019678105394</v>
      </c>
      <c r="R120" s="33">
        <v>20.169693808489701</v>
      </c>
      <c r="U120" s="15">
        <v>-1.0062610147649901E-3</v>
      </c>
      <c r="X120" s="34">
        <v>0.81445180627233005</v>
      </c>
      <c r="Y120" s="34">
        <v>0.81414850939960204</v>
      </c>
      <c r="Z120" s="34">
        <v>0.81414855932209995</v>
      </c>
      <c r="AB120" s="33">
        <v>20.508400951775901</v>
      </c>
      <c r="AE120" s="15">
        <v>-3.7246324136831597E-4</v>
      </c>
      <c r="AI120" s="12"/>
      <c r="AJ120">
        <f t="shared" si="26"/>
        <v>0</v>
      </c>
      <c r="AK120">
        <f t="shared" si="27"/>
        <v>1</v>
      </c>
      <c r="AL120">
        <f t="shared" si="34"/>
        <v>0</v>
      </c>
      <c r="AM120">
        <f t="shared" si="24"/>
        <v>1</v>
      </c>
      <c r="AN120">
        <f t="shared" si="35"/>
        <v>0</v>
      </c>
      <c r="AO120" s="28">
        <f t="shared" si="28"/>
        <v>0</v>
      </c>
      <c r="AP120" s="28">
        <f t="shared" si="29"/>
        <v>0</v>
      </c>
      <c r="AQ120" s="28">
        <f t="shared" si="36"/>
        <v>0</v>
      </c>
      <c r="AR120" s="29">
        <f t="shared" si="37"/>
        <v>0</v>
      </c>
      <c r="AT120" s="12"/>
      <c r="AU120">
        <f t="shared" si="30"/>
        <v>0</v>
      </c>
      <c r="AV120">
        <f t="shared" si="31"/>
        <v>1</v>
      </c>
      <c r="AW120">
        <f t="shared" si="38"/>
        <v>0</v>
      </c>
      <c r="AX120">
        <f t="shared" si="25"/>
        <v>1</v>
      </c>
      <c r="AY120">
        <f t="shared" si="39"/>
        <v>0</v>
      </c>
      <c r="AZ120" s="28">
        <f t="shared" si="32"/>
        <v>0</v>
      </c>
      <c r="BA120" s="28">
        <f t="shared" si="33"/>
        <v>0</v>
      </c>
      <c r="BB120" s="28">
        <f t="shared" si="40"/>
        <v>0</v>
      </c>
      <c r="BC120" s="29">
        <f t="shared" si="41"/>
        <v>0</v>
      </c>
      <c r="BE120" s="29">
        <f t="shared" si="42"/>
        <v>0</v>
      </c>
      <c r="BF120" s="29">
        <f t="shared" si="43"/>
        <v>0</v>
      </c>
      <c r="BH120" s="29"/>
    </row>
    <row r="121" spans="1:60" x14ac:dyDescent="0.25">
      <c r="A121" s="1">
        <v>46198</v>
      </c>
      <c r="B121" s="33">
        <v>25.21</v>
      </c>
      <c r="C121" s="33">
        <v>20.21</v>
      </c>
      <c r="D121" s="15">
        <v>7.93650835309593E-4</v>
      </c>
      <c r="E121" s="15">
        <v>9.9009909078350998E-4</v>
      </c>
      <c r="F121" s="33">
        <v>0</v>
      </c>
      <c r="G121" s="33">
        <v>0</v>
      </c>
      <c r="H121" s="33">
        <v>0</v>
      </c>
      <c r="I121" s="33">
        <v>0.32604100000000003</v>
      </c>
      <c r="J121" s="33">
        <v>0</v>
      </c>
      <c r="K121" s="33">
        <v>0.32604100000000003</v>
      </c>
      <c r="L121" s="33">
        <v>25.21</v>
      </c>
      <c r="M121" s="33">
        <v>20.536041000000001</v>
      </c>
      <c r="N121" s="34">
        <v>0.80166600555335099</v>
      </c>
      <c r="O121" s="34">
        <v>0.80070241399324205</v>
      </c>
      <c r="P121" s="34">
        <v>0.80121703685734702</v>
      </c>
      <c r="R121" s="33">
        <v>20.1857078567696</v>
      </c>
      <c r="S121" s="33">
        <v>20.197500660850299</v>
      </c>
      <c r="U121" s="15">
        <v>-1.2027092702388601E-3</v>
      </c>
      <c r="V121" s="15">
        <v>-6.1866432438893899E-4</v>
      </c>
      <c r="X121" s="34">
        <v>0.81459900833002696</v>
      </c>
      <c r="Y121" s="34">
        <v>0.81414850939960204</v>
      </c>
      <c r="Z121" s="34">
        <v>0.81418713879781701</v>
      </c>
      <c r="AB121" s="33">
        <v>20.524683921963899</v>
      </c>
      <c r="AC121" s="33">
        <v>20.524685180510101</v>
      </c>
      <c r="AE121" s="15">
        <v>-5.5318450160004803E-4</v>
      </c>
      <c r="AF121" s="15">
        <v>-5.5312318293905701E-4</v>
      </c>
      <c r="AI121" s="12"/>
      <c r="AJ121">
        <f t="shared" si="26"/>
        <v>0</v>
      </c>
      <c r="AK121">
        <f t="shared" si="27"/>
        <v>1</v>
      </c>
      <c r="AL121">
        <f t="shared" si="34"/>
        <v>0</v>
      </c>
      <c r="AM121">
        <f t="shared" si="24"/>
        <v>1</v>
      </c>
      <c r="AN121">
        <f t="shared" si="35"/>
        <v>0</v>
      </c>
      <c r="AO121" s="28">
        <f t="shared" si="28"/>
        <v>0</v>
      </c>
      <c r="AP121" s="28">
        <f t="shared" si="29"/>
        <v>0</v>
      </c>
      <c r="AQ121" s="28">
        <f t="shared" si="36"/>
        <v>0</v>
      </c>
      <c r="AR121" s="29">
        <f t="shared" si="37"/>
        <v>0</v>
      </c>
      <c r="AT121" s="12"/>
      <c r="AU121">
        <f t="shared" si="30"/>
        <v>0</v>
      </c>
      <c r="AV121">
        <f t="shared" si="31"/>
        <v>1</v>
      </c>
      <c r="AW121">
        <f t="shared" si="38"/>
        <v>0</v>
      </c>
      <c r="AX121">
        <f t="shared" si="25"/>
        <v>1</v>
      </c>
      <c r="AY121">
        <f t="shared" si="39"/>
        <v>0</v>
      </c>
      <c r="AZ121" s="28">
        <f t="shared" si="32"/>
        <v>0</v>
      </c>
      <c r="BA121" s="28">
        <f t="shared" si="33"/>
        <v>0</v>
      </c>
      <c r="BB121" s="28">
        <f t="shared" si="40"/>
        <v>0</v>
      </c>
      <c r="BC121" s="29">
        <f t="shared" si="41"/>
        <v>0</v>
      </c>
      <c r="BE121" s="29">
        <f t="shared" si="42"/>
        <v>0</v>
      </c>
      <c r="BF121" s="29">
        <f t="shared" si="43"/>
        <v>0</v>
      </c>
      <c r="BH121" s="29"/>
    </row>
    <row r="122" spans="1:60" x14ac:dyDescent="0.25">
      <c r="A122" s="1">
        <v>46199</v>
      </c>
      <c r="B122" s="33">
        <v>25.25</v>
      </c>
      <c r="C122" s="33">
        <v>20.23</v>
      </c>
      <c r="D122" s="15">
        <v>1.5854145215402301E-3</v>
      </c>
      <c r="E122" s="15">
        <v>9.8911976412440492E-4</v>
      </c>
      <c r="F122" s="33">
        <v>0</v>
      </c>
      <c r="G122" s="33">
        <v>0</v>
      </c>
      <c r="H122" s="33">
        <v>0</v>
      </c>
      <c r="I122" s="33">
        <v>0.32604100000000003</v>
      </c>
      <c r="J122" s="33">
        <v>0</v>
      </c>
      <c r="K122" s="33">
        <v>0.32604100000000003</v>
      </c>
      <c r="L122" s="33">
        <v>25.25</v>
      </c>
      <c r="M122" s="33">
        <v>20.556041</v>
      </c>
      <c r="N122" s="34">
        <v>0.80118811881188101</v>
      </c>
      <c r="O122" s="34">
        <v>0.80070241399324205</v>
      </c>
      <c r="P122" s="34">
        <v>0.80120866272899605</v>
      </c>
      <c r="R122" s="33">
        <v>20.217735953329299</v>
      </c>
      <c r="S122" s="33">
        <v>20.230730180647999</v>
      </c>
      <c r="U122" s="15">
        <v>-6.0641451282307101E-4</v>
      </c>
      <c r="V122" s="15">
        <v>3.6093300582465102E-5</v>
      </c>
      <c r="X122" s="34">
        <v>0.81410063366336605</v>
      </c>
      <c r="Y122" s="34">
        <v>0.81414850939960204</v>
      </c>
      <c r="Z122" s="34">
        <v>0.81417414572536195</v>
      </c>
      <c r="AB122" s="33">
        <v>20.557249862339901</v>
      </c>
      <c r="AC122" s="33">
        <v>20.5582252546448</v>
      </c>
      <c r="AE122" s="15">
        <v>5.8806401285277901E-5</v>
      </c>
      <c r="AF122" s="15">
        <v>1.06252882316698E-4</v>
      </c>
      <c r="AI122" s="12"/>
      <c r="AJ122">
        <f t="shared" si="26"/>
        <v>0</v>
      </c>
      <c r="AK122">
        <f t="shared" si="27"/>
        <v>1</v>
      </c>
      <c r="AL122">
        <f t="shared" si="34"/>
        <v>0</v>
      </c>
      <c r="AM122">
        <f t="shared" si="24"/>
        <v>1</v>
      </c>
      <c r="AN122">
        <f t="shared" si="35"/>
        <v>0</v>
      </c>
      <c r="AO122" s="28">
        <f t="shared" si="28"/>
        <v>0</v>
      </c>
      <c r="AP122" s="28">
        <f t="shared" si="29"/>
        <v>0</v>
      </c>
      <c r="AQ122" s="28">
        <f t="shared" si="36"/>
        <v>0</v>
      </c>
      <c r="AR122" s="29">
        <f t="shared" si="37"/>
        <v>0</v>
      </c>
      <c r="AT122" s="12"/>
      <c r="AU122">
        <f t="shared" si="30"/>
        <v>0</v>
      </c>
      <c r="AV122">
        <f t="shared" si="31"/>
        <v>1</v>
      </c>
      <c r="AW122">
        <f t="shared" si="38"/>
        <v>0</v>
      </c>
      <c r="AX122">
        <f t="shared" si="25"/>
        <v>1</v>
      </c>
      <c r="AY122">
        <f t="shared" si="39"/>
        <v>0</v>
      </c>
      <c r="AZ122" s="28">
        <f t="shared" si="32"/>
        <v>0</v>
      </c>
      <c r="BA122" s="28">
        <f t="shared" si="33"/>
        <v>0</v>
      </c>
      <c r="BB122" s="28">
        <f t="shared" si="40"/>
        <v>0</v>
      </c>
      <c r="BC122" s="29">
        <f t="shared" si="41"/>
        <v>0</v>
      </c>
      <c r="BE122" s="29">
        <f t="shared" si="42"/>
        <v>0</v>
      </c>
      <c r="BF122" s="29">
        <f t="shared" si="43"/>
        <v>0</v>
      </c>
      <c r="BH122" s="29"/>
    </row>
    <row r="123" spans="1:60" x14ac:dyDescent="0.25">
      <c r="A123" s="1">
        <v>46202</v>
      </c>
      <c r="B123" s="33">
        <v>25.25</v>
      </c>
      <c r="C123" s="33">
        <v>20.23</v>
      </c>
      <c r="D123" s="15">
        <v>0</v>
      </c>
      <c r="E123" s="15">
        <v>0</v>
      </c>
      <c r="F123" s="33">
        <v>0</v>
      </c>
      <c r="G123" s="33">
        <v>0</v>
      </c>
      <c r="H123" s="33">
        <v>0</v>
      </c>
      <c r="I123" s="33">
        <v>0.32604100000000003</v>
      </c>
      <c r="J123" s="33">
        <v>0</v>
      </c>
      <c r="K123" s="33">
        <v>0.32604100000000003</v>
      </c>
      <c r="L123" s="33">
        <v>25.25</v>
      </c>
      <c r="M123" s="33">
        <v>20.556041</v>
      </c>
      <c r="N123" s="34">
        <v>0.80118811881188101</v>
      </c>
      <c r="O123" s="34">
        <v>0.80070241399324205</v>
      </c>
      <c r="P123" s="34">
        <v>0.80122401261257203</v>
      </c>
      <c r="R123" s="33">
        <v>20.217735953329299</v>
      </c>
      <c r="S123" s="33">
        <v>20.2305187339071</v>
      </c>
      <c r="U123" s="15">
        <v>-6.0641451282307101E-4</v>
      </c>
      <c r="V123" s="15">
        <v>2.56414857457894E-5</v>
      </c>
      <c r="X123" s="34">
        <v>0.81410063366336605</v>
      </c>
      <c r="Y123" s="34">
        <v>0.81414850939960204</v>
      </c>
      <c r="Z123" s="34">
        <v>0.81418332966471896</v>
      </c>
      <c r="AB123" s="33">
        <v>20.557249862339901</v>
      </c>
      <c r="AC123" s="33">
        <v>20.557897179565401</v>
      </c>
      <c r="AE123" s="15">
        <v>5.8806401285277901E-5</v>
      </c>
      <c r="AF123" s="15">
        <v>9.02944183336194E-5</v>
      </c>
      <c r="AI123" s="12"/>
      <c r="AJ123">
        <f t="shared" si="26"/>
        <v>0</v>
      </c>
      <c r="AK123">
        <f t="shared" si="27"/>
        <v>1</v>
      </c>
      <c r="AL123">
        <f t="shared" si="34"/>
        <v>0</v>
      </c>
      <c r="AM123">
        <f t="shared" si="24"/>
        <v>1</v>
      </c>
      <c r="AN123">
        <f t="shared" si="35"/>
        <v>0</v>
      </c>
      <c r="AO123" s="28">
        <f t="shared" si="28"/>
        <v>0</v>
      </c>
      <c r="AP123" s="28">
        <f t="shared" si="29"/>
        <v>0</v>
      </c>
      <c r="AQ123" s="28">
        <f t="shared" si="36"/>
        <v>0</v>
      </c>
      <c r="AR123" s="29">
        <f t="shared" si="37"/>
        <v>0</v>
      </c>
      <c r="AT123" s="12"/>
      <c r="AU123">
        <f t="shared" si="30"/>
        <v>0</v>
      </c>
      <c r="AV123">
        <f t="shared" si="31"/>
        <v>1</v>
      </c>
      <c r="AW123">
        <f t="shared" si="38"/>
        <v>0</v>
      </c>
      <c r="AX123">
        <f t="shared" si="25"/>
        <v>1</v>
      </c>
      <c r="AY123">
        <f t="shared" si="39"/>
        <v>0</v>
      </c>
      <c r="AZ123" s="28">
        <f t="shared" si="32"/>
        <v>0</v>
      </c>
      <c r="BA123" s="28">
        <f t="shared" si="33"/>
        <v>0</v>
      </c>
      <c r="BB123" s="28">
        <f t="shared" si="40"/>
        <v>0</v>
      </c>
      <c r="BC123" s="29">
        <f t="shared" si="41"/>
        <v>0</v>
      </c>
      <c r="BE123" s="29">
        <f t="shared" si="42"/>
        <v>0</v>
      </c>
      <c r="BF123" s="29">
        <f t="shared" si="43"/>
        <v>0</v>
      </c>
      <c r="BH123" s="29"/>
    </row>
    <row r="124" spans="1:60" x14ac:dyDescent="0.25">
      <c r="A124" s="1">
        <v>46203</v>
      </c>
      <c r="B124" s="33">
        <v>25.18</v>
      </c>
      <c r="C124" s="33">
        <v>20.190000000000001</v>
      </c>
      <c r="D124" s="15">
        <v>-2.7761271051677202E-3</v>
      </c>
      <c r="E124" s="15">
        <v>-1.9792188549079301E-3</v>
      </c>
      <c r="F124" s="33">
        <v>0</v>
      </c>
      <c r="G124" s="33">
        <v>0</v>
      </c>
      <c r="H124" s="33">
        <v>0</v>
      </c>
      <c r="I124" s="33">
        <v>0.32604100000000003</v>
      </c>
      <c r="J124" s="33">
        <v>0</v>
      </c>
      <c r="K124" s="33">
        <v>0.32604100000000003</v>
      </c>
      <c r="L124" s="33">
        <v>25.18</v>
      </c>
      <c r="M124" s="33">
        <v>20.516041000000001</v>
      </c>
      <c r="N124" s="34">
        <v>0.80182684670373305</v>
      </c>
      <c r="O124" s="34">
        <v>0.80070241399324205</v>
      </c>
      <c r="P124" s="34">
        <v>0.80127951127340602</v>
      </c>
      <c r="R124" s="33">
        <v>20.161686784349801</v>
      </c>
      <c r="S124" s="33">
        <v>20.174820637584499</v>
      </c>
      <c r="U124" s="15">
        <v>-1.4033227630828901E-3</v>
      </c>
      <c r="V124" s="15">
        <v>-7.5210853863357202E-4</v>
      </c>
      <c r="X124" s="34">
        <v>0.81477525814138196</v>
      </c>
      <c r="Y124" s="34">
        <v>0.81414850939960204</v>
      </c>
      <c r="Z124" s="34">
        <v>0.81423779904006499</v>
      </c>
      <c r="AB124" s="33">
        <v>20.5002594666819</v>
      </c>
      <c r="AC124" s="33">
        <v>20.501136240957599</v>
      </c>
      <c r="AE124" s="15">
        <v>-7.6952498968612705E-4</v>
      </c>
      <c r="AF124" s="15">
        <v>-7.2675696871269497E-4</v>
      </c>
      <c r="AI124" s="12"/>
      <c r="AJ124">
        <f t="shared" si="26"/>
        <v>0</v>
      </c>
      <c r="AK124">
        <f t="shared" si="27"/>
        <v>1</v>
      </c>
      <c r="AL124">
        <f t="shared" si="34"/>
        <v>0</v>
      </c>
      <c r="AM124">
        <f t="shared" si="24"/>
        <v>0</v>
      </c>
      <c r="AN124">
        <f t="shared" si="35"/>
        <v>0</v>
      </c>
      <c r="AO124" s="28">
        <f t="shared" si="28"/>
        <v>0</v>
      </c>
      <c r="AP124" s="28">
        <f t="shared" si="29"/>
        <v>0</v>
      </c>
      <c r="AQ124" s="28">
        <f t="shared" si="36"/>
        <v>0</v>
      </c>
      <c r="AR124" s="29">
        <f t="shared" si="37"/>
        <v>0</v>
      </c>
      <c r="AT124" s="12"/>
      <c r="AU124">
        <f t="shared" si="30"/>
        <v>0</v>
      </c>
      <c r="AV124">
        <f t="shared" si="31"/>
        <v>1</v>
      </c>
      <c r="AW124">
        <f t="shared" si="38"/>
        <v>0</v>
      </c>
      <c r="AX124">
        <f t="shared" si="25"/>
        <v>0</v>
      </c>
      <c r="AY124">
        <f t="shared" si="39"/>
        <v>0</v>
      </c>
      <c r="AZ124" s="28">
        <f t="shared" si="32"/>
        <v>0</v>
      </c>
      <c r="BA124" s="28">
        <f t="shared" si="33"/>
        <v>0</v>
      </c>
      <c r="BB124" s="28">
        <f t="shared" si="40"/>
        <v>0</v>
      </c>
      <c r="BC124" s="29">
        <f t="shared" si="41"/>
        <v>0</v>
      </c>
      <c r="BE124" s="29">
        <f t="shared" si="42"/>
        <v>0</v>
      </c>
      <c r="BF124" s="29">
        <f t="shared" si="43"/>
        <v>0</v>
      </c>
      <c r="BH124" s="29"/>
    </row>
    <row r="125" spans="1:60" x14ac:dyDescent="0.25">
      <c r="A125" s="1">
        <v>46204</v>
      </c>
      <c r="B125" s="33">
        <v>25.14</v>
      </c>
      <c r="C125" s="33">
        <v>20.079999999999998</v>
      </c>
      <c r="D125" s="15">
        <v>-1.58982545409976E-3</v>
      </c>
      <c r="E125" s="15">
        <v>-5.4631375012178804E-3</v>
      </c>
      <c r="F125" s="33">
        <v>0</v>
      </c>
      <c r="G125" s="33">
        <v>0</v>
      </c>
      <c r="H125" s="33">
        <v>6.1768999999999998E-2</v>
      </c>
      <c r="I125" s="33">
        <v>0.38780999999999999</v>
      </c>
      <c r="J125" s="33">
        <v>0</v>
      </c>
      <c r="K125" s="33">
        <v>0.38780999999999999</v>
      </c>
      <c r="L125" s="33">
        <v>25.14</v>
      </c>
      <c r="M125" s="33">
        <v>20.46781</v>
      </c>
      <c r="N125" s="34">
        <v>0.79872712808273605</v>
      </c>
      <c r="O125" s="34">
        <v>0.80070241399324205</v>
      </c>
      <c r="P125" s="34">
        <v>0.80107285900231495</v>
      </c>
      <c r="R125" s="33">
        <v>20.129658687790101</v>
      </c>
      <c r="S125" s="33">
        <v>20.1441669134134</v>
      </c>
      <c r="U125" s="15">
        <v>2.4699892840352199E-3</v>
      </c>
      <c r="V125" s="15">
        <v>3.1904684555243302E-3</v>
      </c>
      <c r="X125" s="34">
        <v>0.81415314240254499</v>
      </c>
      <c r="Y125" s="34">
        <v>0.81414850939960204</v>
      </c>
      <c r="Z125" s="34">
        <v>0.81427993470889104</v>
      </c>
      <c r="AB125" s="33">
        <v>20.467693526306</v>
      </c>
      <c r="AC125" s="33">
        <v>20.469938267867199</v>
      </c>
      <c r="AE125" s="15">
        <v>-5.6905953984811103E-6</v>
      </c>
      <c r="AF125" s="15">
        <v>1.0397581494942999E-4</v>
      </c>
      <c r="AI125" s="12"/>
      <c r="AJ125">
        <f t="shared" si="26"/>
        <v>0</v>
      </c>
      <c r="AK125">
        <f t="shared" si="27"/>
        <v>1</v>
      </c>
      <c r="AL125">
        <f t="shared" si="34"/>
        <v>0</v>
      </c>
      <c r="AM125">
        <f t="shared" si="24"/>
        <v>1</v>
      </c>
      <c r="AN125">
        <f t="shared" si="35"/>
        <v>0</v>
      </c>
      <c r="AO125" s="28">
        <f t="shared" si="28"/>
        <v>0</v>
      </c>
      <c r="AP125" s="28">
        <f t="shared" si="29"/>
        <v>0</v>
      </c>
      <c r="AQ125" s="28">
        <f t="shared" si="36"/>
        <v>0</v>
      </c>
      <c r="AR125" s="29">
        <f t="shared" si="37"/>
        <v>0</v>
      </c>
      <c r="AT125" s="12"/>
      <c r="AU125">
        <f t="shared" si="30"/>
        <v>0</v>
      </c>
      <c r="AV125">
        <f t="shared" si="31"/>
        <v>1</v>
      </c>
      <c r="AW125">
        <f t="shared" si="38"/>
        <v>0</v>
      </c>
      <c r="AX125">
        <f t="shared" si="25"/>
        <v>1</v>
      </c>
      <c r="AY125">
        <f t="shared" si="39"/>
        <v>0</v>
      </c>
      <c r="AZ125" s="28">
        <f t="shared" si="32"/>
        <v>0</v>
      </c>
      <c r="BA125" s="28">
        <f t="shared" si="33"/>
        <v>0</v>
      </c>
      <c r="BB125" s="28">
        <f t="shared" si="40"/>
        <v>0</v>
      </c>
      <c r="BC125" s="29">
        <f t="shared" si="41"/>
        <v>0</v>
      </c>
      <c r="BE125" s="29">
        <f t="shared" si="42"/>
        <v>0</v>
      </c>
      <c r="BF125" s="29">
        <f t="shared" si="43"/>
        <v>0</v>
      </c>
      <c r="BH125" s="29"/>
    </row>
    <row r="126" spans="1:60" x14ac:dyDescent="0.25">
      <c r="A126" s="1">
        <v>46205</v>
      </c>
      <c r="B126" s="33">
        <v>25.18</v>
      </c>
      <c r="C126" s="33">
        <v>20.12</v>
      </c>
      <c r="D126" s="15">
        <v>1.5898254540997699E-3</v>
      </c>
      <c r="E126" s="15">
        <v>1.9900504080102299E-3</v>
      </c>
      <c r="F126" s="33">
        <v>0</v>
      </c>
      <c r="G126" s="33">
        <v>0</v>
      </c>
      <c r="H126" s="33">
        <v>0</v>
      </c>
      <c r="I126" s="33">
        <v>0.38780999999999999</v>
      </c>
      <c r="J126" s="33">
        <v>0</v>
      </c>
      <c r="K126" s="33">
        <v>0.38780999999999999</v>
      </c>
      <c r="L126" s="33">
        <v>25.18</v>
      </c>
      <c r="M126" s="33">
        <v>20.507809999999999</v>
      </c>
      <c r="N126" s="34">
        <v>0.79904686258935598</v>
      </c>
      <c r="O126" s="34">
        <v>0.80070241399324205</v>
      </c>
      <c r="P126" s="34">
        <v>0.80088975595558398</v>
      </c>
      <c r="R126" s="33">
        <v>20.161686784349801</v>
      </c>
      <c r="S126" s="33">
        <v>20.1710145896783</v>
      </c>
      <c r="U126" s="15">
        <v>2.0697643301248701E-3</v>
      </c>
      <c r="V126" s="15">
        <v>2.5323073870981302E-3</v>
      </c>
      <c r="X126" s="34">
        <v>0.81444837172358997</v>
      </c>
      <c r="Y126" s="34">
        <v>0.81414850939960204</v>
      </c>
      <c r="Z126" s="34">
        <v>0.81433594107518503</v>
      </c>
      <c r="AB126" s="33">
        <v>20.5002594666819</v>
      </c>
      <c r="AC126" s="33">
        <v>20.503568755969798</v>
      </c>
      <c r="AE126" s="15">
        <v>-3.6824622575690701E-4</v>
      </c>
      <c r="AF126" s="15">
        <v>-2.06832551056746E-4</v>
      </c>
      <c r="AI126" s="12"/>
      <c r="AJ126">
        <f t="shared" si="26"/>
        <v>0</v>
      </c>
      <c r="AK126">
        <f t="shared" si="27"/>
        <v>1</v>
      </c>
      <c r="AL126">
        <f t="shared" si="34"/>
        <v>0</v>
      </c>
      <c r="AM126">
        <f t="shared" si="24"/>
        <v>1</v>
      </c>
      <c r="AN126">
        <f t="shared" si="35"/>
        <v>0</v>
      </c>
      <c r="AO126" s="28">
        <f t="shared" si="28"/>
        <v>0</v>
      </c>
      <c r="AP126" s="28">
        <f t="shared" si="29"/>
        <v>0</v>
      </c>
      <c r="AQ126" s="28">
        <f t="shared" si="36"/>
        <v>0</v>
      </c>
      <c r="AR126" s="29">
        <f t="shared" si="37"/>
        <v>0</v>
      </c>
      <c r="AT126" s="12"/>
      <c r="AU126">
        <f t="shared" si="30"/>
        <v>0</v>
      </c>
      <c r="AV126">
        <f t="shared" si="31"/>
        <v>1</v>
      </c>
      <c r="AW126">
        <f t="shared" si="38"/>
        <v>0</v>
      </c>
      <c r="AX126">
        <f t="shared" si="25"/>
        <v>1</v>
      </c>
      <c r="AY126">
        <f t="shared" si="39"/>
        <v>0</v>
      </c>
      <c r="AZ126" s="28">
        <f t="shared" si="32"/>
        <v>0</v>
      </c>
      <c r="BA126" s="28">
        <f t="shared" si="33"/>
        <v>0</v>
      </c>
      <c r="BB126" s="28">
        <f t="shared" si="40"/>
        <v>0</v>
      </c>
      <c r="BC126" s="29">
        <f t="shared" si="41"/>
        <v>0</v>
      </c>
      <c r="BE126" s="29">
        <f t="shared" si="42"/>
        <v>0</v>
      </c>
      <c r="BF126" s="29">
        <f t="shared" si="43"/>
        <v>0</v>
      </c>
      <c r="BH126" s="29"/>
    </row>
    <row r="127" spans="1:60" x14ac:dyDescent="0.25">
      <c r="A127" s="1">
        <v>46209</v>
      </c>
      <c r="B127" s="33">
        <v>25.2</v>
      </c>
      <c r="C127" s="33">
        <v>20.13</v>
      </c>
      <c r="D127" s="15">
        <v>7.9396590117652402E-4</v>
      </c>
      <c r="E127" s="15">
        <v>4.9689442016152602E-4</v>
      </c>
      <c r="F127" s="33">
        <v>0</v>
      </c>
      <c r="G127" s="33">
        <v>0</v>
      </c>
      <c r="H127" s="33">
        <v>0</v>
      </c>
      <c r="I127" s="33">
        <v>0.38780999999999999</v>
      </c>
      <c r="J127" s="33">
        <v>0</v>
      </c>
      <c r="K127" s="33">
        <v>0.38780999999999999</v>
      </c>
      <c r="L127" s="33">
        <v>25.2</v>
      </c>
      <c r="M127" s="33">
        <v>20.517810000000001</v>
      </c>
      <c r="N127" s="34">
        <v>0.79880952380952297</v>
      </c>
      <c r="O127" s="34">
        <v>0.80070241399324205</v>
      </c>
      <c r="P127" s="34">
        <v>0.80063535801806496</v>
      </c>
      <c r="R127" s="33">
        <v>20.1777008326297</v>
      </c>
      <c r="S127" s="33">
        <v>20.182421850080701</v>
      </c>
      <c r="U127" s="15">
        <v>2.3668358111396202E-3</v>
      </c>
      <c r="V127" s="15">
        <v>2.6007804653554799E-3</v>
      </c>
      <c r="X127" s="34">
        <v>0.81419880952380896</v>
      </c>
      <c r="Y127" s="34">
        <v>0.81414850939960204</v>
      </c>
      <c r="Z127" s="34">
        <v>0.81432253779189701</v>
      </c>
      <c r="AB127" s="33">
        <v>20.516542436869901</v>
      </c>
      <c r="AC127" s="33">
        <v>20.5212657150946</v>
      </c>
      <c r="AE127" s="15">
        <v>-6.1780584079104901E-5</v>
      </c>
      <c r="AF127" s="15">
        <v>1.6841096163218899E-4</v>
      </c>
      <c r="AI127" s="12"/>
      <c r="AJ127">
        <f t="shared" si="26"/>
        <v>0</v>
      </c>
      <c r="AK127">
        <f t="shared" si="27"/>
        <v>1</v>
      </c>
      <c r="AL127">
        <f t="shared" si="34"/>
        <v>0</v>
      </c>
      <c r="AM127">
        <f t="shared" si="24"/>
        <v>1</v>
      </c>
      <c r="AN127">
        <f t="shared" si="35"/>
        <v>0</v>
      </c>
      <c r="AO127" s="28">
        <f t="shared" si="28"/>
        <v>0</v>
      </c>
      <c r="AP127" s="28">
        <f t="shared" si="29"/>
        <v>0</v>
      </c>
      <c r="AQ127" s="28">
        <f t="shared" si="36"/>
        <v>0</v>
      </c>
      <c r="AR127" s="29">
        <f t="shared" si="37"/>
        <v>0</v>
      </c>
      <c r="AT127" s="12"/>
      <c r="AU127">
        <f t="shared" si="30"/>
        <v>0</v>
      </c>
      <c r="AV127">
        <f t="shared" si="31"/>
        <v>1</v>
      </c>
      <c r="AW127">
        <f t="shared" si="38"/>
        <v>0</v>
      </c>
      <c r="AX127">
        <f t="shared" si="25"/>
        <v>1</v>
      </c>
      <c r="AY127">
        <f t="shared" si="39"/>
        <v>0</v>
      </c>
      <c r="AZ127" s="28">
        <f t="shared" si="32"/>
        <v>0</v>
      </c>
      <c r="BA127" s="28">
        <f t="shared" si="33"/>
        <v>0</v>
      </c>
      <c r="BB127" s="28">
        <f t="shared" si="40"/>
        <v>0</v>
      </c>
      <c r="BC127" s="29">
        <f t="shared" si="41"/>
        <v>0</v>
      </c>
      <c r="BE127" s="29">
        <f t="shared" si="42"/>
        <v>0</v>
      </c>
      <c r="BF127" s="29">
        <f t="shared" si="43"/>
        <v>0</v>
      </c>
      <c r="BH127" s="29"/>
    </row>
    <row r="128" spans="1:60" x14ac:dyDescent="0.25">
      <c r="A128" s="1">
        <v>46210</v>
      </c>
      <c r="B128" s="33">
        <v>25.12</v>
      </c>
      <c r="C128" s="33">
        <v>20.07</v>
      </c>
      <c r="D128" s="15">
        <v>-3.1796529173795701E-3</v>
      </c>
      <c r="E128" s="15">
        <v>-2.98507684345328E-3</v>
      </c>
      <c r="F128" s="33">
        <v>0</v>
      </c>
      <c r="G128" s="33">
        <v>0</v>
      </c>
      <c r="H128" s="33">
        <v>0</v>
      </c>
      <c r="I128" s="33">
        <v>0.38780999999999999</v>
      </c>
      <c r="J128" s="33">
        <v>0</v>
      </c>
      <c r="K128" s="33">
        <v>0.38780999999999999</v>
      </c>
      <c r="L128" s="33">
        <v>25.12</v>
      </c>
      <c r="M128" s="33">
        <v>20.457809999999998</v>
      </c>
      <c r="N128" s="34">
        <v>0.798964968152866</v>
      </c>
      <c r="O128" s="34">
        <v>0.80070241399324205</v>
      </c>
      <c r="P128" s="34">
        <v>0.80044406552768499</v>
      </c>
      <c r="R128" s="33">
        <v>20.113644639510198</v>
      </c>
      <c r="S128" s="33">
        <v>20.1119601934138</v>
      </c>
      <c r="U128" s="15">
        <v>2.1722597372134198E-3</v>
      </c>
      <c r="V128" s="15">
        <v>2.0885097921512601E-3</v>
      </c>
      <c r="X128" s="34">
        <v>0.81440326433121002</v>
      </c>
      <c r="Y128" s="34">
        <v>0.81414850939960204</v>
      </c>
      <c r="Z128" s="34">
        <v>0.81437403341895298</v>
      </c>
      <c r="AB128" s="33">
        <v>20.451410556117999</v>
      </c>
      <c r="AC128" s="33">
        <v>20.4557821493324</v>
      </c>
      <c r="AE128" s="15">
        <v>-3.1286071194699797E-4</v>
      </c>
      <c r="AF128" s="15">
        <v>-9.9128458913628605E-5</v>
      </c>
      <c r="AI128" s="12"/>
      <c r="AJ128">
        <f t="shared" si="26"/>
        <v>0</v>
      </c>
      <c r="AK128">
        <f t="shared" si="27"/>
        <v>1</v>
      </c>
      <c r="AL128">
        <f t="shared" si="34"/>
        <v>0</v>
      </c>
      <c r="AM128">
        <f t="shared" si="24"/>
        <v>1</v>
      </c>
      <c r="AN128">
        <f t="shared" si="35"/>
        <v>0</v>
      </c>
      <c r="AO128" s="28">
        <f t="shared" si="28"/>
        <v>0</v>
      </c>
      <c r="AP128" s="28">
        <f t="shared" si="29"/>
        <v>0</v>
      </c>
      <c r="AQ128" s="28">
        <f t="shared" si="36"/>
        <v>0</v>
      </c>
      <c r="AR128" s="29">
        <f t="shared" si="37"/>
        <v>0</v>
      </c>
      <c r="AT128" s="12"/>
      <c r="AU128">
        <f t="shared" si="30"/>
        <v>0</v>
      </c>
      <c r="AV128">
        <f t="shared" si="31"/>
        <v>1</v>
      </c>
      <c r="AW128">
        <f t="shared" si="38"/>
        <v>0</v>
      </c>
      <c r="AX128">
        <f t="shared" si="25"/>
        <v>1</v>
      </c>
      <c r="AY128">
        <f t="shared" si="39"/>
        <v>0</v>
      </c>
      <c r="AZ128" s="28">
        <f t="shared" si="32"/>
        <v>0</v>
      </c>
      <c r="BA128" s="28">
        <f t="shared" si="33"/>
        <v>0</v>
      </c>
      <c r="BB128" s="28">
        <f t="shared" si="40"/>
        <v>0</v>
      </c>
      <c r="BC128" s="29">
        <f t="shared" si="41"/>
        <v>0</v>
      </c>
      <c r="BE128" s="29">
        <f t="shared" si="42"/>
        <v>0</v>
      </c>
      <c r="BF128" s="29">
        <f t="shared" si="43"/>
        <v>0</v>
      </c>
      <c r="BH128" s="29"/>
    </row>
    <row r="129" spans="1:60" x14ac:dyDescent="0.25">
      <c r="A129" s="1">
        <v>46211</v>
      </c>
      <c r="B129" s="33">
        <v>25.07</v>
      </c>
      <c r="C129" s="33">
        <v>20.04</v>
      </c>
      <c r="D129" s="15">
        <v>-1.9924294297959098E-3</v>
      </c>
      <c r="E129" s="15">
        <v>-1.4958865915828E-3</v>
      </c>
      <c r="F129" s="33">
        <v>0</v>
      </c>
      <c r="G129" s="33">
        <v>0</v>
      </c>
      <c r="H129" s="33">
        <v>0</v>
      </c>
      <c r="I129" s="33">
        <v>0.38780999999999999</v>
      </c>
      <c r="J129" s="33">
        <v>0</v>
      </c>
      <c r="K129" s="33">
        <v>0.38780999999999999</v>
      </c>
      <c r="L129" s="33">
        <v>25.07</v>
      </c>
      <c r="M129" s="33">
        <v>20.427810000000001</v>
      </c>
      <c r="N129" s="34">
        <v>0.79936178699641003</v>
      </c>
      <c r="O129" s="34">
        <v>0.80070241399324205</v>
      </c>
      <c r="P129" s="34">
        <v>0.80022878946447296</v>
      </c>
      <c r="R129" s="33">
        <v>20.0736095188105</v>
      </c>
      <c r="S129" s="33">
        <v>20.067132722779</v>
      </c>
      <c r="U129" s="15">
        <v>1.6757168990002001E-3</v>
      </c>
      <c r="V129" s="15">
        <v>1.3530125479583801E-3</v>
      </c>
      <c r="X129" s="34">
        <v>0.81483087355404804</v>
      </c>
      <c r="Y129" s="34">
        <v>0.81414850939960204</v>
      </c>
      <c r="Z129" s="34">
        <v>0.81440618016056698</v>
      </c>
      <c r="AB129" s="33">
        <v>20.410703130647999</v>
      </c>
      <c r="AC129" s="33">
        <v>20.416357017813102</v>
      </c>
      <c r="AE129" s="15">
        <v>-8.3778125309430897E-4</v>
      </c>
      <c r="AF129" s="15">
        <v>-5.6081361541891999E-4</v>
      </c>
      <c r="AI129" s="12"/>
      <c r="AJ129">
        <f t="shared" si="26"/>
        <v>0</v>
      </c>
      <c r="AK129">
        <f t="shared" si="27"/>
        <v>1</v>
      </c>
      <c r="AL129">
        <f t="shared" si="34"/>
        <v>0</v>
      </c>
      <c r="AM129">
        <f t="shared" si="24"/>
        <v>1</v>
      </c>
      <c r="AN129">
        <f t="shared" si="35"/>
        <v>0</v>
      </c>
      <c r="AO129" s="28">
        <f t="shared" si="28"/>
        <v>0</v>
      </c>
      <c r="AP129" s="28">
        <f t="shared" si="29"/>
        <v>0</v>
      </c>
      <c r="AQ129" s="28">
        <f t="shared" si="36"/>
        <v>0</v>
      </c>
      <c r="AR129" s="29">
        <f t="shared" si="37"/>
        <v>0</v>
      </c>
      <c r="AT129" s="12"/>
      <c r="AU129">
        <f t="shared" si="30"/>
        <v>0</v>
      </c>
      <c r="AV129">
        <f t="shared" si="31"/>
        <v>1</v>
      </c>
      <c r="AW129">
        <f t="shared" si="38"/>
        <v>0</v>
      </c>
      <c r="AX129">
        <f t="shared" si="25"/>
        <v>1</v>
      </c>
      <c r="AY129">
        <f t="shared" si="39"/>
        <v>0</v>
      </c>
      <c r="AZ129" s="28">
        <f t="shared" si="32"/>
        <v>0</v>
      </c>
      <c r="BA129" s="28">
        <f t="shared" si="33"/>
        <v>0</v>
      </c>
      <c r="BB129" s="28">
        <f t="shared" si="40"/>
        <v>0</v>
      </c>
      <c r="BC129" s="29">
        <f t="shared" si="41"/>
        <v>0</v>
      </c>
      <c r="BE129" s="29">
        <f t="shared" si="42"/>
        <v>0</v>
      </c>
      <c r="BF129" s="29">
        <f t="shared" si="43"/>
        <v>0</v>
      </c>
      <c r="BH129" s="29"/>
    </row>
    <row r="130" spans="1:60" x14ac:dyDescent="0.25">
      <c r="A130" s="1">
        <v>46212</v>
      </c>
      <c r="B130" s="33">
        <v>25.13</v>
      </c>
      <c r="C130" s="33">
        <v>20.07</v>
      </c>
      <c r="D130" s="15">
        <v>2.3904393852987602E-3</v>
      </c>
      <c r="E130" s="15">
        <v>1.4958865915827E-3</v>
      </c>
      <c r="F130" s="33">
        <v>0</v>
      </c>
      <c r="G130" s="33">
        <v>0</v>
      </c>
      <c r="H130" s="33">
        <v>0</v>
      </c>
      <c r="I130" s="33">
        <v>0.38780999999999999</v>
      </c>
      <c r="J130" s="33">
        <v>0</v>
      </c>
      <c r="K130" s="33">
        <v>0.38780999999999999</v>
      </c>
      <c r="L130" s="33">
        <v>25.13</v>
      </c>
      <c r="M130" s="33">
        <v>20.457809999999998</v>
      </c>
      <c r="N130" s="34">
        <v>0.79864703541583704</v>
      </c>
      <c r="O130" s="34">
        <v>0.80070241399324205</v>
      </c>
      <c r="P130" s="34">
        <v>0.79994263949275701</v>
      </c>
      <c r="Q130" s="34">
        <v>0.80055641813690603</v>
      </c>
      <c r="R130" s="33">
        <v>20.121651663650098</v>
      </c>
      <c r="S130" s="33">
        <v>20.1097494792422</v>
      </c>
      <c r="U130" s="15">
        <v>2.5702696927160699E-3</v>
      </c>
      <c r="V130" s="15">
        <v>1.9785833771970899E-3</v>
      </c>
      <c r="X130" s="34">
        <v>0.81407918822124903</v>
      </c>
      <c r="Y130" s="34">
        <v>0.81414850939960204</v>
      </c>
      <c r="Z130" s="34">
        <v>0.81436891835545899</v>
      </c>
      <c r="AA130" s="34">
        <v>0.81425873883877897</v>
      </c>
      <c r="AB130" s="33">
        <v>20.459552041212</v>
      </c>
      <c r="AC130" s="33">
        <v>20.466027307434999</v>
      </c>
      <c r="AE130" s="15">
        <v>8.5149243555729303E-5</v>
      </c>
      <c r="AF130" s="15">
        <v>4.0159027530944501E-4</v>
      </c>
      <c r="AI130" s="12"/>
      <c r="AJ130">
        <f t="shared" si="26"/>
        <v>0</v>
      </c>
      <c r="AK130">
        <f t="shared" si="27"/>
        <v>1</v>
      </c>
      <c r="AL130">
        <f t="shared" si="34"/>
        <v>0</v>
      </c>
      <c r="AM130">
        <f t="shared" si="24"/>
        <v>1</v>
      </c>
      <c r="AN130">
        <f t="shared" si="35"/>
        <v>0</v>
      </c>
      <c r="AO130" s="28">
        <f t="shared" si="28"/>
        <v>0</v>
      </c>
      <c r="AP130" s="28">
        <f t="shared" si="29"/>
        <v>0</v>
      </c>
      <c r="AQ130" s="28">
        <f t="shared" si="36"/>
        <v>0</v>
      </c>
      <c r="AR130" s="29">
        <f t="shared" si="37"/>
        <v>0</v>
      </c>
      <c r="AT130" s="12"/>
      <c r="AU130">
        <f t="shared" si="30"/>
        <v>0</v>
      </c>
      <c r="AV130">
        <f t="shared" si="31"/>
        <v>1</v>
      </c>
      <c r="AW130">
        <f t="shared" si="38"/>
        <v>0</v>
      </c>
      <c r="AX130">
        <f t="shared" si="25"/>
        <v>1</v>
      </c>
      <c r="AY130">
        <f t="shared" si="39"/>
        <v>0</v>
      </c>
      <c r="AZ130" s="28">
        <f t="shared" si="32"/>
        <v>0</v>
      </c>
      <c r="BA130" s="28">
        <f t="shared" si="33"/>
        <v>0</v>
      </c>
      <c r="BB130" s="28">
        <f t="shared" si="40"/>
        <v>0</v>
      </c>
      <c r="BC130" s="29">
        <f t="shared" si="41"/>
        <v>0</v>
      </c>
      <c r="BE130" s="29">
        <f t="shared" si="42"/>
        <v>0</v>
      </c>
      <c r="BF130" s="29">
        <f t="shared" si="43"/>
        <v>0</v>
      </c>
      <c r="BH130" s="29"/>
    </row>
    <row r="131" spans="1:60" x14ac:dyDescent="0.25">
      <c r="A131" s="1">
        <v>46213</v>
      </c>
      <c r="B131" s="33">
        <v>25.1</v>
      </c>
      <c r="C131" s="33">
        <v>20.05</v>
      </c>
      <c r="D131" s="15">
        <v>-1.1945054177625099E-3</v>
      </c>
      <c r="E131" s="15">
        <v>-9.9700905566852197E-4</v>
      </c>
      <c r="F131" s="33">
        <v>0</v>
      </c>
      <c r="G131" s="33">
        <v>0</v>
      </c>
      <c r="H131" s="33">
        <v>0</v>
      </c>
      <c r="I131" s="33">
        <v>0.38780999999999999</v>
      </c>
      <c r="J131" s="33">
        <v>0</v>
      </c>
      <c r="K131" s="33">
        <v>0.38780999999999999</v>
      </c>
      <c r="L131" s="33">
        <v>25.1</v>
      </c>
      <c r="M131" s="33">
        <v>20.437809999999999</v>
      </c>
      <c r="N131" s="34">
        <v>0.79880478087649398</v>
      </c>
      <c r="O131" s="34">
        <v>0.80070241399324205</v>
      </c>
      <c r="P131" s="34">
        <v>0.79965651702507201</v>
      </c>
      <c r="Q131" s="34">
        <v>0.80043677694120896</v>
      </c>
      <c r="R131" s="33">
        <v>20.097630591230299</v>
      </c>
      <c r="S131" s="33">
        <v>20.0785602512682</v>
      </c>
      <c r="T131" s="33">
        <v>20.093966095236301</v>
      </c>
      <c r="U131" s="15">
        <v>2.3727733306224399E-3</v>
      </c>
      <c r="V131" s="15">
        <v>1.4234378662842399E-3</v>
      </c>
      <c r="W131" s="15">
        <v>2.1904219782848001E-3</v>
      </c>
      <c r="X131" s="34">
        <v>0.814255378486055</v>
      </c>
      <c r="Y131" s="34">
        <v>0.81414850939960204</v>
      </c>
      <c r="Z131" s="34">
        <v>0.81433455537106203</v>
      </c>
      <c r="AA131" s="34">
        <v>0.81426084708444002</v>
      </c>
      <c r="AB131" s="33">
        <v>20.435127585930001</v>
      </c>
      <c r="AC131" s="33">
        <v>20.440659850722</v>
      </c>
      <c r="AD131" s="33">
        <v>20.437894344853301</v>
      </c>
      <c r="AE131" s="15">
        <v>-1.31256241036957E-4</v>
      </c>
      <c r="AF131" s="15">
        <v>1.3943040123846201E-4</v>
      </c>
      <c r="AG131" s="15">
        <v>4.1268941894865097E-6</v>
      </c>
      <c r="AI131" s="12"/>
      <c r="AJ131">
        <f t="shared" si="26"/>
        <v>0</v>
      </c>
      <c r="AK131">
        <f t="shared" si="27"/>
        <v>1</v>
      </c>
      <c r="AL131">
        <f t="shared" si="34"/>
        <v>0</v>
      </c>
      <c r="AM131">
        <f t="shared" si="24"/>
        <v>1</v>
      </c>
      <c r="AN131">
        <f t="shared" si="35"/>
        <v>0</v>
      </c>
      <c r="AO131" s="28">
        <f t="shared" si="28"/>
        <v>0</v>
      </c>
      <c r="AP131" s="28">
        <f t="shared" si="29"/>
        <v>0</v>
      </c>
      <c r="AQ131" s="28">
        <f t="shared" si="36"/>
        <v>0</v>
      </c>
      <c r="AR131" s="29">
        <f t="shared" si="37"/>
        <v>0</v>
      </c>
      <c r="AT131" s="12"/>
      <c r="AU131">
        <f t="shared" si="30"/>
        <v>0</v>
      </c>
      <c r="AV131">
        <f t="shared" si="31"/>
        <v>1</v>
      </c>
      <c r="AW131">
        <f t="shared" si="38"/>
        <v>0</v>
      </c>
      <c r="AX131">
        <f t="shared" si="25"/>
        <v>1</v>
      </c>
      <c r="AY131">
        <f t="shared" si="39"/>
        <v>0</v>
      </c>
      <c r="AZ131" s="28">
        <f t="shared" si="32"/>
        <v>0</v>
      </c>
      <c r="BA131" s="28">
        <f t="shared" si="33"/>
        <v>0</v>
      </c>
      <c r="BB131" s="28">
        <f t="shared" si="40"/>
        <v>0</v>
      </c>
      <c r="BC131" s="29">
        <f t="shared" si="41"/>
        <v>0</v>
      </c>
      <c r="BE131" s="29">
        <f t="shared" si="42"/>
        <v>0</v>
      </c>
      <c r="BF131" s="29">
        <f t="shared" si="43"/>
        <v>0</v>
      </c>
      <c r="BH131" s="29"/>
    </row>
    <row r="132" spans="1:60" x14ac:dyDescent="0.25">
      <c r="A132" s="1">
        <v>46216</v>
      </c>
      <c r="B132" s="33">
        <v>25.04</v>
      </c>
      <c r="C132" s="33">
        <v>20</v>
      </c>
      <c r="D132" s="15">
        <v>-2.3932999058404901E-3</v>
      </c>
      <c r="E132" s="15">
        <v>-2.4968801985872599E-3</v>
      </c>
      <c r="F132" s="33">
        <v>0</v>
      </c>
      <c r="G132" s="33">
        <v>0</v>
      </c>
      <c r="H132" s="33">
        <v>0</v>
      </c>
      <c r="I132" s="33">
        <v>0.38780999999999999</v>
      </c>
      <c r="J132" s="33">
        <v>0</v>
      </c>
      <c r="K132" s="33">
        <v>0.38780999999999999</v>
      </c>
      <c r="L132" s="33">
        <v>25.04</v>
      </c>
      <c r="M132" s="33">
        <v>20.387810000000002</v>
      </c>
      <c r="N132" s="34">
        <v>0.798722044728434</v>
      </c>
      <c r="O132" s="34">
        <v>0.80070241399324205</v>
      </c>
      <c r="P132" s="34">
        <v>0.79940990961672698</v>
      </c>
      <c r="Q132" s="34">
        <v>0.80030928617286201</v>
      </c>
      <c r="R132" s="33">
        <v>20.0495884463907</v>
      </c>
      <c r="S132" s="33">
        <v>20.023399186307799</v>
      </c>
      <c r="T132" s="33">
        <v>20.042936894607799</v>
      </c>
      <c r="U132" s="15">
        <v>2.4763536233688801E-3</v>
      </c>
      <c r="V132" s="15">
        <v>1.1692754463377101E-3</v>
      </c>
      <c r="W132" s="15">
        <v>2.1445435521726302E-3</v>
      </c>
      <c r="X132" s="34">
        <v>0.81420966453674104</v>
      </c>
      <c r="Y132" s="34">
        <v>0.81414850939960204</v>
      </c>
      <c r="Z132" s="34">
        <v>0.81434545845839901</v>
      </c>
      <c r="AA132" s="34">
        <v>0.81425980209188098</v>
      </c>
      <c r="AB132" s="33">
        <v>20.386278675366</v>
      </c>
      <c r="AC132" s="33">
        <v>20.390937266491399</v>
      </c>
      <c r="AD132" s="33">
        <v>20.389091610994299</v>
      </c>
      <c r="AE132" s="15">
        <v>-7.5112635717000805E-5</v>
      </c>
      <c r="AF132" s="15">
        <v>1.5337727160158501E-4</v>
      </c>
      <c r="AG132" s="15">
        <v>6.2859655548581296E-5</v>
      </c>
      <c r="AI132" s="12"/>
      <c r="AJ132">
        <f t="shared" si="26"/>
        <v>0</v>
      </c>
      <c r="AK132">
        <f t="shared" si="27"/>
        <v>1</v>
      </c>
      <c r="AL132">
        <f t="shared" si="34"/>
        <v>0</v>
      </c>
      <c r="AM132">
        <f t="shared" si="24"/>
        <v>1</v>
      </c>
      <c r="AN132">
        <f t="shared" si="35"/>
        <v>0</v>
      </c>
      <c r="AO132" s="28">
        <f t="shared" si="28"/>
        <v>0</v>
      </c>
      <c r="AP132" s="28">
        <f t="shared" si="29"/>
        <v>0</v>
      </c>
      <c r="AQ132" s="28">
        <f t="shared" si="36"/>
        <v>0</v>
      </c>
      <c r="AR132" s="29">
        <f t="shared" si="37"/>
        <v>0</v>
      </c>
      <c r="AT132" s="12"/>
      <c r="AU132">
        <f t="shared" si="30"/>
        <v>0</v>
      </c>
      <c r="AV132">
        <f t="shared" si="31"/>
        <v>1</v>
      </c>
      <c r="AW132">
        <f t="shared" si="38"/>
        <v>0</v>
      </c>
      <c r="AX132">
        <f t="shared" si="25"/>
        <v>1</v>
      </c>
      <c r="AY132">
        <f t="shared" si="39"/>
        <v>0</v>
      </c>
      <c r="AZ132" s="28">
        <f t="shared" si="32"/>
        <v>0</v>
      </c>
      <c r="BA132" s="28">
        <f t="shared" si="33"/>
        <v>0</v>
      </c>
      <c r="BB132" s="28">
        <f t="shared" si="40"/>
        <v>0</v>
      </c>
      <c r="BC132" s="29">
        <f t="shared" si="41"/>
        <v>0</v>
      </c>
      <c r="BE132" s="29">
        <f t="shared" si="42"/>
        <v>0</v>
      </c>
      <c r="BF132" s="29">
        <f t="shared" si="43"/>
        <v>0</v>
      </c>
      <c r="BH132" s="29"/>
    </row>
    <row r="133" spans="1:60" x14ac:dyDescent="0.25">
      <c r="A133" s="1">
        <v>46217</v>
      </c>
      <c r="B133" s="33">
        <v>25.1</v>
      </c>
      <c r="C133" s="33">
        <v>20.05</v>
      </c>
      <c r="D133" s="15">
        <v>2.3932999058404801E-3</v>
      </c>
      <c r="E133" s="15">
        <v>2.4968801985871402E-3</v>
      </c>
      <c r="F133" s="33">
        <v>0</v>
      </c>
      <c r="G133" s="33">
        <v>0</v>
      </c>
      <c r="H133" s="33">
        <v>0</v>
      </c>
      <c r="I133" s="33">
        <v>0.38780999999999999</v>
      </c>
      <c r="J133" s="33">
        <v>0</v>
      </c>
      <c r="K133" s="33">
        <v>0.38780999999999999</v>
      </c>
      <c r="L133" s="33">
        <v>25.1</v>
      </c>
      <c r="M133" s="33">
        <v>20.437809999999999</v>
      </c>
      <c r="N133" s="34">
        <v>0.79880478087649398</v>
      </c>
      <c r="O133" s="34">
        <v>0.80070241399324205</v>
      </c>
      <c r="P133" s="34">
        <v>0.79917157582318799</v>
      </c>
      <c r="Q133" s="34">
        <v>0.80019779421787995</v>
      </c>
      <c r="R133" s="33">
        <v>20.097630591230299</v>
      </c>
      <c r="S133" s="33">
        <v>20.065188731379799</v>
      </c>
      <c r="T133" s="33">
        <v>20.0877630829388</v>
      </c>
      <c r="U133" s="15">
        <v>2.3727733306224399E-3</v>
      </c>
      <c r="V133" s="15">
        <v>7.5725592156007096E-4</v>
      </c>
      <c r="W133" s="15">
        <v>1.88167407352072E-3</v>
      </c>
      <c r="X133" s="34">
        <v>0.814255378486055</v>
      </c>
      <c r="Y133" s="34">
        <v>0.81414850939960204</v>
      </c>
      <c r="Z133" s="34">
        <v>0.81436093294066803</v>
      </c>
      <c r="AA133" s="34">
        <v>0.81427213130269405</v>
      </c>
      <c r="AB133" s="33">
        <v>20.435127585930001</v>
      </c>
      <c r="AC133" s="33">
        <v>20.4400710073058</v>
      </c>
      <c r="AD133" s="33">
        <v>20.4379210325062</v>
      </c>
      <c r="AE133" s="15">
        <v>-1.31256241036957E-4</v>
      </c>
      <c r="AF133" s="15">
        <v>1.10622529956444E-4</v>
      </c>
      <c r="AG133" s="15">
        <v>5.43268601728946E-6</v>
      </c>
      <c r="AI133" s="12"/>
      <c r="AJ133">
        <f t="shared" si="26"/>
        <v>0</v>
      </c>
      <c r="AK133">
        <f t="shared" si="27"/>
        <v>1</v>
      </c>
      <c r="AL133">
        <f t="shared" si="34"/>
        <v>0</v>
      </c>
      <c r="AM133">
        <f t="shared" si="24"/>
        <v>1</v>
      </c>
      <c r="AN133">
        <f t="shared" si="35"/>
        <v>0</v>
      </c>
      <c r="AO133" s="28">
        <f t="shared" si="28"/>
        <v>0</v>
      </c>
      <c r="AP133" s="28">
        <f t="shared" si="29"/>
        <v>0</v>
      </c>
      <c r="AQ133" s="28">
        <f t="shared" si="36"/>
        <v>0</v>
      </c>
      <c r="AR133" s="29">
        <f t="shared" si="37"/>
        <v>0</v>
      </c>
      <c r="AT133" s="12"/>
      <c r="AU133">
        <f t="shared" si="30"/>
        <v>0</v>
      </c>
      <c r="AV133">
        <f t="shared" si="31"/>
        <v>1</v>
      </c>
      <c r="AW133">
        <f t="shared" si="38"/>
        <v>0</v>
      </c>
      <c r="AX133">
        <f t="shared" si="25"/>
        <v>1</v>
      </c>
      <c r="AY133">
        <f t="shared" si="39"/>
        <v>0</v>
      </c>
      <c r="AZ133" s="28">
        <f t="shared" si="32"/>
        <v>0</v>
      </c>
      <c r="BA133" s="28">
        <f t="shared" si="33"/>
        <v>0</v>
      </c>
      <c r="BB133" s="28">
        <f t="shared" si="40"/>
        <v>0</v>
      </c>
      <c r="BC133" s="29">
        <f t="shared" si="41"/>
        <v>0</v>
      </c>
      <c r="BE133" s="29">
        <f t="shared" si="42"/>
        <v>0</v>
      </c>
      <c r="BF133" s="29">
        <f t="shared" si="43"/>
        <v>0</v>
      </c>
      <c r="BH133" s="29"/>
    </row>
    <row r="134" spans="1:60" x14ac:dyDescent="0.25">
      <c r="A134" s="1">
        <v>46218</v>
      </c>
      <c r="B134" s="33">
        <v>25.15</v>
      </c>
      <c r="C134" s="33">
        <v>20.09</v>
      </c>
      <c r="D134" s="15">
        <v>1.9900504080097802E-3</v>
      </c>
      <c r="E134" s="15">
        <v>1.9930250742648602E-3</v>
      </c>
      <c r="F134" s="33">
        <v>0</v>
      </c>
      <c r="G134" s="33">
        <v>0</v>
      </c>
      <c r="H134" s="33">
        <v>0</v>
      </c>
      <c r="I134" s="33">
        <v>0.38780999999999999</v>
      </c>
      <c r="J134" s="33">
        <v>0</v>
      </c>
      <c r="K134" s="33">
        <v>0.38780999999999999</v>
      </c>
      <c r="L134" s="33">
        <v>25.15</v>
      </c>
      <c r="M134" s="33">
        <v>20.477810000000002</v>
      </c>
      <c r="N134" s="34">
        <v>0.79880715705765404</v>
      </c>
      <c r="O134" s="34">
        <v>0.80070241399324205</v>
      </c>
      <c r="P134" s="34">
        <v>0.79886960685857999</v>
      </c>
      <c r="Q134" s="34">
        <v>0.80007455906599301</v>
      </c>
      <c r="R134" s="33">
        <v>20.137665711930001</v>
      </c>
      <c r="S134" s="33">
        <v>20.0991651319531</v>
      </c>
      <c r="T134" s="33">
        <v>20.124974524579599</v>
      </c>
      <c r="U134" s="15">
        <v>2.3697986643674701E-3</v>
      </c>
      <c r="V134" s="15">
        <v>4.5609965183338697E-4</v>
      </c>
      <c r="W134" s="15">
        <v>1.73937861758853E-3</v>
      </c>
      <c r="X134" s="34">
        <v>0.81422703777335903</v>
      </c>
      <c r="Y134" s="34">
        <v>0.81414850939960204</v>
      </c>
      <c r="Z134" s="34">
        <v>0.81430611090386595</v>
      </c>
      <c r="AA134" s="34">
        <v>0.81427195497196603</v>
      </c>
      <c r="AB134" s="33">
        <v>20.475835011399901</v>
      </c>
      <c r="AC134" s="33">
        <v>20.481177463457801</v>
      </c>
      <c r="AD134" s="33">
        <v>20.478944102262702</v>
      </c>
      <c r="AE134" s="15">
        <v>-9.6449954624859506E-5</v>
      </c>
      <c r="AF134" s="15">
        <v>1.6443099177729801E-4</v>
      </c>
      <c r="AG134" s="15">
        <v>5.5380475719075598E-5</v>
      </c>
      <c r="AI134" s="12"/>
      <c r="AJ134">
        <f t="shared" si="26"/>
        <v>0</v>
      </c>
      <c r="AK134">
        <f t="shared" si="27"/>
        <v>1</v>
      </c>
      <c r="AL134">
        <f t="shared" si="34"/>
        <v>0</v>
      </c>
      <c r="AM134">
        <f t="shared" si="24"/>
        <v>1</v>
      </c>
      <c r="AN134">
        <f t="shared" si="35"/>
        <v>0</v>
      </c>
      <c r="AO134" s="28">
        <f t="shared" si="28"/>
        <v>0</v>
      </c>
      <c r="AP134" s="28">
        <f t="shared" si="29"/>
        <v>0</v>
      </c>
      <c r="AQ134" s="28">
        <f t="shared" si="36"/>
        <v>0</v>
      </c>
      <c r="AR134" s="29">
        <f t="shared" si="37"/>
        <v>0</v>
      </c>
      <c r="AT134" s="12"/>
      <c r="AU134">
        <f t="shared" si="30"/>
        <v>0</v>
      </c>
      <c r="AV134">
        <f t="shared" si="31"/>
        <v>1</v>
      </c>
      <c r="AW134">
        <f t="shared" si="38"/>
        <v>0</v>
      </c>
      <c r="AX134">
        <f t="shared" si="25"/>
        <v>1</v>
      </c>
      <c r="AY134">
        <f t="shared" si="39"/>
        <v>0</v>
      </c>
      <c r="AZ134" s="28">
        <f t="shared" si="32"/>
        <v>0</v>
      </c>
      <c r="BA134" s="28">
        <f t="shared" si="33"/>
        <v>0</v>
      </c>
      <c r="BB134" s="28">
        <f t="shared" si="40"/>
        <v>0</v>
      </c>
      <c r="BC134" s="29">
        <f t="shared" si="41"/>
        <v>0</v>
      </c>
      <c r="BE134" s="29">
        <f t="shared" si="42"/>
        <v>0</v>
      </c>
      <c r="BF134" s="29">
        <f t="shared" si="43"/>
        <v>0</v>
      </c>
      <c r="BH134" s="29"/>
    </row>
    <row r="135" spans="1:60" x14ac:dyDescent="0.25">
      <c r="A135" s="1">
        <v>46219</v>
      </c>
      <c r="B135" s="33">
        <v>25.14</v>
      </c>
      <c r="C135" s="33">
        <v>20.09</v>
      </c>
      <c r="D135" s="15">
        <v>-3.9769338364676498E-4</v>
      </c>
      <c r="E135" s="15">
        <v>0</v>
      </c>
      <c r="F135" s="33">
        <v>0</v>
      </c>
      <c r="G135" s="33">
        <v>0</v>
      </c>
      <c r="H135" s="33">
        <v>0</v>
      </c>
      <c r="I135" s="33">
        <v>0.38780999999999999</v>
      </c>
      <c r="J135" s="33">
        <v>0</v>
      </c>
      <c r="K135" s="33">
        <v>0.38780999999999999</v>
      </c>
      <c r="L135" s="33">
        <v>25.14</v>
      </c>
      <c r="M135" s="33">
        <v>20.477810000000002</v>
      </c>
      <c r="N135" s="34">
        <v>0.79912490055688101</v>
      </c>
      <c r="O135" s="34">
        <v>0.80070241399324205</v>
      </c>
      <c r="P135" s="34">
        <v>0.79890938410599499</v>
      </c>
      <c r="Q135" s="34">
        <v>0.79999112155415497</v>
      </c>
      <c r="R135" s="33">
        <v>20.129658687790101</v>
      </c>
      <c r="S135" s="33">
        <v>20.083581916424698</v>
      </c>
      <c r="T135" s="33">
        <v>20.113874414919</v>
      </c>
      <c r="U135" s="15">
        <v>1.9721052807207102E-3</v>
      </c>
      <c r="V135" s="15">
        <v>-3.19517619476162E-4</v>
      </c>
      <c r="W135" s="15">
        <v>1.1876675107992201E-3</v>
      </c>
      <c r="X135" s="34">
        <v>0.81455091487668996</v>
      </c>
      <c r="Y135" s="34">
        <v>0.81414850939960204</v>
      </c>
      <c r="Z135" s="34">
        <v>0.81434588815128095</v>
      </c>
      <c r="AA135" s="34">
        <v>0.81431291143008599</v>
      </c>
      <c r="AB135" s="33">
        <v>20.467693526306</v>
      </c>
      <c r="AC135" s="33">
        <v>20.471655628123202</v>
      </c>
      <c r="AD135" s="33">
        <v>20.470796947995201</v>
      </c>
      <c r="AE135" s="15">
        <v>-4.9414333827173403E-4</v>
      </c>
      <c r="AF135" s="15">
        <v>-3.0058374773537898E-4</v>
      </c>
      <c r="AG135" s="15">
        <v>-3.4252945807124402E-4</v>
      </c>
      <c r="AI135" s="12"/>
      <c r="AJ135">
        <f t="shared" si="26"/>
        <v>0</v>
      </c>
      <c r="AK135">
        <f t="shared" si="27"/>
        <v>0</v>
      </c>
      <c r="AL135">
        <f t="shared" si="34"/>
        <v>0</v>
      </c>
      <c r="AM135">
        <f t="shared" si="24"/>
        <v>1</v>
      </c>
      <c r="AN135">
        <f t="shared" si="35"/>
        <v>0</v>
      </c>
      <c r="AO135" s="28">
        <f t="shared" si="28"/>
        <v>0</v>
      </c>
      <c r="AP135" s="28">
        <f t="shared" si="29"/>
        <v>0</v>
      </c>
      <c r="AQ135" s="28">
        <f t="shared" si="36"/>
        <v>0</v>
      </c>
      <c r="AR135" s="29">
        <f t="shared" si="37"/>
        <v>0</v>
      </c>
      <c r="AT135" s="12"/>
      <c r="AU135">
        <f t="shared" si="30"/>
        <v>0</v>
      </c>
      <c r="AV135">
        <f t="shared" si="31"/>
        <v>1</v>
      </c>
      <c r="AW135">
        <f t="shared" si="38"/>
        <v>0</v>
      </c>
      <c r="AX135">
        <f t="shared" si="25"/>
        <v>1</v>
      </c>
      <c r="AY135">
        <f t="shared" si="39"/>
        <v>0</v>
      </c>
      <c r="AZ135" s="28">
        <f t="shared" si="32"/>
        <v>0</v>
      </c>
      <c r="BA135" s="28">
        <f t="shared" si="33"/>
        <v>0</v>
      </c>
      <c r="BB135" s="28">
        <f t="shared" si="40"/>
        <v>0</v>
      </c>
      <c r="BC135" s="29">
        <f t="shared" si="41"/>
        <v>0</v>
      </c>
      <c r="BE135" s="29">
        <f t="shared" si="42"/>
        <v>0</v>
      </c>
      <c r="BF135" s="29">
        <f t="shared" si="43"/>
        <v>0</v>
      </c>
      <c r="BH135" s="29"/>
    </row>
    <row r="136" spans="1:60" x14ac:dyDescent="0.25">
      <c r="A136" s="1">
        <v>46220</v>
      </c>
      <c r="B136" s="33">
        <v>25.15</v>
      </c>
      <c r="C136" s="33">
        <v>20.09</v>
      </c>
      <c r="D136" s="15">
        <v>3.9769338364669098E-4</v>
      </c>
      <c r="E136" s="15">
        <v>0</v>
      </c>
      <c r="F136" s="33">
        <v>0</v>
      </c>
      <c r="G136" s="33">
        <v>0</v>
      </c>
      <c r="H136" s="33">
        <v>0</v>
      </c>
      <c r="I136" s="33">
        <v>0.38780999999999999</v>
      </c>
      <c r="J136" s="33">
        <v>0</v>
      </c>
      <c r="K136" s="33">
        <v>0.38780999999999999</v>
      </c>
      <c r="L136" s="33">
        <v>25.15</v>
      </c>
      <c r="M136" s="33">
        <v>20.477810000000002</v>
      </c>
      <c r="N136" s="34">
        <v>0.79880715705765404</v>
      </c>
      <c r="O136" s="34">
        <v>0.80070241399324205</v>
      </c>
      <c r="P136" s="34">
        <v>0.79888541355282405</v>
      </c>
      <c r="Q136" s="34">
        <v>0.79988758475420396</v>
      </c>
      <c r="R136" s="33">
        <v>20.137665711930001</v>
      </c>
      <c r="S136" s="33">
        <v>20.092571010265701</v>
      </c>
      <c r="T136" s="33">
        <v>20.119776707086999</v>
      </c>
      <c r="U136" s="15">
        <v>2.3697986643674701E-3</v>
      </c>
      <c r="V136" s="15">
        <v>1.2796643941154001E-4</v>
      </c>
      <c r="W136" s="15">
        <v>1.48106828580542E-3</v>
      </c>
      <c r="X136" s="34">
        <v>0.81422703777335903</v>
      </c>
      <c r="Y136" s="34">
        <v>0.81414850939960204</v>
      </c>
      <c r="Z136" s="34">
        <v>0.81432375475625796</v>
      </c>
      <c r="AA136" s="34">
        <v>0.81432984791572105</v>
      </c>
      <c r="AB136" s="33">
        <v>20.475835011399901</v>
      </c>
      <c r="AC136" s="33">
        <v>20.480799087004701</v>
      </c>
      <c r="AD136" s="33">
        <v>20.479969722466599</v>
      </c>
      <c r="AE136" s="15">
        <v>-9.6449954624859506E-5</v>
      </c>
      <c r="AF136" s="15">
        <v>1.4595647052743701E-4</v>
      </c>
      <c r="AG136" s="15">
        <v>1.05460915279646E-4</v>
      </c>
      <c r="AI136" s="12"/>
      <c r="AJ136">
        <f t="shared" si="26"/>
        <v>0</v>
      </c>
      <c r="AK136">
        <f t="shared" si="27"/>
        <v>1</v>
      </c>
      <c r="AL136">
        <f t="shared" si="34"/>
        <v>0</v>
      </c>
      <c r="AM136">
        <f t="shared" si="24"/>
        <v>0</v>
      </c>
      <c r="AN136">
        <f t="shared" si="35"/>
        <v>0</v>
      </c>
      <c r="AO136" s="28">
        <f t="shared" si="28"/>
        <v>0</v>
      </c>
      <c r="AP136" s="28">
        <f t="shared" si="29"/>
        <v>0</v>
      </c>
      <c r="AQ136" s="28">
        <f t="shared" si="36"/>
        <v>0</v>
      </c>
      <c r="AR136" s="29">
        <f t="shared" si="37"/>
        <v>0</v>
      </c>
      <c r="AT136" s="12"/>
      <c r="AU136">
        <f t="shared" si="30"/>
        <v>0</v>
      </c>
      <c r="AV136">
        <f t="shared" si="31"/>
        <v>1</v>
      </c>
      <c r="AW136">
        <f t="shared" si="38"/>
        <v>0</v>
      </c>
      <c r="AX136">
        <f t="shared" si="25"/>
        <v>0</v>
      </c>
      <c r="AY136">
        <f t="shared" si="39"/>
        <v>0</v>
      </c>
      <c r="AZ136" s="28">
        <f t="shared" si="32"/>
        <v>0</v>
      </c>
      <c r="BA136" s="28">
        <f t="shared" si="33"/>
        <v>0</v>
      </c>
      <c r="BB136" s="28">
        <f t="shared" si="40"/>
        <v>0</v>
      </c>
      <c r="BC136" s="29">
        <f t="shared" si="41"/>
        <v>0</v>
      </c>
      <c r="BE136" s="29">
        <f t="shared" si="42"/>
        <v>0</v>
      </c>
      <c r="BF136" s="29">
        <f t="shared" si="43"/>
        <v>0</v>
      </c>
      <c r="BH136" s="29"/>
    </row>
    <row r="137" spans="1:60" x14ac:dyDescent="0.25">
      <c r="A137" s="1">
        <v>46223</v>
      </c>
      <c r="B137" s="33">
        <v>24.98</v>
      </c>
      <c r="C137" s="33">
        <v>20.05</v>
      </c>
      <c r="D137" s="15">
        <v>-6.7823918483165E-3</v>
      </c>
      <c r="E137" s="15">
        <v>-1.9930250742648502E-3</v>
      </c>
      <c r="F137" s="33">
        <v>0.11899999999999999</v>
      </c>
      <c r="G137" s="33">
        <v>0.11899999999999999</v>
      </c>
      <c r="H137" s="33">
        <v>0</v>
      </c>
      <c r="I137" s="33">
        <v>0.38780999999999999</v>
      </c>
      <c r="J137" s="33">
        <v>0.11899999999999999</v>
      </c>
      <c r="K137" s="33">
        <v>0.38780999999999999</v>
      </c>
      <c r="L137" s="33">
        <v>25.099</v>
      </c>
      <c r="M137" s="33">
        <v>20.437809999999999</v>
      </c>
      <c r="N137" s="34">
        <v>0.80264211369095195</v>
      </c>
      <c r="O137" s="34">
        <v>0.80070241399324205</v>
      </c>
      <c r="P137" s="34">
        <v>0.79926867254096701</v>
      </c>
      <c r="Q137" s="34">
        <v>0.79995201527951598</v>
      </c>
      <c r="R137" s="33">
        <v>20.001546301551102</v>
      </c>
      <c r="S137" s="33">
        <v>19.956157630549502</v>
      </c>
      <c r="T137" s="33">
        <v>19.98119186716</v>
      </c>
      <c r="U137" s="15">
        <v>-2.4195681096842898E-3</v>
      </c>
      <c r="V137" s="15">
        <v>-4.6914048799140901E-3</v>
      </c>
      <c r="W137" s="15">
        <v>-3.4377293003280498E-3</v>
      </c>
      <c r="X137" s="34">
        <v>0.81428782023188095</v>
      </c>
      <c r="Y137" s="34">
        <v>0.81414850939960204</v>
      </c>
      <c r="Z137" s="34">
        <v>0.81433265582706504</v>
      </c>
      <c r="AA137" s="34">
        <v>0.81432759680948097</v>
      </c>
      <c r="AB137" s="33">
        <v>20.434313437420599</v>
      </c>
      <c r="AC137" s="33">
        <v>20.438711920627298</v>
      </c>
      <c r="AD137" s="33">
        <v>20.438864852836701</v>
      </c>
      <c r="AE137" s="15">
        <v>-1.7109767214656699E-4</v>
      </c>
      <c r="AF137" s="15">
        <v>4.4129029823697498E-5</v>
      </c>
      <c r="AG137" s="15">
        <v>5.1611479687725797E-5</v>
      </c>
      <c r="AI137" s="12"/>
      <c r="AJ137">
        <f t="shared" si="26"/>
        <v>0</v>
      </c>
      <c r="AK137">
        <f t="shared" si="27"/>
        <v>1</v>
      </c>
      <c r="AL137">
        <f t="shared" si="34"/>
        <v>0</v>
      </c>
      <c r="AM137">
        <f t="shared" si="24"/>
        <v>1</v>
      </c>
      <c r="AN137">
        <f t="shared" si="35"/>
        <v>0</v>
      </c>
      <c r="AO137" s="28">
        <f t="shared" si="28"/>
        <v>0</v>
      </c>
      <c r="AP137" s="28">
        <f t="shared" si="29"/>
        <v>0</v>
      </c>
      <c r="AQ137" s="28">
        <f t="shared" si="36"/>
        <v>0</v>
      </c>
      <c r="AR137" s="29">
        <f t="shared" si="37"/>
        <v>0</v>
      </c>
      <c r="AT137" s="12"/>
      <c r="AU137">
        <f t="shared" si="30"/>
        <v>0</v>
      </c>
      <c r="AV137">
        <f t="shared" si="31"/>
        <v>1</v>
      </c>
      <c r="AW137">
        <f t="shared" si="38"/>
        <v>0</v>
      </c>
      <c r="AX137">
        <f t="shared" si="25"/>
        <v>1</v>
      </c>
      <c r="AY137">
        <f t="shared" si="39"/>
        <v>0</v>
      </c>
      <c r="AZ137" s="28">
        <f t="shared" si="32"/>
        <v>0</v>
      </c>
      <c r="BA137" s="28">
        <f t="shared" si="33"/>
        <v>0</v>
      </c>
      <c r="BB137" s="28">
        <f t="shared" si="40"/>
        <v>0</v>
      </c>
      <c r="BC137" s="29">
        <f t="shared" si="41"/>
        <v>0</v>
      </c>
      <c r="BE137" s="29">
        <f t="shared" si="42"/>
        <v>0</v>
      </c>
      <c r="BF137" s="29">
        <f t="shared" si="43"/>
        <v>0</v>
      </c>
      <c r="BH137" s="29"/>
    </row>
    <row r="138" spans="1:60" x14ac:dyDescent="0.25">
      <c r="A138" s="1">
        <v>46224</v>
      </c>
      <c r="B138" s="33">
        <v>24.94</v>
      </c>
      <c r="C138" s="33">
        <v>20.02</v>
      </c>
      <c r="D138" s="15">
        <v>-1.60256444554119E-3</v>
      </c>
      <c r="E138" s="15">
        <v>-1.49737986550372E-3</v>
      </c>
      <c r="F138" s="33">
        <v>0</v>
      </c>
      <c r="G138" s="33">
        <v>0.11899999999999999</v>
      </c>
      <c r="H138" s="33">
        <v>0</v>
      </c>
      <c r="I138" s="33">
        <v>0.38780999999999999</v>
      </c>
      <c r="J138" s="33">
        <v>0.11899999999999999</v>
      </c>
      <c r="K138" s="33">
        <v>0.38780999999999999</v>
      </c>
      <c r="L138" s="33">
        <v>25.059000000000001</v>
      </c>
      <c r="M138" s="33">
        <v>20.407810000000001</v>
      </c>
      <c r="N138" s="34">
        <v>0.80272654370489105</v>
      </c>
      <c r="O138" s="34">
        <v>0.80070241399324205</v>
      </c>
      <c r="P138" s="34">
        <v>0.79964483009617005</v>
      </c>
      <c r="Q138" s="34">
        <v>0.80004444781192796</v>
      </c>
      <c r="R138" s="33">
        <v>19.969518204991399</v>
      </c>
      <c r="S138" s="33">
        <v>19.933760693171699</v>
      </c>
      <c r="T138" s="33">
        <v>19.950803261071101</v>
      </c>
      <c r="U138" s="15">
        <v>-2.5247526897218802E-3</v>
      </c>
      <c r="V138" s="15">
        <v>-4.3169623716438196E-3</v>
      </c>
      <c r="W138" s="15">
        <v>-3.4623676489240799E-3</v>
      </c>
      <c r="X138" s="34">
        <v>0.81439043856498605</v>
      </c>
      <c r="Y138" s="34">
        <v>0.81414850939960204</v>
      </c>
      <c r="Z138" s="34">
        <v>0.81433137325044203</v>
      </c>
      <c r="AA138" s="34">
        <v>0.814352703334698</v>
      </c>
      <c r="AB138" s="33">
        <v>20.4017474970446</v>
      </c>
      <c r="AC138" s="33">
        <v>20.406362022370399</v>
      </c>
      <c r="AD138" s="33">
        <v>20.406235248448802</v>
      </c>
      <c r="AE138" s="15">
        <v>-2.9711192043196499E-4</v>
      </c>
      <c r="AF138" s="15">
        <v>-7.0954649251821696E-5</v>
      </c>
      <c r="AG138" s="15">
        <v>-7.7167139027522203E-5</v>
      </c>
      <c r="AI138" s="12"/>
      <c r="AJ138">
        <f t="shared" si="26"/>
        <v>0</v>
      </c>
      <c r="AK138">
        <f t="shared" si="27"/>
        <v>1</v>
      </c>
      <c r="AL138">
        <f t="shared" si="34"/>
        <v>0</v>
      </c>
      <c r="AM138">
        <f t="shared" si="24"/>
        <v>1</v>
      </c>
      <c r="AN138">
        <f t="shared" si="35"/>
        <v>0</v>
      </c>
      <c r="AO138" s="28">
        <f t="shared" si="28"/>
        <v>0</v>
      </c>
      <c r="AP138" s="28">
        <f t="shared" si="29"/>
        <v>0</v>
      </c>
      <c r="AQ138" s="28">
        <f t="shared" si="36"/>
        <v>0</v>
      </c>
      <c r="AR138" s="29">
        <f t="shared" si="37"/>
        <v>0</v>
      </c>
      <c r="AT138" s="12"/>
      <c r="AU138">
        <f t="shared" si="30"/>
        <v>0</v>
      </c>
      <c r="AV138">
        <f t="shared" si="31"/>
        <v>1</v>
      </c>
      <c r="AW138">
        <f t="shared" si="38"/>
        <v>0</v>
      </c>
      <c r="AX138">
        <f t="shared" si="25"/>
        <v>1</v>
      </c>
      <c r="AY138">
        <f t="shared" si="39"/>
        <v>0</v>
      </c>
      <c r="AZ138" s="28">
        <f t="shared" si="32"/>
        <v>0</v>
      </c>
      <c r="BA138" s="28">
        <f t="shared" si="33"/>
        <v>0</v>
      </c>
      <c r="BB138" s="28">
        <f t="shared" si="40"/>
        <v>0</v>
      </c>
      <c r="BC138" s="29">
        <f t="shared" si="41"/>
        <v>0</v>
      </c>
      <c r="BE138" s="29">
        <f t="shared" si="42"/>
        <v>0</v>
      </c>
      <c r="BF138" s="29">
        <f t="shared" si="43"/>
        <v>0</v>
      </c>
      <c r="BH138" s="29"/>
    </row>
    <row r="139" spans="1:60" x14ac:dyDescent="0.25">
      <c r="A139" s="1">
        <v>46225</v>
      </c>
      <c r="B139" s="33">
        <v>24.89</v>
      </c>
      <c r="C139" s="33">
        <v>19.98</v>
      </c>
      <c r="D139" s="15">
        <v>-2.0068238723898301E-3</v>
      </c>
      <c r="E139" s="15">
        <v>-2.0000006666669899E-3</v>
      </c>
      <c r="F139" s="33">
        <v>0</v>
      </c>
      <c r="G139" s="33">
        <v>0.11899999999999999</v>
      </c>
      <c r="H139" s="33">
        <v>0</v>
      </c>
      <c r="I139" s="33">
        <v>0.38780999999999999</v>
      </c>
      <c r="J139" s="33">
        <v>0.11899999999999999</v>
      </c>
      <c r="K139" s="33">
        <v>0.38780999999999999</v>
      </c>
      <c r="L139" s="33">
        <v>25.009</v>
      </c>
      <c r="M139" s="33">
        <v>20.367809999999999</v>
      </c>
      <c r="N139" s="34">
        <v>0.80273202089192397</v>
      </c>
      <c r="O139" s="34">
        <v>0.80070241399324205</v>
      </c>
      <c r="P139" s="34">
        <v>0.79998185348572104</v>
      </c>
      <c r="Q139" s="34">
        <v>0.80010532147509705</v>
      </c>
      <c r="R139" s="33">
        <v>19.9294830842917</v>
      </c>
      <c r="S139" s="33">
        <v>19.903159821093599</v>
      </c>
      <c r="T139" s="33">
        <v>19.913106306038799</v>
      </c>
      <c r="U139" s="15">
        <v>-2.5315758954445899E-3</v>
      </c>
      <c r="V139" s="15">
        <v>-3.85326911537918E-3</v>
      </c>
      <c r="W139" s="15">
        <v>-3.3536499335929701E-3</v>
      </c>
      <c r="X139" s="34">
        <v>0.81441920908472898</v>
      </c>
      <c r="Y139" s="34">
        <v>0.81414850939960204</v>
      </c>
      <c r="Z139" s="34">
        <v>0.81429020680351105</v>
      </c>
      <c r="AA139" s="34">
        <v>0.81434819348203902</v>
      </c>
      <c r="AB139" s="33">
        <v>20.3610400715746</v>
      </c>
      <c r="AC139" s="33">
        <v>20.365613313620301</v>
      </c>
      <c r="AD139" s="33">
        <v>20.3661467576974</v>
      </c>
      <c r="AE139" s="15">
        <v>-3.3243897020421298E-4</v>
      </c>
      <c r="AF139" s="15">
        <v>-1.07856703567107E-4</v>
      </c>
      <c r="AG139" s="15">
        <v>-8.1663675019647702E-5</v>
      </c>
      <c r="AI139" s="12"/>
      <c r="AJ139">
        <f t="shared" si="26"/>
        <v>0</v>
      </c>
      <c r="AK139">
        <f t="shared" si="27"/>
        <v>1</v>
      </c>
      <c r="AL139">
        <f t="shared" si="34"/>
        <v>0</v>
      </c>
      <c r="AM139">
        <f t="shared" si="24"/>
        <v>1</v>
      </c>
      <c r="AN139">
        <f t="shared" si="35"/>
        <v>0</v>
      </c>
      <c r="AO139" s="28">
        <f t="shared" si="28"/>
        <v>0</v>
      </c>
      <c r="AP139" s="28">
        <f t="shared" si="29"/>
        <v>0</v>
      </c>
      <c r="AQ139" s="28">
        <f t="shared" si="36"/>
        <v>0</v>
      </c>
      <c r="AR139" s="29">
        <f t="shared" si="37"/>
        <v>0</v>
      </c>
      <c r="AT139" s="12"/>
      <c r="AU139">
        <f t="shared" si="30"/>
        <v>0</v>
      </c>
      <c r="AV139">
        <f t="shared" si="31"/>
        <v>1</v>
      </c>
      <c r="AW139">
        <f t="shared" si="38"/>
        <v>0</v>
      </c>
      <c r="AX139">
        <f t="shared" si="25"/>
        <v>1</v>
      </c>
      <c r="AY139">
        <f t="shared" si="39"/>
        <v>0</v>
      </c>
      <c r="AZ139" s="28">
        <f t="shared" si="32"/>
        <v>0</v>
      </c>
      <c r="BA139" s="28">
        <f t="shared" si="33"/>
        <v>0</v>
      </c>
      <c r="BB139" s="28">
        <f t="shared" si="40"/>
        <v>0</v>
      </c>
      <c r="BC139" s="29">
        <f t="shared" si="41"/>
        <v>0</v>
      </c>
      <c r="BE139" s="29">
        <f t="shared" si="42"/>
        <v>0</v>
      </c>
      <c r="BF139" s="29">
        <f t="shared" si="43"/>
        <v>0</v>
      </c>
      <c r="BH139" s="29"/>
    </row>
    <row r="140" spans="1:60" x14ac:dyDescent="0.25">
      <c r="A140" s="1">
        <v>46226</v>
      </c>
      <c r="B140" s="33">
        <v>24.84</v>
      </c>
      <c r="C140" s="33">
        <v>19.95</v>
      </c>
      <c r="D140" s="15">
        <v>-2.0108593142226E-3</v>
      </c>
      <c r="E140" s="15">
        <v>-1.50262988453501E-3</v>
      </c>
      <c r="F140" s="33">
        <v>0</v>
      </c>
      <c r="G140" s="33">
        <v>0.11899999999999999</v>
      </c>
      <c r="H140" s="33">
        <v>0</v>
      </c>
      <c r="I140" s="33">
        <v>0.38780999999999999</v>
      </c>
      <c r="J140" s="33">
        <v>0.11899999999999999</v>
      </c>
      <c r="K140" s="33">
        <v>0.38780999999999999</v>
      </c>
      <c r="L140" s="33">
        <v>24.959</v>
      </c>
      <c r="M140" s="33">
        <v>20.337810000000001</v>
      </c>
      <c r="N140" s="34">
        <v>0.80314009661835695</v>
      </c>
      <c r="O140" s="34">
        <v>0.80070241399324205</v>
      </c>
      <c r="P140" s="34">
        <v>0.800431159605973</v>
      </c>
      <c r="Q140" s="34">
        <v>0.80018689954936595</v>
      </c>
      <c r="R140" s="33">
        <v>19.889447963592101</v>
      </c>
      <c r="S140" s="33">
        <v>19.871549240585299</v>
      </c>
      <c r="T140" s="33">
        <v>19.874616185441401</v>
      </c>
      <c r="U140" s="15">
        <v>-3.0398053251321101E-3</v>
      </c>
      <c r="V140" s="15">
        <v>-3.9401209849181601E-3</v>
      </c>
      <c r="W140" s="15">
        <v>-3.7857944062757599E-3</v>
      </c>
      <c r="X140" s="34">
        <v>0.81484875195320305</v>
      </c>
      <c r="Y140" s="34">
        <v>0.81414850939960204</v>
      </c>
      <c r="Z140" s="34">
        <v>0.81436716317670599</v>
      </c>
      <c r="AA140" s="34">
        <v>0.81436804076608305</v>
      </c>
      <c r="AB140" s="33">
        <v>20.3203326461046</v>
      </c>
      <c r="AC140" s="33">
        <v>20.3238692716088</v>
      </c>
      <c r="AD140" s="33">
        <v>20.3253165611182</v>
      </c>
      <c r="AE140" s="15">
        <v>-8.5972225165049704E-4</v>
      </c>
      <c r="AF140" s="15">
        <v>-6.8569371393946096E-4</v>
      </c>
      <c r="AG140" s="15">
        <v>-6.1448493175354205E-4</v>
      </c>
      <c r="AI140" s="12"/>
      <c r="AJ140">
        <f t="shared" si="26"/>
        <v>0</v>
      </c>
      <c r="AK140">
        <f t="shared" si="27"/>
        <v>0</v>
      </c>
      <c r="AL140">
        <f t="shared" si="34"/>
        <v>0</v>
      </c>
      <c r="AM140">
        <f t="shared" si="24"/>
        <v>1</v>
      </c>
      <c r="AN140">
        <f t="shared" si="35"/>
        <v>0</v>
      </c>
      <c r="AO140" s="28">
        <f t="shared" si="28"/>
        <v>0</v>
      </c>
      <c r="AP140" s="28">
        <f t="shared" si="29"/>
        <v>0</v>
      </c>
      <c r="AQ140" s="28">
        <f t="shared" si="36"/>
        <v>0</v>
      </c>
      <c r="AR140" s="29">
        <f t="shared" si="37"/>
        <v>0</v>
      </c>
      <c r="AT140" s="12"/>
      <c r="AU140">
        <f t="shared" si="30"/>
        <v>0</v>
      </c>
      <c r="AV140">
        <f t="shared" si="31"/>
        <v>1</v>
      </c>
      <c r="AW140">
        <f t="shared" si="38"/>
        <v>0</v>
      </c>
      <c r="AX140">
        <f t="shared" si="25"/>
        <v>1</v>
      </c>
      <c r="AY140">
        <f t="shared" si="39"/>
        <v>0</v>
      </c>
      <c r="AZ140" s="28">
        <f t="shared" si="32"/>
        <v>0</v>
      </c>
      <c r="BA140" s="28">
        <f t="shared" si="33"/>
        <v>0</v>
      </c>
      <c r="BB140" s="28">
        <f t="shared" si="40"/>
        <v>0</v>
      </c>
      <c r="BC140" s="29">
        <f t="shared" si="41"/>
        <v>0</v>
      </c>
      <c r="BE140" s="29">
        <f t="shared" si="42"/>
        <v>0</v>
      </c>
      <c r="BF140" s="29">
        <f t="shared" si="43"/>
        <v>0</v>
      </c>
      <c r="BH140" s="29"/>
    </row>
    <row r="141" spans="1:60" x14ac:dyDescent="0.25">
      <c r="A141" s="1">
        <v>46227</v>
      </c>
      <c r="B141" s="33">
        <v>24.89</v>
      </c>
      <c r="C141" s="33">
        <v>19.98</v>
      </c>
      <c r="D141" s="15">
        <v>2.01085931422262E-3</v>
      </c>
      <c r="E141" s="15">
        <v>1.50262988453509E-3</v>
      </c>
      <c r="F141" s="33">
        <v>0</v>
      </c>
      <c r="G141" s="33">
        <v>0.11899999999999999</v>
      </c>
      <c r="H141" s="33">
        <v>0</v>
      </c>
      <c r="I141" s="33">
        <v>0.38780999999999999</v>
      </c>
      <c r="J141" s="33">
        <v>0.11899999999999999</v>
      </c>
      <c r="K141" s="33">
        <v>0.38780999999999999</v>
      </c>
      <c r="L141" s="33">
        <v>25.009</v>
      </c>
      <c r="M141" s="33">
        <v>20.367809999999999</v>
      </c>
      <c r="N141" s="34">
        <v>0.80273202089192397</v>
      </c>
      <c r="O141" s="34">
        <v>0.80070241399324205</v>
      </c>
      <c r="P141" s="34">
        <v>0.800823883607516</v>
      </c>
      <c r="Q141" s="34">
        <v>0.80024020031629395</v>
      </c>
      <c r="R141" s="33">
        <v>19.9294830842917</v>
      </c>
      <c r="S141" s="33">
        <v>19.922731562592599</v>
      </c>
      <c r="T141" s="33">
        <v>19.916651929783701</v>
      </c>
      <c r="U141" s="15">
        <v>-2.5315758954445899E-3</v>
      </c>
      <c r="V141" s="15">
        <v>-2.8704038287739901E-3</v>
      </c>
      <c r="W141" s="15">
        <v>-3.17561100434814E-3</v>
      </c>
      <c r="X141" s="34">
        <v>0.81441920908472898</v>
      </c>
      <c r="Y141" s="34">
        <v>0.81414850939960204</v>
      </c>
      <c r="Z141" s="34">
        <v>0.81438354623657305</v>
      </c>
      <c r="AA141" s="34">
        <v>0.81435905080381799</v>
      </c>
      <c r="AB141" s="33">
        <v>20.3610400715746</v>
      </c>
      <c r="AC141" s="33">
        <v>20.366508383886199</v>
      </c>
      <c r="AD141" s="33">
        <v>20.366530331518899</v>
      </c>
      <c r="AE141" s="15">
        <v>-3.3243897020421298E-4</v>
      </c>
      <c r="AF141" s="15">
        <v>-6.3907592704862603E-5</v>
      </c>
      <c r="AG141" s="15">
        <v>-6.2829959735927305E-5</v>
      </c>
      <c r="AI141" s="12"/>
      <c r="AJ141">
        <f t="shared" si="26"/>
        <v>0</v>
      </c>
      <c r="AK141">
        <f t="shared" si="27"/>
        <v>1</v>
      </c>
      <c r="AL141">
        <f t="shared" si="34"/>
        <v>0</v>
      </c>
      <c r="AM141">
        <f t="shared" si="24"/>
        <v>1</v>
      </c>
      <c r="AN141">
        <f t="shared" si="35"/>
        <v>0</v>
      </c>
      <c r="AO141" s="28">
        <f t="shared" si="28"/>
        <v>0</v>
      </c>
      <c r="AP141" s="28">
        <f t="shared" si="29"/>
        <v>0</v>
      </c>
      <c r="AQ141" s="28">
        <f t="shared" si="36"/>
        <v>0</v>
      </c>
      <c r="AR141" s="29">
        <f t="shared" si="37"/>
        <v>0</v>
      </c>
      <c r="AT141" s="12"/>
      <c r="AU141">
        <f t="shared" si="30"/>
        <v>0</v>
      </c>
      <c r="AV141">
        <f t="shared" si="31"/>
        <v>1</v>
      </c>
      <c r="AW141">
        <f t="shared" si="38"/>
        <v>0</v>
      </c>
      <c r="AX141">
        <f t="shared" si="25"/>
        <v>1</v>
      </c>
      <c r="AY141">
        <f t="shared" si="39"/>
        <v>0</v>
      </c>
      <c r="AZ141" s="28">
        <f t="shared" si="32"/>
        <v>0</v>
      </c>
      <c r="BA141" s="28">
        <f t="shared" si="33"/>
        <v>0</v>
      </c>
      <c r="BB141" s="28">
        <f t="shared" si="40"/>
        <v>0</v>
      </c>
      <c r="BC141" s="29">
        <f t="shared" si="41"/>
        <v>0</v>
      </c>
      <c r="BE141" s="29">
        <f t="shared" si="42"/>
        <v>0</v>
      </c>
      <c r="BF141" s="29">
        <f t="shared" si="43"/>
        <v>0</v>
      </c>
      <c r="BH141" s="29"/>
    </row>
    <row r="142" spans="1:60" x14ac:dyDescent="0.25">
      <c r="A142" s="1">
        <v>46230</v>
      </c>
      <c r="B142" s="33">
        <v>24.91</v>
      </c>
      <c r="C142" s="33">
        <v>20</v>
      </c>
      <c r="D142" s="15">
        <v>8.0321289458845299E-4</v>
      </c>
      <c r="E142" s="15">
        <v>1.00050033358362E-3</v>
      </c>
      <c r="F142" s="33">
        <v>0</v>
      </c>
      <c r="G142" s="33">
        <v>0.11899999999999999</v>
      </c>
      <c r="H142" s="33">
        <v>0</v>
      </c>
      <c r="I142" s="33">
        <v>0.38780999999999999</v>
      </c>
      <c r="J142" s="33">
        <v>0.11899999999999999</v>
      </c>
      <c r="K142" s="33">
        <v>0.38780999999999999</v>
      </c>
      <c r="L142" s="33">
        <v>25.029</v>
      </c>
      <c r="M142" s="33">
        <v>20.387810000000002</v>
      </c>
      <c r="N142" s="34">
        <v>0.80289040545965396</v>
      </c>
      <c r="O142" s="34">
        <v>0.80070241399324205</v>
      </c>
      <c r="P142" s="34">
        <v>0.80124071968063804</v>
      </c>
      <c r="Q142" s="34">
        <v>0.80032531464868295</v>
      </c>
      <c r="R142" s="33">
        <v>19.9454971325716</v>
      </c>
      <c r="S142" s="33">
        <v>19.948522940663199</v>
      </c>
      <c r="T142" s="33">
        <v>19.933983389878801</v>
      </c>
      <c r="U142" s="15">
        <v>-2.7288633344395999E-3</v>
      </c>
      <c r="V142" s="15">
        <v>-2.5771710210638699E-3</v>
      </c>
      <c r="W142" s="15">
        <v>-3.30629026487292E-3</v>
      </c>
      <c r="X142" s="34">
        <v>0.81456750169803005</v>
      </c>
      <c r="Y142" s="34">
        <v>0.81414850939960204</v>
      </c>
      <c r="Z142" s="34">
        <v>0.81441932995270205</v>
      </c>
      <c r="AA142" s="34">
        <v>0.81438239420555103</v>
      </c>
      <c r="AB142" s="33">
        <v>20.377323041762601</v>
      </c>
      <c r="AC142" s="33">
        <v>20.383205778755201</v>
      </c>
      <c r="AD142" s="33">
        <v>20.382592682568699</v>
      </c>
      <c r="AE142" s="15">
        <v>-5.1450627956756004E-4</v>
      </c>
      <c r="AF142" s="15">
        <v>-2.25857569473087E-4</v>
      </c>
      <c r="AG142" s="15">
        <v>-2.5593651847569501E-4</v>
      </c>
      <c r="AI142" s="12"/>
      <c r="AJ142">
        <f t="shared" si="26"/>
        <v>0</v>
      </c>
      <c r="AK142">
        <f t="shared" si="27"/>
        <v>0</v>
      </c>
      <c r="AL142">
        <f t="shared" si="34"/>
        <v>0</v>
      </c>
      <c r="AM142">
        <f t="shared" si="24"/>
        <v>1</v>
      </c>
      <c r="AN142">
        <f t="shared" si="35"/>
        <v>0</v>
      </c>
      <c r="AO142" s="28">
        <f t="shared" si="28"/>
        <v>0</v>
      </c>
      <c r="AP142" s="28">
        <f t="shared" si="29"/>
        <v>0</v>
      </c>
      <c r="AQ142" s="28">
        <f t="shared" si="36"/>
        <v>0</v>
      </c>
      <c r="AR142" s="29">
        <f t="shared" si="37"/>
        <v>0</v>
      </c>
      <c r="AT142" s="12"/>
      <c r="AU142">
        <f t="shared" si="30"/>
        <v>0</v>
      </c>
      <c r="AV142">
        <f t="shared" si="31"/>
        <v>1</v>
      </c>
      <c r="AW142">
        <f t="shared" si="38"/>
        <v>0</v>
      </c>
      <c r="AX142">
        <f t="shared" si="25"/>
        <v>1</v>
      </c>
      <c r="AY142">
        <f t="shared" si="39"/>
        <v>0</v>
      </c>
      <c r="AZ142" s="28">
        <f t="shared" si="32"/>
        <v>0</v>
      </c>
      <c r="BA142" s="28">
        <f t="shared" si="33"/>
        <v>0</v>
      </c>
      <c r="BB142" s="28">
        <f t="shared" si="40"/>
        <v>0</v>
      </c>
      <c r="BC142" s="29">
        <f t="shared" si="41"/>
        <v>0</v>
      </c>
      <c r="BE142" s="29">
        <f t="shared" si="42"/>
        <v>0</v>
      </c>
      <c r="BF142" s="29">
        <f t="shared" si="43"/>
        <v>0</v>
      </c>
      <c r="BH142" s="29"/>
    </row>
    <row r="143" spans="1:60" x14ac:dyDescent="0.25">
      <c r="A143" s="1">
        <v>46231</v>
      </c>
      <c r="B143" s="33">
        <v>24.97</v>
      </c>
      <c r="C143" s="33">
        <v>20.03</v>
      </c>
      <c r="D143" s="15">
        <v>2.40577501759272E-3</v>
      </c>
      <c r="E143" s="15">
        <v>1.49887612373594E-3</v>
      </c>
      <c r="F143" s="33">
        <v>0</v>
      </c>
      <c r="G143" s="33">
        <v>0.11899999999999999</v>
      </c>
      <c r="H143" s="33">
        <v>0</v>
      </c>
      <c r="I143" s="33">
        <v>0.38780999999999999</v>
      </c>
      <c r="J143" s="33">
        <v>0.11899999999999999</v>
      </c>
      <c r="K143" s="33">
        <v>0.38780999999999999</v>
      </c>
      <c r="L143" s="33">
        <v>25.088999999999999</v>
      </c>
      <c r="M143" s="33">
        <v>20.417809999999999</v>
      </c>
      <c r="N143" s="34">
        <v>0.80216259511413701</v>
      </c>
      <c r="O143" s="34">
        <v>0.80070241399324205</v>
      </c>
      <c r="P143" s="34">
        <v>0.80157650110440304</v>
      </c>
      <c r="Q143" s="34">
        <v>0.80037403846379596</v>
      </c>
      <c r="R143" s="33">
        <v>19.993539277411202</v>
      </c>
      <c r="S143" s="33">
        <v>20.0069807704255</v>
      </c>
      <c r="T143" s="33">
        <v>19.984123106777599</v>
      </c>
      <c r="U143" s="15">
        <v>-1.8219644405829401E-3</v>
      </c>
      <c r="V143" s="15">
        <v>-1.1498985022324001E-3</v>
      </c>
      <c r="W143" s="15">
        <v>-2.2930360463849901E-3</v>
      </c>
      <c r="X143" s="34">
        <v>0.81381521782454402</v>
      </c>
      <c r="Y143" s="34">
        <v>0.81414850939960204</v>
      </c>
      <c r="Z143" s="34">
        <v>0.81437531388655104</v>
      </c>
      <c r="AA143" s="34">
        <v>0.81436812341360998</v>
      </c>
      <c r="AB143" s="33">
        <v>20.426171952326602</v>
      </c>
      <c r="AC143" s="33">
        <v>20.4329665691833</v>
      </c>
      <c r="AD143" s="33">
        <v>20.432039888222999</v>
      </c>
      <c r="AE143" s="15">
        <v>4.0945823809270898E-4</v>
      </c>
      <c r="AF143" s="15">
        <v>7.4204561830824097E-4</v>
      </c>
      <c r="AG143" s="15">
        <v>6.9669234220385103E-4</v>
      </c>
      <c r="AI143" s="12"/>
      <c r="AJ143">
        <f t="shared" si="26"/>
        <v>0</v>
      </c>
      <c r="AK143">
        <f t="shared" si="27"/>
        <v>1</v>
      </c>
      <c r="AL143">
        <f t="shared" si="34"/>
        <v>0</v>
      </c>
      <c r="AM143">
        <f t="shared" si="24"/>
        <v>1</v>
      </c>
      <c r="AN143">
        <f t="shared" si="35"/>
        <v>0</v>
      </c>
      <c r="AO143" s="28">
        <f t="shared" si="28"/>
        <v>0</v>
      </c>
      <c r="AP143" s="28">
        <f t="shared" si="29"/>
        <v>0</v>
      </c>
      <c r="AQ143" s="28">
        <f t="shared" si="36"/>
        <v>0</v>
      </c>
      <c r="AR143" s="29">
        <f t="shared" si="37"/>
        <v>0</v>
      </c>
      <c r="AT143" s="12"/>
      <c r="AU143">
        <f t="shared" si="30"/>
        <v>0</v>
      </c>
      <c r="AV143">
        <f t="shared" si="31"/>
        <v>0</v>
      </c>
      <c r="AW143">
        <f t="shared" si="38"/>
        <v>0</v>
      </c>
      <c r="AX143">
        <f t="shared" si="25"/>
        <v>1</v>
      </c>
      <c r="AY143">
        <f t="shared" si="39"/>
        <v>0</v>
      </c>
      <c r="AZ143" s="28">
        <f t="shared" si="32"/>
        <v>0</v>
      </c>
      <c r="BA143" s="28">
        <f t="shared" si="33"/>
        <v>0</v>
      </c>
      <c r="BB143" s="28">
        <f t="shared" si="40"/>
        <v>0</v>
      </c>
      <c r="BC143" s="29">
        <f t="shared" si="41"/>
        <v>0</v>
      </c>
      <c r="BE143" s="29">
        <f t="shared" si="42"/>
        <v>0</v>
      </c>
      <c r="BF143" s="29">
        <f t="shared" si="43"/>
        <v>0</v>
      </c>
      <c r="BH143" s="29"/>
    </row>
    <row r="144" spans="1:60" x14ac:dyDescent="0.25">
      <c r="A144" s="1">
        <v>46232</v>
      </c>
      <c r="B144" s="33">
        <v>24.95</v>
      </c>
      <c r="C144" s="33">
        <v>20.02</v>
      </c>
      <c r="D144" s="15">
        <v>-8.0128209415413496E-4</v>
      </c>
      <c r="E144" s="15">
        <v>-4.9937579065238995E-4</v>
      </c>
      <c r="F144" s="33">
        <v>0</v>
      </c>
      <c r="G144" s="33">
        <v>0.11899999999999999</v>
      </c>
      <c r="H144" s="33">
        <v>0</v>
      </c>
      <c r="I144" s="33">
        <v>0.38780999999999999</v>
      </c>
      <c r="J144" s="33">
        <v>0.11899999999999999</v>
      </c>
      <c r="K144" s="33">
        <v>0.38780999999999999</v>
      </c>
      <c r="L144" s="33">
        <v>25.068999999999999</v>
      </c>
      <c r="M144" s="33">
        <v>20.407810000000001</v>
      </c>
      <c r="N144" s="34">
        <v>0.80240480961923799</v>
      </c>
      <c r="O144" s="34">
        <v>0.80070241399324205</v>
      </c>
      <c r="P144" s="34">
        <v>0.80193626636056103</v>
      </c>
      <c r="Q144" s="34">
        <v>0.80040293660957096</v>
      </c>
      <c r="R144" s="33">
        <v>19.977525229131299</v>
      </c>
      <c r="S144" s="33">
        <v>19.9993337025548</v>
      </c>
      <c r="T144" s="33">
        <v>19.969332259671699</v>
      </c>
      <c r="U144" s="15">
        <v>-2.1238707440845998E-3</v>
      </c>
      <c r="V144" s="15">
        <v>-1.0328157602933501E-3</v>
      </c>
      <c r="W144" s="15">
        <v>-2.5340641905581699E-3</v>
      </c>
      <c r="X144" s="34">
        <v>0.81406557900195398</v>
      </c>
      <c r="Y144" s="34">
        <v>0.81414850939960204</v>
      </c>
      <c r="Z144" s="34">
        <v>0.81435916800941099</v>
      </c>
      <c r="AA144" s="34">
        <v>0.81433263945663803</v>
      </c>
      <c r="AB144" s="33">
        <v>20.4098889821386</v>
      </c>
      <c r="AC144" s="33">
        <v>20.4155747438219</v>
      </c>
      <c r="AD144" s="33">
        <v>20.4153944858557</v>
      </c>
      <c r="AE144" s="15">
        <v>1.01866699606679E-4</v>
      </c>
      <c r="AF144" s="15">
        <v>3.8040666957540301E-4</v>
      </c>
      <c r="AG144" s="15">
        <v>3.7157719677245699E-4</v>
      </c>
      <c r="AI144" s="12"/>
      <c r="AJ144">
        <f t="shared" si="26"/>
        <v>0</v>
      </c>
      <c r="AK144">
        <f t="shared" si="27"/>
        <v>1</v>
      </c>
      <c r="AL144">
        <f t="shared" si="34"/>
        <v>0</v>
      </c>
      <c r="AM144">
        <f t="shared" si="24"/>
        <v>1</v>
      </c>
      <c r="AN144">
        <f t="shared" si="35"/>
        <v>0</v>
      </c>
      <c r="AO144" s="28">
        <f t="shared" si="28"/>
        <v>0</v>
      </c>
      <c r="AP144" s="28">
        <f t="shared" si="29"/>
        <v>0</v>
      </c>
      <c r="AQ144" s="28">
        <f t="shared" si="36"/>
        <v>0</v>
      </c>
      <c r="AR144" s="29">
        <f t="shared" si="37"/>
        <v>0</v>
      </c>
      <c r="AT144" s="12"/>
      <c r="AU144">
        <f t="shared" si="30"/>
        <v>0</v>
      </c>
      <c r="AV144">
        <f t="shared" si="31"/>
        <v>0</v>
      </c>
      <c r="AW144">
        <f t="shared" si="38"/>
        <v>0</v>
      </c>
      <c r="AX144">
        <f t="shared" si="25"/>
        <v>1</v>
      </c>
      <c r="AY144">
        <f t="shared" si="39"/>
        <v>0</v>
      </c>
      <c r="AZ144" s="28">
        <f t="shared" si="32"/>
        <v>0</v>
      </c>
      <c r="BA144" s="28">
        <f t="shared" si="33"/>
        <v>0</v>
      </c>
      <c r="BB144" s="28">
        <f t="shared" si="40"/>
        <v>0</v>
      </c>
      <c r="BC144" s="29">
        <f t="shared" si="41"/>
        <v>0</v>
      </c>
      <c r="BE144" s="29">
        <f t="shared" si="42"/>
        <v>0</v>
      </c>
      <c r="BF144" s="29">
        <f t="shared" si="43"/>
        <v>0</v>
      </c>
      <c r="BH144" s="29"/>
    </row>
    <row r="145" spans="1:60" x14ac:dyDescent="0.25">
      <c r="A145" s="1">
        <v>46233</v>
      </c>
      <c r="B145" s="33">
        <v>24.95</v>
      </c>
      <c r="C145" s="33">
        <v>20.02</v>
      </c>
      <c r="D145" s="15">
        <v>0</v>
      </c>
      <c r="E145" s="15">
        <v>0</v>
      </c>
      <c r="F145" s="33">
        <v>0</v>
      </c>
      <c r="G145" s="33">
        <v>0.11899999999999999</v>
      </c>
      <c r="H145" s="33">
        <v>0</v>
      </c>
      <c r="I145" s="33">
        <v>0.38780999999999999</v>
      </c>
      <c r="J145" s="33">
        <v>0.11899999999999999</v>
      </c>
      <c r="K145" s="33">
        <v>0.38780999999999999</v>
      </c>
      <c r="L145" s="33">
        <v>25.068999999999999</v>
      </c>
      <c r="M145" s="33">
        <v>20.407810000000001</v>
      </c>
      <c r="N145" s="34">
        <v>0.80240480961923799</v>
      </c>
      <c r="O145" s="34">
        <v>0.80070241399324205</v>
      </c>
      <c r="P145" s="34">
        <v>0.80226425726679695</v>
      </c>
      <c r="Q145" s="34">
        <v>0.80058682068639597</v>
      </c>
      <c r="R145" s="33">
        <v>19.977525229131299</v>
      </c>
      <c r="S145" s="33">
        <v>20.008309845696001</v>
      </c>
      <c r="T145" s="33">
        <v>19.970053268408702</v>
      </c>
      <c r="U145" s="15">
        <v>-2.1238707440845998E-3</v>
      </c>
      <c r="V145" s="15">
        <v>-5.8409434130044695E-4</v>
      </c>
      <c r="W145" s="15">
        <v>-2.4979590413360302E-3</v>
      </c>
      <c r="X145" s="34">
        <v>0.81406557900195398</v>
      </c>
      <c r="Y145" s="34">
        <v>0.81414850939960204</v>
      </c>
      <c r="Z145" s="34">
        <v>0.81431063442193696</v>
      </c>
      <c r="AA145" s="34">
        <v>0.81432826128660896</v>
      </c>
      <c r="AB145" s="33">
        <v>20.4098889821386</v>
      </c>
      <c r="AC145" s="33">
        <v>20.415169982827901</v>
      </c>
      <c r="AD145" s="33">
        <v>20.4145049385384</v>
      </c>
      <c r="AE145" s="15">
        <v>1.01866699606679E-4</v>
      </c>
      <c r="AF145" s="15">
        <v>3.6058038441909898E-4</v>
      </c>
      <c r="AG145" s="15">
        <v>3.28003867913042E-4</v>
      </c>
      <c r="AI145" s="12"/>
      <c r="AJ145">
        <f t="shared" si="26"/>
        <v>0</v>
      </c>
      <c r="AK145">
        <f t="shared" si="27"/>
        <v>1</v>
      </c>
      <c r="AL145">
        <f t="shared" si="34"/>
        <v>0</v>
      </c>
      <c r="AM145">
        <f t="shared" si="24"/>
        <v>1</v>
      </c>
      <c r="AN145">
        <f t="shared" si="35"/>
        <v>0</v>
      </c>
      <c r="AO145" s="28">
        <f t="shared" si="28"/>
        <v>0</v>
      </c>
      <c r="AP145" s="28">
        <f t="shared" si="29"/>
        <v>0</v>
      </c>
      <c r="AQ145" s="28">
        <f t="shared" si="36"/>
        <v>0</v>
      </c>
      <c r="AR145" s="29">
        <f t="shared" si="37"/>
        <v>0</v>
      </c>
      <c r="AT145" s="12"/>
      <c r="AU145">
        <f t="shared" si="30"/>
        <v>0</v>
      </c>
      <c r="AV145">
        <f t="shared" si="31"/>
        <v>0</v>
      </c>
      <c r="AW145">
        <f t="shared" si="38"/>
        <v>0</v>
      </c>
      <c r="AX145">
        <f t="shared" si="25"/>
        <v>1</v>
      </c>
      <c r="AY145">
        <f t="shared" si="39"/>
        <v>0</v>
      </c>
      <c r="AZ145" s="28">
        <f t="shared" si="32"/>
        <v>0</v>
      </c>
      <c r="BA145" s="28">
        <f t="shared" si="33"/>
        <v>0</v>
      </c>
      <c r="BB145" s="28">
        <f t="shared" si="40"/>
        <v>0</v>
      </c>
      <c r="BC145" s="29">
        <f t="shared" si="41"/>
        <v>0</v>
      </c>
      <c r="BE145" s="29">
        <f t="shared" si="42"/>
        <v>0</v>
      </c>
      <c r="BF145" s="29">
        <f t="shared" si="43"/>
        <v>0</v>
      </c>
      <c r="BH145" s="29"/>
    </row>
    <row r="146" spans="1:60" x14ac:dyDescent="0.25">
      <c r="A146" s="1">
        <v>46234</v>
      </c>
      <c r="B146" s="33">
        <v>24.9</v>
      </c>
      <c r="C146" s="33">
        <v>19.98</v>
      </c>
      <c r="D146" s="15">
        <v>-2.0060187268657399E-3</v>
      </c>
      <c r="E146" s="15">
        <v>-2.0000006666669899E-3</v>
      </c>
      <c r="F146" s="33">
        <v>0</v>
      </c>
      <c r="G146" s="33">
        <v>0.11899999999999999</v>
      </c>
      <c r="H146" s="33">
        <v>0</v>
      </c>
      <c r="I146" s="33">
        <v>0.38780999999999999</v>
      </c>
      <c r="J146" s="33">
        <v>0.11899999999999999</v>
      </c>
      <c r="K146" s="33">
        <v>0.38780999999999999</v>
      </c>
      <c r="L146" s="33">
        <v>25.018999999999998</v>
      </c>
      <c r="M146" s="33">
        <v>20.367809999999999</v>
      </c>
      <c r="N146" s="34">
        <v>0.80240963855421599</v>
      </c>
      <c r="O146" s="34">
        <v>0.80070241399324205</v>
      </c>
      <c r="P146" s="34">
        <v>0.80262450541645303</v>
      </c>
      <c r="Q146" s="34">
        <v>0.80075495948463904</v>
      </c>
      <c r="R146" s="33">
        <v>19.9374901084317</v>
      </c>
      <c r="S146" s="33">
        <v>19.976380005943199</v>
      </c>
      <c r="T146" s="33">
        <v>19.9346118350912</v>
      </c>
      <c r="U146" s="15">
        <v>-2.1298888042833699E-3</v>
      </c>
      <c r="V146" s="15">
        <v>-1.8119729896019299E-4</v>
      </c>
      <c r="W146" s="15">
        <v>-2.2742641045642399E-3</v>
      </c>
      <c r="X146" s="34">
        <v>0.814093688796514</v>
      </c>
      <c r="Y146" s="34">
        <v>0.81414850939960204</v>
      </c>
      <c r="Z146" s="34">
        <v>0.814297299524253</v>
      </c>
      <c r="AA146" s="34">
        <v>0.81431052714025498</v>
      </c>
      <c r="AB146" s="33">
        <v>20.3691815566686</v>
      </c>
      <c r="AC146" s="33">
        <v>20.3732377626024</v>
      </c>
      <c r="AD146" s="33">
        <v>20.373678769129601</v>
      </c>
      <c r="AE146" s="15">
        <v>6.7337160489849501E-5</v>
      </c>
      <c r="AF146" s="15">
        <v>2.6645179408212798E-4</v>
      </c>
      <c r="AG146" s="15">
        <v>2.8809792413434301E-4</v>
      </c>
      <c r="AI146" s="12"/>
      <c r="AJ146">
        <f t="shared" si="26"/>
        <v>0</v>
      </c>
      <c r="AK146">
        <f t="shared" si="27"/>
        <v>1</v>
      </c>
      <c r="AL146">
        <f t="shared" si="34"/>
        <v>0</v>
      </c>
      <c r="AM146">
        <f t="shared" si="24"/>
        <v>0</v>
      </c>
      <c r="AN146">
        <f t="shared" si="35"/>
        <v>0</v>
      </c>
      <c r="AO146" s="28">
        <f t="shared" si="28"/>
        <v>0</v>
      </c>
      <c r="AP146" s="28">
        <f t="shared" si="29"/>
        <v>0</v>
      </c>
      <c r="AQ146" s="28">
        <f t="shared" si="36"/>
        <v>0</v>
      </c>
      <c r="AR146" s="29">
        <f t="shared" si="37"/>
        <v>0</v>
      </c>
      <c r="AT146" s="12"/>
      <c r="AU146">
        <f t="shared" si="30"/>
        <v>0</v>
      </c>
      <c r="AV146">
        <f t="shared" si="31"/>
        <v>0</v>
      </c>
      <c r="AW146">
        <f t="shared" si="38"/>
        <v>0</v>
      </c>
      <c r="AX146">
        <f t="shared" si="25"/>
        <v>0</v>
      </c>
      <c r="AY146">
        <f t="shared" si="39"/>
        <v>0</v>
      </c>
      <c r="AZ146" s="28">
        <f t="shared" si="32"/>
        <v>0</v>
      </c>
      <c r="BA146" s="28">
        <f t="shared" si="33"/>
        <v>0</v>
      </c>
      <c r="BB146" s="28">
        <f t="shared" si="40"/>
        <v>0</v>
      </c>
      <c r="BC146" s="29">
        <f t="shared" si="41"/>
        <v>0</v>
      </c>
      <c r="BE146" s="29">
        <f t="shared" si="42"/>
        <v>0</v>
      </c>
      <c r="BF146" s="29">
        <f t="shared" si="43"/>
        <v>0</v>
      </c>
      <c r="BH146" s="29"/>
    </row>
    <row r="147" spans="1:60" x14ac:dyDescent="0.25">
      <c r="A147" s="1">
        <v>46237</v>
      </c>
      <c r="B147" s="33">
        <v>24.94</v>
      </c>
      <c r="C147" s="33">
        <v>19.96</v>
      </c>
      <c r="D147" s="15">
        <v>1.60513678122865E-3</v>
      </c>
      <c r="E147" s="15">
        <v>-1.00150233708952E-3</v>
      </c>
      <c r="F147" s="33">
        <v>0</v>
      </c>
      <c r="G147" s="33">
        <v>0.11899999999999999</v>
      </c>
      <c r="H147" s="33">
        <v>6.6023999999999999E-2</v>
      </c>
      <c r="I147" s="33">
        <v>0.45383400000000002</v>
      </c>
      <c r="J147" s="33">
        <v>0.11899999999999999</v>
      </c>
      <c r="K147" s="33">
        <v>0.45383400000000002</v>
      </c>
      <c r="L147" s="33">
        <v>25.059000000000001</v>
      </c>
      <c r="M147" s="33">
        <v>20.413834000000001</v>
      </c>
      <c r="N147" s="34">
        <v>0.80032076984763401</v>
      </c>
      <c r="O147" s="34">
        <v>0.80070241399324205</v>
      </c>
      <c r="P147" s="34">
        <v>0.80239237103212102</v>
      </c>
      <c r="Q147" s="34">
        <v>0.80083052178654401</v>
      </c>
      <c r="R147" s="33">
        <v>19.969518204991399</v>
      </c>
      <c r="S147" s="33">
        <v>20.0174551650863</v>
      </c>
      <c r="T147" s="33">
        <v>19.970828689546899</v>
      </c>
      <c r="U147" s="15">
        <v>4.7675031403460199E-4</v>
      </c>
      <c r="V147" s="15">
        <v>2.8743802929560398E-3</v>
      </c>
      <c r="W147" s="15">
        <v>5.4237240586961001E-4</v>
      </c>
      <c r="X147" s="34">
        <v>0.81463083123827695</v>
      </c>
      <c r="Y147" s="34">
        <v>0.81414850939960204</v>
      </c>
      <c r="Z147" s="34">
        <v>0.81433160062489196</v>
      </c>
      <c r="AA147" s="34">
        <v>0.814332128225978</v>
      </c>
      <c r="AB147" s="33">
        <v>20.4017474970446</v>
      </c>
      <c r="AC147" s="33">
        <v>20.4054760287782</v>
      </c>
      <c r="AD147" s="33">
        <v>20.405807499607601</v>
      </c>
      <c r="AE147" s="15">
        <v>-5.9224947264467404E-4</v>
      </c>
      <c r="AF147" s="15">
        <v>-4.0951066211824698E-4</v>
      </c>
      <c r="AG147" s="15">
        <v>-3.9326658446329203E-4</v>
      </c>
      <c r="AI147" s="12"/>
      <c r="AJ147">
        <f t="shared" si="26"/>
        <v>0</v>
      </c>
      <c r="AK147">
        <f t="shared" si="27"/>
        <v>0</v>
      </c>
      <c r="AL147">
        <f t="shared" si="34"/>
        <v>0</v>
      </c>
      <c r="AM147">
        <f t="shared" si="24"/>
        <v>1</v>
      </c>
      <c r="AN147">
        <f t="shared" si="35"/>
        <v>0</v>
      </c>
      <c r="AO147" s="28">
        <f t="shared" si="28"/>
        <v>0</v>
      </c>
      <c r="AP147" s="28">
        <f t="shared" si="29"/>
        <v>0</v>
      </c>
      <c r="AQ147" s="28">
        <f t="shared" si="36"/>
        <v>0</v>
      </c>
      <c r="AR147" s="29">
        <f t="shared" si="37"/>
        <v>0</v>
      </c>
      <c r="AT147" s="12"/>
      <c r="AU147">
        <f t="shared" si="30"/>
        <v>0</v>
      </c>
      <c r="AV147">
        <f t="shared" si="31"/>
        <v>1</v>
      </c>
      <c r="AW147">
        <f t="shared" si="38"/>
        <v>0</v>
      </c>
      <c r="AX147">
        <f t="shared" si="25"/>
        <v>1</v>
      </c>
      <c r="AY147">
        <f t="shared" si="39"/>
        <v>0</v>
      </c>
      <c r="AZ147" s="28">
        <f t="shared" si="32"/>
        <v>0</v>
      </c>
      <c r="BA147" s="28">
        <f t="shared" si="33"/>
        <v>0</v>
      </c>
      <c r="BB147" s="28">
        <f t="shared" si="40"/>
        <v>0</v>
      </c>
      <c r="BC147" s="29">
        <f t="shared" si="41"/>
        <v>0</v>
      </c>
      <c r="BE147" s="29">
        <f t="shared" si="42"/>
        <v>0</v>
      </c>
      <c r="BF147" s="29">
        <f t="shared" si="43"/>
        <v>0</v>
      </c>
      <c r="BH147" s="29"/>
    </row>
    <row r="148" spans="1:60" x14ac:dyDescent="0.25">
      <c r="A148" s="1">
        <v>46238</v>
      </c>
      <c r="B148" s="33">
        <v>25.02</v>
      </c>
      <c r="C148" s="33">
        <v>20.02</v>
      </c>
      <c r="D148" s="15">
        <v>3.2025647868746299E-3</v>
      </c>
      <c r="E148" s="15">
        <v>3.0015030037565502E-3</v>
      </c>
      <c r="F148" s="33">
        <v>0</v>
      </c>
      <c r="G148" s="33">
        <v>0.11899999999999999</v>
      </c>
      <c r="H148" s="33">
        <v>0</v>
      </c>
      <c r="I148" s="33">
        <v>0.45383400000000002</v>
      </c>
      <c r="J148" s="33">
        <v>0.11899999999999999</v>
      </c>
      <c r="K148" s="33">
        <v>0.45383400000000002</v>
      </c>
      <c r="L148" s="33">
        <v>25.138999999999999</v>
      </c>
      <c r="M148" s="33">
        <v>20.473834</v>
      </c>
      <c r="N148" s="34">
        <v>0.80015987210231798</v>
      </c>
      <c r="O148" s="34">
        <v>0.80070241399324205</v>
      </c>
      <c r="P148" s="34">
        <v>0.80213570387186395</v>
      </c>
      <c r="Q148" s="34">
        <v>0.800890266984017</v>
      </c>
      <c r="R148" s="33">
        <v>20.0335743981109</v>
      </c>
      <c r="S148" s="33">
        <v>20.075857123223599</v>
      </c>
      <c r="T148" s="33">
        <v>20.036779655099298</v>
      </c>
      <c r="U148" s="15">
        <v>6.7781209715281896E-4</v>
      </c>
      <c r="V148" s="15">
        <v>2.7861810852935101E-3</v>
      </c>
      <c r="W148" s="15">
        <v>8.3779356330186195E-4</v>
      </c>
      <c r="X148" s="34">
        <v>0.81442515613190603</v>
      </c>
      <c r="Y148" s="34">
        <v>0.81414850939960204</v>
      </c>
      <c r="Z148" s="34">
        <v>0.81433507238158398</v>
      </c>
      <c r="AA148" s="34">
        <v>0.81433322281601295</v>
      </c>
      <c r="AB148" s="33">
        <v>20.466879377796602</v>
      </c>
      <c r="AC148" s="33">
        <v>20.4714821081091</v>
      </c>
      <c r="AD148" s="33">
        <v>20.471495371472798</v>
      </c>
      <c r="AE148" s="15">
        <v>-3.3974113768441201E-4</v>
      </c>
      <c r="AF148" s="15">
        <v>-1.14879654962555E-4</v>
      </c>
      <c r="AG148" s="15">
        <v>-1.14231760523558E-4</v>
      </c>
      <c r="AI148" s="12"/>
      <c r="AJ148">
        <f t="shared" si="26"/>
        <v>0</v>
      </c>
      <c r="AK148">
        <f t="shared" si="27"/>
        <v>1</v>
      </c>
      <c r="AL148">
        <f t="shared" si="34"/>
        <v>0</v>
      </c>
      <c r="AM148">
        <f t="shared" si="24"/>
        <v>1</v>
      </c>
      <c r="AN148">
        <f t="shared" si="35"/>
        <v>0</v>
      </c>
      <c r="AO148" s="28">
        <f t="shared" si="28"/>
        <v>0</v>
      </c>
      <c r="AP148" s="28">
        <f t="shared" si="29"/>
        <v>0</v>
      </c>
      <c r="AQ148" s="28">
        <f t="shared" si="36"/>
        <v>0</v>
      </c>
      <c r="AR148" s="29">
        <f t="shared" si="37"/>
        <v>0</v>
      </c>
      <c r="AT148" s="12"/>
      <c r="AU148">
        <f t="shared" si="30"/>
        <v>0</v>
      </c>
      <c r="AV148">
        <f t="shared" si="31"/>
        <v>1</v>
      </c>
      <c r="AW148">
        <f t="shared" si="38"/>
        <v>0</v>
      </c>
      <c r="AX148">
        <f t="shared" si="25"/>
        <v>1</v>
      </c>
      <c r="AY148">
        <f t="shared" si="39"/>
        <v>0</v>
      </c>
      <c r="AZ148" s="28">
        <f t="shared" si="32"/>
        <v>0</v>
      </c>
      <c r="BA148" s="28">
        <f t="shared" si="33"/>
        <v>0</v>
      </c>
      <c r="BB148" s="28">
        <f t="shared" si="40"/>
        <v>0</v>
      </c>
      <c r="BC148" s="29">
        <f t="shared" si="41"/>
        <v>0</v>
      </c>
      <c r="BE148" s="29">
        <f t="shared" si="42"/>
        <v>0</v>
      </c>
      <c r="BF148" s="29">
        <f t="shared" si="43"/>
        <v>0</v>
      </c>
      <c r="BH148" s="29"/>
    </row>
    <row r="149" spans="1:60" x14ac:dyDescent="0.25">
      <c r="A149" s="1">
        <v>46239</v>
      </c>
      <c r="B149" s="33">
        <v>25.03</v>
      </c>
      <c r="C149" s="33">
        <v>20.03</v>
      </c>
      <c r="D149" s="15">
        <v>3.9960040491790998E-4</v>
      </c>
      <c r="E149" s="15">
        <v>4.99375790652397E-4</v>
      </c>
      <c r="F149" s="33">
        <v>0</v>
      </c>
      <c r="G149" s="33">
        <v>0.11899999999999999</v>
      </c>
      <c r="H149" s="33">
        <v>0</v>
      </c>
      <c r="I149" s="33">
        <v>0.45383400000000002</v>
      </c>
      <c r="J149" s="33">
        <v>0.11899999999999999</v>
      </c>
      <c r="K149" s="33">
        <v>0.45383400000000002</v>
      </c>
      <c r="L149" s="33">
        <v>25.149000000000001</v>
      </c>
      <c r="M149" s="33">
        <v>20.483834000000002</v>
      </c>
      <c r="N149" s="34">
        <v>0.80023971234518498</v>
      </c>
      <c r="O149" s="34">
        <v>0.80070241399324205</v>
      </c>
      <c r="P149" s="34">
        <v>0.80188647301718996</v>
      </c>
      <c r="Q149" s="34">
        <v>0.80093416325145605</v>
      </c>
      <c r="R149" s="33">
        <v>20.0415814222508</v>
      </c>
      <c r="S149" s="33">
        <v>20.077456667912699</v>
      </c>
      <c r="T149" s="33">
        <v>20.0462833826099</v>
      </c>
      <c r="U149" s="15">
        <v>5.7803671141840496E-4</v>
      </c>
      <c r="V149" s="15">
        <v>2.3664771592471399E-3</v>
      </c>
      <c r="W149" s="15">
        <v>8.1261944130707898E-4</v>
      </c>
      <c r="X149" s="34">
        <v>0.81449894628017006</v>
      </c>
      <c r="Y149" s="34">
        <v>0.81414850939960204</v>
      </c>
      <c r="Z149" s="34">
        <v>0.81434304610112795</v>
      </c>
      <c r="AA149" s="34">
        <v>0.81431662645231895</v>
      </c>
      <c r="AB149" s="33">
        <v>20.475020862890599</v>
      </c>
      <c r="AC149" s="33">
        <v>20.479712735324402</v>
      </c>
      <c r="AD149" s="33">
        <v>20.479666220599899</v>
      </c>
      <c r="AE149" s="15">
        <v>-4.3034099829770701E-4</v>
      </c>
      <c r="AF149" s="15">
        <v>-2.0121620405884601E-4</v>
      </c>
      <c r="AG149" s="15">
        <v>-2.0348746528036599E-4</v>
      </c>
      <c r="AI149" s="12"/>
      <c r="AJ149">
        <f t="shared" si="26"/>
        <v>0</v>
      </c>
      <c r="AK149">
        <f t="shared" si="27"/>
        <v>0</v>
      </c>
      <c r="AL149">
        <f t="shared" si="34"/>
        <v>0</v>
      </c>
      <c r="AM149">
        <f t="shared" ref="AM149:AM176" si="44">IF(F150+H150&gt;0,0,1)</f>
        <v>1</v>
      </c>
      <c r="AN149">
        <f t="shared" si="35"/>
        <v>0</v>
      </c>
      <c r="AO149" s="28">
        <f t="shared" si="28"/>
        <v>0</v>
      </c>
      <c r="AP149" s="28">
        <f t="shared" si="29"/>
        <v>0</v>
      </c>
      <c r="AQ149" s="28">
        <f t="shared" si="36"/>
        <v>0</v>
      </c>
      <c r="AR149" s="29">
        <f t="shared" si="37"/>
        <v>0</v>
      </c>
      <c r="AT149" s="12"/>
      <c r="AU149">
        <f t="shared" si="30"/>
        <v>0</v>
      </c>
      <c r="AV149">
        <f t="shared" si="31"/>
        <v>1</v>
      </c>
      <c r="AW149">
        <f t="shared" si="38"/>
        <v>0</v>
      </c>
      <c r="AX149">
        <f t="shared" ref="AX149:AX176" si="45">IF(F150+H150&gt;0,0,1)</f>
        <v>1</v>
      </c>
      <c r="AY149">
        <f t="shared" si="39"/>
        <v>0</v>
      </c>
      <c r="AZ149" s="28">
        <f t="shared" si="32"/>
        <v>0</v>
      </c>
      <c r="BA149" s="28">
        <f t="shared" si="33"/>
        <v>0</v>
      </c>
      <c r="BB149" s="28">
        <f t="shared" si="40"/>
        <v>0</v>
      </c>
      <c r="BC149" s="29">
        <f t="shared" si="41"/>
        <v>0</v>
      </c>
      <c r="BE149" s="29">
        <f t="shared" si="42"/>
        <v>0</v>
      </c>
      <c r="BF149" s="29">
        <f t="shared" si="43"/>
        <v>0</v>
      </c>
      <c r="BH149" s="29"/>
    </row>
    <row r="150" spans="1:60" x14ac:dyDescent="0.25">
      <c r="A150" s="1">
        <v>46240</v>
      </c>
      <c r="B150" s="33">
        <v>24.96</v>
      </c>
      <c r="C150" s="33">
        <v>19.97</v>
      </c>
      <c r="D150" s="15">
        <v>-2.8005619424559202E-3</v>
      </c>
      <c r="E150" s="15">
        <v>-3.0000022500031101E-3</v>
      </c>
      <c r="F150" s="33">
        <v>0</v>
      </c>
      <c r="G150" s="33">
        <v>0.11899999999999999</v>
      </c>
      <c r="H150" s="33">
        <v>0</v>
      </c>
      <c r="I150" s="33">
        <v>0.45383400000000002</v>
      </c>
      <c r="J150" s="33">
        <v>0.11899999999999999</v>
      </c>
      <c r="K150" s="33">
        <v>0.45383400000000002</v>
      </c>
      <c r="L150" s="33">
        <v>25.079000000000001</v>
      </c>
      <c r="M150" s="33">
        <v>20.423833999999999</v>
      </c>
      <c r="N150" s="34">
        <v>0.80008012820512797</v>
      </c>
      <c r="O150" s="34">
        <v>0.80070241399324205</v>
      </c>
      <c r="P150" s="34">
        <v>0.80158047617586703</v>
      </c>
      <c r="Q150" s="34">
        <v>0.80100581789091996</v>
      </c>
      <c r="R150" s="33">
        <v>19.985532253271298</v>
      </c>
      <c r="S150" s="33">
        <v>20.015086366508999</v>
      </c>
      <c r="T150" s="33">
        <v>19.991316714756302</v>
      </c>
      <c r="U150" s="15">
        <v>7.7747701896545003E-4</v>
      </c>
      <c r="V150" s="15">
        <v>2.2551600966402002E-3</v>
      </c>
      <c r="W150" s="15">
        <v>1.0668675874925899E-3</v>
      </c>
      <c r="X150" s="34">
        <v>0.81437991945452304</v>
      </c>
      <c r="Y150" s="34">
        <v>0.81414850939960204</v>
      </c>
      <c r="Z150" s="34">
        <v>0.81429616285126005</v>
      </c>
      <c r="AA150" s="34">
        <v>0.81433166301398296</v>
      </c>
      <c r="AB150" s="33">
        <v>20.418030467232601</v>
      </c>
      <c r="AC150" s="33">
        <v>20.4229092531702</v>
      </c>
      <c r="AD150" s="33">
        <v>20.422246674797702</v>
      </c>
      <c r="AE150" s="15">
        <v>-2.8419529236183201E-4</v>
      </c>
      <c r="AF150" s="15">
        <v>-4.5278852427627802E-5</v>
      </c>
      <c r="AG150" s="15">
        <v>-7.7722277234166693E-5</v>
      </c>
      <c r="AI150" s="12"/>
      <c r="AJ150">
        <f t="shared" ref="AJ150:AJ176" si="46">IF($AG150&lt;AI$21,1,0)</f>
        <v>0</v>
      </c>
      <c r="AK150">
        <f t="shared" ref="AK150:AK176" si="47">IF($AG150&gt;AI$22,1,0)</f>
        <v>1</v>
      </c>
      <c r="AL150">
        <f t="shared" si="34"/>
        <v>0</v>
      </c>
      <c r="AM150">
        <f t="shared" si="44"/>
        <v>1</v>
      </c>
      <c r="AN150">
        <f t="shared" si="35"/>
        <v>0</v>
      </c>
      <c r="AO150" s="28">
        <f t="shared" ref="AO150:AO176" si="48">AN150*D150</f>
        <v>0</v>
      </c>
      <c r="AP150" s="28">
        <f t="shared" ref="AP150:AP176" si="49">-AN150*$E150</f>
        <v>0</v>
      </c>
      <c r="AQ150" s="28">
        <f t="shared" si="36"/>
        <v>0</v>
      </c>
      <c r="AR150" s="29">
        <f t="shared" si="37"/>
        <v>0</v>
      </c>
      <c r="AT150" s="12"/>
      <c r="AU150">
        <f t="shared" ref="AU150:AU176" si="50">IF($AG150&gt;AT$21,1,0)</f>
        <v>0</v>
      </c>
      <c r="AV150">
        <f t="shared" ref="AV150:AV176" si="51">IF($AG150&lt;AT$22,1,0)</f>
        <v>1</v>
      </c>
      <c r="AW150">
        <f t="shared" si="38"/>
        <v>0</v>
      </c>
      <c r="AX150">
        <f t="shared" si="45"/>
        <v>1</v>
      </c>
      <c r="AY150">
        <f t="shared" si="39"/>
        <v>0</v>
      </c>
      <c r="AZ150" s="28">
        <f t="shared" ref="AZ150:AZ176" si="52">-AY150*D150</f>
        <v>0</v>
      </c>
      <c r="BA150" s="28">
        <f t="shared" ref="BA150:BA176" si="53">AY150*$E150</f>
        <v>0</v>
      </c>
      <c r="BB150" s="28">
        <f t="shared" si="40"/>
        <v>0</v>
      </c>
      <c r="BC150" s="29">
        <f t="shared" si="41"/>
        <v>0</v>
      </c>
      <c r="BE150" s="29">
        <f t="shared" si="42"/>
        <v>0</v>
      </c>
      <c r="BF150" s="29">
        <f t="shared" si="43"/>
        <v>0</v>
      </c>
      <c r="BH150" s="29"/>
    </row>
    <row r="151" spans="1:60" x14ac:dyDescent="0.25">
      <c r="A151" s="1">
        <v>46241</v>
      </c>
      <c r="B151" s="33">
        <v>25.02</v>
      </c>
      <c r="C151" s="33">
        <v>20.010000000000002</v>
      </c>
      <c r="D151" s="15">
        <v>2.4009615375380402E-3</v>
      </c>
      <c r="E151" s="15">
        <v>2.00100116791832E-3</v>
      </c>
      <c r="F151" s="33">
        <v>0</v>
      </c>
      <c r="G151" s="33">
        <v>0.11899999999999999</v>
      </c>
      <c r="H151" s="33">
        <v>0</v>
      </c>
      <c r="I151" s="33">
        <v>0.45383400000000002</v>
      </c>
      <c r="J151" s="33">
        <v>0.11899999999999999</v>
      </c>
      <c r="K151" s="33">
        <v>0.45383400000000002</v>
      </c>
      <c r="L151" s="33">
        <v>25.138999999999999</v>
      </c>
      <c r="M151" s="33">
        <v>20.463833999999999</v>
      </c>
      <c r="N151" s="34">
        <v>0.79976019184652203</v>
      </c>
      <c r="O151" s="34">
        <v>0.80070241399324205</v>
      </c>
      <c r="P151" s="34">
        <v>0.80128329327132697</v>
      </c>
      <c r="Q151" s="34">
        <v>0.80105358843942198</v>
      </c>
      <c r="R151" s="33">
        <v>20.0335743981109</v>
      </c>
      <c r="S151" s="33">
        <v>20.055543513920199</v>
      </c>
      <c r="T151" s="33">
        <v>20.041165563630798</v>
      </c>
      <c r="U151" s="15">
        <v>1.17743738858517E-3</v>
      </c>
      <c r="V151" s="15">
        <v>2.2734514269430401E-3</v>
      </c>
      <c r="W151" s="15">
        <v>1.5562877875127E-3</v>
      </c>
      <c r="X151" s="34">
        <v>0.81402736783483798</v>
      </c>
      <c r="Y151" s="34">
        <v>0.81414850939960204</v>
      </c>
      <c r="Z151" s="34">
        <v>0.81425697872627101</v>
      </c>
      <c r="AA151" s="34">
        <v>0.81432026248142197</v>
      </c>
      <c r="AB151" s="33">
        <v>20.466879377796602</v>
      </c>
      <c r="AC151" s="33">
        <v>20.470591237917802</v>
      </c>
      <c r="AD151" s="33">
        <v>20.471483676508502</v>
      </c>
      <c r="AE151" s="15">
        <v>1.4880648544333901E-4</v>
      </c>
      <c r="AF151" s="15">
        <v>3.3014940065454298E-4</v>
      </c>
      <c r="AG151" s="15">
        <v>3.7374458202705602E-4</v>
      </c>
      <c r="AI151" s="12"/>
      <c r="AJ151">
        <f t="shared" si="46"/>
        <v>0</v>
      </c>
      <c r="AK151">
        <f t="shared" si="47"/>
        <v>1</v>
      </c>
      <c r="AL151">
        <f t="shared" ref="AL151:AL176" si="54">AN151</f>
        <v>0</v>
      </c>
      <c r="AM151">
        <f t="shared" si="44"/>
        <v>1</v>
      </c>
      <c r="AN151">
        <f t="shared" ref="AN151:AN176" si="55">IF(AJ150,1,IF(AK150,0,AL150))*AM150</f>
        <v>0</v>
      </c>
      <c r="AO151" s="28">
        <f t="shared" si="48"/>
        <v>0</v>
      </c>
      <c r="AP151" s="28">
        <f t="shared" si="49"/>
        <v>0</v>
      </c>
      <c r="AQ151" s="28">
        <f t="shared" ref="AQ151:AQ176" si="56">AO151+AP151</f>
        <v>0</v>
      </c>
      <c r="AR151" s="29">
        <f t="shared" ref="AR151:AR176" si="57">AR150+AQ151</f>
        <v>0</v>
      </c>
      <c r="AT151" s="12"/>
      <c r="AU151">
        <f t="shared" si="50"/>
        <v>0</v>
      </c>
      <c r="AV151">
        <f t="shared" si="51"/>
        <v>0</v>
      </c>
      <c r="AW151">
        <f t="shared" ref="AW151:AW176" si="58">AY151</f>
        <v>0</v>
      </c>
      <c r="AX151">
        <f t="shared" si="45"/>
        <v>1</v>
      </c>
      <c r="AY151">
        <f t="shared" ref="AY151:AY176" si="59">IF(AU150,1,IF(AV150,0,AW150))*AX150</f>
        <v>0</v>
      </c>
      <c r="AZ151" s="28">
        <f t="shared" si="52"/>
        <v>0</v>
      </c>
      <c r="BA151" s="28">
        <f t="shared" si="53"/>
        <v>0</v>
      </c>
      <c r="BB151" s="28">
        <f t="shared" ref="BB151:BB176" si="60">AZ151+BA151</f>
        <v>0</v>
      </c>
      <c r="BC151" s="29">
        <f t="shared" ref="BC151:BC176" si="61">BC150+BB151</f>
        <v>0</v>
      </c>
      <c r="BE151" s="29">
        <f t="shared" ref="BE151:BE176" si="62">AQ151+BB151</f>
        <v>0</v>
      </c>
      <c r="BF151" s="29">
        <f t="shared" ref="BF151:BF176" si="63">BF150+BE151</f>
        <v>0</v>
      </c>
      <c r="BH151" s="29"/>
    </row>
    <row r="152" spans="1:60" x14ac:dyDescent="0.25">
      <c r="A152" s="1">
        <v>46244</v>
      </c>
      <c r="B152" s="33">
        <v>24.96</v>
      </c>
      <c r="C152" s="33">
        <v>19.96</v>
      </c>
      <c r="D152" s="15">
        <v>-2.4009615375381499E-3</v>
      </c>
      <c r="E152" s="15">
        <v>-2.5018777123242001E-3</v>
      </c>
      <c r="F152" s="33">
        <v>0</v>
      </c>
      <c r="G152" s="33">
        <v>0.11899999999999999</v>
      </c>
      <c r="H152" s="33">
        <v>0</v>
      </c>
      <c r="I152" s="33">
        <v>0.45383400000000002</v>
      </c>
      <c r="J152" s="33">
        <v>0.11899999999999999</v>
      </c>
      <c r="K152" s="33">
        <v>0.45383400000000002</v>
      </c>
      <c r="L152" s="33">
        <v>25.079000000000001</v>
      </c>
      <c r="M152" s="33">
        <v>20.413834000000001</v>
      </c>
      <c r="N152" s="34">
        <v>0.799679487179487</v>
      </c>
      <c r="O152" s="34">
        <v>0.80070241399324205</v>
      </c>
      <c r="P152" s="34">
        <v>0.80096220144330998</v>
      </c>
      <c r="Q152" s="34">
        <v>0.80110146056197395</v>
      </c>
      <c r="R152" s="33">
        <v>19.985532253271298</v>
      </c>
      <c r="S152" s="33">
        <v>20.000031000052299</v>
      </c>
      <c r="T152" s="33">
        <v>19.994297567447902</v>
      </c>
      <c r="U152" s="15">
        <v>1.2783535633714E-3</v>
      </c>
      <c r="V152" s="15">
        <v>2.00355267208847E-3</v>
      </c>
      <c r="W152" s="15">
        <v>1.7168403881729201E-3</v>
      </c>
      <c r="X152" s="34">
        <v>0.81398117947286497</v>
      </c>
      <c r="Y152" s="34">
        <v>0.81414850939960204</v>
      </c>
      <c r="Z152" s="34">
        <v>0.814198346503755</v>
      </c>
      <c r="AA152" s="34">
        <v>0.81430883822822897</v>
      </c>
      <c r="AB152" s="33">
        <v>20.418030467232601</v>
      </c>
      <c r="AC152" s="33">
        <v>20.420750769476101</v>
      </c>
      <c r="AD152" s="33">
        <v>20.422337862771599</v>
      </c>
      <c r="AE152" s="15">
        <v>2.05548646977283E-4</v>
      </c>
      <c r="AF152" s="15">
        <v>3.3877016658110997E-4</v>
      </c>
      <c r="AG152" s="15">
        <v>4.1648678152809998E-4</v>
      </c>
      <c r="AI152" s="12"/>
      <c r="AJ152">
        <f t="shared" si="46"/>
        <v>0</v>
      </c>
      <c r="AK152">
        <f t="shared" si="47"/>
        <v>1</v>
      </c>
      <c r="AL152">
        <f t="shared" si="54"/>
        <v>0</v>
      </c>
      <c r="AM152">
        <f t="shared" si="44"/>
        <v>1</v>
      </c>
      <c r="AN152">
        <f t="shared" si="55"/>
        <v>0</v>
      </c>
      <c r="AO152" s="28">
        <f t="shared" si="48"/>
        <v>0</v>
      </c>
      <c r="AP152" s="28">
        <f t="shared" si="49"/>
        <v>0</v>
      </c>
      <c r="AQ152" s="28">
        <f t="shared" si="56"/>
        <v>0</v>
      </c>
      <c r="AR152" s="29">
        <f t="shared" si="57"/>
        <v>0</v>
      </c>
      <c r="AT152" s="12"/>
      <c r="AU152">
        <f t="shared" si="50"/>
        <v>0</v>
      </c>
      <c r="AV152">
        <f t="shared" si="51"/>
        <v>0</v>
      </c>
      <c r="AW152">
        <f t="shared" si="58"/>
        <v>0</v>
      </c>
      <c r="AX152">
        <f t="shared" si="45"/>
        <v>1</v>
      </c>
      <c r="AY152">
        <f t="shared" si="59"/>
        <v>0</v>
      </c>
      <c r="AZ152" s="28">
        <f t="shared" si="52"/>
        <v>0</v>
      </c>
      <c r="BA152" s="28">
        <f t="shared" si="53"/>
        <v>0</v>
      </c>
      <c r="BB152" s="28">
        <f t="shared" si="60"/>
        <v>0</v>
      </c>
      <c r="BC152" s="29">
        <f t="shared" si="61"/>
        <v>0</v>
      </c>
      <c r="BE152" s="29">
        <f t="shared" si="62"/>
        <v>0</v>
      </c>
      <c r="BF152" s="29">
        <f t="shared" si="63"/>
        <v>0</v>
      </c>
      <c r="BH152" s="29"/>
    </row>
    <row r="153" spans="1:60" x14ac:dyDescent="0.25">
      <c r="A153" s="1">
        <v>46245</v>
      </c>
      <c r="B153" s="33">
        <v>24.98</v>
      </c>
      <c r="C153" s="33">
        <v>19.98</v>
      </c>
      <c r="D153" s="15">
        <v>8.0096119620458696E-4</v>
      </c>
      <c r="E153" s="15">
        <v>1.0015023370896E-3</v>
      </c>
      <c r="F153" s="33">
        <v>0</v>
      </c>
      <c r="G153" s="33">
        <v>0.11899999999999999</v>
      </c>
      <c r="H153" s="33">
        <v>0</v>
      </c>
      <c r="I153" s="33">
        <v>0.45383400000000002</v>
      </c>
      <c r="J153" s="33">
        <v>0.11899999999999999</v>
      </c>
      <c r="K153" s="33">
        <v>0.45383400000000002</v>
      </c>
      <c r="L153" s="33">
        <v>25.099</v>
      </c>
      <c r="M153" s="33">
        <v>20.433834000000001</v>
      </c>
      <c r="N153" s="34">
        <v>0.79983987189751804</v>
      </c>
      <c r="O153" s="34">
        <v>0.80070241399324205</v>
      </c>
      <c r="P153" s="34">
        <v>0.80072992912164798</v>
      </c>
      <c r="Q153" s="34">
        <v>0.80115321511302595</v>
      </c>
      <c r="R153" s="33">
        <v>20.001546301551102</v>
      </c>
      <c r="S153" s="33">
        <v>20.008035792053899</v>
      </c>
      <c r="T153" s="33">
        <v>20.011514484838099</v>
      </c>
      <c r="U153" s="15">
        <v>1.0778124224864901E-3</v>
      </c>
      <c r="V153" s="15">
        <v>1.4022092404507901E-3</v>
      </c>
      <c r="W153" s="15">
        <v>1.5760589098707399E-3</v>
      </c>
      <c r="X153" s="34">
        <v>0.81412940754611696</v>
      </c>
      <c r="Y153" s="34">
        <v>0.81414850939960204</v>
      </c>
      <c r="Z153" s="34">
        <v>0.81422976547591197</v>
      </c>
      <c r="AA153" s="34">
        <v>0.81430253968123201</v>
      </c>
      <c r="AB153" s="33">
        <v>20.434313437420599</v>
      </c>
      <c r="AC153" s="33">
        <v>20.435564298897699</v>
      </c>
      <c r="AD153" s="33">
        <v>20.438337530690301</v>
      </c>
      <c r="AE153" s="15">
        <v>2.3462645150329701E-5</v>
      </c>
      <c r="AF153" s="15">
        <v>8.4674547255446007E-5</v>
      </c>
      <c r="AG153" s="15">
        <v>2.2037149189218E-4</v>
      </c>
      <c r="AI153" s="12"/>
      <c r="AJ153">
        <f t="shared" si="46"/>
        <v>0</v>
      </c>
      <c r="AK153">
        <f t="shared" si="47"/>
        <v>1</v>
      </c>
      <c r="AL153">
        <f t="shared" si="54"/>
        <v>0</v>
      </c>
      <c r="AM153">
        <f t="shared" si="44"/>
        <v>1</v>
      </c>
      <c r="AN153">
        <f t="shared" si="55"/>
        <v>0</v>
      </c>
      <c r="AO153" s="28">
        <f t="shared" si="48"/>
        <v>0</v>
      </c>
      <c r="AP153" s="28">
        <f t="shared" si="49"/>
        <v>0</v>
      </c>
      <c r="AQ153" s="28">
        <f t="shared" si="56"/>
        <v>0</v>
      </c>
      <c r="AR153" s="29">
        <f t="shared" si="57"/>
        <v>0</v>
      </c>
      <c r="AT153" s="12"/>
      <c r="AU153">
        <f t="shared" si="50"/>
        <v>0</v>
      </c>
      <c r="AV153">
        <f t="shared" si="51"/>
        <v>0</v>
      </c>
      <c r="AW153">
        <f t="shared" si="58"/>
        <v>0</v>
      </c>
      <c r="AX153">
        <f t="shared" si="45"/>
        <v>1</v>
      </c>
      <c r="AY153">
        <f t="shared" si="59"/>
        <v>0</v>
      </c>
      <c r="AZ153" s="28">
        <f t="shared" si="52"/>
        <v>0</v>
      </c>
      <c r="BA153" s="28">
        <f t="shared" si="53"/>
        <v>0</v>
      </c>
      <c r="BB153" s="28">
        <f t="shared" si="60"/>
        <v>0</v>
      </c>
      <c r="BC153" s="29">
        <f t="shared" si="61"/>
        <v>0</v>
      </c>
      <c r="BE153" s="29">
        <f t="shared" si="62"/>
        <v>0</v>
      </c>
      <c r="BF153" s="29">
        <f t="shared" si="63"/>
        <v>0</v>
      </c>
      <c r="BH153" s="29"/>
    </row>
    <row r="154" spans="1:60" x14ac:dyDescent="0.25">
      <c r="A154" s="1">
        <v>46246</v>
      </c>
      <c r="B154" s="33">
        <v>25</v>
      </c>
      <c r="C154" s="33">
        <v>20</v>
      </c>
      <c r="D154" s="15">
        <v>8.0032017076911498E-4</v>
      </c>
      <c r="E154" s="15">
        <v>1.00050033358362E-3</v>
      </c>
      <c r="F154" s="33">
        <v>0</v>
      </c>
      <c r="G154" s="33">
        <v>0.11899999999999999</v>
      </c>
      <c r="H154" s="33">
        <v>0</v>
      </c>
      <c r="I154" s="33">
        <v>0.45383400000000002</v>
      </c>
      <c r="J154" s="33">
        <v>0.11899999999999999</v>
      </c>
      <c r="K154" s="33">
        <v>0.45383400000000002</v>
      </c>
      <c r="L154" s="33">
        <v>25.119</v>
      </c>
      <c r="M154" s="33">
        <v>20.453834000000001</v>
      </c>
      <c r="N154" s="34">
        <v>0.8</v>
      </c>
      <c r="O154" s="34">
        <v>0.80070241399324205</v>
      </c>
      <c r="P154" s="34">
        <v>0.800489448159724</v>
      </c>
      <c r="Q154" s="34">
        <v>0.80121285726014302</v>
      </c>
      <c r="R154" s="33">
        <v>20.017560349831001</v>
      </c>
      <c r="S154" s="33">
        <v>20.018248228041202</v>
      </c>
      <c r="T154" s="33">
        <v>20.028830377825599</v>
      </c>
      <c r="U154" s="15">
        <v>8.7763225967213204E-4</v>
      </c>
      <c r="V154" s="15">
        <v>9.1199540779695698E-4</v>
      </c>
      <c r="W154" s="15">
        <v>1.44048090032831E-3</v>
      </c>
      <c r="X154" s="34">
        <v>0.81427739957800804</v>
      </c>
      <c r="Y154" s="34">
        <v>0.81414850939960204</v>
      </c>
      <c r="Z154" s="34">
        <v>0.81425094753351701</v>
      </c>
      <c r="AA154" s="34">
        <v>0.814305057771464</v>
      </c>
      <c r="AB154" s="33">
        <v>20.4505964076086</v>
      </c>
      <c r="AC154" s="33">
        <v>20.452637478989399</v>
      </c>
      <c r="AD154" s="33">
        <v>20.454465494252801</v>
      </c>
      <c r="AE154" s="15">
        <v>-1.5830032912779701E-4</v>
      </c>
      <c r="AF154" s="15">
        <v>-5.85003285610738E-5</v>
      </c>
      <c r="AG154" s="15">
        <v>3.0873649636901301E-5</v>
      </c>
      <c r="AI154" s="12"/>
      <c r="AJ154">
        <f t="shared" si="46"/>
        <v>0</v>
      </c>
      <c r="AK154">
        <f t="shared" si="47"/>
        <v>1</v>
      </c>
      <c r="AL154">
        <f t="shared" si="54"/>
        <v>0</v>
      </c>
      <c r="AM154">
        <f t="shared" si="44"/>
        <v>1</v>
      </c>
      <c r="AN154">
        <f t="shared" si="55"/>
        <v>0</v>
      </c>
      <c r="AO154" s="28">
        <f t="shared" si="48"/>
        <v>0</v>
      </c>
      <c r="AP154" s="28">
        <f t="shared" si="49"/>
        <v>0</v>
      </c>
      <c r="AQ154" s="28">
        <f t="shared" si="56"/>
        <v>0</v>
      </c>
      <c r="AR154" s="29">
        <f t="shared" si="57"/>
        <v>0</v>
      </c>
      <c r="AT154" s="12"/>
      <c r="AU154">
        <f t="shared" si="50"/>
        <v>0</v>
      </c>
      <c r="AV154">
        <f t="shared" si="51"/>
        <v>1</v>
      </c>
      <c r="AW154">
        <f t="shared" si="58"/>
        <v>0</v>
      </c>
      <c r="AX154">
        <f t="shared" si="45"/>
        <v>1</v>
      </c>
      <c r="AY154">
        <f t="shared" si="59"/>
        <v>0</v>
      </c>
      <c r="AZ154" s="28">
        <f t="shared" si="52"/>
        <v>0</v>
      </c>
      <c r="BA154" s="28">
        <f t="shared" si="53"/>
        <v>0</v>
      </c>
      <c r="BB154" s="28">
        <f t="shared" si="60"/>
        <v>0</v>
      </c>
      <c r="BC154" s="29">
        <f t="shared" si="61"/>
        <v>0</v>
      </c>
      <c r="BE154" s="29">
        <f t="shared" si="62"/>
        <v>0</v>
      </c>
      <c r="BF154" s="29">
        <f t="shared" si="63"/>
        <v>0</v>
      </c>
      <c r="BH154" s="29"/>
    </row>
    <row r="155" spans="1:60" x14ac:dyDescent="0.25">
      <c r="A155" s="1">
        <v>46247</v>
      </c>
      <c r="B155" s="33">
        <v>25.06</v>
      </c>
      <c r="C155" s="33">
        <v>20.059999999999999</v>
      </c>
      <c r="D155" s="15">
        <v>2.3971245997214501E-3</v>
      </c>
      <c r="E155" s="15">
        <v>2.9955089797983701E-3</v>
      </c>
      <c r="F155" s="33">
        <v>0</v>
      </c>
      <c r="G155" s="33">
        <v>0.11899999999999999</v>
      </c>
      <c r="H155" s="33">
        <v>0</v>
      </c>
      <c r="I155" s="33">
        <v>0.45383400000000002</v>
      </c>
      <c r="J155" s="33">
        <v>0.11899999999999999</v>
      </c>
      <c r="K155" s="33">
        <v>0.45383400000000002</v>
      </c>
      <c r="L155" s="33">
        <v>25.178999999999998</v>
      </c>
      <c r="M155" s="33">
        <v>20.513833999999999</v>
      </c>
      <c r="N155" s="34">
        <v>0.80047885075818004</v>
      </c>
      <c r="O155" s="34">
        <v>0.80070241399324205</v>
      </c>
      <c r="P155" s="34">
        <v>0.80029685227361902</v>
      </c>
      <c r="Q155" s="34">
        <v>0.80128055477020799</v>
      </c>
      <c r="R155" s="33">
        <v>20.0656024946706</v>
      </c>
      <c r="S155" s="33">
        <v>20.060265570882699</v>
      </c>
      <c r="T155" s="33">
        <v>20.078394202939101</v>
      </c>
      <c r="U155" s="15">
        <v>2.7924787959491897E-4</v>
      </c>
      <c r="V155" s="15">
        <v>1.3238740019856601E-5</v>
      </c>
      <c r="W155" s="15">
        <v>9.1653911882226297E-4</v>
      </c>
      <c r="X155" s="34">
        <v>0.81471996505024002</v>
      </c>
      <c r="Y155" s="34">
        <v>0.81414850939960204</v>
      </c>
      <c r="Z155" s="34">
        <v>0.814316386138346</v>
      </c>
      <c r="AA155" s="34">
        <v>0.81431351028014198</v>
      </c>
      <c r="AB155" s="33">
        <v>20.499445318172501</v>
      </c>
      <c r="AC155" s="33">
        <v>20.502024607946399</v>
      </c>
      <c r="AD155" s="33">
        <v>20.503387049627701</v>
      </c>
      <c r="AE155" s="15">
        <v>-7.0165968959073205E-4</v>
      </c>
      <c r="AF155" s="15">
        <v>-5.7584518674933503E-4</v>
      </c>
      <c r="AG155" s="15">
        <v>-5.0939338798974896E-4</v>
      </c>
      <c r="AI155" s="12"/>
      <c r="AJ155">
        <f t="shared" si="46"/>
        <v>0</v>
      </c>
      <c r="AK155">
        <f t="shared" si="47"/>
        <v>0</v>
      </c>
      <c r="AL155">
        <f t="shared" si="54"/>
        <v>0</v>
      </c>
      <c r="AM155">
        <f t="shared" si="44"/>
        <v>1</v>
      </c>
      <c r="AN155">
        <f t="shared" si="55"/>
        <v>0</v>
      </c>
      <c r="AO155" s="28">
        <f t="shared" si="48"/>
        <v>0</v>
      </c>
      <c r="AP155" s="28">
        <f t="shared" si="49"/>
        <v>0</v>
      </c>
      <c r="AQ155" s="28">
        <f t="shared" si="56"/>
        <v>0</v>
      </c>
      <c r="AR155" s="29">
        <f t="shared" si="57"/>
        <v>0</v>
      </c>
      <c r="AT155" s="12"/>
      <c r="AU155">
        <f t="shared" si="50"/>
        <v>0</v>
      </c>
      <c r="AV155">
        <f t="shared" si="51"/>
        <v>1</v>
      </c>
      <c r="AW155">
        <f t="shared" si="58"/>
        <v>0</v>
      </c>
      <c r="AX155">
        <f t="shared" si="45"/>
        <v>1</v>
      </c>
      <c r="AY155">
        <f t="shared" si="59"/>
        <v>0</v>
      </c>
      <c r="AZ155" s="28">
        <f t="shared" si="52"/>
        <v>0</v>
      </c>
      <c r="BA155" s="28">
        <f t="shared" si="53"/>
        <v>0</v>
      </c>
      <c r="BB155" s="28">
        <f t="shared" si="60"/>
        <v>0</v>
      </c>
      <c r="BC155" s="29">
        <f t="shared" si="61"/>
        <v>0</v>
      </c>
      <c r="BE155" s="29">
        <f t="shared" si="62"/>
        <v>0</v>
      </c>
      <c r="BF155" s="29">
        <f t="shared" si="63"/>
        <v>0</v>
      </c>
      <c r="BH155" s="29"/>
    </row>
    <row r="156" spans="1:60" x14ac:dyDescent="0.25">
      <c r="A156" s="1">
        <v>46248</v>
      </c>
      <c r="B156" s="33">
        <v>25.03</v>
      </c>
      <c r="C156" s="33">
        <v>20.03</v>
      </c>
      <c r="D156" s="15">
        <v>-1.19784402423929E-3</v>
      </c>
      <c r="E156" s="15">
        <v>-1.4966328560625101E-3</v>
      </c>
      <c r="F156" s="33">
        <v>0</v>
      </c>
      <c r="G156" s="33">
        <v>0.11899999999999999</v>
      </c>
      <c r="H156" s="33">
        <v>0</v>
      </c>
      <c r="I156" s="33">
        <v>0.45383400000000002</v>
      </c>
      <c r="J156" s="33">
        <v>0.11899999999999999</v>
      </c>
      <c r="K156" s="33">
        <v>0.45383400000000002</v>
      </c>
      <c r="L156" s="33">
        <v>25.149000000000001</v>
      </c>
      <c r="M156" s="33">
        <v>20.483834000000002</v>
      </c>
      <c r="N156" s="34">
        <v>0.80023971234518498</v>
      </c>
      <c r="O156" s="34">
        <v>0.80070241399324205</v>
      </c>
      <c r="P156" s="34">
        <v>0.800079859652716</v>
      </c>
      <c r="Q156" s="34">
        <v>0.80135218253458396</v>
      </c>
      <c r="R156" s="33">
        <v>20.0415814222508</v>
      </c>
      <c r="S156" s="33">
        <v>20.031430212408601</v>
      </c>
      <c r="T156" s="33">
        <v>20.0560522858983</v>
      </c>
      <c r="U156" s="15">
        <v>5.7803671141840496E-4</v>
      </c>
      <c r="V156" s="15">
        <v>7.14009660517931E-5</v>
      </c>
      <c r="W156" s="15">
        <v>1.2998181701959E-3</v>
      </c>
      <c r="X156" s="34">
        <v>0.81449894628017006</v>
      </c>
      <c r="Y156" s="34">
        <v>0.81414850939960204</v>
      </c>
      <c r="Z156" s="34">
        <v>0.814356911886712</v>
      </c>
      <c r="AA156" s="34">
        <v>0.81432710570548195</v>
      </c>
      <c r="AB156" s="33">
        <v>20.475020862890599</v>
      </c>
      <c r="AC156" s="33">
        <v>20.479242794993201</v>
      </c>
      <c r="AD156" s="33">
        <v>20.4791704700352</v>
      </c>
      <c r="AE156" s="15">
        <v>-4.3034099829770701E-4</v>
      </c>
      <c r="AF156" s="15">
        <v>-2.2416309443412999E-4</v>
      </c>
      <c r="AG156" s="15">
        <v>-2.27694723333566E-4</v>
      </c>
      <c r="AI156" s="12"/>
      <c r="AJ156">
        <f t="shared" si="46"/>
        <v>0</v>
      </c>
      <c r="AK156">
        <f t="shared" si="47"/>
        <v>0</v>
      </c>
      <c r="AL156">
        <f t="shared" si="54"/>
        <v>0</v>
      </c>
      <c r="AM156">
        <f t="shared" si="44"/>
        <v>1</v>
      </c>
      <c r="AN156">
        <f t="shared" si="55"/>
        <v>0</v>
      </c>
      <c r="AO156" s="28">
        <f t="shared" si="48"/>
        <v>0</v>
      </c>
      <c r="AP156" s="28">
        <f t="shared" si="49"/>
        <v>0</v>
      </c>
      <c r="AQ156" s="28">
        <f t="shared" si="56"/>
        <v>0</v>
      </c>
      <c r="AR156" s="29">
        <f t="shared" si="57"/>
        <v>0</v>
      </c>
      <c r="AT156" s="12"/>
      <c r="AU156">
        <f t="shared" si="50"/>
        <v>0</v>
      </c>
      <c r="AV156">
        <f t="shared" si="51"/>
        <v>1</v>
      </c>
      <c r="AW156">
        <f t="shared" si="58"/>
        <v>0</v>
      </c>
      <c r="AX156">
        <f t="shared" si="45"/>
        <v>1</v>
      </c>
      <c r="AY156">
        <f t="shared" si="59"/>
        <v>0</v>
      </c>
      <c r="AZ156" s="28">
        <f t="shared" si="52"/>
        <v>0</v>
      </c>
      <c r="BA156" s="28">
        <f t="shared" si="53"/>
        <v>0</v>
      </c>
      <c r="BB156" s="28">
        <f t="shared" si="60"/>
        <v>0</v>
      </c>
      <c r="BC156" s="29">
        <f t="shared" si="61"/>
        <v>0</v>
      </c>
      <c r="BE156" s="29">
        <f t="shared" si="62"/>
        <v>0</v>
      </c>
      <c r="BF156" s="29">
        <f t="shared" si="63"/>
        <v>0</v>
      </c>
      <c r="BH156" s="29"/>
    </row>
    <row r="157" spans="1:60" x14ac:dyDescent="0.25">
      <c r="A157" s="1">
        <v>46251</v>
      </c>
      <c r="B157" s="33">
        <v>25.01</v>
      </c>
      <c r="C157" s="33">
        <v>20.02</v>
      </c>
      <c r="D157" s="15">
        <v>-7.9936055415514402E-4</v>
      </c>
      <c r="E157" s="15">
        <v>-4.9937579065238995E-4</v>
      </c>
      <c r="F157" s="33">
        <v>0</v>
      </c>
      <c r="G157" s="33">
        <v>0.11899999999999999</v>
      </c>
      <c r="H157" s="33">
        <v>0</v>
      </c>
      <c r="I157" s="33">
        <v>0.45383400000000002</v>
      </c>
      <c r="J157" s="33">
        <v>0.11899999999999999</v>
      </c>
      <c r="K157" s="33">
        <v>0.45383400000000002</v>
      </c>
      <c r="L157" s="33">
        <v>25.129000000000001</v>
      </c>
      <c r="M157" s="33">
        <v>20.473834</v>
      </c>
      <c r="N157" s="34">
        <v>0.80047980807676899</v>
      </c>
      <c r="O157" s="34">
        <v>0.80070241399324205</v>
      </c>
      <c r="P157" s="34">
        <v>0.80009576347562905</v>
      </c>
      <c r="Q157" s="34">
        <v>0.80124406725387498</v>
      </c>
      <c r="R157" s="33">
        <v>20.025567373970901</v>
      </c>
      <c r="S157" s="33">
        <v>20.009997289914399</v>
      </c>
      <c r="T157" s="33">
        <v>20.041818085189899</v>
      </c>
      <c r="U157" s="15">
        <v>2.7805194791542001E-4</v>
      </c>
      <c r="V157" s="15">
        <v>-4.9976072800196202E-4</v>
      </c>
      <c r="W157" s="15">
        <v>1.08922102839453E-3</v>
      </c>
      <c r="X157" s="34">
        <v>0.81474925385013297</v>
      </c>
      <c r="Y157" s="34">
        <v>0.81414850939960204</v>
      </c>
      <c r="Z157" s="34">
        <v>0.814368754147897</v>
      </c>
      <c r="AA157" s="34">
        <v>0.81435017738639404</v>
      </c>
      <c r="AB157" s="33">
        <v>20.458737892702601</v>
      </c>
      <c r="AC157" s="33">
        <v>20.4639748388011</v>
      </c>
      <c r="AD157" s="33">
        <v>20.463225839273001</v>
      </c>
      <c r="AE157" s="15">
        <v>-7.3760857350496601E-4</v>
      </c>
      <c r="AF157" s="15">
        <v>-4.8166531961923401E-4</v>
      </c>
      <c r="AG157" s="15">
        <v>-5.1826687143762397E-4</v>
      </c>
      <c r="AI157" s="12"/>
      <c r="AJ157">
        <f t="shared" si="46"/>
        <v>0</v>
      </c>
      <c r="AK157">
        <f t="shared" si="47"/>
        <v>0</v>
      </c>
      <c r="AL157">
        <f t="shared" si="54"/>
        <v>0</v>
      </c>
      <c r="AM157">
        <f t="shared" si="44"/>
        <v>1</v>
      </c>
      <c r="AN157">
        <f t="shared" si="55"/>
        <v>0</v>
      </c>
      <c r="AO157" s="28">
        <f t="shared" si="48"/>
        <v>0</v>
      </c>
      <c r="AP157" s="28">
        <f t="shared" si="49"/>
        <v>0</v>
      </c>
      <c r="AQ157" s="28">
        <f t="shared" si="56"/>
        <v>0</v>
      </c>
      <c r="AR157" s="29">
        <f t="shared" si="57"/>
        <v>0</v>
      </c>
      <c r="AT157" s="12"/>
      <c r="AU157">
        <f t="shared" si="50"/>
        <v>0</v>
      </c>
      <c r="AV157">
        <f t="shared" si="51"/>
        <v>1</v>
      </c>
      <c r="AW157">
        <f t="shared" si="58"/>
        <v>0</v>
      </c>
      <c r="AX157">
        <f t="shared" si="45"/>
        <v>1</v>
      </c>
      <c r="AY157">
        <f t="shared" si="59"/>
        <v>0</v>
      </c>
      <c r="AZ157" s="28">
        <f t="shared" si="52"/>
        <v>0</v>
      </c>
      <c r="BA157" s="28">
        <f t="shared" si="53"/>
        <v>0</v>
      </c>
      <c r="BB157" s="28">
        <f t="shared" si="60"/>
        <v>0</v>
      </c>
      <c r="BC157" s="29">
        <f t="shared" si="61"/>
        <v>0</v>
      </c>
      <c r="BE157" s="29">
        <f t="shared" si="62"/>
        <v>0</v>
      </c>
      <c r="BF157" s="29">
        <f t="shared" si="63"/>
        <v>0</v>
      </c>
      <c r="BH157" s="29"/>
    </row>
    <row r="158" spans="1:60" x14ac:dyDescent="0.25">
      <c r="A158" s="1">
        <v>46252</v>
      </c>
      <c r="B158" s="33">
        <v>25.03</v>
      </c>
      <c r="C158" s="33">
        <v>20.03</v>
      </c>
      <c r="D158" s="15">
        <v>7.9936055415518402E-4</v>
      </c>
      <c r="E158" s="15">
        <v>4.99375790652397E-4</v>
      </c>
      <c r="F158" s="33">
        <v>0</v>
      </c>
      <c r="G158" s="33">
        <v>0.11899999999999999</v>
      </c>
      <c r="H158" s="33">
        <v>0</v>
      </c>
      <c r="I158" s="33">
        <v>0.45383400000000002</v>
      </c>
      <c r="J158" s="33">
        <v>0.11899999999999999</v>
      </c>
      <c r="K158" s="33">
        <v>0.45383400000000002</v>
      </c>
      <c r="L158" s="33">
        <v>25.149000000000001</v>
      </c>
      <c r="M158" s="33">
        <v>20.483834000000002</v>
      </c>
      <c r="N158" s="34">
        <v>0.80023971234518498</v>
      </c>
      <c r="O158" s="34">
        <v>0.80070241399324205</v>
      </c>
      <c r="P158" s="34">
        <v>0.80010374749991597</v>
      </c>
      <c r="Q158" s="34">
        <v>0.80111972568588996</v>
      </c>
      <c r="R158" s="33">
        <v>20.0415814222508</v>
      </c>
      <c r="S158" s="33">
        <v>20.026396959795001</v>
      </c>
      <c r="T158" s="33">
        <v>20.055139003364499</v>
      </c>
      <c r="U158" s="15">
        <v>5.7803671141840496E-4</v>
      </c>
      <c r="V158" s="15">
        <v>-1.7989836771022401E-4</v>
      </c>
      <c r="W158" s="15">
        <v>1.2542806279484699E-3</v>
      </c>
      <c r="X158" s="34">
        <v>0.81449894628017006</v>
      </c>
      <c r="Y158" s="34">
        <v>0.81414850939960204</v>
      </c>
      <c r="Z158" s="34">
        <v>0.81437613316272395</v>
      </c>
      <c r="AA158" s="34">
        <v>0.81435560277215402</v>
      </c>
      <c r="AB158" s="33">
        <v>20.475020862890599</v>
      </c>
      <c r="AC158" s="33">
        <v>20.4805597980654</v>
      </c>
      <c r="AD158" s="33">
        <v>20.480092611090399</v>
      </c>
      <c r="AE158" s="15">
        <v>-4.3034099829770701E-4</v>
      </c>
      <c r="AF158" s="15">
        <v>-1.5985599384849399E-4</v>
      </c>
      <c r="AG158" s="15">
        <v>-1.82667494523963E-4</v>
      </c>
      <c r="AI158" s="12"/>
      <c r="AJ158">
        <f t="shared" si="46"/>
        <v>0</v>
      </c>
      <c r="AK158">
        <f t="shared" si="47"/>
        <v>1</v>
      </c>
      <c r="AL158">
        <f t="shared" si="54"/>
        <v>0</v>
      </c>
      <c r="AM158">
        <f t="shared" si="44"/>
        <v>1</v>
      </c>
      <c r="AN158">
        <f t="shared" si="55"/>
        <v>0</v>
      </c>
      <c r="AO158" s="28">
        <f t="shared" si="48"/>
        <v>0</v>
      </c>
      <c r="AP158" s="28">
        <f t="shared" si="49"/>
        <v>0</v>
      </c>
      <c r="AQ158" s="28">
        <f t="shared" si="56"/>
        <v>0</v>
      </c>
      <c r="AR158" s="29">
        <f t="shared" si="57"/>
        <v>0</v>
      </c>
      <c r="AT158" s="12"/>
      <c r="AU158">
        <f t="shared" si="50"/>
        <v>0</v>
      </c>
      <c r="AV158">
        <f t="shared" si="51"/>
        <v>1</v>
      </c>
      <c r="AW158">
        <f t="shared" si="58"/>
        <v>0</v>
      </c>
      <c r="AX158">
        <f t="shared" si="45"/>
        <v>1</v>
      </c>
      <c r="AY158">
        <f t="shared" si="59"/>
        <v>0</v>
      </c>
      <c r="AZ158" s="28">
        <f t="shared" si="52"/>
        <v>0</v>
      </c>
      <c r="BA158" s="28">
        <f t="shared" si="53"/>
        <v>0</v>
      </c>
      <c r="BB158" s="28">
        <f t="shared" si="60"/>
        <v>0</v>
      </c>
      <c r="BC158" s="29">
        <f t="shared" si="61"/>
        <v>0</v>
      </c>
      <c r="BE158" s="29">
        <f t="shared" si="62"/>
        <v>0</v>
      </c>
      <c r="BF158" s="29">
        <f t="shared" si="63"/>
        <v>0</v>
      </c>
      <c r="BH158" s="29"/>
    </row>
    <row r="159" spans="1:60" x14ac:dyDescent="0.25">
      <c r="A159" s="1">
        <v>46253</v>
      </c>
      <c r="B159" s="33">
        <v>25.05</v>
      </c>
      <c r="C159" s="33">
        <v>20.05</v>
      </c>
      <c r="D159" s="15">
        <v>7.9872208719105199E-4</v>
      </c>
      <c r="E159" s="15">
        <v>9.9800407485136906E-4</v>
      </c>
      <c r="F159" s="33">
        <v>0</v>
      </c>
      <c r="G159" s="33">
        <v>0.11899999999999999</v>
      </c>
      <c r="H159" s="33">
        <v>0</v>
      </c>
      <c r="I159" s="33">
        <v>0.45383400000000002</v>
      </c>
      <c r="J159" s="33">
        <v>0.11899999999999999</v>
      </c>
      <c r="K159" s="33">
        <v>0.45383400000000002</v>
      </c>
      <c r="L159" s="33">
        <v>25.169</v>
      </c>
      <c r="M159" s="33">
        <v>20.503834000000001</v>
      </c>
      <c r="N159" s="34">
        <v>0.800399201596806</v>
      </c>
      <c r="O159" s="34">
        <v>0.80070241399324205</v>
      </c>
      <c r="P159" s="34">
        <v>0.80011969642507796</v>
      </c>
      <c r="Q159" s="34">
        <v>0.80100308472113402</v>
      </c>
      <c r="R159" s="33">
        <v>20.0575954705307</v>
      </c>
      <c r="S159" s="33">
        <v>20.042598874872901</v>
      </c>
      <c r="T159" s="33">
        <v>20.0680491284315</v>
      </c>
      <c r="U159" s="15">
        <v>3.7875472375782301E-4</v>
      </c>
      <c r="V159" s="15">
        <v>-3.6920156931051701E-4</v>
      </c>
      <c r="W159" s="15">
        <v>8.9980096447605097E-4</v>
      </c>
      <c r="X159" s="34">
        <v>0.814646350669474</v>
      </c>
      <c r="Y159" s="34">
        <v>0.81414850939960204</v>
      </c>
      <c r="Z159" s="34">
        <v>0.81439087360165396</v>
      </c>
      <c r="AA159" s="34">
        <v>0.81436695985139096</v>
      </c>
      <c r="AB159" s="33">
        <v>20.491303833078501</v>
      </c>
      <c r="AC159" s="33">
        <v>20.497032895572499</v>
      </c>
      <c r="AD159" s="33">
        <v>20.496516166172299</v>
      </c>
      <c r="AE159" s="15">
        <v>-6.1130016747975495E-4</v>
      </c>
      <c r="AF159" s="15">
        <v>-3.3175418008124697E-4</v>
      </c>
      <c r="AG159" s="15">
        <v>-3.5696445887396197E-4</v>
      </c>
      <c r="AI159" s="12"/>
      <c r="AJ159">
        <f t="shared" si="46"/>
        <v>0</v>
      </c>
      <c r="AK159">
        <f t="shared" si="47"/>
        <v>0</v>
      </c>
      <c r="AL159">
        <f t="shared" si="54"/>
        <v>0</v>
      </c>
      <c r="AM159">
        <f t="shared" si="44"/>
        <v>1</v>
      </c>
      <c r="AN159">
        <f t="shared" si="55"/>
        <v>0</v>
      </c>
      <c r="AO159" s="28">
        <f t="shared" si="48"/>
        <v>0</v>
      </c>
      <c r="AP159" s="28">
        <f t="shared" si="49"/>
        <v>0</v>
      </c>
      <c r="AQ159" s="28">
        <f t="shared" si="56"/>
        <v>0</v>
      </c>
      <c r="AR159" s="29">
        <f t="shared" si="57"/>
        <v>0</v>
      </c>
      <c r="AT159" s="12"/>
      <c r="AU159">
        <f t="shared" si="50"/>
        <v>0</v>
      </c>
      <c r="AV159">
        <f t="shared" si="51"/>
        <v>1</v>
      </c>
      <c r="AW159">
        <f t="shared" si="58"/>
        <v>0</v>
      </c>
      <c r="AX159">
        <f t="shared" si="45"/>
        <v>1</v>
      </c>
      <c r="AY159">
        <f t="shared" si="59"/>
        <v>0</v>
      </c>
      <c r="AZ159" s="28">
        <f t="shared" si="52"/>
        <v>0</v>
      </c>
      <c r="BA159" s="28">
        <f t="shared" si="53"/>
        <v>0</v>
      </c>
      <c r="BB159" s="28">
        <f t="shared" si="60"/>
        <v>0</v>
      </c>
      <c r="BC159" s="29">
        <f t="shared" si="61"/>
        <v>0</v>
      </c>
      <c r="BE159" s="29">
        <f t="shared" si="62"/>
        <v>0</v>
      </c>
      <c r="BF159" s="29">
        <f t="shared" si="63"/>
        <v>0</v>
      </c>
      <c r="BH159" s="29"/>
    </row>
    <row r="160" spans="1:60" x14ac:dyDescent="0.25">
      <c r="A160" s="1">
        <v>46254</v>
      </c>
      <c r="B160" s="33">
        <v>25.03</v>
      </c>
      <c r="C160" s="33">
        <v>20.02</v>
      </c>
      <c r="D160" s="15">
        <v>-7.9872208719098E-4</v>
      </c>
      <c r="E160" s="15">
        <v>-1.49737986550372E-3</v>
      </c>
      <c r="F160" s="33">
        <v>0</v>
      </c>
      <c r="G160" s="33">
        <v>0.11899999999999999</v>
      </c>
      <c r="H160" s="33">
        <v>0</v>
      </c>
      <c r="I160" s="33">
        <v>0.45383400000000002</v>
      </c>
      <c r="J160" s="33">
        <v>0.11899999999999999</v>
      </c>
      <c r="K160" s="33">
        <v>0.45383400000000002</v>
      </c>
      <c r="L160" s="33">
        <v>25.149000000000001</v>
      </c>
      <c r="M160" s="33">
        <v>20.473834</v>
      </c>
      <c r="N160" s="34">
        <v>0.79984019176987597</v>
      </c>
      <c r="O160" s="34">
        <v>0.80070241399324205</v>
      </c>
      <c r="P160" s="34">
        <v>0.80009570278155295</v>
      </c>
      <c r="Q160" s="34">
        <v>0.80083808947871005</v>
      </c>
      <c r="R160" s="33">
        <v>20.0415814222508</v>
      </c>
      <c r="S160" s="33">
        <v>20.026996001519699</v>
      </c>
      <c r="T160" s="33">
        <v>20.0491072105699</v>
      </c>
      <c r="U160" s="15">
        <v>1.0774125020707999E-3</v>
      </c>
      <c r="V160" s="15">
        <v>3.4938958171125601E-4</v>
      </c>
      <c r="W160" s="15">
        <v>1.45285072297374E-3</v>
      </c>
      <c r="X160" s="34">
        <v>0.81410131615571102</v>
      </c>
      <c r="Y160" s="34">
        <v>0.81414850939960204</v>
      </c>
      <c r="Z160" s="34">
        <v>0.81436301327177296</v>
      </c>
      <c r="AA160" s="34">
        <v>0.81432958806151601</v>
      </c>
      <c r="AB160" s="33">
        <v>20.475020862890599</v>
      </c>
      <c r="AC160" s="33">
        <v>20.481116080208</v>
      </c>
      <c r="AD160" s="33">
        <v>20.480514673302601</v>
      </c>
      <c r="AE160" s="15">
        <v>5.7968062594337697E-5</v>
      </c>
      <c r="AF160" s="15">
        <v>3.5561416973928499E-4</v>
      </c>
      <c r="AG160" s="15">
        <v>3.2624976728104201E-4</v>
      </c>
      <c r="AI160" s="12"/>
      <c r="AJ160">
        <f t="shared" si="46"/>
        <v>0</v>
      </c>
      <c r="AK160">
        <f t="shared" si="47"/>
        <v>1</v>
      </c>
      <c r="AL160">
        <f t="shared" si="54"/>
        <v>0</v>
      </c>
      <c r="AM160">
        <f t="shared" si="44"/>
        <v>1</v>
      </c>
      <c r="AN160">
        <f t="shared" si="55"/>
        <v>0</v>
      </c>
      <c r="AO160" s="28">
        <f t="shared" si="48"/>
        <v>0</v>
      </c>
      <c r="AP160" s="28">
        <f t="shared" si="49"/>
        <v>0</v>
      </c>
      <c r="AQ160" s="28">
        <f t="shared" si="56"/>
        <v>0</v>
      </c>
      <c r="AR160" s="29">
        <f t="shared" si="57"/>
        <v>0</v>
      </c>
      <c r="AT160" s="12"/>
      <c r="AU160">
        <f t="shared" si="50"/>
        <v>0</v>
      </c>
      <c r="AV160">
        <f t="shared" si="51"/>
        <v>0</v>
      </c>
      <c r="AW160">
        <f t="shared" si="58"/>
        <v>0</v>
      </c>
      <c r="AX160">
        <f t="shared" si="45"/>
        <v>1</v>
      </c>
      <c r="AY160">
        <f t="shared" si="59"/>
        <v>0</v>
      </c>
      <c r="AZ160" s="28">
        <f t="shared" si="52"/>
        <v>0</v>
      </c>
      <c r="BA160" s="28">
        <f t="shared" si="53"/>
        <v>0</v>
      </c>
      <c r="BB160" s="28">
        <f t="shared" si="60"/>
        <v>0</v>
      </c>
      <c r="BC160" s="29">
        <f t="shared" si="61"/>
        <v>0</v>
      </c>
      <c r="BE160" s="29">
        <f t="shared" si="62"/>
        <v>0</v>
      </c>
      <c r="BF160" s="29">
        <f t="shared" si="63"/>
        <v>0</v>
      </c>
      <c r="BH160" s="29"/>
    </row>
    <row r="161" spans="1:60" x14ac:dyDescent="0.25">
      <c r="A161" s="1">
        <v>46255</v>
      </c>
      <c r="B161" s="33">
        <v>24.98</v>
      </c>
      <c r="C161" s="33">
        <v>19.98</v>
      </c>
      <c r="D161" s="15">
        <v>-1.9996007462512399E-3</v>
      </c>
      <c r="E161" s="15">
        <v>-2.0000006666669899E-3</v>
      </c>
      <c r="F161" s="33">
        <v>0</v>
      </c>
      <c r="G161" s="33">
        <v>0.11899999999999999</v>
      </c>
      <c r="H161" s="33">
        <v>0</v>
      </c>
      <c r="I161" s="33">
        <v>0.45383400000000002</v>
      </c>
      <c r="J161" s="33">
        <v>0.11899999999999999</v>
      </c>
      <c r="K161" s="33">
        <v>0.45383400000000002</v>
      </c>
      <c r="L161" s="33">
        <v>25.099</v>
      </c>
      <c r="M161" s="33">
        <v>20.433834000000001</v>
      </c>
      <c r="N161" s="34">
        <v>0.79983987189751804</v>
      </c>
      <c r="O161" s="34">
        <v>0.80070241399324205</v>
      </c>
      <c r="P161" s="34">
        <v>0.80010367078665201</v>
      </c>
      <c r="Q161" s="34">
        <v>0.80069348202899004</v>
      </c>
      <c r="R161" s="33">
        <v>20.001546301551102</v>
      </c>
      <c r="S161" s="33">
        <v>19.986390655483099</v>
      </c>
      <c r="T161" s="33">
        <v>20.004935475178101</v>
      </c>
      <c r="U161" s="15">
        <v>1.0778124224864901E-3</v>
      </c>
      <c r="V161" s="15">
        <v>3.1980148484000098E-4</v>
      </c>
      <c r="W161" s="15">
        <v>1.24724364885721E-3</v>
      </c>
      <c r="X161" s="34">
        <v>0.81412940754611696</v>
      </c>
      <c r="Y161" s="34">
        <v>0.81414850939960204</v>
      </c>
      <c r="Z161" s="34">
        <v>0.81437321724290102</v>
      </c>
      <c r="AA161" s="34">
        <v>0.81431509798458601</v>
      </c>
      <c r="AB161" s="33">
        <v>20.434313437420599</v>
      </c>
      <c r="AC161" s="33">
        <v>20.439697270108201</v>
      </c>
      <c r="AD161" s="33">
        <v>20.438858330755998</v>
      </c>
      <c r="AE161" s="15">
        <v>2.3462645150329701E-5</v>
      </c>
      <c r="AF161" s="15">
        <v>2.8689814489965602E-4</v>
      </c>
      <c r="AG161" s="15">
        <v>2.45852695029724E-4</v>
      </c>
      <c r="AI161" s="12"/>
      <c r="AJ161">
        <f t="shared" si="46"/>
        <v>0</v>
      </c>
      <c r="AK161">
        <f t="shared" si="47"/>
        <v>1</v>
      </c>
      <c r="AL161">
        <f t="shared" si="54"/>
        <v>0</v>
      </c>
      <c r="AM161">
        <f t="shared" si="44"/>
        <v>0</v>
      </c>
      <c r="AN161">
        <f t="shared" si="55"/>
        <v>0</v>
      </c>
      <c r="AO161" s="28">
        <f t="shared" si="48"/>
        <v>0</v>
      </c>
      <c r="AP161" s="28">
        <f t="shared" si="49"/>
        <v>0</v>
      </c>
      <c r="AQ161" s="28">
        <f t="shared" si="56"/>
        <v>0</v>
      </c>
      <c r="AR161" s="29">
        <f t="shared" si="57"/>
        <v>0</v>
      </c>
      <c r="AT161" s="12"/>
      <c r="AU161">
        <f t="shared" si="50"/>
        <v>0</v>
      </c>
      <c r="AV161">
        <f t="shared" si="51"/>
        <v>0</v>
      </c>
      <c r="AW161">
        <f t="shared" si="58"/>
        <v>0</v>
      </c>
      <c r="AX161">
        <f t="shared" si="45"/>
        <v>0</v>
      </c>
      <c r="AY161">
        <f t="shared" si="59"/>
        <v>0</v>
      </c>
      <c r="AZ161" s="28">
        <f t="shared" si="52"/>
        <v>0</v>
      </c>
      <c r="BA161" s="28">
        <f t="shared" si="53"/>
        <v>0</v>
      </c>
      <c r="BB161" s="28">
        <f t="shared" si="60"/>
        <v>0</v>
      </c>
      <c r="BC161" s="29">
        <f t="shared" si="61"/>
        <v>0</v>
      </c>
      <c r="BE161" s="29">
        <f t="shared" si="62"/>
        <v>0</v>
      </c>
      <c r="BF161" s="29">
        <f t="shared" si="63"/>
        <v>0</v>
      </c>
      <c r="BH161" s="29"/>
    </row>
    <row r="162" spans="1:60" x14ac:dyDescent="0.25">
      <c r="A162" s="1">
        <v>46258</v>
      </c>
      <c r="B162" s="33">
        <v>24.9</v>
      </c>
      <c r="C162" s="33">
        <v>20</v>
      </c>
      <c r="D162" s="15">
        <v>-3.20770122676973E-3</v>
      </c>
      <c r="E162" s="15">
        <v>1.00050033358362E-3</v>
      </c>
      <c r="F162" s="33">
        <v>9.4E-2</v>
      </c>
      <c r="G162" s="33">
        <v>0.21299999999999999</v>
      </c>
      <c r="H162" s="33">
        <v>0</v>
      </c>
      <c r="I162" s="33">
        <v>0.45383400000000002</v>
      </c>
      <c r="J162" s="33">
        <v>0.21299999999999999</v>
      </c>
      <c r="K162" s="33">
        <v>0.45383400000000002</v>
      </c>
      <c r="L162" s="33">
        <v>25.113</v>
      </c>
      <c r="M162" s="33">
        <v>20.453834000000001</v>
      </c>
      <c r="N162" s="34">
        <v>0.80321285140562204</v>
      </c>
      <c r="O162" s="34">
        <v>0.80070241399324205</v>
      </c>
      <c r="P162" s="34">
        <v>0.80045700720926605</v>
      </c>
      <c r="Q162" s="34">
        <v>0.80070960432628802</v>
      </c>
      <c r="R162" s="33">
        <v>19.9374901084317</v>
      </c>
      <c r="S162" s="33">
        <v>19.9225814025876</v>
      </c>
      <c r="T162" s="33">
        <v>19.937267702521801</v>
      </c>
      <c r="U162" s="15">
        <v>-3.1303891378668802E-3</v>
      </c>
      <c r="V162" s="15">
        <v>-3.8784413100852698E-3</v>
      </c>
      <c r="W162" s="15">
        <v>-3.1415443609746898E-3</v>
      </c>
      <c r="X162" s="34">
        <v>0.81447194680046198</v>
      </c>
      <c r="Y162" s="34">
        <v>0.81414850939960204</v>
      </c>
      <c r="Z162" s="34">
        <v>0.81442229397566002</v>
      </c>
      <c r="AA162" s="34">
        <v>0.81431032023970695</v>
      </c>
      <c r="AB162" s="33">
        <v>20.445711516552201</v>
      </c>
      <c r="AC162" s="33">
        <v>20.451354604620899</v>
      </c>
      <c r="AD162" s="33">
        <v>20.449895055686898</v>
      </c>
      <c r="AE162" s="15">
        <v>-3.9719187350314799E-4</v>
      </c>
      <c r="AF162" s="15">
        <v>-1.21226449095631E-4</v>
      </c>
      <c r="AG162" s="15">
        <v>-1.9259585451978601E-4</v>
      </c>
      <c r="AI162" s="12"/>
      <c r="AJ162">
        <f t="shared" si="46"/>
        <v>0</v>
      </c>
      <c r="AK162">
        <f t="shared" si="47"/>
        <v>1</v>
      </c>
      <c r="AL162">
        <f t="shared" si="54"/>
        <v>0</v>
      </c>
      <c r="AM162">
        <f t="shared" si="44"/>
        <v>1</v>
      </c>
      <c r="AN162">
        <f t="shared" si="55"/>
        <v>0</v>
      </c>
      <c r="AO162" s="28">
        <f t="shared" si="48"/>
        <v>0</v>
      </c>
      <c r="AP162" s="28">
        <f t="shared" si="49"/>
        <v>0</v>
      </c>
      <c r="AQ162" s="28">
        <f t="shared" si="56"/>
        <v>0</v>
      </c>
      <c r="AR162" s="29">
        <f t="shared" si="57"/>
        <v>0</v>
      </c>
      <c r="AT162" s="12"/>
      <c r="AU162">
        <f t="shared" si="50"/>
        <v>0</v>
      </c>
      <c r="AV162">
        <f t="shared" si="51"/>
        <v>1</v>
      </c>
      <c r="AW162">
        <f t="shared" si="58"/>
        <v>0</v>
      </c>
      <c r="AX162">
        <f t="shared" si="45"/>
        <v>1</v>
      </c>
      <c r="AY162">
        <f t="shared" si="59"/>
        <v>0</v>
      </c>
      <c r="AZ162" s="28">
        <f t="shared" si="52"/>
        <v>0</v>
      </c>
      <c r="BA162" s="28">
        <f t="shared" si="53"/>
        <v>0</v>
      </c>
      <c r="BB162" s="28">
        <f t="shared" si="60"/>
        <v>0</v>
      </c>
      <c r="BC162" s="29">
        <f t="shared" si="61"/>
        <v>0</v>
      </c>
      <c r="BE162" s="29">
        <f t="shared" si="62"/>
        <v>0</v>
      </c>
      <c r="BF162" s="29">
        <f t="shared" si="63"/>
        <v>0</v>
      </c>
      <c r="BH162" s="29"/>
    </row>
    <row r="163" spans="1:60" x14ac:dyDescent="0.25">
      <c r="A163" s="1">
        <v>46259</v>
      </c>
      <c r="B163" s="33">
        <v>25</v>
      </c>
      <c r="C163" s="33">
        <v>20.059999999999999</v>
      </c>
      <c r="D163" s="15">
        <v>4.00802139753886E-3</v>
      </c>
      <c r="E163" s="15">
        <v>2.9955089797983701E-3</v>
      </c>
      <c r="F163" s="33">
        <v>0</v>
      </c>
      <c r="G163" s="33">
        <v>0.21299999999999999</v>
      </c>
      <c r="H163" s="33">
        <v>0</v>
      </c>
      <c r="I163" s="33">
        <v>0.45383400000000002</v>
      </c>
      <c r="J163" s="33">
        <v>0.21299999999999999</v>
      </c>
      <c r="K163" s="33">
        <v>0.45383400000000002</v>
      </c>
      <c r="L163" s="33">
        <v>25.213000000000001</v>
      </c>
      <c r="M163" s="33">
        <v>20.513833999999999</v>
      </c>
      <c r="N163" s="34">
        <v>0.8024</v>
      </c>
      <c r="O163" s="34">
        <v>0.80070241399324205</v>
      </c>
      <c r="P163" s="34">
        <v>0.80071302001951405</v>
      </c>
      <c r="Q163" s="34">
        <v>0.80072147457058096</v>
      </c>
      <c r="R163" s="33">
        <v>20.017560349831001</v>
      </c>
      <c r="S163" s="33">
        <v>20.011425180231601</v>
      </c>
      <c r="T163" s="33">
        <v>20.017740108157199</v>
      </c>
      <c r="U163" s="15">
        <v>-2.1178767201263699E-3</v>
      </c>
      <c r="V163" s="15">
        <v>-2.42441307453054E-3</v>
      </c>
      <c r="W163" s="15">
        <v>-2.1088967287637502E-3</v>
      </c>
      <c r="X163" s="34">
        <v>0.81362130646888497</v>
      </c>
      <c r="Y163" s="34">
        <v>0.81414850939960204</v>
      </c>
      <c r="Z163" s="34">
        <v>0.81437148386793701</v>
      </c>
      <c r="AA163" s="34">
        <v>0.81430062467192399</v>
      </c>
      <c r="AB163" s="33">
        <v>20.527126367492102</v>
      </c>
      <c r="AC163" s="33">
        <v>20.534029298008299</v>
      </c>
      <c r="AD163" s="33">
        <v>20.531206104203701</v>
      </c>
      <c r="AE163" s="15">
        <v>6.4776105812004595E-4</v>
      </c>
      <c r="AF163" s="15">
        <v>9.8398786271495001E-4</v>
      </c>
      <c r="AG163" s="15">
        <v>8.4648986561966402E-4</v>
      </c>
      <c r="AI163" s="12"/>
      <c r="AJ163">
        <f t="shared" si="46"/>
        <v>0</v>
      </c>
      <c r="AK163">
        <f t="shared" si="47"/>
        <v>1</v>
      </c>
      <c r="AL163">
        <f t="shared" si="54"/>
        <v>0</v>
      </c>
      <c r="AM163">
        <f t="shared" si="44"/>
        <v>1</v>
      </c>
      <c r="AN163">
        <f t="shared" si="55"/>
        <v>0</v>
      </c>
      <c r="AO163" s="28">
        <f t="shared" si="48"/>
        <v>0</v>
      </c>
      <c r="AP163" s="28">
        <f t="shared" si="49"/>
        <v>0</v>
      </c>
      <c r="AQ163" s="28">
        <f t="shared" si="56"/>
        <v>0</v>
      </c>
      <c r="AR163" s="29">
        <f t="shared" si="57"/>
        <v>0</v>
      </c>
      <c r="AT163" s="12"/>
      <c r="AU163">
        <f t="shared" si="50"/>
        <v>0</v>
      </c>
      <c r="AV163">
        <f t="shared" si="51"/>
        <v>0</v>
      </c>
      <c r="AW163">
        <f t="shared" si="58"/>
        <v>0</v>
      </c>
      <c r="AX163">
        <f t="shared" si="45"/>
        <v>1</v>
      </c>
      <c r="AY163">
        <f t="shared" si="59"/>
        <v>0</v>
      </c>
      <c r="AZ163" s="28">
        <f t="shared" si="52"/>
        <v>0</v>
      </c>
      <c r="BA163" s="28">
        <f t="shared" si="53"/>
        <v>0</v>
      </c>
      <c r="BB163" s="28">
        <f t="shared" si="60"/>
        <v>0</v>
      </c>
      <c r="BC163" s="29">
        <f t="shared" si="61"/>
        <v>0</v>
      </c>
      <c r="BE163" s="29">
        <f t="shared" si="62"/>
        <v>0</v>
      </c>
      <c r="BF163" s="29">
        <f t="shared" si="63"/>
        <v>0</v>
      </c>
      <c r="BH163" s="29"/>
    </row>
    <row r="164" spans="1:60" x14ac:dyDescent="0.25">
      <c r="A164" s="1">
        <v>46260</v>
      </c>
      <c r="B164" s="33">
        <v>24.96</v>
      </c>
      <c r="C164" s="33">
        <v>20.03</v>
      </c>
      <c r="D164" s="15">
        <v>-1.6012813669737599E-3</v>
      </c>
      <c r="E164" s="15">
        <v>-1.4966328560625101E-3</v>
      </c>
      <c r="F164" s="33">
        <v>0</v>
      </c>
      <c r="G164" s="33">
        <v>0.21299999999999999</v>
      </c>
      <c r="H164" s="33">
        <v>0</v>
      </c>
      <c r="I164" s="33">
        <v>0.45383400000000002</v>
      </c>
      <c r="J164" s="33">
        <v>0.21299999999999999</v>
      </c>
      <c r="K164" s="33">
        <v>0.45383400000000002</v>
      </c>
      <c r="L164" s="33">
        <v>25.172999999999998</v>
      </c>
      <c r="M164" s="33">
        <v>20.483834000000002</v>
      </c>
      <c r="N164" s="34">
        <v>0.80248397435897401</v>
      </c>
      <c r="O164" s="34">
        <v>0.80070241399324205</v>
      </c>
      <c r="P164" s="34">
        <v>0.80096141745541105</v>
      </c>
      <c r="Q164" s="34">
        <v>0.80072543280756803</v>
      </c>
      <c r="R164" s="33">
        <v>19.985532253271298</v>
      </c>
      <c r="S164" s="33">
        <v>19.985796979686999</v>
      </c>
      <c r="T164" s="33">
        <v>19.9860080052817</v>
      </c>
      <c r="U164" s="15">
        <v>-2.2225252310376E-3</v>
      </c>
      <c r="V164" s="15">
        <v>-2.2092794160578702E-3</v>
      </c>
      <c r="W164" s="15">
        <v>-2.1987206937425599E-3</v>
      </c>
      <c r="X164" s="34">
        <v>0.813722400985182</v>
      </c>
      <c r="Y164" s="34">
        <v>0.81414850939960204</v>
      </c>
      <c r="Z164" s="34">
        <v>0.81431598400865401</v>
      </c>
      <c r="AA164" s="34">
        <v>0.81428346577108601</v>
      </c>
      <c r="AB164" s="33">
        <v>20.494560427116099</v>
      </c>
      <c r="AC164" s="33">
        <v>20.500173363407502</v>
      </c>
      <c r="AD164" s="33">
        <v>20.498389624866299</v>
      </c>
      <c r="AE164" s="15">
        <v>5.2351623391418503E-4</v>
      </c>
      <c r="AF164" s="15">
        <v>7.9735317868656803E-4</v>
      </c>
      <c r="AG164" s="15">
        <v>7.1033849269086405E-4</v>
      </c>
      <c r="AI164" s="12"/>
      <c r="AJ164">
        <f t="shared" si="46"/>
        <v>0</v>
      </c>
      <c r="AK164">
        <f t="shared" si="47"/>
        <v>1</v>
      </c>
      <c r="AL164">
        <f t="shared" si="54"/>
        <v>0</v>
      </c>
      <c r="AM164">
        <f t="shared" si="44"/>
        <v>1</v>
      </c>
      <c r="AN164">
        <f t="shared" si="55"/>
        <v>0</v>
      </c>
      <c r="AO164" s="28">
        <f t="shared" si="48"/>
        <v>0</v>
      </c>
      <c r="AP164" s="28">
        <f t="shared" si="49"/>
        <v>0</v>
      </c>
      <c r="AQ164" s="28">
        <f t="shared" si="56"/>
        <v>0</v>
      </c>
      <c r="AR164" s="29">
        <f t="shared" si="57"/>
        <v>0</v>
      </c>
      <c r="AT164" s="12"/>
      <c r="AU164">
        <f t="shared" si="50"/>
        <v>0</v>
      </c>
      <c r="AV164">
        <f t="shared" si="51"/>
        <v>0</v>
      </c>
      <c r="AW164">
        <f t="shared" si="58"/>
        <v>0</v>
      </c>
      <c r="AX164">
        <f t="shared" si="45"/>
        <v>1</v>
      </c>
      <c r="AY164">
        <f t="shared" si="59"/>
        <v>0</v>
      </c>
      <c r="AZ164" s="28">
        <f t="shared" si="52"/>
        <v>0</v>
      </c>
      <c r="BA164" s="28">
        <f t="shared" si="53"/>
        <v>0</v>
      </c>
      <c r="BB164" s="28">
        <f t="shared" si="60"/>
        <v>0</v>
      </c>
      <c r="BC164" s="29">
        <f t="shared" si="61"/>
        <v>0</v>
      </c>
      <c r="BE164" s="29">
        <f t="shared" si="62"/>
        <v>0</v>
      </c>
      <c r="BF164" s="29">
        <f t="shared" si="63"/>
        <v>0</v>
      </c>
      <c r="BH164" s="29"/>
    </row>
    <row r="165" spans="1:60" x14ac:dyDescent="0.25">
      <c r="A165" s="1">
        <v>46261</v>
      </c>
      <c r="B165" s="33">
        <v>24.95</v>
      </c>
      <c r="C165" s="33">
        <v>20.02</v>
      </c>
      <c r="D165" s="15">
        <v>-4.0072130369929801E-4</v>
      </c>
      <c r="E165" s="15">
        <v>-4.9937579065238995E-4</v>
      </c>
      <c r="F165" s="33">
        <v>0</v>
      </c>
      <c r="G165" s="33">
        <v>0.21299999999999999</v>
      </c>
      <c r="H165" s="33">
        <v>0</v>
      </c>
      <c r="I165" s="33">
        <v>0.45383400000000002</v>
      </c>
      <c r="J165" s="33">
        <v>0.21299999999999999</v>
      </c>
      <c r="K165" s="33">
        <v>0.45383400000000002</v>
      </c>
      <c r="L165" s="33">
        <v>25.163</v>
      </c>
      <c r="M165" s="33">
        <v>20.473834</v>
      </c>
      <c r="N165" s="34">
        <v>0.80240480961923799</v>
      </c>
      <c r="O165" s="34">
        <v>0.80070241399324205</v>
      </c>
      <c r="P165" s="34">
        <v>0.80115401334151704</v>
      </c>
      <c r="Q165" s="34">
        <v>0.80072543280756803</v>
      </c>
      <c r="R165" s="33">
        <v>19.977525229131299</v>
      </c>
      <c r="S165" s="33">
        <v>19.983987365512501</v>
      </c>
      <c r="T165" s="33">
        <v>19.978099548548801</v>
      </c>
      <c r="U165" s="15">
        <v>-2.1238707440845998E-3</v>
      </c>
      <c r="V165" s="15">
        <v>-1.8004527342103201E-3</v>
      </c>
      <c r="W165" s="15">
        <v>-2.0951228808902302E-3</v>
      </c>
      <c r="X165" s="34">
        <v>0.81364837261057898</v>
      </c>
      <c r="Y165" s="34">
        <v>0.81414850939960204</v>
      </c>
      <c r="Z165" s="34">
        <v>0.81420882476468803</v>
      </c>
      <c r="AA165" s="34">
        <v>0.81426260545151696</v>
      </c>
      <c r="AB165" s="33">
        <v>20.486418942022102</v>
      </c>
      <c r="AC165" s="33">
        <v>20.4906331056097</v>
      </c>
      <c r="AD165" s="33">
        <v>20.489814849197799</v>
      </c>
      <c r="AE165" s="15">
        <v>6.1449534679453802E-4</v>
      </c>
      <c r="AF165" s="15">
        <v>8.2017942565638805E-4</v>
      </c>
      <c r="AG165" s="15">
        <v>7.8024543503985E-4</v>
      </c>
      <c r="AI165" s="12"/>
      <c r="AJ165">
        <f t="shared" si="46"/>
        <v>0</v>
      </c>
      <c r="AK165">
        <f t="shared" si="47"/>
        <v>1</v>
      </c>
      <c r="AL165">
        <f t="shared" si="54"/>
        <v>0</v>
      </c>
      <c r="AM165">
        <f t="shared" si="44"/>
        <v>1</v>
      </c>
      <c r="AN165">
        <f t="shared" si="55"/>
        <v>0</v>
      </c>
      <c r="AO165" s="28">
        <f t="shared" si="48"/>
        <v>0</v>
      </c>
      <c r="AP165" s="28">
        <f t="shared" si="49"/>
        <v>0</v>
      </c>
      <c r="AQ165" s="28">
        <f t="shared" si="56"/>
        <v>0</v>
      </c>
      <c r="AR165" s="29">
        <f t="shared" si="57"/>
        <v>0</v>
      </c>
      <c r="AT165" s="12"/>
      <c r="AU165">
        <f t="shared" si="50"/>
        <v>0</v>
      </c>
      <c r="AV165">
        <f t="shared" si="51"/>
        <v>0</v>
      </c>
      <c r="AW165">
        <f t="shared" si="58"/>
        <v>0</v>
      </c>
      <c r="AX165">
        <f t="shared" si="45"/>
        <v>1</v>
      </c>
      <c r="AY165">
        <f t="shared" si="59"/>
        <v>0</v>
      </c>
      <c r="AZ165" s="28">
        <f t="shared" si="52"/>
        <v>0</v>
      </c>
      <c r="BA165" s="28">
        <f t="shared" si="53"/>
        <v>0</v>
      </c>
      <c r="BB165" s="28">
        <f t="shared" si="60"/>
        <v>0</v>
      </c>
      <c r="BC165" s="29">
        <f t="shared" si="61"/>
        <v>0</v>
      </c>
      <c r="BE165" s="29">
        <f t="shared" si="62"/>
        <v>0</v>
      </c>
      <c r="BF165" s="29">
        <f t="shared" si="63"/>
        <v>0</v>
      </c>
      <c r="BH165" s="29"/>
    </row>
    <row r="166" spans="1:60" x14ac:dyDescent="0.25">
      <c r="A166" s="1">
        <v>46262</v>
      </c>
      <c r="B166" s="33">
        <v>24.88</v>
      </c>
      <c r="C166" s="33">
        <v>19.95</v>
      </c>
      <c r="D166" s="15">
        <v>-2.8095543265490202E-3</v>
      </c>
      <c r="E166" s="15">
        <v>-3.5026305512021101E-3</v>
      </c>
      <c r="F166" s="33">
        <v>0</v>
      </c>
      <c r="G166" s="33">
        <v>0.21299999999999999</v>
      </c>
      <c r="H166" s="33">
        <v>0</v>
      </c>
      <c r="I166" s="33">
        <v>0.45383400000000002</v>
      </c>
      <c r="J166" s="33">
        <v>0.21299999999999999</v>
      </c>
      <c r="K166" s="33">
        <v>0.45383400000000002</v>
      </c>
      <c r="L166" s="33">
        <v>25.093</v>
      </c>
      <c r="M166" s="33">
        <v>20.403834</v>
      </c>
      <c r="N166" s="34">
        <v>0.80184887459806997</v>
      </c>
      <c r="O166" s="34">
        <v>0.80070241399324205</v>
      </c>
      <c r="P166" s="34">
        <v>0.80131492956680594</v>
      </c>
      <c r="Q166" s="34">
        <v>0.80069739460976097</v>
      </c>
      <c r="R166" s="33">
        <v>19.9214760601518</v>
      </c>
      <c r="S166" s="33">
        <v>19.932711851936901</v>
      </c>
      <c r="T166" s="33">
        <v>19.922048768252299</v>
      </c>
      <c r="U166" s="15">
        <v>-1.43079451943147E-3</v>
      </c>
      <c r="V166" s="15">
        <v>-8.6694952991361396E-4</v>
      </c>
      <c r="W166" s="15">
        <v>-1.4020466562371099E-3</v>
      </c>
      <c r="X166" s="34">
        <v>0.81312852189853702</v>
      </c>
      <c r="Y166" s="34">
        <v>0.81414850939960204</v>
      </c>
      <c r="Z166" s="34">
        <v>0.814071782326525</v>
      </c>
      <c r="AA166" s="34">
        <v>0.814214347106618</v>
      </c>
      <c r="AB166" s="33">
        <v>20.4294285463642</v>
      </c>
      <c r="AC166" s="33">
        <v>20.430942039820302</v>
      </c>
      <c r="AD166" s="33">
        <v>20.432291558594901</v>
      </c>
      <c r="AE166" s="15">
        <v>1.2536127715524301E-3</v>
      </c>
      <c r="AF166" s="15">
        <v>1.3276940113988701E-3</v>
      </c>
      <c r="AG166" s="15">
        <v>1.3937445245982699E-3</v>
      </c>
      <c r="AI166" s="12"/>
      <c r="AJ166">
        <f t="shared" si="46"/>
        <v>0</v>
      </c>
      <c r="AK166">
        <f t="shared" si="47"/>
        <v>1</v>
      </c>
      <c r="AL166">
        <f t="shared" si="54"/>
        <v>0</v>
      </c>
      <c r="AM166">
        <f t="shared" si="44"/>
        <v>1</v>
      </c>
      <c r="AN166">
        <f t="shared" si="55"/>
        <v>0</v>
      </c>
      <c r="AO166" s="28">
        <f t="shared" si="48"/>
        <v>0</v>
      </c>
      <c r="AP166" s="28">
        <f t="shared" si="49"/>
        <v>0</v>
      </c>
      <c r="AQ166" s="28">
        <f t="shared" si="56"/>
        <v>0</v>
      </c>
      <c r="AR166" s="29">
        <f t="shared" si="57"/>
        <v>0</v>
      </c>
      <c r="AT166" s="12"/>
      <c r="AU166">
        <f t="shared" si="50"/>
        <v>1</v>
      </c>
      <c r="AV166">
        <f t="shared" si="51"/>
        <v>0</v>
      </c>
      <c r="AW166">
        <f t="shared" si="58"/>
        <v>0</v>
      </c>
      <c r="AX166">
        <f t="shared" si="45"/>
        <v>1</v>
      </c>
      <c r="AY166">
        <f t="shared" si="59"/>
        <v>0</v>
      </c>
      <c r="AZ166" s="28">
        <f t="shared" si="52"/>
        <v>0</v>
      </c>
      <c r="BA166" s="28">
        <f t="shared" si="53"/>
        <v>0</v>
      </c>
      <c r="BB166" s="28">
        <f t="shared" si="60"/>
        <v>0</v>
      </c>
      <c r="BC166" s="29">
        <f t="shared" si="61"/>
        <v>0</v>
      </c>
      <c r="BE166" s="29">
        <f t="shared" si="62"/>
        <v>0</v>
      </c>
      <c r="BF166" s="29">
        <f t="shared" si="63"/>
        <v>0</v>
      </c>
      <c r="BH166" s="29"/>
    </row>
    <row r="167" spans="1:60" x14ac:dyDescent="0.25">
      <c r="A167" s="1">
        <v>46265</v>
      </c>
      <c r="B167" s="33">
        <v>24.85</v>
      </c>
      <c r="C167" s="33">
        <v>19.93</v>
      </c>
      <c r="D167" s="15">
        <v>-1.2065153283408599E-3</v>
      </c>
      <c r="E167" s="15">
        <v>-1.0030091111690601E-3</v>
      </c>
      <c r="F167" s="33">
        <v>0</v>
      </c>
      <c r="G167" s="33">
        <v>0.21299999999999999</v>
      </c>
      <c r="H167" s="33">
        <v>0</v>
      </c>
      <c r="I167" s="33">
        <v>0.45383400000000002</v>
      </c>
      <c r="J167" s="33">
        <v>0.21299999999999999</v>
      </c>
      <c r="K167" s="33">
        <v>0.45383400000000002</v>
      </c>
      <c r="L167" s="33">
        <v>25.062999999999999</v>
      </c>
      <c r="M167" s="33">
        <v>20.383834</v>
      </c>
      <c r="N167" s="34">
        <v>0.80201207243460704</v>
      </c>
      <c r="O167" s="34">
        <v>0.80070241399324205</v>
      </c>
      <c r="P167" s="34">
        <v>0.80146815600258903</v>
      </c>
      <c r="Q167" s="34">
        <v>0.80078195973910904</v>
      </c>
      <c r="R167" s="33">
        <v>19.897454987732001</v>
      </c>
      <c r="S167" s="33">
        <v>19.9126759997351</v>
      </c>
      <c r="T167" s="33">
        <v>19.897330256052498</v>
      </c>
      <c r="U167" s="15">
        <v>-1.63430073660331E-3</v>
      </c>
      <c r="V167" s="15">
        <v>-8.6962037172103697E-4</v>
      </c>
      <c r="W167" s="15">
        <v>-1.6405694815527199E-3</v>
      </c>
      <c r="X167" s="34">
        <v>0.813303834337469</v>
      </c>
      <c r="Y167" s="34">
        <v>0.81414850939960204</v>
      </c>
      <c r="Z167" s="34">
        <v>0.81392724037525799</v>
      </c>
      <c r="AA167" s="34">
        <v>0.81414799726157805</v>
      </c>
      <c r="AB167" s="33">
        <v>20.405004091082201</v>
      </c>
      <c r="AC167" s="33">
        <v>20.403081080449699</v>
      </c>
      <c r="AD167" s="33">
        <v>20.406654181533099</v>
      </c>
      <c r="AE167" s="15">
        <v>1.0380336373338301E-3</v>
      </c>
      <c r="AF167" s="15">
        <v>9.4378708663841798E-4</v>
      </c>
      <c r="AG167" s="15">
        <v>1.1188973180413599E-3</v>
      </c>
      <c r="AI167" s="12"/>
      <c r="AJ167">
        <f t="shared" si="46"/>
        <v>0</v>
      </c>
      <c r="AK167">
        <f t="shared" si="47"/>
        <v>1</v>
      </c>
      <c r="AL167">
        <f t="shared" si="54"/>
        <v>0</v>
      </c>
      <c r="AM167">
        <f t="shared" si="44"/>
        <v>0</v>
      </c>
      <c r="AN167">
        <f t="shared" si="55"/>
        <v>0</v>
      </c>
      <c r="AO167" s="28">
        <f t="shared" si="48"/>
        <v>0</v>
      </c>
      <c r="AP167" s="28">
        <f t="shared" si="49"/>
        <v>0</v>
      </c>
      <c r="AQ167" s="28">
        <f t="shared" si="56"/>
        <v>0</v>
      </c>
      <c r="AR167" s="29">
        <f t="shared" si="57"/>
        <v>0</v>
      </c>
      <c r="AT167" s="12"/>
      <c r="AU167">
        <f t="shared" si="50"/>
        <v>1</v>
      </c>
      <c r="AV167">
        <f t="shared" si="51"/>
        <v>0</v>
      </c>
      <c r="AW167">
        <f t="shared" si="58"/>
        <v>1</v>
      </c>
      <c r="AX167">
        <f t="shared" si="45"/>
        <v>0</v>
      </c>
      <c r="AY167">
        <f t="shared" si="59"/>
        <v>1</v>
      </c>
      <c r="AZ167" s="28">
        <f t="shared" si="52"/>
        <v>1.2065153283408599E-3</v>
      </c>
      <c r="BA167" s="28">
        <f t="shared" si="53"/>
        <v>-1.0030091111690601E-3</v>
      </c>
      <c r="BB167" s="28">
        <f t="shared" si="60"/>
        <v>2.0350621717179986E-4</v>
      </c>
      <c r="BC167" s="29">
        <f t="shared" si="61"/>
        <v>2.0350621717179986E-4</v>
      </c>
      <c r="BE167" s="29">
        <f t="shared" si="62"/>
        <v>2.0350621717179986E-4</v>
      </c>
      <c r="BF167" s="29">
        <f t="shared" si="63"/>
        <v>2.0350621717179986E-4</v>
      </c>
      <c r="BH167" s="29"/>
    </row>
    <row r="168" spans="1:60" x14ac:dyDescent="0.25">
      <c r="A168" s="1">
        <v>46266</v>
      </c>
      <c r="B168" s="33">
        <v>24.79</v>
      </c>
      <c r="C168" s="33">
        <v>19.829999999999998</v>
      </c>
      <c r="D168" s="15">
        <v>-2.41740649553865E-3</v>
      </c>
      <c r="E168" s="15">
        <v>-5.0301916929987797E-3</v>
      </c>
      <c r="F168" s="33">
        <v>0</v>
      </c>
      <c r="G168" s="33">
        <v>0.21299999999999999</v>
      </c>
      <c r="H168" s="33">
        <v>6.6100000000000006E-2</v>
      </c>
      <c r="I168" s="33">
        <v>0.51993400000000001</v>
      </c>
      <c r="J168" s="33">
        <v>0.21299999999999999</v>
      </c>
      <c r="K168" s="33">
        <v>0.51993400000000001</v>
      </c>
      <c r="L168" s="33">
        <v>25.003</v>
      </c>
      <c r="M168" s="33">
        <v>20.349933999999902</v>
      </c>
      <c r="N168" s="34">
        <v>0.79991932230738105</v>
      </c>
      <c r="O168" s="34">
        <v>0.80070241399324205</v>
      </c>
      <c r="P168" s="34">
        <v>0.80143611699880901</v>
      </c>
      <c r="Q168" s="34">
        <v>0.80076993224936299</v>
      </c>
      <c r="R168" s="33">
        <v>19.849412842892399</v>
      </c>
      <c r="S168" s="33">
        <v>19.8683955873042</v>
      </c>
      <c r="T168" s="33">
        <v>19.851384781932499</v>
      </c>
      <c r="U168" s="15">
        <v>9.7848446085680709E-4</v>
      </c>
      <c r="V168" s="15">
        <v>1.93436529151663E-3</v>
      </c>
      <c r="W168" s="15">
        <v>1.07782448219924E-3</v>
      </c>
      <c r="X168" s="34">
        <v>0.813899692036955</v>
      </c>
      <c r="Y168" s="34">
        <v>0.81414850939960204</v>
      </c>
      <c r="Z168" s="34">
        <v>0.813867314950937</v>
      </c>
      <c r="AA168" s="34">
        <v>0.81412172405683003</v>
      </c>
      <c r="AB168" s="33">
        <v>20.356155180518201</v>
      </c>
      <c r="AC168" s="33">
        <v>20.350622791102499</v>
      </c>
      <c r="AD168" s="33">
        <v>20.356142375531199</v>
      </c>
      <c r="AE168" s="15">
        <v>3.0566338805505003E-4</v>
      </c>
      <c r="AF168" s="15">
        <v>3.3846765596047097E-5</v>
      </c>
      <c r="AG168" s="15">
        <v>3.0503434043125901E-4</v>
      </c>
      <c r="AI168" s="12"/>
      <c r="AJ168">
        <f t="shared" si="46"/>
        <v>0</v>
      </c>
      <c r="AK168">
        <f t="shared" si="47"/>
        <v>1</v>
      </c>
      <c r="AL168">
        <f t="shared" si="54"/>
        <v>0</v>
      </c>
      <c r="AM168">
        <f t="shared" si="44"/>
        <v>1</v>
      </c>
      <c r="AN168">
        <f t="shared" si="55"/>
        <v>0</v>
      </c>
      <c r="AO168" s="28">
        <f t="shared" si="48"/>
        <v>0</v>
      </c>
      <c r="AP168" s="28">
        <f t="shared" si="49"/>
        <v>0</v>
      </c>
      <c r="AQ168" s="28">
        <f t="shared" si="56"/>
        <v>0</v>
      </c>
      <c r="AR168" s="29">
        <f t="shared" si="57"/>
        <v>0</v>
      </c>
      <c r="AT168" s="12"/>
      <c r="AU168">
        <f t="shared" si="50"/>
        <v>0</v>
      </c>
      <c r="AV168">
        <f t="shared" si="51"/>
        <v>0</v>
      </c>
      <c r="AW168">
        <f t="shared" si="58"/>
        <v>0</v>
      </c>
      <c r="AX168">
        <f t="shared" si="45"/>
        <v>1</v>
      </c>
      <c r="AY168">
        <f t="shared" si="59"/>
        <v>0</v>
      </c>
      <c r="AZ168" s="28">
        <f t="shared" si="52"/>
        <v>0</v>
      </c>
      <c r="BA168" s="28">
        <f t="shared" si="53"/>
        <v>0</v>
      </c>
      <c r="BB168" s="28">
        <f t="shared" si="60"/>
        <v>0</v>
      </c>
      <c r="BC168" s="29">
        <f t="shared" si="61"/>
        <v>2.0350621717179986E-4</v>
      </c>
      <c r="BE168" s="29">
        <f t="shared" si="62"/>
        <v>0</v>
      </c>
      <c r="BF168" s="29">
        <f t="shared" si="63"/>
        <v>2.0350621717179986E-4</v>
      </c>
      <c r="BH168" s="29"/>
    </row>
    <row r="169" spans="1:60" x14ac:dyDescent="0.25">
      <c r="A169" s="1">
        <v>46267</v>
      </c>
      <c r="B169" s="33">
        <v>24.82</v>
      </c>
      <c r="C169" s="33">
        <v>19.84</v>
      </c>
      <c r="D169" s="15">
        <v>1.2094337293621299E-3</v>
      </c>
      <c r="E169" s="15">
        <v>5.0415932502212999E-4</v>
      </c>
      <c r="F169" s="33">
        <v>0</v>
      </c>
      <c r="G169" s="33">
        <v>0.21299999999999999</v>
      </c>
      <c r="H169" s="33">
        <v>0</v>
      </c>
      <c r="I169" s="33">
        <v>0.51993400000000001</v>
      </c>
      <c r="J169" s="33">
        <v>0.21299999999999999</v>
      </c>
      <c r="K169" s="33">
        <v>0.51993400000000001</v>
      </c>
      <c r="L169" s="33">
        <v>25.033000000000001</v>
      </c>
      <c r="M169" s="33">
        <v>20.359933999999999</v>
      </c>
      <c r="N169" s="34">
        <v>0.79935535858178797</v>
      </c>
      <c r="O169" s="34">
        <v>0.80070241399324205</v>
      </c>
      <c r="P169" s="34">
        <v>0.80133173269730695</v>
      </c>
      <c r="Q169" s="34">
        <v>0.80072571456119301</v>
      </c>
      <c r="R169" s="33">
        <v>19.873433915312201</v>
      </c>
      <c r="S169" s="33">
        <v>19.8916444239104</v>
      </c>
      <c r="T169" s="33">
        <v>19.875109718429101</v>
      </c>
      <c r="U169" s="15">
        <v>1.68375886519668E-3</v>
      </c>
      <c r="V169" s="15">
        <v>2.5996635047334498E-3</v>
      </c>
      <c r="W169" s="15">
        <v>1.76807909254164E-3</v>
      </c>
      <c r="X169" s="34">
        <v>0.81332377262014099</v>
      </c>
      <c r="Y169" s="34">
        <v>0.81414850939960204</v>
      </c>
      <c r="Z169" s="34">
        <v>0.81373505714600403</v>
      </c>
      <c r="AA169" s="34">
        <v>0.81406296537382905</v>
      </c>
      <c r="AB169" s="33">
        <v>20.380579635800199</v>
      </c>
      <c r="AC169" s="33">
        <v>20.3735404951668</v>
      </c>
      <c r="AD169" s="33">
        <v>20.3799091183146</v>
      </c>
      <c r="AE169" s="15">
        <v>1.01351876670516E-3</v>
      </c>
      <c r="AF169" s="15">
        <v>6.6807439539724896E-4</v>
      </c>
      <c r="AG169" s="15">
        <v>9.8061840136806004E-4</v>
      </c>
      <c r="AI169" s="12"/>
      <c r="AJ169">
        <f t="shared" si="46"/>
        <v>0</v>
      </c>
      <c r="AK169">
        <f t="shared" si="47"/>
        <v>1</v>
      </c>
      <c r="AL169">
        <f t="shared" si="54"/>
        <v>0</v>
      </c>
      <c r="AM169">
        <f t="shared" si="44"/>
        <v>1</v>
      </c>
      <c r="AN169">
        <f t="shared" si="55"/>
        <v>0</v>
      </c>
      <c r="AO169" s="28">
        <f t="shared" si="48"/>
        <v>0</v>
      </c>
      <c r="AP169" s="28">
        <f t="shared" si="49"/>
        <v>0</v>
      </c>
      <c r="AQ169" s="28">
        <f t="shared" si="56"/>
        <v>0</v>
      </c>
      <c r="AR169" s="29">
        <f t="shared" si="57"/>
        <v>0</v>
      </c>
      <c r="AT169" s="12"/>
      <c r="AU169">
        <f t="shared" si="50"/>
        <v>0</v>
      </c>
      <c r="AV169">
        <f t="shared" si="51"/>
        <v>0</v>
      </c>
      <c r="AW169">
        <f t="shared" si="58"/>
        <v>0</v>
      </c>
      <c r="AX169">
        <f t="shared" si="45"/>
        <v>1</v>
      </c>
      <c r="AY169">
        <f t="shared" si="59"/>
        <v>0</v>
      </c>
      <c r="AZ169" s="28">
        <f t="shared" si="52"/>
        <v>0</v>
      </c>
      <c r="BA169" s="28">
        <f t="shared" si="53"/>
        <v>0</v>
      </c>
      <c r="BB169" s="28">
        <f t="shared" si="60"/>
        <v>0</v>
      </c>
      <c r="BC169" s="29">
        <f t="shared" si="61"/>
        <v>2.0350621717179986E-4</v>
      </c>
      <c r="BE169" s="29">
        <f t="shared" si="62"/>
        <v>0</v>
      </c>
      <c r="BF169" s="29">
        <f t="shared" si="63"/>
        <v>2.0350621717179986E-4</v>
      </c>
      <c r="BH169" s="29"/>
    </row>
    <row r="170" spans="1:60" x14ac:dyDescent="0.25">
      <c r="A170" s="1">
        <v>46268</v>
      </c>
      <c r="B170" s="33">
        <v>24.86</v>
      </c>
      <c r="C170" s="33">
        <v>19.87</v>
      </c>
      <c r="D170" s="15">
        <v>1.6103063061039E-3</v>
      </c>
      <c r="E170" s="15">
        <v>1.5109547069986999E-3</v>
      </c>
      <c r="F170" s="33">
        <v>0</v>
      </c>
      <c r="G170" s="33">
        <v>0.21299999999999999</v>
      </c>
      <c r="H170" s="33">
        <v>0</v>
      </c>
      <c r="I170" s="33">
        <v>0.51993400000000001</v>
      </c>
      <c r="J170" s="33">
        <v>0.21299999999999999</v>
      </c>
      <c r="K170" s="33">
        <v>0.51993400000000001</v>
      </c>
      <c r="L170" s="33">
        <v>25.073</v>
      </c>
      <c r="M170" s="33">
        <v>20.389934</v>
      </c>
      <c r="N170" s="34">
        <v>0.79927594529364399</v>
      </c>
      <c r="O170" s="34">
        <v>0.80070241399324205</v>
      </c>
      <c r="P170" s="34">
        <v>0.80127530804968405</v>
      </c>
      <c r="Q170" s="34">
        <v>0.800685505415618</v>
      </c>
      <c r="R170" s="33">
        <v>19.905462011872</v>
      </c>
      <c r="S170" s="33">
        <v>19.921106874854999</v>
      </c>
      <c r="T170" s="33">
        <v>19.906041263991199</v>
      </c>
      <c r="U170" s="15">
        <v>1.78311046430189E-3</v>
      </c>
      <c r="V170" s="15">
        <v>2.5687600557739798E-3</v>
      </c>
      <c r="W170" s="15">
        <v>1.8122102003899801E-3</v>
      </c>
      <c r="X170" s="34">
        <v>0.81322274957125196</v>
      </c>
      <c r="Y170" s="34">
        <v>0.81414850939960204</v>
      </c>
      <c r="Z170" s="34">
        <v>0.81364720048755801</v>
      </c>
      <c r="AA170" s="34">
        <v>0.81400510687966499</v>
      </c>
      <c r="AB170" s="33">
        <v>20.413145576176198</v>
      </c>
      <c r="AC170" s="33">
        <v>20.402779087821699</v>
      </c>
      <c r="AD170" s="33">
        <v>20.411000730817999</v>
      </c>
      <c r="AE170" s="15">
        <v>1.1377366081760699E-3</v>
      </c>
      <c r="AF170" s="15">
        <v>6.2977366661818896E-4</v>
      </c>
      <c r="AG170" s="15">
        <v>1.03265931670975E-3</v>
      </c>
      <c r="AI170" s="12"/>
      <c r="AJ170">
        <f t="shared" si="46"/>
        <v>0</v>
      </c>
      <c r="AK170">
        <f t="shared" si="47"/>
        <v>1</v>
      </c>
      <c r="AL170">
        <f t="shared" si="54"/>
        <v>0</v>
      </c>
      <c r="AM170">
        <f t="shared" si="44"/>
        <v>1</v>
      </c>
      <c r="AN170">
        <f t="shared" si="55"/>
        <v>0</v>
      </c>
      <c r="AO170" s="28">
        <f t="shared" si="48"/>
        <v>0</v>
      </c>
      <c r="AP170" s="28">
        <f t="shared" si="49"/>
        <v>0</v>
      </c>
      <c r="AQ170" s="28">
        <f t="shared" si="56"/>
        <v>0</v>
      </c>
      <c r="AR170" s="29">
        <f t="shared" si="57"/>
        <v>0</v>
      </c>
      <c r="AT170" s="12"/>
      <c r="AU170">
        <f t="shared" si="50"/>
        <v>1</v>
      </c>
      <c r="AV170">
        <f t="shared" si="51"/>
        <v>0</v>
      </c>
      <c r="AW170">
        <f t="shared" si="58"/>
        <v>0</v>
      </c>
      <c r="AX170">
        <f t="shared" si="45"/>
        <v>1</v>
      </c>
      <c r="AY170">
        <f t="shared" si="59"/>
        <v>0</v>
      </c>
      <c r="AZ170" s="28">
        <f t="shared" si="52"/>
        <v>0</v>
      </c>
      <c r="BA170" s="28">
        <f t="shared" si="53"/>
        <v>0</v>
      </c>
      <c r="BB170" s="28">
        <f t="shared" si="60"/>
        <v>0</v>
      </c>
      <c r="BC170" s="29">
        <f t="shared" si="61"/>
        <v>2.0350621717179986E-4</v>
      </c>
      <c r="BE170" s="29">
        <f t="shared" si="62"/>
        <v>0</v>
      </c>
      <c r="BF170" s="29">
        <f t="shared" si="63"/>
        <v>2.0350621717179986E-4</v>
      </c>
      <c r="BH170" s="29"/>
    </row>
    <row r="171" spans="1:60" x14ac:dyDescent="0.25">
      <c r="A171" s="1">
        <v>46269</v>
      </c>
      <c r="B171" s="33">
        <v>24.82</v>
      </c>
      <c r="C171" s="33">
        <v>19.86</v>
      </c>
      <c r="D171" s="15">
        <v>-1.6103063061039E-3</v>
      </c>
      <c r="E171" s="15">
        <v>-5.0339794669899995E-4</v>
      </c>
      <c r="F171" s="33">
        <v>0</v>
      </c>
      <c r="G171" s="33">
        <v>0.21299999999999999</v>
      </c>
      <c r="H171" s="33">
        <v>0</v>
      </c>
      <c r="I171" s="33">
        <v>0.51993400000000001</v>
      </c>
      <c r="J171" s="33">
        <v>0.21299999999999999</v>
      </c>
      <c r="K171" s="33">
        <v>0.51993400000000001</v>
      </c>
      <c r="L171" s="33">
        <v>25.033000000000001</v>
      </c>
      <c r="M171" s="33">
        <v>20.379933999999999</v>
      </c>
      <c r="N171" s="34">
        <v>0.80016116035455198</v>
      </c>
      <c r="O171" s="34">
        <v>0.80070241399324205</v>
      </c>
      <c r="P171" s="34">
        <v>0.80130743689538797</v>
      </c>
      <c r="Q171" s="34">
        <v>0.80070555384102005</v>
      </c>
      <c r="R171" s="33">
        <v>19.873433915312201</v>
      </c>
      <c r="S171" s="33">
        <v>19.887653145793099</v>
      </c>
      <c r="T171" s="33">
        <v>19.8730142444156</v>
      </c>
      <c r="U171" s="15">
        <v>6.76202104896948E-4</v>
      </c>
      <c r="V171" s="15">
        <v>1.3914356227941601E-3</v>
      </c>
      <c r="W171" s="15">
        <v>6.5508470115103405E-4</v>
      </c>
      <c r="X171" s="34">
        <v>0.81412271801222302</v>
      </c>
      <c r="Y171" s="34">
        <v>0.81414850939960204</v>
      </c>
      <c r="Z171" s="34">
        <v>0.81364653153416799</v>
      </c>
      <c r="AA171" s="34">
        <v>0.814009874388534</v>
      </c>
      <c r="AB171" s="33">
        <v>20.380579635800199</v>
      </c>
      <c r="AC171" s="33">
        <v>20.368030369804998</v>
      </c>
      <c r="AD171" s="33">
        <v>20.376989840518601</v>
      </c>
      <c r="AE171" s="15">
        <v>3.1679473230807398E-5</v>
      </c>
      <c r="AF171" s="15">
        <v>-5.8425645146524996E-4</v>
      </c>
      <c r="AG171" s="15">
        <v>-1.44474077482762E-4</v>
      </c>
      <c r="AI171" s="12"/>
      <c r="AJ171">
        <f t="shared" si="46"/>
        <v>0</v>
      </c>
      <c r="AK171">
        <f t="shared" si="47"/>
        <v>1</v>
      </c>
      <c r="AL171">
        <f t="shared" si="54"/>
        <v>0</v>
      </c>
      <c r="AM171">
        <f t="shared" si="44"/>
        <v>1</v>
      </c>
      <c r="AN171">
        <f t="shared" si="55"/>
        <v>0</v>
      </c>
      <c r="AO171" s="28">
        <f t="shared" si="48"/>
        <v>0</v>
      </c>
      <c r="AP171" s="28">
        <f t="shared" si="49"/>
        <v>0</v>
      </c>
      <c r="AQ171" s="28">
        <f t="shared" si="56"/>
        <v>0</v>
      </c>
      <c r="AR171" s="29">
        <f t="shared" si="57"/>
        <v>0</v>
      </c>
      <c r="AT171" s="12"/>
      <c r="AU171">
        <f t="shared" si="50"/>
        <v>0</v>
      </c>
      <c r="AV171">
        <f t="shared" si="51"/>
        <v>1</v>
      </c>
      <c r="AW171">
        <f t="shared" si="58"/>
        <v>1</v>
      </c>
      <c r="AX171">
        <f t="shared" si="45"/>
        <v>1</v>
      </c>
      <c r="AY171">
        <f t="shared" si="59"/>
        <v>1</v>
      </c>
      <c r="AZ171" s="28">
        <f t="shared" si="52"/>
        <v>1.6103063061039E-3</v>
      </c>
      <c r="BA171" s="28">
        <f t="shared" si="53"/>
        <v>-5.0339794669899995E-4</v>
      </c>
      <c r="BB171" s="28">
        <f t="shared" si="60"/>
        <v>1.1069083594049001E-3</v>
      </c>
      <c r="BC171" s="29">
        <f t="shared" si="61"/>
        <v>1.3104145765767E-3</v>
      </c>
      <c r="BE171" s="29">
        <f t="shared" si="62"/>
        <v>1.1069083594049001E-3</v>
      </c>
      <c r="BF171" s="29">
        <f t="shared" si="63"/>
        <v>1.3104145765767E-3</v>
      </c>
      <c r="BH171" s="29"/>
    </row>
    <row r="172" spans="1:60" x14ac:dyDescent="0.25">
      <c r="A172" s="1">
        <v>46273</v>
      </c>
      <c r="B172" s="33">
        <v>24.8</v>
      </c>
      <c r="C172" s="33">
        <v>19.84</v>
      </c>
      <c r="D172" s="15">
        <v>-8.0612660552466296E-4</v>
      </c>
      <c r="E172" s="15">
        <v>-1.00755676029982E-3</v>
      </c>
      <c r="F172" s="33">
        <v>0</v>
      </c>
      <c r="G172" s="33">
        <v>0.21299999999999999</v>
      </c>
      <c r="H172" s="33">
        <v>0</v>
      </c>
      <c r="I172" s="33">
        <v>0.51993400000000001</v>
      </c>
      <c r="J172" s="33">
        <v>0.21299999999999999</v>
      </c>
      <c r="K172" s="33">
        <v>0.51993400000000001</v>
      </c>
      <c r="L172" s="33">
        <v>25.013000000000002</v>
      </c>
      <c r="M172" s="33">
        <v>20.359933999999999</v>
      </c>
      <c r="N172" s="34">
        <v>0.79999999999999905</v>
      </c>
      <c r="O172" s="34">
        <v>0.80070241399324205</v>
      </c>
      <c r="P172" s="34">
        <v>0.80098615175482502</v>
      </c>
      <c r="Q172" s="34">
        <v>0.80072157948204603</v>
      </c>
      <c r="R172" s="33">
        <v>19.857419867032402</v>
      </c>
      <c r="S172" s="33">
        <v>19.872424435005598</v>
      </c>
      <c r="T172" s="33">
        <v>19.857497735257301</v>
      </c>
      <c r="U172" s="15">
        <v>8.7763225967190999E-4</v>
      </c>
      <c r="V172" s="15">
        <v>1.63296211057826E-3</v>
      </c>
      <c r="W172" s="15">
        <v>8.8155361867782304E-4</v>
      </c>
      <c r="X172" s="34">
        <v>0.81397409347139404</v>
      </c>
      <c r="Y172" s="34">
        <v>0.81414850939960204</v>
      </c>
      <c r="Z172" s="34">
        <v>0.81359674620126199</v>
      </c>
      <c r="AA172" s="34">
        <v>0.81400952008846095</v>
      </c>
      <c r="AB172" s="33">
        <v>20.364296665612201</v>
      </c>
      <c r="AC172" s="33">
        <v>20.351740693264102</v>
      </c>
      <c r="AD172" s="33">
        <v>20.360828988080399</v>
      </c>
      <c r="AE172" s="15">
        <v>2.1425404765841201E-4</v>
      </c>
      <c r="AF172" s="15">
        <v>-4.0250404377516202E-4</v>
      </c>
      <c r="AG172" s="15">
        <v>4.3957333551430202E-5</v>
      </c>
      <c r="AI172" s="12"/>
      <c r="AJ172">
        <f t="shared" si="46"/>
        <v>0</v>
      </c>
      <c r="AK172">
        <f t="shared" si="47"/>
        <v>1</v>
      </c>
      <c r="AL172">
        <f t="shared" si="54"/>
        <v>0</v>
      </c>
      <c r="AM172">
        <f t="shared" si="44"/>
        <v>1</v>
      </c>
      <c r="AN172">
        <f t="shared" si="55"/>
        <v>0</v>
      </c>
      <c r="AO172" s="28">
        <f t="shared" si="48"/>
        <v>0</v>
      </c>
      <c r="AP172" s="28">
        <f t="shared" si="49"/>
        <v>0</v>
      </c>
      <c r="AQ172" s="28">
        <f t="shared" si="56"/>
        <v>0</v>
      </c>
      <c r="AR172" s="29">
        <f t="shared" si="57"/>
        <v>0</v>
      </c>
      <c r="AT172" s="12"/>
      <c r="AU172">
        <f t="shared" si="50"/>
        <v>0</v>
      </c>
      <c r="AV172">
        <f t="shared" si="51"/>
        <v>1</v>
      </c>
      <c r="AW172">
        <f t="shared" si="58"/>
        <v>0</v>
      </c>
      <c r="AX172">
        <f t="shared" si="45"/>
        <v>1</v>
      </c>
      <c r="AY172">
        <f t="shared" si="59"/>
        <v>0</v>
      </c>
      <c r="AZ172" s="28">
        <f t="shared" si="52"/>
        <v>0</v>
      </c>
      <c r="BA172" s="28">
        <f t="shared" si="53"/>
        <v>0</v>
      </c>
      <c r="BB172" s="28">
        <f t="shared" si="60"/>
        <v>0</v>
      </c>
      <c r="BC172" s="29">
        <f t="shared" si="61"/>
        <v>1.3104145765767E-3</v>
      </c>
      <c r="BE172" s="29">
        <f t="shared" si="62"/>
        <v>0</v>
      </c>
      <c r="BF172" s="29">
        <f t="shared" si="63"/>
        <v>1.3104145765767E-3</v>
      </c>
      <c r="BH172" s="29"/>
    </row>
    <row r="173" spans="1:60" x14ac:dyDescent="0.25">
      <c r="A173" s="1">
        <v>46274</v>
      </c>
      <c r="B173" s="33">
        <v>24.76</v>
      </c>
      <c r="C173" s="33">
        <v>19.8</v>
      </c>
      <c r="D173" s="15">
        <v>-1.6142053545411101E-3</v>
      </c>
      <c r="E173" s="15">
        <v>-2.0181641562371198E-3</v>
      </c>
      <c r="F173" s="33">
        <v>0</v>
      </c>
      <c r="G173" s="33">
        <v>0.21299999999999999</v>
      </c>
      <c r="H173" s="33">
        <v>0</v>
      </c>
      <c r="I173" s="33">
        <v>0.51993400000000001</v>
      </c>
      <c r="J173" s="33">
        <v>0.21299999999999999</v>
      </c>
      <c r="K173" s="33">
        <v>0.51993400000000001</v>
      </c>
      <c r="L173" s="33">
        <v>24.972999999999999</v>
      </c>
      <c r="M173" s="33">
        <v>20.319934</v>
      </c>
      <c r="N173" s="34">
        <v>0.79967689822293997</v>
      </c>
      <c r="O173" s="34">
        <v>0.80070241399324205</v>
      </c>
      <c r="P173" s="34">
        <v>0.800713841577119</v>
      </c>
      <c r="Q173" s="34">
        <v>0.80071343079831703</v>
      </c>
      <c r="R173" s="33">
        <v>19.825391770472599</v>
      </c>
      <c r="S173" s="33">
        <v>19.832417117449399</v>
      </c>
      <c r="T173" s="33">
        <v>19.825866307975399</v>
      </c>
      <c r="U173" s="15">
        <v>1.2815910613680999E-3</v>
      </c>
      <c r="V173" s="15">
        <v>1.6358893570786899E-3</v>
      </c>
      <c r="W173" s="15">
        <v>1.30552661982462E-3</v>
      </c>
      <c r="X173" s="34">
        <v>0.81367613022063801</v>
      </c>
      <c r="Y173" s="34">
        <v>0.81414850939960204</v>
      </c>
      <c r="Z173" s="34">
        <v>0.81360222857643705</v>
      </c>
      <c r="AA173" s="34">
        <v>0.81398685622218703</v>
      </c>
      <c r="AB173" s="33">
        <v>20.331730725236199</v>
      </c>
      <c r="AC173" s="33">
        <v>20.317951542884099</v>
      </c>
      <c r="AD173" s="33">
        <v>20.328259745169099</v>
      </c>
      <c r="AE173" s="15">
        <v>5.8038093382589099E-4</v>
      </c>
      <c r="AF173" s="15">
        <v>-9.7566942323299598E-5</v>
      </c>
      <c r="AG173" s="15">
        <v>4.0964896682871098E-4</v>
      </c>
      <c r="AI173" s="12"/>
      <c r="AJ173">
        <f t="shared" si="46"/>
        <v>0</v>
      </c>
      <c r="AK173">
        <f t="shared" si="47"/>
        <v>1</v>
      </c>
      <c r="AL173">
        <f t="shared" si="54"/>
        <v>0</v>
      </c>
      <c r="AM173">
        <f t="shared" si="44"/>
        <v>1</v>
      </c>
      <c r="AN173">
        <f t="shared" si="55"/>
        <v>0</v>
      </c>
      <c r="AO173" s="28">
        <f t="shared" si="48"/>
        <v>0</v>
      </c>
      <c r="AP173" s="28">
        <f t="shared" si="49"/>
        <v>0</v>
      </c>
      <c r="AQ173" s="28">
        <f t="shared" si="56"/>
        <v>0</v>
      </c>
      <c r="AR173" s="29">
        <f t="shared" si="57"/>
        <v>0</v>
      </c>
      <c r="AT173" s="12"/>
      <c r="AU173">
        <f t="shared" si="50"/>
        <v>0</v>
      </c>
      <c r="AV173">
        <f t="shared" si="51"/>
        <v>0</v>
      </c>
      <c r="AW173">
        <f t="shared" si="58"/>
        <v>0</v>
      </c>
      <c r="AX173">
        <f t="shared" si="45"/>
        <v>1</v>
      </c>
      <c r="AY173">
        <f t="shared" si="59"/>
        <v>0</v>
      </c>
      <c r="AZ173" s="28">
        <f t="shared" si="52"/>
        <v>0</v>
      </c>
      <c r="BA173" s="28">
        <f t="shared" si="53"/>
        <v>0</v>
      </c>
      <c r="BB173" s="28">
        <f t="shared" si="60"/>
        <v>0</v>
      </c>
      <c r="BC173" s="29">
        <f t="shared" si="61"/>
        <v>1.3104145765767E-3</v>
      </c>
      <c r="BE173" s="29">
        <f t="shared" si="62"/>
        <v>0</v>
      </c>
      <c r="BF173" s="29">
        <f t="shared" si="63"/>
        <v>1.3104145765767E-3</v>
      </c>
      <c r="BH173" s="29"/>
    </row>
    <row r="174" spans="1:60" x14ac:dyDescent="0.25">
      <c r="A174" s="1">
        <v>46275</v>
      </c>
      <c r="B174" s="33">
        <v>24.62</v>
      </c>
      <c r="C174" s="33">
        <v>19.690000000000001</v>
      </c>
      <c r="D174" s="15">
        <v>-5.6703270600879001E-3</v>
      </c>
      <c r="E174" s="15">
        <v>-5.5710450494553601E-3</v>
      </c>
      <c r="F174" s="33">
        <v>0</v>
      </c>
      <c r="G174" s="33">
        <v>0.21299999999999999</v>
      </c>
      <c r="H174" s="33">
        <v>0</v>
      </c>
      <c r="I174" s="33">
        <v>0.51993400000000001</v>
      </c>
      <c r="J174" s="33">
        <v>0.21299999999999999</v>
      </c>
      <c r="K174" s="33">
        <v>0.51993400000000001</v>
      </c>
      <c r="L174" s="33">
        <v>24.832999999999998</v>
      </c>
      <c r="M174" s="33">
        <v>20.209934000000001</v>
      </c>
      <c r="N174" s="34">
        <v>0.79975629569455697</v>
      </c>
      <c r="O174" s="34">
        <v>0.80070241399324205</v>
      </c>
      <c r="P174" s="34">
        <v>0.80044107371067796</v>
      </c>
      <c r="Q174" s="34">
        <v>0.80070124558304501</v>
      </c>
      <c r="R174" s="33">
        <v>19.713293432513598</v>
      </c>
      <c r="S174" s="33">
        <v>19.713574779628601</v>
      </c>
      <c r="T174" s="33">
        <v>19.713564666254499</v>
      </c>
      <c r="U174" s="15">
        <v>1.18230905073563E-3</v>
      </c>
      <c r="V174" s="15">
        <v>1.19658089771861E-3</v>
      </c>
      <c r="W174" s="15">
        <v>1.1960678818489299E-3</v>
      </c>
      <c r="X174" s="34">
        <v>0.813833769580799</v>
      </c>
      <c r="Y174" s="34">
        <v>0.81414850939960204</v>
      </c>
      <c r="Z174" s="34">
        <v>0.81361336543599905</v>
      </c>
      <c r="AA174" s="34">
        <v>0.81396467472232603</v>
      </c>
      <c r="AB174" s="33">
        <v>20.217749933920299</v>
      </c>
      <c r="AC174" s="33">
        <v>20.204184142238599</v>
      </c>
      <c r="AD174" s="33">
        <v>20.213735600565499</v>
      </c>
      <c r="AE174" s="15">
        <v>3.8666246775244801E-4</v>
      </c>
      <c r="AF174" s="15">
        <v>-2.8454698825228599E-4</v>
      </c>
      <c r="AG174" s="15">
        <v>1.8808785121964301E-4</v>
      </c>
      <c r="AI174" s="12"/>
      <c r="AJ174">
        <f t="shared" si="46"/>
        <v>0</v>
      </c>
      <c r="AK174">
        <f t="shared" si="47"/>
        <v>1</v>
      </c>
      <c r="AL174">
        <f t="shared" si="54"/>
        <v>0</v>
      </c>
      <c r="AM174">
        <f t="shared" si="44"/>
        <v>1</v>
      </c>
      <c r="AN174">
        <f t="shared" si="55"/>
        <v>0</v>
      </c>
      <c r="AO174" s="28">
        <f t="shared" si="48"/>
        <v>0</v>
      </c>
      <c r="AP174" s="28">
        <f t="shared" si="49"/>
        <v>0</v>
      </c>
      <c r="AQ174" s="28">
        <f t="shared" si="56"/>
        <v>0</v>
      </c>
      <c r="AR174" s="29">
        <f t="shared" si="57"/>
        <v>0</v>
      </c>
      <c r="AT174" s="12"/>
      <c r="AU174">
        <f t="shared" si="50"/>
        <v>0</v>
      </c>
      <c r="AV174">
        <f t="shared" si="51"/>
        <v>1</v>
      </c>
      <c r="AW174">
        <f t="shared" si="58"/>
        <v>0</v>
      </c>
      <c r="AX174">
        <f t="shared" si="45"/>
        <v>1</v>
      </c>
      <c r="AY174">
        <f t="shared" si="59"/>
        <v>0</v>
      </c>
      <c r="AZ174" s="28">
        <f t="shared" si="52"/>
        <v>0</v>
      </c>
      <c r="BA174" s="28">
        <f t="shared" si="53"/>
        <v>0</v>
      </c>
      <c r="BB174" s="28">
        <f t="shared" si="60"/>
        <v>0</v>
      </c>
      <c r="BC174" s="29">
        <f t="shared" si="61"/>
        <v>1.3104145765767E-3</v>
      </c>
      <c r="BE174" s="29">
        <f t="shared" si="62"/>
        <v>0</v>
      </c>
      <c r="BF174" s="29">
        <f t="shared" si="63"/>
        <v>1.3104145765767E-3</v>
      </c>
      <c r="BH174" s="29"/>
    </row>
    <row r="175" spans="1:60" x14ac:dyDescent="0.25">
      <c r="A175" s="1">
        <v>46276</v>
      </c>
      <c r="B175" s="33">
        <v>24.59</v>
      </c>
      <c r="C175" s="33">
        <v>19.66</v>
      </c>
      <c r="D175" s="15">
        <v>-1.21926452820629E-3</v>
      </c>
      <c r="E175" s="15">
        <v>-1.5247779320136899E-3</v>
      </c>
      <c r="F175" s="33">
        <v>0</v>
      </c>
      <c r="G175" s="33">
        <v>0.21299999999999999</v>
      </c>
      <c r="H175" s="33">
        <v>0</v>
      </c>
      <c r="I175" s="33">
        <v>0.51993400000000001</v>
      </c>
      <c r="J175" s="33">
        <v>0.21299999999999999</v>
      </c>
      <c r="K175" s="33">
        <v>0.51993400000000001</v>
      </c>
      <c r="L175" s="33">
        <v>24.803000000000001</v>
      </c>
      <c r="M175" s="33">
        <v>20.179933999999999</v>
      </c>
      <c r="N175" s="34">
        <v>0.79951199674664497</v>
      </c>
      <c r="O175" s="34">
        <v>0.80070241399324205</v>
      </c>
      <c r="P175" s="34">
        <v>0.80015179242341805</v>
      </c>
      <c r="Q175" s="34">
        <v>0.80065290288246804</v>
      </c>
      <c r="R175" s="33">
        <v>19.689272360093799</v>
      </c>
      <c r="S175" s="33">
        <v>19.682846002545499</v>
      </c>
      <c r="T175" s="33">
        <v>19.689243628886999</v>
      </c>
      <c r="U175" s="15">
        <v>1.4878224545428699E-3</v>
      </c>
      <c r="V175" s="15">
        <v>1.16138039998425E-3</v>
      </c>
      <c r="W175" s="15">
        <v>1.4863632219627399E-3</v>
      </c>
      <c r="X175" s="34">
        <v>0.81360859573438604</v>
      </c>
      <c r="Y175" s="34">
        <v>0.81414850939960204</v>
      </c>
      <c r="Z175" s="34">
        <v>0.81360938774837999</v>
      </c>
      <c r="AA175" s="34">
        <v>0.81390910625653401</v>
      </c>
      <c r="AB175" s="33">
        <v>20.1933254786383</v>
      </c>
      <c r="AC175" s="33">
        <v>20.180052302909001</v>
      </c>
      <c r="AD175" s="33">
        <v>20.1887658271378</v>
      </c>
      <c r="AE175" s="15">
        <v>6.6338360104553097E-4</v>
      </c>
      <c r="AF175" s="15">
        <v>5.8623859879785501E-6</v>
      </c>
      <c r="AG175" s="15">
        <v>4.37558173367211E-4</v>
      </c>
      <c r="AI175" s="12"/>
      <c r="AJ175">
        <f t="shared" si="46"/>
        <v>0</v>
      </c>
      <c r="AK175">
        <f t="shared" si="47"/>
        <v>1</v>
      </c>
      <c r="AL175">
        <f t="shared" si="54"/>
        <v>0</v>
      </c>
      <c r="AM175">
        <f t="shared" si="44"/>
        <v>1</v>
      </c>
      <c r="AN175">
        <f t="shared" si="55"/>
        <v>0</v>
      </c>
      <c r="AO175" s="28">
        <f t="shared" si="48"/>
        <v>0</v>
      </c>
      <c r="AP175" s="28">
        <f t="shared" si="49"/>
        <v>0</v>
      </c>
      <c r="AQ175" s="28">
        <f t="shared" si="56"/>
        <v>0</v>
      </c>
      <c r="AR175" s="29">
        <f t="shared" si="57"/>
        <v>0</v>
      </c>
      <c r="AT175" s="12"/>
      <c r="AU175">
        <f t="shared" si="50"/>
        <v>0</v>
      </c>
      <c r="AV175">
        <f t="shared" si="51"/>
        <v>0</v>
      </c>
      <c r="AW175">
        <f t="shared" si="58"/>
        <v>0</v>
      </c>
      <c r="AX175">
        <f t="shared" si="45"/>
        <v>1</v>
      </c>
      <c r="AY175">
        <f t="shared" si="59"/>
        <v>0</v>
      </c>
      <c r="AZ175" s="28">
        <f t="shared" si="52"/>
        <v>0</v>
      </c>
      <c r="BA175" s="28">
        <f t="shared" si="53"/>
        <v>0</v>
      </c>
      <c r="BB175" s="28">
        <f t="shared" si="60"/>
        <v>0</v>
      </c>
      <c r="BC175" s="29">
        <f t="shared" si="61"/>
        <v>1.3104145765767E-3</v>
      </c>
      <c r="BE175" s="29">
        <f t="shared" si="62"/>
        <v>0</v>
      </c>
      <c r="BF175" s="29">
        <f t="shared" si="63"/>
        <v>1.3104145765767E-3</v>
      </c>
      <c r="BH175" s="29"/>
    </row>
    <row r="176" spans="1:60" x14ac:dyDescent="0.25">
      <c r="A176" s="1">
        <v>46279</v>
      </c>
      <c r="B176" s="33">
        <v>24.55</v>
      </c>
      <c r="C176" s="33">
        <v>19.64</v>
      </c>
      <c r="D176" s="15">
        <v>-1.6280019875715901E-3</v>
      </c>
      <c r="E176" s="15">
        <v>-1.0178117927006E-3</v>
      </c>
      <c r="F176" s="33">
        <v>0</v>
      </c>
      <c r="G176" s="33">
        <v>0.21299999999999999</v>
      </c>
      <c r="H176" s="33">
        <v>0</v>
      </c>
      <c r="I176" s="33">
        <v>0.51993400000000001</v>
      </c>
      <c r="J176" s="33">
        <v>0.21299999999999999</v>
      </c>
      <c r="K176" s="33">
        <v>0.51993400000000001</v>
      </c>
      <c r="L176" s="33">
        <v>24.763000000000002</v>
      </c>
      <c r="M176" s="33">
        <v>20.159934</v>
      </c>
      <c r="N176" s="34">
        <v>0.8</v>
      </c>
      <c r="O176" s="34">
        <v>0.80070241399324205</v>
      </c>
      <c r="P176" s="34">
        <v>0.799966904963611</v>
      </c>
      <c r="Q176" s="34">
        <v>0.80064091726520803</v>
      </c>
      <c r="R176" s="33">
        <v>19.657244263534</v>
      </c>
      <c r="S176" s="33">
        <v>19.643726503994898</v>
      </c>
      <c r="T176" s="33">
        <v>19.656028765764599</v>
      </c>
      <c r="U176" s="15">
        <v>8.7763225967213204E-4</v>
      </c>
      <c r="V176" s="15">
        <v>1.8972253081610399E-4</v>
      </c>
      <c r="W176" s="15">
        <v>8.1579575122469195E-4</v>
      </c>
      <c r="X176" s="34">
        <v>0.814115171828938</v>
      </c>
      <c r="Y176" s="34">
        <v>0.81414850939960204</v>
      </c>
      <c r="Z176" s="34">
        <v>0.81370805274142</v>
      </c>
      <c r="AA176" s="34">
        <v>0.813889917533972</v>
      </c>
      <c r="AB176" s="33">
        <v>20.160759538262301</v>
      </c>
      <c r="AC176" s="33">
        <v>20.147409268813099</v>
      </c>
      <c r="AD176" s="33">
        <v>20.1548311982305</v>
      </c>
      <c r="AE176" s="15">
        <v>4.0948614223721E-5</v>
      </c>
      <c r="AF176" s="15">
        <v>-6.2146152905388199E-4</v>
      </c>
      <c r="AG176" s="15">
        <v>-2.5314803504868598E-4</v>
      </c>
      <c r="AI176" s="12"/>
      <c r="AJ176">
        <f t="shared" si="46"/>
        <v>0</v>
      </c>
      <c r="AK176">
        <f t="shared" si="47"/>
        <v>0</v>
      </c>
      <c r="AL176">
        <f t="shared" si="54"/>
        <v>0</v>
      </c>
      <c r="AM176">
        <f t="shared" si="44"/>
        <v>1</v>
      </c>
      <c r="AN176">
        <f t="shared" si="55"/>
        <v>0</v>
      </c>
      <c r="AO176" s="28">
        <f t="shared" si="48"/>
        <v>0</v>
      </c>
      <c r="AP176" s="28">
        <f t="shared" si="49"/>
        <v>0</v>
      </c>
      <c r="AQ176" s="28">
        <f t="shared" si="56"/>
        <v>0</v>
      </c>
      <c r="AR176" s="29">
        <f t="shared" si="57"/>
        <v>0</v>
      </c>
      <c r="AT176" s="12"/>
      <c r="AU176">
        <f t="shared" si="50"/>
        <v>0</v>
      </c>
      <c r="AV176">
        <f t="shared" si="51"/>
        <v>1</v>
      </c>
      <c r="AW176">
        <f t="shared" si="58"/>
        <v>0</v>
      </c>
      <c r="AX176">
        <f t="shared" si="45"/>
        <v>1</v>
      </c>
      <c r="AY176">
        <f t="shared" si="59"/>
        <v>0</v>
      </c>
      <c r="AZ176" s="28">
        <f t="shared" si="52"/>
        <v>0</v>
      </c>
      <c r="BA176" s="28">
        <f t="shared" si="53"/>
        <v>0</v>
      </c>
      <c r="BB176" s="28">
        <f t="shared" si="60"/>
        <v>0</v>
      </c>
      <c r="BC176" s="29">
        <f t="shared" si="61"/>
        <v>1.3104145765767E-3</v>
      </c>
      <c r="BE176" s="29">
        <f t="shared" si="62"/>
        <v>0</v>
      </c>
      <c r="BF176" s="29">
        <f t="shared" si="63"/>
        <v>1.3104145765767E-3</v>
      </c>
      <c r="BH176" s="29"/>
    </row>
    <row r="177" spans="1:100" x14ac:dyDescent="0.25">
      <c r="A177">
        <v>46280</v>
      </c>
      <c r="B177" s="33">
        <v>24.55</v>
      </c>
      <c r="C177" s="33">
        <v>19.63</v>
      </c>
      <c r="D177" s="15">
        <v>0</v>
      </c>
      <c r="E177" s="15">
        <v>-5.0929463795022399E-4</v>
      </c>
      <c r="F177" s="33">
        <v>0</v>
      </c>
      <c r="G177" s="33">
        <v>0.21299999999999999</v>
      </c>
      <c r="H177" s="33">
        <v>0</v>
      </c>
      <c r="I177" s="33">
        <v>0.51993400000000001</v>
      </c>
      <c r="J177" s="33">
        <v>0.21299999999999999</v>
      </c>
      <c r="K177" s="33">
        <v>0.51993400000000001</v>
      </c>
      <c r="L177" s="33">
        <v>24.763000000000002</v>
      </c>
      <c r="M177" s="33">
        <v>20.149933999999998</v>
      </c>
      <c r="N177" s="34">
        <v>0.79959266802443896</v>
      </c>
      <c r="O177" s="34">
        <v>0.80070241399324205</v>
      </c>
      <c r="P177" s="34">
        <v>0.79972496452259501</v>
      </c>
      <c r="Q177" s="34">
        <v>0.80059656026259196</v>
      </c>
      <c r="R177" s="33">
        <v>19.657244263534</v>
      </c>
      <c r="S177" s="33">
        <v>19.639187516856602</v>
      </c>
      <c r="T177" s="33">
        <v>19.6557345188608</v>
      </c>
      <c r="U177" s="15">
        <v>1.3869268976221599E-3</v>
      </c>
      <c r="V177" s="15">
        <v>4.6792498675258301E-4</v>
      </c>
      <c r="W177" s="15">
        <v>1.31012047283741E-3</v>
      </c>
      <c r="X177" s="34">
        <v>0.81371134353672803</v>
      </c>
      <c r="Y177" s="34">
        <v>0.81414850939960204</v>
      </c>
      <c r="Z177" s="34">
        <v>0.81374880366134505</v>
      </c>
      <c r="AA177" s="34">
        <v>0.81383802201830202</v>
      </c>
      <c r="AB177" s="33">
        <v>20.160759538262301</v>
      </c>
      <c r="AC177" s="33">
        <v>20.1498525100357</v>
      </c>
      <c r="AD177" s="33">
        <v>20.154356027893702</v>
      </c>
      <c r="AE177" s="15">
        <v>5.3710504942435097E-4</v>
      </c>
      <c r="AF177" s="15">
        <v>-4.0441883826617104E-6</v>
      </c>
      <c r="AG177" s="15">
        <v>2.1943212042435501E-4</v>
      </c>
      <c r="CG177" s="28"/>
      <c r="CH177" s="28"/>
      <c r="CI177" s="28"/>
      <c r="CJ177" s="29"/>
      <c r="CL177" s="28"/>
      <c r="CS177" s="28"/>
      <c r="CT177" s="28"/>
      <c r="CU177" s="28"/>
      <c r="CV177" s="29"/>
    </row>
    <row r="178" spans="1:100" x14ac:dyDescent="0.25">
      <c r="A178">
        <v>46281</v>
      </c>
      <c r="B178" s="33">
        <v>24.52</v>
      </c>
      <c r="C178" s="33">
        <v>19.61</v>
      </c>
      <c r="D178" s="15">
        <v>-1.22274317251895E-3</v>
      </c>
      <c r="E178" s="15">
        <v>-1.0193680801147899E-3</v>
      </c>
      <c r="F178" s="33">
        <v>0</v>
      </c>
      <c r="G178" s="33">
        <v>0.21299999999999999</v>
      </c>
      <c r="H178" s="33">
        <v>0</v>
      </c>
      <c r="I178" s="33">
        <v>0.51993400000000001</v>
      </c>
      <c r="J178" s="33">
        <v>0.21299999999999999</v>
      </c>
      <c r="K178" s="33">
        <v>0.51993400000000001</v>
      </c>
      <c r="L178" s="33">
        <v>24.733000000000001</v>
      </c>
      <c r="M178" s="33">
        <v>20.129933999999999</v>
      </c>
      <c r="N178" s="34">
        <v>0.79975530179445298</v>
      </c>
      <c r="O178" s="34">
        <v>0.80070241399324205</v>
      </c>
      <c r="P178" s="34">
        <v>0.79970856247130195</v>
      </c>
      <c r="Q178" s="34">
        <v>0.80057233973505504</v>
      </c>
      <c r="R178" s="33">
        <v>19.633223191114201</v>
      </c>
      <c r="S178" s="33">
        <v>19.609256130094</v>
      </c>
      <c r="T178" s="33">
        <v>19.630627657638701</v>
      </c>
      <c r="U178" s="15">
        <v>1.18355180521792E-3</v>
      </c>
      <c r="V178" s="15">
        <v>-3.7933912035040099E-5</v>
      </c>
      <c r="W178" s="15">
        <v>1.0513419774400899E-3</v>
      </c>
      <c r="X178" s="34">
        <v>0.81388970201754696</v>
      </c>
      <c r="Y178" s="34">
        <v>0.81414850939960204</v>
      </c>
      <c r="Z178" s="34">
        <v>0.81374780465940499</v>
      </c>
      <c r="AA178" s="34">
        <v>0.81380755980517105</v>
      </c>
      <c r="AB178" s="33">
        <v>20.136335082980299</v>
      </c>
      <c r="AC178" s="33">
        <v>20.126449160956</v>
      </c>
      <c r="AD178" s="33">
        <v>20.128655798578599</v>
      </c>
      <c r="AE178" s="15">
        <v>3.1793772703873999E-4</v>
      </c>
      <c r="AF178" s="15">
        <v>-1.73132247807935E-4</v>
      </c>
      <c r="AG178" s="15">
        <v>-6.3499562610099198E-5</v>
      </c>
      <c r="CG178" s="28"/>
      <c r="CH178" s="28"/>
      <c r="CI178" s="28"/>
      <c r="CJ178" s="29"/>
      <c r="CL178" s="28"/>
      <c r="CS178" s="28"/>
      <c r="CT178" s="28"/>
      <c r="CU178" s="28"/>
      <c r="CV178" s="29"/>
    </row>
    <row r="179" spans="1:100" x14ac:dyDescent="0.25">
      <c r="A179">
        <v>46282</v>
      </c>
      <c r="B179" s="33">
        <v>24.57</v>
      </c>
      <c r="C179" s="33">
        <v>19.66</v>
      </c>
      <c r="D179" s="15">
        <v>2.0370754650771402E-3</v>
      </c>
      <c r="E179" s="15">
        <v>2.5464745107656702E-3</v>
      </c>
      <c r="F179" s="33">
        <v>0</v>
      </c>
      <c r="G179" s="33">
        <v>0.21299999999999999</v>
      </c>
      <c r="H179" s="33">
        <v>0</v>
      </c>
      <c r="I179" s="33">
        <v>0.51993400000000001</v>
      </c>
      <c r="J179" s="33">
        <v>0.21299999999999999</v>
      </c>
      <c r="K179" s="33">
        <v>0.51993400000000001</v>
      </c>
      <c r="L179" s="33">
        <v>24.783000000000001</v>
      </c>
      <c r="M179" s="33">
        <v>20.179933999999999</v>
      </c>
      <c r="N179" s="34">
        <v>0.80016280016279995</v>
      </c>
      <c r="O179" s="34">
        <v>0.80070241399324205</v>
      </c>
      <c r="P179" s="34">
        <v>0.79978930662940295</v>
      </c>
      <c r="Q179" s="34">
        <v>0.80056051966335495</v>
      </c>
      <c r="R179" s="33">
        <v>19.6732583118139</v>
      </c>
      <c r="S179" s="33">
        <v>19.648839379919799</v>
      </c>
      <c r="T179" s="33">
        <v>19.670062387290301</v>
      </c>
      <c r="U179" s="15">
        <v>6.7415275952947796E-4</v>
      </c>
      <c r="V179" s="15">
        <v>-5.6784278325433101E-4</v>
      </c>
      <c r="W179" s="15">
        <v>5.1168937444272602E-4</v>
      </c>
      <c r="X179" s="34">
        <v>0.81426518177783103</v>
      </c>
      <c r="Y179" s="34">
        <v>0.81414850939960204</v>
      </c>
      <c r="Z179" s="34">
        <v>0.81384194557517398</v>
      </c>
      <c r="AA179" s="34">
        <v>0.813788501360589</v>
      </c>
      <c r="AB179" s="33">
        <v>20.177042508450299</v>
      </c>
      <c r="AC179" s="33">
        <v>20.167111842874</v>
      </c>
      <c r="AD179" s="33">
        <v>20.168592754651499</v>
      </c>
      <c r="AE179" s="15">
        <v>-1.4329574734106901E-4</v>
      </c>
      <c r="AF179" s="15">
        <v>-6.3559337690052397E-4</v>
      </c>
      <c r="AG179" s="15">
        <v>-5.6216405203995501E-4</v>
      </c>
      <c r="CG179" s="28"/>
      <c r="CH179" s="28"/>
      <c r="CI179" s="28"/>
      <c r="CJ179" s="29"/>
      <c r="CL179" s="28"/>
      <c r="CS179" s="28"/>
      <c r="CT179" s="28"/>
      <c r="CU179" s="28"/>
      <c r="CV179" s="29"/>
    </row>
    <row r="180" spans="1:100" x14ac:dyDescent="0.25">
      <c r="A180">
        <v>46283</v>
      </c>
      <c r="B180" s="33">
        <v>24.51</v>
      </c>
      <c r="C180" s="33">
        <v>19.600000000000001</v>
      </c>
      <c r="D180" s="15">
        <v>-2.44498899306653E-3</v>
      </c>
      <c r="E180" s="15">
        <v>-3.0565484825488699E-3</v>
      </c>
      <c r="F180" s="33">
        <v>0</v>
      </c>
      <c r="G180" s="33">
        <v>0.21299999999999999</v>
      </c>
      <c r="H180" s="33">
        <v>0</v>
      </c>
      <c r="I180" s="33">
        <v>0.51993400000000001</v>
      </c>
      <c r="J180" s="33">
        <v>0.21299999999999999</v>
      </c>
      <c r="K180" s="33">
        <v>0.51993400000000001</v>
      </c>
      <c r="L180" s="33">
        <v>24.722999999999999</v>
      </c>
      <c r="M180" s="33">
        <v>20.119934000000001</v>
      </c>
      <c r="N180" s="34">
        <v>0.79967360261117904</v>
      </c>
      <c r="O180" s="34">
        <v>0.80070241399324205</v>
      </c>
      <c r="P180" s="34">
        <v>0.79982907236115597</v>
      </c>
      <c r="Q180" s="34">
        <v>0.80055219020542001</v>
      </c>
      <c r="R180" s="33">
        <v>19.625216166974301</v>
      </c>
      <c r="S180" s="33">
        <v>19.6028359054866</v>
      </c>
      <c r="T180" s="33">
        <v>19.621738336948798</v>
      </c>
      <c r="U180" s="15">
        <v>1.28571224901178E-3</v>
      </c>
      <c r="V180" s="15">
        <v>1.44678588990818E-4</v>
      </c>
      <c r="W180" s="15">
        <v>1.10848422820985E-3</v>
      </c>
      <c r="X180" s="34">
        <v>0.81381442381587898</v>
      </c>
      <c r="Y180" s="34">
        <v>0.81414850939960204</v>
      </c>
      <c r="Z180" s="34">
        <v>0.81390111299963697</v>
      </c>
      <c r="AA180" s="34">
        <v>0.81377415674359699</v>
      </c>
      <c r="AB180" s="33">
        <v>20.128193597886298</v>
      </c>
      <c r="AC180" s="33">
        <v>20.120614420454999</v>
      </c>
      <c r="AD180" s="33">
        <v>20.119293119137801</v>
      </c>
      <c r="AE180" s="15">
        <v>4.1043390066928799E-4</v>
      </c>
      <c r="AF180" s="15">
        <v>3.3817653178423497E-5</v>
      </c>
      <c r="AG180" s="15">
        <v>-3.1853537361140199E-5</v>
      </c>
    </row>
    <row r="181" spans="1:100" x14ac:dyDescent="0.25">
      <c r="A181">
        <v>46286</v>
      </c>
      <c r="B181" s="33">
        <v>24.46</v>
      </c>
      <c r="C181" s="33">
        <v>19.64</v>
      </c>
      <c r="D181" s="15">
        <v>-2.0420672809949299E-3</v>
      </c>
      <c r="E181" s="15">
        <v>2.0387366898483002E-3</v>
      </c>
      <c r="F181" s="33">
        <v>8.6999999999999994E-2</v>
      </c>
      <c r="G181" s="33">
        <v>0.3</v>
      </c>
      <c r="H181" s="33">
        <v>0</v>
      </c>
      <c r="I181" s="33">
        <v>0.51993400000000001</v>
      </c>
      <c r="J181" s="33">
        <v>0.3</v>
      </c>
      <c r="K181" s="33">
        <v>0.51993400000000001</v>
      </c>
      <c r="L181" s="33">
        <v>24.76</v>
      </c>
      <c r="M181" s="33">
        <v>20.159934</v>
      </c>
      <c r="N181" s="34">
        <v>0.80294358135731803</v>
      </c>
      <c r="O181" s="34">
        <v>0.80070241399324205</v>
      </c>
      <c r="P181" s="34">
        <v>0.80010731446143302</v>
      </c>
      <c r="Q181" s="34">
        <v>0.80070737567840999</v>
      </c>
      <c r="R181" s="33">
        <v>19.585181046274698</v>
      </c>
      <c r="S181" s="33">
        <v>19.563819109953801</v>
      </c>
      <c r="T181" s="33">
        <v>19.581506572424502</v>
      </c>
      <c r="U181" s="15">
        <v>-2.7950917218311599E-3</v>
      </c>
      <c r="V181" s="15">
        <v>-3.8864063585105201E-3</v>
      </c>
      <c r="W181" s="15">
        <v>-2.9827243292483499E-3</v>
      </c>
      <c r="X181" s="34">
        <v>0.81421381260096903</v>
      </c>
      <c r="Y181" s="34">
        <v>0.81414850939960204</v>
      </c>
      <c r="Z181" s="34">
        <v>0.81391022245851097</v>
      </c>
      <c r="AA181" s="34">
        <v>0.81377837699634004</v>
      </c>
      <c r="AB181" s="33">
        <v>20.158317092734102</v>
      </c>
      <c r="AC181" s="33">
        <v>20.152191557870999</v>
      </c>
      <c r="AD181" s="33">
        <v>20.149048120971401</v>
      </c>
      <c r="AE181" s="15">
        <v>-8.0207212509980505E-5</v>
      </c>
      <c r="AF181" s="15">
        <v>-3.8412473254833499E-4</v>
      </c>
      <c r="AG181" s="15">
        <v>-5.4012176544178002E-4</v>
      </c>
    </row>
    <row r="182" spans="1:100" x14ac:dyDescent="0.25">
      <c r="A182">
        <v>46287</v>
      </c>
      <c r="B182" s="33">
        <v>24.48</v>
      </c>
      <c r="C182" s="33">
        <v>19.64</v>
      </c>
      <c r="D182" s="15">
        <v>8.1732738509901102E-4</v>
      </c>
      <c r="E182" s="15">
        <v>0</v>
      </c>
      <c r="F182" s="33">
        <v>0</v>
      </c>
      <c r="G182" s="33">
        <v>0.3</v>
      </c>
      <c r="H182" s="33">
        <v>0</v>
      </c>
      <c r="I182" s="33">
        <v>0.51993400000000001</v>
      </c>
      <c r="J182" s="33">
        <v>0.3</v>
      </c>
      <c r="K182" s="33">
        <v>0.51993400000000001</v>
      </c>
      <c r="L182" s="33">
        <v>24.78</v>
      </c>
      <c r="M182" s="33">
        <v>20.159934</v>
      </c>
      <c r="N182" s="34">
        <v>0.802287581699346</v>
      </c>
      <c r="O182" s="34">
        <v>0.80070241399324205</v>
      </c>
      <c r="P182" s="34">
        <v>0.80033607263136797</v>
      </c>
      <c r="Q182" s="34">
        <v>0.80066111219309699</v>
      </c>
      <c r="R182" s="33">
        <v>19.601195094554502</v>
      </c>
      <c r="S182" s="33">
        <v>19.5866270580158</v>
      </c>
      <c r="T182" s="33">
        <v>19.601316556607401</v>
      </c>
      <c r="U182" s="15">
        <v>-1.9777643367321698E-3</v>
      </c>
      <c r="V182" s="15">
        <v>-2.7212625159907401E-3</v>
      </c>
      <c r="W182" s="15">
        <v>-1.9715676902515799E-3</v>
      </c>
      <c r="X182" s="34">
        <v>0.81355665859564097</v>
      </c>
      <c r="Y182" s="34">
        <v>0.81414850939960204</v>
      </c>
      <c r="Z182" s="34">
        <v>0.81386847897093595</v>
      </c>
      <c r="AA182" s="34">
        <v>0.81373261258609897</v>
      </c>
      <c r="AB182" s="33">
        <v>20.174600062922099</v>
      </c>
      <c r="AC182" s="33">
        <v>20.168695312521901</v>
      </c>
      <c r="AD182" s="33">
        <v>20.1654281819693</v>
      </c>
      <c r="AE182" s="15">
        <v>7.2722117209102503E-4</v>
      </c>
      <c r="AF182" s="15">
        <v>4.3449593051386E-4</v>
      </c>
      <c r="AG182" s="15">
        <v>2.7249263024648699E-4</v>
      </c>
    </row>
    <row r="183" spans="1:100" x14ac:dyDescent="0.25">
      <c r="A183">
        <v>46288</v>
      </c>
      <c r="B183" s="33">
        <v>24.29</v>
      </c>
      <c r="C183" s="33">
        <v>19.5</v>
      </c>
      <c r="D183" s="15">
        <v>-7.7917146300442797E-3</v>
      </c>
      <c r="E183" s="15">
        <v>-7.1538373566187698E-3</v>
      </c>
      <c r="F183" s="33">
        <v>0</v>
      </c>
      <c r="G183" s="33">
        <v>0.3</v>
      </c>
      <c r="H183" s="33">
        <v>0</v>
      </c>
      <c r="I183" s="33">
        <v>0.51993400000000001</v>
      </c>
      <c r="J183" s="33">
        <v>0.3</v>
      </c>
      <c r="K183" s="33">
        <v>0.51993400000000001</v>
      </c>
      <c r="L183" s="33">
        <v>24.59</v>
      </c>
      <c r="M183" s="33">
        <v>20.019933999999999</v>
      </c>
      <c r="N183" s="34">
        <v>0.80279950596953398</v>
      </c>
      <c r="O183" s="34">
        <v>0.80070241399324205</v>
      </c>
      <c r="P183" s="34">
        <v>0.80064833340602704</v>
      </c>
      <c r="Q183" s="34">
        <v>0.80068108749157296</v>
      </c>
      <c r="R183" s="33">
        <v>19.449061635895799</v>
      </c>
      <c r="S183" s="33">
        <v>19.440163204215899</v>
      </c>
      <c r="T183" s="33">
        <v>19.448058415170301</v>
      </c>
      <c r="U183" s="15">
        <v>-2.61564161015775E-3</v>
      </c>
      <c r="V183" s="15">
        <v>-3.0732712940511201E-3</v>
      </c>
      <c r="W183" s="15">
        <v>-2.66722490087081E-3</v>
      </c>
      <c r="X183" s="34">
        <v>0.81414941032940202</v>
      </c>
      <c r="Y183" s="34">
        <v>0.81414850939960204</v>
      </c>
      <c r="Z183" s="34">
        <v>0.81391580698181198</v>
      </c>
      <c r="AA183" s="34">
        <v>0.81375901777912496</v>
      </c>
      <c r="AB183" s="33">
        <v>20.0199118461362</v>
      </c>
      <c r="AC183" s="33">
        <v>20.0130258978953</v>
      </c>
      <c r="AD183" s="33">
        <v>20.0096849434921</v>
      </c>
      <c r="AE183" s="15">
        <v>-1.1065908627040199E-6</v>
      </c>
      <c r="AF183" s="15">
        <v>-3.4512073006186201E-4</v>
      </c>
      <c r="AG183" s="15">
        <v>-5.1207365956941703E-4</v>
      </c>
    </row>
  </sheetData>
  <conditionalFormatting sqref="AJ2:AQ9">
    <cfRule type="top10" dxfId="2" priority="3" rank="3"/>
  </conditionalFormatting>
  <conditionalFormatting sqref="AU2:BB9">
    <cfRule type="top10" dxfId="1" priority="2" rank="3"/>
  </conditionalFormatting>
  <conditionalFormatting sqref="DM33:DT33 DM26:DP32 DR26:DT32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2026-09-28T18:07:14Z</dcterms:created>
  <dcterms:modified xsi:type="dcterms:W3CDTF">2026-09-28T18:07:14Z</dcterms:modified>
</cp:coreProperties>
</file>