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My Trading Data/"/>
    </mc:Choice>
  </mc:AlternateContent>
  <xr:revisionPtr revIDLastSave="0" documentId="8_{8AA6F9BA-E3D3-40FB-9A60-6FBF3123D2F4}" xr6:coauthVersionLast="47" xr6:coauthVersionMax="47" xr10:uidLastSave="{00000000-0000-0000-0000-000000000000}"/>
  <bookViews>
    <workbookView xWindow="-108" yWindow="-108" windowWidth="23256" windowHeight="12456" activeTab="6" xr2:uid="{9B195DD8-2D7C-41BC-9CD1-9A9431F57F94}"/>
  </bookViews>
  <sheets>
    <sheet name="Sheet1" sheetId="1" r:id="rId1"/>
    <sheet name="Consumer Staples" sheetId="5" r:id="rId2"/>
    <sheet name="Utilities" sheetId="2" r:id="rId3"/>
    <sheet name="Tech" sheetId="3" r:id="rId4"/>
    <sheet name="RE" sheetId="4" r:id="rId5"/>
    <sheet name="Energy" sheetId="6" r:id="rId6"/>
    <sheet name="Healthcar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3" i="5" l="1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G24" i="5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F24" i="5"/>
  <c r="F23" i="5"/>
  <c r="F22" i="5"/>
  <c r="G21" i="5"/>
  <c r="G22" i="5" s="1"/>
  <c r="G23" i="5" s="1"/>
  <c r="F21" i="5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G21" i="2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F21" i="2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H89" i="3" s="1"/>
  <c r="J89" i="3" s="1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G22" i="3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F22" i="3"/>
  <c r="G21" i="3"/>
  <c r="F21" i="3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G22" i="4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F22" i="4"/>
  <c r="G21" i="4"/>
  <c r="F21" i="4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H35" i="6" s="1"/>
  <c r="J35" i="6" s="1"/>
  <c r="F34" i="6"/>
  <c r="F33" i="6"/>
  <c r="F32" i="6"/>
  <c r="G31" i="6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F31" i="6"/>
  <c r="F30" i="6"/>
  <c r="F29" i="6"/>
  <c r="F28" i="6"/>
  <c r="F27" i="6"/>
  <c r="F26" i="6"/>
  <c r="F25" i="6"/>
  <c r="G24" i="6"/>
  <c r="G25" i="6" s="1"/>
  <c r="G26" i="6" s="1"/>
  <c r="G27" i="6" s="1"/>
  <c r="G28" i="6" s="1"/>
  <c r="G29" i="6" s="1"/>
  <c r="G30" i="6" s="1"/>
  <c r="F24" i="6"/>
  <c r="H24" i="6" s="1"/>
  <c r="J24" i="6" s="1"/>
  <c r="F23" i="6"/>
  <c r="G22" i="6"/>
  <c r="G23" i="6" s="1"/>
  <c r="F22" i="6"/>
  <c r="G21" i="6"/>
  <c r="F21" i="6"/>
  <c r="G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H130" i="8" s="1"/>
  <c r="J130" i="8" s="1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21" i="8"/>
  <c r="C119" i="8"/>
  <c r="C118" i="8"/>
  <c r="C117" i="8"/>
  <c r="C56" i="8"/>
  <c r="E56" i="8" s="1"/>
  <c r="H65" i="8" s="1"/>
  <c r="J65" i="8" s="1"/>
  <c r="C55" i="8"/>
  <c r="C119" i="6"/>
  <c r="C118" i="6"/>
  <c r="C117" i="6"/>
  <c r="C56" i="6"/>
  <c r="C55" i="6"/>
  <c r="C119" i="4"/>
  <c r="C118" i="4"/>
  <c r="C117" i="4"/>
  <c r="C56" i="4"/>
  <c r="C55" i="4"/>
  <c r="C119" i="3"/>
  <c r="C118" i="3"/>
  <c r="C117" i="3"/>
  <c r="C56" i="3"/>
  <c r="C55" i="3"/>
  <c r="E55" i="3" s="1"/>
  <c r="C117" i="2"/>
  <c r="C118" i="2"/>
  <c r="C119" i="2"/>
  <c r="C56" i="2"/>
  <c r="C55" i="2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H148" i="8" s="1"/>
  <c r="J148" i="8" s="1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H111" i="8" s="1"/>
  <c r="J111" i="8" s="1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H79" i="8" s="1"/>
  <c r="J79" i="8" s="1"/>
  <c r="E69" i="8"/>
  <c r="E68" i="8"/>
  <c r="H75" i="8" s="1"/>
  <c r="J75" i="8" s="1"/>
  <c r="E67" i="8"/>
  <c r="E66" i="8"/>
  <c r="E65" i="8"/>
  <c r="E64" i="8"/>
  <c r="E63" i="8"/>
  <c r="E62" i="8"/>
  <c r="E61" i="8"/>
  <c r="E60" i="8"/>
  <c r="E59" i="8"/>
  <c r="E58" i="8"/>
  <c r="E57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H37" i="8" s="1"/>
  <c r="J37" i="8" s="1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1" i="8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H149" i="6" s="1"/>
  <c r="J149" i="6" s="1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H104" i="6" s="1"/>
  <c r="J104" i="6" s="1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H71" i="6" s="1"/>
  <c r="J71" i="6" s="1"/>
  <c r="E61" i="6"/>
  <c r="E60" i="6"/>
  <c r="E59" i="6"/>
  <c r="E58" i="6"/>
  <c r="E57" i="6"/>
  <c r="E56" i="6"/>
  <c r="E55" i="6"/>
  <c r="H62" i="6" s="1"/>
  <c r="J62" i="6" s="1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" i="6"/>
  <c r="E163" i="4"/>
  <c r="E162" i="4"/>
  <c r="E161" i="4"/>
  <c r="E160" i="4"/>
  <c r="E159" i="4"/>
  <c r="E158" i="4"/>
  <c r="E157" i="4"/>
  <c r="E156" i="4"/>
  <c r="E155" i="4"/>
  <c r="H160" i="4" s="1"/>
  <c r="J160" i="4" s="1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H134" i="4" s="1"/>
  <c r="J134" i="4" s="1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H113" i="4" s="1"/>
  <c r="J113" i="4" s="1"/>
  <c r="E103" i="4"/>
  <c r="H106" i="4" s="1"/>
  <c r="J106" i="4" s="1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H98" i="4" s="1"/>
  <c r="J98" i="4" s="1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" i="4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" i="3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H155" i="2" s="1"/>
  <c r="J155" i="2" s="1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H91" i="2" s="1"/>
  <c r="J91" i="2" s="1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H72" i="2" s="1"/>
  <c r="J72" i="2" s="1"/>
  <c r="E65" i="2"/>
  <c r="E64" i="2"/>
  <c r="E63" i="2"/>
  <c r="E62" i="2"/>
  <c r="E61" i="2"/>
  <c r="E60" i="2"/>
  <c r="E59" i="2"/>
  <c r="E58" i="2"/>
  <c r="E57" i="2"/>
  <c r="E56" i="2"/>
  <c r="H65" i="2" s="1"/>
  <c r="J65" i="2" s="1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H37" i="2" s="1"/>
  <c r="J37" i="2" s="1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" i="2"/>
  <c r="E1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2" i="5"/>
  <c r="C119" i="5"/>
  <c r="E119" i="5" s="1"/>
  <c r="C118" i="5"/>
  <c r="E118" i="5" s="1"/>
  <c r="C56" i="5"/>
  <c r="C117" i="5"/>
  <c r="C55" i="5"/>
  <c r="H45" i="2" l="1"/>
  <c r="J45" i="2" s="1"/>
  <c r="H32" i="2"/>
  <c r="J32" i="2" s="1"/>
  <c r="H26" i="2"/>
  <c r="J26" i="2" s="1"/>
  <c r="H145" i="2"/>
  <c r="J145" i="2" s="1"/>
  <c r="H139" i="2"/>
  <c r="J139" i="2" s="1"/>
  <c r="H98" i="2"/>
  <c r="J98" i="2" s="1"/>
  <c r="H90" i="2"/>
  <c r="J90" i="2" s="1"/>
  <c r="H67" i="3"/>
  <c r="J67" i="3" s="1"/>
  <c r="H45" i="3"/>
  <c r="J45" i="3" s="1"/>
  <c r="H88" i="3"/>
  <c r="J88" i="3" s="1"/>
  <c r="H116" i="3"/>
  <c r="J116" i="3" s="1"/>
  <c r="H68" i="4"/>
  <c r="J68" i="4" s="1"/>
  <c r="H89" i="4"/>
  <c r="J89" i="4" s="1"/>
  <c r="H39" i="6"/>
  <c r="J39" i="6" s="1"/>
  <c r="H150" i="6"/>
  <c r="J150" i="6" s="1"/>
  <c r="H108" i="6"/>
  <c r="J108" i="6" s="1"/>
  <c r="H82" i="6"/>
  <c r="J82" i="6" s="1"/>
  <c r="H96" i="6"/>
  <c r="J96" i="6" s="1"/>
  <c r="H69" i="6"/>
  <c r="J69" i="6" s="1"/>
  <c r="H30" i="6"/>
  <c r="J30" i="6" s="1"/>
  <c r="H33" i="6"/>
  <c r="J33" i="6" s="1"/>
  <c r="H114" i="8"/>
  <c r="J114" i="8" s="1"/>
  <c r="H94" i="8"/>
  <c r="J94" i="8" s="1"/>
  <c r="H116" i="8"/>
  <c r="J116" i="8" s="1"/>
  <c r="H81" i="8"/>
  <c r="J81" i="8" s="1"/>
  <c r="H62" i="8"/>
  <c r="J62" i="8" s="1"/>
  <c r="H123" i="6"/>
  <c r="J123" i="6" s="1"/>
  <c r="H56" i="6"/>
  <c r="J56" i="6" s="1"/>
  <c r="H126" i="4"/>
  <c r="J126" i="4" s="1"/>
  <c r="H61" i="3"/>
  <c r="J61" i="3" s="1"/>
  <c r="H62" i="3"/>
  <c r="J62" i="3" s="1"/>
  <c r="H125" i="2"/>
  <c r="J125" i="2" s="1"/>
  <c r="H55" i="2"/>
  <c r="J55" i="2" s="1"/>
  <c r="H49" i="8"/>
  <c r="J49" i="8" s="1"/>
  <c r="H72" i="8"/>
  <c r="J72" i="8" s="1"/>
  <c r="H23" i="8"/>
  <c r="J23" i="8" s="1"/>
  <c r="H73" i="8"/>
  <c r="J73" i="8" s="1"/>
  <c r="H161" i="8"/>
  <c r="J161" i="8" s="1"/>
  <c r="H35" i="8"/>
  <c r="J35" i="8" s="1"/>
  <c r="H113" i="8"/>
  <c r="J113" i="8" s="1"/>
  <c r="H36" i="8"/>
  <c r="J36" i="8" s="1"/>
  <c r="H61" i="8"/>
  <c r="J61" i="8" s="1"/>
  <c r="H139" i="8"/>
  <c r="J139" i="8" s="1"/>
  <c r="H40" i="8"/>
  <c r="J40" i="8" s="1"/>
  <c r="H118" i="8"/>
  <c r="J118" i="8" s="1"/>
  <c r="H129" i="8"/>
  <c r="J129" i="8" s="1"/>
  <c r="H142" i="8"/>
  <c r="J142" i="8" s="1"/>
  <c r="H42" i="8"/>
  <c r="J42" i="8" s="1"/>
  <c r="H43" i="8"/>
  <c r="J43" i="8" s="1"/>
  <c r="H52" i="8"/>
  <c r="J52" i="8" s="1"/>
  <c r="H91" i="8"/>
  <c r="J91" i="8" s="1"/>
  <c r="H144" i="8"/>
  <c r="J144" i="8" s="1"/>
  <c r="H71" i="8"/>
  <c r="J71" i="8" s="1"/>
  <c r="H107" i="6"/>
  <c r="J107" i="6" s="1"/>
  <c r="H28" i="6"/>
  <c r="J28" i="6" s="1"/>
  <c r="H117" i="6"/>
  <c r="J117" i="6" s="1"/>
  <c r="H65" i="6"/>
  <c r="J65" i="6" s="1"/>
  <c r="H105" i="6"/>
  <c r="J105" i="6" s="1"/>
  <c r="H131" i="6"/>
  <c r="J131" i="6" s="1"/>
  <c r="H144" i="6"/>
  <c r="J144" i="6" s="1"/>
  <c r="H118" i="6"/>
  <c r="J118" i="6" s="1"/>
  <c r="H132" i="6"/>
  <c r="J132" i="6" s="1"/>
  <c r="H130" i="6"/>
  <c r="J130" i="6" s="1"/>
  <c r="H43" i="6"/>
  <c r="J43" i="6" s="1"/>
  <c r="H34" i="6"/>
  <c r="J34" i="6" s="1"/>
  <c r="H54" i="6"/>
  <c r="J54" i="6" s="1"/>
  <c r="H66" i="6"/>
  <c r="J66" i="6" s="1"/>
  <c r="H147" i="6"/>
  <c r="J147" i="6" s="1"/>
  <c r="H160" i="6"/>
  <c r="J160" i="6" s="1"/>
  <c r="H44" i="6"/>
  <c r="J44" i="6" s="1"/>
  <c r="H55" i="6"/>
  <c r="J55" i="6" s="1"/>
  <c r="H68" i="6"/>
  <c r="J68" i="6" s="1"/>
  <c r="H95" i="6"/>
  <c r="J95" i="6" s="1"/>
  <c r="H148" i="6"/>
  <c r="J148" i="6" s="1"/>
  <c r="H124" i="6"/>
  <c r="J124" i="6" s="1"/>
  <c r="H37" i="6"/>
  <c r="J37" i="6" s="1"/>
  <c r="H72" i="6"/>
  <c r="J72" i="6" s="1"/>
  <c r="H100" i="6"/>
  <c r="J100" i="6" s="1"/>
  <c r="H93" i="6"/>
  <c r="J93" i="6" s="1"/>
  <c r="H112" i="6"/>
  <c r="J112" i="6" s="1"/>
  <c r="H48" i="6"/>
  <c r="J48" i="6" s="1"/>
  <c r="H38" i="6"/>
  <c r="J38" i="6" s="1"/>
  <c r="H49" i="6"/>
  <c r="J49" i="6" s="1"/>
  <c r="H61" i="6"/>
  <c r="J61" i="6" s="1"/>
  <c r="H88" i="6"/>
  <c r="J88" i="6" s="1"/>
  <c r="H102" i="6"/>
  <c r="J102" i="6" s="1"/>
  <c r="H60" i="6"/>
  <c r="J60" i="6" s="1"/>
  <c r="H89" i="6"/>
  <c r="J89" i="6" s="1"/>
  <c r="H30" i="4"/>
  <c r="J30" i="4" s="1"/>
  <c r="H70" i="4"/>
  <c r="J70" i="4" s="1"/>
  <c r="H130" i="4"/>
  <c r="J130" i="4" s="1"/>
  <c r="H46" i="4"/>
  <c r="J46" i="4" s="1"/>
  <c r="H22" i="3"/>
  <c r="J22" i="3" s="1"/>
  <c r="H77" i="3"/>
  <c r="J77" i="3" s="1"/>
  <c r="H90" i="3"/>
  <c r="J90" i="3" s="1"/>
  <c r="H104" i="3"/>
  <c r="J104" i="3" s="1"/>
  <c r="H118" i="3"/>
  <c r="J118" i="3" s="1"/>
  <c r="H132" i="3"/>
  <c r="J132" i="3" s="1"/>
  <c r="H146" i="3"/>
  <c r="J146" i="3" s="1"/>
  <c r="H51" i="3"/>
  <c r="J51" i="3" s="1"/>
  <c r="H105" i="3"/>
  <c r="J105" i="3" s="1"/>
  <c r="H119" i="3"/>
  <c r="J119" i="3" s="1"/>
  <c r="H133" i="3"/>
  <c r="J133" i="3" s="1"/>
  <c r="H147" i="3"/>
  <c r="J147" i="3" s="1"/>
  <c r="H73" i="3"/>
  <c r="J73" i="3" s="1"/>
  <c r="H69" i="3"/>
  <c r="J69" i="3" s="1"/>
  <c r="H96" i="2"/>
  <c r="J96" i="2" s="1"/>
  <c r="H136" i="2"/>
  <c r="J136" i="2" s="1"/>
  <c r="H95" i="2"/>
  <c r="J95" i="2" s="1"/>
  <c r="H149" i="2"/>
  <c r="J149" i="2" s="1"/>
  <c r="H161" i="2"/>
  <c r="J161" i="2" s="1"/>
  <c r="H85" i="2"/>
  <c r="J85" i="2" s="1"/>
  <c r="H31" i="2"/>
  <c r="J31" i="2" s="1"/>
  <c r="H32" i="8"/>
  <c r="J32" i="8" s="1"/>
  <c r="H128" i="8"/>
  <c r="J128" i="8" s="1"/>
  <c r="H121" i="8"/>
  <c r="J121" i="8" s="1"/>
  <c r="H124" i="8"/>
  <c r="J124" i="8" s="1"/>
  <c r="H134" i="8"/>
  <c r="J134" i="8" s="1"/>
  <c r="H50" i="8"/>
  <c r="J50" i="8" s="1"/>
  <c r="H119" i="8"/>
  <c r="J119" i="8" s="1"/>
  <c r="H110" i="8"/>
  <c r="J110" i="8" s="1"/>
  <c r="H106" i="8"/>
  <c r="J106" i="8" s="1"/>
  <c r="H109" i="8"/>
  <c r="J109" i="8" s="1"/>
  <c r="H104" i="8"/>
  <c r="J104" i="8" s="1"/>
  <c r="H21" i="8"/>
  <c r="J21" i="8" s="1"/>
  <c r="H27" i="8"/>
  <c r="J27" i="8" s="1"/>
  <c r="H80" i="8"/>
  <c r="J80" i="8" s="1"/>
  <c r="H105" i="8"/>
  <c r="J105" i="8" s="1"/>
  <c r="H136" i="8"/>
  <c r="J136" i="8" s="1"/>
  <c r="H133" i="8"/>
  <c r="J133" i="8" s="1"/>
  <c r="H135" i="8"/>
  <c r="J135" i="8" s="1"/>
  <c r="H132" i="8"/>
  <c r="J132" i="8" s="1"/>
  <c r="H29" i="8"/>
  <c r="J29" i="8" s="1"/>
  <c r="H34" i="8"/>
  <c r="J34" i="8" s="1"/>
  <c r="H25" i="8"/>
  <c r="J25" i="8" s="1"/>
  <c r="H90" i="8"/>
  <c r="J90" i="8" s="1"/>
  <c r="H89" i="8"/>
  <c r="J89" i="8" s="1"/>
  <c r="H88" i="8"/>
  <c r="J88" i="8" s="1"/>
  <c r="H101" i="8"/>
  <c r="J101" i="8" s="1"/>
  <c r="H137" i="8"/>
  <c r="J137" i="8" s="1"/>
  <c r="H30" i="8"/>
  <c r="J30" i="8" s="1"/>
  <c r="H53" i="8"/>
  <c r="J53" i="8" s="1"/>
  <c r="H31" i="8"/>
  <c r="J31" i="8" s="1"/>
  <c r="H39" i="8"/>
  <c r="J39" i="8" s="1"/>
  <c r="H67" i="8"/>
  <c r="J67" i="8" s="1"/>
  <c r="H76" i="8"/>
  <c r="J76" i="8" s="1"/>
  <c r="H83" i="8"/>
  <c r="J83" i="8" s="1"/>
  <c r="H85" i="8"/>
  <c r="J85" i="8" s="1"/>
  <c r="H131" i="8"/>
  <c r="J131" i="8" s="1"/>
  <c r="H98" i="8"/>
  <c r="J98" i="8" s="1"/>
  <c r="H33" i="8"/>
  <c r="J33" i="8" s="1"/>
  <c r="H103" i="8"/>
  <c r="J103" i="8" s="1"/>
  <c r="H120" i="8"/>
  <c r="J120" i="8" s="1"/>
  <c r="H57" i="8"/>
  <c r="J57" i="8" s="1"/>
  <c r="H58" i="8"/>
  <c r="J58" i="8" s="1"/>
  <c r="H56" i="8"/>
  <c r="J56" i="8" s="1"/>
  <c r="H97" i="8"/>
  <c r="J97" i="8" s="1"/>
  <c r="H96" i="8"/>
  <c r="J96" i="8" s="1"/>
  <c r="H160" i="8"/>
  <c r="J160" i="8" s="1"/>
  <c r="H55" i="8"/>
  <c r="J55" i="8" s="1"/>
  <c r="H87" i="8"/>
  <c r="J87" i="8" s="1"/>
  <c r="H86" i="8"/>
  <c r="J86" i="8" s="1"/>
  <c r="H93" i="8"/>
  <c r="J93" i="8" s="1"/>
  <c r="H28" i="8"/>
  <c r="J28" i="8" s="1"/>
  <c r="H68" i="8"/>
  <c r="J68" i="8" s="1"/>
  <c r="H64" i="8"/>
  <c r="J64" i="8" s="1"/>
  <c r="H66" i="8"/>
  <c r="J66" i="8" s="1"/>
  <c r="H84" i="8"/>
  <c r="J84" i="8" s="1"/>
  <c r="H100" i="8"/>
  <c r="J100" i="8" s="1"/>
  <c r="H126" i="8"/>
  <c r="J126" i="8" s="1"/>
  <c r="H157" i="8"/>
  <c r="J157" i="8" s="1"/>
  <c r="H156" i="8"/>
  <c r="J156" i="8" s="1"/>
  <c r="H26" i="8"/>
  <c r="J26" i="8" s="1"/>
  <c r="H48" i="8"/>
  <c r="J48" i="8" s="1"/>
  <c r="H78" i="8"/>
  <c r="J78" i="8" s="1"/>
  <c r="H154" i="8"/>
  <c r="J154" i="8" s="1"/>
  <c r="H46" i="8"/>
  <c r="J46" i="8" s="1"/>
  <c r="H45" i="8"/>
  <c r="J45" i="8" s="1"/>
  <c r="H59" i="8"/>
  <c r="J59" i="8" s="1"/>
  <c r="H63" i="8"/>
  <c r="J63" i="8" s="1"/>
  <c r="H125" i="8"/>
  <c r="J125" i="8" s="1"/>
  <c r="H145" i="8"/>
  <c r="J145" i="8" s="1"/>
  <c r="H158" i="8"/>
  <c r="J158" i="8" s="1"/>
  <c r="H115" i="8"/>
  <c r="J115" i="8" s="1"/>
  <c r="H95" i="8"/>
  <c r="J95" i="8" s="1"/>
  <c r="H22" i="8"/>
  <c r="J22" i="8" s="1"/>
  <c r="H70" i="8"/>
  <c r="J70" i="8" s="1"/>
  <c r="H102" i="8"/>
  <c r="J102" i="8" s="1"/>
  <c r="H146" i="8"/>
  <c r="J146" i="8" s="1"/>
  <c r="H51" i="8"/>
  <c r="J51" i="8" s="1"/>
  <c r="H41" i="8"/>
  <c r="J41" i="8" s="1"/>
  <c r="H60" i="8"/>
  <c r="J60" i="8" s="1"/>
  <c r="H92" i="8"/>
  <c r="J92" i="8" s="1"/>
  <c r="H24" i="8"/>
  <c r="J24" i="8" s="1"/>
  <c r="H99" i="8"/>
  <c r="J99" i="8" s="1"/>
  <c r="H108" i="8"/>
  <c r="J108" i="8" s="1"/>
  <c r="H117" i="8"/>
  <c r="J117" i="8" s="1"/>
  <c r="H162" i="8"/>
  <c r="J162" i="8" s="1"/>
  <c r="H47" i="8"/>
  <c r="J47" i="8" s="1"/>
  <c r="H150" i="8"/>
  <c r="J150" i="8" s="1"/>
  <c r="H141" i="8"/>
  <c r="J141" i="8" s="1"/>
  <c r="H44" i="8"/>
  <c r="J44" i="8" s="1"/>
  <c r="H155" i="8"/>
  <c r="J155" i="8" s="1"/>
  <c r="H38" i="8"/>
  <c r="J38" i="8" s="1"/>
  <c r="H77" i="8"/>
  <c r="J77" i="8" s="1"/>
  <c r="H138" i="8"/>
  <c r="J138" i="8" s="1"/>
  <c r="H152" i="8"/>
  <c r="J152" i="8" s="1"/>
  <c r="H54" i="8"/>
  <c r="J54" i="8" s="1"/>
  <c r="H74" i="8"/>
  <c r="J74" i="8" s="1"/>
  <c r="H112" i="8"/>
  <c r="J112" i="8" s="1"/>
  <c r="H123" i="8"/>
  <c r="J123" i="8" s="1"/>
  <c r="H122" i="8"/>
  <c r="J122" i="8" s="1"/>
  <c r="H149" i="8"/>
  <c r="J149" i="8" s="1"/>
  <c r="H69" i="8"/>
  <c r="J69" i="8" s="1"/>
  <c r="H107" i="8"/>
  <c r="J107" i="8" s="1"/>
  <c r="H159" i="8"/>
  <c r="J159" i="8" s="1"/>
  <c r="H153" i="8"/>
  <c r="J153" i="8" s="1"/>
  <c r="H127" i="8"/>
  <c r="J127" i="8" s="1"/>
  <c r="H140" i="8"/>
  <c r="J140" i="8" s="1"/>
  <c r="H143" i="8"/>
  <c r="J143" i="8" s="1"/>
  <c r="H147" i="8"/>
  <c r="J147" i="8" s="1"/>
  <c r="H82" i="8"/>
  <c r="J82" i="8" s="1"/>
  <c r="H151" i="8"/>
  <c r="J151" i="8" s="1"/>
  <c r="H163" i="8"/>
  <c r="J163" i="8" s="1"/>
  <c r="H138" i="6"/>
  <c r="J138" i="6" s="1"/>
  <c r="H23" i="6"/>
  <c r="J23" i="6" s="1"/>
  <c r="H77" i="6"/>
  <c r="J77" i="6" s="1"/>
  <c r="H83" i="6"/>
  <c r="J83" i="6" s="1"/>
  <c r="H157" i="6"/>
  <c r="J157" i="6" s="1"/>
  <c r="H125" i="6"/>
  <c r="J125" i="6" s="1"/>
  <c r="H121" i="6"/>
  <c r="J121" i="6" s="1"/>
  <c r="H151" i="6"/>
  <c r="J151" i="6" s="1"/>
  <c r="H25" i="6"/>
  <c r="J25" i="6" s="1"/>
  <c r="H73" i="6"/>
  <c r="J73" i="6" s="1"/>
  <c r="H79" i="6"/>
  <c r="J79" i="6" s="1"/>
  <c r="H81" i="6"/>
  <c r="J81" i="6" s="1"/>
  <c r="H119" i="6"/>
  <c r="J119" i="6" s="1"/>
  <c r="H116" i="6"/>
  <c r="J116" i="6" s="1"/>
  <c r="H152" i="6"/>
  <c r="J152" i="6" s="1"/>
  <c r="H45" i="6"/>
  <c r="J45" i="6" s="1"/>
  <c r="H70" i="6"/>
  <c r="J70" i="6" s="1"/>
  <c r="H85" i="6"/>
  <c r="J85" i="6" s="1"/>
  <c r="H110" i="6"/>
  <c r="J110" i="6" s="1"/>
  <c r="H142" i="6"/>
  <c r="J142" i="6" s="1"/>
  <c r="H76" i="6"/>
  <c r="J76" i="6" s="1"/>
  <c r="H126" i="6"/>
  <c r="J126" i="6" s="1"/>
  <c r="H137" i="6"/>
  <c r="J137" i="6" s="1"/>
  <c r="H51" i="6"/>
  <c r="J51" i="6" s="1"/>
  <c r="H47" i="6"/>
  <c r="J47" i="6" s="1"/>
  <c r="H53" i="6"/>
  <c r="J53" i="6" s="1"/>
  <c r="H114" i="6"/>
  <c r="J114" i="6" s="1"/>
  <c r="H155" i="6"/>
  <c r="J155" i="6" s="1"/>
  <c r="H156" i="6"/>
  <c r="J156" i="6" s="1"/>
  <c r="H163" i="6"/>
  <c r="J163" i="6" s="1"/>
  <c r="H162" i="6"/>
  <c r="J162" i="6" s="1"/>
  <c r="H40" i="6"/>
  <c r="J40" i="6" s="1"/>
  <c r="H42" i="6"/>
  <c r="J42" i="6" s="1"/>
  <c r="H91" i="6"/>
  <c r="J91" i="6" s="1"/>
  <c r="H97" i="6"/>
  <c r="J97" i="6" s="1"/>
  <c r="H103" i="6"/>
  <c r="J103" i="6" s="1"/>
  <c r="H135" i="6"/>
  <c r="J135" i="6" s="1"/>
  <c r="H154" i="6"/>
  <c r="J154" i="6" s="1"/>
  <c r="H31" i="6"/>
  <c r="J31" i="6" s="1"/>
  <c r="H41" i="6"/>
  <c r="J41" i="6" s="1"/>
  <c r="H46" i="6"/>
  <c r="J46" i="6" s="1"/>
  <c r="H57" i="6"/>
  <c r="J57" i="6" s="1"/>
  <c r="H74" i="6"/>
  <c r="J74" i="6" s="1"/>
  <c r="H86" i="6"/>
  <c r="J86" i="6" s="1"/>
  <c r="H98" i="6"/>
  <c r="J98" i="6" s="1"/>
  <c r="H133" i="6"/>
  <c r="J133" i="6" s="1"/>
  <c r="H139" i="6"/>
  <c r="J139" i="6" s="1"/>
  <c r="H21" i="6"/>
  <c r="J21" i="6" s="1"/>
  <c r="H63" i="6"/>
  <c r="J63" i="6" s="1"/>
  <c r="H75" i="6"/>
  <c r="J75" i="6" s="1"/>
  <c r="H80" i="6"/>
  <c r="J80" i="6" s="1"/>
  <c r="H99" i="6"/>
  <c r="J99" i="6" s="1"/>
  <c r="H161" i="6"/>
  <c r="J161" i="6" s="1"/>
  <c r="H26" i="6"/>
  <c r="J26" i="6" s="1"/>
  <c r="H58" i="6"/>
  <c r="J58" i="6" s="1"/>
  <c r="H84" i="6"/>
  <c r="J84" i="6" s="1"/>
  <c r="H90" i="6"/>
  <c r="J90" i="6" s="1"/>
  <c r="H27" i="6"/>
  <c r="J27" i="6" s="1"/>
  <c r="H32" i="6"/>
  <c r="J32" i="6" s="1"/>
  <c r="H52" i="6"/>
  <c r="J52" i="6" s="1"/>
  <c r="H67" i="6"/>
  <c r="J67" i="6" s="1"/>
  <c r="H111" i="6"/>
  <c r="J111" i="6" s="1"/>
  <c r="H145" i="6"/>
  <c r="J145" i="6" s="1"/>
  <c r="H29" i="6"/>
  <c r="J29" i="6" s="1"/>
  <c r="H59" i="6"/>
  <c r="J59" i="6" s="1"/>
  <c r="H128" i="6"/>
  <c r="J128" i="6" s="1"/>
  <c r="H140" i="6"/>
  <c r="J140" i="6" s="1"/>
  <c r="H146" i="6"/>
  <c r="J146" i="6" s="1"/>
  <c r="H159" i="6"/>
  <c r="J159" i="6" s="1"/>
  <c r="H36" i="6"/>
  <c r="J36" i="6" s="1"/>
  <c r="H101" i="6"/>
  <c r="J101" i="6" s="1"/>
  <c r="H109" i="6"/>
  <c r="J109" i="6" s="1"/>
  <c r="H127" i="6"/>
  <c r="J127" i="6" s="1"/>
  <c r="H134" i="6"/>
  <c r="J134" i="6" s="1"/>
  <c r="H120" i="6"/>
  <c r="J120" i="6" s="1"/>
  <c r="H136" i="6"/>
  <c r="J136" i="6" s="1"/>
  <c r="H106" i="6"/>
  <c r="J106" i="6" s="1"/>
  <c r="H122" i="6"/>
  <c r="J122" i="6" s="1"/>
  <c r="H92" i="6"/>
  <c r="J92" i="6" s="1"/>
  <c r="H78" i="6"/>
  <c r="J78" i="6" s="1"/>
  <c r="H94" i="6"/>
  <c r="J94" i="6" s="1"/>
  <c r="H143" i="6"/>
  <c r="J143" i="6" s="1"/>
  <c r="H64" i="6"/>
  <c r="J64" i="6" s="1"/>
  <c r="H129" i="6"/>
  <c r="J129" i="6" s="1"/>
  <c r="H158" i="6"/>
  <c r="J158" i="6" s="1"/>
  <c r="H50" i="6"/>
  <c r="J50" i="6" s="1"/>
  <c r="H115" i="6"/>
  <c r="J115" i="6" s="1"/>
  <c r="H141" i="6"/>
  <c r="J141" i="6" s="1"/>
  <c r="H22" i="6"/>
  <c r="J22" i="6" s="1"/>
  <c r="H87" i="6"/>
  <c r="J87" i="6" s="1"/>
  <c r="H113" i="6"/>
  <c r="J113" i="6" s="1"/>
  <c r="H153" i="6"/>
  <c r="J153" i="6" s="1"/>
  <c r="H39" i="4"/>
  <c r="J39" i="4" s="1"/>
  <c r="H38" i="4"/>
  <c r="J38" i="4" s="1"/>
  <c r="H27" i="4"/>
  <c r="J27" i="4" s="1"/>
  <c r="H22" i="4"/>
  <c r="J22" i="4" s="1"/>
  <c r="H24" i="4"/>
  <c r="J24" i="4" s="1"/>
  <c r="H26" i="4"/>
  <c r="J26" i="4" s="1"/>
  <c r="H45" i="4"/>
  <c r="J45" i="4" s="1"/>
  <c r="H44" i="4"/>
  <c r="J44" i="4" s="1"/>
  <c r="H40" i="4"/>
  <c r="J40" i="4" s="1"/>
  <c r="H42" i="4"/>
  <c r="J42" i="4" s="1"/>
  <c r="H163" i="4"/>
  <c r="J163" i="4" s="1"/>
  <c r="H162" i="4"/>
  <c r="J162" i="4" s="1"/>
  <c r="H154" i="4"/>
  <c r="J154" i="4" s="1"/>
  <c r="H29" i="4"/>
  <c r="J29" i="4" s="1"/>
  <c r="H28" i="4"/>
  <c r="J28" i="4" s="1"/>
  <c r="H65" i="4"/>
  <c r="J65" i="4" s="1"/>
  <c r="H64" i="4"/>
  <c r="J64" i="4" s="1"/>
  <c r="H109" i="4"/>
  <c r="J109" i="4" s="1"/>
  <c r="H108" i="4"/>
  <c r="J108" i="4" s="1"/>
  <c r="H81" i="4"/>
  <c r="J81" i="4" s="1"/>
  <c r="H74" i="4"/>
  <c r="J74" i="4" s="1"/>
  <c r="H80" i="4"/>
  <c r="J80" i="4" s="1"/>
  <c r="H158" i="4"/>
  <c r="J158" i="4" s="1"/>
  <c r="H61" i="4"/>
  <c r="J61" i="4" s="1"/>
  <c r="H54" i="4"/>
  <c r="J54" i="4" s="1"/>
  <c r="H56" i="4"/>
  <c r="J56" i="4" s="1"/>
  <c r="H60" i="4"/>
  <c r="J60" i="4" s="1"/>
  <c r="H72" i="4"/>
  <c r="J72" i="4" s="1"/>
  <c r="H52" i="4"/>
  <c r="J52" i="4" s="1"/>
  <c r="H88" i="4"/>
  <c r="J88" i="4" s="1"/>
  <c r="H139" i="4"/>
  <c r="J139" i="4" s="1"/>
  <c r="H138" i="4"/>
  <c r="J138" i="4" s="1"/>
  <c r="H33" i="4"/>
  <c r="J33" i="4" s="1"/>
  <c r="H32" i="4"/>
  <c r="J32" i="4" s="1"/>
  <c r="H51" i="4"/>
  <c r="J51" i="4" s="1"/>
  <c r="H50" i="4"/>
  <c r="J50" i="4" s="1"/>
  <c r="H147" i="4"/>
  <c r="J147" i="4" s="1"/>
  <c r="H146" i="4"/>
  <c r="J146" i="4" s="1"/>
  <c r="H121" i="4"/>
  <c r="J121" i="4" s="1"/>
  <c r="H120" i="4"/>
  <c r="J120" i="4" s="1"/>
  <c r="H131" i="4"/>
  <c r="J131" i="4" s="1"/>
  <c r="H37" i="4"/>
  <c r="J37" i="4" s="1"/>
  <c r="H36" i="4"/>
  <c r="J36" i="4" s="1"/>
  <c r="H49" i="4"/>
  <c r="J49" i="4" s="1"/>
  <c r="H95" i="4"/>
  <c r="J95" i="4" s="1"/>
  <c r="H94" i="4"/>
  <c r="J94" i="4" s="1"/>
  <c r="H105" i="4"/>
  <c r="J105" i="4" s="1"/>
  <c r="H104" i="4"/>
  <c r="J104" i="4" s="1"/>
  <c r="H112" i="4"/>
  <c r="J112" i="4" s="1"/>
  <c r="H59" i="4"/>
  <c r="J59" i="4" s="1"/>
  <c r="H79" i="4"/>
  <c r="J79" i="4" s="1"/>
  <c r="H87" i="4"/>
  <c r="J87" i="4" s="1"/>
  <c r="H86" i="4"/>
  <c r="J86" i="4" s="1"/>
  <c r="H96" i="4"/>
  <c r="J96" i="4" s="1"/>
  <c r="H137" i="4"/>
  <c r="J137" i="4" s="1"/>
  <c r="H25" i="4"/>
  <c r="J25" i="4" s="1"/>
  <c r="H78" i="4"/>
  <c r="J78" i="4" s="1"/>
  <c r="H111" i="4"/>
  <c r="J111" i="4" s="1"/>
  <c r="H128" i="4"/>
  <c r="J128" i="4" s="1"/>
  <c r="H145" i="4"/>
  <c r="J145" i="4" s="1"/>
  <c r="H144" i="4"/>
  <c r="J144" i="4" s="1"/>
  <c r="H161" i="4"/>
  <c r="J161" i="4" s="1"/>
  <c r="H35" i="4"/>
  <c r="J35" i="4" s="1"/>
  <c r="H34" i="4"/>
  <c r="J34" i="4" s="1"/>
  <c r="H47" i="4"/>
  <c r="J47" i="4" s="1"/>
  <c r="H57" i="4"/>
  <c r="J57" i="4" s="1"/>
  <c r="H67" i="4"/>
  <c r="J67" i="4" s="1"/>
  <c r="H66" i="4"/>
  <c r="J66" i="4" s="1"/>
  <c r="H102" i="4"/>
  <c r="J102" i="4" s="1"/>
  <c r="H119" i="4"/>
  <c r="J119" i="4" s="1"/>
  <c r="H118" i="4"/>
  <c r="J118" i="4" s="1"/>
  <c r="H136" i="4"/>
  <c r="J136" i="4" s="1"/>
  <c r="H152" i="4"/>
  <c r="J152" i="4" s="1"/>
  <c r="H48" i="4"/>
  <c r="J48" i="4" s="1"/>
  <c r="H58" i="4"/>
  <c r="J58" i="4" s="1"/>
  <c r="H85" i="4"/>
  <c r="J85" i="4" s="1"/>
  <c r="H93" i="4"/>
  <c r="J93" i="4" s="1"/>
  <c r="H92" i="4"/>
  <c r="J92" i="4" s="1"/>
  <c r="H103" i="4"/>
  <c r="J103" i="4" s="1"/>
  <c r="H110" i="4"/>
  <c r="J110" i="4" s="1"/>
  <c r="H151" i="4"/>
  <c r="J151" i="4" s="1"/>
  <c r="H23" i="4"/>
  <c r="J23" i="4" s="1"/>
  <c r="H55" i="4"/>
  <c r="J55" i="4" s="1"/>
  <c r="H77" i="4"/>
  <c r="J77" i="4" s="1"/>
  <c r="H76" i="4"/>
  <c r="J76" i="4" s="1"/>
  <c r="H84" i="4"/>
  <c r="J84" i="4" s="1"/>
  <c r="H135" i="4"/>
  <c r="J135" i="4" s="1"/>
  <c r="H143" i="4"/>
  <c r="J143" i="4" s="1"/>
  <c r="H142" i="4"/>
  <c r="J142" i="4" s="1"/>
  <c r="H83" i="4"/>
  <c r="J83" i="4" s="1"/>
  <c r="H100" i="4"/>
  <c r="J100" i="4" s="1"/>
  <c r="H117" i="4"/>
  <c r="J117" i="4" s="1"/>
  <c r="H116" i="4"/>
  <c r="J116" i="4" s="1"/>
  <c r="H159" i="4"/>
  <c r="J159" i="4" s="1"/>
  <c r="H156" i="4"/>
  <c r="J156" i="4" s="1"/>
  <c r="H21" i="4"/>
  <c r="J21" i="4" s="1"/>
  <c r="H53" i="4"/>
  <c r="J53" i="4" s="1"/>
  <c r="H91" i="4"/>
  <c r="J91" i="4" s="1"/>
  <c r="H90" i="4"/>
  <c r="J90" i="4" s="1"/>
  <c r="H141" i="4"/>
  <c r="J141" i="4" s="1"/>
  <c r="H149" i="4"/>
  <c r="J149" i="4" s="1"/>
  <c r="H148" i="4"/>
  <c r="J148" i="4" s="1"/>
  <c r="H150" i="4"/>
  <c r="J150" i="4" s="1"/>
  <c r="H31" i="4"/>
  <c r="J31" i="4" s="1"/>
  <c r="H63" i="4"/>
  <c r="J63" i="4" s="1"/>
  <c r="H62" i="4"/>
  <c r="J62" i="4" s="1"/>
  <c r="H75" i="4"/>
  <c r="J75" i="4" s="1"/>
  <c r="H82" i="4"/>
  <c r="J82" i="4" s="1"/>
  <c r="H123" i="4"/>
  <c r="J123" i="4" s="1"/>
  <c r="H122" i="4"/>
  <c r="J122" i="4" s="1"/>
  <c r="H133" i="4"/>
  <c r="J133" i="4" s="1"/>
  <c r="H132" i="4"/>
  <c r="J132" i="4" s="1"/>
  <c r="H140" i="4"/>
  <c r="J140" i="4" s="1"/>
  <c r="H107" i="4"/>
  <c r="J107" i="4" s="1"/>
  <c r="H115" i="4"/>
  <c r="J115" i="4" s="1"/>
  <c r="H114" i="4"/>
  <c r="J114" i="4" s="1"/>
  <c r="H124" i="4"/>
  <c r="J124" i="4" s="1"/>
  <c r="H73" i="4"/>
  <c r="J73" i="4" s="1"/>
  <c r="H101" i="4"/>
  <c r="J101" i="4" s="1"/>
  <c r="H129" i="4"/>
  <c r="J129" i="4" s="1"/>
  <c r="H157" i="4"/>
  <c r="J157" i="4" s="1"/>
  <c r="H43" i="4"/>
  <c r="J43" i="4" s="1"/>
  <c r="H71" i="4"/>
  <c r="J71" i="4" s="1"/>
  <c r="H99" i="4"/>
  <c r="J99" i="4" s="1"/>
  <c r="H127" i="4"/>
  <c r="J127" i="4" s="1"/>
  <c r="H155" i="4"/>
  <c r="J155" i="4" s="1"/>
  <c r="H41" i="4"/>
  <c r="J41" i="4" s="1"/>
  <c r="H69" i="4"/>
  <c r="J69" i="4" s="1"/>
  <c r="H97" i="4"/>
  <c r="J97" i="4" s="1"/>
  <c r="H125" i="4"/>
  <c r="J125" i="4" s="1"/>
  <c r="H153" i="4"/>
  <c r="J153" i="4" s="1"/>
  <c r="H42" i="3"/>
  <c r="J42" i="3" s="1"/>
  <c r="H41" i="3"/>
  <c r="J41" i="3" s="1"/>
  <c r="H38" i="3"/>
  <c r="J38" i="3" s="1"/>
  <c r="H26" i="3"/>
  <c r="J26" i="3" s="1"/>
  <c r="H23" i="3"/>
  <c r="J23" i="3" s="1"/>
  <c r="H79" i="3"/>
  <c r="J79" i="3" s="1"/>
  <c r="H95" i="3"/>
  <c r="J95" i="3" s="1"/>
  <c r="H101" i="3"/>
  <c r="J101" i="3" s="1"/>
  <c r="H123" i="3"/>
  <c r="J123" i="3" s="1"/>
  <c r="H160" i="3"/>
  <c r="J160" i="3" s="1"/>
  <c r="H159" i="3"/>
  <c r="J159" i="3" s="1"/>
  <c r="H158" i="3"/>
  <c r="J158" i="3" s="1"/>
  <c r="H157" i="3"/>
  <c r="J157" i="3" s="1"/>
  <c r="H34" i="3"/>
  <c r="J34" i="3" s="1"/>
  <c r="H30" i="3"/>
  <c r="J30" i="3" s="1"/>
  <c r="H68" i="3"/>
  <c r="J68" i="3" s="1"/>
  <c r="H97" i="3"/>
  <c r="J97" i="3" s="1"/>
  <c r="H107" i="3"/>
  <c r="J107" i="3" s="1"/>
  <c r="H129" i="3"/>
  <c r="J129" i="3" s="1"/>
  <c r="H144" i="3"/>
  <c r="J144" i="3" s="1"/>
  <c r="H142" i="3"/>
  <c r="J142" i="3" s="1"/>
  <c r="H141" i="3"/>
  <c r="J141" i="3" s="1"/>
  <c r="H151" i="3"/>
  <c r="J151" i="3" s="1"/>
  <c r="H25" i="3"/>
  <c r="J25" i="3" s="1"/>
  <c r="H36" i="3"/>
  <c r="J36" i="3" s="1"/>
  <c r="H100" i="3"/>
  <c r="J100" i="3" s="1"/>
  <c r="H128" i="3"/>
  <c r="J128" i="3" s="1"/>
  <c r="H135" i="3"/>
  <c r="J135" i="3" s="1"/>
  <c r="H29" i="3"/>
  <c r="J29" i="3" s="1"/>
  <c r="H54" i="3"/>
  <c r="J54" i="3" s="1"/>
  <c r="H52" i="3"/>
  <c r="J52" i="3" s="1"/>
  <c r="H58" i="3"/>
  <c r="J58" i="3" s="1"/>
  <c r="H21" i="3"/>
  <c r="J21" i="3" s="1"/>
  <c r="H71" i="3"/>
  <c r="J71" i="3" s="1"/>
  <c r="H70" i="3"/>
  <c r="J70" i="3" s="1"/>
  <c r="H98" i="3"/>
  <c r="J98" i="3" s="1"/>
  <c r="H153" i="3"/>
  <c r="J153" i="3" s="1"/>
  <c r="H64" i="3"/>
  <c r="J64" i="3" s="1"/>
  <c r="H86" i="3"/>
  <c r="J86" i="3" s="1"/>
  <c r="H99" i="3"/>
  <c r="J99" i="3" s="1"/>
  <c r="H96" i="3"/>
  <c r="J96" i="3" s="1"/>
  <c r="H127" i="3"/>
  <c r="J127" i="3" s="1"/>
  <c r="H126" i="3"/>
  <c r="J126" i="3" s="1"/>
  <c r="H27" i="3"/>
  <c r="J27" i="3" s="1"/>
  <c r="H92" i="3"/>
  <c r="J92" i="3" s="1"/>
  <c r="H114" i="3"/>
  <c r="J114" i="3" s="1"/>
  <c r="H120" i="3"/>
  <c r="J120" i="3" s="1"/>
  <c r="H43" i="3"/>
  <c r="J43" i="3" s="1"/>
  <c r="H82" i="3"/>
  <c r="J82" i="3" s="1"/>
  <c r="H156" i="3"/>
  <c r="J156" i="3" s="1"/>
  <c r="H155" i="3"/>
  <c r="J155" i="3" s="1"/>
  <c r="H31" i="3"/>
  <c r="J31" i="3" s="1"/>
  <c r="H55" i="3"/>
  <c r="J55" i="3" s="1"/>
  <c r="H110" i="3"/>
  <c r="J110" i="3" s="1"/>
  <c r="H125" i="3"/>
  <c r="J125" i="3" s="1"/>
  <c r="H122" i="3"/>
  <c r="J122" i="3" s="1"/>
  <c r="H124" i="3"/>
  <c r="J124" i="3" s="1"/>
  <c r="H163" i="3"/>
  <c r="J163" i="3" s="1"/>
  <c r="H48" i="3"/>
  <c r="J48" i="3" s="1"/>
  <c r="H57" i="3"/>
  <c r="J57" i="3" s="1"/>
  <c r="H53" i="3"/>
  <c r="J53" i="3" s="1"/>
  <c r="H56" i="3"/>
  <c r="J56" i="3" s="1"/>
  <c r="H80" i="3"/>
  <c r="J80" i="3" s="1"/>
  <c r="H108" i="3"/>
  <c r="J108" i="3" s="1"/>
  <c r="H136" i="3"/>
  <c r="J136" i="3" s="1"/>
  <c r="H138" i="3"/>
  <c r="J138" i="3" s="1"/>
  <c r="H150" i="3"/>
  <c r="J150" i="3" s="1"/>
  <c r="H37" i="3"/>
  <c r="J37" i="3" s="1"/>
  <c r="H39" i="3"/>
  <c r="J39" i="3" s="1"/>
  <c r="H83" i="3"/>
  <c r="J83" i="3" s="1"/>
  <c r="H33" i="3"/>
  <c r="J33" i="3" s="1"/>
  <c r="H28" i="3"/>
  <c r="J28" i="3" s="1"/>
  <c r="H49" i="3"/>
  <c r="J49" i="3" s="1"/>
  <c r="H85" i="3"/>
  <c r="J85" i="3" s="1"/>
  <c r="H113" i="3"/>
  <c r="J113" i="3" s="1"/>
  <c r="H111" i="3"/>
  <c r="J111" i="3" s="1"/>
  <c r="H137" i="3"/>
  <c r="J137" i="3" s="1"/>
  <c r="H148" i="3"/>
  <c r="J148" i="3" s="1"/>
  <c r="H162" i="3"/>
  <c r="J162" i="3" s="1"/>
  <c r="H24" i="3"/>
  <c r="J24" i="3" s="1"/>
  <c r="H40" i="3"/>
  <c r="J40" i="3" s="1"/>
  <c r="H76" i="3"/>
  <c r="J76" i="3" s="1"/>
  <c r="H139" i="3"/>
  <c r="J139" i="3" s="1"/>
  <c r="H46" i="3"/>
  <c r="J46" i="3" s="1"/>
  <c r="H65" i="3"/>
  <c r="J65" i="3" s="1"/>
  <c r="H117" i="3"/>
  <c r="J117" i="3" s="1"/>
  <c r="H154" i="3"/>
  <c r="J154" i="3" s="1"/>
  <c r="H93" i="3"/>
  <c r="J93" i="3" s="1"/>
  <c r="H145" i="3"/>
  <c r="J145" i="3" s="1"/>
  <c r="H161" i="3"/>
  <c r="J161" i="3" s="1"/>
  <c r="H47" i="3"/>
  <c r="J47" i="3" s="1"/>
  <c r="H50" i="3"/>
  <c r="J50" i="3" s="1"/>
  <c r="H74" i="3"/>
  <c r="J74" i="3" s="1"/>
  <c r="H84" i="3"/>
  <c r="J84" i="3" s="1"/>
  <c r="H121" i="3"/>
  <c r="J121" i="3" s="1"/>
  <c r="H32" i="3"/>
  <c r="J32" i="3" s="1"/>
  <c r="H35" i="3"/>
  <c r="J35" i="3" s="1"/>
  <c r="H81" i="3"/>
  <c r="J81" i="3" s="1"/>
  <c r="H102" i="3"/>
  <c r="J102" i="3" s="1"/>
  <c r="H112" i="3"/>
  <c r="J112" i="3" s="1"/>
  <c r="H149" i="3"/>
  <c r="J149" i="3" s="1"/>
  <c r="H59" i="3"/>
  <c r="J59" i="3" s="1"/>
  <c r="H75" i="3"/>
  <c r="J75" i="3" s="1"/>
  <c r="H78" i="3"/>
  <c r="J78" i="3" s="1"/>
  <c r="H109" i="3"/>
  <c r="J109" i="3" s="1"/>
  <c r="H130" i="3"/>
  <c r="J130" i="3" s="1"/>
  <c r="H140" i="3"/>
  <c r="J140" i="3" s="1"/>
  <c r="H152" i="3"/>
  <c r="J152" i="3" s="1"/>
  <c r="H44" i="3"/>
  <c r="J44" i="3" s="1"/>
  <c r="H66" i="3"/>
  <c r="J66" i="3" s="1"/>
  <c r="H87" i="3"/>
  <c r="J87" i="3" s="1"/>
  <c r="H103" i="3"/>
  <c r="J103" i="3" s="1"/>
  <c r="H106" i="3"/>
  <c r="J106" i="3" s="1"/>
  <c r="H63" i="3"/>
  <c r="J63" i="3" s="1"/>
  <c r="H94" i="3"/>
  <c r="J94" i="3" s="1"/>
  <c r="H115" i="3"/>
  <c r="J115" i="3" s="1"/>
  <c r="H131" i="3"/>
  <c r="J131" i="3" s="1"/>
  <c r="H134" i="3"/>
  <c r="J134" i="3" s="1"/>
  <c r="H60" i="3"/>
  <c r="J60" i="3" s="1"/>
  <c r="H72" i="3"/>
  <c r="J72" i="3" s="1"/>
  <c r="H91" i="3"/>
  <c r="J91" i="3" s="1"/>
  <c r="H143" i="3"/>
  <c r="J143" i="3" s="1"/>
  <c r="H21" i="2"/>
  <c r="J21" i="2" s="1"/>
  <c r="H79" i="2"/>
  <c r="J79" i="2" s="1"/>
  <c r="H77" i="2"/>
  <c r="J77" i="2" s="1"/>
  <c r="H75" i="2"/>
  <c r="J75" i="2" s="1"/>
  <c r="H117" i="2"/>
  <c r="J117" i="2" s="1"/>
  <c r="H116" i="2"/>
  <c r="J116" i="2" s="1"/>
  <c r="H108" i="2"/>
  <c r="J108" i="2" s="1"/>
  <c r="H51" i="2"/>
  <c r="J51" i="2" s="1"/>
  <c r="H50" i="2"/>
  <c r="J50" i="2" s="1"/>
  <c r="H61" i="2"/>
  <c r="J61" i="2" s="1"/>
  <c r="H60" i="2"/>
  <c r="J60" i="2" s="1"/>
  <c r="H71" i="2"/>
  <c r="J71" i="2" s="1"/>
  <c r="H70" i="2"/>
  <c r="J70" i="2" s="1"/>
  <c r="H81" i="2"/>
  <c r="J81" i="2" s="1"/>
  <c r="H80" i="2"/>
  <c r="J80" i="2" s="1"/>
  <c r="H42" i="2"/>
  <c r="J42" i="2" s="1"/>
  <c r="H52" i="2"/>
  <c r="J52" i="2" s="1"/>
  <c r="H62" i="2"/>
  <c r="J62" i="2" s="1"/>
  <c r="H82" i="2"/>
  <c r="J82" i="2" s="1"/>
  <c r="H146" i="2"/>
  <c r="J146" i="2" s="1"/>
  <c r="H36" i="2"/>
  <c r="J36" i="2" s="1"/>
  <c r="H34" i="2"/>
  <c r="J34" i="2" s="1"/>
  <c r="H76" i="2"/>
  <c r="J76" i="2" s="1"/>
  <c r="H114" i="2"/>
  <c r="J114" i="2" s="1"/>
  <c r="H144" i="2"/>
  <c r="J144" i="2" s="1"/>
  <c r="H151" i="2"/>
  <c r="J151" i="2" s="1"/>
  <c r="H88" i="2"/>
  <c r="J88" i="2" s="1"/>
  <c r="H142" i="2"/>
  <c r="J142" i="2" s="1"/>
  <c r="H47" i="2"/>
  <c r="J47" i="2" s="1"/>
  <c r="H57" i="2"/>
  <c r="J57" i="2" s="1"/>
  <c r="H67" i="2"/>
  <c r="J67" i="2" s="1"/>
  <c r="H124" i="2"/>
  <c r="J124" i="2" s="1"/>
  <c r="H123" i="2"/>
  <c r="J123" i="2" s="1"/>
  <c r="H140" i="2"/>
  <c r="J140" i="2" s="1"/>
  <c r="H33" i="2"/>
  <c r="J33" i="2" s="1"/>
  <c r="H38" i="2"/>
  <c r="J38" i="2" s="1"/>
  <c r="H48" i="2"/>
  <c r="J48" i="2" s="1"/>
  <c r="H58" i="2"/>
  <c r="J58" i="2" s="1"/>
  <c r="H68" i="2"/>
  <c r="J68" i="2" s="1"/>
  <c r="H78" i="2"/>
  <c r="J78" i="2" s="1"/>
  <c r="H113" i="2"/>
  <c r="J113" i="2" s="1"/>
  <c r="H115" i="2"/>
  <c r="J115" i="2" s="1"/>
  <c r="H131" i="2"/>
  <c r="J131" i="2" s="1"/>
  <c r="H160" i="2"/>
  <c r="J160" i="2" s="1"/>
  <c r="H24" i="2"/>
  <c r="J24" i="2" s="1"/>
  <c r="H29" i="2"/>
  <c r="J29" i="2" s="1"/>
  <c r="H105" i="2"/>
  <c r="J105" i="2" s="1"/>
  <c r="H130" i="2"/>
  <c r="J130" i="2" s="1"/>
  <c r="H129" i="2"/>
  <c r="J129" i="2" s="1"/>
  <c r="H135" i="2"/>
  <c r="J135" i="2" s="1"/>
  <c r="H134" i="2"/>
  <c r="J134" i="2" s="1"/>
  <c r="H133" i="2"/>
  <c r="J133" i="2" s="1"/>
  <c r="H27" i="2"/>
  <c r="J27" i="2" s="1"/>
  <c r="H104" i="2"/>
  <c r="J104" i="2" s="1"/>
  <c r="H103" i="2"/>
  <c r="J103" i="2" s="1"/>
  <c r="H121" i="2"/>
  <c r="J121" i="2" s="1"/>
  <c r="H159" i="2"/>
  <c r="J159" i="2" s="1"/>
  <c r="H39" i="2"/>
  <c r="J39" i="2" s="1"/>
  <c r="H49" i="2"/>
  <c r="J49" i="2" s="1"/>
  <c r="H59" i="2"/>
  <c r="J59" i="2" s="1"/>
  <c r="H120" i="2"/>
  <c r="J120" i="2" s="1"/>
  <c r="H119" i="2"/>
  <c r="J119" i="2" s="1"/>
  <c r="H137" i="2"/>
  <c r="J137" i="2" s="1"/>
  <c r="H150" i="2"/>
  <c r="J150" i="2" s="1"/>
  <c r="H25" i="2"/>
  <c r="J25" i="2" s="1"/>
  <c r="H69" i="2"/>
  <c r="J69" i="2" s="1"/>
  <c r="H110" i="2"/>
  <c r="J110" i="2" s="1"/>
  <c r="H111" i="2"/>
  <c r="J111" i="2" s="1"/>
  <c r="H128" i="2"/>
  <c r="J128" i="2" s="1"/>
  <c r="H132" i="2"/>
  <c r="J132" i="2" s="1"/>
  <c r="H162" i="2"/>
  <c r="J162" i="2" s="1"/>
  <c r="H156" i="2"/>
  <c r="J156" i="2" s="1"/>
  <c r="H158" i="2"/>
  <c r="J158" i="2" s="1"/>
  <c r="H30" i="2"/>
  <c r="J30" i="2" s="1"/>
  <c r="H44" i="2"/>
  <c r="J44" i="2" s="1"/>
  <c r="H94" i="2"/>
  <c r="J94" i="2" s="1"/>
  <c r="H93" i="2"/>
  <c r="J93" i="2" s="1"/>
  <c r="H101" i="2"/>
  <c r="J101" i="2" s="1"/>
  <c r="H106" i="2"/>
  <c r="J106" i="2" s="1"/>
  <c r="H127" i="2"/>
  <c r="J127" i="2" s="1"/>
  <c r="H126" i="2"/>
  <c r="J126" i="2" s="1"/>
  <c r="H23" i="2"/>
  <c r="J23" i="2" s="1"/>
  <c r="H22" i="2"/>
  <c r="J22" i="2" s="1"/>
  <c r="H153" i="2"/>
  <c r="J153" i="2" s="1"/>
  <c r="H163" i="2"/>
  <c r="J163" i="2" s="1"/>
  <c r="H154" i="2"/>
  <c r="J154" i="2" s="1"/>
  <c r="H141" i="2"/>
  <c r="J141" i="2" s="1"/>
  <c r="H35" i="2"/>
  <c r="J35" i="2" s="1"/>
  <c r="H54" i="2"/>
  <c r="J54" i="2" s="1"/>
  <c r="H64" i="2"/>
  <c r="J64" i="2" s="1"/>
  <c r="H63" i="2"/>
  <c r="J63" i="2" s="1"/>
  <c r="H74" i="2"/>
  <c r="J74" i="2" s="1"/>
  <c r="H73" i="2"/>
  <c r="J73" i="2" s="1"/>
  <c r="H84" i="2"/>
  <c r="J84" i="2" s="1"/>
  <c r="H83" i="2"/>
  <c r="J83" i="2" s="1"/>
  <c r="H100" i="2"/>
  <c r="J100" i="2" s="1"/>
  <c r="H118" i="2"/>
  <c r="J118" i="2" s="1"/>
  <c r="H148" i="2"/>
  <c r="J148" i="2" s="1"/>
  <c r="H147" i="2"/>
  <c r="J147" i="2" s="1"/>
  <c r="H89" i="2"/>
  <c r="J89" i="2" s="1"/>
  <c r="H86" i="2"/>
  <c r="J86" i="2" s="1"/>
  <c r="H99" i="2"/>
  <c r="J99" i="2" s="1"/>
  <c r="H109" i="2"/>
  <c r="J109" i="2" s="1"/>
  <c r="H138" i="2"/>
  <c r="J138" i="2" s="1"/>
  <c r="H152" i="2"/>
  <c r="J152" i="2" s="1"/>
  <c r="H43" i="2"/>
  <c r="J43" i="2" s="1"/>
  <c r="H40" i="2"/>
  <c r="J40" i="2" s="1"/>
  <c r="H92" i="2"/>
  <c r="J92" i="2" s="1"/>
  <c r="H102" i="2"/>
  <c r="J102" i="2" s="1"/>
  <c r="H112" i="2"/>
  <c r="J112" i="2" s="1"/>
  <c r="H53" i="2"/>
  <c r="J53" i="2" s="1"/>
  <c r="H122" i="2"/>
  <c r="J122" i="2" s="1"/>
  <c r="H157" i="2"/>
  <c r="J157" i="2" s="1"/>
  <c r="H46" i="2"/>
  <c r="J46" i="2" s="1"/>
  <c r="H56" i="2"/>
  <c r="J56" i="2" s="1"/>
  <c r="H66" i="2"/>
  <c r="J66" i="2" s="1"/>
  <c r="H87" i="2"/>
  <c r="J87" i="2" s="1"/>
  <c r="H97" i="2"/>
  <c r="J97" i="2" s="1"/>
  <c r="H143" i="2"/>
  <c r="J143" i="2" s="1"/>
  <c r="H28" i="2"/>
  <c r="J28" i="2" s="1"/>
  <c r="H41" i="2"/>
  <c r="J41" i="2" s="1"/>
  <c r="H107" i="2"/>
  <c r="J107" i="2" s="1"/>
  <c r="E55" i="5"/>
  <c r="H63" i="5" s="1"/>
  <c r="J63" i="5" s="1"/>
  <c r="E117" i="5"/>
  <c r="H117" i="5" s="1"/>
  <c r="J117" i="5" s="1"/>
  <c r="E56" i="5"/>
  <c r="H65" i="5" s="1"/>
  <c r="J65" i="5" s="1"/>
  <c r="H54" i="5"/>
  <c r="J54" i="5" s="1"/>
  <c r="H40" i="5"/>
  <c r="J40" i="5" s="1"/>
  <c r="H26" i="5"/>
  <c r="J26" i="5" s="1"/>
  <c r="H53" i="5"/>
  <c r="J53" i="5" s="1"/>
  <c r="H39" i="5"/>
  <c r="J39" i="5" s="1"/>
  <c r="H25" i="5"/>
  <c r="J25" i="5" s="1"/>
  <c r="H52" i="5"/>
  <c r="J52" i="5" s="1"/>
  <c r="H38" i="5"/>
  <c r="J38" i="5" s="1"/>
  <c r="H24" i="5"/>
  <c r="J24" i="5" s="1"/>
  <c r="H108" i="5"/>
  <c r="J108" i="5" s="1"/>
  <c r="H94" i="5"/>
  <c r="J94" i="5" s="1"/>
  <c r="H80" i="5"/>
  <c r="J80" i="5" s="1"/>
  <c r="H66" i="5"/>
  <c r="J66" i="5" s="1"/>
  <c r="H120" i="5"/>
  <c r="J120" i="5" s="1"/>
  <c r="H106" i="5"/>
  <c r="J106" i="5" s="1"/>
  <c r="H92" i="5"/>
  <c r="J92" i="5" s="1"/>
  <c r="H78" i="5"/>
  <c r="J78" i="5" s="1"/>
  <c r="H49" i="5"/>
  <c r="J49" i="5" s="1"/>
  <c r="H35" i="5"/>
  <c r="J35" i="5" s="1"/>
  <c r="H21" i="5"/>
  <c r="J21" i="5" s="1"/>
  <c r="H150" i="5"/>
  <c r="J150" i="5" s="1"/>
  <c r="H136" i="5"/>
  <c r="J136" i="5" s="1"/>
  <c r="H114" i="5"/>
  <c r="J114" i="5" s="1"/>
  <c r="H105" i="5"/>
  <c r="J105" i="5" s="1"/>
  <c r="H91" i="5"/>
  <c r="J91" i="5" s="1"/>
  <c r="H77" i="5"/>
  <c r="J77" i="5" s="1"/>
  <c r="H48" i="5"/>
  <c r="J48" i="5" s="1"/>
  <c r="H34" i="5"/>
  <c r="J34" i="5" s="1"/>
  <c r="H113" i="5"/>
  <c r="J113" i="5" s="1"/>
  <c r="H104" i="5"/>
  <c r="J104" i="5" s="1"/>
  <c r="H90" i="5"/>
  <c r="J90" i="5" s="1"/>
  <c r="H76" i="5"/>
  <c r="J76" i="5" s="1"/>
  <c r="H47" i="5"/>
  <c r="J47" i="5" s="1"/>
  <c r="H33" i="5"/>
  <c r="J33" i="5" s="1"/>
  <c r="H98" i="5"/>
  <c r="J98" i="5" s="1"/>
  <c r="H84" i="5"/>
  <c r="J84" i="5" s="1"/>
  <c r="H70" i="5"/>
  <c r="J70" i="5" s="1"/>
  <c r="H46" i="5"/>
  <c r="J46" i="5" s="1"/>
  <c r="H32" i="5"/>
  <c r="J32" i="5" s="1"/>
  <c r="H103" i="5"/>
  <c r="J103" i="5" s="1"/>
  <c r="H111" i="5"/>
  <c r="J111" i="5" s="1"/>
  <c r="H97" i="5"/>
  <c r="J97" i="5" s="1"/>
  <c r="H83" i="5"/>
  <c r="J83" i="5" s="1"/>
  <c r="H69" i="5"/>
  <c r="J69" i="5" s="1"/>
  <c r="H45" i="5"/>
  <c r="J45" i="5" s="1"/>
  <c r="H31" i="5"/>
  <c r="J31" i="5" s="1"/>
  <c r="H102" i="5"/>
  <c r="J102" i="5" s="1"/>
  <c r="H128" i="5"/>
  <c r="J128" i="5" s="1"/>
  <c r="H110" i="5"/>
  <c r="J110" i="5" s="1"/>
  <c r="H96" i="5"/>
  <c r="J96" i="5" s="1"/>
  <c r="H82" i="5"/>
  <c r="J82" i="5" s="1"/>
  <c r="H68" i="5"/>
  <c r="J68" i="5" s="1"/>
  <c r="H44" i="5"/>
  <c r="J44" i="5" s="1"/>
  <c r="H30" i="5"/>
  <c r="J30" i="5" s="1"/>
  <c r="H89" i="5"/>
  <c r="J89" i="5" s="1"/>
  <c r="H109" i="5"/>
  <c r="J109" i="5" s="1"/>
  <c r="H95" i="5"/>
  <c r="J95" i="5" s="1"/>
  <c r="H81" i="5"/>
  <c r="J81" i="5" s="1"/>
  <c r="H67" i="5"/>
  <c r="J67" i="5" s="1"/>
  <c r="H43" i="5"/>
  <c r="J43" i="5" s="1"/>
  <c r="H29" i="5"/>
  <c r="J29" i="5" s="1"/>
  <c r="H75" i="5"/>
  <c r="J75" i="5" s="1"/>
  <c r="H42" i="5"/>
  <c r="J42" i="5" s="1"/>
  <c r="H28" i="5"/>
  <c r="J28" i="5" s="1"/>
  <c r="H41" i="5"/>
  <c r="J41" i="5" s="1"/>
  <c r="H27" i="5"/>
  <c r="J27" i="5" s="1"/>
  <c r="H64" i="5"/>
  <c r="J64" i="5" s="1"/>
  <c r="H163" i="5"/>
  <c r="J163" i="5" s="1"/>
  <c r="H141" i="5"/>
  <c r="J141" i="5" s="1"/>
  <c r="H149" i="5"/>
  <c r="J149" i="5" s="1"/>
  <c r="H135" i="5"/>
  <c r="J135" i="5" s="1"/>
  <c r="H162" i="5"/>
  <c r="J162" i="5" s="1"/>
  <c r="H140" i="5"/>
  <c r="J140" i="5" s="1"/>
  <c r="H134" i="5"/>
  <c r="J134" i="5" s="1"/>
  <c r="H127" i="5"/>
  <c r="J127" i="5" s="1"/>
  <c r="H161" i="5"/>
  <c r="J161" i="5" s="1"/>
  <c r="H147" i="5"/>
  <c r="J147" i="5" s="1"/>
  <c r="H133" i="5"/>
  <c r="J133" i="5" s="1"/>
  <c r="H160" i="5"/>
  <c r="J160" i="5" s="1"/>
  <c r="H146" i="5"/>
  <c r="J146" i="5" s="1"/>
  <c r="H132" i="5"/>
  <c r="J132" i="5" s="1"/>
  <c r="H159" i="5"/>
  <c r="J159" i="5" s="1"/>
  <c r="H145" i="5"/>
  <c r="J145" i="5" s="1"/>
  <c r="H131" i="5"/>
  <c r="J131" i="5" s="1"/>
  <c r="H158" i="5"/>
  <c r="J158" i="5" s="1"/>
  <c r="H144" i="5"/>
  <c r="J144" i="5" s="1"/>
  <c r="H130" i="5"/>
  <c r="J130" i="5" s="1"/>
  <c r="H157" i="5"/>
  <c r="J157" i="5" s="1"/>
  <c r="H143" i="5"/>
  <c r="J143" i="5" s="1"/>
  <c r="H129" i="5"/>
  <c r="J129" i="5" s="1"/>
  <c r="H156" i="5"/>
  <c r="J156" i="5" s="1"/>
  <c r="H155" i="5"/>
  <c r="J155" i="5" s="1"/>
  <c r="H142" i="5"/>
  <c r="J142" i="5" s="1"/>
  <c r="H51" i="5"/>
  <c r="J51" i="5" s="1"/>
  <c r="H37" i="5"/>
  <c r="J37" i="5" s="1"/>
  <c r="H23" i="5"/>
  <c r="J23" i="5" s="1"/>
  <c r="H121" i="5"/>
  <c r="J121" i="5" s="1"/>
  <c r="H116" i="5"/>
  <c r="J116" i="5" s="1"/>
  <c r="H107" i="5"/>
  <c r="J107" i="5" s="1"/>
  <c r="H93" i="5"/>
  <c r="J93" i="5" s="1"/>
  <c r="H88" i="5"/>
  <c r="J88" i="5" s="1"/>
  <c r="H79" i="5"/>
  <c r="J79" i="5" s="1"/>
  <c r="H74" i="5"/>
  <c r="J74" i="5" s="1"/>
  <c r="H50" i="5"/>
  <c r="J50" i="5" s="1"/>
  <c r="H36" i="5"/>
  <c r="J36" i="5" s="1"/>
  <c r="H22" i="5"/>
  <c r="J22" i="5" s="1"/>
  <c r="H154" i="5"/>
  <c r="J154" i="5" s="1"/>
  <c r="H153" i="5"/>
  <c r="J153" i="5" s="1"/>
  <c r="H99" i="5"/>
  <c r="J99" i="5" s="1"/>
  <c r="H152" i="5"/>
  <c r="J152" i="5" s="1"/>
  <c r="H151" i="5"/>
  <c r="J151" i="5" s="1"/>
  <c r="H148" i="5"/>
  <c r="J148" i="5" s="1"/>
  <c r="H101" i="5"/>
  <c r="J101" i="5" s="1"/>
  <c r="H73" i="5"/>
  <c r="J73" i="5" s="1"/>
  <c r="H100" i="5"/>
  <c r="J100" i="5" s="1"/>
  <c r="H72" i="5"/>
  <c r="J72" i="5" s="1"/>
  <c r="H139" i="5"/>
  <c r="J139" i="5" s="1"/>
  <c r="H71" i="5"/>
  <c r="J71" i="5" s="1"/>
  <c r="H112" i="5"/>
  <c r="J112" i="5" s="1"/>
  <c r="H115" i="5"/>
  <c r="J115" i="5" s="1"/>
  <c r="H87" i="5"/>
  <c r="J87" i="5" s="1"/>
  <c r="H86" i="5"/>
  <c r="J86" i="5" s="1"/>
  <c r="H85" i="5"/>
  <c r="J85" i="5" s="1"/>
  <c r="H138" i="5"/>
  <c r="J138" i="5" s="1"/>
  <c r="H137" i="5"/>
  <c r="J137" i="5" s="1"/>
  <c r="H124" i="5" l="1"/>
  <c r="J124" i="5" s="1"/>
  <c r="H59" i="5"/>
  <c r="J59" i="5" s="1"/>
  <c r="H122" i="5"/>
  <c r="J122" i="5" s="1"/>
  <c r="H123" i="5"/>
  <c r="J123" i="5" s="1"/>
  <c r="H119" i="5"/>
  <c r="J119" i="5" s="1"/>
  <c r="H126" i="5"/>
  <c r="J126" i="5" s="1"/>
  <c r="H125" i="5"/>
  <c r="J125" i="5" s="1"/>
  <c r="H56" i="5"/>
  <c r="J56" i="5" s="1"/>
  <c r="H57" i="5"/>
  <c r="J57" i="5" s="1"/>
  <c r="H118" i="5"/>
  <c r="J118" i="5" s="1"/>
  <c r="H61" i="5"/>
  <c r="J61" i="5" s="1"/>
  <c r="H55" i="5"/>
  <c r="J55" i="5" s="1"/>
  <c r="H62" i="5"/>
  <c r="J62" i="5" s="1"/>
  <c r="H60" i="5"/>
  <c r="J60" i="5" s="1"/>
  <c r="H58" i="5"/>
  <c r="J58" i="5" s="1"/>
  <c r="I21" i="4" l="1"/>
  <c r="K21" i="4" s="1"/>
  <c r="G22" i="8" l="1"/>
  <c r="I21" i="8"/>
  <c r="K21" i="8" s="1"/>
  <c r="I21" i="6"/>
  <c r="K21" i="6" s="1"/>
  <c r="I22" i="4"/>
  <c r="K22" i="4" s="1"/>
  <c r="I21" i="3"/>
  <c r="K21" i="3" s="1"/>
  <c r="I21" i="2"/>
  <c r="K21" i="2" s="1"/>
  <c r="G23" i="8" l="1"/>
  <c r="I22" i="8"/>
  <c r="K22" i="8" s="1"/>
  <c r="I22" i="6"/>
  <c r="K22" i="6" s="1"/>
  <c r="I23" i="4"/>
  <c r="K23" i="4" s="1"/>
  <c r="I22" i="3"/>
  <c r="K22" i="3" s="1"/>
  <c r="I22" i="2"/>
  <c r="K22" i="2" s="1"/>
  <c r="I21" i="5"/>
  <c r="K21" i="5" s="1"/>
  <c r="G24" i="8" l="1"/>
  <c r="I23" i="8"/>
  <c r="K23" i="8" s="1"/>
  <c r="I23" i="6"/>
  <c r="K23" i="6" s="1"/>
  <c r="I24" i="4"/>
  <c r="K24" i="4" s="1"/>
  <c r="I23" i="3"/>
  <c r="K23" i="3" s="1"/>
  <c r="I23" i="2"/>
  <c r="K23" i="2" s="1"/>
  <c r="I22" i="5"/>
  <c r="K22" i="5" s="1"/>
  <c r="G25" i="8" l="1"/>
  <c r="I24" i="8"/>
  <c r="K24" i="8" s="1"/>
  <c r="I24" i="6"/>
  <c r="K24" i="6" s="1"/>
  <c r="I25" i="4"/>
  <c r="K25" i="4" s="1"/>
  <c r="I24" i="3"/>
  <c r="K24" i="3" s="1"/>
  <c r="I24" i="2"/>
  <c r="K24" i="2" s="1"/>
  <c r="I23" i="5"/>
  <c r="K23" i="5" s="1"/>
  <c r="G26" i="8" l="1"/>
  <c r="I25" i="8"/>
  <c r="K25" i="8" s="1"/>
  <c r="I25" i="6"/>
  <c r="K25" i="6" s="1"/>
  <c r="I26" i="4"/>
  <c r="K26" i="4" s="1"/>
  <c r="I25" i="3"/>
  <c r="K25" i="3" s="1"/>
  <c r="I25" i="2"/>
  <c r="K25" i="2" s="1"/>
  <c r="I24" i="5"/>
  <c r="K24" i="5" s="1"/>
  <c r="G27" i="8" l="1"/>
  <c r="I26" i="8"/>
  <c r="K26" i="8" s="1"/>
  <c r="I26" i="6"/>
  <c r="K26" i="6" s="1"/>
  <c r="I27" i="4"/>
  <c r="K27" i="4" s="1"/>
  <c r="I26" i="3"/>
  <c r="K26" i="3" s="1"/>
  <c r="I26" i="2"/>
  <c r="K26" i="2" s="1"/>
  <c r="I25" i="5"/>
  <c r="K25" i="5" s="1"/>
  <c r="G28" i="8" l="1"/>
  <c r="I27" i="8"/>
  <c r="K27" i="8" s="1"/>
  <c r="I27" i="6"/>
  <c r="K27" i="6" s="1"/>
  <c r="I28" i="4"/>
  <c r="K28" i="4" s="1"/>
  <c r="I27" i="3"/>
  <c r="K27" i="3" s="1"/>
  <c r="I27" i="2"/>
  <c r="K27" i="2" s="1"/>
  <c r="I26" i="5"/>
  <c r="K26" i="5" s="1"/>
  <c r="G29" i="8" l="1"/>
  <c r="I28" i="8"/>
  <c r="K28" i="8" s="1"/>
  <c r="I28" i="6"/>
  <c r="K28" i="6" s="1"/>
  <c r="I29" i="4"/>
  <c r="K29" i="4" s="1"/>
  <c r="I28" i="3"/>
  <c r="K28" i="3" s="1"/>
  <c r="I28" i="2"/>
  <c r="K28" i="2" s="1"/>
  <c r="I27" i="5"/>
  <c r="K27" i="5" s="1"/>
  <c r="I29" i="8" l="1"/>
  <c r="K29" i="8" s="1"/>
  <c r="G30" i="8"/>
  <c r="I29" i="6"/>
  <c r="K29" i="6" s="1"/>
  <c r="I30" i="4"/>
  <c r="K30" i="4" s="1"/>
  <c r="I29" i="3"/>
  <c r="K29" i="3" s="1"/>
  <c r="I29" i="2"/>
  <c r="K29" i="2" s="1"/>
  <c r="I28" i="5"/>
  <c r="K28" i="5" s="1"/>
  <c r="G31" i="8" l="1"/>
  <c r="I30" i="8"/>
  <c r="K30" i="8" s="1"/>
  <c r="I30" i="6"/>
  <c r="K30" i="6" s="1"/>
  <c r="I31" i="4"/>
  <c r="K31" i="4" s="1"/>
  <c r="I30" i="3"/>
  <c r="K30" i="3" s="1"/>
  <c r="I30" i="2"/>
  <c r="K30" i="2" s="1"/>
  <c r="I29" i="5"/>
  <c r="K29" i="5" s="1"/>
  <c r="G32" i="8" l="1"/>
  <c r="I31" i="8"/>
  <c r="K31" i="8" s="1"/>
  <c r="I31" i="6"/>
  <c r="K31" i="6" s="1"/>
  <c r="I32" i="4"/>
  <c r="K32" i="4" s="1"/>
  <c r="I31" i="3"/>
  <c r="K31" i="3" s="1"/>
  <c r="I31" i="2"/>
  <c r="K31" i="2" s="1"/>
  <c r="I30" i="5"/>
  <c r="K30" i="5" s="1"/>
  <c r="G33" i="8" l="1"/>
  <c r="I32" i="8"/>
  <c r="K32" i="8" s="1"/>
  <c r="I32" i="6"/>
  <c r="K32" i="6" s="1"/>
  <c r="I33" i="4"/>
  <c r="K33" i="4" s="1"/>
  <c r="I32" i="3"/>
  <c r="K32" i="3" s="1"/>
  <c r="I32" i="2"/>
  <c r="K32" i="2" s="1"/>
  <c r="I31" i="5"/>
  <c r="K31" i="5" s="1"/>
  <c r="I33" i="8" l="1"/>
  <c r="K33" i="8" s="1"/>
  <c r="G34" i="8"/>
  <c r="I33" i="6"/>
  <c r="K33" i="6" s="1"/>
  <c r="I34" i="4"/>
  <c r="K34" i="4" s="1"/>
  <c r="I33" i="3"/>
  <c r="K33" i="3" s="1"/>
  <c r="I33" i="2"/>
  <c r="K33" i="2" s="1"/>
  <c r="I32" i="5"/>
  <c r="K32" i="5" s="1"/>
  <c r="G35" i="8" l="1"/>
  <c r="I34" i="8"/>
  <c r="K34" i="8" s="1"/>
  <c r="I34" i="6"/>
  <c r="K34" i="6" s="1"/>
  <c r="I35" i="4"/>
  <c r="K35" i="4" s="1"/>
  <c r="I34" i="3"/>
  <c r="K34" i="3" s="1"/>
  <c r="I34" i="2"/>
  <c r="K34" i="2" s="1"/>
  <c r="I33" i="5"/>
  <c r="K33" i="5" s="1"/>
  <c r="I35" i="8" l="1"/>
  <c r="K35" i="8" s="1"/>
  <c r="G36" i="8"/>
  <c r="I35" i="6"/>
  <c r="K35" i="6" s="1"/>
  <c r="I36" i="4"/>
  <c r="K36" i="4" s="1"/>
  <c r="I35" i="3"/>
  <c r="K35" i="3" s="1"/>
  <c r="I35" i="2"/>
  <c r="K35" i="2" s="1"/>
  <c r="I34" i="5"/>
  <c r="K34" i="5" s="1"/>
  <c r="G37" i="8" l="1"/>
  <c r="I36" i="8"/>
  <c r="K36" i="8" s="1"/>
  <c r="I36" i="6"/>
  <c r="K36" i="6" s="1"/>
  <c r="I37" i="4"/>
  <c r="K37" i="4" s="1"/>
  <c r="I36" i="3"/>
  <c r="K36" i="3" s="1"/>
  <c r="I36" i="2"/>
  <c r="K36" i="2" s="1"/>
  <c r="I35" i="5"/>
  <c r="K35" i="5" s="1"/>
  <c r="G38" i="8" l="1"/>
  <c r="I37" i="8"/>
  <c r="K37" i="8" s="1"/>
  <c r="I37" i="6"/>
  <c r="K37" i="6" s="1"/>
  <c r="I38" i="4"/>
  <c r="K38" i="4" s="1"/>
  <c r="I37" i="3"/>
  <c r="K37" i="3" s="1"/>
  <c r="I37" i="2"/>
  <c r="K37" i="2" s="1"/>
  <c r="I36" i="5"/>
  <c r="K36" i="5" s="1"/>
  <c r="G39" i="8" l="1"/>
  <c r="I38" i="8"/>
  <c r="K38" i="8" s="1"/>
  <c r="I38" i="6"/>
  <c r="K38" i="6" s="1"/>
  <c r="I39" i="4"/>
  <c r="K39" i="4" s="1"/>
  <c r="I38" i="3"/>
  <c r="K38" i="3" s="1"/>
  <c r="I38" i="2"/>
  <c r="K38" i="2" s="1"/>
  <c r="I37" i="5"/>
  <c r="K37" i="5" s="1"/>
  <c r="I39" i="8" l="1"/>
  <c r="K39" i="8" s="1"/>
  <c r="G40" i="8"/>
  <c r="I39" i="6"/>
  <c r="K39" i="6" s="1"/>
  <c r="I40" i="4"/>
  <c r="K40" i="4" s="1"/>
  <c r="I39" i="3"/>
  <c r="K39" i="3" s="1"/>
  <c r="I39" i="2"/>
  <c r="K39" i="2" s="1"/>
  <c r="I38" i="5"/>
  <c r="K38" i="5" s="1"/>
  <c r="G41" i="8" l="1"/>
  <c r="I40" i="8"/>
  <c r="K40" i="8" s="1"/>
  <c r="I40" i="6"/>
  <c r="K40" i="6" s="1"/>
  <c r="I41" i="4"/>
  <c r="K41" i="4" s="1"/>
  <c r="I40" i="3"/>
  <c r="K40" i="3" s="1"/>
  <c r="I40" i="2"/>
  <c r="K40" i="2" s="1"/>
  <c r="I39" i="5"/>
  <c r="K39" i="5" s="1"/>
  <c r="I41" i="8" l="1"/>
  <c r="K41" i="8" s="1"/>
  <c r="G42" i="8"/>
  <c r="I41" i="6"/>
  <c r="K41" i="6" s="1"/>
  <c r="I42" i="4"/>
  <c r="K42" i="4" s="1"/>
  <c r="I41" i="3"/>
  <c r="K41" i="3" s="1"/>
  <c r="I41" i="2"/>
  <c r="K41" i="2" s="1"/>
  <c r="I40" i="5"/>
  <c r="K40" i="5" s="1"/>
  <c r="G43" i="8" l="1"/>
  <c r="I42" i="8"/>
  <c r="K42" i="8" s="1"/>
  <c r="I42" i="6"/>
  <c r="K42" i="6" s="1"/>
  <c r="I43" i="4"/>
  <c r="K43" i="4" s="1"/>
  <c r="I42" i="3"/>
  <c r="K42" i="3" s="1"/>
  <c r="I42" i="2"/>
  <c r="K42" i="2" s="1"/>
  <c r="I41" i="5"/>
  <c r="K41" i="5" s="1"/>
  <c r="G44" i="8" l="1"/>
  <c r="I43" i="8"/>
  <c r="K43" i="8" s="1"/>
  <c r="I43" i="6"/>
  <c r="K43" i="6" s="1"/>
  <c r="I44" i="4"/>
  <c r="K44" i="4" s="1"/>
  <c r="I43" i="3"/>
  <c r="K43" i="3" s="1"/>
  <c r="I43" i="2"/>
  <c r="K43" i="2" s="1"/>
  <c r="I42" i="5"/>
  <c r="K42" i="5" s="1"/>
  <c r="G45" i="8" l="1"/>
  <c r="I44" i="8"/>
  <c r="K44" i="8" s="1"/>
  <c r="I44" i="6"/>
  <c r="K44" i="6" s="1"/>
  <c r="I45" i="4"/>
  <c r="K45" i="4" s="1"/>
  <c r="I44" i="3"/>
  <c r="K44" i="3" s="1"/>
  <c r="I44" i="2"/>
  <c r="K44" i="2" s="1"/>
  <c r="I43" i="5"/>
  <c r="K43" i="5" s="1"/>
  <c r="G46" i="8" l="1"/>
  <c r="I45" i="8"/>
  <c r="K45" i="8" s="1"/>
  <c r="I45" i="6"/>
  <c r="K45" i="6" s="1"/>
  <c r="I46" i="4"/>
  <c r="K46" i="4" s="1"/>
  <c r="I45" i="3"/>
  <c r="K45" i="3" s="1"/>
  <c r="I45" i="2"/>
  <c r="K45" i="2" s="1"/>
  <c r="I44" i="5"/>
  <c r="K44" i="5" s="1"/>
  <c r="G47" i="8" l="1"/>
  <c r="I46" i="8"/>
  <c r="K46" i="8" s="1"/>
  <c r="I46" i="6"/>
  <c r="K46" i="6" s="1"/>
  <c r="I47" i="4"/>
  <c r="K47" i="4" s="1"/>
  <c r="I46" i="3"/>
  <c r="K46" i="3" s="1"/>
  <c r="I46" i="2"/>
  <c r="K46" i="2" s="1"/>
  <c r="I45" i="5"/>
  <c r="K45" i="5" s="1"/>
  <c r="G48" i="8" l="1"/>
  <c r="I47" i="8"/>
  <c r="K47" i="8" s="1"/>
  <c r="I47" i="6"/>
  <c r="K47" i="6" s="1"/>
  <c r="I48" i="4"/>
  <c r="K48" i="4" s="1"/>
  <c r="I47" i="3"/>
  <c r="K47" i="3" s="1"/>
  <c r="I47" i="2"/>
  <c r="K47" i="2" s="1"/>
  <c r="I46" i="5"/>
  <c r="K46" i="5" s="1"/>
  <c r="G49" i="8" l="1"/>
  <c r="I48" i="8"/>
  <c r="K48" i="8" s="1"/>
  <c r="I48" i="6"/>
  <c r="K48" i="6" s="1"/>
  <c r="I49" i="4"/>
  <c r="K49" i="4" s="1"/>
  <c r="I48" i="3"/>
  <c r="K48" i="3" s="1"/>
  <c r="I48" i="2"/>
  <c r="K48" i="2" s="1"/>
  <c r="I47" i="5"/>
  <c r="K47" i="5" s="1"/>
  <c r="G50" i="8" l="1"/>
  <c r="I49" i="8"/>
  <c r="K49" i="8" s="1"/>
  <c r="I49" i="6"/>
  <c r="K49" i="6" s="1"/>
  <c r="I50" i="4"/>
  <c r="K50" i="4" s="1"/>
  <c r="I49" i="3"/>
  <c r="K49" i="3" s="1"/>
  <c r="I49" i="2"/>
  <c r="K49" i="2" s="1"/>
  <c r="I48" i="5"/>
  <c r="K48" i="5" s="1"/>
  <c r="G51" i="8" l="1"/>
  <c r="I50" i="8"/>
  <c r="K50" i="8" s="1"/>
  <c r="I50" i="6"/>
  <c r="K50" i="6" s="1"/>
  <c r="I51" i="4"/>
  <c r="K51" i="4" s="1"/>
  <c r="I50" i="3"/>
  <c r="K50" i="3" s="1"/>
  <c r="I50" i="2"/>
  <c r="K50" i="2" s="1"/>
  <c r="I49" i="5"/>
  <c r="K49" i="5" s="1"/>
  <c r="I51" i="8" l="1"/>
  <c r="K51" i="8" s="1"/>
  <c r="G52" i="8"/>
  <c r="I51" i="6"/>
  <c r="K51" i="6" s="1"/>
  <c r="I52" i="4"/>
  <c r="K52" i="4" s="1"/>
  <c r="I51" i="3"/>
  <c r="K51" i="3" s="1"/>
  <c r="I51" i="2"/>
  <c r="K51" i="2" s="1"/>
  <c r="I50" i="5"/>
  <c r="K50" i="5" s="1"/>
  <c r="G53" i="8" l="1"/>
  <c r="I52" i="8"/>
  <c r="K52" i="8" s="1"/>
  <c r="I52" i="6"/>
  <c r="K52" i="6" s="1"/>
  <c r="I53" i="4"/>
  <c r="K53" i="4" s="1"/>
  <c r="I52" i="3"/>
  <c r="K52" i="3" s="1"/>
  <c r="I52" i="2"/>
  <c r="K52" i="2" s="1"/>
  <c r="I51" i="5"/>
  <c r="K51" i="5" s="1"/>
  <c r="I53" i="8" l="1"/>
  <c r="K53" i="8" s="1"/>
  <c r="G54" i="8"/>
  <c r="I53" i="6"/>
  <c r="K53" i="6" s="1"/>
  <c r="I54" i="4"/>
  <c r="K54" i="4" s="1"/>
  <c r="I53" i="3"/>
  <c r="K53" i="3" s="1"/>
  <c r="I53" i="2"/>
  <c r="K53" i="2" s="1"/>
  <c r="I52" i="5"/>
  <c r="K52" i="5" s="1"/>
  <c r="G55" i="8" l="1"/>
  <c r="I54" i="8"/>
  <c r="K54" i="8" s="1"/>
  <c r="I54" i="6"/>
  <c r="K54" i="6" s="1"/>
  <c r="I55" i="4"/>
  <c r="K55" i="4" s="1"/>
  <c r="I54" i="3"/>
  <c r="K54" i="3" s="1"/>
  <c r="I54" i="2"/>
  <c r="K54" i="2" s="1"/>
  <c r="I53" i="5"/>
  <c r="K53" i="5" s="1"/>
  <c r="G56" i="8" l="1"/>
  <c r="I55" i="8"/>
  <c r="K55" i="8" s="1"/>
  <c r="I55" i="6"/>
  <c r="K55" i="6" s="1"/>
  <c r="I56" i="4"/>
  <c r="K56" i="4" s="1"/>
  <c r="I55" i="3"/>
  <c r="K55" i="3" s="1"/>
  <c r="I55" i="2"/>
  <c r="K55" i="2" s="1"/>
  <c r="I54" i="5"/>
  <c r="K54" i="5" s="1"/>
  <c r="G57" i="8" l="1"/>
  <c r="I56" i="8"/>
  <c r="K56" i="8" s="1"/>
  <c r="I56" i="6"/>
  <c r="K56" i="6" s="1"/>
  <c r="I57" i="4"/>
  <c r="K57" i="4" s="1"/>
  <c r="I56" i="3"/>
  <c r="K56" i="3" s="1"/>
  <c r="I56" i="2"/>
  <c r="K56" i="2" s="1"/>
  <c r="I55" i="5"/>
  <c r="K55" i="5" s="1"/>
  <c r="G58" i="8" l="1"/>
  <c r="I57" i="8"/>
  <c r="K57" i="8" s="1"/>
  <c r="I57" i="6"/>
  <c r="K57" i="6" s="1"/>
  <c r="I58" i="4"/>
  <c r="K58" i="4" s="1"/>
  <c r="I57" i="3"/>
  <c r="K57" i="3" s="1"/>
  <c r="I57" i="2"/>
  <c r="K57" i="2" s="1"/>
  <c r="I56" i="5"/>
  <c r="K56" i="5" s="1"/>
  <c r="G59" i="8" l="1"/>
  <c r="I58" i="8"/>
  <c r="K58" i="8" s="1"/>
  <c r="I58" i="6"/>
  <c r="K58" i="6" s="1"/>
  <c r="I59" i="4"/>
  <c r="K59" i="4" s="1"/>
  <c r="I58" i="3"/>
  <c r="K58" i="3" s="1"/>
  <c r="I58" i="2"/>
  <c r="K58" i="2" s="1"/>
  <c r="I57" i="5"/>
  <c r="K57" i="5" s="1"/>
  <c r="G60" i="8" l="1"/>
  <c r="I59" i="8"/>
  <c r="K59" i="8" s="1"/>
  <c r="I59" i="6"/>
  <c r="K59" i="6" s="1"/>
  <c r="I60" i="4"/>
  <c r="K60" i="4" s="1"/>
  <c r="I59" i="3"/>
  <c r="K59" i="3" s="1"/>
  <c r="I59" i="2"/>
  <c r="K59" i="2" s="1"/>
  <c r="I58" i="5"/>
  <c r="K58" i="5" s="1"/>
  <c r="G61" i="8" l="1"/>
  <c r="I60" i="8"/>
  <c r="K60" i="8" s="1"/>
  <c r="I60" i="6"/>
  <c r="K60" i="6" s="1"/>
  <c r="I61" i="4"/>
  <c r="K61" i="4" s="1"/>
  <c r="I60" i="3"/>
  <c r="K60" i="3" s="1"/>
  <c r="I60" i="2"/>
  <c r="K60" i="2" s="1"/>
  <c r="I59" i="5"/>
  <c r="K59" i="5" s="1"/>
  <c r="I61" i="8" l="1"/>
  <c r="K61" i="8" s="1"/>
  <c r="G62" i="8"/>
  <c r="I61" i="6"/>
  <c r="K61" i="6" s="1"/>
  <c r="I62" i="4"/>
  <c r="K62" i="4" s="1"/>
  <c r="I61" i="3"/>
  <c r="K61" i="3" s="1"/>
  <c r="I61" i="2"/>
  <c r="K61" i="2" s="1"/>
  <c r="I60" i="5"/>
  <c r="K60" i="5" s="1"/>
  <c r="G63" i="8" l="1"/>
  <c r="I62" i="8"/>
  <c r="K62" i="8" s="1"/>
  <c r="I62" i="6"/>
  <c r="K62" i="6" s="1"/>
  <c r="I63" i="4"/>
  <c r="K63" i="4" s="1"/>
  <c r="I62" i="3"/>
  <c r="K62" i="3" s="1"/>
  <c r="I62" i="2"/>
  <c r="K62" i="2" s="1"/>
  <c r="I61" i="5"/>
  <c r="K61" i="5" s="1"/>
  <c r="I63" i="8" l="1"/>
  <c r="K63" i="8" s="1"/>
  <c r="G64" i="8"/>
  <c r="I63" i="6"/>
  <c r="K63" i="6" s="1"/>
  <c r="I64" i="4"/>
  <c r="K64" i="4" s="1"/>
  <c r="I63" i="3"/>
  <c r="K63" i="3" s="1"/>
  <c r="I63" i="2"/>
  <c r="K63" i="2" s="1"/>
  <c r="I62" i="5"/>
  <c r="K62" i="5" s="1"/>
  <c r="G65" i="8" l="1"/>
  <c r="I64" i="8"/>
  <c r="K64" i="8" s="1"/>
  <c r="I64" i="6"/>
  <c r="K64" i="6" s="1"/>
  <c r="I65" i="4"/>
  <c r="K65" i="4" s="1"/>
  <c r="I64" i="3"/>
  <c r="K64" i="3" s="1"/>
  <c r="I64" i="2"/>
  <c r="K64" i="2" s="1"/>
  <c r="I63" i="5"/>
  <c r="K63" i="5" s="1"/>
  <c r="G66" i="8" l="1"/>
  <c r="I65" i="8"/>
  <c r="K65" i="8" s="1"/>
  <c r="I65" i="6"/>
  <c r="K65" i="6" s="1"/>
  <c r="I66" i="4"/>
  <c r="K66" i="4" s="1"/>
  <c r="I65" i="3"/>
  <c r="K65" i="3" s="1"/>
  <c r="I65" i="2"/>
  <c r="K65" i="2" s="1"/>
  <c r="I64" i="5"/>
  <c r="K64" i="5" s="1"/>
  <c r="G67" i="8" l="1"/>
  <c r="I66" i="8"/>
  <c r="K66" i="8" s="1"/>
  <c r="I66" i="6"/>
  <c r="K66" i="6" s="1"/>
  <c r="I67" i="4"/>
  <c r="K67" i="4" s="1"/>
  <c r="I66" i="3"/>
  <c r="K66" i="3" s="1"/>
  <c r="I66" i="2"/>
  <c r="K66" i="2" s="1"/>
  <c r="I65" i="5"/>
  <c r="K65" i="5" s="1"/>
  <c r="G68" i="8" l="1"/>
  <c r="I67" i="8"/>
  <c r="K67" i="8" s="1"/>
  <c r="I67" i="6"/>
  <c r="K67" i="6" s="1"/>
  <c r="I68" i="4"/>
  <c r="K68" i="4" s="1"/>
  <c r="I67" i="3"/>
  <c r="K67" i="3" s="1"/>
  <c r="I67" i="2"/>
  <c r="K67" i="2" s="1"/>
  <c r="I66" i="5"/>
  <c r="K66" i="5" s="1"/>
  <c r="G69" i="8" l="1"/>
  <c r="I68" i="8"/>
  <c r="K68" i="8" s="1"/>
  <c r="I68" i="6"/>
  <c r="K68" i="6" s="1"/>
  <c r="I69" i="4"/>
  <c r="K69" i="4" s="1"/>
  <c r="I68" i="3"/>
  <c r="K68" i="3" s="1"/>
  <c r="I68" i="2"/>
  <c r="K68" i="2" s="1"/>
  <c r="I67" i="5"/>
  <c r="K67" i="5" s="1"/>
  <c r="G70" i="8" l="1"/>
  <c r="I69" i="8"/>
  <c r="K69" i="8" s="1"/>
  <c r="I69" i="6"/>
  <c r="K69" i="6" s="1"/>
  <c r="I70" i="4"/>
  <c r="K70" i="4" s="1"/>
  <c r="I69" i="3"/>
  <c r="K69" i="3" s="1"/>
  <c r="I69" i="2"/>
  <c r="K69" i="2" s="1"/>
  <c r="I68" i="5"/>
  <c r="K68" i="5" s="1"/>
  <c r="G71" i="8" l="1"/>
  <c r="I70" i="8"/>
  <c r="K70" i="8" s="1"/>
  <c r="I70" i="6"/>
  <c r="K70" i="6" s="1"/>
  <c r="I71" i="4"/>
  <c r="K71" i="4" s="1"/>
  <c r="I70" i="3"/>
  <c r="K70" i="3" s="1"/>
  <c r="I70" i="2"/>
  <c r="K70" i="2" s="1"/>
  <c r="I69" i="5"/>
  <c r="K69" i="5" s="1"/>
  <c r="G72" i="8" l="1"/>
  <c r="I71" i="8"/>
  <c r="K71" i="8" s="1"/>
  <c r="I71" i="6"/>
  <c r="K71" i="6" s="1"/>
  <c r="I72" i="4"/>
  <c r="K72" i="4" s="1"/>
  <c r="I71" i="3"/>
  <c r="K71" i="3" s="1"/>
  <c r="I71" i="2"/>
  <c r="K71" i="2" s="1"/>
  <c r="I70" i="5"/>
  <c r="K70" i="5" s="1"/>
  <c r="G73" i="8" l="1"/>
  <c r="I72" i="8"/>
  <c r="K72" i="8" s="1"/>
  <c r="I72" i="6"/>
  <c r="K72" i="6" s="1"/>
  <c r="I73" i="4"/>
  <c r="K73" i="4" s="1"/>
  <c r="I72" i="3"/>
  <c r="K72" i="3" s="1"/>
  <c r="I72" i="2"/>
  <c r="K72" i="2" s="1"/>
  <c r="I71" i="5"/>
  <c r="K71" i="5" s="1"/>
  <c r="G74" i="8" l="1"/>
  <c r="I73" i="8"/>
  <c r="K73" i="8" s="1"/>
  <c r="I73" i="6"/>
  <c r="K73" i="6" s="1"/>
  <c r="I74" i="4"/>
  <c r="K74" i="4" s="1"/>
  <c r="I73" i="3"/>
  <c r="K73" i="3" s="1"/>
  <c r="I73" i="2"/>
  <c r="K73" i="2" s="1"/>
  <c r="I72" i="5"/>
  <c r="K72" i="5" s="1"/>
  <c r="G75" i="8" l="1"/>
  <c r="I74" i="8"/>
  <c r="K74" i="8" s="1"/>
  <c r="I74" i="6"/>
  <c r="K74" i="6" s="1"/>
  <c r="I75" i="4"/>
  <c r="K75" i="4" s="1"/>
  <c r="I74" i="3"/>
  <c r="K74" i="3" s="1"/>
  <c r="I74" i="2"/>
  <c r="K74" i="2" s="1"/>
  <c r="I73" i="5"/>
  <c r="K73" i="5" s="1"/>
  <c r="I75" i="8" l="1"/>
  <c r="K75" i="8" s="1"/>
  <c r="G76" i="8"/>
  <c r="I75" i="6"/>
  <c r="K75" i="6" s="1"/>
  <c r="I76" i="4"/>
  <c r="K76" i="4" s="1"/>
  <c r="I75" i="3"/>
  <c r="K75" i="3" s="1"/>
  <c r="I75" i="2"/>
  <c r="K75" i="2" s="1"/>
  <c r="I74" i="5"/>
  <c r="K74" i="5" s="1"/>
  <c r="G77" i="8" l="1"/>
  <c r="I76" i="8"/>
  <c r="K76" i="8" s="1"/>
  <c r="I76" i="6"/>
  <c r="K76" i="6" s="1"/>
  <c r="I77" i="4"/>
  <c r="K77" i="4" s="1"/>
  <c r="I76" i="3"/>
  <c r="K76" i="3" s="1"/>
  <c r="I76" i="2"/>
  <c r="K76" i="2" s="1"/>
  <c r="I75" i="5"/>
  <c r="K75" i="5" s="1"/>
  <c r="I77" i="8" l="1"/>
  <c r="K77" i="8" s="1"/>
  <c r="G78" i="8"/>
  <c r="I77" i="6"/>
  <c r="K77" i="6" s="1"/>
  <c r="I78" i="4"/>
  <c r="K78" i="4" s="1"/>
  <c r="I77" i="3"/>
  <c r="K77" i="3" s="1"/>
  <c r="I77" i="2"/>
  <c r="K77" i="2" s="1"/>
  <c r="I76" i="5"/>
  <c r="K76" i="5" s="1"/>
  <c r="G79" i="8" l="1"/>
  <c r="I78" i="8"/>
  <c r="K78" i="8" s="1"/>
  <c r="I78" i="6"/>
  <c r="K78" i="6" s="1"/>
  <c r="I79" i="4"/>
  <c r="K79" i="4" s="1"/>
  <c r="I78" i="3"/>
  <c r="K78" i="3" s="1"/>
  <c r="I78" i="2"/>
  <c r="K78" i="2" s="1"/>
  <c r="I77" i="5"/>
  <c r="K77" i="5" s="1"/>
  <c r="G80" i="8" l="1"/>
  <c r="I79" i="8"/>
  <c r="K79" i="8" s="1"/>
  <c r="I79" i="6"/>
  <c r="K79" i="6" s="1"/>
  <c r="I80" i="4"/>
  <c r="K80" i="4" s="1"/>
  <c r="I79" i="3"/>
  <c r="K79" i="3" s="1"/>
  <c r="I79" i="2"/>
  <c r="K79" i="2" s="1"/>
  <c r="I78" i="5"/>
  <c r="K78" i="5" s="1"/>
  <c r="G81" i="8" l="1"/>
  <c r="I80" i="8"/>
  <c r="K80" i="8" s="1"/>
  <c r="I80" i="6"/>
  <c r="K80" i="6" s="1"/>
  <c r="I81" i="4"/>
  <c r="K81" i="4" s="1"/>
  <c r="I80" i="3"/>
  <c r="K80" i="3" s="1"/>
  <c r="I80" i="2"/>
  <c r="K80" i="2" s="1"/>
  <c r="I79" i="5"/>
  <c r="K79" i="5" s="1"/>
  <c r="G82" i="8" l="1"/>
  <c r="I81" i="8"/>
  <c r="K81" i="8" s="1"/>
  <c r="I81" i="6"/>
  <c r="K81" i="6" s="1"/>
  <c r="I82" i="4"/>
  <c r="K82" i="4" s="1"/>
  <c r="I81" i="3"/>
  <c r="K81" i="3" s="1"/>
  <c r="I81" i="2"/>
  <c r="K81" i="2" s="1"/>
  <c r="I80" i="5"/>
  <c r="K80" i="5" s="1"/>
  <c r="G83" i="8" l="1"/>
  <c r="I82" i="8"/>
  <c r="K82" i="8" s="1"/>
  <c r="I82" i="6"/>
  <c r="K82" i="6" s="1"/>
  <c r="I83" i="4"/>
  <c r="K83" i="4" s="1"/>
  <c r="I82" i="3"/>
  <c r="K82" i="3" s="1"/>
  <c r="I82" i="2"/>
  <c r="K82" i="2" s="1"/>
  <c r="I81" i="5"/>
  <c r="K81" i="5" s="1"/>
  <c r="G84" i="8" l="1"/>
  <c r="I83" i="8"/>
  <c r="K83" i="8" s="1"/>
  <c r="I83" i="6"/>
  <c r="K83" i="6" s="1"/>
  <c r="I84" i="4"/>
  <c r="K84" i="4" s="1"/>
  <c r="I83" i="3"/>
  <c r="K83" i="3" s="1"/>
  <c r="I83" i="2"/>
  <c r="K83" i="2" s="1"/>
  <c r="I82" i="5"/>
  <c r="K82" i="5" s="1"/>
  <c r="G85" i="8" l="1"/>
  <c r="I84" i="8"/>
  <c r="K84" i="8" s="1"/>
  <c r="I84" i="6"/>
  <c r="K84" i="6" s="1"/>
  <c r="I85" i="4"/>
  <c r="K85" i="4" s="1"/>
  <c r="I84" i="3"/>
  <c r="K84" i="3" s="1"/>
  <c r="I84" i="2"/>
  <c r="K84" i="2" s="1"/>
  <c r="I83" i="5"/>
  <c r="K83" i="5" s="1"/>
  <c r="G86" i="8" l="1"/>
  <c r="I85" i="8"/>
  <c r="K85" i="8" s="1"/>
  <c r="I85" i="6"/>
  <c r="K85" i="6" s="1"/>
  <c r="I86" i="4"/>
  <c r="K86" i="4" s="1"/>
  <c r="I85" i="3"/>
  <c r="K85" i="3" s="1"/>
  <c r="I85" i="2"/>
  <c r="K85" i="2" s="1"/>
  <c r="I84" i="5"/>
  <c r="K84" i="5" s="1"/>
  <c r="G87" i="8" l="1"/>
  <c r="I86" i="8"/>
  <c r="K86" i="8" s="1"/>
  <c r="I86" i="6"/>
  <c r="K86" i="6" s="1"/>
  <c r="I87" i="4"/>
  <c r="K87" i="4" s="1"/>
  <c r="I86" i="3"/>
  <c r="K86" i="3" s="1"/>
  <c r="I86" i="2"/>
  <c r="K86" i="2" s="1"/>
  <c r="I85" i="5"/>
  <c r="K85" i="5" s="1"/>
  <c r="G88" i="8" l="1"/>
  <c r="I87" i="8"/>
  <c r="K87" i="8" s="1"/>
  <c r="I87" i="6"/>
  <c r="K87" i="6" s="1"/>
  <c r="I88" i="4"/>
  <c r="K88" i="4" s="1"/>
  <c r="I87" i="3"/>
  <c r="K87" i="3" s="1"/>
  <c r="I87" i="2"/>
  <c r="K87" i="2" s="1"/>
  <c r="I86" i="5"/>
  <c r="K86" i="5" s="1"/>
  <c r="G89" i="8" l="1"/>
  <c r="I88" i="8"/>
  <c r="K88" i="8" s="1"/>
  <c r="I88" i="6"/>
  <c r="K88" i="6" s="1"/>
  <c r="I89" i="4"/>
  <c r="K89" i="4" s="1"/>
  <c r="I88" i="3"/>
  <c r="K88" i="3" s="1"/>
  <c r="I88" i="2"/>
  <c r="K88" i="2" s="1"/>
  <c r="I87" i="5"/>
  <c r="K87" i="5" s="1"/>
  <c r="G90" i="8" l="1"/>
  <c r="I89" i="8"/>
  <c r="K89" i="8" s="1"/>
  <c r="I89" i="6"/>
  <c r="K89" i="6" s="1"/>
  <c r="I90" i="4"/>
  <c r="K90" i="4" s="1"/>
  <c r="I89" i="3"/>
  <c r="K89" i="3" s="1"/>
  <c r="I89" i="2"/>
  <c r="K89" i="2" s="1"/>
  <c r="I88" i="5"/>
  <c r="K88" i="5" s="1"/>
  <c r="G91" i="8" l="1"/>
  <c r="I90" i="8"/>
  <c r="K90" i="8" s="1"/>
  <c r="I90" i="6"/>
  <c r="K90" i="6" s="1"/>
  <c r="I91" i="4"/>
  <c r="K91" i="4" s="1"/>
  <c r="I90" i="3"/>
  <c r="K90" i="3" s="1"/>
  <c r="I90" i="2"/>
  <c r="K90" i="2" s="1"/>
  <c r="I89" i="5"/>
  <c r="K89" i="5" s="1"/>
  <c r="I91" i="8" l="1"/>
  <c r="K91" i="8" s="1"/>
  <c r="G92" i="8"/>
  <c r="I91" i="6"/>
  <c r="K91" i="6" s="1"/>
  <c r="I92" i="4"/>
  <c r="K92" i="4" s="1"/>
  <c r="I91" i="3"/>
  <c r="K91" i="3" s="1"/>
  <c r="I91" i="2"/>
  <c r="K91" i="2" s="1"/>
  <c r="I90" i="5"/>
  <c r="K90" i="5" s="1"/>
  <c r="G93" i="8" l="1"/>
  <c r="I92" i="8"/>
  <c r="K92" i="8" s="1"/>
  <c r="I92" i="6"/>
  <c r="K92" i="6" s="1"/>
  <c r="I93" i="4"/>
  <c r="K93" i="4" s="1"/>
  <c r="I92" i="3"/>
  <c r="K92" i="3" s="1"/>
  <c r="I92" i="2"/>
  <c r="K92" i="2" s="1"/>
  <c r="I91" i="5"/>
  <c r="K91" i="5" s="1"/>
  <c r="I93" i="8" l="1"/>
  <c r="K93" i="8" s="1"/>
  <c r="G94" i="8"/>
  <c r="I93" i="6"/>
  <c r="K93" i="6" s="1"/>
  <c r="I94" i="4"/>
  <c r="K94" i="4" s="1"/>
  <c r="I93" i="3"/>
  <c r="K93" i="3" s="1"/>
  <c r="I93" i="2"/>
  <c r="K93" i="2" s="1"/>
  <c r="I92" i="5"/>
  <c r="K92" i="5" s="1"/>
  <c r="G95" i="8" l="1"/>
  <c r="I94" i="8"/>
  <c r="K94" i="8" s="1"/>
  <c r="I94" i="6"/>
  <c r="K94" i="6" s="1"/>
  <c r="I95" i="4"/>
  <c r="K95" i="4" s="1"/>
  <c r="I94" i="3"/>
  <c r="K94" i="3" s="1"/>
  <c r="I94" i="2"/>
  <c r="K94" i="2" s="1"/>
  <c r="I93" i="5"/>
  <c r="K93" i="5" s="1"/>
  <c r="I95" i="8" l="1"/>
  <c r="K95" i="8" s="1"/>
  <c r="G96" i="8"/>
  <c r="I95" i="6"/>
  <c r="K95" i="6" s="1"/>
  <c r="I96" i="4"/>
  <c r="K96" i="4" s="1"/>
  <c r="I95" i="3"/>
  <c r="K95" i="3" s="1"/>
  <c r="I95" i="2"/>
  <c r="K95" i="2" s="1"/>
  <c r="I94" i="5"/>
  <c r="K94" i="5" s="1"/>
  <c r="G97" i="8" l="1"/>
  <c r="I96" i="8"/>
  <c r="K96" i="8" s="1"/>
  <c r="I96" i="6"/>
  <c r="K96" i="6" s="1"/>
  <c r="I97" i="4"/>
  <c r="K97" i="4" s="1"/>
  <c r="I96" i="3"/>
  <c r="K96" i="3" s="1"/>
  <c r="I96" i="2"/>
  <c r="K96" i="2" s="1"/>
  <c r="I95" i="5"/>
  <c r="K95" i="5" s="1"/>
  <c r="I97" i="8" l="1"/>
  <c r="K97" i="8" s="1"/>
  <c r="G98" i="8"/>
  <c r="I97" i="6"/>
  <c r="K97" i="6" s="1"/>
  <c r="I98" i="4"/>
  <c r="K98" i="4" s="1"/>
  <c r="I97" i="3"/>
  <c r="K97" i="3" s="1"/>
  <c r="I97" i="2"/>
  <c r="K97" i="2" s="1"/>
  <c r="I96" i="5"/>
  <c r="K96" i="5" s="1"/>
  <c r="G99" i="8" l="1"/>
  <c r="I98" i="8"/>
  <c r="K98" i="8" s="1"/>
  <c r="I98" i="6"/>
  <c r="K98" i="6" s="1"/>
  <c r="I99" i="4"/>
  <c r="K99" i="4" s="1"/>
  <c r="I98" i="3"/>
  <c r="K98" i="3" s="1"/>
  <c r="I98" i="2"/>
  <c r="K98" i="2" s="1"/>
  <c r="I97" i="5"/>
  <c r="K97" i="5" s="1"/>
  <c r="I99" i="8" l="1"/>
  <c r="K99" i="8" s="1"/>
  <c r="G100" i="8"/>
  <c r="I99" i="6"/>
  <c r="K99" i="6" s="1"/>
  <c r="I100" i="4"/>
  <c r="K100" i="4" s="1"/>
  <c r="I99" i="3"/>
  <c r="K99" i="3" s="1"/>
  <c r="I99" i="2"/>
  <c r="K99" i="2" s="1"/>
  <c r="I98" i="5"/>
  <c r="K98" i="5" s="1"/>
  <c r="G101" i="8" l="1"/>
  <c r="I100" i="8"/>
  <c r="K100" i="8" s="1"/>
  <c r="I100" i="6"/>
  <c r="K100" i="6" s="1"/>
  <c r="I101" i="4"/>
  <c r="K101" i="4" s="1"/>
  <c r="I100" i="3"/>
  <c r="K100" i="3" s="1"/>
  <c r="I100" i="2"/>
  <c r="K100" i="2" s="1"/>
  <c r="I99" i="5"/>
  <c r="K99" i="5" s="1"/>
  <c r="G102" i="8" l="1"/>
  <c r="I101" i="8"/>
  <c r="K101" i="8" s="1"/>
  <c r="I101" i="6"/>
  <c r="K101" i="6" s="1"/>
  <c r="I102" i="4"/>
  <c r="K102" i="4" s="1"/>
  <c r="I101" i="3"/>
  <c r="K101" i="3" s="1"/>
  <c r="I101" i="2"/>
  <c r="K101" i="2" s="1"/>
  <c r="I100" i="5"/>
  <c r="K100" i="5" s="1"/>
  <c r="G103" i="8" l="1"/>
  <c r="I102" i="8"/>
  <c r="K102" i="8" s="1"/>
  <c r="I102" i="6"/>
  <c r="K102" i="6" s="1"/>
  <c r="I103" i="4"/>
  <c r="K103" i="4" s="1"/>
  <c r="I102" i="3"/>
  <c r="K102" i="3" s="1"/>
  <c r="I102" i="2"/>
  <c r="K102" i="2" s="1"/>
  <c r="I101" i="5"/>
  <c r="K101" i="5" s="1"/>
  <c r="I103" i="8" l="1"/>
  <c r="K103" i="8" s="1"/>
  <c r="G104" i="8"/>
  <c r="I103" i="6"/>
  <c r="K103" i="6" s="1"/>
  <c r="I104" i="4"/>
  <c r="K104" i="4" s="1"/>
  <c r="I103" i="3"/>
  <c r="K103" i="3" s="1"/>
  <c r="I103" i="2"/>
  <c r="K103" i="2" s="1"/>
  <c r="I102" i="5"/>
  <c r="K102" i="5" s="1"/>
  <c r="G105" i="8" l="1"/>
  <c r="I104" i="8"/>
  <c r="K104" i="8" s="1"/>
  <c r="I104" i="6"/>
  <c r="K104" i="6" s="1"/>
  <c r="I105" i="4"/>
  <c r="K105" i="4" s="1"/>
  <c r="I104" i="3"/>
  <c r="K104" i="3" s="1"/>
  <c r="I104" i="2"/>
  <c r="K104" i="2" s="1"/>
  <c r="I103" i="5"/>
  <c r="K103" i="5" s="1"/>
  <c r="I105" i="8" l="1"/>
  <c r="K105" i="8" s="1"/>
  <c r="G106" i="8"/>
  <c r="I105" i="6"/>
  <c r="K105" i="6" s="1"/>
  <c r="I106" i="4"/>
  <c r="K106" i="4" s="1"/>
  <c r="I105" i="3"/>
  <c r="K105" i="3" s="1"/>
  <c r="I105" i="2"/>
  <c r="K105" i="2" s="1"/>
  <c r="I104" i="5"/>
  <c r="K104" i="5" s="1"/>
  <c r="G107" i="8" l="1"/>
  <c r="I106" i="8"/>
  <c r="K106" i="8" s="1"/>
  <c r="I106" i="6"/>
  <c r="K106" i="6" s="1"/>
  <c r="I107" i="4"/>
  <c r="K107" i="4" s="1"/>
  <c r="I106" i="3"/>
  <c r="K106" i="3" s="1"/>
  <c r="I106" i="2"/>
  <c r="K106" i="2" s="1"/>
  <c r="I105" i="5"/>
  <c r="K105" i="5" s="1"/>
  <c r="I107" i="8" l="1"/>
  <c r="K107" i="8" s="1"/>
  <c r="G108" i="8"/>
  <c r="I107" i="6"/>
  <c r="K107" i="6" s="1"/>
  <c r="I108" i="4"/>
  <c r="K108" i="4" s="1"/>
  <c r="I107" i="3"/>
  <c r="K107" i="3" s="1"/>
  <c r="I107" i="2"/>
  <c r="K107" i="2" s="1"/>
  <c r="I106" i="5"/>
  <c r="K106" i="5" s="1"/>
  <c r="G109" i="8" l="1"/>
  <c r="I108" i="8"/>
  <c r="K108" i="8" s="1"/>
  <c r="I108" i="6"/>
  <c r="K108" i="6" s="1"/>
  <c r="I109" i="4"/>
  <c r="K109" i="4" s="1"/>
  <c r="I108" i="3"/>
  <c r="K108" i="3" s="1"/>
  <c r="I108" i="2"/>
  <c r="K108" i="2" s="1"/>
  <c r="I107" i="5"/>
  <c r="K107" i="5" s="1"/>
  <c r="I109" i="8" l="1"/>
  <c r="K109" i="8" s="1"/>
  <c r="G110" i="8"/>
  <c r="I109" i="6"/>
  <c r="K109" i="6" s="1"/>
  <c r="I110" i="4"/>
  <c r="K110" i="4" s="1"/>
  <c r="I109" i="3"/>
  <c r="K109" i="3" s="1"/>
  <c r="I109" i="2"/>
  <c r="K109" i="2" s="1"/>
  <c r="I108" i="5"/>
  <c r="K108" i="5" s="1"/>
  <c r="G111" i="8" l="1"/>
  <c r="I110" i="8"/>
  <c r="K110" i="8" s="1"/>
  <c r="I110" i="6"/>
  <c r="K110" i="6" s="1"/>
  <c r="I111" i="4"/>
  <c r="K111" i="4" s="1"/>
  <c r="I110" i="3"/>
  <c r="K110" i="3" s="1"/>
  <c r="I110" i="2"/>
  <c r="K110" i="2" s="1"/>
  <c r="I109" i="5"/>
  <c r="K109" i="5" s="1"/>
  <c r="G112" i="8" l="1"/>
  <c r="I111" i="8"/>
  <c r="K111" i="8" s="1"/>
  <c r="I111" i="6"/>
  <c r="K111" i="6" s="1"/>
  <c r="I112" i="4"/>
  <c r="K112" i="4" s="1"/>
  <c r="I111" i="3"/>
  <c r="K111" i="3" s="1"/>
  <c r="I111" i="2"/>
  <c r="K111" i="2" s="1"/>
  <c r="I110" i="5"/>
  <c r="K110" i="5" s="1"/>
  <c r="G113" i="8" l="1"/>
  <c r="I112" i="8"/>
  <c r="K112" i="8" s="1"/>
  <c r="I112" i="6"/>
  <c r="K112" i="6" s="1"/>
  <c r="I113" i="4"/>
  <c r="K113" i="4" s="1"/>
  <c r="I112" i="3"/>
  <c r="K112" i="3" s="1"/>
  <c r="I112" i="2"/>
  <c r="K112" i="2" s="1"/>
  <c r="I111" i="5"/>
  <c r="K111" i="5" s="1"/>
  <c r="G114" i="8" l="1"/>
  <c r="I113" i="8"/>
  <c r="K113" i="8" s="1"/>
  <c r="I113" i="6"/>
  <c r="K113" i="6" s="1"/>
  <c r="I114" i="4"/>
  <c r="K114" i="4" s="1"/>
  <c r="I113" i="3"/>
  <c r="K113" i="3" s="1"/>
  <c r="I113" i="2"/>
  <c r="K113" i="2" s="1"/>
  <c r="I112" i="5"/>
  <c r="K112" i="5" s="1"/>
  <c r="G115" i="8" l="1"/>
  <c r="I114" i="8"/>
  <c r="K114" i="8" s="1"/>
  <c r="I114" i="6"/>
  <c r="K114" i="6" s="1"/>
  <c r="I115" i="4"/>
  <c r="K115" i="4" s="1"/>
  <c r="I114" i="3"/>
  <c r="K114" i="3" s="1"/>
  <c r="I114" i="2"/>
  <c r="K114" i="2" s="1"/>
  <c r="I113" i="5"/>
  <c r="K113" i="5" s="1"/>
  <c r="G116" i="8" l="1"/>
  <c r="I115" i="8"/>
  <c r="K115" i="8" s="1"/>
  <c r="I115" i="6"/>
  <c r="K115" i="6" s="1"/>
  <c r="I116" i="4"/>
  <c r="K116" i="4" s="1"/>
  <c r="I115" i="3"/>
  <c r="K115" i="3" s="1"/>
  <c r="I115" i="2"/>
  <c r="K115" i="2" s="1"/>
  <c r="I114" i="5"/>
  <c r="K114" i="5" s="1"/>
  <c r="G117" i="8" l="1"/>
  <c r="I116" i="8"/>
  <c r="K116" i="8" s="1"/>
  <c r="I116" i="6"/>
  <c r="K116" i="6" s="1"/>
  <c r="I117" i="4"/>
  <c r="K117" i="4" s="1"/>
  <c r="I116" i="3"/>
  <c r="K116" i="3" s="1"/>
  <c r="I116" i="2"/>
  <c r="K116" i="2" s="1"/>
  <c r="I115" i="5"/>
  <c r="K115" i="5" s="1"/>
  <c r="I117" i="8" l="1"/>
  <c r="K117" i="8" s="1"/>
  <c r="G118" i="8"/>
  <c r="I117" i="6"/>
  <c r="K117" i="6" s="1"/>
  <c r="I118" i="4"/>
  <c r="K118" i="4" s="1"/>
  <c r="I117" i="3"/>
  <c r="K117" i="3" s="1"/>
  <c r="I117" i="2"/>
  <c r="K117" i="2" s="1"/>
  <c r="I116" i="5"/>
  <c r="K116" i="5" s="1"/>
  <c r="G119" i="8" l="1"/>
  <c r="I118" i="8"/>
  <c r="K118" i="8" s="1"/>
  <c r="I118" i="6"/>
  <c r="K118" i="6" s="1"/>
  <c r="I119" i="4"/>
  <c r="K119" i="4" s="1"/>
  <c r="I118" i="3"/>
  <c r="K118" i="3" s="1"/>
  <c r="I118" i="2"/>
  <c r="K118" i="2" s="1"/>
  <c r="I117" i="5"/>
  <c r="K117" i="5" s="1"/>
  <c r="I119" i="8" l="1"/>
  <c r="K119" i="8" s="1"/>
  <c r="G120" i="8"/>
  <c r="I119" i="6"/>
  <c r="K119" i="6" s="1"/>
  <c r="I120" i="4"/>
  <c r="K120" i="4" s="1"/>
  <c r="I119" i="3"/>
  <c r="K119" i="3" s="1"/>
  <c r="I119" i="2"/>
  <c r="K119" i="2" s="1"/>
  <c r="I118" i="5"/>
  <c r="K118" i="5" s="1"/>
  <c r="G121" i="8" l="1"/>
  <c r="I120" i="8"/>
  <c r="K120" i="8" s="1"/>
  <c r="I120" i="6"/>
  <c r="K120" i="6" s="1"/>
  <c r="I121" i="4"/>
  <c r="K121" i="4" s="1"/>
  <c r="I120" i="3"/>
  <c r="K120" i="3" s="1"/>
  <c r="I120" i="2"/>
  <c r="K120" i="2" s="1"/>
  <c r="I119" i="5"/>
  <c r="K119" i="5" s="1"/>
  <c r="I121" i="8" l="1"/>
  <c r="K121" i="8" s="1"/>
  <c r="G122" i="8"/>
  <c r="I121" i="6"/>
  <c r="K121" i="6" s="1"/>
  <c r="I122" i="4"/>
  <c r="K122" i="4" s="1"/>
  <c r="I121" i="3"/>
  <c r="K121" i="3" s="1"/>
  <c r="I121" i="2"/>
  <c r="K121" i="2" s="1"/>
  <c r="I120" i="5"/>
  <c r="K120" i="5" s="1"/>
  <c r="G123" i="8" l="1"/>
  <c r="I122" i="8"/>
  <c r="K122" i="8" s="1"/>
  <c r="I122" i="6"/>
  <c r="K122" i="6" s="1"/>
  <c r="I123" i="4"/>
  <c r="K123" i="4" s="1"/>
  <c r="I122" i="3"/>
  <c r="K122" i="3" s="1"/>
  <c r="I122" i="2"/>
  <c r="K122" i="2" s="1"/>
  <c r="I121" i="5"/>
  <c r="K121" i="5" s="1"/>
  <c r="G124" i="8" l="1"/>
  <c r="I123" i="8"/>
  <c r="K123" i="8" s="1"/>
  <c r="I123" i="6"/>
  <c r="K123" i="6" s="1"/>
  <c r="I124" i="4"/>
  <c r="K124" i="4" s="1"/>
  <c r="I123" i="3"/>
  <c r="K123" i="3" s="1"/>
  <c r="I123" i="2"/>
  <c r="K123" i="2" s="1"/>
  <c r="I122" i="5"/>
  <c r="K122" i="5" s="1"/>
  <c r="G125" i="8" l="1"/>
  <c r="I124" i="8"/>
  <c r="K124" i="8" s="1"/>
  <c r="I124" i="6"/>
  <c r="K124" i="6" s="1"/>
  <c r="I125" i="4"/>
  <c r="K125" i="4" s="1"/>
  <c r="I124" i="3"/>
  <c r="K124" i="3" s="1"/>
  <c r="I124" i="2"/>
  <c r="K124" i="2" s="1"/>
  <c r="I123" i="5"/>
  <c r="K123" i="5" s="1"/>
  <c r="G126" i="8" l="1"/>
  <c r="I125" i="8"/>
  <c r="K125" i="8" s="1"/>
  <c r="I125" i="6"/>
  <c r="K125" i="6" s="1"/>
  <c r="I126" i="4"/>
  <c r="K126" i="4" s="1"/>
  <c r="I125" i="3"/>
  <c r="K125" i="3" s="1"/>
  <c r="I125" i="2"/>
  <c r="K125" i="2" s="1"/>
  <c r="I124" i="5"/>
  <c r="K124" i="5" s="1"/>
  <c r="G127" i="8" l="1"/>
  <c r="I126" i="8"/>
  <c r="K126" i="8" s="1"/>
  <c r="I126" i="6"/>
  <c r="K126" i="6" s="1"/>
  <c r="I127" i="4"/>
  <c r="K127" i="4" s="1"/>
  <c r="I126" i="3"/>
  <c r="K126" i="3" s="1"/>
  <c r="I126" i="2"/>
  <c r="K126" i="2" s="1"/>
  <c r="I125" i="5"/>
  <c r="K125" i="5" s="1"/>
  <c r="G128" i="8" l="1"/>
  <c r="I127" i="8"/>
  <c r="K127" i="8" s="1"/>
  <c r="I127" i="6"/>
  <c r="K127" i="6" s="1"/>
  <c r="I128" i="4"/>
  <c r="K128" i="4" s="1"/>
  <c r="I127" i="3"/>
  <c r="K127" i="3" s="1"/>
  <c r="I127" i="2"/>
  <c r="K127" i="2" s="1"/>
  <c r="I126" i="5"/>
  <c r="K126" i="5" s="1"/>
  <c r="G129" i="8" l="1"/>
  <c r="I128" i="8"/>
  <c r="K128" i="8" s="1"/>
  <c r="I128" i="6"/>
  <c r="K128" i="6" s="1"/>
  <c r="I129" i="4"/>
  <c r="K129" i="4" s="1"/>
  <c r="I128" i="3"/>
  <c r="K128" i="3" s="1"/>
  <c r="I128" i="2"/>
  <c r="K128" i="2" s="1"/>
  <c r="I127" i="5"/>
  <c r="K127" i="5" s="1"/>
  <c r="G130" i="8" l="1"/>
  <c r="I129" i="8"/>
  <c r="K129" i="8" s="1"/>
  <c r="I129" i="6"/>
  <c r="K129" i="6" s="1"/>
  <c r="I130" i="4"/>
  <c r="K130" i="4" s="1"/>
  <c r="I129" i="3"/>
  <c r="K129" i="3" s="1"/>
  <c r="I129" i="2"/>
  <c r="K129" i="2" s="1"/>
  <c r="I128" i="5"/>
  <c r="K128" i="5" s="1"/>
  <c r="G131" i="8" l="1"/>
  <c r="I130" i="8"/>
  <c r="K130" i="8" s="1"/>
  <c r="I130" i="6"/>
  <c r="K130" i="6" s="1"/>
  <c r="I131" i="4"/>
  <c r="K131" i="4" s="1"/>
  <c r="I130" i="3"/>
  <c r="K130" i="3" s="1"/>
  <c r="I130" i="2"/>
  <c r="K130" i="2" s="1"/>
  <c r="I129" i="5"/>
  <c r="K129" i="5" s="1"/>
  <c r="I131" i="8" l="1"/>
  <c r="K131" i="8" s="1"/>
  <c r="G132" i="8"/>
  <c r="I131" i="6"/>
  <c r="K131" i="6" s="1"/>
  <c r="I132" i="4"/>
  <c r="K132" i="4" s="1"/>
  <c r="I131" i="3"/>
  <c r="K131" i="3" s="1"/>
  <c r="I131" i="2"/>
  <c r="K131" i="2" s="1"/>
  <c r="I130" i="5"/>
  <c r="K130" i="5" s="1"/>
  <c r="G133" i="8" l="1"/>
  <c r="I132" i="8"/>
  <c r="K132" i="8" s="1"/>
  <c r="I132" i="6"/>
  <c r="K132" i="6" s="1"/>
  <c r="I133" i="4"/>
  <c r="K133" i="4" s="1"/>
  <c r="I132" i="3"/>
  <c r="K132" i="3" s="1"/>
  <c r="I132" i="2"/>
  <c r="K132" i="2" s="1"/>
  <c r="I131" i="5"/>
  <c r="K131" i="5" s="1"/>
  <c r="I133" i="8" l="1"/>
  <c r="K133" i="8" s="1"/>
  <c r="G134" i="8"/>
  <c r="I133" i="6"/>
  <c r="K133" i="6" s="1"/>
  <c r="I134" i="4"/>
  <c r="K134" i="4" s="1"/>
  <c r="I133" i="3"/>
  <c r="K133" i="3" s="1"/>
  <c r="I133" i="2"/>
  <c r="K133" i="2" s="1"/>
  <c r="I132" i="5"/>
  <c r="K132" i="5" s="1"/>
  <c r="G135" i="8" l="1"/>
  <c r="I134" i="8"/>
  <c r="K134" i="8" s="1"/>
  <c r="I134" i="6"/>
  <c r="K134" i="6" s="1"/>
  <c r="I135" i="4"/>
  <c r="K135" i="4" s="1"/>
  <c r="I134" i="3"/>
  <c r="K134" i="3" s="1"/>
  <c r="I134" i="2"/>
  <c r="K134" i="2" s="1"/>
  <c r="I133" i="5"/>
  <c r="K133" i="5" s="1"/>
  <c r="G136" i="8" l="1"/>
  <c r="I135" i="8"/>
  <c r="K135" i="8" s="1"/>
  <c r="I135" i="6"/>
  <c r="K135" i="6" s="1"/>
  <c r="I136" i="4"/>
  <c r="K136" i="4" s="1"/>
  <c r="I135" i="3"/>
  <c r="K135" i="3" s="1"/>
  <c r="I135" i="2"/>
  <c r="K135" i="2" s="1"/>
  <c r="I134" i="5"/>
  <c r="K134" i="5" s="1"/>
  <c r="G137" i="8" l="1"/>
  <c r="I136" i="8"/>
  <c r="K136" i="8" s="1"/>
  <c r="I136" i="6"/>
  <c r="K136" i="6" s="1"/>
  <c r="I137" i="4"/>
  <c r="K137" i="4" s="1"/>
  <c r="I136" i="3"/>
  <c r="K136" i="3" s="1"/>
  <c r="I136" i="2"/>
  <c r="K136" i="2" s="1"/>
  <c r="I135" i="5"/>
  <c r="K135" i="5" s="1"/>
  <c r="G138" i="8" l="1"/>
  <c r="I137" i="8"/>
  <c r="K137" i="8" s="1"/>
  <c r="I137" i="6"/>
  <c r="K137" i="6" s="1"/>
  <c r="I138" i="4"/>
  <c r="K138" i="4" s="1"/>
  <c r="I137" i="3"/>
  <c r="K137" i="3" s="1"/>
  <c r="I137" i="2"/>
  <c r="K137" i="2" s="1"/>
  <c r="I136" i="5"/>
  <c r="K136" i="5" s="1"/>
  <c r="G139" i="8" l="1"/>
  <c r="I138" i="8"/>
  <c r="K138" i="8" s="1"/>
  <c r="I138" i="6"/>
  <c r="K138" i="6" s="1"/>
  <c r="I139" i="4"/>
  <c r="K139" i="4" s="1"/>
  <c r="I138" i="3"/>
  <c r="K138" i="3" s="1"/>
  <c r="I138" i="2"/>
  <c r="K138" i="2" s="1"/>
  <c r="I137" i="5"/>
  <c r="K137" i="5" s="1"/>
  <c r="G140" i="8" l="1"/>
  <c r="I139" i="8"/>
  <c r="K139" i="8" s="1"/>
  <c r="I139" i="6"/>
  <c r="K139" i="6" s="1"/>
  <c r="I140" i="4"/>
  <c r="K140" i="4" s="1"/>
  <c r="I139" i="3"/>
  <c r="K139" i="3" s="1"/>
  <c r="I139" i="2"/>
  <c r="K139" i="2" s="1"/>
  <c r="I138" i="5"/>
  <c r="K138" i="5" s="1"/>
  <c r="G141" i="8" l="1"/>
  <c r="I140" i="8"/>
  <c r="K140" i="8" s="1"/>
  <c r="I140" i="6"/>
  <c r="K140" i="6" s="1"/>
  <c r="I141" i="4"/>
  <c r="K141" i="4" s="1"/>
  <c r="I140" i="3"/>
  <c r="K140" i="3" s="1"/>
  <c r="I140" i="2"/>
  <c r="K140" i="2" s="1"/>
  <c r="I139" i="5"/>
  <c r="K139" i="5" s="1"/>
  <c r="G142" i="8" l="1"/>
  <c r="I141" i="8"/>
  <c r="K141" i="8" s="1"/>
  <c r="I141" i="6"/>
  <c r="K141" i="6" s="1"/>
  <c r="I142" i="4"/>
  <c r="K142" i="4" s="1"/>
  <c r="I141" i="3"/>
  <c r="K141" i="3" s="1"/>
  <c r="I141" i="2"/>
  <c r="K141" i="2" s="1"/>
  <c r="I140" i="5"/>
  <c r="K140" i="5" s="1"/>
  <c r="G143" i="8" l="1"/>
  <c r="I142" i="8"/>
  <c r="K142" i="8" s="1"/>
  <c r="I142" i="6"/>
  <c r="K142" i="6" s="1"/>
  <c r="I143" i="4"/>
  <c r="K143" i="4" s="1"/>
  <c r="I142" i="3"/>
  <c r="K142" i="3" s="1"/>
  <c r="I142" i="2"/>
  <c r="K142" i="2" s="1"/>
  <c r="I141" i="5"/>
  <c r="K141" i="5" s="1"/>
  <c r="I143" i="8" l="1"/>
  <c r="K143" i="8" s="1"/>
  <c r="G144" i="8"/>
  <c r="I143" i="6"/>
  <c r="K143" i="6" s="1"/>
  <c r="I144" i="4"/>
  <c r="K144" i="4" s="1"/>
  <c r="I143" i="3"/>
  <c r="K143" i="3" s="1"/>
  <c r="I143" i="2"/>
  <c r="K143" i="2" s="1"/>
  <c r="I142" i="5"/>
  <c r="K142" i="5" s="1"/>
  <c r="G145" i="8" l="1"/>
  <c r="I144" i="8"/>
  <c r="K144" i="8" s="1"/>
  <c r="I144" i="6"/>
  <c r="K144" i="6" s="1"/>
  <c r="I145" i="4"/>
  <c r="K145" i="4" s="1"/>
  <c r="I144" i="3"/>
  <c r="K144" i="3" s="1"/>
  <c r="I144" i="2"/>
  <c r="K144" i="2" s="1"/>
  <c r="I143" i="5"/>
  <c r="K143" i="5" s="1"/>
  <c r="G146" i="8" l="1"/>
  <c r="I145" i="8"/>
  <c r="K145" i="8" s="1"/>
  <c r="I145" i="6"/>
  <c r="K145" i="6" s="1"/>
  <c r="I146" i="4"/>
  <c r="K146" i="4" s="1"/>
  <c r="I145" i="3"/>
  <c r="K145" i="3" s="1"/>
  <c r="I145" i="2"/>
  <c r="K145" i="2" s="1"/>
  <c r="I144" i="5"/>
  <c r="K144" i="5" s="1"/>
  <c r="G147" i="8" l="1"/>
  <c r="I146" i="8"/>
  <c r="K146" i="8" s="1"/>
  <c r="I146" i="6"/>
  <c r="K146" i="6" s="1"/>
  <c r="I147" i="4"/>
  <c r="K147" i="4" s="1"/>
  <c r="I146" i="3"/>
  <c r="K146" i="3" s="1"/>
  <c r="I146" i="2"/>
  <c r="K146" i="2" s="1"/>
  <c r="I145" i="5"/>
  <c r="K145" i="5" s="1"/>
  <c r="I147" i="8" l="1"/>
  <c r="K147" i="8" s="1"/>
  <c r="G148" i="8"/>
  <c r="I147" i="6"/>
  <c r="K147" i="6" s="1"/>
  <c r="I148" i="4"/>
  <c r="K148" i="4" s="1"/>
  <c r="I147" i="3"/>
  <c r="K147" i="3" s="1"/>
  <c r="I147" i="2"/>
  <c r="K147" i="2" s="1"/>
  <c r="I146" i="5"/>
  <c r="K146" i="5" s="1"/>
  <c r="G149" i="8" l="1"/>
  <c r="I148" i="8"/>
  <c r="K148" i="8" s="1"/>
  <c r="I148" i="6"/>
  <c r="K148" i="6" s="1"/>
  <c r="I149" i="4"/>
  <c r="K149" i="4" s="1"/>
  <c r="I148" i="3"/>
  <c r="K148" i="3" s="1"/>
  <c r="I148" i="2"/>
  <c r="K148" i="2" s="1"/>
  <c r="I147" i="5"/>
  <c r="K147" i="5" s="1"/>
  <c r="I149" i="8" l="1"/>
  <c r="K149" i="8" s="1"/>
  <c r="G150" i="8"/>
  <c r="I149" i="6"/>
  <c r="K149" i="6" s="1"/>
  <c r="I150" i="4"/>
  <c r="K150" i="4" s="1"/>
  <c r="I149" i="3"/>
  <c r="K149" i="3" s="1"/>
  <c r="I149" i="2"/>
  <c r="K149" i="2" s="1"/>
  <c r="I148" i="5"/>
  <c r="K148" i="5" s="1"/>
  <c r="G151" i="8" l="1"/>
  <c r="I150" i="8"/>
  <c r="K150" i="8" s="1"/>
  <c r="I150" i="6"/>
  <c r="K150" i="6" s="1"/>
  <c r="I151" i="4"/>
  <c r="K151" i="4" s="1"/>
  <c r="I150" i="3"/>
  <c r="K150" i="3" s="1"/>
  <c r="I150" i="2"/>
  <c r="K150" i="2" s="1"/>
  <c r="I149" i="5"/>
  <c r="K149" i="5" s="1"/>
  <c r="I151" i="8" l="1"/>
  <c r="K151" i="8" s="1"/>
  <c r="G152" i="8"/>
  <c r="I151" i="6"/>
  <c r="K151" i="6" s="1"/>
  <c r="I152" i="4"/>
  <c r="K152" i="4" s="1"/>
  <c r="I151" i="3"/>
  <c r="K151" i="3" s="1"/>
  <c r="I151" i="2"/>
  <c r="K151" i="2" s="1"/>
  <c r="I150" i="5"/>
  <c r="K150" i="5" s="1"/>
  <c r="G153" i="8" l="1"/>
  <c r="I152" i="8"/>
  <c r="K152" i="8" s="1"/>
  <c r="I152" i="6"/>
  <c r="K152" i="6" s="1"/>
  <c r="I153" i="4"/>
  <c r="K153" i="4" s="1"/>
  <c r="I152" i="3"/>
  <c r="K152" i="3" s="1"/>
  <c r="I152" i="2"/>
  <c r="K152" i="2" s="1"/>
  <c r="I151" i="5"/>
  <c r="K151" i="5" s="1"/>
  <c r="I153" i="8" l="1"/>
  <c r="K153" i="8" s="1"/>
  <c r="G154" i="8"/>
  <c r="I153" i="6"/>
  <c r="K153" i="6" s="1"/>
  <c r="I154" i="4"/>
  <c r="K154" i="4" s="1"/>
  <c r="I153" i="3"/>
  <c r="K153" i="3" s="1"/>
  <c r="I153" i="2"/>
  <c r="K153" i="2" s="1"/>
  <c r="I152" i="5"/>
  <c r="K152" i="5" s="1"/>
  <c r="G155" i="8" l="1"/>
  <c r="I154" i="8"/>
  <c r="K154" i="8" s="1"/>
  <c r="I154" i="6"/>
  <c r="K154" i="6" s="1"/>
  <c r="I155" i="4"/>
  <c r="K155" i="4" s="1"/>
  <c r="I154" i="3"/>
  <c r="K154" i="3" s="1"/>
  <c r="I154" i="2"/>
  <c r="K154" i="2" s="1"/>
  <c r="I153" i="5"/>
  <c r="K153" i="5" s="1"/>
  <c r="G156" i="8" l="1"/>
  <c r="I155" i="8"/>
  <c r="K155" i="8" s="1"/>
  <c r="I155" i="6"/>
  <c r="K155" i="6" s="1"/>
  <c r="I156" i="4"/>
  <c r="K156" i="4" s="1"/>
  <c r="I155" i="3"/>
  <c r="K155" i="3" s="1"/>
  <c r="I155" i="2"/>
  <c r="K155" i="2" s="1"/>
  <c r="I154" i="5"/>
  <c r="K154" i="5" s="1"/>
  <c r="G157" i="8" l="1"/>
  <c r="I156" i="8"/>
  <c r="K156" i="8" s="1"/>
  <c r="I156" i="6"/>
  <c r="K156" i="6" s="1"/>
  <c r="I157" i="4"/>
  <c r="K157" i="4" s="1"/>
  <c r="I156" i="3"/>
  <c r="K156" i="3" s="1"/>
  <c r="I156" i="2"/>
  <c r="K156" i="2" s="1"/>
  <c r="I155" i="5"/>
  <c r="K155" i="5" s="1"/>
  <c r="G158" i="8" l="1"/>
  <c r="I157" i="8"/>
  <c r="K157" i="8" s="1"/>
  <c r="I157" i="6"/>
  <c r="K157" i="6" s="1"/>
  <c r="I158" i="4"/>
  <c r="K158" i="4" s="1"/>
  <c r="I157" i="3"/>
  <c r="K157" i="3" s="1"/>
  <c r="I157" i="2"/>
  <c r="K157" i="2" s="1"/>
  <c r="I156" i="5"/>
  <c r="K156" i="5" s="1"/>
  <c r="G159" i="8" l="1"/>
  <c r="I158" i="8"/>
  <c r="K158" i="8" s="1"/>
  <c r="I158" i="6"/>
  <c r="K158" i="6" s="1"/>
  <c r="I159" i="4"/>
  <c r="K159" i="4" s="1"/>
  <c r="I158" i="3"/>
  <c r="K158" i="3" s="1"/>
  <c r="I158" i="2"/>
  <c r="K158" i="2" s="1"/>
  <c r="I157" i="5"/>
  <c r="K157" i="5" s="1"/>
  <c r="I159" i="8" l="1"/>
  <c r="K159" i="8" s="1"/>
  <c r="G160" i="8"/>
  <c r="I159" i="6"/>
  <c r="K159" i="6" s="1"/>
  <c r="I160" i="4"/>
  <c r="K160" i="4" s="1"/>
  <c r="I159" i="3"/>
  <c r="K159" i="3" s="1"/>
  <c r="I159" i="2"/>
  <c r="K159" i="2" s="1"/>
  <c r="I158" i="5"/>
  <c r="K158" i="5" s="1"/>
  <c r="G161" i="8" l="1"/>
  <c r="I160" i="8"/>
  <c r="K160" i="8" s="1"/>
  <c r="I160" i="6"/>
  <c r="K160" i="6" s="1"/>
  <c r="I161" i="4"/>
  <c r="K161" i="4" s="1"/>
  <c r="I160" i="3"/>
  <c r="K160" i="3" s="1"/>
  <c r="I160" i="2"/>
  <c r="K160" i="2" s="1"/>
  <c r="I159" i="5"/>
  <c r="K159" i="5" s="1"/>
  <c r="I161" i="8" l="1"/>
  <c r="K161" i="8" s="1"/>
  <c r="G162" i="8"/>
  <c r="I161" i="6"/>
  <c r="K161" i="6" s="1"/>
  <c r="I163" i="4"/>
  <c r="K163" i="4" s="1"/>
  <c r="I162" i="4"/>
  <c r="K162" i="4" s="1"/>
  <c r="I161" i="3"/>
  <c r="K161" i="3" s="1"/>
  <c r="I161" i="2"/>
  <c r="K161" i="2" s="1"/>
  <c r="I160" i="5"/>
  <c r="K160" i="5" s="1"/>
  <c r="G163" i="8" l="1"/>
  <c r="I163" i="8" s="1"/>
  <c r="K163" i="8" s="1"/>
  <c r="I162" i="8"/>
  <c r="K162" i="8" s="1"/>
  <c r="I163" i="6"/>
  <c r="K163" i="6" s="1"/>
  <c r="I162" i="6"/>
  <c r="K162" i="6" s="1"/>
  <c r="I163" i="3"/>
  <c r="K163" i="3" s="1"/>
  <c r="I162" i="3"/>
  <c r="K162" i="3" s="1"/>
  <c r="I163" i="2"/>
  <c r="K163" i="2" s="1"/>
  <c r="I162" i="2"/>
  <c r="K162" i="2" s="1"/>
  <c r="I161" i="5"/>
  <c r="K161" i="5" s="1"/>
  <c r="I162" i="5" l="1"/>
  <c r="K162" i="5" s="1"/>
  <c r="I163" i="5"/>
  <c r="K163" i="5" s="1"/>
</calcChain>
</file>

<file path=xl/sharedStrings.xml><?xml version="1.0" encoding="utf-8"?>
<sst xmlns="http://schemas.openxmlformats.org/spreadsheetml/2006/main" count="75" uniqueCount="22">
  <si>
    <t>date</t>
  </si>
  <si>
    <t>FENY</t>
  </si>
  <si>
    <t>FHLC</t>
  </si>
  <si>
    <t>FIDU</t>
  </si>
  <si>
    <t>FREL</t>
  </si>
  <si>
    <t>FSTA</t>
  </si>
  <si>
    <t>FTEC</t>
  </si>
  <si>
    <t>FUTY</t>
  </si>
  <si>
    <t>VDC</t>
  </si>
  <si>
    <t>VDE</t>
  </si>
  <si>
    <t>VFH</t>
  </si>
  <si>
    <t>VGT</t>
  </si>
  <si>
    <t>VHT</t>
  </si>
  <si>
    <t>VNQ</t>
  </si>
  <si>
    <t>VPU</t>
  </si>
  <si>
    <t>F</t>
  </si>
  <si>
    <t>V</t>
  </si>
  <si>
    <t>* moving avg</t>
  </si>
  <si>
    <t>* avg</t>
  </si>
  <si>
    <t>from ma</t>
  </si>
  <si>
    <t>from avg</t>
  </si>
  <si>
    <t>20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</si>
</sst>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.0000_);_(* \(#,##0.0000\);_(* &quot;-&quot;??_);_(@_)"/>
    <numFmt numFmtId="167" formatCode="0.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4" fontId="0" fillId="0" borderId="0" xfId="2" applyFont="1"/>
    <xf numFmtId="44" fontId="4" fillId="0" borderId="0" xfId="2" applyFont="1" applyAlignment="1">
      <alignment horizontal="right"/>
    </xf>
    <xf numFmtId="14" fontId="3" fillId="0" borderId="0" xfId="0" applyNumberFormat="1" applyFont="1"/>
    <xf numFmtId="44" fontId="3" fillId="0" borderId="0" xfId="2" applyFont="1"/>
    <xf numFmtId="0" fontId="3" fillId="0" borderId="0" xfId="0" applyFont="1"/>
    <xf numFmtId="44" fontId="5" fillId="0" borderId="0" xfId="2" applyFont="1"/>
    <xf numFmtId="44" fontId="2" fillId="0" borderId="0" xfId="2" applyFont="1"/>
    <xf numFmtId="165" fontId="4" fillId="0" borderId="0" xfId="1" applyNumberFormat="1" applyFont="1" applyAlignment="1">
      <alignment horizontal="right"/>
    </xf>
    <xf numFmtId="165" fontId="0" fillId="0" borderId="0" xfId="1" applyNumberFormat="1" applyFont="1"/>
    <xf numFmtId="165" fontId="0" fillId="0" borderId="0" xfId="0" applyNumberFormat="1"/>
    <xf numFmtId="44" fontId="4" fillId="0" borderId="0" xfId="2" quotePrefix="1" applyFont="1" applyAlignment="1">
      <alignment horizontal="right"/>
    </xf>
    <xf numFmtId="167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'Consumer Staples'!$C$2:$C$54</c:f>
              <c:numCache>
                <c:formatCode>_("$"* #,##0.00_);_("$"* \(#,##0.00\);_("$"* "-"??_);_(@_)</c:formatCode>
                <c:ptCount val="53"/>
                <c:pt idx="0">
                  <c:v>49.14</c:v>
                </c:pt>
                <c:pt idx="1">
                  <c:v>48.98</c:v>
                </c:pt>
                <c:pt idx="2">
                  <c:v>49.13</c:v>
                </c:pt>
                <c:pt idx="3">
                  <c:v>48.64</c:v>
                </c:pt>
                <c:pt idx="4">
                  <c:v>49.74</c:v>
                </c:pt>
                <c:pt idx="5">
                  <c:v>50.25</c:v>
                </c:pt>
                <c:pt idx="6">
                  <c:v>50.88</c:v>
                </c:pt>
                <c:pt idx="7">
                  <c:v>51.39</c:v>
                </c:pt>
                <c:pt idx="8">
                  <c:v>52.01</c:v>
                </c:pt>
                <c:pt idx="9">
                  <c:v>52.09</c:v>
                </c:pt>
                <c:pt idx="10">
                  <c:v>52.03</c:v>
                </c:pt>
                <c:pt idx="11">
                  <c:v>52.15</c:v>
                </c:pt>
                <c:pt idx="12">
                  <c:v>52.32</c:v>
                </c:pt>
                <c:pt idx="13">
                  <c:v>52.24</c:v>
                </c:pt>
                <c:pt idx="14">
                  <c:v>52.56</c:v>
                </c:pt>
                <c:pt idx="15">
                  <c:v>52.49</c:v>
                </c:pt>
                <c:pt idx="16">
                  <c:v>52.66</c:v>
                </c:pt>
                <c:pt idx="17">
                  <c:v>52.16</c:v>
                </c:pt>
                <c:pt idx="18">
                  <c:v>52.18</c:v>
                </c:pt>
                <c:pt idx="19">
                  <c:v>52.86</c:v>
                </c:pt>
                <c:pt idx="20">
                  <c:v>53.61</c:v>
                </c:pt>
                <c:pt idx="21">
                  <c:v>54.45</c:v>
                </c:pt>
                <c:pt idx="22">
                  <c:v>54.99</c:v>
                </c:pt>
                <c:pt idx="23">
                  <c:v>55.06</c:v>
                </c:pt>
                <c:pt idx="24">
                  <c:v>55.78</c:v>
                </c:pt>
                <c:pt idx="25">
                  <c:v>55.31</c:v>
                </c:pt>
                <c:pt idx="26">
                  <c:v>54.97</c:v>
                </c:pt>
                <c:pt idx="27">
                  <c:v>55.65</c:v>
                </c:pt>
                <c:pt idx="28">
                  <c:v>56.39</c:v>
                </c:pt>
                <c:pt idx="29">
                  <c:v>56.57</c:v>
                </c:pt>
                <c:pt idx="30">
                  <c:v>55.79</c:v>
                </c:pt>
                <c:pt idx="31">
                  <c:v>55.53</c:v>
                </c:pt>
                <c:pt idx="32">
                  <c:v>55.39</c:v>
                </c:pt>
                <c:pt idx="33">
                  <c:v>55.5</c:v>
                </c:pt>
                <c:pt idx="34">
                  <c:v>56.17</c:v>
                </c:pt>
                <c:pt idx="35">
                  <c:v>56.66</c:v>
                </c:pt>
                <c:pt idx="36">
                  <c:v>56.23</c:v>
                </c:pt>
                <c:pt idx="37">
                  <c:v>56.15</c:v>
                </c:pt>
                <c:pt idx="38">
                  <c:v>56.91</c:v>
                </c:pt>
                <c:pt idx="39">
                  <c:v>56.14</c:v>
                </c:pt>
                <c:pt idx="40">
                  <c:v>55.62</c:v>
                </c:pt>
                <c:pt idx="41">
                  <c:v>55.27</c:v>
                </c:pt>
                <c:pt idx="42">
                  <c:v>54.09</c:v>
                </c:pt>
                <c:pt idx="43">
                  <c:v>54.26</c:v>
                </c:pt>
                <c:pt idx="44">
                  <c:v>54.41</c:v>
                </c:pt>
                <c:pt idx="45">
                  <c:v>54.33</c:v>
                </c:pt>
                <c:pt idx="46">
                  <c:v>53.71</c:v>
                </c:pt>
                <c:pt idx="47">
                  <c:v>53.59</c:v>
                </c:pt>
                <c:pt idx="48">
                  <c:v>53.93</c:v>
                </c:pt>
                <c:pt idx="49">
                  <c:v>53.96</c:v>
                </c:pt>
                <c:pt idx="50">
                  <c:v>53.76</c:v>
                </c:pt>
                <c:pt idx="51">
                  <c:v>52.5</c:v>
                </c:pt>
                <c:pt idx="52">
                  <c:v>52.12</c:v>
                </c:pt>
              </c:numCache>
            </c:numRef>
          </c:xVal>
          <c:yVal>
            <c:numRef>
              <c:f>'Consumer Staples'!$D$2:$D$54</c:f>
              <c:numCache>
                <c:formatCode>_("$"* #,##0.00_);_("$"* \(#,##0.00\);_("$"* "-"??_);_(@_)</c:formatCode>
                <c:ptCount val="53"/>
                <c:pt idx="0">
                  <c:v>210.9</c:v>
                </c:pt>
                <c:pt idx="1">
                  <c:v>210.27</c:v>
                </c:pt>
                <c:pt idx="2">
                  <c:v>210.77</c:v>
                </c:pt>
                <c:pt idx="3">
                  <c:v>208.73</c:v>
                </c:pt>
                <c:pt idx="4">
                  <c:v>213.42</c:v>
                </c:pt>
                <c:pt idx="5">
                  <c:v>215.68</c:v>
                </c:pt>
                <c:pt idx="6">
                  <c:v>218.47</c:v>
                </c:pt>
                <c:pt idx="7">
                  <c:v>220.62</c:v>
                </c:pt>
                <c:pt idx="8">
                  <c:v>223.33</c:v>
                </c:pt>
                <c:pt idx="9">
                  <c:v>223.56</c:v>
                </c:pt>
                <c:pt idx="10">
                  <c:v>223.36</c:v>
                </c:pt>
                <c:pt idx="11">
                  <c:v>223.74</c:v>
                </c:pt>
                <c:pt idx="12">
                  <c:v>224.58</c:v>
                </c:pt>
                <c:pt idx="13">
                  <c:v>224.2</c:v>
                </c:pt>
                <c:pt idx="14">
                  <c:v>225.56</c:v>
                </c:pt>
                <c:pt idx="15">
                  <c:v>225.25</c:v>
                </c:pt>
                <c:pt idx="16">
                  <c:v>226.05</c:v>
                </c:pt>
                <c:pt idx="17">
                  <c:v>223.94</c:v>
                </c:pt>
                <c:pt idx="18">
                  <c:v>223.86</c:v>
                </c:pt>
                <c:pt idx="19">
                  <c:v>226.93</c:v>
                </c:pt>
                <c:pt idx="20">
                  <c:v>230.05</c:v>
                </c:pt>
                <c:pt idx="21">
                  <c:v>233.64</c:v>
                </c:pt>
                <c:pt idx="22">
                  <c:v>236.02</c:v>
                </c:pt>
                <c:pt idx="23">
                  <c:v>236.13</c:v>
                </c:pt>
                <c:pt idx="24">
                  <c:v>239.32</c:v>
                </c:pt>
                <c:pt idx="25">
                  <c:v>237.36</c:v>
                </c:pt>
                <c:pt idx="26">
                  <c:v>235.81</c:v>
                </c:pt>
                <c:pt idx="27">
                  <c:v>238.82</c:v>
                </c:pt>
                <c:pt idx="28">
                  <c:v>241.86</c:v>
                </c:pt>
                <c:pt idx="29">
                  <c:v>242.63</c:v>
                </c:pt>
                <c:pt idx="30">
                  <c:v>239.36</c:v>
                </c:pt>
                <c:pt idx="31">
                  <c:v>238.38</c:v>
                </c:pt>
                <c:pt idx="32">
                  <c:v>237.63</c:v>
                </c:pt>
                <c:pt idx="33">
                  <c:v>238.2</c:v>
                </c:pt>
                <c:pt idx="34">
                  <c:v>241.01</c:v>
                </c:pt>
                <c:pt idx="35">
                  <c:v>243.1</c:v>
                </c:pt>
                <c:pt idx="36">
                  <c:v>241.29</c:v>
                </c:pt>
                <c:pt idx="37">
                  <c:v>240.89</c:v>
                </c:pt>
                <c:pt idx="38">
                  <c:v>244.19</c:v>
                </c:pt>
                <c:pt idx="39">
                  <c:v>240.91</c:v>
                </c:pt>
                <c:pt idx="40">
                  <c:v>238.63</c:v>
                </c:pt>
                <c:pt idx="41">
                  <c:v>237.13</c:v>
                </c:pt>
                <c:pt idx="42">
                  <c:v>232.11</c:v>
                </c:pt>
                <c:pt idx="43">
                  <c:v>232.79</c:v>
                </c:pt>
                <c:pt idx="44">
                  <c:v>233.42</c:v>
                </c:pt>
                <c:pt idx="45">
                  <c:v>233.16</c:v>
                </c:pt>
                <c:pt idx="46">
                  <c:v>230.53</c:v>
                </c:pt>
                <c:pt idx="47">
                  <c:v>230.13</c:v>
                </c:pt>
                <c:pt idx="48">
                  <c:v>231.38</c:v>
                </c:pt>
                <c:pt idx="49">
                  <c:v>231.66</c:v>
                </c:pt>
                <c:pt idx="50">
                  <c:v>230.81</c:v>
                </c:pt>
                <c:pt idx="51">
                  <c:v>225.32</c:v>
                </c:pt>
                <c:pt idx="52">
                  <c:v>223.68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F3-40E4-A4D5-045D454DFD26}"/>
            </c:ext>
          </c:extLst>
        </c:ser>
        <c:ser>
          <c:idx val="1"/>
          <c:order val="1"/>
          <c:tx>
            <c:v>Series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'Consumer Staples'!$C$55:$C$56</c:f>
              <c:numCache>
                <c:formatCode>_("$"* #,##0.00_);_("$"* \(#,##0.00\);_("$"* "-"??_);_(@_)</c:formatCode>
                <c:ptCount val="2"/>
                <c:pt idx="0">
                  <c:v>51.62</c:v>
                </c:pt>
                <c:pt idx="1">
                  <c:v>51.86</c:v>
                </c:pt>
              </c:numCache>
            </c:numRef>
          </c:xVal>
          <c:yVal>
            <c:numRef>
              <c:f>'Consumer Staples'!$D$55:$D$56</c:f>
              <c:numCache>
                <c:formatCode>_("$"* #,##0.00_);_("$"* \(#,##0.00\);_("$"* "-"??_);_(@_)</c:formatCode>
                <c:ptCount val="2"/>
                <c:pt idx="0">
                  <c:v>221.54</c:v>
                </c:pt>
                <c:pt idx="1">
                  <c:v>222.44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F3-40E4-A4D5-045D454DFD26}"/>
            </c:ext>
          </c:extLst>
        </c:ser>
        <c:ser>
          <c:idx val="2"/>
          <c:order val="2"/>
          <c:tx>
            <c:v>Series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'Consumer Staples'!$C$57:$C$116</c:f>
              <c:numCache>
                <c:formatCode>_("$"* #,##0.00_);_("$"* \(#,##0.00\);_("$"* "-"??_);_(@_)</c:formatCode>
                <c:ptCount val="60"/>
                <c:pt idx="0">
                  <c:v>51.55</c:v>
                </c:pt>
                <c:pt idx="1">
                  <c:v>51.89</c:v>
                </c:pt>
                <c:pt idx="2">
                  <c:v>51.7</c:v>
                </c:pt>
                <c:pt idx="3">
                  <c:v>52</c:v>
                </c:pt>
                <c:pt idx="4">
                  <c:v>52.23</c:v>
                </c:pt>
                <c:pt idx="5">
                  <c:v>52.33</c:v>
                </c:pt>
                <c:pt idx="6">
                  <c:v>52.1</c:v>
                </c:pt>
                <c:pt idx="7">
                  <c:v>52.4</c:v>
                </c:pt>
                <c:pt idx="8">
                  <c:v>52.85</c:v>
                </c:pt>
                <c:pt idx="9">
                  <c:v>51.99</c:v>
                </c:pt>
                <c:pt idx="10">
                  <c:v>53.03</c:v>
                </c:pt>
                <c:pt idx="11">
                  <c:v>53.52</c:v>
                </c:pt>
                <c:pt idx="12">
                  <c:v>52.79</c:v>
                </c:pt>
                <c:pt idx="13">
                  <c:v>52.25</c:v>
                </c:pt>
                <c:pt idx="14">
                  <c:v>52.16</c:v>
                </c:pt>
                <c:pt idx="15">
                  <c:v>51.96</c:v>
                </c:pt>
                <c:pt idx="16">
                  <c:v>52.12</c:v>
                </c:pt>
                <c:pt idx="17">
                  <c:v>52.84</c:v>
                </c:pt>
                <c:pt idx="18">
                  <c:v>52.78</c:v>
                </c:pt>
                <c:pt idx="19">
                  <c:v>52.52</c:v>
                </c:pt>
                <c:pt idx="20">
                  <c:v>52.7</c:v>
                </c:pt>
                <c:pt idx="21">
                  <c:v>53.45</c:v>
                </c:pt>
                <c:pt idx="22">
                  <c:v>53.37</c:v>
                </c:pt>
                <c:pt idx="23">
                  <c:v>52.82</c:v>
                </c:pt>
                <c:pt idx="24">
                  <c:v>53.19</c:v>
                </c:pt>
                <c:pt idx="25">
                  <c:v>53.09</c:v>
                </c:pt>
                <c:pt idx="26">
                  <c:v>54.09</c:v>
                </c:pt>
                <c:pt idx="27">
                  <c:v>53.95</c:v>
                </c:pt>
                <c:pt idx="28">
                  <c:v>53.51</c:v>
                </c:pt>
                <c:pt idx="29">
                  <c:v>53.76</c:v>
                </c:pt>
                <c:pt idx="30">
                  <c:v>53.71</c:v>
                </c:pt>
                <c:pt idx="31">
                  <c:v>53.55</c:v>
                </c:pt>
                <c:pt idx="32">
                  <c:v>53.6</c:v>
                </c:pt>
                <c:pt idx="33">
                  <c:v>53</c:v>
                </c:pt>
                <c:pt idx="34">
                  <c:v>53.69</c:v>
                </c:pt>
                <c:pt idx="35">
                  <c:v>53.85</c:v>
                </c:pt>
                <c:pt idx="36">
                  <c:v>54</c:v>
                </c:pt>
                <c:pt idx="37">
                  <c:v>53.84</c:v>
                </c:pt>
                <c:pt idx="38">
                  <c:v>54.54</c:v>
                </c:pt>
                <c:pt idx="39">
                  <c:v>54.69</c:v>
                </c:pt>
                <c:pt idx="40">
                  <c:v>54.29</c:v>
                </c:pt>
                <c:pt idx="41">
                  <c:v>53.5</c:v>
                </c:pt>
                <c:pt idx="42">
                  <c:v>53.5</c:v>
                </c:pt>
                <c:pt idx="43">
                  <c:v>52.75</c:v>
                </c:pt>
                <c:pt idx="44">
                  <c:v>53.28</c:v>
                </c:pt>
                <c:pt idx="45">
                  <c:v>53.15</c:v>
                </c:pt>
                <c:pt idx="46">
                  <c:v>52.11</c:v>
                </c:pt>
                <c:pt idx="47">
                  <c:v>51.58</c:v>
                </c:pt>
                <c:pt idx="48">
                  <c:v>51.44</c:v>
                </c:pt>
                <c:pt idx="49">
                  <c:v>51.75</c:v>
                </c:pt>
                <c:pt idx="50">
                  <c:v>51.7</c:v>
                </c:pt>
                <c:pt idx="51">
                  <c:v>52.57</c:v>
                </c:pt>
                <c:pt idx="52">
                  <c:v>52.48</c:v>
                </c:pt>
                <c:pt idx="53">
                  <c:v>52.98</c:v>
                </c:pt>
                <c:pt idx="54">
                  <c:v>53.91</c:v>
                </c:pt>
                <c:pt idx="55">
                  <c:v>53.74</c:v>
                </c:pt>
                <c:pt idx="56">
                  <c:v>54.11</c:v>
                </c:pt>
                <c:pt idx="57">
                  <c:v>53.93</c:v>
                </c:pt>
                <c:pt idx="58">
                  <c:v>54.01</c:v>
                </c:pt>
                <c:pt idx="59">
                  <c:v>52.9</c:v>
                </c:pt>
              </c:numCache>
            </c:numRef>
          </c:xVal>
          <c:yVal>
            <c:numRef>
              <c:f>'Consumer Staples'!$D$57:$D$116</c:f>
              <c:numCache>
                <c:formatCode>_("$"* #,##0.00_);_("$"* \(#,##0.00\);_("$"* "-"??_);_(@_)</c:formatCode>
                <c:ptCount val="60"/>
                <c:pt idx="0">
                  <c:v>221.31</c:v>
                </c:pt>
                <c:pt idx="1">
                  <c:v>222.65</c:v>
                </c:pt>
                <c:pt idx="2">
                  <c:v>221.7</c:v>
                </c:pt>
                <c:pt idx="3">
                  <c:v>223.18</c:v>
                </c:pt>
                <c:pt idx="4">
                  <c:v>224.07</c:v>
                </c:pt>
                <c:pt idx="5">
                  <c:v>224.59</c:v>
                </c:pt>
                <c:pt idx="6">
                  <c:v>223.73</c:v>
                </c:pt>
                <c:pt idx="7">
                  <c:v>224.97</c:v>
                </c:pt>
                <c:pt idx="8">
                  <c:v>226.81</c:v>
                </c:pt>
                <c:pt idx="9">
                  <c:v>223.16</c:v>
                </c:pt>
                <c:pt idx="10">
                  <c:v>227.68</c:v>
                </c:pt>
                <c:pt idx="11">
                  <c:v>229.63</c:v>
                </c:pt>
                <c:pt idx="12">
                  <c:v>226.52</c:v>
                </c:pt>
                <c:pt idx="13">
                  <c:v>224.2</c:v>
                </c:pt>
                <c:pt idx="14">
                  <c:v>223.95</c:v>
                </c:pt>
                <c:pt idx="15">
                  <c:v>222.98</c:v>
                </c:pt>
                <c:pt idx="16">
                  <c:v>223.71</c:v>
                </c:pt>
                <c:pt idx="17">
                  <c:v>226.87</c:v>
                </c:pt>
                <c:pt idx="18">
                  <c:v>226.67</c:v>
                </c:pt>
                <c:pt idx="19">
                  <c:v>225.51</c:v>
                </c:pt>
                <c:pt idx="20">
                  <c:v>226.28</c:v>
                </c:pt>
                <c:pt idx="21">
                  <c:v>229.51</c:v>
                </c:pt>
                <c:pt idx="22">
                  <c:v>229.06</c:v>
                </c:pt>
                <c:pt idx="23">
                  <c:v>226.73</c:v>
                </c:pt>
                <c:pt idx="24">
                  <c:v>228.33</c:v>
                </c:pt>
                <c:pt idx="25">
                  <c:v>228.07</c:v>
                </c:pt>
                <c:pt idx="26">
                  <c:v>232.14</c:v>
                </c:pt>
                <c:pt idx="27">
                  <c:v>231.6</c:v>
                </c:pt>
                <c:pt idx="28">
                  <c:v>229.79</c:v>
                </c:pt>
                <c:pt idx="29">
                  <c:v>230.81</c:v>
                </c:pt>
                <c:pt idx="30">
                  <c:v>230.59</c:v>
                </c:pt>
                <c:pt idx="31">
                  <c:v>229.94</c:v>
                </c:pt>
                <c:pt idx="32">
                  <c:v>230.24</c:v>
                </c:pt>
                <c:pt idx="33">
                  <c:v>227.58</c:v>
                </c:pt>
                <c:pt idx="34">
                  <c:v>230.59</c:v>
                </c:pt>
                <c:pt idx="35">
                  <c:v>231.23</c:v>
                </c:pt>
                <c:pt idx="36">
                  <c:v>231.96</c:v>
                </c:pt>
                <c:pt idx="37">
                  <c:v>231.25</c:v>
                </c:pt>
                <c:pt idx="38">
                  <c:v>234.25</c:v>
                </c:pt>
                <c:pt idx="39">
                  <c:v>234.76</c:v>
                </c:pt>
                <c:pt idx="40">
                  <c:v>233.14</c:v>
                </c:pt>
                <c:pt idx="41">
                  <c:v>229.78</c:v>
                </c:pt>
                <c:pt idx="42">
                  <c:v>229.69</c:v>
                </c:pt>
                <c:pt idx="43">
                  <c:v>226.39</c:v>
                </c:pt>
                <c:pt idx="44">
                  <c:v>228.79</c:v>
                </c:pt>
                <c:pt idx="45">
                  <c:v>228.13</c:v>
                </c:pt>
                <c:pt idx="46">
                  <c:v>223.75</c:v>
                </c:pt>
                <c:pt idx="47">
                  <c:v>221.47</c:v>
                </c:pt>
                <c:pt idx="48">
                  <c:v>220.82</c:v>
                </c:pt>
                <c:pt idx="49">
                  <c:v>222.17</c:v>
                </c:pt>
                <c:pt idx="50">
                  <c:v>221.91</c:v>
                </c:pt>
                <c:pt idx="51">
                  <c:v>225.75</c:v>
                </c:pt>
                <c:pt idx="52">
                  <c:v>225.19</c:v>
                </c:pt>
                <c:pt idx="53">
                  <c:v>227.52</c:v>
                </c:pt>
                <c:pt idx="54">
                  <c:v>231.33</c:v>
                </c:pt>
                <c:pt idx="55">
                  <c:v>230.74</c:v>
                </c:pt>
                <c:pt idx="56">
                  <c:v>232.25</c:v>
                </c:pt>
                <c:pt idx="57">
                  <c:v>231.48</c:v>
                </c:pt>
                <c:pt idx="58">
                  <c:v>231.64</c:v>
                </c:pt>
                <c:pt idx="59">
                  <c:v>227.01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F3-40E4-A4D5-045D454DFD26}"/>
            </c:ext>
          </c:extLst>
        </c:ser>
        <c:ser>
          <c:idx val="3"/>
          <c:order val="3"/>
          <c:tx>
            <c:v>Series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'Consumer Staples'!$C$117:$C$119</c:f>
              <c:numCache>
                <c:formatCode>_("$"* #,##0.00_);_("$"* \(#,##0.00\);_("$"* "-"??_);_(@_)</c:formatCode>
                <c:ptCount val="3"/>
                <c:pt idx="0">
                  <c:v>52.705999999999996</c:v>
                </c:pt>
                <c:pt idx="1">
                  <c:v>52.345999999999997</c:v>
                </c:pt>
                <c:pt idx="2">
                  <c:v>53.246000000000002</c:v>
                </c:pt>
              </c:numCache>
            </c:numRef>
          </c:xVal>
          <c:yVal>
            <c:numRef>
              <c:f>'Consumer Staples'!$D$117:$D$119</c:f>
              <c:numCache>
                <c:formatCode>_("$"* #,##0.00_);_("$"* \(#,##0.00\);_("$"* "-"??_);_(@_)</c:formatCode>
                <c:ptCount val="3"/>
                <c:pt idx="0">
                  <c:v>226.11</c:v>
                </c:pt>
                <c:pt idx="1">
                  <c:v>224.5</c:v>
                </c:pt>
                <c:pt idx="2">
                  <c:v>228.7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F3-40E4-A4D5-045D454DFD26}"/>
            </c:ext>
          </c:extLst>
        </c:ser>
        <c:ser>
          <c:idx val="4"/>
          <c:order val="4"/>
          <c:tx>
            <c:v>Series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'Consumer Staples'!$C$120:$C$163</c:f>
              <c:numCache>
                <c:formatCode>_("$"* #,##0.00_);_("$"* \(#,##0.00\);_("$"* "-"??_);_(@_)</c:formatCode>
                <c:ptCount val="44"/>
                <c:pt idx="0">
                  <c:v>53.41</c:v>
                </c:pt>
                <c:pt idx="1">
                  <c:v>52.97</c:v>
                </c:pt>
                <c:pt idx="2">
                  <c:v>53.49</c:v>
                </c:pt>
                <c:pt idx="3">
                  <c:v>53.29</c:v>
                </c:pt>
                <c:pt idx="4">
                  <c:v>52.54</c:v>
                </c:pt>
                <c:pt idx="5">
                  <c:v>52.58</c:v>
                </c:pt>
                <c:pt idx="6">
                  <c:v>53.7</c:v>
                </c:pt>
                <c:pt idx="7">
                  <c:v>53.18</c:v>
                </c:pt>
                <c:pt idx="8">
                  <c:v>53.59</c:v>
                </c:pt>
                <c:pt idx="9">
                  <c:v>53.3</c:v>
                </c:pt>
                <c:pt idx="10">
                  <c:v>52.57</c:v>
                </c:pt>
                <c:pt idx="11">
                  <c:v>53.1</c:v>
                </c:pt>
                <c:pt idx="12">
                  <c:v>53.4</c:v>
                </c:pt>
                <c:pt idx="13">
                  <c:v>52.74</c:v>
                </c:pt>
                <c:pt idx="14">
                  <c:v>52.68</c:v>
                </c:pt>
                <c:pt idx="15">
                  <c:v>54.12</c:v>
                </c:pt>
                <c:pt idx="16">
                  <c:v>53.64</c:v>
                </c:pt>
                <c:pt idx="17">
                  <c:v>53.45</c:v>
                </c:pt>
                <c:pt idx="18">
                  <c:v>53</c:v>
                </c:pt>
                <c:pt idx="19">
                  <c:v>53.14</c:v>
                </c:pt>
                <c:pt idx="20">
                  <c:v>52.41</c:v>
                </c:pt>
                <c:pt idx="21">
                  <c:v>52.95</c:v>
                </c:pt>
                <c:pt idx="22">
                  <c:v>53.78</c:v>
                </c:pt>
                <c:pt idx="23">
                  <c:v>54.89</c:v>
                </c:pt>
                <c:pt idx="24">
                  <c:v>54.97</c:v>
                </c:pt>
                <c:pt idx="25">
                  <c:v>53.91</c:v>
                </c:pt>
                <c:pt idx="26">
                  <c:v>53.66</c:v>
                </c:pt>
                <c:pt idx="27">
                  <c:v>53.56</c:v>
                </c:pt>
                <c:pt idx="28">
                  <c:v>53.9</c:v>
                </c:pt>
                <c:pt idx="29">
                  <c:v>53.85</c:v>
                </c:pt>
                <c:pt idx="30">
                  <c:v>53.77</c:v>
                </c:pt>
                <c:pt idx="31">
                  <c:v>53.87</c:v>
                </c:pt>
                <c:pt idx="32">
                  <c:v>53.71</c:v>
                </c:pt>
                <c:pt idx="33">
                  <c:v>53.62</c:v>
                </c:pt>
                <c:pt idx="34">
                  <c:v>53.82</c:v>
                </c:pt>
                <c:pt idx="35">
                  <c:v>54.3</c:v>
                </c:pt>
                <c:pt idx="36">
                  <c:v>54.35</c:v>
                </c:pt>
                <c:pt idx="37">
                  <c:v>53.62</c:v>
                </c:pt>
                <c:pt idx="38">
                  <c:v>54.06</c:v>
                </c:pt>
                <c:pt idx="39">
                  <c:v>54.62</c:v>
                </c:pt>
                <c:pt idx="40">
                  <c:v>53.64</c:v>
                </c:pt>
                <c:pt idx="41">
                  <c:v>54.04</c:v>
                </c:pt>
                <c:pt idx="42">
                  <c:v>54.92</c:v>
                </c:pt>
                <c:pt idx="43">
                  <c:v>54.43</c:v>
                </c:pt>
              </c:numCache>
            </c:numRef>
          </c:xVal>
          <c:yVal>
            <c:numRef>
              <c:f>'Consumer Staples'!$D$120:$D$163</c:f>
              <c:numCache>
                <c:formatCode>_("$"* #,##0.00_);_("$"* \(#,##0.00\);_("$"* "-"??_);_(@_)</c:formatCode>
                <c:ptCount val="44"/>
                <c:pt idx="0">
                  <c:v>229.24</c:v>
                </c:pt>
                <c:pt idx="1">
                  <c:v>227.23</c:v>
                </c:pt>
                <c:pt idx="2">
                  <c:v>229.65</c:v>
                </c:pt>
                <c:pt idx="3">
                  <c:v>228.79</c:v>
                </c:pt>
                <c:pt idx="4">
                  <c:v>225.49</c:v>
                </c:pt>
                <c:pt idx="5">
                  <c:v>225.95</c:v>
                </c:pt>
                <c:pt idx="6">
                  <c:v>230.45</c:v>
                </c:pt>
                <c:pt idx="7">
                  <c:v>228.2</c:v>
                </c:pt>
                <c:pt idx="8">
                  <c:v>230.1</c:v>
                </c:pt>
                <c:pt idx="9">
                  <c:v>228.81</c:v>
                </c:pt>
                <c:pt idx="10">
                  <c:v>225.6</c:v>
                </c:pt>
                <c:pt idx="11">
                  <c:v>228.14</c:v>
                </c:pt>
                <c:pt idx="12">
                  <c:v>229.27</c:v>
                </c:pt>
                <c:pt idx="13">
                  <c:v>226.29</c:v>
                </c:pt>
                <c:pt idx="14">
                  <c:v>226.34</c:v>
                </c:pt>
                <c:pt idx="15">
                  <c:v>232.34</c:v>
                </c:pt>
                <c:pt idx="16">
                  <c:v>230.32</c:v>
                </c:pt>
                <c:pt idx="17">
                  <c:v>229.43</c:v>
                </c:pt>
                <c:pt idx="18">
                  <c:v>227.51</c:v>
                </c:pt>
                <c:pt idx="19">
                  <c:v>228.03</c:v>
                </c:pt>
                <c:pt idx="20">
                  <c:v>224.97</c:v>
                </c:pt>
                <c:pt idx="21">
                  <c:v>227.32</c:v>
                </c:pt>
                <c:pt idx="22">
                  <c:v>230.91</c:v>
                </c:pt>
                <c:pt idx="23">
                  <c:v>235.43</c:v>
                </c:pt>
                <c:pt idx="24">
                  <c:v>236.08</c:v>
                </c:pt>
                <c:pt idx="25">
                  <c:v>231.37</c:v>
                </c:pt>
                <c:pt idx="26">
                  <c:v>230.43</c:v>
                </c:pt>
                <c:pt idx="27">
                  <c:v>230.1</c:v>
                </c:pt>
                <c:pt idx="28">
                  <c:v>231.38</c:v>
                </c:pt>
                <c:pt idx="29">
                  <c:v>231.23</c:v>
                </c:pt>
                <c:pt idx="30">
                  <c:v>230.79</c:v>
                </c:pt>
                <c:pt idx="31">
                  <c:v>231.22</c:v>
                </c:pt>
                <c:pt idx="32">
                  <c:v>230.39</c:v>
                </c:pt>
                <c:pt idx="33">
                  <c:v>229.95</c:v>
                </c:pt>
                <c:pt idx="34">
                  <c:v>231.1</c:v>
                </c:pt>
                <c:pt idx="35">
                  <c:v>233.09</c:v>
                </c:pt>
                <c:pt idx="36">
                  <c:v>233.28</c:v>
                </c:pt>
                <c:pt idx="37">
                  <c:v>230.22</c:v>
                </c:pt>
                <c:pt idx="38">
                  <c:v>232.12</c:v>
                </c:pt>
                <c:pt idx="39">
                  <c:v>234.4</c:v>
                </c:pt>
                <c:pt idx="40">
                  <c:v>230.2</c:v>
                </c:pt>
                <c:pt idx="41">
                  <c:v>231.75</c:v>
                </c:pt>
                <c:pt idx="42">
                  <c:v>235.69</c:v>
                </c:pt>
                <c:pt idx="43">
                  <c:v>233.53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F3-40E4-A4D5-045D454DF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993967"/>
        <c:axId val="1630400656"/>
      </c:scatterChart>
      <c:valAx>
        <c:axId val="205099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00656"/>
        <c:crosses val="autoZero"/>
        <c:crossBetween val="midCat"/>
      </c:valAx>
      <c:valAx>
        <c:axId val="163040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99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'Consumer Staples'!$B$2:$B$163</c:f>
              <c:numCache>
                <c:formatCode>m/d/yyyy</c:formatCode>
                <c:ptCount val="162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46076</c:v>
                </c:pt>
                <c:pt idx="35">
                  <c:v>46077</c:v>
                </c:pt>
                <c:pt idx="36">
                  <c:v>46078</c:v>
                </c:pt>
                <c:pt idx="37">
                  <c:v>46079</c:v>
                </c:pt>
                <c:pt idx="38">
                  <c:v>46080</c:v>
                </c:pt>
                <c:pt idx="39">
                  <c:v>46083</c:v>
                </c:pt>
                <c:pt idx="40">
                  <c:v>46084</c:v>
                </c:pt>
                <c:pt idx="41">
                  <c:v>46085</c:v>
                </c:pt>
                <c:pt idx="42">
                  <c:v>46086</c:v>
                </c:pt>
                <c:pt idx="43">
                  <c:v>46087</c:v>
                </c:pt>
                <c:pt idx="44">
                  <c:v>46090</c:v>
                </c:pt>
                <c:pt idx="45">
                  <c:v>46091</c:v>
                </c:pt>
                <c:pt idx="46">
                  <c:v>46092</c:v>
                </c:pt>
                <c:pt idx="47">
                  <c:v>46093</c:v>
                </c:pt>
                <c:pt idx="48">
                  <c:v>46094</c:v>
                </c:pt>
                <c:pt idx="49">
                  <c:v>46097</c:v>
                </c:pt>
                <c:pt idx="50">
                  <c:v>46098</c:v>
                </c:pt>
                <c:pt idx="51">
                  <c:v>46099</c:v>
                </c:pt>
                <c:pt idx="52">
                  <c:v>46100</c:v>
                </c:pt>
                <c:pt idx="53">
                  <c:v>46101</c:v>
                </c:pt>
                <c:pt idx="54">
                  <c:v>46104</c:v>
                </c:pt>
                <c:pt idx="55">
                  <c:v>46105</c:v>
                </c:pt>
                <c:pt idx="56">
                  <c:v>46106</c:v>
                </c:pt>
                <c:pt idx="57">
                  <c:v>46107</c:v>
                </c:pt>
                <c:pt idx="58">
                  <c:v>46108</c:v>
                </c:pt>
                <c:pt idx="59">
                  <c:v>46111</c:v>
                </c:pt>
                <c:pt idx="60">
                  <c:v>46112</c:v>
                </c:pt>
                <c:pt idx="61">
                  <c:v>46113</c:v>
                </c:pt>
                <c:pt idx="62">
                  <c:v>46114</c:v>
                </c:pt>
                <c:pt idx="63">
                  <c:v>46118</c:v>
                </c:pt>
                <c:pt idx="64">
                  <c:v>46119</c:v>
                </c:pt>
                <c:pt idx="65">
                  <c:v>46120</c:v>
                </c:pt>
                <c:pt idx="66">
                  <c:v>46121</c:v>
                </c:pt>
                <c:pt idx="67">
                  <c:v>46122</c:v>
                </c:pt>
                <c:pt idx="68">
                  <c:v>46125</c:v>
                </c:pt>
                <c:pt idx="69">
                  <c:v>46126</c:v>
                </c:pt>
                <c:pt idx="70">
                  <c:v>46127</c:v>
                </c:pt>
                <c:pt idx="71">
                  <c:v>46128</c:v>
                </c:pt>
                <c:pt idx="72">
                  <c:v>46129</c:v>
                </c:pt>
                <c:pt idx="73">
                  <c:v>46132</c:v>
                </c:pt>
                <c:pt idx="74">
                  <c:v>46133</c:v>
                </c:pt>
                <c:pt idx="75">
                  <c:v>46134</c:v>
                </c:pt>
                <c:pt idx="76">
                  <c:v>46135</c:v>
                </c:pt>
                <c:pt idx="77">
                  <c:v>46136</c:v>
                </c:pt>
                <c:pt idx="78">
                  <c:v>46139</c:v>
                </c:pt>
                <c:pt idx="79">
                  <c:v>46140</c:v>
                </c:pt>
                <c:pt idx="80">
                  <c:v>46141</c:v>
                </c:pt>
                <c:pt idx="81">
                  <c:v>46142</c:v>
                </c:pt>
                <c:pt idx="82">
                  <c:v>46143</c:v>
                </c:pt>
                <c:pt idx="83">
                  <c:v>46146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46195</c:v>
                </c:pt>
                <c:pt idx="117">
                  <c:v>46196</c:v>
                </c:pt>
                <c:pt idx="118">
                  <c:v>46197</c:v>
                </c:pt>
                <c:pt idx="119">
                  <c:v>46198</c:v>
                </c:pt>
                <c:pt idx="120">
                  <c:v>46199</c:v>
                </c:pt>
                <c:pt idx="121">
                  <c:v>46202</c:v>
                </c:pt>
                <c:pt idx="122">
                  <c:v>46203</c:v>
                </c:pt>
                <c:pt idx="123">
                  <c:v>46204</c:v>
                </c:pt>
                <c:pt idx="124">
                  <c:v>46205</c:v>
                </c:pt>
                <c:pt idx="125">
                  <c:v>46209</c:v>
                </c:pt>
                <c:pt idx="126">
                  <c:v>46210</c:v>
                </c:pt>
                <c:pt idx="127">
                  <c:v>46211</c:v>
                </c:pt>
                <c:pt idx="128">
                  <c:v>46212</c:v>
                </c:pt>
                <c:pt idx="129">
                  <c:v>46213</c:v>
                </c:pt>
                <c:pt idx="130">
                  <c:v>46216</c:v>
                </c:pt>
                <c:pt idx="131">
                  <c:v>46217</c:v>
                </c:pt>
                <c:pt idx="132">
                  <c:v>46218</c:v>
                </c:pt>
                <c:pt idx="133">
                  <c:v>46219</c:v>
                </c:pt>
                <c:pt idx="134">
                  <c:v>46220</c:v>
                </c:pt>
                <c:pt idx="135">
                  <c:v>46223</c:v>
                </c:pt>
                <c:pt idx="136">
                  <c:v>46224</c:v>
                </c:pt>
                <c:pt idx="137">
                  <c:v>46225</c:v>
                </c:pt>
                <c:pt idx="138">
                  <c:v>46226</c:v>
                </c:pt>
                <c:pt idx="139">
                  <c:v>46227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  <c:pt idx="145">
                  <c:v>46237</c:v>
                </c:pt>
                <c:pt idx="146">
                  <c:v>46238</c:v>
                </c:pt>
                <c:pt idx="147">
                  <c:v>46239</c:v>
                </c:pt>
                <c:pt idx="148">
                  <c:v>46240</c:v>
                </c:pt>
                <c:pt idx="149">
                  <c:v>46241</c:v>
                </c:pt>
                <c:pt idx="150">
                  <c:v>46244</c:v>
                </c:pt>
                <c:pt idx="151">
                  <c:v>46245</c:v>
                </c:pt>
                <c:pt idx="152">
                  <c:v>46246</c:v>
                </c:pt>
                <c:pt idx="153">
                  <c:v>46247</c:v>
                </c:pt>
                <c:pt idx="154">
                  <c:v>46248</c:v>
                </c:pt>
                <c:pt idx="155">
                  <c:v>46251</c:v>
                </c:pt>
                <c:pt idx="156">
                  <c:v>46252</c:v>
                </c:pt>
                <c:pt idx="157">
                  <c:v>46253</c:v>
                </c:pt>
                <c:pt idx="158">
                  <c:v>46254</c:v>
                </c:pt>
                <c:pt idx="159">
                  <c:v>46255</c:v>
                </c:pt>
                <c:pt idx="160">
                  <c:v>46258</c:v>
                </c:pt>
                <c:pt idx="161">
                  <c:v>46259</c:v>
                </c:pt>
              </c:numCache>
            </c:numRef>
          </c:cat>
          <c:val>
            <c:numRef>
              <c:f>'Consumer Staples'!$E$2:$E$163</c:f>
              <c:numCache>
                <c:formatCode>_(* #,##0.0000_);_(* \(#,##0.0000\);_(* "-"??_);_(@_)</c:formatCode>
                <c:ptCount val="162"/>
                <c:pt idx="0">
                  <c:v>4.2918192918192917</c:v>
                </c:pt>
                <c:pt idx="1">
                  <c:v>4.2929767251939568</c:v>
                </c:pt>
                <c:pt idx="2">
                  <c:v>4.2900468145735804</c:v>
                </c:pt>
                <c:pt idx="3">
                  <c:v>4.2913240131578947</c:v>
                </c:pt>
                <c:pt idx="4">
                  <c:v>4.2907117008443905</c:v>
                </c:pt>
                <c:pt idx="5">
                  <c:v>4.2921393034825872</c:v>
                </c:pt>
                <c:pt idx="6">
                  <c:v>4.2938286163522008</c:v>
                </c:pt>
                <c:pt idx="7">
                  <c:v>4.2930531231757154</c:v>
                </c:pt>
                <c:pt idx="8">
                  <c:v>4.2939819265525863</c:v>
                </c:pt>
                <c:pt idx="9">
                  <c:v>4.2918026492608945</c:v>
                </c:pt>
                <c:pt idx="10">
                  <c:v>4.2929079377282342</c:v>
                </c:pt>
                <c:pt idx="11">
                  <c:v>4.2903163950143819</c:v>
                </c:pt>
                <c:pt idx="12">
                  <c:v>4.2924311926605503</c:v>
                </c:pt>
                <c:pt idx="13">
                  <c:v>4.291730474732006</c:v>
                </c:pt>
                <c:pt idx="14">
                  <c:v>4.2914764079147636</c:v>
                </c:pt>
                <c:pt idx="15">
                  <c:v>4.291293579729472</c:v>
                </c:pt>
                <c:pt idx="16">
                  <c:v>4.2926319787314853</c:v>
                </c:pt>
                <c:pt idx="17">
                  <c:v>4.2933282208588963</c:v>
                </c:pt>
                <c:pt idx="18">
                  <c:v>4.2901494825603681</c:v>
                </c:pt>
                <c:pt idx="19">
                  <c:v>4.2930382141505863</c:v>
                </c:pt>
                <c:pt idx="20">
                  <c:v>4.2911770192128333</c:v>
                </c:pt>
                <c:pt idx="21">
                  <c:v>4.2909090909090901</c:v>
                </c:pt>
                <c:pt idx="22">
                  <c:v>4.2920531005637388</c:v>
                </c:pt>
                <c:pt idx="23">
                  <c:v>4.2885942608063932</c:v>
                </c:pt>
                <c:pt idx="24">
                  <c:v>4.2904266762280381</c:v>
                </c:pt>
                <c:pt idx="25">
                  <c:v>4.2914482010486354</c:v>
                </c:pt>
                <c:pt idx="26">
                  <c:v>4.2897944333272697</c:v>
                </c:pt>
                <c:pt idx="27">
                  <c:v>4.2914645103324345</c:v>
                </c:pt>
                <c:pt idx="28">
                  <c:v>4.289058343677957</c:v>
                </c:pt>
                <c:pt idx="29">
                  <c:v>4.2890224500618706</c:v>
                </c:pt>
                <c:pt idx="30">
                  <c:v>4.2903746191073671</c:v>
                </c:pt>
                <c:pt idx="31">
                  <c:v>4.2928146947595893</c:v>
                </c:pt>
                <c:pt idx="32">
                  <c:v>4.2901245712222424</c:v>
                </c:pt>
                <c:pt idx="33">
                  <c:v>4.2918918918918916</c:v>
                </c:pt>
                <c:pt idx="34">
                  <c:v>4.2907245860779772</c:v>
                </c:pt>
                <c:pt idx="35">
                  <c:v>4.290504765266502</c:v>
                </c:pt>
                <c:pt idx="36">
                  <c:v>4.2911257335941668</c:v>
                </c:pt>
                <c:pt idx="37">
                  <c:v>4.2901157613535172</c:v>
                </c:pt>
                <c:pt idx="38">
                  <c:v>4.2908100509576528</c:v>
                </c:pt>
                <c:pt idx="39">
                  <c:v>4.2912361952262197</c:v>
                </c:pt>
                <c:pt idx="40">
                  <c:v>4.2903631787126937</c:v>
                </c:pt>
                <c:pt idx="41">
                  <c:v>4.2903926180568117</c:v>
                </c:pt>
                <c:pt idx="42">
                  <c:v>4.2911813643926786</c:v>
                </c:pt>
                <c:pt idx="43">
                  <c:v>4.2902690748249173</c:v>
                </c:pt>
                <c:pt idx="44">
                  <c:v>4.2900202168718984</c:v>
                </c:pt>
                <c:pt idx="45">
                  <c:v>4.2915516289342905</c:v>
                </c:pt>
                <c:pt idx="46">
                  <c:v>4.2921243716253956</c:v>
                </c:pt>
                <c:pt idx="47">
                  <c:v>4.2942713192759836</c:v>
                </c:pt>
                <c:pt idx="48">
                  <c:v>4.290376413869831</c:v>
                </c:pt>
                <c:pt idx="49">
                  <c:v>4.2931801334321715</c:v>
                </c:pt>
                <c:pt idx="50">
                  <c:v>4.2933407738095237</c:v>
                </c:pt>
                <c:pt idx="51">
                  <c:v>4.2918095238095235</c:v>
                </c:pt>
                <c:pt idx="52">
                  <c:v>4.2916346891788182</c:v>
                </c:pt>
                <c:pt idx="53">
                  <c:v>4.2917473847345988</c:v>
                </c:pt>
                <c:pt idx="54">
                  <c:v>4.2892402622445047</c:v>
                </c:pt>
                <c:pt idx="55">
                  <c:v>4.2931134820562562</c:v>
                </c:pt>
                <c:pt idx="56">
                  <c:v>4.290807477355945</c:v>
                </c:pt>
                <c:pt idx="57">
                  <c:v>4.2882011605415853</c:v>
                </c:pt>
                <c:pt idx="58">
                  <c:v>4.2919230769230774</c:v>
                </c:pt>
                <c:pt idx="59">
                  <c:v>4.2900631820792645</c:v>
                </c:pt>
                <c:pt idx="60">
                  <c:v>4.2918020256067271</c:v>
                </c:pt>
                <c:pt idx="61">
                  <c:v>4.2942418426103641</c:v>
                </c:pt>
                <c:pt idx="62">
                  <c:v>4.2933206106870232</c:v>
                </c:pt>
                <c:pt idx="63">
                  <c:v>4.2915799432355719</c:v>
                </c:pt>
                <c:pt idx="64">
                  <c:v>4.2923639161377185</c:v>
                </c:pt>
                <c:pt idx="65">
                  <c:v>4.2934188195361118</c:v>
                </c:pt>
                <c:pt idx="66">
                  <c:v>4.2905455904334824</c:v>
                </c:pt>
                <c:pt idx="67">
                  <c:v>4.2909641977647288</c:v>
                </c:pt>
                <c:pt idx="68">
                  <c:v>4.290909090909091</c:v>
                </c:pt>
                <c:pt idx="69">
                  <c:v>4.2935199386503067</c:v>
                </c:pt>
                <c:pt idx="70">
                  <c:v>4.291377983063895</c:v>
                </c:pt>
                <c:pt idx="71">
                  <c:v>4.2922102839600926</c:v>
                </c:pt>
                <c:pt idx="72">
                  <c:v>4.2935276305828918</c:v>
                </c:pt>
                <c:pt idx="73">
                  <c:v>4.2946191739295188</c:v>
                </c:pt>
                <c:pt idx="74">
                  <c:v>4.293792840822543</c:v>
                </c:pt>
                <c:pt idx="75">
                  <c:v>4.2937381404174575</c:v>
                </c:pt>
                <c:pt idx="76">
                  <c:v>4.2939195509822259</c:v>
                </c:pt>
                <c:pt idx="77">
                  <c:v>4.2919243020423465</c:v>
                </c:pt>
                <c:pt idx="78">
                  <c:v>4.2925028398333964</c:v>
                </c:pt>
                <c:pt idx="79">
                  <c:v>4.2927241962774962</c:v>
                </c:pt>
                <c:pt idx="80">
                  <c:v>4.2959126012431712</c:v>
                </c:pt>
                <c:pt idx="81">
                  <c:v>4.2917359955629504</c:v>
                </c:pt>
                <c:pt idx="82">
                  <c:v>4.2928637627432806</c:v>
                </c:pt>
                <c:pt idx="83">
                  <c:v>4.2943375070080361</c:v>
                </c:pt>
                <c:pt idx="84">
                  <c:v>4.2933407738095237</c:v>
                </c:pt>
                <c:pt idx="85">
                  <c:v>4.2932414820331406</c:v>
                </c:pt>
                <c:pt idx="86">
                  <c:v>4.2939309056956114</c:v>
                </c:pt>
                <c:pt idx="87">
                  <c:v>4.2955223880597018</c:v>
                </c:pt>
                <c:pt idx="88">
                  <c:v>4.2939622641509434</c:v>
                </c:pt>
                <c:pt idx="89">
                  <c:v>4.2948407524678718</c:v>
                </c:pt>
                <c:pt idx="90">
                  <c:v>4.2939647168059425</c:v>
                </c:pt>
                <c:pt idx="91">
                  <c:v>4.2955555555555556</c:v>
                </c:pt>
                <c:pt idx="92">
                  <c:v>4.295133729569093</c:v>
                </c:pt>
                <c:pt idx="93">
                  <c:v>4.2950128346167951</c:v>
                </c:pt>
                <c:pt idx="94">
                  <c:v>4.2925580544889375</c:v>
                </c:pt>
                <c:pt idx="95">
                  <c:v>4.2943451832750048</c:v>
                </c:pt>
                <c:pt idx="96">
                  <c:v>4.2949532710280378</c:v>
                </c:pt>
                <c:pt idx="97">
                  <c:v>4.2932710280373829</c:v>
                </c:pt>
                <c:pt idx="98">
                  <c:v>4.2917535545023693</c:v>
                </c:pt>
                <c:pt idx="99">
                  <c:v>4.294106606606606</c:v>
                </c:pt>
                <c:pt idx="100">
                  <c:v>4.2921919096895582</c:v>
                </c:pt>
                <c:pt idx="101">
                  <c:v>4.2938015735943198</c:v>
                </c:pt>
                <c:pt idx="102">
                  <c:v>4.2937184955409071</c:v>
                </c:pt>
                <c:pt idx="103">
                  <c:v>4.2927682737169519</c:v>
                </c:pt>
                <c:pt idx="104">
                  <c:v>4.293140096618357</c:v>
                </c:pt>
                <c:pt idx="105">
                  <c:v>4.2922630560928434</c:v>
                </c:pt>
                <c:pt idx="106">
                  <c:v>4.2942743009320905</c:v>
                </c:pt>
                <c:pt idx="107">
                  <c:v>4.2909679878048781</c:v>
                </c:pt>
                <c:pt idx="108">
                  <c:v>4.2944507361268407</c:v>
                </c:pt>
                <c:pt idx="109">
                  <c:v>4.291040623260991</c:v>
                </c:pt>
                <c:pt idx="110">
                  <c:v>4.293636025307034</c:v>
                </c:pt>
                <c:pt idx="111">
                  <c:v>4.292182591018296</c:v>
                </c:pt>
                <c:pt idx="112">
                  <c:v>4.2922306693862415</c:v>
                </c:pt>
                <c:pt idx="113">
                  <c:v>4.2888354008516938</c:v>
                </c:pt>
                <c:pt idx="114">
                  <c:v>4.2913043478260873</c:v>
                </c:pt>
                <c:pt idx="115">
                  <c:v>4.2900239061966383</c:v>
                </c:pt>
                <c:pt idx="116">
                  <c:v>4.2887708707446608</c:v>
                </c:pt>
                <c:pt idx="117">
                  <c:v>4.2951583217518685</c:v>
                </c:pt>
                <c:pt idx="118">
                  <c:v>4.2920801348062163</c:v>
                </c:pt>
                <c:pt idx="119">
                  <c:v>4.2897866717009627</c:v>
                </c:pt>
                <c:pt idx="120">
                  <c:v>4.2933258553000559</c:v>
                </c:pt>
                <c:pt idx="121">
                  <c:v>4.2933008069056111</c:v>
                </c:pt>
                <c:pt idx="122">
                  <c:v>4.2917776931861438</c:v>
                </c:pt>
                <c:pt idx="123">
                  <c:v>4.2972613160897675</c:v>
                </c:pt>
                <c:pt idx="124">
                  <c:v>4.2914338919925505</c:v>
                </c:pt>
                <c:pt idx="125">
                  <c:v>4.2910868747649493</c:v>
                </c:pt>
                <c:pt idx="126">
                  <c:v>4.2937115133420409</c:v>
                </c:pt>
                <c:pt idx="127">
                  <c:v>4.2928705440900563</c:v>
                </c:pt>
                <c:pt idx="128">
                  <c:v>4.2914209625261552</c:v>
                </c:pt>
                <c:pt idx="129">
                  <c:v>4.2964218455743879</c:v>
                </c:pt>
                <c:pt idx="130">
                  <c:v>4.2934456928838953</c:v>
                </c:pt>
                <c:pt idx="131">
                  <c:v>4.2906712172923775</c:v>
                </c:pt>
                <c:pt idx="132">
                  <c:v>4.2965072133637054</c:v>
                </c:pt>
                <c:pt idx="133">
                  <c:v>4.2930524759793052</c:v>
                </c:pt>
                <c:pt idx="134">
                  <c:v>4.2938105891126019</c:v>
                </c:pt>
                <c:pt idx="135">
                  <c:v>4.292422825070159</c:v>
                </c:pt>
                <c:pt idx="136">
                  <c:v>4.2926415094339623</c:v>
                </c:pt>
                <c:pt idx="137">
                  <c:v>4.2911178020323675</c:v>
                </c:pt>
                <c:pt idx="138">
                  <c:v>4.2925014310246139</c:v>
                </c:pt>
                <c:pt idx="139">
                  <c:v>4.2931067044381486</c:v>
                </c:pt>
                <c:pt idx="140">
                  <c:v>4.2936035701004087</c:v>
                </c:pt>
                <c:pt idx="141">
                  <c:v>4.2891237019493538</c:v>
                </c:pt>
                <c:pt idx="142">
                  <c:v>4.2947062033836643</c:v>
                </c:pt>
                <c:pt idx="143">
                  <c:v>4.2917826006306807</c:v>
                </c:pt>
                <c:pt idx="144">
                  <c:v>4.2942601565411858</c:v>
                </c:pt>
                <c:pt idx="145">
                  <c:v>4.2961165048543686</c:v>
                </c:pt>
                <c:pt idx="146">
                  <c:v>4.2927643784786644</c:v>
                </c:pt>
                <c:pt idx="147">
                  <c:v>4.2939647168059425</c:v>
                </c:pt>
                <c:pt idx="148">
                  <c:v>4.2921703552166628</c:v>
                </c:pt>
                <c:pt idx="149">
                  <c:v>4.2921848895489143</c:v>
                </c:pt>
                <c:pt idx="150">
                  <c:v>4.2895177806739895</c:v>
                </c:pt>
                <c:pt idx="151">
                  <c:v>4.2885117493472587</c:v>
                </c:pt>
                <c:pt idx="152">
                  <c:v>4.2939427722036418</c:v>
                </c:pt>
                <c:pt idx="153">
                  <c:v>4.2926335174953962</c:v>
                </c:pt>
                <c:pt idx="154">
                  <c:v>4.2921803127874885</c:v>
                </c:pt>
                <c:pt idx="155">
                  <c:v>4.2935471838866093</c:v>
                </c:pt>
                <c:pt idx="156">
                  <c:v>4.2937476877543466</c:v>
                </c:pt>
                <c:pt idx="157">
                  <c:v>4.2914683266202855</c:v>
                </c:pt>
                <c:pt idx="158">
                  <c:v>4.2915734526472775</c:v>
                </c:pt>
                <c:pt idx="159">
                  <c:v>4.2884900074019248</c:v>
                </c:pt>
                <c:pt idx="160">
                  <c:v>4.2915149308084484</c:v>
                </c:pt>
                <c:pt idx="161">
                  <c:v>4.2904648171963995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8A-4DBC-A570-2CFD40F7BE6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'Consumer Staples'!$B$2:$B$163</c:f>
              <c:numCache>
                <c:formatCode>m/d/yyyy</c:formatCode>
                <c:ptCount val="162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46076</c:v>
                </c:pt>
                <c:pt idx="35">
                  <c:v>46077</c:v>
                </c:pt>
                <c:pt idx="36">
                  <c:v>46078</c:v>
                </c:pt>
                <c:pt idx="37">
                  <c:v>46079</c:v>
                </c:pt>
                <c:pt idx="38">
                  <c:v>46080</c:v>
                </c:pt>
                <c:pt idx="39">
                  <c:v>46083</c:v>
                </c:pt>
                <c:pt idx="40">
                  <c:v>46084</c:v>
                </c:pt>
                <c:pt idx="41">
                  <c:v>46085</c:v>
                </c:pt>
                <c:pt idx="42">
                  <c:v>46086</c:v>
                </c:pt>
                <c:pt idx="43">
                  <c:v>46087</c:v>
                </c:pt>
                <c:pt idx="44">
                  <c:v>46090</c:v>
                </c:pt>
                <c:pt idx="45">
                  <c:v>46091</c:v>
                </c:pt>
                <c:pt idx="46">
                  <c:v>46092</c:v>
                </c:pt>
                <c:pt idx="47">
                  <c:v>46093</c:v>
                </c:pt>
                <c:pt idx="48">
                  <c:v>46094</c:v>
                </c:pt>
                <c:pt idx="49">
                  <c:v>46097</c:v>
                </c:pt>
                <c:pt idx="50">
                  <c:v>46098</c:v>
                </c:pt>
                <c:pt idx="51">
                  <c:v>46099</c:v>
                </c:pt>
                <c:pt idx="52">
                  <c:v>46100</c:v>
                </c:pt>
                <c:pt idx="53">
                  <c:v>46101</c:v>
                </c:pt>
                <c:pt idx="54">
                  <c:v>46104</c:v>
                </c:pt>
                <c:pt idx="55">
                  <c:v>46105</c:v>
                </c:pt>
                <c:pt idx="56">
                  <c:v>46106</c:v>
                </c:pt>
                <c:pt idx="57">
                  <c:v>46107</c:v>
                </c:pt>
                <c:pt idx="58">
                  <c:v>46108</c:v>
                </c:pt>
                <c:pt idx="59">
                  <c:v>46111</c:v>
                </c:pt>
                <c:pt idx="60">
                  <c:v>46112</c:v>
                </c:pt>
                <c:pt idx="61">
                  <c:v>46113</c:v>
                </c:pt>
                <c:pt idx="62">
                  <c:v>46114</c:v>
                </c:pt>
                <c:pt idx="63">
                  <c:v>46118</c:v>
                </c:pt>
                <c:pt idx="64">
                  <c:v>46119</c:v>
                </c:pt>
                <c:pt idx="65">
                  <c:v>46120</c:v>
                </c:pt>
                <c:pt idx="66">
                  <c:v>46121</c:v>
                </c:pt>
                <c:pt idx="67">
                  <c:v>46122</c:v>
                </c:pt>
                <c:pt idx="68">
                  <c:v>46125</c:v>
                </c:pt>
                <c:pt idx="69">
                  <c:v>46126</c:v>
                </c:pt>
                <c:pt idx="70">
                  <c:v>46127</c:v>
                </c:pt>
                <c:pt idx="71">
                  <c:v>46128</c:v>
                </c:pt>
                <c:pt idx="72">
                  <c:v>46129</c:v>
                </c:pt>
                <c:pt idx="73">
                  <c:v>46132</c:v>
                </c:pt>
                <c:pt idx="74">
                  <c:v>46133</c:v>
                </c:pt>
                <c:pt idx="75">
                  <c:v>46134</c:v>
                </c:pt>
                <c:pt idx="76">
                  <c:v>46135</c:v>
                </c:pt>
                <c:pt idx="77">
                  <c:v>46136</c:v>
                </c:pt>
                <c:pt idx="78">
                  <c:v>46139</c:v>
                </c:pt>
                <c:pt idx="79">
                  <c:v>46140</c:v>
                </c:pt>
                <c:pt idx="80">
                  <c:v>46141</c:v>
                </c:pt>
                <c:pt idx="81">
                  <c:v>46142</c:v>
                </c:pt>
                <c:pt idx="82">
                  <c:v>46143</c:v>
                </c:pt>
                <c:pt idx="83">
                  <c:v>46146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46195</c:v>
                </c:pt>
                <c:pt idx="117">
                  <c:v>46196</c:v>
                </c:pt>
                <c:pt idx="118">
                  <c:v>46197</c:v>
                </c:pt>
                <c:pt idx="119">
                  <c:v>46198</c:v>
                </c:pt>
                <c:pt idx="120">
                  <c:v>46199</c:v>
                </c:pt>
                <c:pt idx="121">
                  <c:v>46202</c:v>
                </c:pt>
                <c:pt idx="122">
                  <c:v>46203</c:v>
                </c:pt>
                <c:pt idx="123">
                  <c:v>46204</c:v>
                </c:pt>
                <c:pt idx="124">
                  <c:v>46205</c:v>
                </c:pt>
                <c:pt idx="125">
                  <c:v>46209</c:v>
                </c:pt>
                <c:pt idx="126">
                  <c:v>46210</c:v>
                </c:pt>
                <c:pt idx="127">
                  <c:v>46211</c:v>
                </c:pt>
                <c:pt idx="128">
                  <c:v>46212</c:v>
                </c:pt>
                <c:pt idx="129">
                  <c:v>46213</c:v>
                </c:pt>
                <c:pt idx="130">
                  <c:v>46216</c:v>
                </c:pt>
                <c:pt idx="131">
                  <c:v>46217</c:v>
                </c:pt>
                <c:pt idx="132">
                  <c:v>46218</c:v>
                </c:pt>
                <c:pt idx="133">
                  <c:v>46219</c:v>
                </c:pt>
                <c:pt idx="134">
                  <c:v>46220</c:v>
                </c:pt>
                <c:pt idx="135">
                  <c:v>46223</c:v>
                </c:pt>
                <c:pt idx="136">
                  <c:v>46224</c:v>
                </c:pt>
                <c:pt idx="137">
                  <c:v>46225</c:v>
                </c:pt>
                <c:pt idx="138">
                  <c:v>46226</c:v>
                </c:pt>
                <c:pt idx="139">
                  <c:v>46227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  <c:pt idx="145">
                  <c:v>46237</c:v>
                </c:pt>
                <c:pt idx="146">
                  <c:v>46238</c:v>
                </c:pt>
                <c:pt idx="147">
                  <c:v>46239</c:v>
                </c:pt>
                <c:pt idx="148">
                  <c:v>46240</c:v>
                </c:pt>
                <c:pt idx="149">
                  <c:v>46241</c:v>
                </c:pt>
                <c:pt idx="150">
                  <c:v>46244</c:v>
                </c:pt>
                <c:pt idx="151">
                  <c:v>46245</c:v>
                </c:pt>
                <c:pt idx="152">
                  <c:v>46246</c:v>
                </c:pt>
                <c:pt idx="153">
                  <c:v>46247</c:v>
                </c:pt>
                <c:pt idx="154">
                  <c:v>46248</c:v>
                </c:pt>
                <c:pt idx="155">
                  <c:v>46251</c:v>
                </c:pt>
                <c:pt idx="156">
                  <c:v>46252</c:v>
                </c:pt>
                <c:pt idx="157">
                  <c:v>46253</c:v>
                </c:pt>
                <c:pt idx="158">
                  <c:v>46254</c:v>
                </c:pt>
                <c:pt idx="159">
                  <c:v>46255</c:v>
                </c:pt>
                <c:pt idx="160">
                  <c:v>46258</c:v>
                </c:pt>
                <c:pt idx="161">
                  <c:v>46259</c:v>
                </c:pt>
              </c:numCache>
            </c:numRef>
          </c:cat>
          <c:val>
            <c:numRef>
              <c:f>'Consumer Staples'!$F$2:$F$163</c:f>
              <c:numCache>
                <c:formatCode>General</c:formatCode>
                <c:ptCount val="162"/>
                <c:pt idx="19" formatCode="_(* #,##0.0000_);_(* \(#,##0.0000\);_(* &quot;-&quot;??_);_(@_)">
                  <c:v>4.2920494024246914</c:v>
                </c:pt>
                <c:pt idx="20" formatCode="_(* #,##0.0000_);_(* \(#,##0.0000\);_(* &quot;-&quot;??_);_(@_)">
                  <c:v>4.2920172887943693</c:v>
                </c:pt>
                <c:pt idx="21" formatCode="_(* #,##0.0000_);_(* \(#,##0.0000\);_(* &quot;-&quot;??_);_(@_)">
                  <c:v>4.2919139070801258</c:v>
                </c:pt>
                <c:pt idx="22" formatCode="_(* #,##0.0000_);_(* \(#,##0.0000\);_(* &quot;-&quot;??_);_(@_)">
                  <c:v>4.2920142213796337</c:v>
                </c:pt>
                <c:pt idx="23" formatCode="_(* #,##0.0000_);_(* \(#,##0.0000\);_(* &quot;-&quot;??_);_(@_)">
                  <c:v>4.2918777337620586</c:v>
                </c:pt>
                <c:pt idx="24" formatCode="_(* #,##0.0000_);_(* \(#,##0.0000\);_(* &quot;-&quot;??_);_(@_)">
                  <c:v>4.2918634825312409</c:v>
                </c:pt>
                <c:pt idx="25" formatCode="_(* #,##0.0000_);_(* \(#,##0.0000\);_(* &quot;-&quot;??_);_(@_)">
                  <c:v>4.2918289274095436</c:v>
                </c:pt>
                <c:pt idx="26" formatCode="_(* #,##0.0000_);_(* \(#,##0.0000\);_(* &quot;-&quot;??_);_(@_)">
                  <c:v>4.2916272182582968</c:v>
                </c:pt>
                <c:pt idx="27" formatCode="_(* #,##0.0000_);_(* \(#,##0.0000\);_(* &quot;-&quot;??_);_(@_)">
                  <c:v>4.2915477876161328</c:v>
                </c:pt>
                <c:pt idx="28" formatCode="_(* #,##0.0000_);_(* \(#,##0.0000\);_(* &quot;-&quot;??_);_(@_)">
                  <c:v>4.2913016084724012</c:v>
                </c:pt>
                <c:pt idx="29" formatCode="_(* #,##0.0000_);_(* \(#,##0.0000\);_(* &quot;-&quot;??_);_(@_)">
                  <c:v>4.2911625985124502</c:v>
                </c:pt>
                <c:pt idx="30" formatCode="_(* #,##0.0000_);_(* \(#,##0.0000\);_(* &quot;-&quot;??_);_(@_)">
                  <c:v>4.2910359325814067</c:v>
                </c:pt>
                <c:pt idx="31" formatCode="_(* #,##0.0000_);_(* \(#,##0.0000\);_(* &quot;-&quot;??_);_(@_)">
                  <c:v>4.2911608475686664</c:v>
                </c:pt>
                <c:pt idx="32" formatCode="_(* #,##0.0000_);_(* \(#,##0.0000\);_(* &quot;-&quot;??_);_(@_)">
                  <c:v>4.2910455164967507</c:v>
                </c:pt>
                <c:pt idx="33" formatCode="_(* #,##0.0000_);_(* \(#,##0.0000\);_(* &quot;-&quot;??_);_(@_)">
                  <c:v>4.2910535873547442</c:v>
                </c:pt>
                <c:pt idx="34" formatCode="_(* #,##0.0000_);_(* \(#,##0.0000\);_(* &quot;-&quot;??_);_(@_)">
                  <c:v>4.2910159962629058</c:v>
                </c:pt>
                <c:pt idx="35" formatCode="_(* #,##0.0000_);_(* \(#,##0.0000\);_(* &quot;-&quot;??_);_(@_)">
                  <c:v>4.2909765555397579</c:v>
                </c:pt>
                <c:pt idx="36" formatCode="_(* #,##0.0000_);_(* \(#,##0.0000\);_(* &quot;-&quot;??_);_(@_)">
                  <c:v>4.2909012432828924</c:v>
                </c:pt>
                <c:pt idx="37" formatCode="_(* #,##0.0000_);_(* \(#,##0.0000\);_(* &quot;-&quot;??_);_(@_)">
                  <c:v>4.2907406203076244</c:v>
                </c:pt>
                <c:pt idx="38" formatCode="_(* #,##0.0000_);_(* \(#,##0.0000\);_(* &quot;-&quot;??_);_(@_)">
                  <c:v>4.2907736487274875</c:v>
                </c:pt>
                <c:pt idx="39" formatCode="_(* #,##0.0000_);_(* \(#,##0.0000\);_(* &quot;-&quot;??_);_(@_)">
                  <c:v>4.2906835477812688</c:v>
                </c:pt>
                <c:pt idx="40" formatCode="_(* #,##0.0000_);_(* \(#,##0.0000\);_(* &quot;-&quot;??_);_(@_)">
                  <c:v>4.2906428557562624</c:v>
                </c:pt>
                <c:pt idx="41" formatCode="_(* #,##0.0000_);_(* \(#,##0.0000\);_(* &quot;-&quot;??_);_(@_)">
                  <c:v>4.2906170321136496</c:v>
                </c:pt>
                <c:pt idx="42" formatCode="_(* #,##0.0000_);_(* \(#,##0.0000\);_(* &quot;-&quot;??_);_(@_)">
                  <c:v>4.2905734453050961</c:v>
                </c:pt>
                <c:pt idx="43" formatCode="_(* #,##0.0000_);_(* \(#,##0.0000\);_(* &quot;-&quot;??_);_(@_)">
                  <c:v>4.2906571860060225</c:v>
                </c:pt>
                <c:pt idx="44" formatCode="_(* #,##0.0000_);_(* \(#,##0.0000\);_(* &quot;-&quot;??_);_(@_)">
                  <c:v>4.2906368630382152</c:v>
                </c:pt>
                <c:pt idx="45" formatCode="_(* #,##0.0000_);_(* \(#,##0.0000\);_(* &quot;-&quot;??_);_(@_)">
                  <c:v>4.2906420344324978</c:v>
                </c:pt>
                <c:pt idx="46" formatCode="_(* #,##0.0000_);_(* \(#,##0.0000\);_(* &quot;-&quot;??_);_(@_)">
                  <c:v>4.2907585313474037</c:v>
                </c:pt>
                <c:pt idx="47" formatCode="_(* #,##0.0000_);_(* \(#,##0.0000\);_(* &quot;-&quot;??_);_(@_)">
                  <c:v>4.2908988717945808</c:v>
                </c:pt>
                <c:pt idx="48" formatCode="_(* #,##0.0000_);_(* \(#,##0.0000\);_(* &quot;-&quot;??_);_(@_)">
                  <c:v>4.2909647753041744</c:v>
                </c:pt>
                <c:pt idx="49" formatCode="_(* #,##0.0000_);_(* \(#,##0.0000\);_(* &quot;-&quot;??_);_(@_)">
                  <c:v>4.2911726594726902</c:v>
                </c:pt>
                <c:pt idx="50" formatCode="_(* #,##0.0000_);_(* \(#,##0.0000\);_(* &quot;-&quot;??_);_(@_)">
                  <c:v>4.2913209672077972</c:v>
                </c:pt>
                <c:pt idx="51" formatCode="_(* #,##0.0000_);_(* \(#,##0.0000\);_(* &quot;-&quot;??_);_(@_)">
                  <c:v>4.2912707086602939</c:v>
                </c:pt>
                <c:pt idx="52" formatCode="_(* #,##0.0000_);_(* \(#,##0.0000\);_(* &quot;-&quot;??_);_(@_)">
                  <c:v>4.2913462145581232</c:v>
                </c:pt>
                <c:pt idx="53" formatCode="_(* #,##0.0000_);_(* \(#,##0.0000\);_(* &quot;-&quot;??_);_(@_)">
                  <c:v>4.2913389892002582</c:v>
                </c:pt>
                <c:pt idx="54" formatCode="_(* #,##0.0000_);_(* \(#,##0.0000\);_(* &quot;-&quot;??_);_(@_)">
                  <c:v>4.2912647730085851</c:v>
                </c:pt>
                <c:pt idx="55" formatCode="_(* #,##0.0000_);_(* \(#,##0.0000\);_(* &quot;-&quot;??_);_(@_)">
                  <c:v>4.2913952088480736</c:v>
                </c:pt>
                <c:pt idx="56" formatCode="_(* #,##0.0000_);_(* \(#,##0.0000\);_(* &quot;-&quot;??_);_(@_)">
                  <c:v>4.2913792960361627</c:v>
                </c:pt>
                <c:pt idx="57" formatCode="_(* #,##0.0000_);_(* \(#,##0.0000\);_(* &quot;-&quot;??_);_(@_)">
                  <c:v>4.291283565995565</c:v>
                </c:pt>
                <c:pt idx="58" formatCode="_(* #,##0.0000_);_(* \(#,##0.0000\);_(* &quot;-&quot;??_);_(@_)">
                  <c:v>4.2913392172938369</c:v>
                </c:pt>
                <c:pt idx="59" formatCode="_(* #,##0.0000_);_(* \(#,##0.0000\);_(* &quot;-&quot;??_);_(@_)">
                  <c:v>4.2912805666364893</c:v>
                </c:pt>
                <c:pt idx="60" formatCode="_(* #,##0.0000_);_(* \(#,##0.0000\);_(* &quot;-&quot;??_);_(@_)">
                  <c:v>4.2913525089811904</c:v>
                </c:pt>
                <c:pt idx="61" formatCode="_(* #,##0.0000_);_(* \(#,##0.0000\);_(* &quot;-&quot;??_);_(@_)">
                  <c:v>4.2915449702088688</c:v>
                </c:pt>
                <c:pt idx="62" formatCode="_(* #,##0.0000_);_(* \(#,##0.0000\);_(* &quot;-&quot;??_);_(@_)">
                  <c:v>4.2916519325235853</c:v>
                </c:pt>
                <c:pt idx="63" formatCode="_(* #,##0.0000_);_(* \(#,##0.0000\);_(* &quot;-&quot;??_);_(@_)">
                  <c:v>4.2917174759441181</c:v>
                </c:pt>
                <c:pt idx="64" formatCode="_(* #,##0.0000_);_(* \(#,##0.0000\);_(* &quot;-&quot;??_);_(@_)">
                  <c:v>4.2918346609074085</c:v>
                </c:pt>
                <c:pt idx="65" formatCode="_(* #,##0.0000_);_(* \(#,##0.0000\);_(* &quot;-&quot;??_);_(@_)">
                  <c:v>4.2919280204374992</c:v>
                </c:pt>
                <c:pt idx="66" formatCode="_(* #,##0.0000_);_(* \(#,##0.0000\);_(* &quot;-&quot;??_);_(@_)">
                  <c:v>4.2918490813779044</c:v>
                </c:pt>
                <c:pt idx="67" formatCode="_(* #,##0.0000_);_(* \(#,##0.0000\);_(* &quot;-&quot;??_);_(@_)">
                  <c:v>4.2916837253023408</c:v>
                </c:pt>
                <c:pt idx="68" formatCode="_(* #,##0.0000_);_(* \(#,##0.0000\);_(* &quot;-&quot;??_);_(@_)">
                  <c:v>4.2917103591543038</c:v>
                </c:pt>
                <c:pt idx="69" formatCode="_(* #,##0.0000_);_(* \(#,##0.0000\);_(* &quot;-&quot;??_);_(@_)">
                  <c:v>4.2917273494152113</c:v>
                </c:pt>
                <c:pt idx="70" formatCode="_(* #,##0.0000_);_(* \(#,##0.0000\);_(* &quot;-&quot;??_);_(@_)">
                  <c:v>4.2916292098779296</c:v>
                </c:pt>
                <c:pt idx="71" formatCode="_(* #,##0.0000_);_(* \(#,##0.0000\);_(* &quot;-&quot;??_);_(@_)">
                  <c:v>4.2916492478854575</c:v>
                </c:pt>
                <c:pt idx="72" formatCode="_(* #,##0.0000_);_(* \(#,##0.0000\);_(* &quot;-&quot;??_);_(@_)">
                  <c:v>4.291743894955661</c:v>
                </c:pt>
                <c:pt idx="73" formatCode="_(* #,##0.0000_);_(* \(#,##0.0000\);_(* &quot;-&quot;??_);_(@_)">
                  <c:v>4.2918874844154074</c:v>
                </c:pt>
                <c:pt idx="74" formatCode="_(* #,##0.0000_);_(* \(#,##0.0000\);_(* &quot;-&quot;??_);_(@_)">
                  <c:v>4.2921151133443098</c:v>
                </c:pt>
                <c:pt idx="75" formatCode="_(* #,##0.0000_);_(* \(#,##0.0000\);_(* &quot;-&quot;??_);_(@_)">
                  <c:v>4.2921463462623697</c:v>
                </c:pt>
                <c:pt idx="76" formatCode="_(* #,##0.0000_);_(* \(#,##0.0000\);_(* &quot;-&quot;??_);_(@_)">
                  <c:v>4.2923019499436839</c:v>
                </c:pt>
                <c:pt idx="77" formatCode="_(* #,##0.0000_);_(* \(#,##0.0000\);_(* &quot;-&quot;??_);_(@_)">
                  <c:v>4.2924881070187224</c:v>
                </c:pt>
                <c:pt idx="78" formatCode="_(* #,##0.0000_);_(* \(#,##0.0000\);_(* &quot;-&quot;??_);_(@_)">
                  <c:v>4.2925170951642384</c:v>
                </c:pt>
                <c:pt idx="79" formatCode="_(* #,##0.0000_);_(* \(#,##0.0000\);_(* &quot;-&quot;??_);_(@_)">
                  <c:v>4.2926501458741493</c:v>
                </c:pt>
                <c:pt idx="80" formatCode="_(* #,##0.0000_);_(* \(#,##0.0000\);_(* &quot;-&quot;??_);_(@_)">
                  <c:v>4.2928556746559714</c:v>
                </c:pt>
                <c:pt idx="81" formatCode="_(* #,##0.0000_);_(* \(#,##0.0000\);_(* &quot;-&quot;??_);_(@_)">
                  <c:v>4.2927303823036009</c:v>
                </c:pt>
                <c:pt idx="82" formatCode="_(* #,##0.0000_);_(* \(#,##0.0000\);_(* &quot;-&quot;??_);_(@_)">
                  <c:v>4.2927075399064138</c:v>
                </c:pt>
                <c:pt idx="83" formatCode="_(* #,##0.0000_);_(* \(#,##0.0000\);_(* &quot;-&quot;??_);_(@_)">
                  <c:v>4.2928454180950366</c:v>
                </c:pt>
                <c:pt idx="84" formatCode="_(* #,##0.0000_);_(* \(#,##0.0000\);_(* &quot;-&quot;??_);_(@_)">
                  <c:v>4.2928942609786267</c:v>
                </c:pt>
                <c:pt idx="85" formatCode="_(* #,##0.0000_);_(* \(#,##0.0000\);_(* &quot;-&quot;??_);_(@_)">
                  <c:v>4.2928853941034779</c:v>
                </c:pt>
                <c:pt idx="86" formatCode="_(* #,##0.0000_);_(* \(#,##0.0000\);_(* &quot;-&quot;??_);_(@_)">
                  <c:v>4.2930546598665851</c:v>
                </c:pt>
                <c:pt idx="87" formatCode="_(* #,##0.0000_);_(* \(#,##0.0000\);_(* &quot;-&quot;??_);_(@_)">
                  <c:v>4.2932825693813346</c:v>
                </c:pt>
                <c:pt idx="88" formatCode="_(* #,##0.0000_);_(* \(#,##0.0000\);_(* &quot;-&quot;??_);_(@_)">
                  <c:v>4.2934352280434265</c:v>
                </c:pt>
                <c:pt idx="89" formatCode="_(* #,##0.0000_);_(* \(#,##0.0000\);_(* &quot;-&quot;??_);_(@_)">
                  <c:v>4.293501268734305</c:v>
                </c:pt>
                <c:pt idx="90" formatCode="_(* #,##0.0000_);_(* \(#,##0.0000\);_(* &quot;-&quot;??_);_(@_)">
                  <c:v>4.2936306054214084</c:v>
                </c:pt>
                <c:pt idx="91" formatCode="_(* #,##0.0000_);_(* \(#,##0.0000\);_(* &quot;-&quot;??_);_(@_)">
                  <c:v>4.2937978690011818</c:v>
                </c:pt>
                <c:pt idx="92" formatCode="_(* #,##0.0000_);_(* \(#,##0.0000\);_(* &quot;-&quot;??_);_(@_)">
                  <c:v>4.2938781739504908</c:v>
                </c:pt>
                <c:pt idx="93" formatCode="_(* #,##0.0000_);_(* \(#,##0.0000\);_(* &quot;-&quot;??_);_(@_)">
                  <c:v>4.293897856984854</c:v>
                </c:pt>
                <c:pt idx="94" formatCode="_(* #,##0.0000_);_(* \(#,##0.0000\);_(* &quot;-&quot;??_);_(@_)">
                  <c:v>4.2938361176681736</c:v>
                </c:pt>
                <c:pt idx="95" formatCode="_(* #,##0.0000_);_(* \(#,##0.0000\);_(* &quot;-&quot;??_);_(@_)">
                  <c:v>4.29386646981105</c:v>
                </c:pt>
                <c:pt idx="96" formatCode="_(* #,##0.0000_);_(* \(#,##0.0000\);_(* &quot;-&quot;??_);_(@_)">
                  <c:v>4.2939181558133415</c:v>
                </c:pt>
                <c:pt idx="97" formatCode="_(* #,##0.0000_);_(* \(#,##0.0000\);_(* &quot;-&quot;??_);_(@_)">
                  <c:v>4.2939854921130927</c:v>
                </c:pt>
                <c:pt idx="98" formatCode="_(* #,##0.0000_);_(* \(#,##0.0000\);_(* &quot;-&quot;??_);_(@_)">
                  <c:v>4.2939480278465414</c:v>
                </c:pt>
                <c:pt idx="99" formatCode="_(* #,##0.0000_);_(* \(#,##0.0000\);_(* &quot;-&quot;??_);_(@_)">
                  <c:v>4.2940171483629967</c:v>
                </c:pt>
                <c:pt idx="100" formatCode="_(* #,##0.0000_);_(* \(#,##0.0000\);_(* &quot;-&quot;??_);_(@_)">
                  <c:v>4.2938311137853162</c:v>
                </c:pt>
                <c:pt idx="101" formatCode="_(* #,##0.0000_);_(* \(#,##0.0000\);_(* &quot;-&quot;??_);_(@_)">
                  <c:v>4.2939343926868858</c:v>
                </c:pt>
                <c:pt idx="102" formatCode="_(* #,##0.0000_);_(* \(#,##0.0000\);_(* &quot;-&quot;??_);_(@_)">
                  <c:v>4.293977129326767</c:v>
                </c:pt>
                <c:pt idx="103" formatCode="_(* #,##0.0000_);_(* \(#,##0.0000\);_(* &quot;-&quot;??_);_(@_)">
                  <c:v>4.2938986676622122</c:v>
                </c:pt>
                <c:pt idx="104" formatCode="_(* #,##0.0000_);_(* \(#,##0.0000\);_(* &quot;-&quot;??_);_(@_)">
                  <c:v>4.2938886338026538</c:v>
                </c:pt>
                <c:pt idx="105" formatCode="_(* #,##0.0000_);_(* \(#,##0.0000\);_(* &quot;-&quot;??_);_(@_)">
                  <c:v>4.2938397125056387</c:v>
                </c:pt>
                <c:pt idx="106" formatCode="_(* #,##0.0000_);_(* \(#,##0.0000\);_(* &quot;-&quot;??_);_(@_)">
                  <c:v>4.2938568822674625</c:v>
                </c:pt>
                <c:pt idx="107" formatCode="_(* #,##0.0000_);_(* \(#,##0.0000\);_(* &quot;-&quot;??_);_(@_)">
                  <c:v>4.2936291622547227</c:v>
                </c:pt>
                <c:pt idx="108" formatCode="_(* #,##0.0000_);_(* \(#,##0.0000\);_(* &quot;-&quot;??_);_(@_)">
                  <c:v>4.2936535858535176</c:v>
                </c:pt>
                <c:pt idx="109" formatCode="_(* #,##0.0000_);_(* \(#,##0.0000\);_(* &quot;-&quot;??_);_(@_)">
                  <c:v>4.2934635793931744</c:v>
                </c:pt>
                <c:pt idx="110" formatCode="_(* #,##0.0000_);_(* \(#,##0.0000\);_(* &quot;-&quot;??_);_(@_)">
                  <c:v>4.2934471448182281</c:v>
                </c:pt>
                <c:pt idx="111" formatCode="_(* #,##0.0000_);_(* \(#,##0.0000\);_(* &quot;-&quot;??_);_(@_)">
                  <c:v>4.2932784965913653</c:v>
                </c:pt>
                <c:pt idx="112" formatCode="_(* #,##0.0000_);_(* \(#,##0.0000\);_(* &quot;-&quot;??_);_(@_)">
                  <c:v>4.2931333435822223</c:v>
                </c:pt>
                <c:pt idx="113" formatCode="_(* #,##0.0000_);_(* \(#,##0.0000\);_(* &quot;-&quot;??_);_(@_)">
                  <c:v>4.2928244718939679</c:v>
                </c:pt>
                <c:pt idx="114" formatCode="_(* #,##0.0000_);_(* \(#,##0.0000\);_(* &quot;-&quot;??_);_(@_)">
                  <c:v>4.292761786560825</c:v>
                </c:pt>
                <c:pt idx="115" formatCode="_(* #,##0.0000_);_(* \(#,##0.0000\);_(* &quot;-&quot;??_);_(@_)">
                  <c:v>4.2925457227069055</c:v>
                </c:pt>
                <c:pt idx="116" formatCode="_(* #,##0.0000_);_(* \(#,##0.0000\);_(* &quot;-&quot;??_);_(@_)">
                  <c:v>4.2922366026927374</c:v>
                </c:pt>
                <c:pt idx="117" formatCode="_(* #,##0.0000_);_(* \(#,##0.0000\);_(* &quot;-&quot;??_);_(@_)">
                  <c:v>4.2923309673784606</c:v>
                </c:pt>
                <c:pt idx="118" formatCode="_(* #,##0.0000_);_(* \(#,##0.0000\);_(* &quot;-&quot;??_);_(@_)">
                  <c:v>4.2923472963936531</c:v>
                </c:pt>
                <c:pt idx="119" formatCode="_(* #,##0.0000_);_(* \(#,##0.0000\);_(* &quot;-&quot;??_);_(@_)">
                  <c:v>4.2921312996483723</c:v>
                </c:pt>
                <c:pt idx="120" formatCode="_(* #,##0.0000_);_(* \(#,##0.0000\);_(* &quot;-&quot;??_);_(@_)">
                  <c:v>4.292187996928897</c:v>
                </c:pt>
                <c:pt idx="121" formatCode="_(* #,##0.0000_);_(* \(#,##0.0000\);_(* &quot;-&quot;??_);_(@_)">
                  <c:v>4.2921629585944618</c:v>
                </c:pt>
                <c:pt idx="122" formatCode="_(* #,##0.0000_);_(* \(#,##0.0000\);_(* &quot;-&quot;??_);_(@_)">
                  <c:v>4.2920659184767231</c:v>
                </c:pt>
                <c:pt idx="123" formatCode="_(* #,##0.0000_);_(* \(#,##0.0000\);_(* &quot;-&quot;??_);_(@_)">
                  <c:v>4.2922905705953642</c:v>
                </c:pt>
                <c:pt idx="124" formatCode="_(* #,##0.0000_);_(* \(#,##0.0000\);_(* &quot;-&quot;??_);_(@_)">
                  <c:v>4.2922052603640743</c:v>
                </c:pt>
                <c:pt idx="125" formatCode="_(* #,##0.0000_);_(* \(#,##0.0000\);_(* &quot;-&quot;??_);_(@_)">
                  <c:v>4.292146451297679</c:v>
                </c:pt>
                <c:pt idx="126" formatCode="_(* #,##0.0000_);_(* \(#,##0.0000\);_(* &quot;-&quot;??_);_(@_)">
                  <c:v>4.2921183119181769</c:v>
                </c:pt>
                <c:pt idx="127" formatCode="_(* #,##0.0000_);_(* \(#,##0.0000\);_(* &quot;-&quot;??_);_(@_)">
                  <c:v>4.2922134397324356</c:v>
                </c:pt>
                <c:pt idx="128" formatCode="_(* #,##0.0000_);_(* \(#,##0.0000\);_(* &quot;-&quot;??_);_(@_)">
                  <c:v>4.2920619510524016</c:v>
                </c:pt>
                <c:pt idx="129" formatCode="_(* #,##0.0000_);_(* \(#,##0.0000\);_(* &quot;-&quot;??_);_(@_)">
                  <c:v>4.2923310121680709</c:v>
                </c:pt>
                <c:pt idx="130" formatCode="_(* #,##0.0000_);_(* \(#,##0.0000\);_(* &quot;-&quot;??_);_(@_)">
                  <c:v>4.2923214955469131</c:v>
                </c:pt>
                <c:pt idx="131" formatCode="_(* #,##0.0000_);_(* \(#,##0.0000\);_(* &quot;-&quot;??_);_(@_)">
                  <c:v>4.2922459268606179</c:v>
                </c:pt>
                <c:pt idx="132" formatCode="_(* #,##0.0000_);_(* \(#,##0.0000\);_(* &quot;-&quot;??_);_(@_)">
                  <c:v>4.2924597540594913</c:v>
                </c:pt>
                <c:pt idx="133" formatCode="_(* #,##0.0000_);_(* \(#,##0.0000\);_(* &quot;-&quot;??_);_(@_)">
                  <c:v>4.2926706078158716</c:v>
                </c:pt>
                <c:pt idx="134" formatCode="_(* #,##0.0000_);_(* \(#,##0.0000\);_(* &quot;-&quot;??_);_(@_)">
                  <c:v>4.2927959198801977</c:v>
                </c:pt>
                <c:pt idx="135" formatCode="_(* #,##0.0000_);_(* \(#,##0.0000\);_(* &quot;-&quot;??_);_(@_)">
                  <c:v>4.2929158658238737</c:v>
                </c:pt>
                <c:pt idx="136" formatCode="_(* #,##0.0000_);_(* \(#,##0.0000\);_(* &quot;-&quot;??_);_(@_)">
                  <c:v>4.2931093977583386</c:v>
                </c:pt>
                <c:pt idx="137" formatCode="_(* #,##0.0000_);_(* \(#,##0.0000\);_(* &quot;-&quot;??_);_(@_)">
                  <c:v>4.2929073717723636</c:v>
                </c:pt>
                <c:pt idx="138" formatCode="_(* #,##0.0000_);_(* \(#,##0.0000\);_(* &quot;-&quot;??_);_(@_)">
                  <c:v>4.2929284365832832</c:v>
                </c:pt>
                <c:pt idx="139" formatCode="_(* #,##0.0000_);_(* \(#,##0.0000\);_(* &quot;-&quot;??_);_(@_)">
                  <c:v>4.2930944382201419</c:v>
                </c:pt>
                <c:pt idx="140" formatCode="_(* #,##0.0000_);_(* \(#,##0.0000\);_(* &quot;-&quot;??_);_(@_)">
                  <c:v>4.2931083239601593</c:v>
                </c:pt>
                <c:pt idx="141" formatCode="_(* #,##0.0000_);_(* \(#,##0.0000\);_(* &quot;-&quot;??_);_(@_)">
                  <c:v>4.2928994687123474</c:v>
                </c:pt>
                <c:pt idx="142" formatCode="_(* #,##0.0000_);_(* \(#,##0.0000\);_(* &quot;-&quot;??_);_(@_)">
                  <c:v>4.2930458942222236</c:v>
                </c:pt>
                <c:pt idx="143" formatCode="_(* #,##0.0000_);_(* \(#,##0.0000\);_(* &quot;-&quot;??_);_(@_)">
                  <c:v>4.2927719584492703</c:v>
                </c:pt>
                <c:pt idx="144" formatCode="_(* #,##0.0000_);_(* \(#,##0.0000\);_(* &quot;-&quot;??_);_(@_)">
                  <c:v>4.2929132716767011</c:v>
                </c:pt>
                <c:pt idx="145" formatCode="_(* #,##0.0000_);_(* \(#,##0.0000\);_(* &quot;-&quot;??_);_(@_)">
                  <c:v>4.2931647531811716</c:v>
                </c:pt>
                <c:pt idx="146" formatCode="_(* #,##0.0000_);_(* \(#,##0.0000\);_(* &quot;-&quot;??_);_(@_)">
                  <c:v>4.2931173964380038</c:v>
                </c:pt>
                <c:pt idx="147" formatCode="_(* #,##0.0000_);_(* \(#,##0.0000\);_(* &quot;-&quot;??_);_(@_)">
                  <c:v>4.2931721050737979</c:v>
                </c:pt>
                <c:pt idx="148" formatCode="_(* #,##0.0000_);_(* \(#,##0.0000\);_(* &quot;-&quot;??_);_(@_)">
                  <c:v>4.2932095747083228</c:v>
                </c:pt>
                <c:pt idx="149" formatCode="_(* #,##0.0000_);_(* \(#,##0.0000\);_(* &quot;-&quot;??_);_(@_)">
                  <c:v>4.2929977269070507</c:v>
                </c:pt>
                <c:pt idx="150" formatCode="_(* #,##0.0000_);_(* \(#,##0.0000\);_(* &quot;-&quot;??_);_(@_)">
                  <c:v>4.2928013312965545</c:v>
                </c:pt>
                <c:pt idx="151" formatCode="_(* #,##0.0000_);_(* \(#,##0.0000\);_(* &quot;-&quot;??_);_(@_)">
                  <c:v>4.2926933578992985</c:v>
                </c:pt>
                <c:pt idx="152" formatCode="_(* #,##0.0000_);_(* \(#,##0.0000\);_(* &quot;-&quot;??_);_(@_)">
                  <c:v>4.2925651358412953</c:v>
                </c:pt>
                <c:pt idx="153" formatCode="_(* #,##0.0000_);_(* \(#,##0.0000\);_(* &quot;-&quot;??_);_(@_)">
                  <c:v>4.2925441879171</c:v>
                </c:pt>
                <c:pt idx="154" formatCode="_(* #,##0.0000_);_(* \(#,##0.0000\);_(* &quot;-&quot;??_);_(@_)">
                  <c:v>4.2924626741008449</c:v>
                </c:pt>
                <c:pt idx="155" formatCode="_(* #,##0.0000_);_(* \(#,##0.0000\);_(* &quot;-&quot;??_);_(@_)">
                  <c:v>4.2925188920416675</c:v>
                </c:pt>
                <c:pt idx="156" formatCode="_(* #,##0.0000_);_(* \(#,##0.0000\);_(* &quot;-&quot;??_);_(@_)">
                  <c:v>4.2925742009576862</c:v>
                </c:pt>
                <c:pt idx="157" formatCode="_(* #,##0.0000_);_(* \(#,##0.0000\);_(* &quot;-&quot;??_);_(@_)">
                  <c:v>4.2925917271870819</c:v>
                </c:pt>
                <c:pt idx="158" formatCode="_(* #,##0.0000_);_(* \(#,##0.0000\);_(* &quot;-&quot;??_);_(@_)">
                  <c:v>4.2925453282682158</c:v>
                </c:pt>
                <c:pt idx="159" formatCode="_(* #,##0.0000_);_(* \(#,##0.0000\);_(* &quot;-&quot;??_);_(@_)">
                  <c:v>4.2923144934164039</c:v>
                </c:pt>
                <c:pt idx="160" formatCode="_(* #,##0.0000_);_(* \(#,##0.0000\);_(* &quot;-&quot;??_);_(@_)">
                  <c:v>4.2922100614518053</c:v>
                </c:pt>
                <c:pt idx="161" formatCode="_(* #,##0.0000_);_(* \(#,##0.0000\);_(* &quot;-&quot;??_);_(@_)">
                  <c:v>4.2922771172141569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8A-4DBC-A570-2CFD40F7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436927"/>
        <c:axId val="1630434256"/>
      </c:lineChart>
      <c:dateAx>
        <c:axId val="114343692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34256"/>
        <c:crosses val="autoZero"/>
        <c:auto val="1"/>
        <c:lblOffset val="100"/>
        <c:baseTimeUnit val="days"/>
      </c:dateAx>
      <c:valAx>
        <c:axId val="163043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3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'Consumer Staples'!$J$11:$J$163</c:f>
              <c:numCache>
                <c:formatCode>0.000%</c:formatCode>
                <c:ptCount val="153"/>
                <c:pt idx="10">
                  <c:v>-2.3035565259908112E-4</c:v>
                </c:pt>
                <c:pt idx="11">
                  <c:v>1.9579414238256218E-4</c:v>
                </c:pt>
                <c:pt idx="12">
                  <c:v>2.3414584592073648E-4</c:v>
                </c:pt>
                <c:pt idx="13">
                  <c:v>-9.0584527468241945E-6</c:v>
                </c:pt>
                <c:pt idx="14">
                  <c:v>7.6533624677429873E-4</c:v>
                </c:pt>
                <c:pt idx="15">
                  <c:v>3.3483051494347164E-4</c:v>
                </c:pt>
                <c:pt idx="16">
                  <c:v>8.8713519430971152E-5</c:v>
                </c:pt>
                <c:pt idx="17">
                  <c:v>4.2715182479269098E-4</c:v>
                </c:pt>
                <c:pt idx="18">
                  <c:v>1.9405141414157898E-5</c:v>
                </c:pt>
                <c:pt idx="19">
                  <c:v>5.2288362214729562E-4</c:v>
                </c:pt>
                <c:pt idx="20">
                  <c:v>4.9885835395105968E-4</c:v>
                </c:pt>
                <c:pt idx="21">
                  <c:v>1.541269867850278E-4</c:v>
                </c:pt>
                <c:pt idx="22">
                  <c:v>-3.8533362618081029E-4</c:v>
                </c:pt>
                <c:pt idx="23">
                  <c:v>2.1464328725110673E-4</c:v>
                </c:pt>
                <c:pt idx="24">
                  <c:v>-1.9534192354829478E-4</c:v>
                </c:pt>
                <c:pt idx="25">
                  <c:v>6.7914004680980918E-5</c:v>
                </c:pt>
                <c:pt idx="26">
                  <c:v>1.0995543918194572E-4</c:v>
                </c:pt>
                <c:pt idx="27">
                  <c:v>-5.2316384446316753E-5</c:v>
                </c:pt>
                <c:pt idx="28">
                  <c:v>1.4564023156178881E-4</c:v>
                </c:pt>
                <c:pt idx="29">
                  <c:v>-8.4838023935140843E-6</c:v>
                </c:pt>
                <c:pt idx="30">
                  <c:v>-1.2879343136845673E-4</c:v>
                </c:pt>
                <c:pt idx="31">
                  <c:v>6.5185140890082702E-5</c:v>
                </c:pt>
                <c:pt idx="32">
                  <c:v>5.23048140108935E-5</c:v>
                </c:pt>
                <c:pt idx="33">
                  <c:v>-1.4167710499308358E-4</c:v>
                </c:pt>
                <c:pt idx="34">
                  <c:v>9.045904126735887E-5</c:v>
                </c:pt>
                <c:pt idx="35">
                  <c:v>1.4372935816821486E-4</c:v>
                </c:pt>
                <c:pt idx="36">
                  <c:v>-2.11972495815704E-4</c:v>
                </c:pt>
                <c:pt idx="37">
                  <c:v>-3.1827075004087506E-4</c:v>
                </c:pt>
                <c:pt idx="38">
                  <c:v>-7.8564491554931903E-4</c:v>
                </c:pt>
                <c:pt idx="39">
                  <c:v>1.3712575279192961E-4</c:v>
                </c:pt>
                <c:pt idx="40">
                  <c:v>-4.6770538082614884E-4</c:v>
                </c:pt>
                <c:pt idx="41">
                  <c:v>-4.7056172972926051E-4</c:v>
                </c:pt>
                <c:pt idx="42">
                  <c:v>-1.2555286338795227E-4</c:v>
                </c:pt>
                <c:pt idx="43">
                  <c:v>-6.7220147414793761E-5</c:v>
                </c:pt>
                <c:pt idx="44">
                  <c:v>-9.516286260128468E-5</c:v>
                </c:pt>
                <c:pt idx="45">
                  <c:v>4.7188616365370178E-4</c:v>
                </c:pt>
                <c:pt idx="46">
                  <c:v>-4.0031952741808636E-4</c:v>
                </c:pt>
                <c:pt idx="47">
                  <c:v>1.3325710478289887E-4</c:v>
                </c:pt>
                <c:pt idx="48">
                  <c:v>7.1855261355508512E-4</c:v>
                </c:pt>
                <c:pt idx="49">
                  <c:v>-1.360460883349076E-4</c:v>
                </c:pt>
                <c:pt idx="50">
                  <c:v>2.8372819013896942E-4</c:v>
                </c:pt>
                <c:pt idx="51">
                  <c:v>-1.0474391999725749E-4</c:v>
                </c:pt>
                <c:pt idx="52">
                  <c:v>-6.2821790221113906E-4</c:v>
                </c:pt>
                <c:pt idx="53">
                  <c:v>-3.8874397700232647E-4</c:v>
                </c:pt>
                <c:pt idx="54">
                  <c:v>3.2046590451530521E-5</c:v>
                </c:pt>
                <c:pt idx="55">
                  <c:v>-1.2330917702579265E-4</c:v>
                </c:pt>
                <c:pt idx="56">
                  <c:v>-3.4728919900002466E-4</c:v>
                </c:pt>
                <c:pt idx="57">
                  <c:v>3.0375926633302922E-4</c:v>
                </c:pt>
                <c:pt idx="58">
                  <c:v>1.6767029144105209E-4</c:v>
                </c:pt>
                <c:pt idx="59">
                  <c:v>1.867188105457782E-4</c:v>
                </c:pt>
                <c:pt idx="60">
                  <c:v>-4.1759758362185177E-4</c:v>
                </c:pt>
                <c:pt idx="61">
                  <c:v>5.8540511142117156E-5</c:v>
                </c:pt>
                <c:pt idx="62">
                  <c:v>-1.3071883885163151E-4</c:v>
                </c:pt>
                <c:pt idx="63">
                  <c:v>-4.1553389373666209E-4</c:v>
                </c:pt>
                <c:pt idx="64">
                  <c:v>-6.3627496372245236E-4</c:v>
                </c:pt>
                <c:pt idx="65">
                  <c:v>-3.9080957041310455E-4</c:v>
                </c:pt>
                <c:pt idx="66">
                  <c:v>-3.7079328886722562E-4</c:v>
                </c:pt>
                <c:pt idx="67">
                  <c:v>-3.7678996692675214E-4</c:v>
                </c:pt>
                <c:pt idx="68">
                  <c:v>1.3135551982367314E-4</c:v>
                </c:pt>
                <c:pt idx="69">
                  <c:v>3.3209779242394016E-6</c:v>
                </c:pt>
                <c:pt idx="70">
                  <c:v>-1.7250360997172845E-5</c:v>
                </c:pt>
                <c:pt idx="71">
                  <c:v>-7.118428668897468E-4</c:v>
                </c:pt>
                <c:pt idx="72">
                  <c:v>2.3167118404980927E-4</c:v>
                </c:pt>
                <c:pt idx="73">
                  <c:v>-3.639194909152042E-5</c:v>
                </c:pt>
                <c:pt idx="74">
                  <c:v>-3.4751534723998303E-4</c:v>
                </c:pt>
                <c:pt idx="75">
                  <c:v>-1.0400666403624589E-4</c:v>
                </c:pt>
                <c:pt idx="76">
                  <c:v>-8.2944949452621949E-5</c:v>
                </c:pt>
                <c:pt idx="77">
                  <c:v>-2.040869465490938E-4</c:v>
                </c:pt>
                <c:pt idx="78">
                  <c:v>-5.2156702596939831E-4</c:v>
                </c:pt>
                <c:pt idx="79">
                  <c:v>-1.2274641034325156E-4</c:v>
                </c:pt>
                <c:pt idx="80">
                  <c:v>-3.1193069421797074E-4</c:v>
                </c:pt>
                <c:pt idx="81">
                  <c:v>-7.7812559200963278E-5</c:v>
                </c:pt>
                <c:pt idx="82">
                  <c:v>-4.0927098747234835E-4</c:v>
                </c:pt>
                <c:pt idx="83">
                  <c:v>-2.9236322912330547E-4</c:v>
                </c:pt>
                <c:pt idx="84">
                  <c:v>-2.5963190868770334E-4</c:v>
                </c:pt>
                <c:pt idx="85">
                  <c:v>2.9769497254588967E-4</c:v>
                </c:pt>
                <c:pt idx="86">
                  <c:v>-1.1148152462650795E-4</c:v>
                </c:pt>
                <c:pt idx="87">
                  <c:v>-2.4103637562271943E-4</c:v>
                </c:pt>
                <c:pt idx="88">
                  <c:v>1.6640100960804729E-4</c:v>
                </c:pt>
                <c:pt idx="89">
                  <c:v>5.11192561472538E-4</c:v>
                </c:pt>
                <c:pt idx="90">
                  <c:v>-2.0833012230715466E-5</c:v>
                </c:pt>
                <c:pt idx="91">
                  <c:v>3.8183082230081961E-4</c:v>
                </c:pt>
                <c:pt idx="92">
                  <c:v>3.0932272044302221E-5</c:v>
                </c:pt>
                <c:pt idx="93">
                  <c:v>6.0233570735423045E-5</c:v>
                </c:pt>
                <c:pt idx="94">
                  <c:v>2.6329050829784257E-4</c:v>
                </c:pt>
                <c:pt idx="95">
                  <c:v>1.7434137224691643E-4</c:v>
                </c:pt>
                <c:pt idx="96">
                  <c:v>3.6725775896448806E-4</c:v>
                </c:pt>
                <c:pt idx="97">
                  <c:v>-9.7208264767323119E-5</c:v>
                </c:pt>
                <c:pt idx="98">
                  <c:v>6.1998821577071599E-4</c:v>
                </c:pt>
                <c:pt idx="99">
                  <c:v>-1.8564056646872988E-4</c:v>
                </c:pt>
                <c:pt idx="100">
                  <c:v>5.6449531372466868E-4</c:v>
                </c:pt>
                <c:pt idx="101">
                  <c:v>-4.399176882155238E-5</c:v>
                </c:pt>
                <c:pt idx="102">
                  <c:v>2.5529335415716819E-4</c:v>
                </c:pt>
                <c:pt idx="103">
                  <c:v>2.1028210287728439E-4</c:v>
                </c:pt>
                <c:pt idx="104">
                  <c:v>9.2967360364695079E-4</c:v>
                </c:pt>
                <c:pt idx="105">
                  <c:v>3.3956838773745157E-4</c:v>
                </c:pt>
                <c:pt idx="106">
                  <c:v>5.8766003467033696E-4</c:v>
                </c:pt>
                <c:pt idx="107">
                  <c:v>8.0776811982750626E-4</c:v>
                </c:pt>
                <c:pt idx="108">
                  <c:v>-6.5848221299038591E-4</c:v>
                </c:pt>
                <c:pt idx="109">
                  <c:v>6.2243309682297621E-5</c:v>
                </c:pt>
                <c:pt idx="110">
                  <c:v>5.4641119003303153E-4</c:v>
                </c:pt>
                <c:pt idx="111">
                  <c:v>-2.6506471188698802E-4</c:v>
                </c:pt>
                <c:pt idx="112">
                  <c:v>-2.6506391474930951E-4</c:v>
                </c:pt>
                <c:pt idx="113">
                  <c:v>6.7155298657972366E-5</c:v>
                </c:pt>
                <c:pt idx="114">
                  <c:v>-1.1573935671761954E-3</c:v>
                </c:pt>
                <c:pt idx="115">
                  <c:v>1.7972991639291828E-4</c:v>
                </c:pt>
                <c:pt idx="116">
                  <c:v>2.4689449718098762E-4</c:v>
                </c:pt>
                <c:pt idx="117">
                  <c:v>-3.7112346146501941E-4</c:v>
                </c:pt>
                <c:pt idx="118">
                  <c:v>-1.5308047309547815E-4</c:v>
                </c:pt>
                <c:pt idx="119">
                  <c:v>1.4935394731761936E-4</c:v>
                </c:pt>
                <c:pt idx="120">
                  <c:v>-9.5260249850625427E-4</c:v>
                </c:pt>
                <c:pt idx="121">
                  <c:v>-2.6187463944324666E-4</c:v>
                </c:pt>
                <c:pt idx="122">
                  <c:v>3.6694041418826561E-4</c:v>
                </c:pt>
                <c:pt idx="123">
                  <c:v>-9.4247879149320947E-4</c:v>
                </c:pt>
                <c:pt idx="124">
                  <c:v>-8.895422318165644E-5</c:v>
                </c:pt>
                <c:pt idx="125">
                  <c:v>-2.3633765820410308E-4</c:v>
                </c:pt>
                <c:pt idx="126">
                  <c:v>1.148564481863661E-4</c:v>
                </c:pt>
                <c:pt idx="127">
                  <c:v>1.0899182375491431E-4</c:v>
                </c:pt>
                <c:pt idx="128">
                  <c:v>4.1695352231346024E-4</c:v>
                </c:pt>
                <c:pt idx="129">
                  <c:v>9.9472144227064481E-5</c:v>
                </c:pt>
                <c:pt idx="130">
                  <c:v>-2.8571932575816731E-6</c:v>
                </c:pt>
                <c:pt idx="131">
                  <c:v>-1.153517544104931E-4</c:v>
                </c:pt>
                <c:pt idx="132">
                  <c:v>8.7992468245080705E-4</c:v>
                </c:pt>
                <c:pt idx="133">
                  <c:v>-3.8666909879479311E-4</c:v>
                </c:pt>
                <c:pt idx="134">
                  <c:v>2.3049718332167311E-4</c:v>
                </c:pt>
                <c:pt idx="135">
                  <c:v>-3.13696907786604E-4</c:v>
                </c:pt>
                <c:pt idx="136">
                  <c:v>-6.8731054455462048E-4</c:v>
                </c:pt>
                <c:pt idx="137">
                  <c:v>8.2232196713800774E-5</c:v>
                </c:pt>
                <c:pt idx="138">
                  <c:v>-1.8460442655938465E-4</c:v>
                </c:pt>
                <c:pt idx="139">
                  <c:v>2.4209050856630388E-4</c:v>
                </c:pt>
                <c:pt idx="140">
                  <c:v>1.8935819932532996E-4</c:v>
                </c:pt>
                <c:pt idx="141">
                  <c:v>7.6518962763794313E-4</c:v>
                </c:pt>
                <c:pt idx="142">
                  <c:v>9.7459711794949913E-4</c:v>
                </c:pt>
                <c:pt idx="143">
                  <c:v>-3.2088397027537578E-4</c:v>
                </c:pt>
                <c:pt idx="144">
                  <c:v>-2.0810187363538146E-5</c:v>
                </c:pt>
                <c:pt idx="145">
                  <c:v>6.5782890188745337E-5</c:v>
                </c:pt>
                <c:pt idx="146">
                  <c:v>-2.3952572476504709E-4</c:v>
                </c:pt>
                <c:pt idx="147">
                  <c:v>-2.7333864701946771E-4</c:v>
                </c:pt>
                <c:pt idx="148">
                  <c:v>2.6174107966806637E-4</c:v>
                </c:pt>
                <c:pt idx="149">
                  <c:v>2.2643573554717811E-4</c:v>
                </c:pt>
                <c:pt idx="150">
                  <c:v>8.9140505819948848E-4</c:v>
                </c:pt>
                <c:pt idx="151">
                  <c:v>1.619647986166293E-4</c:v>
                </c:pt>
                <c:pt idx="152">
                  <c:v>4.2231260325484901E-4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9-44E9-9E78-EB23349DCC4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'Consumer Staples'!$K$11:$K$163</c:f>
              <c:numCache>
                <c:formatCode>0.000%</c:formatCode>
                <c:ptCount val="153"/>
                <c:pt idx="10">
                  <c:v>-1.8088641930901931E-4</c:v>
                </c:pt>
                <c:pt idx="11">
                  <c:v>2.5274552404774413E-4</c:v>
                </c:pt>
                <c:pt idx="12">
                  <c:v>3.1518449293991267E-4</c:v>
                </c:pt>
                <c:pt idx="13">
                  <c:v>4.8607608199654184E-5</c:v>
                </c:pt>
                <c:pt idx="14">
                  <c:v>8.5480317807174985E-4</c:v>
                </c:pt>
                <c:pt idx="15">
                  <c:v>4.2761796359071003E-4</c:v>
                </c:pt>
                <c:pt idx="16">
                  <c:v>1.8955231009924118E-4</c:v>
                </c:pt>
                <c:pt idx="17">
                  <c:v>5.7499013357119246E-4</c:v>
                </c:pt>
                <c:pt idx="18">
                  <c:v>1.8575190239420957E-4</c:v>
                </c:pt>
                <c:pt idx="19">
                  <c:v>7.4659574804025557E-4</c:v>
                </c:pt>
                <c:pt idx="20">
                  <c:v>7.5496443025492642E-4</c:v>
                </c:pt>
                <c:pt idx="21">
                  <c:v>4.3975135740331045E-4</c:v>
                </c:pt>
                <c:pt idx="22">
                  <c:v>-1.2881951496783342E-4</c:v>
                </c:pt>
                <c:pt idx="23">
                  <c:v>4.9803418679356289E-4</c:v>
                </c:pt>
                <c:pt idx="24">
                  <c:v>8.616811726797485E-5</c:v>
                </c:pt>
                <c:pt idx="25">
                  <c:v>3.5818442467458467E-4</c:v>
                </c:pt>
                <c:pt idx="26">
                  <c:v>4.0941736637172265E-4</c:v>
                </c:pt>
                <c:pt idx="27">
                  <c:v>2.6469700610202377E-4</c:v>
                </c:pt>
                <c:pt idx="28">
                  <c:v>5.0008771172602509E-4</c:v>
                </c:pt>
                <c:pt idx="29">
                  <c:v>3.382661039330161E-4</c:v>
                </c:pt>
                <c:pt idx="30">
                  <c:v>2.3895546013237459E-4</c:v>
                </c:pt>
                <c:pt idx="31">
                  <c:v>4.4241788677260225E-4</c:v>
                </c:pt>
                <c:pt idx="32">
                  <c:v>4.355561732322433E-4</c:v>
                </c:pt>
                <c:pt idx="33">
                  <c:v>2.5173293994161289E-4</c:v>
                </c:pt>
                <c:pt idx="34">
                  <c:v>4.6435190864891295E-4</c:v>
                </c:pt>
                <c:pt idx="35">
                  <c:v>5.2235879970538861E-4</c:v>
                </c:pt>
                <c:pt idx="36">
                  <c:v>1.6545167216145348E-4</c:v>
                </c:pt>
                <c:pt idx="37">
                  <c:v>3.2002391942156671E-5</c:v>
                </c:pt>
                <c:pt idx="38">
                  <c:v>-4.6807884647683651E-4</c:v>
                </c:pt>
                <c:pt idx="39">
                  <c:v>4.3933303447179128E-4</c:v>
                </c:pt>
                <c:pt idx="40">
                  <c:v>-2.1394387856593172E-4</c:v>
                </c:pt>
                <c:pt idx="41">
                  <c:v>-2.513607506858864E-4</c:v>
                </c:pt>
                <c:pt idx="42">
                  <c:v>1.0535985714389165E-4</c:v>
                </c:pt>
                <c:pt idx="43">
                  <c:v>1.4609749727780358E-4</c:v>
                </c:pt>
                <c:pt idx="44">
                  <c:v>1.1983848775997618E-4</c:v>
                </c:pt>
                <c:pt idx="45">
                  <c:v>7.041820772339557E-4</c:v>
                </c:pt>
                <c:pt idx="46">
                  <c:v>-1.9841881527284344E-4</c:v>
                </c:pt>
                <c:pt idx="47">
                  <c:v>3.3886589801579713E-4</c:v>
                </c:pt>
                <c:pt idx="48">
                  <c:v>9.4646917819677192E-4</c:v>
                </c:pt>
                <c:pt idx="49">
                  <c:v>7.8902109951168E-5</c:v>
                </c:pt>
                <c:pt idx="50">
                  <c:v>5.1234369720123041E-4</c:v>
                </c:pt>
                <c:pt idx="51">
                  <c:v>1.0710695456396356E-4</c:v>
                </c:pt>
                <c:pt idx="52">
                  <c:v>-4.612146395845406E-4</c:v>
                </c:pt>
                <c:pt idx="53">
                  <c:v>-2.4666436833226492E-4</c:v>
                </c:pt>
                <c:pt idx="54">
                  <c:v>1.5885400998113416E-4</c:v>
                </c:pt>
                <c:pt idx="55">
                  <c:v>-2.3806295624206754E-5</c:v>
                </c:pt>
                <c:pt idx="56">
                  <c:v>-2.6953890642463342E-4</c:v>
                </c:pt>
                <c:pt idx="57">
                  <c:v>3.9990217527311768E-4</c:v>
                </c:pt>
                <c:pt idx="58">
                  <c:v>3.0234187599939712E-4</c:v>
                </c:pt>
                <c:pt idx="59">
                  <c:v>3.1518449293991267E-4</c:v>
                </c:pt>
                <c:pt idx="60">
                  <c:v>-2.930907488325973E-4</c:v>
                </c:pt>
                <c:pt idx="61">
                  <c:v>2.0591474905224598E-4</c:v>
                </c:pt>
                <c:pt idx="62">
                  <c:v>1.1986318909969499E-5</c:v>
                </c:pt>
                <c:pt idx="63">
                  <c:v>-2.9488226856573221E-4</c:v>
                </c:pt>
                <c:pt idx="64">
                  <c:v>-5.4907991500811198E-4</c:v>
                </c:pt>
                <c:pt idx="65">
                  <c:v>-3.5665013681270935E-4</c:v>
                </c:pt>
                <c:pt idx="66">
                  <c:v>-3.4391064155937209E-4</c:v>
                </c:pt>
                <c:pt idx="67">
                  <c:v>-3.861597789411309E-4</c:v>
                </c:pt>
                <c:pt idx="68">
                  <c:v>7.8616662362148698E-5</c:v>
                </c:pt>
                <c:pt idx="69">
                  <c:v>-5.6171083486127972E-5</c:v>
                </c:pt>
                <c:pt idx="70">
                  <c:v>-1.0773790710483755E-4</c:v>
                </c:pt>
                <c:pt idx="71">
                  <c:v>-8.5020849639938305E-4</c:v>
                </c:pt>
                <c:pt idx="72">
                  <c:v>1.2249222893813199E-4</c:v>
                </c:pt>
                <c:pt idx="73">
                  <c:v>-1.4024970861745983E-4</c:v>
                </c:pt>
                <c:pt idx="74">
                  <c:v>-4.834917575527825E-4</c:v>
                </c:pt>
                <c:pt idx="75">
                  <c:v>-2.513607506858864E-4</c:v>
                </c:pt>
                <c:pt idx="76">
                  <c:v>-2.282335567852644E-4</c:v>
                </c:pt>
                <c:pt idx="77">
                  <c:v>-3.8880414575740644E-4</c:v>
                </c:pt>
                <c:pt idx="78">
                  <c:v>-7.5937077622245013E-4</c:v>
                </c:pt>
                <c:pt idx="79">
                  <c:v>-3.9610709066191356E-4</c:v>
                </c:pt>
                <c:pt idx="80">
                  <c:v>-6.0067303967510795E-4</c:v>
                </c:pt>
                <c:pt idx="81">
                  <c:v>-3.9667827739971808E-4</c:v>
                </c:pt>
                <c:pt idx="82">
                  <c:v>-7.67092157886622E-4</c:v>
                </c:pt>
                <c:pt idx="83">
                  <c:v>-6.6888676998320842E-4</c:v>
                </c:pt>
                <c:pt idx="84">
                  <c:v>-6.4073941501009712E-4</c:v>
                </c:pt>
                <c:pt idx="85">
                  <c:v>-6.9034045373423433E-5</c:v>
                </c:pt>
                <c:pt idx="86">
                  <c:v>-4.852792882475656E-4</c:v>
                </c:pt>
                <c:pt idx="87">
                  <c:v>-6.2687123717897674E-4</c:v>
                </c:pt>
                <c:pt idx="88">
                  <c:v>-2.3511551362334913E-4</c:v>
                </c:pt>
                <c:pt idx="89">
                  <c:v>1.184009000404202E-4</c:v>
                </c:pt>
                <c:pt idx="90">
                  <c:v>-4.2972173857604477E-4</c:v>
                </c:pt>
                <c:pt idx="91">
                  <c:v>1.6267169252450964E-5</c:v>
                </c:pt>
                <c:pt idx="92">
                  <c:v>-3.5868394776265801E-4</c:v>
                </c:pt>
                <c:pt idx="93">
                  <c:v>-3.3933539247638209E-4</c:v>
                </c:pt>
                <c:pt idx="94">
                  <c:v>-1.1800579554803159E-4</c:v>
                </c:pt>
                <c:pt idx="95">
                  <c:v>-2.0461815747882601E-4</c:v>
                </c:pt>
                <c:pt idx="96">
                  <c:v>-3.0846742344072244E-7</c:v>
                </c:pt>
                <c:pt idx="97">
                  <c:v>-4.6877317965923076E-4</c:v>
                </c:pt>
                <c:pt idx="98">
                  <c:v>3.0145861566418467E-4</c:v>
                </c:pt>
                <c:pt idx="99">
                  <c:v>-5.0985848487357854E-4</c:v>
                </c:pt>
                <c:pt idx="100">
                  <c:v>2.8453123667722641E-4</c:v>
                </c:pt>
                <c:pt idx="101">
                  <c:v>-3.2012802571948284E-4</c:v>
                </c:pt>
                <c:pt idx="102">
                  <c:v>1.8438246774785636E-5</c:v>
                </c:pt>
                <c:pt idx="103">
                  <c:v>7.2369295764633319E-6</c:v>
                </c:pt>
                <c:pt idx="104">
                  <c:v>7.9857653328965653E-4</c:v>
                </c:pt>
                <c:pt idx="105">
                  <c:v>2.2307377579267547E-4</c:v>
                </c:pt>
                <c:pt idx="106">
                  <c:v>5.2149882167087187E-4</c:v>
                </c:pt>
                <c:pt idx="107">
                  <c:v>8.1362271400524291E-4</c:v>
                </c:pt>
                <c:pt idx="108">
                  <c:v>-6.7461234546487329E-4</c:v>
                </c:pt>
                <c:pt idx="109">
                  <c:v>4.2308954221034005E-5</c:v>
                </c:pt>
                <c:pt idx="110">
                  <c:v>5.7679945880778443E-4</c:v>
                </c:pt>
                <c:pt idx="111">
                  <c:v>-2.4788594256468948E-4</c:v>
                </c:pt>
                <c:pt idx="112">
                  <c:v>-2.4205166201878326E-4</c:v>
                </c:pt>
                <c:pt idx="113">
                  <c:v>1.1277648205250522E-4</c:v>
                </c:pt>
                <c:pt idx="114">
                  <c:v>-1.1641122694746057E-3</c:v>
                </c:pt>
                <c:pt idx="115">
                  <c:v>1.9288663438071492E-4</c:v>
                </c:pt>
                <c:pt idx="116">
                  <c:v>2.7375267297743684E-4</c:v>
                </c:pt>
                <c:pt idx="117">
                  <c:v>-3.37709248482336E-4</c:v>
                </c:pt>
                <c:pt idx="118">
                  <c:v>-1.4182938637914599E-4</c:v>
                </c:pt>
                <c:pt idx="119">
                  <c:v>1.9589949353181923E-4</c:v>
                </c:pt>
                <c:pt idx="120">
                  <c:v>-9.6874306577970329E-4</c:v>
                </c:pt>
                <c:pt idx="121">
                  <c:v>-2.7579808234284419E-4</c:v>
                </c:pt>
                <c:pt idx="122">
                  <c:v>3.7062267757037365E-4</c:v>
                </c:pt>
                <c:pt idx="123">
                  <c:v>-9.8861237663631961E-4</c:v>
                </c:pt>
                <c:pt idx="124">
                  <c:v>-1.842084966625963E-4</c:v>
                </c:pt>
                <c:pt idx="125">
                  <c:v>-3.6078360436365986E-4</c:v>
                </c:pt>
                <c:pt idx="126">
                  <c:v>-3.7530324937208801E-5</c:v>
                </c:pt>
                <c:pt idx="127">
                  <c:v>-8.8475630721842493E-5</c:v>
                </c:pt>
                <c:pt idx="128">
                  <c:v>2.6654537168755284E-4</c:v>
                </c:pt>
                <c:pt idx="129">
                  <c:v>-5.5842881253931182E-5</c:v>
                </c:pt>
                <c:pt idx="130">
                  <c:v>-1.9684009542628221E-4</c:v>
                </c:pt>
                <c:pt idx="131">
                  <c:v>-3.1256908753817751E-4</c:v>
                </c:pt>
                <c:pt idx="132">
                  <c:v>7.3135749101788572E-4</c:v>
                </c:pt>
                <c:pt idx="133">
                  <c:v>-5.6934447603607661E-4</c:v>
                </c:pt>
                <c:pt idx="134">
                  <c:v>1.116330300653283E-4</c:v>
                </c:pt>
                <c:pt idx="135">
                  <c:v>-4.6547939514337498E-4</c:v>
                </c:pt>
                <c:pt idx="136">
                  <c:v>-8.976719322695149E-4</c:v>
                </c:pt>
                <c:pt idx="137">
                  <c:v>-1.1709839971245013E-4</c:v>
                </c:pt>
                <c:pt idx="138">
                  <c:v>-3.9667827739971808E-4</c:v>
                </c:pt>
                <c:pt idx="139">
                  <c:v>2.1288968712700679E-5</c:v>
                </c:pt>
                <c:pt idx="140">
                  <c:v>1.7902731345678563E-5</c:v>
                </c:pt>
                <c:pt idx="141">
                  <c:v>6.3948310141628633E-4</c:v>
                </c:pt>
                <c:pt idx="142">
                  <c:v>8.740431079592814E-4</c:v>
                </c:pt>
                <c:pt idx="143">
                  <c:v>-3.9156769549636021E-4</c:v>
                </c:pt>
                <c:pt idx="144">
                  <c:v>-8.6613852609710134E-5</c:v>
                </c:pt>
                <c:pt idx="145">
                  <c:v>1.8969033004086078E-5</c:v>
                </c:pt>
                <c:pt idx="146">
                  <c:v>-2.9943639302394177E-4</c:v>
                </c:pt>
                <c:pt idx="147">
                  <c:v>-3.4613418802704305E-4</c:v>
                </c:pt>
                <c:pt idx="148">
                  <c:v>1.8486262878031256E-4</c:v>
                </c:pt>
                <c:pt idx="149">
                  <c:v>1.6036641177445685E-4</c:v>
                </c:pt>
                <c:pt idx="150">
                  <c:v>8.7911293211251427E-4</c:v>
                </c:pt>
                <c:pt idx="151">
                  <c:v>1.7400295755291067E-4</c:v>
                </c:pt>
                <c:pt idx="152">
                  <c:v>4.1872821865222062E-4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09-44E9-9E78-EB23349DC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427183"/>
        <c:axId val="1630424656"/>
      </c:lineChart>
      <c:catAx>
        <c:axId val="114342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24656"/>
        <c:crosses val="autoZero"/>
        <c:auto val="1"/>
        <c:lblAlgn val="ctr"/>
        <c:lblOffset val="100"/>
        <c:noMultiLvlLbl val="0"/>
      </c:catAx>
      <c:valAx>
        <c:axId val="163042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2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Utilities!$J$1</c:f>
              <c:strCache>
                <c:ptCount val="1"/>
                <c:pt idx="0">
                  <c:v> from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Utilities!$J$2:$J$163</c:f>
              <c:numCache>
                <c:formatCode>0.000%</c:formatCode>
                <c:ptCount val="162"/>
                <c:pt idx="19">
                  <c:v>-5.1271226673058078E-4</c:v>
                </c:pt>
                <c:pt idx="20">
                  <c:v>-7.3275343138651207E-4</c:v>
                </c:pt>
                <c:pt idx="21">
                  <c:v>-3.9247490470362449E-4</c:v>
                </c:pt>
                <c:pt idx="22">
                  <c:v>-2.7143714196506218E-7</c:v>
                </c:pt>
                <c:pt idx="23">
                  <c:v>-2.6398121617367775E-4</c:v>
                </c:pt>
                <c:pt idx="24">
                  <c:v>1.2263993140237663E-4</c:v>
                </c:pt>
                <c:pt idx="25">
                  <c:v>-1.9120587483792957E-4</c:v>
                </c:pt>
                <c:pt idx="26">
                  <c:v>9.0750760448863476E-5</c:v>
                </c:pt>
                <c:pt idx="27">
                  <c:v>-3.3054837073715843E-5</c:v>
                </c:pt>
                <c:pt idx="28">
                  <c:v>-4.2870746344105166E-4</c:v>
                </c:pt>
                <c:pt idx="29">
                  <c:v>-3.5786937858773161E-4</c:v>
                </c:pt>
                <c:pt idx="30">
                  <c:v>-2.6740390282624414E-4</c:v>
                </c:pt>
                <c:pt idx="31">
                  <c:v>4.5958117672908279E-5</c:v>
                </c:pt>
                <c:pt idx="32">
                  <c:v>-1.4820795380899885E-4</c:v>
                </c:pt>
                <c:pt idx="33">
                  <c:v>5.1541784296771148E-4</c:v>
                </c:pt>
                <c:pt idx="34">
                  <c:v>-3.2424826107968366E-4</c:v>
                </c:pt>
                <c:pt idx="35">
                  <c:v>2.2395769967949901E-4</c:v>
                </c:pt>
                <c:pt idx="36">
                  <c:v>4.4810252536767664E-4</c:v>
                </c:pt>
                <c:pt idx="37">
                  <c:v>1.3937979695499613E-4</c:v>
                </c:pt>
                <c:pt idx="38">
                  <c:v>2.5267169391541931E-4</c:v>
                </c:pt>
                <c:pt idx="39">
                  <c:v>3.4415839965905895E-4</c:v>
                </c:pt>
                <c:pt idx="40">
                  <c:v>5.0016757143465517E-4</c:v>
                </c:pt>
                <c:pt idx="41">
                  <c:v>-1.9272914037627906E-4</c:v>
                </c:pt>
                <c:pt idx="42">
                  <c:v>1.6846666175567758E-4</c:v>
                </c:pt>
                <c:pt idx="43">
                  <c:v>3.4749987936234968E-4</c:v>
                </c:pt>
                <c:pt idx="44">
                  <c:v>9.6084525432922022E-5</c:v>
                </c:pt>
                <c:pt idx="45">
                  <c:v>2.7294137955603413E-4</c:v>
                </c:pt>
                <c:pt idx="46">
                  <c:v>9.8712223418522492E-5</c:v>
                </c:pt>
                <c:pt idx="47">
                  <c:v>2.9871934258914702E-4</c:v>
                </c:pt>
                <c:pt idx="48">
                  <c:v>-2.9240318439328379E-4</c:v>
                </c:pt>
                <c:pt idx="49">
                  <c:v>-5.2266310948890821E-4</c:v>
                </c:pt>
                <c:pt idx="50">
                  <c:v>9.3998301116698962E-5</c:v>
                </c:pt>
                <c:pt idx="51">
                  <c:v>1.1329652788799188E-3</c:v>
                </c:pt>
                <c:pt idx="52">
                  <c:v>-1.7757932003038192E-4</c:v>
                </c:pt>
                <c:pt idx="53">
                  <c:v>-4.9876258546456141E-4</c:v>
                </c:pt>
                <c:pt idx="54">
                  <c:v>-1.0111316170701059E-4</c:v>
                </c:pt>
                <c:pt idx="55">
                  <c:v>-5.6776905581570642E-4</c:v>
                </c:pt>
                <c:pt idx="56">
                  <c:v>2.6269271048103696E-5</c:v>
                </c:pt>
                <c:pt idx="57">
                  <c:v>-9.394856184147736E-7</c:v>
                </c:pt>
                <c:pt idx="58">
                  <c:v>-2.6732408594198789E-4</c:v>
                </c:pt>
                <c:pt idx="59">
                  <c:v>1.2354904178024791E-4</c:v>
                </c:pt>
                <c:pt idx="60">
                  <c:v>-9.7253388436660375E-4</c:v>
                </c:pt>
                <c:pt idx="61">
                  <c:v>-2.5484478751355502E-4</c:v>
                </c:pt>
                <c:pt idx="62">
                  <c:v>4.1531348236945541E-4</c:v>
                </c:pt>
                <c:pt idx="63">
                  <c:v>-3.7312704856786247E-4</c:v>
                </c:pt>
                <c:pt idx="64">
                  <c:v>-7.8865070781087003E-5</c:v>
                </c:pt>
                <c:pt idx="65">
                  <c:v>-5.2759067594014283E-5</c:v>
                </c:pt>
                <c:pt idx="66">
                  <c:v>-3.4572613632015318E-5</c:v>
                </c:pt>
                <c:pt idx="67">
                  <c:v>-3.1484131905083241E-4</c:v>
                </c:pt>
                <c:pt idx="68">
                  <c:v>1.3003219459863089E-4</c:v>
                </c:pt>
                <c:pt idx="69">
                  <c:v>1.5138209740723084E-4</c:v>
                </c:pt>
                <c:pt idx="70">
                  <c:v>8.0937763830433502E-5</c:v>
                </c:pt>
                <c:pt idx="71">
                  <c:v>3.6495276312659088E-4</c:v>
                </c:pt>
                <c:pt idx="72">
                  <c:v>5.9772246512369514E-5</c:v>
                </c:pt>
                <c:pt idx="73">
                  <c:v>2.4086683266851168E-4</c:v>
                </c:pt>
                <c:pt idx="74">
                  <c:v>3.55752740420939E-4</c:v>
                </c:pt>
                <c:pt idx="75">
                  <c:v>-3.4010386490580813E-4</c:v>
                </c:pt>
                <c:pt idx="76">
                  <c:v>7.0487304987810226E-5</c:v>
                </c:pt>
                <c:pt idx="77">
                  <c:v>3.1749514674198011E-4</c:v>
                </c:pt>
                <c:pt idx="78">
                  <c:v>1.2648837099020295E-4</c:v>
                </c:pt>
                <c:pt idx="79">
                  <c:v>-1.0243622275182924E-4</c:v>
                </c:pt>
                <c:pt idx="80">
                  <c:v>5.6037406088098925E-4</c:v>
                </c:pt>
                <c:pt idx="81">
                  <c:v>-4.2528245282281318E-4</c:v>
                </c:pt>
                <c:pt idx="82">
                  <c:v>2.2927303495285319E-4</c:v>
                </c:pt>
                <c:pt idx="83">
                  <c:v>2.3138693041353819E-4</c:v>
                </c:pt>
                <c:pt idx="84">
                  <c:v>7.0995113912362555E-5</c:v>
                </c:pt>
                <c:pt idx="85">
                  <c:v>-2.1068785008782556E-4</c:v>
                </c:pt>
                <c:pt idx="86">
                  <c:v>-3.9027965249353001E-4</c:v>
                </c:pt>
                <c:pt idx="87">
                  <c:v>-2.3810615691978047E-4</c:v>
                </c:pt>
                <c:pt idx="88">
                  <c:v>4.8895632602306861E-5</c:v>
                </c:pt>
                <c:pt idx="89">
                  <c:v>-3.8147695476776057E-4</c:v>
                </c:pt>
                <c:pt idx="90">
                  <c:v>-1.4867563168274476E-4</c:v>
                </c:pt>
                <c:pt idx="91">
                  <c:v>-1.3321540999566327E-4</c:v>
                </c:pt>
                <c:pt idx="92">
                  <c:v>-1.1181208496599219E-3</c:v>
                </c:pt>
                <c:pt idx="93">
                  <c:v>3.5945788359288407E-4</c:v>
                </c:pt>
                <c:pt idx="94">
                  <c:v>3.8333763566703945E-5</c:v>
                </c:pt>
                <c:pt idx="95">
                  <c:v>2.4155450537991654E-4</c:v>
                </c:pt>
                <c:pt idx="96">
                  <c:v>-9.2607029182871739E-5</c:v>
                </c:pt>
                <c:pt idx="97">
                  <c:v>9.8856976547147675E-5</c:v>
                </c:pt>
                <c:pt idx="98">
                  <c:v>4.1862798280232214E-5</c:v>
                </c:pt>
                <c:pt idx="99">
                  <c:v>9.2406549239786135E-5</c:v>
                </c:pt>
                <c:pt idx="100">
                  <c:v>-1.7888371525112875E-5</c:v>
                </c:pt>
                <c:pt idx="101">
                  <c:v>7.2017540366445113E-4</c:v>
                </c:pt>
                <c:pt idx="102">
                  <c:v>-2.8319501312932343E-5</c:v>
                </c:pt>
                <c:pt idx="103">
                  <c:v>2.3915713244252492E-4</c:v>
                </c:pt>
                <c:pt idx="104">
                  <c:v>4.0407570333162385E-5</c:v>
                </c:pt>
                <c:pt idx="105">
                  <c:v>-1.182391271131066E-4</c:v>
                </c:pt>
                <c:pt idx="106">
                  <c:v>-1.3472712399142443E-4</c:v>
                </c:pt>
                <c:pt idx="107">
                  <c:v>-1.5631137319373486E-5</c:v>
                </c:pt>
                <c:pt idx="108">
                  <c:v>-2.0762694464580923E-4</c:v>
                </c:pt>
                <c:pt idx="109">
                  <c:v>4.3951968862973795E-4</c:v>
                </c:pt>
                <c:pt idx="110">
                  <c:v>-2.3484845581910825E-4</c:v>
                </c:pt>
                <c:pt idx="111">
                  <c:v>-2.82441358838297E-4</c:v>
                </c:pt>
                <c:pt idx="112">
                  <c:v>-1.7861401598307365E-4</c:v>
                </c:pt>
                <c:pt idx="113">
                  <c:v>5.7687128990214522E-4</c:v>
                </c:pt>
                <c:pt idx="114">
                  <c:v>2.7288083807612041E-4</c:v>
                </c:pt>
                <c:pt idx="115">
                  <c:v>3.9989706488624511E-4</c:v>
                </c:pt>
                <c:pt idx="116">
                  <c:v>2.1217075645109466E-4</c:v>
                </c:pt>
                <c:pt idx="117">
                  <c:v>3.826659234738888E-4</c:v>
                </c:pt>
                <c:pt idx="118">
                  <c:v>-3.07302215004543E-4</c:v>
                </c:pt>
                <c:pt idx="119">
                  <c:v>-5.8016367502052902E-4</c:v>
                </c:pt>
                <c:pt idx="120">
                  <c:v>-1.1548712959036087E-3</c:v>
                </c:pt>
                <c:pt idx="121">
                  <c:v>-7.0497729196133886E-4</c:v>
                </c:pt>
                <c:pt idx="122">
                  <c:v>2.9720030034181507E-4</c:v>
                </c:pt>
                <c:pt idx="123">
                  <c:v>4.8273763599961659E-4</c:v>
                </c:pt>
                <c:pt idx="124">
                  <c:v>5.9091246034010704E-4</c:v>
                </c:pt>
                <c:pt idx="125">
                  <c:v>-3.6978832938760651E-4</c:v>
                </c:pt>
                <c:pt idx="126">
                  <c:v>1.8660802910551693E-4</c:v>
                </c:pt>
                <c:pt idx="127">
                  <c:v>-1.8536162049437224E-4</c:v>
                </c:pt>
                <c:pt idx="128">
                  <c:v>1.6150896694391207E-5</c:v>
                </c:pt>
                <c:pt idx="129">
                  <c:v>-9.4883714929819805E-5</c:v>
                </c:pt>
                <c:pt idx="130">
                  <c:v>-1.1568027205568046E-4</c:v>
                </c:pt>
                <c:pt idx="131">
                  <c:v>3.0822388800343152E-4</c:v>
                </c:pt>
                <c:pt idx="132">
                  <c:v>9.4181376352005589E-5</c:v>
                </c:pt>
                <c:pt idx="133">
                  <c:v>4.4816731913948927E-4</c:v>
                </c:pt>
                <c:pt idx="134">
                  <c:v>4.266825803300973E-4</c:v>
                </c:pt>
                <c:pt idx="135">
                  <c:v>-2.0391438629847777E-4</c:v>
                </c:pt>
                <c:pt idx="136">
                  <c:v>-6.3929067476953296E-5</c:v>
                </c:pt>
                <c:pt idx="137">
                  <c:v>4.4291174258228797E-4</c:v>
                </c:pt>
                <c:pt idx="138">
                  <c:v>-1.3940529290893379E-4</c:v>
                </c:pt>
                <c:pt idx="139">
                  <c:v>1.9121982736268985E-5</c:v>
                </c:pt>
                <c:pt idx="140">
                  <c:v>-1.8335176693140074E-4</c:v>
                </c:pt>
                <c:pt idx="141">
                  <c:v>2.0152303584142727E-4</c:v>
                </c:pt>
                <c:pt idx="142">
                  <c:v>5.4128650039384873E-4</c:v>
                </c:pt>
                <c:pt idx="143">
                  <c:v>2.9452771957273158E-4</c:v>
                </c:pt>
                <c:pt idx="144">
                  <c:v>4.0217786400555155E-4</c:v>
                </c:pt>
                <c:pt idx="145">
                  <c:v>2.146175299674464E-4</c:v>
                </c:pt>
                <c:pt idx="146">
                  <c:v>2.2984358433353864E-4</c:v>
                </c:pt>
                <c:pt idx="147">
                  <c:v>-2.0282923306255547E-4</c:v>
                </c:pt>
                <c:pt idx="148">
                  <c:v>-2.1039593506586319E-4</c:v>
                </c:pt>
                <c:pt idx="149">
                  <c:v>-1.1437437831444941E-4</c:v>
                </c:pt>
                <c:pt idx="150">
                  <c:v>1.2642860535149453E-4</c:v>
                </c:pt>
                <c:pt idx="151">
                  <c:v>1.6090562735583688E-4</c:v>
                </c:pt>
                <c:pt idx="152">
                  <c:v>2.8405672813058481E-6</c:v>
                </c:pt>
                <c:pt idx="153">
                  <c:v>-3.807262142638493E-4</c:v>
                </c:pt>
                <c:pt idx="154">
                  <c:v>-3.6769788239245956E-4</c:v>
                </c:pt>
                <c:pt idx="155">
                  <c:v>4.5792755274337529E-5</c:v>
                </c:pt>
                <c:pt idx="156">
                  <c:v>1.9446507109080759E-4</c:v>
                </c:pt>
                <c:pt idx="157">
                  <c:v>4.323991487227304E-4</c:v>
                </c:pt>
                <c:pt idx="158">
                  <c:v>1.1490360032130205E-4</c:v>
                </c:pt>
                <c:pt idx="159">
                  <c:v>4.0095772458648404E-4</c:v>
                </c:pt>
                <c:pt idx="160">
                  <c:v>1.4949146272655967E-4</c:v>
                </c:pt>
                <c:pt idx="161">
                  <c:v>2.8925680575995214E-4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E-4B8E-8007-CB66C4323CB9}"/>
            </c:ext>
          </c:extLst>
        </c:ser>
        <c:ser>
          <c:idx val="1"/>
          <c:order val="1"/>
          <c:tx>
            <c:strRef>
              <c:f>Utilities!$K$1</c:f>
              <c:strCache>
                <c:ptCount val="1"/>
                <c:pt idx="0">
                  <c:v> from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Utilities!$K$2:$K$163</c:f>
              <c:numCache>
                <c:formatCode>0.000%</c:formatCode>
                <c:ptCount val="162"/>
                <c:pt idx="19">
                  <c:v>-5.1611310849519819E-4</c:v>
                </c:pt>
                <c:pt idx="20">
                  <c:v>-7.6627714723310569E-4</c:v>
                </c:pt>
                <c:pt idx="21">
                  <c:v>-4.2847053648281425E-4</c:v>
                </c:pt>
                <c:pt idx="22">
                  <c:v>-2.8301691371915253E-5</c:v>
                </c:pt>
                <c:pt idx="23">
                  <c:v>-2.9270441617112308E-4</c:v>
                </c:pt>
                <c:pt idx="24">
                  <c:v>9.3419510600939047E-5</c:v>
                </c:pt>
                <c:pt idx="25">
                  <c:v>-1.9217054706616992E-4</c:v>
                </c:pt>
                <c:pt idx="26">
                  <c:v>8.4375128614747492E-5</c:v>
                </c:pt>
                <c:pt idx="27">
                  <c:v>-4.5750334859177158E-5</c:v>
                </c:pt>
                <c:pt idx="28">
                  <c:v>-4.7920375381497554E-4</c:v>
                </c:pt>
                <c:pt idx="29">
                  <c:v>-4.4638670037298048E-4</c:v>
                </c:pt>
                <c:pt idx="30">
                  <c:v>-3.7584675569905183E-4</c:v>
                </c:pt>
                <c:pt idx="31">
                  <c:v>-6.8629815561250135E-5</c:v>
                </c:pt>
                <c:pt idx="32">
                  <c:v>-2.8022318033955152E-4</c:v>
                </c:pt>
                <c:pt idx="33">
                  <c:v>4.1124110049262975E-4</c:v>
                </c:pt>
                <c:pt idx="34">
                  <c:v>-4.5243882567691426E-4</c:v>
                </c:pt>
                <c:pt idx="35">
                  <c:v>1.0037705969212167E-4</c:v>
                </c:pt>
                <c:pt idx="36">
                  <c:v>3.1628961311786787E-4</c:v>
                </c:pt>
                <c:pt idx="37">
                  <c:v>-1.4984732327097993E-5</c:v>
                </c:pt>
                <c:pt idx="38">
                  <c:v>8.7933899993413806E-5</c:v>
                </c:pt>
                <c:pt idx="39">
                  <c:v>2.1602778323428557E-4</c:v>
                </c:pt>
                <c:pt idx="40">
                  <c:v>4.3195257826499387E-4</c:v>
                </c:pt>
                <c:pt idx="41">
                  <c:v>-2.5212438784760012E-4</c:v>
                </c:pt>
                <c:pt idx="42">
                  <c:v>1.1630081839227803E-4</c:v>
                </c:pt>
                <c:pt idx="43">
                  <c:v>3.2628168647948918E-4</c:v>
                </c:pt>
                <c:pt idx="44">
                  <c:v>7.3889957786679175E-5</c:v>
                </c:pt>
                <c:pt idx="45">
                  <c:v>2.7405698881228943E-4</c:v>
                </c:pt>
                <c:pt idx="46">
                  <c:v>1.0064105499903552E-4</c:v>
                </c:pt>
                <c:pt idx="47">
                  <c:v>3.1887726605520165E-4</c:v>
                </c:pt>
                <c:pt idx="48">
                  <c:v>-2.6134816852777741E-4</c:v>
                </c:pt>
                <c:pt idx="49">
                  <c:v>-4.9398942010047764E-4</c:v>
                </c:pt>
                <c:pt idx="50">
                  <c:v>1.4891410805652872E-4</c:v>
                </c:pt>
                <c:pt idx="51">
                  <c:v>1.2539781191195848E-3</c:v>
                </c:pt>
                <c:pt idx="52">
                  <c:v>-4.4791487859761011E-5</c:v>
                </c:pt>
                <c:pt idx="53">
                  <c:v>-4.0688559550358471E-4</c:v>
                </c:pt>
                <c:pt idx="54">
                  <c:v>1.409820934401041E-5</c:v>
                </c:pt>
                <c:pt idx="55">
                  <c:v>-4.8166843887981306E-4</c:v>
                </c:pt>
                <c:pt idx="56">
                  <c:v>1.0163871941507221E-4</c:v>
                </c:pt>
                <c:pt idx="57">
                  <c:v>7.9136225460559967E-5</c:v>
                </c:pt>
                <c:pt idx="58">
                  <c:v>-2.0173363053262815E-4</c:v>
                </c:pt>
                <c:pt idx="59">
                  <c:v>1.877245282968859E-4</c:v>
                </c:pt>
                <c:pt idx="60">
                  <c:v>-9.7892354394643372E-4</c:v>
                </c:pt>
                <c:pt idx="61">
                  <c:v>-2.6171405023784478E-4</c:v>
                </c:pt>
                <c:pt idx="62">
                  <c:v>4.238158311037639E-4</c:v>
                </c:pt>
                <c:pt idx="63">
                  <c:v>-4.0098925398991859E-4</c:v>
                </c:pt>
                <c:pt idx="64">
                  <c:v>-1.1623333191899611E-4</c:v>
                </c:pt>
                <c:pt idx="65">
                  <c:v>-1.0929231522359584E-4</c:v>
                </c:pt>
                <c:pt idx="66">
                  <c:v>-1.0119715305774286E-4</c:v>
                </c:pt>
                <c:pt idx="67">
                  <c:v>-4.1832465300926252E-4</c:v>
                </c:pt>
                <c:pt idx="68">
                  <c:v>4.1701557887033051E-5</c:v>
                </c:pt>
                <c:pt idx="69">
                  <c:v>9.2373326122274725E-5</c:v>
                </c:pt>
                <c:pt idx="70">
                  <c:v>1.5246581420915036E-5</c:v>
                </c:pt>
                <c:pt idx="71">
                  <c:v>2.4905787116334937E-4</c:v>
                </c:pt>
                <c:pt idx="72">
                  <c:v>-5.6718981088045265E-5</c:v>
                </c:pt>
                <c:pt idx="73">
                  <c:v>1.5233745014631009E-4</c:v>
                </c:pt>
                <c:pt idx="74">
                  <c:v>2.8054252052608941E-4</c:v>
                </c:pt>
                <c:pt idx="75">
                  <c:v>-4.1182037785770966E-4</c:v>
                </c:pt>
                <c:pt idx="76">
                  <c:v>-6.6426146187871816E-6</c:v>
                </c:pt>
                <c:pt idx="77">
                  <c:v>2.4884884845122537E-4</c:v>
                </c:pt>
                <c:pt idx="78">
                  <c:v>7.1503999311138636E-5</c:v>
                </c:pt>
                <c:pt idx="79">
                  <c:v>-1.7558478624288076E-4</c:v>
                </c:pt>
                <c:pt idx="80">
                  <c:v>5.6440527374574485E-4</c:v>
                </c:pt>
                <c:pt idx="81">
                  <c:v>-4.2965098861496833E-4</c:v>
                </c:pt>
                <c:pt idx="82">
                  <c:v>2.1443910360821586E-4</c:v>
                </c:pt>
                <c:pt idx="83">
                  <c:v>2.4905787116334937E-4</c:v>
                </c:pt>
                <c:pt idx="84">
                  <c:v>9.9450589996743144E-5</c:v>
                </c:pt>
                <c:pt idx="85">
                  <c:v>-1.8607202854864865E-4</c:v>
                </c:pt>
                <c:pt idx="86">
                  <c:v>-3.7958691124455145E-4</c:v>
                </c:pt>
                <c:pt idx="87">
                  <c:v>-2.1736192712674751E-4</c:v>
                </c:pt>
                <c:pt idx="88">
                  <c:v>7.1110245415679439E-5</c:v>
                </c:pt>
                <c:pt idx="89">
                  <c:v>-3.8303653564836991E-4</c:v>
                </c:pt>
                <c:pt idx="90">
                  <c:v>-1.589453851890594E-4</c:v>
                </c:pt>
                <c:pt idx="91">
                  <c:v>-1.6414395210798534E-4</c:v>
                </c:pt>
                <c:pt idx="92">
                  <c:v>-1.2065750932837955E-3</c:v>
                </c:pt>
                <c:pt idx="93">
                  <c:v>2.7724725612700269E-4</c:v>
                </c:pt>
                <c:pt idx="94">
                  <c:v>-6.0947964386841263E-5</c:v>
                </c:pt>
                <c:pt idx="95">
                  <c:v>1.7143666505261469E-4</c:v>
                </c:pt>
                <c:pt idx="96">
                  <c:v>-1.7093985099609412E-4</c:v>
                </c:pt>
                <c:pt idx="97">
                  <c:v>8.5097598454927828E-6</c:v>
                </c:pt>
                <c:pt idx="98">
                  <c:v>-5.4798921243862953E-5</c:v>
                </c:pt>
                <c:pt idx="99">
                  <c:v>4.7621139445591666E-6</c:v>
                </c:pt>
                <c:pt idx="100">
                  <c:v>-1.407809399605371E-4</c:v>
                </c:pt>
                <c:pt idx="101">
                  <c:v>6.5132022751833614E-4</c:v>
                </c:pt>
                <c:pt idx="102">
                  <c:v>-1.1357320207827929E-4</c:v>
                </c:pt>
                <c:pt idx="103">
                  <c:v>1.488968146231818E-4</c:v>
                </c:pt>
                <c:pt idx="104">
                  <c:v>-5.770986621908485E-5</c:v>
                </c:pt>
                <c:pt idx="105">
                  <c:v>-2.1795065955353279E-4</c:v>
                </c:pt>
                <c:pt idx="106">
                  <c:v>-2.2679760739697735E-4</c:v>
                </c:pt>
                <c:pt idx="107">
                  <c:v>-1.0192959755339101E-4</c:v>
                </c:pt>
                <c:pt idx="108">
                  <c:v>-3.1313831545417322E-4</c:v>
                </c:pt>
                <c:pt idx="109">
                  <c:v>3.7174430406533917E-4</c:v>
                </c:pt>
                <c:pt idx="110">
                  <c:v>-3.1018716202345359E-4</c:v>
                </c:pt>
                <c:pt idx="111">
                  <c:v>-3.6797343095321475E-4</c:v>
                </c:pt>
                <c:pt idx="112">
                  <c:v>-2.1451061825119008E-4</c:v>
                </c:pt>
                <c:pt idx="113">
                  <c:v>5.5484857843343671E-4</c:v>
                </c:pt>
                <c:pt idx="114">
                  <c:v>2.6726695296822695E-4</c:v>
                </c:pt>
                <c:pt idx="115">
                  <c:v>4.060083827899734E-4</c:v>
                </c:pt>
                <c:pt idx="116">
                  <c:v>2.3876706034983049E-4</c:v>
                </c:pt>
                <c:pt idx="117">
                  <c:v>4.3035041581730455E-4</c:v>
                </c:pt>
                <c:pt idx="118">
                  <c:v>-2.7039998484361573E-4</c:v>
                </c:pt>
                <c:pt idx="119">
                  <c:v>-5.7211408725774072E-4</c:v>
                </c:pt>
                <c:pt idx="120">
                  <c:v>-1.199807569724673E-3</c:v>
                </c:pt>
                <c:pt idx="121">
                  <c:v>-8.2366305831888377E-4</c:v>
                </c:pt>
                <c:pt idx="122">
                  <c:v>1.9388512695626804E-4</c:v>
                </c:pt>
                <c:pt idx="123">
                  <c:v>3.9155069923444834E-4</c:v>
                </c:pt>
                <c:pt idx="124">
                  <c:v>5.2905458894267181E-4</c:v>
                </c:pt>
                <c:pt idx="125">
                  <c:v>-4.4289644798807277E-4</c:v>
                </c:pt>
                <c:pt idx="126">
                  <c:v>1.3140999598005781E-4</c:v>
                </c:pt>
                <c:pt idx="127">
                  <c:v>-2.4785686370090433E-4</c:v>
                </c:pt>
                <c:pt idx="128">
                  <c:v>-3.2300825517865504E-5</c:v>
                </c:pt>
                <c:pt idx="129">
                  <c:v>-1.7044025637088307E-4</c:v>
                </c:pt>
                <c:pt idx="130">
                  <c:v>-1.8497511443878702E-4</c:v>
                </c:pt>
                <c:pt idx="131">
                  <c:v>2.7087112132711275E-4</c:v>
                </c:pt>
                <c:pt idx="132">
                  <c:v>7.1110245415679439E-5</c:v>
                </c:pt>
                <c:pt idx="133">
                  <c:v>4.1827080199420509E-4</c:v>
                </c:pt>
                <c:pt idx="134">
                  <c:v>4.0360026197885766E-4</c:v>
                </c:pt>
                <c:pt idx="135">
                  <c:v>-2.6030881436205972E-4</c:v>
                </c:pt>
                <c:pt idx="136">
                  <c:v>-1.3922069865345108E-4</c:v>
                </c:pt>
                <c:pt idx="137">
                  <c:v>3.6432016428849097E-4</c:v>
                </c:pt>
                <c:pt idx="138">
                  <c:v>-2.1523833175241832E-4</c:v>
                </c:pt>
                <c:pt idx="139">
                  <c:v>-2.9577767091742582E-5</c:v>
                </c:pt>
                <c:pt idx="140">
                  <c:v>-1.8108119842583862E-4</c:v>
                </c:pt>
                <c:pt idx="141">
                  <c:v>2.5788804823988464E-4</c:v>
                </c:pt>
                <c:pt idx="142">
                  <c:v>6.1889478457224749E-4</c:v>
                </c:pt>
                <c:pt idx="143">
                  <c:v>3.711145048555504E-4</c:v>
                </c:pt>
                <c:pt idx="144">
                  <c:v>4.7611900066157935E-4</c:v>
                </c:pt>
                <c:pt idx="145">
                  <c:v>3.2706242930152747E-4</c:v>
                </c:pt>
                <c:pt idx="146">
                  <c:v>3.533858981459709E-4</c:v>
                </c:pt>
                <c:pt idx="147">
                  <c:v>-7.0412135097385159E-5</c:v>
                </c:pt>
                <c:pt idx="148">
                  <c:v>-8.0383417661536384E-5</c:v>
                </c:pt>
                <c:pt idx="149">
                  <c:v>2.5433877350127219E-5</c:v>
                </c:pt>
                <c:pt idx="150">
                  <c:v>2.8998733931993051E-4</c:v>
                </c:pt>
                <c:pt idx="151">
                  <c:v>3.2728466000551623E-4</c:v>
                </c:pt>
                <c:pt idx="152">
                  <c:v>1.7438350137063019E-4</c:v>
                </c:pt>
                <c:pt idx="153">
                  <c:v>-2.4220950897780552E-4</c:v>
                </c:pt>
                <c:pt idx="154">
                  <c:v>-2.6248726275412244E-4</c:v>
                </c:pt>
                <c:pt idx="155">
                  <c:v>1.7265502824046099E-4</c:v>
                </c:pt>
                <c:pt idx="156">
                  <c:v>3.455676286631798E-4</c:v>
                </c:pt>
                <c:pt idx="157">
                  <c:v>5.9503365778384217E-4</c:v>
                </c:pt>
                <c:pt idx="158">
                  <c:v>3.0347730172690856E-4</c:v>
                </c:pt>
                <c:pt idx="159">
                  <c:v>6.2211298603108607E-4</c:v>
                </c:pt>
                <c:pt idx="160">
                  <c:v>3.9968889936842483E-4</c:v>
                </c:pt>
                <c:pt idx="161">
                  <c:v>5.5427119994946861E-4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4E-4B8E-8007-CB66C4323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012767"/>
        <c:axId val="160713808"/>
      </c:lineChart>
      <c:catAx>
        <c:axId val="115401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13808"/>
        <c:crosses val="autoZero"/>
        <c:auto val="1"/>
        <c:lblAlgn val="ctr"/>
        <c:lblOffset val="100"/>
        <c:noMultiLvlLbl val="0"/>
      </c:catAx>
      <c:valAx>
        <c:axId val="16071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01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Tech!$J$1</c:f>
              <c:strCache>
                <c:ptCount val="1"/>
                <c:pt idx="0">
                  <c:v> from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Tech!$J$2:$J$163</c:f>
              <c:numCache>
                <c:formatCode>0.000%</c:formatCode>
                <c:ptCount val="162"/>
                <c:pt idx="19">
                  <c:v>-3.3983946280453686E-4</c:v>
                </c:pt>
                <c:pt idx="20">
                  <c:v>8.3060015329369926E-4</c:v>
                </c:pt>
                <c:pt idx="21">
                  <c:v>-1.7390153462962493E-4</c:v>
                </c:pt>
                <c:pt idx="22">
                  <c:v>-3.4868542534334469E-4</c:v>
                </c:pt>
                <c:pt idx="23">
                  <c:v>1.5894691975373122E-4</c:v>
                </c:pt>
                <c:pt idx="24">
                  <c:v>4.1013814780100857E-4</c:v>
                </c:pt>
                <c:pt idx="25">
                  <c:v>3.7900356323238439E-5</c:v>
                </c:pt>
                <c:pt idx="26">
                  <c:v>3.6303812206106556E-4</c:v>
                </c:pt>
                <c:pt idx="27">
                  <c:v>-1.4364575103284298E-4</c:v>
                </c:pt>
                <c:pt idx="28">
                  <c:v>4.4863792132996354E-4</c:v>
                </c:pt>
                <c:pt idx="29">
                  <c:v>-1.027939906082604E-4</c:v>
                </c:pt>
                <c:pt idx="30">
                  <c:v>1.7242709198936042E-4</c:v>
                </c:pt>
                <c:pt idx="31">
                  <c:v>1.1848092924924781E-4</c:v>
                </c:pt>
                <c:pt idx="32">
                  <c:v>2.4374513184217196E-4</c:v>
                </c:pt>
                <c:pt idx="33">
                  <c:v>1.3416341471968439E-3</c:v>
                </c:pt>
                <c:pt idx="34">
                  <c:v>5.7317401692525099E-4</c:v>
                </c:pt>
                <c:pt idx="35">
                  <c:v>1.1209476634648717E-4</c:v>
                </c:pt>
                <c:pt idx="36">
                  <c:v>-5.458162854049832E-5</c:v>
                </c:pt>
                <c:pt idx="37">
                  <c:v>-8.9939720159411591E-5</c:v>
                </c:pt>
                <c:pt idx="38">
                  <c:v>-1.036383488839554E-3</c:v>
                </c:pt>
                <c:pt idx="39">
                  <c:v>-4.2060147355766741E-4</c:v>
                </c:pt>
                <c:pt idx="40">
                  <c:v>-5.2855249234677246E-4</c:v>
                </c:pt>
                <c:pt idx="41">
                  <c:v>-5.1152400825117206E-4</c:v>
                </c:pt>
                <c:pt idx="42">
                  <c:v>-4.5197236243346108E-5</c:v>
                </c:pt>
                <c:pt idx="43">
                  <c:v>-8.5635592188658221E-4</c:v>
                </c:pt>
                <c:pt idx="44">
                  <c:v>-4.8082950272658302E-4</c:v>
                </c:pt>
                <c:pt idx="45">
                  <c:v>-4.4085147208369828E-4</c:v>
                </c:pt>
                <c:pt idx="46">
                  <c:v>-6.1547028154642128E-4</c:v>
                </c:pt>
                <c:pt idx="47">
                  <c:v>-3.415945864518018E-5</c:v>
                </c:pt>
                <c:pt idx="48">
                  <c:v>-2.9808027492657228E-4</c:v>
                </c:pt>
                <c:pt idx="49">
                  <c:v>-3.8783579701332611E-4</c:v>
                </c:pt>
                <c:pt idx="50">
                  <c:v>-3.1018815421097069E-4</c:v>
                </c:pt>
                <c:pt idx="51">
                  <c:v>3.1985884650301852E-5</c:v>
                </c:pt>
                <c:pt idx="52">
                  <c:v>-1.583229428871533E-4</c:v>
                </c:pt>
                <c:pt idx="53">
                  <c:v>1.0035041436911576E-4</c:v>
                </c:pt>
                <c:pt idx="54">
                  <c:v>-2.8570432741565569E-4</c:v>
                </c:pt>
                <c:pt idx="55">
                  <c:v>5.5526085536054405E-5</c:v>
                </c:pt>
                <c:pt idx="56">
                  <c:v>1.6685909310750225E-4</c:v>
                </c:pt>
                <c:pt idx="57">
                  <c:v>4.0677743279997138E-5</c:v>
                </c:pt>
                <c:pt idx="58">
                  <c:v>2.1985897939021947E-4</c:v>
                </c:pt>
                <c:pt idx="59">
                  <c:v>2.9872515651409081E-4</c:v>
                </c:pt>
                <c:pt idx="60">
                  <c:v>7.1897356064789638E-5</c:v>
                </c:pt>
                <c:pt idx="61">
                  <c:v>4.9859690309357343E-5</c:v>
                </c:pt>
                <c:pt idx="62">
                  <c:v>2.0459693726194392E-4</c:v>
                </c:pt>
                <c:pt idx="63">
                  <c:v>1.7663303203342523E-5</c:v>
                </c:pt>
                <c:pt idx="64">
                  <c:v>2.085822497368438E-4</c:v>
                </c:pt>
                <c:pt idx="65">
                  <c:v>1.5396646933101804E-4</c:v>
                </c:pt>
                <c:pt idx="66">
                  <c:v>-1.0247485560874509E-4</c:v>
                </c:pt>
                <c:pt idx="67">
                  <c:v>1.5560891939774357E-4</c:v>
                </c:pt>
                <c:pt idx="68">
                  <c:v>4.4621812638988637E-4</c:v>
                </c:pt>
                <c:pt idx="69">
                  <c:v>-1.0329874339669168E-4</c:v>
                </c:pt>
                <c:pt idx="70">
                  <c:v>5.9844728442639696E-5</c:v>
                </c:pt>
                <c:pt idx="71">
                  <c:v>1.7442132660402211E-4</c:v>
                </c:pt>
                <c:pt idx="72">
                  <c:v>2.4516710542033183E-4</c:v>
                </c:pt>
                <c:pt idx="73">
                  <c:v>8.0461054940079085E-5</c:v>
                </c:pt>
                <c:pt idx="74">
                  <c:v>-1.0522259448744585E-4</c:v>
                </c:pt>
                <c:pt idx="75">
                  <c:v>2.2246696439190669E-4</c:v>
                </c:pt>
                <c:pt idx="76">
                  <c:v>3.4150084404205669E-4</c:v>
                </c:pt>
                <c:pt idx="77">
                  <c:v>2.694453157812147E-4</c:v>
                </c:pt>
                <c:pt idx="78">
                  <c:v>-1.7283072081621052E-4</c:v>
                </c:pt>
                <c:pt idx="79">
                  <c:v>-2.1625900837477602E-5</c:v>
                </c:pt>
                <c:pt idx="80">
                  <c:v>5.9911807834711248E-4</c:v>
                </c:pt>
                <c:pt idx="81">
                  <c:v>4.8411016115328879E-4</c:v>
                </c:pt>
                <c:pt idx="82">
                  <c:v>8.8275333093984596E-5</c:v>
                </c:pt>
                <c:pt idx="83">
                  <c:v>-2.7924017422448051E-7</c:v>
                </c:pt>
                <c:pt idx="84">
                  <c:v>4.0300681585138071E-5</c:v>
                </c:pt>
                <c:pt idx="85">
                  <c:v>2.7924483424392795E-4</c:v>
                </c:pt>
                <c:pt idx="86">
                  <c:v>1.852015625963853E-4</c:v>
                </c:pt>
                <c:pt idx="87">
                  <c:v>2.1497056359611356E-4</c:v>
                </c:pt>
                <c:pt idx="88">
                  <c:v>3.3377898416365396E-4</c:v>
                </c:pt>
                <c:pt idx="89">
                  <c:v>-1.2964224071621681E-4</c:v>
                </c:pt>
                <c:pt idx="90">
                  <c:v>2.6516174919909542E-5</c:v>
                </c:pt>
                <c:pt idx="91">
                  <c:v>2.1752592403421616E-4</c:v>
                </c:pt>
                <c:pt idx="92">
                  <c:v>5.4562410747031561E-4</c:v>
                </c:pt>
                <c:pt idx="93">
                  <c:v>1.7753883550419508E-4</c:v>
                </c:pt>
                <c:pt idx="94">
                  <c:v>9.6444111154156585E-5</c:v>
                </c:pt>
                <c:pt idx="95">
                  <c:v>3.1728037037714304E-4</c:v>
                </c:pt>
                <c:pt idx="96">
                  <c:v>7.6741543118306486E-4</c:v>
                </c:pt>
                <c:pt idx="97">
                  <c:v>2.7851190057088344E-4</c:v>
                </c:pt>
                <c:pt idx="98">
                  <c:v>6.7018804639949075E-4</c:v>
                </c:pt>
                <c:pt idx="99">
                  <c:v>7.1507282727611813E-4</c:v>
                </c:pt>
                <c:pt idx="100">
                  <c:v>2.4852960353399447E-4</c:v>
                </c:pt>
                <c:pt idx="101">
                  <c:v>8.6774322930872048E-4</c:v>
                </c:pt>
                <c:pt idx="102">
                  <c:v>6.4855896245683096E-4</c:v>
                </c:pt>
                <c:pt idx="103">
                  <c:v>7.647537074940582E-4</c:v>
                </c:pt>
                <c:pt idx="104">
                  <c:v>5.5161483310323253E-4</c:v>
                </c:pt>
                <c:pt idx="105">
                  <c:v>5.1909429475024244E-4</c:v>
                </c:pt>
                <c:pt idx="106">
                  <c:v>1.704136368560944E-4</c:v>
                </c:pt>
                <c:pt idx="107">
                  <c:v>3.6009390895220443E-4</c:v>
                </c:pt>
                <c:pt idx="108">
                  <c:v>1.11884198928062E-4</c:v>
                </c:pt>
                <c:pt idx="109">
                  <c:v>5.2080625477089922E-4</c:v>
                </c:pt>
                <c:pt idx="110">
                  <c:v>7.1771358103495372E-5</c:v>
                </c:pt>
                <c:pt idx="111">
                  <c:v>3.4502722119278189E-4</c:v>
                </c:pt>
                <c:pt idx="112">
                  <c:v>7.9853779574896318E-6</c:v>
                </c:pt>
                <c:pt idx="113">
                  <c:v>-8.9871582157570449E-6</c:v>
                </c:pt>
                <c:pt idx="114">
                  <c:v>-3.0972117896034405E-4</c:v>
                </c:pt>
                <c:pt idx="115">
                  <c:v>3.2035329812941796E-4</c:v>
                </c:pt>
                <c:pt idx="116">
                  <c:v>3.5847352128743265E-4</c:v>
                </c:pt>
                <c:pt idx="117">
                  <c:v>1.7640311270737671E-4</c:v>
                </c:pt>
                <c:pt idx="118">
                  <c:v>-2.1184249692340835E-5</c:v>
                </c:pt>
                <c:pt idx="119">
                  <c:v>4.1108753847796009E-5</c:v>
                </c:pt>
                <c:pt idx="120">
                  <c:v>1.6775781428651716E-3</c:v>
                </c:pt>
                <c:pt idx="121">
                  <c:v>3.6747604671160757E-5</c:v>
                </c:pt>
                <c:pt idx="122">
                  <c:v>1.1326079473944145E-4</c:v>
                </c:pt>
                <c:pt idx="123">
                  <c:v>-2.4152914577276632E-4</c:v>
                </c:pt>
                <c:pt idx="124">
                  <c:v>1.9679318758388848E-5</c:v>
                </c:pt>
                <c:pt idx="125">
                  <c:v>-2.7646605156427626E-5</c:v>
                </c:pt>
                <c:pt idx="126">
                  <c:v>-5.711229446633344E-4</c:v>
                </c:pt>
                <c:pt idx="127">
                  <c:v>-1.9125999878971008E-4</c:v>
                </c:pt>
                <c:pt idx="128">
                  <c:v>7.1452775758620149E-5</c:v>
                </c:pt>
                <c:pt idx="129">
                  <c:v>-1.0670221904977767E-4</c:v>
                </c:pt>
                <c:pt idx="130">
                  <c:v>-1.7554726386222099E-4</c:v>
                </c:pt>
                <c:pt idx="131">
                  <c:v>-2.807657524669699E-4</c:v>
                </c:pt>
                <c:pt idx="132">
                  <c:v>-5.2793702217279943E-4</c:v>
                </c:pt>
                <c:pt idx="133">
                  <c:v>-4.2011949746136192E-4</c:v>
                </c:pt>
                <c:pt idx="134">
                  <c:v>-2.387206665185889E-4</c:v>
                </c:pt>
                <c:pt idx="135">
                  <c:v>-7.8114227236667335E-4</c:v>
                </c:pt>
                <c:pt idx="136">
                  <c:v>-4.0409409123652482E-4</c:v>
                </c:pt>
                <c:pt idx="137">
                  <c:v>1.460990372905091E-4</c:v>
                </c:pt>
                <c:pt idx="138">
                  <c:v>1.6890317810368149E-4</c:v>
                </c:pt>
                <c:pt idx="139">
                  <c:v>-4.5367626565396353E-4</c:v>
                </c:pt>
                <c:pt idx="140">
                  <c:v>-2.6455865287318111E-4</c:v>
                </c:pt>
                <c:pt idx="141">
                  <c:v>-6.2694652641859792E-4</c:v>
                </c:pt>
                <c:pt idx="142">
                  <c:v>-1.0046095668293593E-3</c:v>
                </c:pt>
                <c:pt idx="143">
                  <c:v>-6.5089694641805448E-4</c:v>
                </c:pt>
                <c:pt idx="144">
                  <c:v>-3.6317944667151568E-4</c:v>
                </c:pt>
                <c:pt idx="145">
                  <c:v>-7.3892616750103701E-4</c:v>
                </c:pt>
                <c:pt idx="146">
                  <c:v>-4.2004490189000122E-4</c:v>
                </c:pt>
                <c:pt idx="147">
                  <c:v>-4.9396075146759149E-4</c:v>
                </c:pt>
                <c:pt idx="148">
                  <c:v>-3.4803662810556124E-4</c:v>
                </c:pt>
                <c:pt idx="149">
                  <c:v>-3.8736409299701185E-4</c:v>
                </c:pt>
                <c:pt idx="150">
                  <c:v>-2.9663265875887483E-4</c:v>
                </c:pt>
                <c:pt idx="151">
                  <c:v>-2.9020951876982011E-4</c:v>
                </c:pt>
                <c:pt idx="152">
                  <c:v>-2.7428176836714917E-4</c:v>
                </c:pt>
                <c:pt idx="153">
                  <c:v>-4.9414682893622879E-4</c:v>
                </c:pt>
                <c:pt idx="154">
                  <c:v>-1.6198268064072189E-4</c:v>
                </c:pt>
                <c:pt idx="155">
                  <c:v>-4.5308074375749951E-4</c:v>
                </c:pt>
                <c:pt idx="156">
                  <c:v>-3.4170238830137488E-4</c:v>
                </c:pt>
                <c:pt idx="157">
                  <c:v>-3.4809742241693928E-5</c:v>
                </c:pt>
                <c:pt idx="158">
                  <c:v>-4.1776494929876475E-4</c:v>
                </c:pt>
                <c:pt idx="159">
                  <c:v>5.3295346749077406E-5</c:v>
                </c:pt>
                <c:pt idx="160">
                  <c:v>-1.1501044320741228E-4</c:v>
                </c:pt>
                <c:pt idx="161">
                  <c:v>-3.4475705274600776E-5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B-406E-84A5-1B16FB07F5B5}"/>
            </c:ext>
          </c:extLst>
        </c:ser>
        <c:ser>
          <c:idx val="1"/>
          <c:order val="1"/>
          <c:tx>
            <c:strRef>
              <c:f>Tech!$K$1</c:f>
              <c:strCache>
                <c:ptCount val="1"/>
                <c:pt idx="0">
                  <c:v> from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Tech!$K$2:$K$163</c:f>
              <c:numCache>
                <c:formatCode>0.000%</c:formatCode>
                <c:ptCount val="162"/>
                <c:pt idx="19">
                  <c:v>-8.1074354394256216E-4</c:v>
                </c:pt>
                <c:pt idx="20">
                  <c:v>3.9390207847668013E-4</c:v>
                </c:pt>
                <c:pt idx="21">
                  <c:v>-6.1824171699484051E-4</c:v>
                </c:pt>
                <c:pt idx="22">
                  <c:v>-8.0454168094521035E-4</c:v>
                </c:pt>
                <c:pt idx="23">
                  <c:v>-2.7917932191132432E-4</c:v>
                </c:pt>
                <c:pt idx="24">
                  <c:v>4.2258091212550927E-5</c:v>
                </c:pt>
                <c:pt idx="25">
                  <c:v>-3.126862051767597E-4</c:v>
                </c:pt>
                <c:pt idx="26">
                  <c:v>4.7432108679539187E-5</c:v>
                </c:pt>
                <c:pt idx="27">
                  <c:v>-4.8094669961666576E-4</c:v>
                </c:pt>
                <c:pt idx="28">
                  <c:v>1.5146541271025707E-4</c:v>
                </c:pt>
                <c:pt idx="29">
                  <c:v>-3.8125215402526303E-4</c:v>
                </c:pt>
                <c:pt idx="30">
                  <c:v>-7.632601323326812E-5</c:v>
                </c:pt>
                <c:pt idx="31">
                  <c:v>-1.5211672962269057E-4</c:v>
                </c:pt>
                <c:pt idx="32">
                  <c:v>-8.5360980978911698E-6</c:v>
                </c:pt>
                <c:pt idx="33">
                  <c:v>1.1722564033852974E-3</c:v>
                </c:pt>
                <c:pt idx="34">
                  <c:v>4.3912671772854399E-4</c:v>
                </c:pt>
                <c:pt idx="35">
                  <c:v>-1.0797912548202456E-5</c:v>
                </c:pt>
                <c:pt idx="36">
                  <c:v>-1.6652243660525434E-4</c:v>
                </c:pt>
                <c:pt idx="37">
                  <c:v>-2.0253321256362574E-4</c:v>
                </c:pt>
                <c:pt idx="38">
                  <c:v>-1.1993762965297066E-3</c:v>
                </c:pt>
                <c:pt idx="39">
                  <c:v>-5.7163233257022145E-4</c:v>
                </c:pt>
                <c:pt idx="40">
                  <c:v>-7.3608210057089991E-4</c:v>
                </c:pt>
                <c:pt idx="41">
                  <c:v>-7.243620819925436E-4</c:v>
                </c:pt>
                <c:pt idx="42">
                  <c:v>-2.2926217282417209E-4</c:v>
                </c:pt>
                <c:pt idx="43">
                  <c:v>-1.0805062725751362E-3</c:v>
                </c:pt>
                <c:pt idx="44">
                  <c:v>-7.4431260594370386E-4</c:v>
                </c:pt>
                <c:pt idx="45">
                  <c:v>-7.2495296488095352E-4</c:v>
                </c:pt>
                <c:pt idx="46">
                  <c:v>-9.4942153518047068E-4</c:v>
                </c:pt>
                <c:pt idx="47">
                  <c:v>-3.6217140984466016E-4</c:v>
                </c:pt>
                <c:pt idx="48">
                  <c:v>-6.6701240666511535E-4</c:v>
                </c:pt>
                <c:pt idx="49">
                  <c:v>-7.7653607995118216E-4</c:v>
                </c:pt>
                <c:pt idx="50">
                  <c:v>-7.3165484342791137E-4</c:v>
                </c:pt>
                <c:pt idx="51">
                  <c:v>-4.0197166947744423E-4</c:v>
                </c:pt>
                <c:pt idx="52">
                  <c:v>-6.2299956822025552E-4</c:v>
                </c:pt>
                <c:pt idx="53">
                  <c:v>-4.4512507807001632E-4</c:v>
                </c:pt>
                <c:pt idx="54">
                  <c:v>-8.9801347545075886E-4</c:v>
                </c:pt>
                <c:pt idx="55">
                  <c:v>-5.8550918805007953E-4</c:v>
                </c:pt>
                <c:pt idx="56">
                  <c:v>-4.9036301788948553E-4</c:v>
                </c:pt>
                <c:pt idx="57">
                  <c:v>-6.3832874838379706E-4</c:v>
                </c:pt>
                <c:pt idx="58">
                  <c:v>-4.2018193906915896E-4</c:v>
                </c:pt>
                <c:pt idx="59">
                  <c:v>-3.2919617920578603E-4</c:v>
                </c:pt>
                <c:pt idx="60">
                  <c:v>-5.4654705555908217E-4</c:v>
                </c:pt>
                <c:pt idx="61">
                  <c:v>-5.6038567094470338E-4</c:v>
                </c:pt>
                <c:pt idx="62">
                  <c:v>-4.1492905020150064E-4</c:v>
                </c:pt>
                <c:pt idx="63">
                  <c:v>-5.766650375917204E-4</c:v>
                </c:pt>
                <c:pt idx="64">
                  <c:v>-3.6687475112485085E-4</c:v>
                </c:pt>
                <c:pt idx="65">
                  <c:v>-4.0551886202052804E-4</c:v>
                </c:pt>
                <c:pt idx="66">
                  <c:v>-6.4682672069386958E-4</c:v>
                </c:pt>
                <c:pt idx="67">
                  <c:v>-3.9014119896631976E-4</c:v>
                </c:pt>
                <c:pt idx="68">
                  <c:v>-6.9669709003578707E-5</c:v>
                </c:pt>
                <c:pt idx="69">
                  <c:v>-6.1090343958816523E-4</c:v>
                </c:pt>
                <c:pt idx="70">
                  <c:v>-4.3281684073784424E-4</c:v>
                </c:pt>
                <c:pt idx="71">
                  <c:v>-3.1383394023157051E-4</c:v>
                </c:pt>
                <c:pt idx="72">
                  <c:v>-2.2309398611407416E-4</c:v>
                </c:pt>
                <c:pt idx="73">
                  <c:v>-3.8478309365014052E-4</c:v>
                </c:pt>
                <c:pt idx="74">
                  <c:v>-5.5322255918718042E-4</c:v>
                </c:pt>
                <c:pt idx="75">
                  <c:v>-2.0658773219277632E-4</c:v>
                </c:pt>
                <c:pt idx="76">
                  <c:v>-6.6356496177016072E-5</c:v>
                </c:pt>
                <c:pt idx="77">
                  <c:v>-1.1210115730477808E-4</c:v>
                </c:pt>
                <c:pt idx="78">
                  <c:v>-5.6144088819078868E-4</c:v>
                </c:pt>
                <c:pt idx="79">
                  <c:v>-4.1450124070082273E-4</c:v>
                </c:pt>
                <c:pt idx="80">
                  <c:v>2.4585396734133397E-4</c:v>
                </c:pt>
                <c:pt idx="81">
                  <c:v>1.6722136460292628E-4</c:v>
                </c:pt>
                <c:pt idx="82">
                  <c:v>-2.1880732952942353E-4</c:v>
                </c:pt>
                <c:pt idx="83">
                  <c:v>-2.9318604025161836E-4</c:v>
                </c:pt>
                <c:pt idx="84">
                  <c:v>-2.4659187335984538E-4</c:v>
                </c:pt>
                <c:pt idx="85">
                  <c:v>1.3291095689047378E-5</c:v>
                </c:pt>
                <c:pt idx="86">
                  <c:v>-5.0955709966656146E-5</c:v>
                </c:pt>
                <c:pt idx="87">
                  <c:v>-1.7686747648902872E-6</c:v>
                </c:pt>
                <c:pt idx="88">
                  <c:v>1.2686407260869241E-4</c:v>
                </c:pt>
                <c:pt idx="89">
                  <c:v>-3.2211381794942256E-4</c:v>
                </c:pt>
                <c:pt idx="90">
                  <c:v>-1.5190848262163008E-4</c:v>
                </c:pt>
                <c:pt idx="91">
                  <c:v>5.7676000997467376E-5</c:v>
                </c:pt>
                <c:pt idx="92">
                  <c:v>4.1781174338374006E-4</c:v>
                </c:pt>
                <c:pt idx="93">
                  <c:v>7.2596352189722733E-5</c:v>
                </c:pt>
                <c:pt idx="94">
                  <c:v>2.0176631785124618E-5</c:v>
                </c:pt>
                <c:pt idx="95">
                  <c:v>2.6456850079205091E-4</c:v>
                </c:pt>
                <c:pt idx="96">
                  <c:v>7.5579568170814596E-4</c:v>
                </c:pt>
                <c:pt idx="97">
                  <c:v>2.8683729851749904E-4</c:v>
                </c:pt>
                <c:pt idx="98">
                  <c:v>7.4377075438676631E-4</c:v>
                </c:pt>
                <c:pt idx="99">
                  <c:v>8.519720158354343E-4</c:v>
                </c:pt>
                <c:pt idx="100">
                  <c:v>3.9277345348898515E-4</c:v>
                </c:pt>
                <c:pt idx="101">
                  <c:v>1.0564275958336532E-3</c:v>
                </c:pt>
                <c:pt idx="102">
                  <c:v>8.9281789400508314E-4</c:v>
                </c:pt>
                <c:pt idx="103">
                  <c:v>1.0775412183073019E-3</c:v>
                </c:pt>
                <c:pt idx="104">
                  <c:v>9.2287596622995485E-4</c:v>
                </c:pt>
                <c:pt idx="105">
                  <c:v>9.3651279583375135E-4</c:v>
                </c:pt>
                <c:pt idx="106">
                  <c:v>6.2145782448570698E-4</c:v>
                </c:pt>
                <c:pt idx="107">
                  <c:v>8.5392475278188039E-4</c:v>
                </c:pt>
                <c:pt idx="108">
                  <c:v>6.3092110947632644E-4</c:v>
                </c:pt>
                <c:pt idx="109">
                  <c:v>1.111537205068991E-3</c:v>
                </c:pt>
                <c:pt idx="110">
                  <c:v>7.0538117311633999E-4</c:v>
                </c:pt>
                <c:pt idx="111">
                  <c:v>1.0271145627539712E-3</c:v>
                </c:pt>
                <c:pt idx="112">
                  <c:v>7.0440417767080802E-4</c:v>
                </c:pt>
                <c:pt idx="113">
                  <c:v>7.1980217370868726E-4</c:v>
                </c:pt>
                <c:pt idx="114">
                  <c:v>4.4007369909052297E-4</c:v>
                </c:pt>
                <c:pt idx="115">
                  <c:v>1.1125507871454316E-3</c:v>
                </c:pt>
                <c:pt idx="116">
                  <c:v>1.1714503998645084E-3</c:v>
                </c:pt>
                <c:pt idx="117">
                  <c:v>1.0263627302523151E-3</c:v>
                </c:pt>
                <c:pt idx="118">
                  <c:v>8.3324959481439499E-4</c:v>
                </c:pt>
                <c:pt idx="119">
                  <c:v>8.9783574026437751E-4</c:v>
                </c:pt>
                <c:pt idx="120">
                  <c:v>2.6469453770313978E-3</c:v>
                </c:pt>
                <c:pt idx="121">
                  <c:v>1.0034669715408384E-3</c:v>
                </c:pt>
                <c:pt idx="122">
                  <c:v>1.0898306032308027E-3</c:v>
                </c:pt>
                <c:pt idx="123">
                  <c:v>7.1701298398501733E-4</c:v>
                </c:pt>
                <c:pt idx="124">
                  <c:v>9.8113439314651539E-4</c:v>
                </c:pt>
                <c:pt idx="125">
                  <c:v>9.3366613231313418E-4</c:v>
                </c:pt>
                <c:pt idx="126">
                  <c:v>3.780119536251955E-4</c:v>
                </c:pt>
                <c:pt idx="127">
                  <c:v>7.5281888180022175E-4</c:v>
                </c:pt>
                <c:pt idx="128">
                  <c:v>1.0357768921602432E-3</c:v>
                </c:pt>
                <c:pt idx="129">
                  <c:v>8.4425821868265442E-4</c:v>
                </c:pt>
                <c:pt idx="130">
                  <c:v>7.7909988570473644E-4</c:v>
                </c:pt>
                <c:pt idx="131">
                  <c:v>6.5528813945688979E-4</c:v>
                </c:pt>
                <c:pt idx="132">
                  <c:v>3.9251656530263156E-4</c:v>
                </c:pt>
                <c:pt idx="133">
                  <c:v>4.8877936362170778E-4</c:v>
                </c:pt>
                <c:pt idx="134">
                  <c:v>6.8229346835486384E-4</c:v>
                </c:pt>
                <c:pt idx="135">
                  <c:v>8.8662343614340526E-5</c:v>
                </c:pt>
                <c:pt idx="136">
                  <c:v>4.2856431701595319E-4</c:v>
                </c:pt>
                <c:pt idx="137">
                  <c:v>9.7625235230071675E-4</c:v>
                </c:pt>
                <c:pt idx="138">
                  <c:v>1.0077823820292663E-3</c:v>
                </c:pt>
                <c:pt idx="139">
                  <c:v>3.5821665836731212E-4</c:v>
                </c:pt>
                <c:pt idx="140">
                  <c:v>4.3691970169852635E-4</c:v>
                </c:pt>
                <c:pt idx="141">
                  <c:v>2.5632140113752619E-5</c:v>
                </c:pt>
                <c:pt idx="142">
                  <c:v>-4.2794101975076465E-4</c:v>
                </c:pt>
                <c:pt idx="143">
                  <c:v>-1.1588387582768082E-4</c:v>
                </c:pt>
                <c:pt idx="144">
                  <c:v>1.2924070461243028E-4</c:v>
                </c:pt>
                <c:pt idx="145">
                  <c:v>-3.086300765051219E-4</c:v>
                </c:pt>
                <c:pt idx="146">
                  <c:v>-9.1094531081894105E-6</c:v>
                </c:pt>
                <c:pt idx="147">
                  <c:v>-1.2702062464150455E-4</c:v>
                </c:pt>
                <c:pt idx="148">
                  <c:v>-3.4607120674322568E-5</c:v>
                </c:pt>
                <c:pt idx="149">
                  <c:v>-1.2225687577095581E-4</c:v>
                </c:pt>
                <c:pt idx="150">
                  <c:v>-7.4185053274052293E-5</c:v>
                </c:pt>
                <c:pt idx="151">
                  <c:v>-1.0581432352642105E-4</c:v>
                </c:pt>
                <c:pt idx="152">
                  <c:v>-1.1527709639030164E-4</c:v>
                </c:pt>
                <c:pt idx="153">
                  <c:v>-3.7851020063021587E-4</c:v>
                </c:pt>
                <c:pt idx="154">
                  <c:v>-8.4687334781128896E-5</c:v>
                </c:pt>
                <c:pt idx="155">
                  <c:v>-4.0023569972871711E-4</c:v>
                </c:pt>
                <c:pt idx="156">
                  <c:v>-3.2661570400220168E-4</c:v>
                </c:pt>
                <c:pt idx="157">
                  <c:v>-7.2117267881335455E-5</c:v>
                </c:pt>
                <c:pt idx="158">
                  <c:v>-5.3203942757420065E-4</c:v>
                </c:pt>
                <c:pt idx="159">
                  <c:v>-8.3035963440988589E-5</c:v>
                </c:pt>
                <c:pt idx="160">
                  <c:v>-2.8755730589939113E-4</c:v>
                </c:pt>
                <c:pt idx="161">
                  <c:v>-2.1926649765902946E-4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B-406E-84A5-1B16FB07F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073343"/>
        <c:axId val="160721968"/>
      </c:lineChart>
      <c:catAx>
        <c:axId val="116207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1968"/>
        <c:crosses val="autoZero"/>
        <c:auto val="1"/>
        <c:lblAlgn val="ctr"/>
        <c:lblOffset val="100"/>
        <c:noMultiLvlLbl val="0"/>
      </c:catAx>
      <c:valAx>
        <c:axId val="16072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07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RE!$J$1</c:f>
              <c:strCache>
                <c:ptCount val="1"/>
                <c:pt idx="0">
                  <c:v> from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RE!$J$2:$J$163</c:f>
              <c:numCache>
                <c:formatCode>0.000%</c:formatCode>
                <c:ptCount val="162"/>
                <c:pt idx="19">
                  <c:v>-2.9739366938677855E-4</c:v>
                </c:pt>
                <c:pt idx="20">
                  <c:v>-8.111301114527578E-4</c:v>
                </c:pt>
                <c:pt idx="21">
                  <c:v>2.7223276701797644E-4</c:v>
                </c:pt>
                <c:pt idx="22">
                  <c:v>1.5616983658908355E-4</c:v>
                </c:pt>
                <c:pt idx="23">
                  <c:v>1.1151395600093141E-4</c:v>
                </c:pt>
                <c:pt idx="24">
                  <c:v>-7.5399991683450251E-4</c:v>
                </c:pt>
                <c:pt idx="25">
                  <c:v>-9.9472416699707784E-4</c:v>
                </c:pt>
                <c:pt idx="26">
                  <c:v>-1.4791507604796363E-3</c:v>
                </c:pt>
                <c:pt idx="27">
                  <c:v>1.9585474431914589E-4</c:v>
                </c:pt>
                <c:pt idx="28">
                  <c:v>-1.0177071548397505E-3</c:v>
                </c:pt>
                <c:pt idx="29">
                  <c:v>-5.2530077232253777E-4</c:v>
                </c:pt>
                <c:pt idx="30">
                  <c:v>-2.5742963300329322E-4</c:v>
                </c:pt>
                <c:pt idx="31">
                  <c:v>-1.8658512236757215E-4</c:v>
                </c:pt>
                <c:pt idx="32">
                  <c:v>5.6530398277606796E-4</c:v>
                </c:pt>
                <c:pt idx="33">
                  <c:v>-6.0119399828970641E-4</c:v>
                </c:pt>
                <c:pt idx="34">
                  <c:v>-3.2104465635606524E-4</c:v>
                </c:pt>
                <c:pt idx="35">
                  <c:v>-3.8407839415463552E-4</c:v>
                </c:pt>
                <c:pt idx="36">
                  <c:v>-1.0244166030240116E-3</c:v>
                </c:pt>
                <c:pt idx="37">
                  <c:v>-8.759490152365104E-4</c:v>
                </c:pt>
                <c:pt idx="38">
                  <c:v>-2.1993464528798944E-4</c:v>
                </c:pt>
                <c:pt idx="39">
                  <c:v>-6.1293948709034414E-4</c:v>
                </c:pt>
                <c:pt idx="40">
                  <c:v>-7.6001877653944635E-4</c:v>
                </c:pt>
                <c:pt idx="41">
                  <c:v>-2.2681655674819607E-4</c:v>
                </c:pt>
                <c:pt idx="42">
                  <c:v>8.7552215287263588E-4</c:v>
                </c:pt>
                <c:pt idx="43">
                  <c:v>-3.5286714216871114E-4</c:v>
                </c:pt>
                <c:pt idx="44">
                  <c:v>-1.1820039710552824E-4</c:v>
                </c:pt>
                <c:pt idx="45">
                  <c:v>-3.6835974512507488E-4</c:v>
                </c:pt>
                <c:pt idx="46">
                  <c:v>-9.090375660674128E-4</c:v>
                </c:pt>
                <c:pt idx="47">
                  <c:v>-6.7069034601739675E-4</c:v>
                </c:pt>
                <c:pt idx="48">
                  <c:v>-1.1736615370498348E-3</c:v>
                </c:pt>
                <c:pt idx="49">
                  <c:v>-1.2174367614564364E-3</c:v>
                </c:pt>
                <c:pt idx="50">
                  <c:v>-1.6057484387487055E-3</c:v>
                </c:pt>
                <c:pt idx="51">
                  <c:v>-1.8875569809079177E-3</c:v>
                </c:pt>
                <c:pt idx="52">
                  <c:v>-2.7177926547925863E-4</c:v>
                </c:pt>
                <c:pt idx="53">
                  <c:v>-8.7962313596746749E-4</c:v>
                </c:pt>
                <c:pt idx="54">
                  <c:v>-1.118658661818096E-3</c:v>
                </c:pt>
                <c:pt idx="55">
                  <c:v>5.3586448246377384E-4</c:v>
                </c:pt>
                <c:pt idx="56">
                  <c:v>5.577439129319248E-4</c:v>
                </c:pt>
                <c:pt idx="57">
                  <c:v>7.6688903608038031E-4</c:v>
                </c:pt>
                <c:pt idx="58">
                  <c:v>7.1792993828068466E-4</c:v>
                </c:pt>
                <c:pt idx="59">
                  <c:v>1.0481147108261288E-3</c:v>
                </c:pt>
                <c:pt idx="60">
                  <c:v>-2.7646520735142118E-4</c:v>
                </c:pt>
                <c:pt idx="61">
                  <c:v>-4.8275157510343749E-4</c:v>
                </c:pt>
                <c:pt idx="62">
                  <c:v>4.2617469412924245E-4</c:v>
                </c:pt>
                <c:pt idx="63">
                  <c:v>1.0223906710355715E-4</c:v>
                </c:pt>
                <c:pt idx="64">
                  <c:v>1.5337169656275137E-4</c:v>
                </c:pt>
                <c:pt idx="65">
                  <c:v>3.5346975836991507E-4</c:v>
                </c:pt>
                <c:pt idx="66">
                  <c:v>3.2331204445506118E-4</c:v>
                </c:pt>
                <c:pt idx="67">
                  <c:v>6.2497536027920355E-4</c:v>
                </c:pt>
                <c:pt idx="68">
                  <c:v>6.9470895056445423E-4</c:v>
                </c:pt>
                <c:pt idx="69">
                  <c:v>-4.6331908188317723E-5</c:v>
                </c:pt>
                <c:pt idx="70">
                  <c:v>5.1806635758494264E-4</c:v>
                </c:pt>
                <c:pt idx="71">
                  <c:v>-3.8893127524826599E-4</c:v>
                </c:pt>
                <c:pt idx="72">
                  <c:v>2.271581409929781E-4</c:v>
                </c:pt>
                <c:pt idx="73">
                  <c:v>-3.5114943845151452E-5</c:v>
                </c:pt>
                <c:pt idx="74">
                  <c:v>-6.9194228928883526E-4</c:v>
                </c:pt>
                <c:pt idx="75">
                  <c:v>4.3260012663440486E-6</c:v>
                </c:pt>
                <c:pt idx="76">
                  <c:v>-7.8238406626899941E-4</c:v>
                </c:pt>
                <c:pt idx="77">
                  <c:v>-1.1207828992227016E-3</c:v>
                </c:pt>
                <c:pt idx="78">
                  <c:v>-1.1115218730985345E-3</c:v>
                </c:pt>
                <c:pt idx="79">
                  <c:v>-1.4082881509414204E-4</c:v>
                </c:pt>
                <c:pt idx="80">
                  <c:v>-2.2429720513934907E-4</c:v>
                </c:pt>
                <c:pt idx="81">
                  <c:v>-6.8514548611416548E-4</c:v>
                </c:pt>
                <c:pt idx="82">
                  <c:v>8.2152456144783656E-5</c:v>
                </c:pt>
                <c:pt idx="83">
                  <c:v>-1.7837113032994693E-4</c:v>
                </c:pt>
                <c:pt idx="84">
                  <c:v>-1.97322737707178E-4</c:v>
                </c:pt>
                <c:pt idx="85">
                  <c:v>3.6109090169676684E-4</c:v>
                </c:pt>
                <c:pt idx="86">
                  <c:v>1.4118133114312107E-3</c:v>
                </c:pt>
                <c:pt idx="87">
                  <c:v>1.0496238229790156E-3</c:v>
                </c:pt>
                <c:pt idx="88">
                  <c:v>3.4289318890670277E-4</c:v>
                </c:pt>
                <c:pt idx="89">
                  <c:v>9.7215559845632523E-4</c:v>
                </c:pt>
                <c:pt idx="90">
                  <c:v>7.2474463041482075E-4</c:v>
                </c:pt>
                <c:pt idx="91">
                  <c:v>4.49206995333808E-4</c:v>
                </c:pt>
                <c:pt idx="92">
                  <c:v>4.7284312858179355E-5</c:v>
                </c:pt>
                <c:pt idx="93">
                  <c:v>5.8521884494327234E-4</c:v>
                </c:pt>
                <c:pt idx="94">
                  <c:v>7.9458270727216396E-4</c:v>
                </c:pt>
                <c:pt idx="95">
                  <c:v>5.1738504477148587E-4</c:v>
                </c:pt>
                <c:pt idx="96">
                  <c:v>6.2752591175172867E-4</c:v>
                </c:pt>
                <c:pt idx="97">
                  <c:v>8.4546554034707177E-4</c:v>
                </c:pt>
                <c:pt idx="98">
                  <c:v>5.1567809400215176E-4</c:v>
                </c:pt>
                <c:pt idx="99">
                  <c:v>1.1400747734961832E-3</c:v>
                </c:pt>
                <c:pt idx="100">
                  <c:v>7.9900510591467068E-4</c:v>
                </c:pt>
                <c:pt idx="101">
                  <c:v>3.0875633226024756E-4</c:v>
                </c:pt>
                <c:pt idx="102">
                  <c:v>5.5940501653139031E-4</c:v>
                </c:pt>
                <c:pt idx="103">
                  <c:v>1.2689430387293209E-4</c:v>
                </c:pt>
                <c:pt idx="104">
                  <c:v>-1.5444347562779855E-4</c:v>
                </c:pt>
                <c:pt idx="105">
                  <c:v>-2.8249535460507286E-4</c:v>
                </c:pt>
                <c:pt idx="106">
                  <c:v>4.1697725105461158E-4</c:v>
                </c:pt>
                <c:pt idx="107">
                  <c:v>1.0931083971709092E-3</c:v>
                </c:pt>
                <c:pt idx="108">
                  <c:v>1.0395045659334968E-3</c:v>
                </c:pt>
                <c:pt idx="109">
                  <c:v>8.8782213033366684E-4</c:v>
                </c:pt>
                <c:pt idx="110">
                  <c:v>-9.3151217680301901E-5</c:v>
                </c:pt>
                <c:pt idx="111">
                  <c:v>7.266244532376007E-4</c:v>
                </c:pt>
                <c:pt idx="112">
                  <c:v>3.0990105256767196E-4</c:v>
                </c:pt>
                <c:pt idx="113">
                  <c:v>-7.8572470143916924E-4</c:v>
                </c:pt>
                <c:pt idx="114">
                  <c:v>1.6886790419077254E-5</c:v>
                </c:pt>
                <c:pt idx="115">
                  <c:v>2.5523012052049837E-4</c:v>
                </c:pt>
                <c:pt idx="116">
                  <c:v>-1.1733091997495697E-3</c:v>
                </c:pt>
                <c:pt idx="117">
                  <c:v>-6.5186742870412676E-4</c:v>
                </c:pt>
                <c:pt idx="118">
                  <c:v>-1.4633693464494328E-4</c:v>
                </c:pt>
                <c:pt idx="119">
                  <c:v>5.4229698339876288E-5</c:v>
                </c:pt>
                <c:pt idx="120">
                  <c:v>-2.449660522540875E-4</c:v>
                </c:pt>
                <c:pt idx="121">
                  <c:v>3.3031829584297053E-4</c:v>
                </c:pt>
                <c:pt idx="122">
                  <c:v>8.4553605624719443E-5</c:v>
                </c:pt>
                <c:pt idx="123">
                  <c:v>7.6178367889070627E-4</c:v>
                </c:pt>
                <c:pt idx="124">
                  <c:v>2.224479972459479E-4</c:v>
                </c:pt>
                <c:pt idx="125">
                  <c:v>1.3675700826299543E-3</c:v>
                </c:pt>
                <c:pt idx="126">
                  <c:v>8.8231874367720791E-4</c:v>
                </c:pt>
                <c:pt idx="127">
                  <c:v>-2.0895057915013904E-4</c:v>
                </c:pt>
                <c:pt idx="128">
                  <c:v>-4.2688809382536251E-4</c:v>
                </c:pt>
                <c:pt idx="129">
                  <c:v>-6.9194930123794678E-4</c:v>
                </c:pt>
                <c:pt idx="130">
                  <c:v>-5.0727129541547681E-4</c:v>
                </c:pt>
                <c:pt idx="131">
                  <c:v>-1.6413375485109009E-4</c:v>
                </c:pt>
                <c:pt idx="132">
                  <c:v>-7.9674717071800738E-5</c:v>
                </c:pt>
                <c:pt idx="133">
                  <c:v>1.5412337331891602E-4</c:v>
                </c:pt>
                <c:pt idx="134">
                  <c:v>6.2089515166075546E-4</c:v>
                </c:pt>
                <c:pt idx="135">
                  <c:v>-2.093115327926592E-4</c:v>
                </c:pt>
                <c:pt idx="136">
                  <c:v>-1.2316821464595523E-5</c:v>
                </c:pt>
                <c:pt idx="137">
                  <c:v>1.0572558023329459E-5</c:v>
                </c:pt>
                <c:pt idx="138">
                  <c:v>-6.299292757930364E-4</c:v>
                </c:pt>
                <c:pt idx="139">
                  <c:v>-1.3423747089674224E-3</c:v>
                </c:pt>
                <c:pt idx="140">
                  <c:v>-6.1073175670582364E-4</c:v>
                </c:pt>
                <c:pt idx="141">
                  <c:v>-3.9714162869704684E-4</c:v>
                </c:pt>
                <c:pt idx="142">
                  <c:v>8.0719379039908591E-4</c:v>
                </c:pt>
                <c:pt idx="143">
                  <c:v>3.5696096952222896E-4</c:v>
                </c:pt>
                <c:pt idx="144">
                  <c:v>-4.6579882327054599E-4</c:v>
                </c:pt>
                <c:pt idx="145">
                  <c:v>-2.5322396394770905E-4</c:v>
                </c:pt>
                <c:pt idx="146">
                  <c:v>6.2728130579274306E-4</c:v>
                </c:pt>
                <c:pt idx="147">
                  <c:v>2.8486134073135326E-4</c:v>
                </c:pt>
                <c:pt idx="148">
                  <c:v>4.9776035635192787E-4</c:v>
                </c:pt>
                <c:pt idx="149">
                  <c:v>1.7375461449246134E-4</c:v>
                </c:pt>
                <c:pt idx="150">
                  <c:v>-7.8652503916316538E-4</c:v>
                </c:pt>
                <c:pt idx="151">
                  <c:v>2.7357966631065105E-4</c:v>
                </c:pt>
                <c:pt idx="152">
                  <c:v>-7.9157363378582987E-4</c:v>
                </c:pt>
                <c:pt idx="153">
                  <c:v>-5.9673181133351142E-4</c:v>
                </c:pt>
                <c:pt idx="154">
                  <c:v>-3.9661459509040528E-4</c:v>
                </c:pt>
                <c:pt idx="155">
                  <c:v>-4.3623177490512279E-4</c:v>
                </c:pt>
                <c:pt idx="156">
                  <c:v>-4.2134974364064478E-4</c:v>
                </c:pt>
                <c:pt idx="157">
                  <c:v>-8.1396060926879418E-5</c:v>
                </c:pt>
                <c:pt idx="158">
                  <c:v>-3.0946871642015109E-4</c:v>
                </c:pt>
                <c:pt idx="159">
                  <c:v>-6.4998553569118862E-4</c:v>
                </c:pt>
                <c:pt idx="160">
                  <c:v>-6.9969491852374811E-4</c:v>
                </c:pt>
                <c:pt idx="161">
                  <c:v>-5.2860722783626055E-4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5-4C63-AAC7-FDBE25128B02}"/>
            </c:ext>
          </c:extLst>
        </c:ser>
        <c:ser>
          <c:idx val="1"/>
          <c:order val="1"/>
          <c:tx>
            <c:strRef>
              <c:f>RE!$K$1</c:f>
              <c:strCache>
                <c:ptCount val="1"/>
                <c:pt idx="0">
                  <c:v> from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RE!$K$2:$K$163</c:f>
              <c:numCache>
                <c:formatCode>0.000%</c:formatCode>
                <c:ptCount val="162"/>
                <c:pt idx="19">
                  <c:v>5.0070264105150268E-4</c:v>
                </c:pt>
                <c:pt idx="20">
                  <c:v>-2.5968902662467111E-5</c:v>
                </c:pt>
                <c:pt idx="21">
                  <c:v>1.1022875601975242E-3</c:v>
                </c:pt>
                <c:pt idx="22">
                  <c:v>1.0224230233169299E-3</c:v>
                </c:pt>
                <c:pt idx="23">
                  <c:v>1.0051002913624785E-3</c:v>
                </c:pt>
                <c:pt idx="24">
                  <c:v>1.2285800732870819E-4</c:v>
                </c:pt>
                <c:pt idx="25">
                  <c:v>-1.7779130381531593E-4</c:v>
                </c:pt>
                <c:pt idx="26">
                  <c:v>-7.5762245390139965E-4</c:v>
                </c:pt>
                <c:pt idx="27">
                  <c:v>9.282837727004542E-4</c:v>
                </c:pt>
                <c:pt idx="28">
                  <c:v>-3.6235938101242423E-4</c:v>
                </c:pt>
                <c:pt idx="29">
                  <c:v>9.67107852235471E-5</c:v>
                </c:pt>
                <c:pt idx="30">
                  <c:v>3.2566819030593278E-4</c:v>
                </c:pt>
                <c:pt idx="31">
                  <c:v>3.3465388114120923E-4</c:v>
                </c:pt>
                <c:pt idx="32">
                  <c:v>1.0600596071560289E-3</c:v>
                </c:pt>
                <c:pt idx="33">
                  <c:v>-1.837861338738907E-4</c:v>
                </c:pt>
                <c:pt idx="34">
                  <c:v>5.7864604813302129E-5</c:v>
                </c:pt>
                <c:pt idx="35">
                  <c:v>-4.2262721117213621E-5</c:v>
                </c:pt>
                <c:pt idx="36">
                  <c:v>-7.7282876159665112E-4</c:v>
                </c:pt>
                <c:pt idx="37">
                  <c:v>-6.7810669162352304E-4</c:v>
                </c:pt>
                <c:pt idx="38">
                  <c:v>-4.454162993033178E-5</c:v>
                </c:pt>
                <c:pt idx="39">
                  <c:v>-4.8693548226661518E-4</c:v>
                </c:pt>
                <c:pt idx="40">
                  <c:v>-6.660325513409913E-4</c:v>
                </c:pt>
                <c:pt idx="41">
                  <c:v>-1.9780980939867009E-4</c:v>
                </c:pt>
                <c:pt idx="42">
                  <c:v>8.9833004673417049E-4</c:v>
                </c:pt>
                <c:pt idx="43">
                  <c:v>-4.003075338338876E-4</c:v>
                </c:pt>
                <c:pt idx="44">
                  <c:v>-1.8082451965200803E-4</c:v>
                </c:pt>
                <c:pt idx="45">
                  <c:v>-4.4431318386555901E-4</c:v>
                </c:pt>
                <c:pt idx="46">
                  <c:v>-9.9696779382394264E-4</c:v>
                </c:pt>
                <c:pt idx="47">
                  <c:v>-8.4738888099372591E-4</c:v>
                </c:pt>
                <c:pt idx="48">
                  <c:v>-1.4023973273686017E-3</c:v>
                </c:pt>
                <c:pt idx="49">
                  <c:v>-1.5274150796094285E-3</c:v>
                </c:pt>
                <c:pt idx="50">
                  <c:v>-2.0337551890894797E-3</c:v>
                </c:pt>
                <c:pt idx="51">
                  <c:v>-2.4551315242166902E-3</c:v>
                </c:pt>
                <c:pt idx="52">
                  <c:v>-9.3925164137950278E-4</c:v>
                </c:pt>
                <c:pt idx="53">
                  <c:v>-1.6188635976063265E-3</c:v>
                </c:pt>
                <c:pt idx="54">
                  <c:v>-1.9587458771105674E-3</c:v>
                </c:pt>
                <c:pt idx="55">
                  <c:v>-3.1800042754995326E-4</c:v>
                </c:pt>
                <c:pt idx="56">
                  <c:v>-2.7103954819327207E-4</c:v>
                </c:pt>
                <c:pt idx="57">
                  <c:v>-2.9477858394692264E-5</c:v>
                </c:pt>
                <c:pt idx="58">
                  <c:v>-8.0219541300099022E-5</c:v>
                </c:pt>
                <c:pt idx="59">
                  <c:v>2.8872174311118302E-4</c:v>
                </c:pt>
                <c:pt idx="60">
                  <c:v>-1.0553245576149567E-3</c:v>
                </c:pt>
                <c:pt idx="61">
                  <c:v>-1.3175975642747736E-3</c:v>
                </c:pt>
                <c:pt idx="62">
                  <c:v>-4.7738271231814971E-4</c:v>
                </c:pt>
                <c:pt idx="63">
                  <c:v>-8.2241744652979262E-4</c:v>
                </c:pt>
                <c:pt idx="64">
                  <c:v>-8.0234700411238645E-4</c:v>
                </c:pt>
                <c:pt idx="65">
                  <c:v>-6.1055756777052598E-4</c:v>
                </c:pt>
                <c:pt idx="66">
                  <c:v>-6.2196801465164218E-4</c:v>
                </c:pt>
                <c:pt idx="67">
                  <c:v>-2.9257397793640245E-4</c:v>
                </c:pt>
                <c:pt idx="68">
                  <c:v>-1.6076529601667325E-4</c:v>
                </c:pt>
                <c:pt idx="69">
                  <c:v>-8.6886691857026015E-4</c:v>
                </c:pt>
                <c:pt idx="70">
                  <c:v>-2.1342034845801025E-4</c:v>
                </c:pt>
                <c:pt idx="71">
                  <c:v>-1.0500917408087667E-3</c:v>
                </c:pt>
                <c:pt idx="72">
                  <c:v>-4.0740954207236168E-4</c:v>
                </c:pt>
                <c:pt idx="73">
                  <c:v>-6.1969892050793953E-4</c:v>
                </c:pt>
                <c:pt idx="74">
                  <c:v>-1.2405809021754199E-3</c:v>
                </c:pt>
                <c:pt idx="75">
                  <c:v>-5.5622230632916016E-4</c:v>
                </c:pt>
                <c:pt idx="76">
                  <c:v>-1.3993624254911104E-3</c:v>
                </c:pt>
                <c:pt idx="77">
                  <c:v>-1.8276961629080097E-3</c:v>
                </c:pt>
                <c:pt idx="78">
                  <c:v>-1.9099435291396786E-3</c:v>
                </c:pt>
                <c:pt idx="79">
                  <c:v>-1.0038484111158145E-3</c:v>
                </c:pt>
                <c:pt idx="80">
                  <c:v>-1.0890009726933381E-3</c:v>
                </c:pt>
                <c:pt idx="81">
                  <c:v>-1.5620803507782918E-3</c:v>
                </c:pt>
                <c:pt idx="82">
                  <c:v>-8.1148342107264355E-4</c:v>
                </c:pt>
                <c:pt idx="83">
                  <c:v>-1.0851440411304449E-3</c:v>
                </c:pt>
                <c:pt idx="84">
                  <c:v>-1.1199779326932133E-3</c:v>
                </c:pt>
                <c:pt idx="85">
                  <c:v>-5.5898661334590264E-4</c:v>
                </c:pt>
                <c:pt idx="86">
                  <c:v>5.5029906286966984E-4</c:v>
                </c:pt>
                <c:pt idx="87">
                  <c:v>2.133871669493708E-4</c:v>
                </c:pt>
                <c:pt idx="88">
                  <c:v>-5.1083820224623528E-4</c:v>
                </c:pt>
                <c:pt idx="89">
                  <c:v>1.7036073417688581E-4</c:v>
                </c:pt>
                <c:pt idx="90">
                  <c:v>-6.9877818000159303E-5</c:v>
                </c:pt>
                <c:pt idx="91">
                  <c:v>-3.0833100809907302E-4</c:v>
                </c:pt>
                <c:pt idx="92">
                  <c:v>-7.2618952281300851E-4</c:v>
                </c:pt>
                <c:pt idx="93">
                  <c:v>-1.6555624544509976E-4</c:v>
                </c:pt>
                <c:pt idx="94">
                  <c:v>1.1139617539747228E-4</c:v>
                </c:pt>
                <c:pt idx="95">
                  <c:v>-1.452599901663536E-4</c:v>
                </c:pt>
                <c:pt idx="96">
                  <c:v>3.6687288905010066E-5</c:v>
                </c:pt>
                <c:pt idx="97">
                  <c:v>3.6424547088905108E-4</c:v>
                </c:pt>
                <c:pt idx="98">
                  <c:v>1.3684415762632362E-4</c:v>
                </c:pt>
                <c:pt idx="99">
                  <c:v>8.5411510526353629E-4</c:v>
                </c:pt>
                <c:pt idx="100">
                  <c:v>5.9736385941654515E-4</c:v>
                </c:pt>
                <c:pt idx="101">
                  <c:v>1.9501613098027077E-4</c:v>
                </c:pt>
                <c:pt idx="102">
                  <c:v>5.1183533465037933E-4</c:v>
                </c:pt>
                <c:pt idx="103">
                  <c:v>1.406418333698971E-4</c:v>
                </c:pt>
                <c:pt idx="104">
                  <c:v>-8.9119830042161779E-5</c:v>
                </c:pt>
                <c:pt idx="105">
                  <c:v>-1.9917286250283793E-4</c:v>
                </c:pt>
                <c:pt idx="106">
                  <c:v>4.9766942401079453E-4</c:v>
                </c:pt>
                <c:pt idx="107">
                  <c:v>1.2243160457011207E-3</c:v>
                </c:pt>
                <c:pt idx="108">
                  <c:v>1.2591963683725473E-3</c:v>
                </c:pt>
                <c:pt idx="109">
                  <c:v>1.1568160253090203E-3</c:v>
                </c:pt>
                <c:pt idx="110">
                  <c:v>1.8877827596494346E-4</c:v>
                </c:pt>
                <c:pt idx="111">
                  <c:v>1.0778587129749077E-3</c:v>
                </c:pt>
                <c:pt idx="112">
                  <c:v>7.3418191789961936E-4</c:v>
                </c:pt>
                <c:pt idx="113">
                  <c:v>-3.7176117629780504E-4</c:v>
                </c:pt>
                <c:pt idx="114">
                  <c:v>4.4766621966983928E-4</c:v>
                </c:pt>
                <c:pt idx="115">
                  <c:v>7.2976796753962609E-4</c:v>
                </c:pt>
                <c:pt idx="116">
                  <c:v>-7.3751254178432602E-4</c:v>
                </c:pt>
                <c:pt idx="117">
                  <c:v>-2.4662536277778382E-4</c:v>
                </c:pt>
                <c:pt idx="118">
                  <c:v>2.6533079551555977E-4</c:v>
                </c:pt>
                <c:pt idx="119">
                  <c:v>4.4547025955662739E-4</c:v>
                </c:pt>
                <c:pt idx="120">
                  <c:v>1.2253247860085151E-4</c:v>
                </c:pt>
                <c:pt idx="121">
                  <c:v>7.242778232913825E-4</c:v>
                </c:pt>
                <c:pt idx="122">
                  <c:v>4.7675951983281399E-4</c:v>
                </c:pt>
                <c:pt idx="123">
                  <c:v>1.2073093682317929E-3</c:v>
                </c:pt>
                <c:pt idx="124">
                  <c:v>7.078272628938386E-4</c:v>
                </c:pt>
                <c:pt idx="125">
                  <c:v>1.960916983300164E-3</c:v>
                </c:pt>
                <c:pt idx="126">
                  <c:v>1.5271178255040897E-3</c:v>
                </c:pt>
                <c:pt idx="127">
                  <c:v>3.9435830247674876E-4</c:v>
                </c:pt>
                <c:pt idx="128">
                  <c:v>1.1943946423556497E-4</c:v>
                </c:pt>
                <c:pt idx="129">
                  <c:v>-2.1417404411024245E-4</c:v>
                </c:pt>
                <c:pt idx="130">
                  <c:v>-4.0988975716796571E-5</c:v>
                </c:pt>
                <c:pt idx="131">
                  <c:v>2.6133132713192605E-4</c:v>
                </c:pt>
                <c:pt idx="132">
                  <c:v>3.2535116813322884E-4</c:v>
                </c:pt>
                <c:pt idx="133">
                  <c:v>6.0816060601287959E-4</c:v>
                </c:pt>
                <c:pt idx="134">
                  <c:v>1.1079357176199314E-3</c:v>
                </c:pt>
                <c:pt idx="135">
                  <c:v>2.53937928493849E-4</c:v>
                </c:pt>
                <c:pt idx="136">
                  <c:v>5.1352233956732541E-4</c:v>
                </c:pt>
                <c:pt idx="137">
                  <c:v>5.7764072778129891E-4</c:v>
                </c:pt>
                <c:pt idx="138">
                  <c:v>-8.0142836239597607E-5</c:v>
                </c:pt>
                <c:pt idx="139">
                  <c:v>-8.5779888393361749E-4</c:v>
                </c:pt>
                <c:pt idx="140">
                  <c:v>-1.3925149853845874E-4</c:v>
                </c:pt>
                <c:pt idx="141">
                  <c:v>4.0128703925835901E-5</c:v>
                </c:pt>
                <c:pt idx="142">
                  <c:v>1.284851628211629E-3</c:v>
                </c:pt>
                <c:pt idx="143">
                  <c:v>8.1501472916827001E-4</c:v>
                </c:pt>
                <c:pt idx="144">
                  <c:v>-4.5411048253763631E-5</c:v>
                </c:pt>
                <c:pt idx="145">
                  <c:v>7.2819676119386195E-5</c:v>
                </c:pt>
                <c:pt idx="146">
                  <c:v>9.2315436632647645E-4</c:v>
                </c:pt>
                <c:pt idx="147">
                  <c:v>5.905416907173816E-4</c:v>
                </c:pt>
                <c:pt idx="148">
                  <c:v>8.3943487055136582E-4</c:v>
                </c:pt>
                <c:pt idx="149">
                  <c:v>5.5383701984112142E-4</c:v>
                </c:pt>
                <c:pt idx="150">
                  <c:v>-4.2568926602248251E-4</c:v>
                </c:pt>
                <c:pt idx="151">
                  <c:v>6.5404964655989728E-4</c:v>
                </c:pt>
                <c:pt idx="152">
                  <c:v>-4.4988171155952334E-4</c:v>
                </c:pt>
                <c:pt idx="153">
                  <c:v>-3.0047939351978147E-4</c:v>
                </c:pt>
                <c:pt idx="154">
                  <c:v>-1.6394291671233382E-4</c:v>
                </c:pt>
                <c:pt idx="155">
                  <c:v>-2.2764419968560796E-4</c:v>
                </c:pt>
                <c:pt idx="156">
                  <c:v>-2.5099001201102426E-4</c:v>
                </c:pt>
                <c:pt idx="157">
                  <c:v>6.3248236324880484E-5</c:v>
                </c:pt>
                <c:pt idx="158">
                  <c:v>-1.6928259800285189E-4</c:v>
                </c:pt>
                <c:pt idx="159">
                  <c:v>-4.9146776229808966E-4</c:v>
                </c:pt>
                <c:pt idx="160">
                  <c:v>-5.6234223519884842E-4</c:v>
                </c:pt>
                <c:pt idx="161">
                  <c:v>-4.1396640598548681E-4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5-4C63-AAC7-FDBE25128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013791"/>
        <c:axId val="1630408336"/>
      </c:lineChart>
      <c:catAx>
        <c:axId val="116801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08336"/>
        <c:crosses val="autoZero"/>
        <c:auto val="1"/>
        <c:lblAlgn val="ctr"/>
        <c:lblOffset val="100"/>
        <c:noMultiLvlLbl val="0"/>
      </c:catAx>
      <c:valAx>
        <c:axId val="163040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01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Energy!$J$1</c:f>
              <c:strCache>
                <c:ptCount val="1"/>
                <c:pt idx="0">
                  <c:v> from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Energy!$J$2:$J$163</c:f>
              <c:numCache>
                <c:formatCode>0.000%</c:formatCode>
                <c:ptCount val="162"/>
                <c:pt idx="19">
                  <c:v>2.7477425055243447E-4</c:v>
                </c:pt>
                <c:pt idx="20">
                  <c:v>-3.1034091803098282E-4</c:v>
                </c:pt>
                <c:pt idx="21">
                  <c:v>-4.8974392717082856E-4</c:v>
                </c:pt>
                <c:pt idx="22">
                  <c:v>1.4610899294919717E-4</c:v>
                </c:pt>
                <c:pt idx="23">
                  <c:v>7.2299221847605384E-5</c:v>
                </c:pt>
                <c:pt idx="24">
                  <c:v>-2.7814339653902607E-4</c:v>
                </c:pt>
                <c:pt idx="25">
                  <c:v>-2.2867682624626255E-4</c:v>
                </c:pt>
                <c:pt idx="26">
                  <c:v>3.0773038761937842E-4</c:v>
                </c:pt>
                <c:pt idx="27">
                  <c:v>-4.0810695400634304E-5</c:v>
                </c:pt>
                <c:pt idx="28">
                  <c:v>2.8191911833815443E-4</c:v>
                </c:pt>
                <c:pt idx="29">
                  <c:v>5.4057950666781463E-5</c:v>
                </c:pt>
                <c:pt idx="30">
                  <c:v>5.6751366860152686E-4</c:v>
                </c:pt>
                <c:pt idx="31">
                  <c:v>1.2609022655978011E-4</c:v>
                </c:pt>
                <c:pt idx="32">
                  <c:v>2.6362921755970423E-4</c:v>
                </c:pt>
                <c:pt idx="33">
                  <c:v>-7.8507730669061116E-5</c:v>
                </c:pt>
                <c:pt idx="34">
                  <c:v>6.8050721653963123E-5</c:v>
                </c:pt>
                <c:pt idx="35">
                  <c:v>3.884101556383162E-4</c:v>
                </c:pt>
                <c:pt idx="36">
                  <c:v>-5.1429304743456179E-4</c:v>
                </c:pt>
                <c:pt idx="37">
                  <c:v>-3.8305977505332951E-4</c:v>
                </c:pt>
                <c:pt idx="38">
                  <c:v>5.4339333661490704E-4</c:v>
                </c:pt>
                <c:pt idx="39">
                  <c:v>-4.1164933234784651E-5</c:v>
                </c:pt>
                <c:pt idx="40">
                  <c:v>-1.4602712951298168E-4</c:v>
                </c:pt>
                <c:pt idx="41">
                  <c:v>-3.3973799712117974E-4</c:v>
                </c:pt>
                <c:pt idx="42">
                  <c:v>3.0350445535020439E-4</c:v>
                </c:pt>
                <c:pt idx="43">
                  <c:v>-3.690703251219137E-4</c:v>
                </c:pt>
                <c:pt idx="44">
                  <c:v>1.2459259864615972E-4</c:v>
                </c:pt>
                <c:pt idx="45">
                  <c:v>-2.1912586734362024E-4</c:v>
                </c:pt>
                <c:pt idx="46">
                  <c:v>-1.6746431317237034E-4</c:v>
                </c:pt>
                <c:pt idx="47">
                  <c:v>2.3290168836913789E-5</c:v>
                </c:pt>
                <c:pt idx="48">
                  <c:v>-3.7793849523079948E-4</c:v>
                </c:pt>
                <c:pt idx="49">
                  <c:v>-1.3732630249642109E-4</c:v>
                </c:pt>
                <c:pt idx="50">
                  <c:v>2.0819655301517834E-4</c:v>
                </c:pt>
                <c:pt idx="51">
                  <c:v>5.0527764384630087E-4</c:v>
                </c:pt>
                <c:pt idx="52">
                  <c:v>1.1135451423383896E-4</c:v>
                </c:pt>
                <c:pt idx="53">
                  <c:v>1.1785370073192607E-4</c:v>
                </c:pt>
                <c:pt idx="54">
                  <c:v>7.8838516702647128E-4</c:v>
                </c:pt>
                <c:pt idx="55">
                  <c:v>3.1018789895090814E-4</c:v>
                </c:pt>
                <c:pt idx="56">
                  <c:v>9.0141702120680758E-5</c:v>
                </c:pt>
                <c:pt idx="57">
                  <c:v>-2.397014328382534E-4</c:v>
                </c:pt>
                <c:pt idx="58">
                  <c:v>6.5799357726579185E-6</c:v>
                </c:pt>
                <c:pt idx="59">
                  <c:v>9.62380485170039E-5</c:v>
                </c:pt>
                <c:pt idx="60">
                  <c:v>-4.6252729064716622E-5</c:v>
                </c:pt>
                <c:pt idx="61">
                  <c:v>1.3424066130195362E-4</c:v>
                </c:pt>
                <c:pt idx="62">
                  <c:v>-8.325463343338204E-5</c:v>
                </c:pt>
                <c:pt idx="63">
                  <c:v>4.6067567109124569E-4</c:v>
                </c:pt>
                <c:pt idx="64">
                  <c:v>2.3126067714005486E-4</c:v>
                </c:pt>
                <c:pt idx="65">
                  <c:v>-6.2243657861649049E-6</c:v>
                </c:pt>
                <c:pt idx="66">
                  <c:v>-2.259355690604849E-4</c:v>
                </c:pt>
                <c:pt idx="67">
                  <c:v>2.2198188232513591E-4</c:v>
                </c:pt>
                <c:pt idx="68">
                  <c:v>-1.8187649646915567E-4</c:v>
                </c:pt>
                <c:pt idx="69">
                  <c:v>-1.3820815194631121E-4</c:v>
                </c:pt>
                <c:pt idx="70">
                  <c:v>-2.1810982762101875E-4</c:v>
                </c:pt>
                <c:pt idx="71">
                  <c:v>1.8203950101881568E-4</c:v>
                </c:pt>
                <c:pt idx="72">
                  <c:v>3.9087605117589012E-5</c:v>
                </c:pt>
                <c:pt idx="73">
                  <c:v>1.9635519179134875E-4</c:v>
                </c:pt>
                <c:pt idx="74">
                  <c:v>5.050204399536394E-4</c:v>
                </c:pt>
                <c:pt idx="75">
                  <c:v>3.2857100844938577E-4</c:v>
                </c:pt>
                <c:pt idx="76">
                  <c:v>-1.0015671213507859E-4</c:v>
                </c:pt>
                <c:pt idx="77">
                  <c:v>-2.6249634835121262E-5</c:v>
                </c:pt>
                <c:pt idx="78">
                  <c:v>-1.3541416055105196E-4</c:v>
                </c:pt>
                <c:pt idx="79">
                  <c:v>-4.0827500496294606E-4</c:v>
                </c:pt>
                <c:pt idx="80">
                  <c:v>-3.1839610959964574E-4</c:v>
                </c:pt>
                <c:pt idx="81">
                  <c:v>-4.4437084883823714E-4</c:v>
                </c:pt>
                <c:pt idx="82">
                  <c:v>-5.7882156283316905E-4</c:v>
                </c:pt>
                <c:pt idx="83">
                  <c:v>-8.1305321198293728E-4</c:v>
                </c:pt>
                <c:pt idx="84">
                  <c:v>-6.4622626052623987E-4</c:v>
                </c:pt>
                <c:pt idx="85">
                  <c:v>1.6650499581203598E-4</c:v>
                </c:pt>
                <c:pt idx="86">
                  <c:v>-4.4312477922052768E-5</c:v>
                </c:pt>
                <c:pt idx="87">
                  <c:v>3.6678223578250454E-4</c:v>
                </c:pt>
                <c:pt idx="88">
                  <c:v>2.7366042471235335E-4</c:v>
                </c:pt>
                <c:pt idx="89">
                  <c:v>2.4860546358168854E-5</c:v>
                </c:pt>
                <c:pt idx="90">
                  <c:v>-2.2331401001885099E-4</c:v>
                </c:pt>
                <c:pt idx="91">
                  <c:v>5.6798160329769637E-4</c:v>
                </c:pt>
                <c:pt idx="92">
                  <c:v>7.1179973547895925E-4</c:v>
                </c:pt>
                <c:pt idx="93">
                  <c:v>1.8570142135049166E-5</c:v>
                </c:pt>
                <c:pt idx="94">
                  <c:v>2.1352379650604482E-4</c:v>
                </c:pt>
                <c:pt idx="95">
                  <c:v>8.6419627207484759E-4</c:v>
                </c:pt>
                <c:pt idx="96">
                  <c:v>8.7745037840064567E-4</c:v>
                </c:pt>
                <c:pt idx="97">
                  <c:v>6.7515265198742861E-4</c:v>
                </c:pt>
                <c:pt idx="98">
                  <c:v>2.2704974098123809E-4</c:v>
                </c:pt>
                <c:pt idx="99">
                  <c:v>3.8977112553574203E-4</c:v>
                </c:pt>
                <c:pt idx="100">
                  <c:v>1.612271937326604E-4</c:v>
                </c:pt>
                <c:pt idx="101">
                  <c:v>-2.1824792854401097E-4</c:v>
                </c:pt>
                <c:pt idx="102">
                  <c:v>4.5275763209661504E-4</c:v>
                </c:pt>
                <c:pt idx="103">
                  <c:v>6.1791199134349239E-4</c:v>
                </c:pt>
                <c:pt idx="104">
                  <c:v>4.1727502061331584E-4</c:v>
                </c:pt>
                <c:pt idx="105">
                  <c:v>4.6808940913185988E-4</c:v>
                </c:pt>
                <c:pt idx="106">
                  <c:v>3.8214350754749762E-4</c:v>
                </c:pt>
                <c:pt idx="107">
                  <c:v>-1.5418244337688067E-4</c:v>
                </c:pt>
                <c:pt idx="108">
                  <c:v>2.7435485286819109E-4</c:v>
                </c:pt>
                <c:pt idx="109">
                  <c:v>6.2853897817835826E-5</c:v>
                </c:pt>
                <c:pt idx="110">
                  <c:v>-3.9173046266466089E-4</c:v>
                </c:pt>
                <c:pt idx="111">
                  <c:v>-1.894112183710171E-4</c:v>
                </c:pt>
                <c:pt idx="112">
                  <c:v>3.6801864979239764E-4</c:v>
                </c:pt>
                <c:pt idx="113">
                  <c:v>6.1348800583788967E-4</c:v>
                </c:pt>
                <c:pt idx="114">
                  <c:v>2.0933061282939644E-4</c:v>
                </c:pt>
                <c:pt idx="115">
                  <c:v>2.122903914824299E-5</c:v>
                </c:pt>
                <c:pt idx="116">
                  <c:v>-2.714662015040914E-4</c:v>
                </c:pt>
                <c:pt idx="117">
                  <c:v>-3.0085326523950325E-5</c:v>
                </c:pt>
                <c:pt idx="118">
                  <c:v>-1.2097486219667609E-4</c:v>
                </c:pt>
                <c:pt idx="119">
                  <c:v>3.061519790856048E-4</c:v>
                </c:pt>
                <c:pt idx="120">
                  <c:v>-2.8099292317440192E-4</c:v>
                </c:pt>
                <c:pt idx="121">
                  <c:v>-1.2949104211643666E-4</c:v>
                </c:pt>
                <c:pt idx="122">
                  <c:v>7.210701119415863E-4</c:v>
                </c:pt>
                <c:pt idx="123">
                  <c:v>-3.0184366357732573E-5</c:v>
                </c:pt>
                <c:pt idx="124">
                  <c:v>6.7070674920193299E-4</c:v>
                </c:pt>
                <c:pt idx="125">
                  <c:v>-9.0087030655581948E-5</c:v>
                </c:pt>
                <c:pt idx="126">
                  <c:v>1.6124132345851435E-4</c:v>
                </c:pt>
                <c:pt idx="127">
                  <c:v>2.3021228166409542E-5</c:v>
                </c:pt>
                <c:pt idx="128">
                  <c:v>-3.1531165174468559E-4</c:v>
                </c:pt>
                <c:pt idx="129">
                  <c:v>1.3850289071850143E-4</c:v>
                </c:pt>
                <c:pt idx="130">
                  <c:v>-4.8392942346005522E-5</c:v>
                </c:pt>
                <c:pt idx="131">
                  <c:v>-3.5151931158236571E-4</c:v>
                </c:pt>
                <c:pt idx="132">
                  <c:v>3.7366866607249578E-4</c:v>
                </c:pt>
                <c:pt idx="133">
                  <c:v>-3.4700551361885798E-5</c:v>
                </c:pt>
                <c:pt idx="134">
                  <c:v>-2.4727006873319438E-4</c:v>
                </c:pt>
                <c:pt idx="135">
                  <c:v>-1.6928353241813532E-4</c:v>
                </c:pt>
                <c:pt idx="136">
                  <c:v>-2.1730685622550162E-4</c:v>
                </c:pt>
                <c:pt idx="137">
                  <c:v>-1.4205736426769558E-4</c:v>
                </c:pt>
                <c:pt idx="138">
                  <c:v>-5.416371800060979E-4</c:v>
                </c:pt>
                <c:pt idx="139">
                  <c:v>2.018734560744144E-5</c:v>
                </c:pt>
                <c:pt idx="140">
                  <c:v>2.9495635018746971E-4</c:v>
                </c:pt>
                <c:pt idx="141">
                  <c:v>3.3185456724396645E-4</c:v>
                </c:pt>
                <c:pt idx="142">
                  <c:v>-3.554548587357244E-4</c:v>
                </c:pt>
                <c:pt idx="143">
                  <c:v>-1.7125217472071369E-4</c:v>
                </c:pt>
                <c:pt idx="144">
                  <c:v>8.9647056374426128E-5</c:v>
                </c:pt>
                <c:pt idx="145">
                  <c:v>-1.1462925918985163E-4</c:v>
                </c:pt>
                <c:pt idx="146">
                  <c:v>-3.3270352258235874E-4</c:v>
                </c:pt>
                <c:pt idx="147">
                  <c:v>1.0156876270367025E-4</c:v>
                </c:pt>
                <c:pt idx="148">
                  <c:v>3.2854694717025627E-4</c:v>
                </c:pt>
                <c:pt idx="149">
                  <c:v>1.5667186969631477E-4</c:v>
                </c:pt>
                <c:pt idx="150">
                  <c:v>-2.7853531913462216E-4</c:v>
                </c:pt>
                <c:pt idx="151">
                  <c:v>-3.2462691853267142E-4</c:v>
                </c:pt>
                <c:pt idx="152">
                  <c:v>-1.3982129627835516E-4</c:v>
                </c:pt>
                <c:pt idx="153">
                  <c:v>-1.8232946298424844E-4</c:v>
                </c:pt>
                <c:pt idx="154">
                  <c:v>1.4982847333552606E-4</c:v>
                </c:pt>
                <c:pt idx="155">
                  <c:v>-1.8022635686781432E-4</c:v>
                </c:pt>
                <c:pt idx="156">
                  <c:v>-4.2950146601173906E-4</c:v>
                </c:pt>
                <c:pt idx="157">
                  <c:v>-1.5111876645421493E-4</c:v>
                </c:pt>
                <c:pt idx="158">
                  <c:v>-1.5832957979517505E-4</c:v>
                </c:pt>
                <c:pt idx="159">
                  <c:v>-2.0942212250251669E-4</c:v>
                </c:pt>
                <c:pt idx="160">
                  <c:v>8.1050637588478717E-4</c:v>
                </c:pt>
                <c:pt idx="161">
                  <c:v>5.0554441519195484E-4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E-4153-8F7F-0DBE523D8F50}"/>
            </c:ext>
          </c:extLst>
        </c:ser>
        <c:ser>
          <c:idx val="1"/>
          <c:order val="1"/>
          <c:tx>
            <c:strRef>
              <c:f>Energy!$K$1</c:f>
              <c:strCache>
                <c:ptCount val="1"/>
                <c:pt idx="0">
                  <c:v> from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Energy!$K$2:$K$163</c:f>
              <c:numCache>
                <c:formatCode>0.000%</c:formatCode>
                <c:ptCount val="162"/>
                <c:pt idx="19">
                  <c:v>3.919561498305149E-5</c:v>
                </c:pt>
                <c:pt idx="20">
                  <c:v>-5.6778011296966394E-4</c:v>
                </c:pt>
                <c:pt idx="21">
                  <c:v>-8.1209296681653746E-4</c:v>
                </c:pt>
                <c:pt idx="22">
                  <c:v>-1.8953121238007677E-4</c:v>
                </c:pt>
                <c:pt idx="23">
                  <c:v>-2.6350750006770942E-4</c:v>
                </c:pt>
                <c:pt idx="24">
                  <c:v>-6.3002428175969562E-4</c:v>
                </c:pt>
                <c:pt idx="25">
                  <c:v>-6.053169916166273E-4</c:v>
                </c:pt>
                <c:pt idx="26">
                  <c:v>-4.9479638454550362E-5</c:v>
                </c:pt>
                <c:pt idx="27">
                  <c:v>-4.1335613303989489E-4</c:v>
                </c:pt>
                <c:pt idx="28">
                  <c:v>-9.7343855686585762E-5</c:v>
                </c:pt>
                <c:pt idx="29">
                  <c:v>-3.4481717021441215E-4</c:v>
                </c:pt>
                <c:pt idx="30">
                  <c:v>1.8833384369307561E-4</c:v>
                </c:pt>
                <c:pt idx="31">
                  <c:v>-2.806642057024765E-4</c:v>
                </c:pt>
                <c:pt idx="32">
                  <c:v>-1.3656520294045768E-4</c:v>
                </c:pt>
                <c:pt idx="33">
                  <c:v>-4.7236830729822601E-4</c:v>
                </c:pt>
                <c:pt idx="34">
                  <c:v>-2.9297831096454507E-4</c:v>
                </c:pt>
                <c:pt idx="35">
                  <c:v>4.0175134694807832E-5</c:v>
                </c:pt>
                <c:pt idx="36">
                  <c:v>-8.8306352061608183E-4</c:v>
                </c:pt>
                <c:pt idx="37">
                  <c:v>-7.4966770949200679E-4</c:v>
                </c:pt>
                <c:pt idx="38">
                  <c:v>2.2873727742683819E-4</c:v>
                </c:pt>
                <c:pt idx="39">
                  <c:v>-3.7660791912566202E-4</c:v>
                </c:pt>
                <c:pt idx="40">
                  <c:v>-4.7692657924146129E-4</c:v>
                </c:pt>
                <c:pt idx="41">
                  <c:v>-6.6318920197871816E-4</c:v>
                </c:pt>
                <c:pt idx="42">
                  <c:v>-1.102330605896993E-5</c:v>
                </c:pt>
                <c:pt idx="43">
                  <c:v>-7.0571181901556753E-4</c:v>
                </c:pt>
                <c:pt idx="44">
                  <c:v>-1.9004823611930969E-4</c:v>
                </c:pt>
                <c:pt idx="45">
                  <c:v>-5.2999988682596874E-4</c:v>
                </c:pt>
                <c:pt idx="46">
                  <c:v>-5.009087272409736E-4</c:v>
                </c:pt>
                <c:pt idx="47">
                  <c:v>-3.0472240505232214E-4</c:v>
                </c:pt>
                <c:pt idx="48">
                  <c:v>-7.3798551120846188E-4</c:v>
                </c:pt>
                <c:pt idx="49">
                  <c:v>-5.0540310543253117E-4</c:v>
                </c:pt>
                <c:pt idx="50">
                  <c:v>-1.7819993388205375E-4</c:v>
                </c:pt>
                <c:pt idx="51">
                  <c:v>1.3990309905287227E-4</c:v>
                </c:pt>
                <c:pt idx="52">
                  <c:v>-2.6020075694464117E-4</c:v>
                </c:pt>
                <c:pt idx="53">
                  <c:v>-2.4219289801538532E-4</c:v>
                </c:pt>
                <c:pt idx="54">
                  <c:v>4.662855266706938E-4</c:v>
                </c:pt>
                <c:pt idx="55">
                  <c:v>-1.4652185854562939E-5</c:v>
                </c:pt>
                <c:pt idx="56">
                  <c:v>-2.0056549309176527E-4</c:v>
                </c:pt>
                <c:pt idx="57">
                  <c:v>-5.1886443211515189E-4</c:v>
                </c:pt>
                <c:pt idx="58">
                  <c:v>-2.9896120136125936E-4</c:v>
                </c:pt>
                <c:pt idx="59">
                  <c:v>-2.0049768786472991E-4</c:v>
                </c:pt>
                <c:pt idx="60">
                  <c:v>-3.3593825082710662E-4</c:v>
                </c:pt>
                <c:pt idx="61">
                  <c:v>-1.2871810828804739E-4</c:v>
                </c:pt>
                <c:pt idx="62">
                  <c:v>-3.6385342103445537E-4</c:v>
                </c:pt>
                <c:pt idx="63">
                  <c:v>2.2669647069517408E-4</c:v>
                </c:pt>
                <c:pt idx="64">
                  <c:v>7.1395074196427056E-6</c:v>
                </c:pt>
                <c:pt idx="65">
                  <c:v>-2.1457166289996259E-4</c:v>
                </c:pt>
                <c:pt idx="66">
                  <c:v>-4.3077528483589141E-4</c:v>
                </c:pt>
                <c:pt idx="67">
                  <c:v>3.4081318655921699E-5</c:v>
                </c:pt>
                <c:pt idx="68">
                  <c:v>-3.503902005666243E-4</c:v>
                </c:pt>
                <c:pt idx="69">
                  <c:v>-2.9626233305400147E-4</c:v>
                </c:pt>
                <c:pt idx="70">
                  <c:v>-3.8658447720713024E-4</c:v>
                </c:pt>
                <c:pt idx="71">
                  <c:v>6.9171860421421732E-6</c:v>
                </c:pt>
                <c:pt idx="72">
                  <c:v>-1.2949949655686593E-4</c:v>
                </c:pt>
                <c:pt idx="73">
                  <c:v>4.1975645319823955E-5</c:v>
                </c:pt>
                <c:pt idx="74">
                  <c:v>3.445579387953906E-4</c:v>
                </c:pt>
                <c:pt idx="75">
                  <c:v>1.7772508985755867E-4</c:v>
                </c:pt>
                <c:pt idx="76">
                  <c:v>-2.5365742632698463E-4</c:v>
                </c:pt>
                <c:pt idx="77">
                  <c:v>-1.618985601785908E-4</c:v>
                </c:pt>
                <c:pt idx="78">
                  <c:v>-2.6959453315261088E-4</c:v>
                </c:pt>
                <c:pt idx="79">
                  <c:v>-5.60457646979832E-4</c:v>
                </c:pt>
                <c:pt idx="80">
                  <c:v>-4.7766696688124609E-4</c:v>
                </c:pt>
                <c:pt idx="81">
                  <c:v>-6.2864312994832328E-4</c:v>
                </c:pt>
                <c:pt idx="82">
                  <c:v>-7.8411488709727837E-4</c:v>
                </c:pt>
                <c:pt idx="83">
                  <c:v>-1.0838882642607364E-3</c:v>
                </c:pt>
                <c:pt idx="84">
                  <c:v>-9.6571289187078347E-4</c:v>
                </c:pt>
                <c:pt idx="85">
                  <c:v>-1.4974051817762818E-4</c:v>
                </c:pt>
                <c:pt idx="86">
                  <c:v>-3.5686203594067855E-4</c:v>
                </c:pt>
                <c:pt idx="87">
                  <c:v>5.5292877456063028E-5</c:v>
                </c:pt>
                <c:pt idx="88">
                  <c:v>-2.1380373003739314E-5</c:v>
                </c:pt>
                <c:pt idx="89">
                  <c:v>-2.6880752729496006E-4</c:v>
                </c:pt>
                <c:pt idx="90">
                  <c:v>-5.2384625795945264E-4</c:v>
                </c:pt>
                <c:pt idx="91">
                  <c:v>2.811552584190262E-4</c:v>
                </c:pt>
                <c:pt idx="92">
                  <c:v>4.5414282854707637E-4</c:v>
                </c:pt>
                <c:pt idx="93">
                  <c:v>-2.5387704607950415E-4</c:v>
                </c:pt>
                <c:pt idx="94">
                  <c:v>-8.0149970877061778E-5</c:v>
                </c:pt>
                <c:pt idx="95">
                  <c:v>5.9118152599360835E-4</c:v>
                </c:pt>
                <c:pt idx="96">
                  <c:v>6.4957711475143592E-4</c:v>
                </c:pt>
                <c:pt idx="97">
                  <c:v>4.7932888243755061E-4</c:v>
                </c:pt>
                <c:pt idx="98">
                  <c:v>4.7057352420687122E-5</c:v>
                </c:pt>
                <c:pt idx="99">
                  <c:v>2.5031729664018102E-4</c:v>
                </c:pt>
                <c:pt idx="100">
                  <c:v>4.8062147107882328E-5</c:v>
                </c:pt>
                <c:pt idx="101">
                  <c:v>-3.1576324037045395E-4</c:v>
                </c:pt>
                <c:pt idx="102">
                  <c:v>4.152158736484288E-4</c:v>
                </c:pt>
                <c:pt idx="103">
                  <c:v>6.6798255088648347E-4</c:v>
                </c:pt>
                <c:pt idx="104">
                  <c:v>5.4279348063987606E-4</c:v>
                </c:pt>
                <c:pt idx="105">
                  <c:v>6.3272749910877788E-4</c:v>
                </c:pt>
                <c:pt idx="106">
                  <c:v>5.9434527910708448E-4</c:v>
                </c:pt>
                <c:pt idx="107">
                  <c:v>5.8162849086420162E-5</c:v>
                </c:pt>
                <c:pt idx="108">
                  <c:v>5.1344065375946734E-4</c:v>
                </c:pt>
                <c:pt idx="109">
                  <c:v>3.3198606388319641E-4</c:v>
                </c:pt>
                <c:pt idx="110">
                  <c:v>-1.0146681044310894E-4</c:v>
                </c:pt>
                <c:pt idx="111">
                  <c:v>9.1361819921366514E-5</c:v>
                </c:pt>
                <c:pt idx="112">
                  <c:v>6.5903344622670354E-4</c:v>
                </c:pt>
                <c:pt idx="113">
                  <c:v>9.6546796559974341E-4</c:v>
                </c:pt>
                <c:pt idx="114">
                  <c:v>5.9507561366250051E-4</c:v>
                </c:pt>
                <c:pt idx="115">
                  <c:v>3.9728006565670372E-4</c:v>
                </c:pt>
                <c:pt idx="116">
                  <c:v>7.5901050965588213E-5</c:v>
                </c:pt>
                <c:pt idx="117">
                  <c:v>3.087535960437321E-4</c:v>
                </c:pt>
                <c:pt idx="118">
                  <c:v>2.2685584029267895E-4</c:v>
                </c:pt>
                <c:pt idx="119">
                  <c:v>6.7522589548386924E-4</c:v>
                </c:pt>
                <c:pt idx="120">
                  <c:v>9.018791574924058E-5</c:v>
                </c:pt>
                <c:pt idx="121">
                  <c:v>2.7104204094955721E-4</c:v>
                </c:pt>
                <c:pt idx="122">
                  <c:v>1.1587670820477787E-3</c:v>
                </c:pt>
                <c:pt idx="123">
                  <c:v>3.9380510281414018E-4</c:v>
                </c:pt>
                <c:pt idx="124">
                  <c:v>1.1237316637774939E-3</c:v>
                </c:pt>
                <c:pt idx="125">
                  <c:v>3.4873910015495945E-4</c:v>
                </c:pt>
                <c:pt idx="126">
                  <c:v>6.0036857117751945E-4</c:v>
                </c:pt>
                <c:pt idx="127">
                  <c:v>4.8341488350847351E-4</c:v>
                </c:pt>
                <c:pt idx="128">
                  <c:v>1.2569202979225195E-4</c:v>
                </c:pt>
                <c:pt idx="129">
                  <c:v>5.9253376530656683E-4</c:v>
                </c:pt>
                <c:pt idx="130">
                  <c:v>4.3233614027632616E-4</c:v>
                </c:pt>
                <c:pt idx="131">
                  <c:v>1.312025453869415E-4</c:v>
                </c:pt>
                <c:pt idx="132">
                  <c:v>8.667747313699086E-4</c:v>
                </c:pt>
                <c:pt idx="133">
                  <c:v>4.3172416281743529E-4</c:v>
                </c:pt>
                <c:pt idx="134">
                  <c:v>1.9936809593368909E-4</c:v>
                </c:pt>
                <c:pt idx="135">
                  <c:v>2.7104204094933522E-4</c:v>
                </c:pt>
                <c:pt idx="136">
                  <c:v>2.3076412331222187E-4</c:v>
                </c:pt>
                <c:pt idx="137">
                  <c:v>3.0586938439780971E-4</c:v>
                </c:pt>
                <c:pt idx="138">
                  <c:v>-1.105891146966639E-4</c:v>
                </c:pt>
                <c:pt idx="139">
                  <c:v>4.3944807820853464E-4</c:v>
                </c:pt>
                <c:pt idx="140">
                  <c:v>7.4706131352628548E-4</c:v>
                </c:pt>
                <c:pt idx="141">
                  <c:v>8.1095304588140447E-4</c:v>
                </c:pt>
                <c:pt idx="142">
                  <c:v>6.917273045509266E-5</c:v>
                </c:pt>
                <c:pt idx="143">
                  <c:v>2.4598359211610378E-4</c:v>
                </c:pt>
                <c:pt idx="144">
                  <c:v>4.7443069504397032E-4</c:v>
                </c:pt>
                <c:pt idx="145">
                  <c:v>2.6601801353837726E-4</c:v>
                </c:pt>
                <c:pt idx="146">
                  <c:v>1.8867030156505925E-5</c:v>
                </c:pt>
                <c:pt idx="147">
                  <c:v>4.515460602326291E-4</c:v>
                </c:pt>
                <c:pt idx="148">
                  <c:v>7.0761908088570595E-4</c:v>
                </c:pt>
                <c:pt idx="149">
                  <c:v>5.3275565078112397E-4</c:v>
                </c:pt>
                <c:pt idx="150">
                  <c:v>7.9925996175966523E-5</c:v>
                </c:pt>
                <c:pt idx="151">
                  <c:v>2.870826861375347E-5</c:v>
                </c:pt>
                <c:pt idx="152">
                  <c:v>1.7913850090558802E-4</c:v>
                </c:pt>
                <c:pt idx="153">
                  <c:v>1.210985113363974E-4</c:v>
                </c:pt>
                <c:pt idx="154">
                  <c:v>4.6661867064259508E-4</c:v>
                </c:pt>
                <c:pt idx="155">
                  <c:v>1.2948519856304208E-4</c:v>
                </c:pt>
                <c:pt idx="156">
                  <c:v>-1.3824506105807198E-4</c:v>
                </c:pt>
                <c:pt idx="157">
                  <c:v>1.3141428831044076E-4</c:v>
                </c:pt>
                <c:pt idx="158">
                  <c:v>1.3656456688289595E-4</c:v>
                </c:pt>
                <c:pt idx="159">
                  <c:v>6.6841069357065019E-5</c:v>
                </c:pt>
                <c:pt idx="160">
                  <c:v>1.1046368965801977E-3</c:v>
                </c:pt>
                <c:pt idx="161">
                  <c:v>7.9908167046135049E-4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7E-4153-8F7F-0DBE523D8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444351"/>
        <c:axId val="1630416976"/>
      </c:lineChart>
      <c:catAx>
        <c:axId val="114344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16976"/>
        <c:crosses val="autoZero"/>
        <c:auto val="1"/>
        <c:lblAlgn val="ctr"/>
        <c:lblOffset val="100"/>
        <c:noMultiLvlLbl val="0"/>
      </c:catAx>
      <c:valAx>
        <c:axId val="16304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4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Healthcare!$J$1</c:f>
              <c:strCache>
                <c:ptCount val="1"/>
                <c:pt idx="0">
                  <c:v> from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Healthcare!$J$2:$J$163</c:f>
              <c:numCache>
                <c:formatCode>0.000%</c:formatCode>
                <c:ptCount val="162"/>
                <c:pt idx="19">
                  <c:v>-9.4566429410229341E-5</c:v>
                </c:pt>
                <c:pt idx="20">
                  <c:v>-1.4857860400872685E-5</c:v>
                </c:pt>
                <c:pt idx="21">
                  <c:v>-1.5551330463310163E-5</c:v>
                </c:pt>
                <c:pt idx="22">
                  <c:v>-3.1830045815734343E-4</c:v>
                </c:pt>
                <c:pt idx="23">
                  <c:v>4.2670726633549095E-4</c:v>
                </c:pt>
                <c:pt idx="24">
                  <c:v>6.5386851833478085E-4</c:v>
                </c:pt>
                <c:pt idx="25">
                  <c:v>6.3509499394845924E-4</c:v>
                </c:pt>
                <c:pt idx="26">
                  <c:v>3.3565395217735654E-4</c:v>
                </c:pt>
                <c:pt idx="27">
                  <c:v>7.801950331235071E-4</c:v>
                </c:pt>
                <c:pt idx="28">
                  <c:v>-3.1164935012340574E-4</c:v>
                </c:pt>
                <c:pt idx="29">
                  <c:v>2.4421671109051097E-4</c:v>
                </c:pt>
                <c:pt idx="30">
                  <c:v>1.7455699750287682E-4</c:v>
                </c:pt>
                <c:pt idx="31">
                  <c:v>-1.3917044735190886E-4</c:v>
                </c:pt>
                <c:pt idx="32">
                  <c:v>-1.2219645731929041E-4</c:v>
                </c:pt>
                <c:pt idx="33">
                  <c:v>-1.1158356613277852E-5</c:v>
                </c:pt>
                <c:pt idx="34">
                  <c:v>9.4894195976296894E-6</c:v>
                </c:pt>
                <c:pt idx="35">
                  <c:v>1.7359964949359514E-4</c:v>
                </c:pt>
                <c:pt idx="36">
                  <c:v>6.0548499753164894E-5</c:v>
                </c:pt>
                <c:pt idx="37">
                  <c:v>-3.3376422658385781E-4</c:v>
                </c:pt>
                <c:pt idx="38">
                  <c:v>1.1767153179266374E-4</c:v>
                </c:pt>
                <c:pt idx="39">
                  <c:v>2.0007913298957471E-4</c:v>
                </c:pt>
                <c:pt idx="40">
                  <c:v>4.2165509380353959E-4</c:v>
                </c:pt>
                <c:pt idx="41">
                  <c:v>5.1205491732929334E-5</c:v>
                </c:pt>
                <c:pt idx="42">
                  <c:v>-3.245845602874873E-4</c:v>
                </c:pt>
                <c:pt idx="43">
                  <c:v>7.9821849713145412E-4</c:v>
                </c:pt>
                <c:pt idx="44">
                  <c:v>7.8677979147433706E-4</c:v>
                </c:pt>
                <c:pt idx="45">
                  <c:v>-7.756512037944405E-5</c:v>
                </c:pt>
                <c:pt idx="46">
                  <c:v>2.9699050928592611E-4</c:v>
                </c:pt>
                <c:pt idx="47">
                  <c:v>4.4510274757927497E-4</c:v>
                </c:pt>
                <c:pt idx="48">
                  <c:v>-2.79311788203193E-4</c:v>
                </c:pt>
                <c:pt idx="49">
                  <c:v>3.8023448553524663E-4</c:v>
                </c:pt>
                <c:pt idx="50">
                  <c:v>2.5787342209445047E-4</c:v>
                </c:pt>
                <c:pt idx="51">
                  <c:v>-7.9408829107101452E-5</c:v>
                </c:pt>
                <c:pt idx="52">
                  <c:v>-3.2610837745767165E-4</c:v>
                </c:pt>
                <c:pt idx="53">
                  <c:v>3.5640369900463709E-4</c:v>
                </c:pt>
                <c:pt idx="54">
                  <c:v>8.9206776936968826E-4</c:v>
                </c:pt>
                <c:pt idx="55">
                  <c:v>1.1293578777674463E-3</c:v>
                </c:pt>
                <c:pt idx="56">
                  <c:v>4.4479512595587339E-4</c:v>
                </c:pt>
                <c:pt idx="57">
                  <c:v>8.4894952934941304E-4</c:v>
                </c:pt>
                <c:pt idx="58">
                  <c:v>6.3079674998947724E-5</c:v>
                </c:pt>
                <c:pt idx="59">
                  <c:v>6.864493182773409E-5</c:v>
                </c:pt>
                <c:pt idx="60">
                  <c:v>4.4224773225458693E-4</c:v>
                </c:pt>
                <c:pt idx="61">
                  <c:v>2.5472190714263945E-4</c:v>
                </c:pt>
                <c:pt idx="62">
                  <c:v>1.9132713285888918E-4</c:v>
                </c:pt>
                <c:pt idx="63">
                  <c:v>5.7257661514982115E-4</c:v>
                </c:pt>
                <c:pt idx="64">
                  <c:v>-2.9637127517319164E-5</c:v>
                </c:pt>
                <c:pt idx="65">
                  <c:v>-5.2070246633162753E-5</c:v>
                </c:pt>
                <c:pt idx="66">
                  <c:v>-1.6779023257105022E-4</c:v>
                </c:pt>
                <c:pt idx="67">
                  <c:v>-1.7353353544911695E-4</c:v>
                </c:pt>
                <c:pt idx="68">
                  <c:v>-5.3776179849145058E-4</c:v>
                </c:pt>
                <c:pt idx="69">
                  <c:v>2.9043571780312441E-4</c:v>
                </c:pt>
                <c:pt idx="70">
                  <c:v>1.9478535198594205E-4</c:v>
                </c:pt>
                <c:pt idx="71">
                  <c:v>-5.4781093594277351E-4</c:v>
                </c:pt>
                <c:pt idx="72">
                  <c:v>1.7643458391574808E-4</c:v>
                </c:pt>
                <c:pt idx="73">
                  <c:v>-1.0090020305726341E-4</c:v>
                </c:pt>
                <c:pt idx="74">
                  <c:v>8.3692454861852378E-5</c:v>
                </c:pt>
                <c:pt idx="75">
                  <c:v>2.3273917822326775E-4</c:v>
                </c:pt>
                <c:pt idx="76">
                  <c:v>5.4617138520515675E-4</c:v>
                </c:pt>
                <c:pt idx="77">
                  <c:v>2.2385555603856021E-4</c:v>
                </c:pt>
                <c:pt idx="78">
                  <c:v>1.5826873997571025E-4</c:v>
                </c:pt>
                <c:pt idx="79">
                  <c:v>-1.1144285418094168E-6</c:v>
                </c:pt>
                <c:pt idx="80">
                  <c:v>3.0872981613920878E-4</c:v>
                </c:pt>
                <c:pt idx="81">
                  <c:v>2.6087123627417322E-4</c:v>
                </c:pt>
                <c:pt idx="82">
                  <c:v>3.4520388896709252E-4</c:v>
                </c:pt>
                <c:pt idx="83">
                  <c:v>1.0697397244437513E-4</c:v>
                </c:pt>
                <c:pt idx="84">
                  <c:v>3.0147530206903775E-4</c:v>
                </c:pt>
                <c:pt idx="85">
                  <c:v>2.7065494328764E-4</c:v>
                </c:pt>
                <c:pt idx="86">
                  <c:v>-1.7642918315482188E-4</c:v>
                </c:pt>
                <c:pt idx="87">
                  <c:v>-1.1862547409569732E-4</c:v>
                </c:pt>
                <c:pt idx="88">
                  <c:v>3.4463268772414916E-4</c:v>
                </c:pt>
                <c:pt idx="89">
                  <c:v>9.9995942063298078E-5</c:v>
                </c:pt>
                <c:pt idx="90">
                  <c:v>5.9718752628611582E-4</c:v>
                </c:pt>
                <c:pt idx="91">
                  <c:v>7.9732889023183425E-4</c:v>
                </c:pt>
                <c:pt idx="92">
                  <c:v>4.7935402378273623E-4</c:v>
                </c:pt>
                <c:pt idx="93">
                  <c:v>4.7822157004174165E-4</c:v>
                </c:pt>
                <c:pt idx="94">
                  <c:v>2.0751473606677359E-4</c:v>
                </c:pt>
                <c:pt idx="95">
                  <c:v>7.1801324418399167E-5</c:v>
                </c:pt>
                <c:pt idx="96">
                  <c:v>1.0941237451219482E-4</c:v>
                </c:pt>
                <c:pt idx="97">
                  <c:v>2.1036452312728965E-5</c:v>
                </c:pt>
                <c:pt idx="98">
                  <c:v>2.2610520214765811E-4</c:v>
                </c:pt>
                <c:pt idx="99">
                  <c:v>4.9308944695834907E-4</c:v>
                </c:pt>
                <c:pt idx="100">
                  <c:v>-6.7635217847164526E-6</c:v>
                </c:pt>
                <c:pt idx="101">
                  <c:v>-1.714745430747795E-4</c:v>
                </c:pt>
                <c:pt idx="102">
                  <c:v>5.970970695180648E-4</c:v>
                </c:pt>
                <c:pt idx="103">
                  <c:v>2.2881572235995332E-4</c:v>
                </c:pt>
                <c:pt idx="104">
                  <c:v>4.6796876999546312E-5</c:v>
                </c:pt>
                <c:pt idx="105">
                  <c:v>2.1196521357892844E-4</c:v>
                </c:pt>
                <c:pt idx="106">
                  <c:v>-1.2525902910556407E-5</c:v>
                </c:pt>
                <c:pt idx="107">
                  <c:v>4.6623299638927357E-4</c:v>
                </c:pt>
                <c:pt idx="108">
                  <c:v>5.288670104556765E-4</c:v>
                </c:pt>
                <c:pt idx="109">
                  <c:v>2.2803349172243736E-4</c:v>
                </c:pt>
                <c:pt idx="110">
                  <c:v>2.463273338500565E-4</c:v>
                </c:pt>
                <c:pt idx="111">
                  <c:v>9.4109664297686971E-5</c:v>
                </c:pt>
                <c:pt idx="112">
                  <c:v>-2.0308353714525135E-4</c:v>
                </c:pt>
                <c:pt idx="113">
                  <c:v>4.9891884299098127E-4</c:v>
                </c:pt>
                <c:pt idx="114">
                  <c:v>-3.7683171779064821E-4</c:v>
                </c:pt>
                <c:pt idx="115">
                  <c:v>-9.3667695046160813E-5</c:v>
                </c:pt>
                <c:pt idx="116">
                  <c:v>-4.2275538304673189E-4</c:v>
                </c:pt>
                <c:pt idx="117">
                  <c:v>-1.2633850886719799E-5</c:v>
                </c:pt>
                <c:pt idx="118">
                  <c:v>-7.8693271788056365E-4</c:v>
                </c:pt>
                <c:pt idx="119">
                  <c:v>-7.4523092264677663E-4</c:v>
                </c:pt>
                <c:pt idx="120">
                  <c:v>-5.9350077682833935E-4</c:v>
                </c:pt>
                <c:pt idx="121">
                  <c:v>-6.831698940931595E-4</c:v>
                </c:pt>
                <c:pt idx="122">
                  <c:v>-4.6092453766618618E-4</c:v>
                </c:pt>
                <c:pt idx="123">
                  <c:v>-7.0762002671904219E-4</c:v>
                </c:pt>
                <c:pt idx="124">
                  <c:v>-4.9252964798016628E-4</c:v>
                </c:pt>
                <c:pt idx="125">
                  <c:v>-4.2846084831239048E-5</c:v>
                </c:pt>
                <c:pt idx="126">
                  <c:v>-5.143215276762705E-4</c:v>
                </c:pt>
                <c:pt idx="127">
                  <c:v>-1.8845840975053576E-4</c:v>
                </c:pt>
                <c:pt idx="128">
                  <c:v>-6.1531576482034558E-5</c:v>
                </c:pt>
                <c:pt idx="129">
                  <c:v>-7.8756411842680635E-5</c:v>
                </c:pt>
                <c:pt idx="130">
                  <c:v>3.5762326047825275E-5</c:v>
                </c:pt>
                <c:pt idx="131">
                  <c:v>8.5519590275070026E-5</c:v>
                </c:pt>
                <c:pt idx="132">
                  <c:v>-5.0349679653716921E-4</c:v>
                </c:pt>
                <c:pt idx="133">
                  <c:v>3.2859403045776091E-4</c:v>
                </c:pt>
                <c:pt idx="134">
                  <c:v>4.7283270865815279E-4</c:v>
                </c:pt>
                <c:pt idx="135">
                  <c:v>6.1758977873478617E-4</c:v>
                </c:pt>
                <c:pt idx="136">
                  <c:v>2.4714572779830154E-4</c:v>
                </c:pt>
                <c:pt idx="137">
                  <c:v>4.7956485299143609E-4</c:v>
                </c:pt>
                <c:pt idx="138">
                  <c:v>3.5134939442778485E-4</c:v>
                </c:pt>
                <c:pt idx="139">
                  <c:v>1.3661972911973699E-4</c:v>
                </c:pt>
                <c:pt idx="140">
                  <c:v>1.9581309273463719E-4</c:v>
                </c:pt>
                <c:pt idx="141">
                  <c:v>6.901373844453542E-4</c:v>
                </c:pt>
                <c:pt idx="142">
                  <c:v>5.7129872949488001E-4</c:v>
                </c:pt>
                <c:pt idx="143">
                  <c:v>7.3177867945646742E-4</c:v>
                </c:pt>
                <c:pt idx="144">
                  <c:v>-3.5070047763676913E-4</c:v>
                </c:pt>
                <c:pt idx="145">
                  <c:v>2.0692824218926514E-4</c:v>
                </c:pt>
                <c:pt idx="146">
                  <c:v>3.9144673494258161E-4</c:v>
                </c:pt>
                <c:pt idx="147">
                  <c:v>-3.3447349588345963E-4</c:v>
                </c:pt>
                <c:pt idx="148">
                  <c:v>-3.7805641679914331E-4</c:v>
                </c:pt>
                <c:pt idx="149">
                  <c:v>-3.1529539743038521E-5</c:v>
                </c:pt>
                <c:pt idx="150">
                  <c:v>4.3545666273907946E-4</c:v>
                </c:pt>
                <c:pt idx="151">
                  <c:v>6.6403050438856075E-5</c:v>
                </c:pt>
                <c:pt idx="152">
                  <c:v>3.5855576621474691E-4</c:v>
                </c:pt>
                <c:pt idx="153">
                  <c:v>-1.4382163381797632E-4</c:v>
                </c:pt>
                <c:pt idx="154">
                  <c:v>-1.0264639928613919E-4</c:v>
                </c:pt>
                <c:pt idx="155">
                  <c:v>4.143394997244631E-4</c:v>
                </c:pt>
                <c:pt idx="156">
                  <c:v>-5.8160423358438957E-4</c:v>
                </c:pt>
                <c:pt idx="157">
                  <c:v>2.4461330178712629E-4</c:v>
                </c:pt>
                <c:pt idx="158">
                  <c:v>-3.7153143772628071E-4</c:v>
                </c:pt>
                <c:pt idx="159">
                  <c:v>-5.4572526410234367E-4</c:v>
                </c:pt>
                <c:pt idx="160">
                  <c:v>-4.7713670985435978E-4</c:v>
                </c:pt>
                <c:pt idx="161">
                  <c:v>-3.4979713163626574E-4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6-445B-AA35-BA943E08AF5D}"/>
            </c:ext>
          </c:extLst>
        </c:ser>
        <c:ser>
          <c:idx val="1"/>
          <c:order val="1"/>
          <c:tx>
            <c:strRef>
              <c:f>Healthcare!$K$1</c:f>
              <c:strCache>
                <c:ptCount val="1"/>
                <c:pt idx="0">
                  <c:v> from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Healthcare!$K$2:$K$163</c:f>
              <c:numCache>
                <c:formatCode>0.000%</c:formatCode>
                <c:ptCount val="162"/>
                <c:pt idx="19">
                  <c:v>-1.0744949776009495E-3</c:v>
                </c:pt>
                <c:pt idx="20">
                  <c:v>-1.0263685676458552E-3</c:v>
                </c:pt>
                <c:pt idx="21">
                  <c:v>-1.0398688600271764E-3</c:v>
                </c:pt>
                <c:pt idx="22">
                  <c:v>-1.4116313900404214E-3</c:v>
                </c:pt>
                <c:pt idx="23">
                  <c:v>-6.5528135755891094E-4</c:v>
                </c:pt>
                <c:pt idx="24">
                  <c:v>-4.2952666099743502E-4</c:v>
                </c:pt>
                <c:pt idx="25">
                  <c:v>-4.1657000876587394E-4</c:v>
                </c:pt>
                <c:pt idx="26">
                  <c:v>-7.0060671461720546E-4</c:v>
                </c:pt>
                <c:pt idx="27">
                  <c:v>-2.3023152080013339E-4</c:v>
                </c:pt>
                <c:pt idx="28">
                  <c:v>-1.3002162468529423E-3</c:v>
                </c:pt>
                <c:pt idx="29">
                  <c:v>-7.0766289426104571E-4</c:v>
                </c:pt>
                <c:pt idx="30">
                  <c:v>-7.6376688303947762E-4</c:v>
                </c:pt>
                <c:pt idx="31">
                  <c:v>-1.0517483583162371E-3</c:v>
                </c:pt>
                <c:pt idx="32">
                  <c:v>-1.0260919818454199E-3</c:v>
                </c:pt>
                <c:pt idx="33">
                  <c:v>-8.8826073601160234E-4</c:v>
                </c:pt>
                <c:pt idx="34">
                  <c:v>-8.5928572060498735E-4</c:v>
                </c:pt>
                <c:pt idx="35">
                  <c:v>-6.7487096230171818E-4</c:v>
                </c:pt>
                <c:pt idx="36">
                  <c:v>-7.6901036192634261E-4</c:v>
                </c:pt>
                <c:pt idx="37">
                  <c:v>-1.1847359241750728E-3</c:v>
                </c:pt>
                <c:pt idx="38">
                  <c:v>-7.2935021729110322E-4</c:v>
                </c:pt>
                <c:pt idx="39">
                  <c:v>-6.2443953558013435E-4</c:v>
                </c:pt>
                <c:pt idx="40">
                  <c:v>-3.7005131804932086E-4</c:v>
                </c:pt>
                <c:pt idx="41">
                  <c:v>-7.2474307928603056E-4</c:v>
                </c:pt>
                <c:pt idx="42">
                  <c:v>-1.0841512611910779E-3</c:v>
                </c:pt>
                <c:pt idx="43">
                  <c:v>7.5157250570430994E-5</c:v>
                </c:pt>
                <c:pt idx="44">
                  <c:v>8.966406295810016E-5</c:v>
                </c:pt>
                <c:pt idx="45">
                  <c:v>-7.9352677451866797E-4</c:v>
                </c:pt>
                <c:pt idx="46">
                  <c:v>-4.0415065663734019E-4</c:v>
                </c:pt>
                <c:pt idx="47">
                  <c:v>-2.573960214427939E-4</c:v>
                </c:pt>
                <c:pt idx="48">
                  <c:v>-9.6504462558922742E-4</c:v>
                </c:pt>
                <c:pt idx="49">
                  <c:v>-2.8433578804226944E-4</c:v>
                </c:pt>
                <c:pt idx="50">
                  <c:v>-3.8790526123603727E-4</c:v>
                </c:pt>
                <c:pt idx="51">
                  <c:v>-7.0799570808183156E-4</c:v>
                </c:pt>
                <c:pt idx="52">
                  <c:v>-9.5093610262963655E-4</c:v>
                </c:pt>
                <c:pt idx="53">
                  <c:v>-2.3580263709628373E-4</c:v>
                </c:pt>
                <c:pt idx="54">
                  <c:v>3.6084911768253798E-4</c:v>
                </c:pt>
                <c:pt idx="55">
                  <c:v>6.6510501766744122E-4</c:v>
                </c:pt>
                <c:pt idx="56">
                  <c:v>1.9989497713933128E-5</c:v>
                </c:pt>
                <c:pt idx="57">
                  <c:v>5.088178300239266E-4</c:v>
                </c:pt>
                <c:pt idx="58">
                  <c:v>-2.5324276946679739E-4</c:v>
                </c:pt>
                <c:pt idx="59">
                  <c:v>-2.2784543290084726E-4</c:v>
                </c:pt>
                <c:pt idx="60">
                  <c:v>1.7289992605127143E-4</c:v>
                </c:pt>
                <c:pt idx="61">
                  <c:v>2.2752637918117383E-5</c:v>
                </c:pt>
                <c:pt idx="62">
                  <c:v>1.4298505625619908E-5</c:v>
                </c:pt>
                <c:pt idx="63">
                  <c:v>4.1240334021365552E-4</c:v>
                </c:pt>
                <c:pt idx="64">
                  <c:v>-2.0451788028457259E-4</c:v>
                </c:pt>
                <c:pt idx="65">
                  <c:v>-1.9712069271061907E-4</c:v>
                </c:pt>
                <c:pt idx="66">
                  <c:v>-3.0803381044346709E-4</c:v>
                </c:pt>
                <c:pt idx="67">
                  <c:v>-3.1674499324096001E-4</c:v>
                </c:pt>
                <c:pt idx="68">
                  <c:v>-6.6601142883396128E-4</c:v>
                </c:pt>
                <c:pt idx="69">
                  <c:v>1.8568557731869642E-4</c:v>
                </c:pt>
                <c:pt idx="70">
                  <c:v>1.1519114348979187E-4</c:v>
                </c:pt>
                <c:pt idx="71">
                  <c:v>-6.2316090916440261E-4</c:v>
                </c:pt>
                <c:pt idx="72">
                  <c:v>1.5647450339819859E-4</c:v>
                </c:pt>
                <c:pt idx="73">
                  <c:v>-1.1480967742016993E-4</c:v>
                </c:pt>
                <c:pt idx="74">
                  <c:v>5.4467405976810158E-5</c:v>
                </c:pt>
                <c:pt idx="75">
                  <c:v>1.7923172269661346E-4</c:v>
                </c:pt>
                <c:pt idx="76">
                  <c:v>5.1753341940760493E-4</c:v>
                </c:pt>
                <c:pt idx="77">
                  <c:v>1.7871892649550165E-4</c:v>
                </c:pt>
                <c:pt idx="78">
                  <c:v>1.3241550477488651E-4</c:v>
                </c:pt>
                <c:pt idx="79">
                  <c:v>-1.6394019309445437E-5</c:v>
                </c:pt>
                <c:pt idx="80">
                  <c:v>2.9979331884854427E-4</c:v>
                </c:pt>
                <c:pt idx="81">
                  <c:v>2.6399509768032666E-4</c:v>
                </c:pt>
                <c:pt idx="82">
                  <c:v>3.6590493982815845E-4</c:v>
                </c:pt>
                <c:pt idx="83">
                  <c:v>1.1269325497989926E-4</c:v>
                </c:pt>
                <c:pt idx="84">
                  <c:v>3.3412552668553856E-4</c:v>
                </c:pt>
                <c:pt idx="85">
                  <c:v>3.296428046775801E-4</c:v>
                </c:pt>
                <c:pt idx="86">
                  <c:v>-1.0740726851503384E-4</c:v>
                </c:pt>
                <c:pt idx="87">
                  <c:v>-3.5539750900840551E-5</c:v>
                </c:pt>
                <c:pt idx="88">
                  <c:v>4.8529539818677382E-4</c:v>
                </c:pt>
                <c:pt idx="89">
                  <c:v>2.4355175144829565E-4</c:v>
                </c:pt>
                <c:pt idx="90">
                  <c:v>7.736572806908142E-4</c:v>
                </c:pt>
                <c:pt idx="91">
                  <c:v>1.0578492596833178E-3</c:v>
                </c:pt>
                <c:pt idx="92">
                  <c:v>7.7057358650098947E-4</c:v>
                </c:pt>
                <c:pt idx="93">
                  <c:v>8.1597888257058983E-4</c:v>
                </c:pt>
                <c:pt idx="94">
                  <c:v>5.7110490243084361E-4</c:v>
                </c:pt>
                <c:pt idx="95">
                  <c:v>4.4887438259459325E-4</c:v>
                </c:pt>
                <c:pt idx="96">
                  <c:v>4.848515430134652E-4</c:v>
                </c:pt>
                <c:pt idx="97">
                  <c:v>4.079375592716851E-4</c:v>
                </c:pt>
                <c:pt idx="98">
                  <c:v>6.3830094007414349E-4</c:v>
                </c:pt>
                <c:pt idx="99">
                  <c:v>9.5379297195176752E-4</c:v>
                </c:pt>
                <c:pt idx="100">
                  <c:v>4.6205370260436485E-4</c:v>
                </c:pt>
                <c:pt idx="101">
                  <c:v>2.9909816493736122E-4</c:v>
                </c:pt>
                <c:pt idx="102">
                  <c:v>1.1045951986079078E-3</c:v>
                </c:pt>
                <c:pt idx="103">
                  <c:v>7.6913885628748986E-4</c:v>
                </c:pt>
                <c:pt idx="104">
                  <c:v>6.0043662729311836E-4</c:v>
                </c:pt>
                <c:pt idx="105">
                  <c:v>7.8855048618561786E-4</c:v>
                </c:pt>
                <c:pt idx="106">
                  <c:v>5.9941267771353136E-4</c:v>
                </c:pt>
                <c:pt idx="107">
                  <c:v>1.1367935580487785E-3</c:v>
                </c:pt>
                <c:pt idx="108">
                  <c:v>1.2370066804294907E-3</c:v>
                </c:pt>
                <c:pt idx="109">
                  <c:v>9.7263145985314412E-4</c:v>
                </c:pt>
                <c:pt idx="110">
                  <c:v>1.0023588037325162E-3</c:v>
                </c:pt>
                <c:pt idx="111">
                  <c:v>8.3921140534559463E-4</c:v>
                </c:pt>
                <c:pt idx="112">
                  <c:v>5.2998784866330163E-4</c:v>
                </c:pt>
                <c:pt idx="113">
                  <c:v>1.2538788591878588E-3</c:v>
                </c:pt>
                <c:pt idx="114">
                  <c:v>3.6796863733881772E-4</c:v>
                </c:pt>
                <c:pt idx="115">
                  <c:v>6.6178001562432903E-4</c:v>
                </c:pt>
                <c:pt idx="116">
                  <c:v>3.2468102486468947E-4</c:v>
                </c:pt>
                <c:pt idx="117">
                  <c:v>7.5200916672033501E-4</c:v>
                </c:pt>
                <c:pt idx="118">
                  <c:v>-5.7074345600070639E-5</c:v>
                </c:pt>
                <c:pt idx="119">
                  <c:v>-6.6395261487476505E-5</c:v>
                </c:pt>
                <c:pt idx="120">
                  <c:v>6.5499120431497136E-5</c:v>
                </c:pt>
                <c:pt idx="121">
                  <c:v>-4.1193453883555472E-5</c:v>
                </c:pt>
                <c:pt idx="122">
                  <c:v>1.3244440197823554E-4</c:v>
                </c:pt>
                <c:pt idx="123">
                  <c:v>-1.6075831300243009E-4</c:v>
                </c:pt>
                <c:pt idx="124">
                  <c:v>2.5583078860499557E-5</c:v>
                </c:pt>
                <c:pt idx="125">
                  <c:v>4.5877999352015409E-4</c:v>
                </c:pt>
                <c:pt idx="126">
                  <c:v>-4.4918730661982983E-5</c:v>
                </c:pt>
                <c:pt idx="127">
                  <c:v>2.3591104536394421E-4</c:v>
                </c:pt>
                <c:pt idx="128">
                  <c:v>3.1684717702464661E-4</c:v>
                </c:pt>
                <c:pt idx="129">
                  <c:v>2.6421041733358199E-4</c:v>
                </c:pt>
                <c:pt idx="130">
                  <c:v>3.4591854805161761E-4</c:v>
                </c:pt>
                <c:pt idx="131">
                  <c:v>3.7233938304461037E-4</c:v>
                </c:pt>
                <c:pt idx="132">
                  <c:v>-2.5598053978615886E-4</c:v>
                </c:pt>
                <c:pt idx="133">
                  <c:v>5.4046331054875244E-4</c:v>
                </c:pt>
                <c:pt idx="134">
                  <c:v>7.013666480694033E-4</c:v>
                </c:pt>
                <c:pt idx="135">
                  <c:v>8.5582065378672872E-4</c:v>
                </c:pt>
                <c:pt idx="136">
                  <c:v>4.9383278002792261E-4</c:v>
                </c:pt>
                <c:pt idx="137">
                  <c:v>7.2489696240207453E-4</c:v>
                </c:pt>
                <c:pt idx="138">
                  <c:v>6.3108882082880545E-4</c:v>
                </c:pt>
                <c:pt idx="139">
                  <c:v>4.4177008496192402E-4</c:v>
                </c:pt>
                <c:pt idx="140">
                  <c:v>5.2388315276656768E-4</c:v>
                </c:pt>
                <c:pt idx="141">
                  <c:v>1.0739559739080422E-3</c:v>
                </c:pt>
                <c:pt idx="142">
                  <c:v>9.9840860492842842E-4</c:v>
                </c:pt>
                <c:pt idx="143">
                  <c:v>1.2283383985788494E-3</c:v>
                </c:pt>
                <c:pt idx="144">
                  <c:v>1.5219230408292973E-4</c:v>
                </c:pt>
                <c:pt idx="145">
                  <c:v>7.2303257758414227E-4</c:v>
                </c:pt>
                <c:pt idx="146">
                  <c:v>9.5768553641504672E-4</c:v>
                </c:pt>
                <c:pt idx="147">
                  <c:v>2.3154703239850385E-4</c:v>
                </c:pt>
                <c:pt idx="148">
                  <c:v>1.8117855253472015E-4</c:v>
                </c:pt>
                <c:pt idx="149">
                  <c:v>5.4157597192071891E-4</c:v>
                </c:pt>
                <c:pt idx="150">
                  <c:v>1.0434343327465222E-3</c:v>
                </c:pt>
                <c:pt idx="151">
                  <c:v>6.9027904903424674E-4</c:v>
                </c:pt>
                <c:pt idx="152">
                  <c:v>1.0476292504618407E-3</c:v>
                </c:pt>
                <c:pt idx="153">
                  <c:v>5.455039176373883E-4</c:v>
                </c:pt>
                <c:pt idx="154">
                  <c:v>5.8064268031530997E-4</c:v>
                </c:pt>
                <c:pt idx="155">
                  <c:v>1.1103513818956918E-3</c:v>
                </c:pt>
                <c:pt idx="156">
                  <c:v>9.4429665033236556E-5</c:v>
                </c:pt>
                <c:pt idx="157">
                  <c:v>9.3094825329907097E-4</c:v>
                </c:pt>
                <c:pt idx="158">
                  <c:v>2.9815317900171553E-4</c:v>
                </c:pt>
                <c:pt idx="159">
                  <c:v>1.0722565960683076E-4</c:v>
                </c:pt>
                <c:pt idx="160">
                  <c:v>1.5748895002874977E-4</c:v>
                </c:pt>
                <c:pt idx="161">
                  <c:v>2.4329746063847174E-4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C6-445B-AA35-BA943E08A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007759"/>
        <c:axId val="1630465456"/>
      </c:lineChart>
      <c:catAx>
        <c:axId val="116800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65456"/>
        <c:crosses val="autoZero"/>
        <c:auto val="1"/>
        <c:lblAlgn val="ctr"/>
        <c:lblOffset val="100"/>
        <c:noMultiLvlLbl val="0"/>
      </c:catAx>
      <c:valAx>
        <c:axId val="16304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0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259080</xdr:colOff>
      <xdr:row>0</xdr:row>
      <xdr:rowOff>57150</xdr:rowOff>
    </xdr:from>
    <xdr:to>
      <xdr:col>23</xdr:col>
      <xdr:colOff>563880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D304DE-768C-29B2-909E-F8822B3F2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335280</xdr:colOff>
      <xdr:row>139</xdr:row>
      <xdr:rowOff>148590</xdr:rowOff>
    </xdr:from>
    <xdr:to>
      <xdr:col>23</xdr:col>
      <xdr:colOff>30480</xdr:colOff>
      <xdr:row>154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B6B5E4-4169-56D0-CEB9-D37743F2D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525780</xdr:colOff>
      <xdr:row>13</xdr:row>
      <xdr:rowOff>49530</xdr:rowOff>
    </xdr:from>
    <xdr:to>
      <xdr:col>19</xdr:col>
      <xdr:colOff>220980</xdr:colOff>
      <xdr:row>28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DC73F5-60E1-EB4F-32FF-6F8EAC5F4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487680</xdr:colOff>
      <xdr:row>8</xdr:row>
      <xdr:rowOff>148590</xdr:rowOff>
    </xdr:from>
    <xdr:to>
      <xdr:col>19</xdr:col>
      <xdr:colOff>182880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1D3C4-3DF3-18F5-179B-66802024A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8</xdr:row>
      <xdr:rowOff>148590</xdr:rowOff>
    </xdr:from>
    <xdr:to>
      <xdr:col>18</xdr:col>
      <xdr:colOff>419100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6DD437-F387-208D-D840-B6D707AD7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129540</xdr:colOff>
      <xdr:row>6</xdr:row>
      <xdr:rowOff>171450</xdr:rowOff>
    </xdr:from>
    <xdr:to>
      <xdr:col>19</xdr:col>
      <xdr:colOff>434340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9F766-50B0-707E-424B-A44705496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586740</xdr:colOff>
      <xdr:row>8</xdr:row>
      <xdr:rowOff>148590</xdr:rowOff>
    </xdr:from>
    <xdr:to>
      <xdr:col>19</xdr:col>
      <xdr:colOff>281940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B0014B-6C49-5BD8-0E50-5C6CFDDD6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213360</xdr:colOff>
      <xdr:row>8</xdr:row>
      <xdr:rowOff>140970</xdr:rowOff>
    </xdr:from>
    <xdr:to>
      <xdr:col>19</xdr:col>
      <xdr:colOff>518160</xdr:colOff>
      <xdr:row>23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98924-4F69-4CAE-07BB-35779BD8B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633A-25DB-4448-A4F5-214A8C09639A}">
  <dimension ref="A1:C163"/>
  <sheetViews>
    <sheetView workbookViewId="0">
      <selection activeCell="G10" sqref="G10"/>
    </sheetView>
  </sheetViews>
  <sheetFormatPr defaultRowHeight="14.4" x14ac:dyDescent="0.3"/>
  <cols>
    <col min="1" max="1" width="10.33203125" style="1" bestFit="1" customWidth="1"/>
    <col min="2" max="3" width="8.88671875" style="4"/>
  </cols>
  <sheetData>
    <row r="1" spans="1:3" s="3" customFormat="1" x14ac:dyDescent="0.3">
      <c r="A1" s="2" t="s">
        <v>0</v>
      </c>
      <c r="B1" s="5" t="s">
        <v>3</v>
      </c>
      <c r="C1" s="5" t="s">
        <v>10</v>
      </c>
    </row>
    <row r="2" spans="1:3" x14ac:dyDescent="0.3">
      <c r="A2" s="1">
        <v>46024</v>
      </c>
      <c r="B2" s="4">
        <v>84.17</v>
      </c>
      <c r="C2" s="4">
        <v>133.96</v>
      </c>
    </row>
    <row r="3" spans="1:3" x14ac:dyDescent="0.3">
      <c r="A3" s="1">
        <v>46027</v>
      </c>
      <c r="B3" s="4">
        <v>85.37</v>
      </c>
      <c r="C3" s="4">
        <v>136.99</v>
      </c>
    </row>
    <row r="4" spans="1:3" x14ac:dyDescent="0.3">
      <c r="A4" s="1">
        <v>46028</v>
      </c>
      <c r="B4" s="4">
        <v>86.63</v>
      </c>
      <c r="C4" s="4">
        <v>137.66999999999999</v>
      </c>
    </row>
    <row r="5" spans="1:3" x14ac:dyDescent="0.3">
      <c r="A5" s="1">
        <v>46029</v>
      </c>
      <c r="B5" s="4">
        <v>85.13</v>
      </c>
      <c r="C5" s="4">
        <v>135.72999999999999</v>
      </c>
    </row>
    <row r="6" spans="1:3" x14ac:dyDescent="0.3">
      <c r="A6" s="1">
        <v>46030</v>
      </c>
      <c r="B6" s="4">
        <v>85.82</v>
      </c>
      <c r="C6" s="4">
        <v>136.63</v>
      </c>
    </row>
    <row r="7" spans="1:3" x14ac:dyDescent="0.3">
      <c r="A7" s="1">
        <v>46031</v>
      </c>
      <c r="B7" s="4">
        <v>86.98</v>
      </c>
      <c r="C7" s="4">
        <v>136.16</v>
      </c>
    </row>
    <row r="8" spans="1:3" x14ac:dyDescent="0.3">
      <c r="A8" s="1">
        <v>46034</v>
      </c>
      <c r="B8" s="4">
        <v>87.7</v>
      </c>
      <c r="C8" s="4">
        <v>135</v>
      </c>
    </row>
    <row r="9" spans="1:3" x14ac:dyDescent="0.3">
      <c r="A9" s="1">
        <v>46035</v>
      </c>
      <c r="B9" s="4">
        <v>88.06</v>
      </c>
      <c r="C9" s="4">
        <v>132.57</v>
      </c>
    </row>
    <row r="10" spans="1:3" x14ac:dyDescent="0.3">
      <c r="A10" s="1">
        <v>46036</v>
      </c>
      <c r="B10" s="4">
        <v>88.35</v>
      </c>
      <c r="C10" s="4">
        <v>132.54</v>
      </c>
    </row>
    <row r="11" spans="1:3" x14ac:dyDescent="0.3">
      <c r="A11" s="1">
        <v>46037</v>
      </c>
      <c r="B11" s="4">
        <v>89.26</v>
      </c>
      <c r="C11" s="4">
        <v>133.27000000000001</v>
      </c>
    </row>
    <row r="12" spans="1:3" x14ac:dyDescent="0.3">
      <c r="A12" s="1">
        <v>46038</v>
      </c>
      <c r="B12" s="4">
        <v>89.9</v>
      </c>
      <c r="C12" s="4">
        <v>133.38</v>
      </c>
    </row>
    <row r="13" spans="1:3" x14ac:dyDescent="0.3">
      <c r="A13" s="1">
        <v>46042</v>
      </c>
      <c r="B13" s="4">
        <v>88.15</v>
      </c>
      <c r="C13" s="4">
        <v>130.43</v>
      </c>
    </row>
    <row r="14" spans="1:3" x14ac:dyDescent="0.3">
      <c r="A14" s="1">
        <v>46043</v>
      </c>
      <c r="B14" s="4">
        <v>89.56</v>
      </c>
      <c r="C14" s="4">
        <v>131.38999999999999</v>
      </c>
    </row>
    <row r="15" spans="1:3" x14ac:dyDescent="0.3">
      <c r="A15" s="1">
        <v>46044</v>
      </c>
      <c r="B15" s="4">
        <v>89.35</v>
      </c>
      <c r="C15" s="4">
        <v>132.18</v>
      </c>
    </row>
    <row r="16" spans="1:3" x14ac:dyDescent="0.3">
      <c r="A16" s="1">
        <v>46045</v>
      </c>
      <c r="B16" s="4">
        <v>88.54</v>
      </c>
      <c r="C16" s="4">
        <v>130.21</v>
      </c>
    </row>
    <row r="17" spans="1:3" x14ac:dyDescent="0.3">
      <c r="A17" s="1">
        <v>46048</v>
      </c>
      <c r="B17" s="4">
        <v>88.59</v>
      </c>
      <c r="C17" s="4">
        <v>131</v>
      </c>
    </row>
    <row r="18" spans="1:3" x14ac:dyDescent="0.3">
      <c r="A18" s="1">
        <v>46049</v>
      </c>
      <c r="B18" s="4">
        <v>88.91</v>
      </c>
      <c r="C18" s="4">
        <v>130.13</v>
      </c>
    </row>
    <row r="19" spans="1:3" x14ac:dyDescent="0.3">
      <c r="A19" s="1">
        <v>46050</v>
      </c>
      <c r="B19" s="4">
        <v>88.53</v>
      </c>
      <c r="C19" s="4">
        <v>130</v>
      </c>
    </row>
    <row r="20" spans="1:3" x14ac:dyDescent="0.3">
      <c r="A20" s="1">
        <v>46051</v>
      </c>
      <c r="B20" s="4">
        <v>89.2</v>
      </c>
      <c r="C20" s="4">
        <v>131.31</v>
      </c>
    </row>
    <row r="21" spans="1:3" x14ac:dyDescent="0.3">
      <c r="A21" s="1">
        <v>46052</v>
      </c>
      <c r="B21" s="4">
        <v>88.85</v>
      </c>
      <c r="C21" s="4">
        <v>130.88999999999999</v>
      </c>
    </row>
    <row r="22" spans="1:3" x14ac:dyDescent="0.3">
      <c r="A22" s="1">
        <v>46055</v>
      </c>
      <c r="B22" s="4">
        <v>89.81</v>
      </c>
      <c r="C22" s="4">
        <v>132.30000000000001</v>
      </c>
    </row>
    <row r="23" spans="1:3" x14ac:dyDescent="0.3">
      <c r="A23" s="1">
        <v>46056</v>
      </c>
      <c r="B23" s="4">
        <v>90.71</v>
      </c>
      <c r="C23" s="4">
        <v>131.16999999999999</v>
      </c>
    </row>
    <row r="24" spans="1:3" x14ac:dyDescent="0.3">
      <c r="A24" s="1">
        <v>46057</v>
      </c>
      <c r="B24" s="4">
        <v>90.7</v>
      </c>
      <c r="C24" s="4">
        <v>132.26</v>
      </c>
    </row>
    <row r="25" spans="1:3" x14ac:dyDescent="0.3">
      <c r="A25" s="1">
        <v>46058</v>
      </c>
      <c r="B25" s="4">
        <v>90.04</v>
      </c>
      <c r="C25" s="4">
        <v>130.59</v>
      </c>
    </row>
    <row r="26" spans="1:3" x14ac:dyDescent="0.3">
      <c r="A26" s="1">
        <v>46059</v>
      </c>
      <c r="B26" s="4">
        <v>92.86</v>
      </c>
      <c r="C26" s="4">
        <v>133.03</v>
      </c>
    </row>
    <row r="27" spans="1:3" x14ac:dyDescent="0.3">
      <c r="A27" s="1">
        <v>46062</v>
      </c>
      <c r="B27" s="4">
        <v>93.32</v>
      </c>
      <c r="C27" s="4">
        <v>132.38999999999999</v>
      </c>
    </row>
    <row r="28" spans="1:3" x14ac:dyDescent="0.3">
      <c r="A28" s="1">
        <v>46063</v>
      </c>
      <c r="B28" s="4">
        <v>93.26</v>
      </c>
      <c r="C28" s="4">
        <v>131.41999999999999</v>
      </c>
    </row>
    <row r="29" spans="1:3" x14ac:dyDescent="0.3">
      <c r="A29" s="1">
        <v>46064</v>
      </c>
      <c r="B29" s="4">
        <v>93.76</v>
      </c>
      <c r="C29" s="4">
        <v>129.38</v>
      </c>
    </row>
    <row r="30" spans="1:3" x14ac:dyDescent="0.3">
      <c r="A30" s="1">
        <v>46065</v>
      </c>
      <c r="B30" s="4">
        <v>92.52</v>
      </c>
      <c r="C30" s="4">
        <v>126.87</v>
      </c>
    </row>
    <row r="31" spans="1:3" x14ac:dyDescent="0.3">
      <c r="A31" s="1">
        <v>46066</v>
      </c>
      <c r="B31" s="4">
        <v>93.38</v>
      </c>
      <c r="C31" s="4">
        <v>126.81</v>
      </c>
    </row>
    <row r="32" spans="1:3" x14ac:dyDescent="0.3">
      <c r="A32" s="1">
        <v>46070</v>
      </c>
      <c r="B32" s="4">
        <v>93.89</v>
      </c>
      <c r="C32" s="4">
        <v>127.99</v>
      </c>
    </row>
    <row r="33" spans="1:3" x14ac:dyDescent="0.3">
      <c r="A33" s="1">
        <v>46071</v>
      </c>
      <c r="B33" s="4">
        <v>93.88</v>
      </c>
      <c r="C33" s="4">
        <v>128.91999999999999</v>
      </c>
    </row>
    <row r="34" spans="1:3" x14ac:dyDescent="0.3">
      <c r="A34" s="1">
        <v>46072</v>
      </c>
      <c r="B34" s="4">
        <v>94.69</v>
      </c>
      <c r="C34" s="4">
        <v>127.88</v>
      </c>
    </row>
    <row r="35" spans="1:3" x14ac:dyDescent="0.3">
      <c r="A35" s="1">
        <v>46073</v>
      </c>
      <c r="B35" s="4">
        <v>94.96</v>
      </c>
      <c r="C35" s="4">
        <v>128.59</v>
      </c>
    </row>
    <row r="36" spans="1:3" x14ac:dyDescent="0.3">
      <c r="A36" s="1">
        <v>46076</v>
      </c>
      <c r="B36" s="4">
        <v>93.69</v>
      </c>
      <c r="C36" s="4">
        <v>124.18</v>
      </c>
    </row>
    <row r="37" spans="1:3" x14ac:dyDescent="0.3">
      <c r="A37" s="1">
        <v>46077</v>
      </c>
      <c r="B37" s="4">
        <v>94.75</v>
      </c>
      <c r="C37" s="4">
        <v>124.82</v>
      </c>
    </row>
    <row r="38" spans="1:3" x14ac:dyDescent="0.3">
      <c r="A38" s="1">
        <v>46078</v>
      </c>
      <c r="B38" s="4">
        <v>94.24</v>
      </c>
      <c r="C38" s="4">
        <v>126.89</v>
      </c>
    </row>
    <row r="39" spans="1:3" x14ac:dyDescent="0.3">
      <c r="A39" s="1">
        <v>46079</v>
      </c>
      <c r="B39" s="4">
        <v>94.81</v>
      </c>
      <c r="C39" s="4">
        <v>128.49</v>
      </c>
    </row>
    <row r="40" spans="1:3" x14ac:dyDescent="0.3">
      <c r="A40" s="1">
        <v>46080</v>
      </c>
      <c r="B40" s="4">
        <v>94.63</v>
      </c>
      <c r="C40" s="4">
        <v>125.56</v>
      </c>
    </row>
    <row r="41" spans="1:3" x14ac:dyDescent="0.3">
      <c r="A41" s="1">
        <v>46083</v>
      </c>
      <c r="B41" s="4">
        <v>95.61</v>
      </c>
      <c r="C41" s="4">
        <v>125.67</v>
      </c>
    </row>
    <row r="42" spans="1:3" x14ac:dyDescent="0.3">
      <c r="A42" s="1">
        <v>46084</v>
      </c>
      <c r="B42" s="4">
        <v>93.78</v>
      </c>
      <c r="C42" s="4">
        <v>125.42</v>
      </c>
    </row>
    <row r="43" spans="1:3" x14ac:dyDescent="0.3">
      <c r="A43" s="1">
        <v>46085</v>
      </c>
      <c r="B43" s="4">
        <v>94.09</v>
      </c>
      <c r="C43" s="4">
        <v>126.04</v>
      </c>
    </row>
    <row r="44" spans="1:3" x14ac:dyDescent="0.3">
      <c r="A44" s="1">
        <v>46086</v>
      </c>
      <c r="B44" s="4">
        <v>92.05</v>
      </c>
      <c r="C44" s="4">
        <v>125.2</v>
      </c>
    </row>
    <row r="45" spans="1:3" x14ac:dyDescent="0.3">
      <c r="A45" s="1">
        <v>46087</v>
      </c>
      <c r="B45" s="4">
        <v>90.45</v>
      </c>
      <c r="C45" s="4">
        <v>123.43</v>
      </c>
    </row>
    <row r="46" spans="1:3" x14ac:dyDescent="0.3">
      <c r="A46" s="1">
        <v>46090</v>
      </c>
      <c r="B46" s="4">
        <v>91.28</v>
      </c>
      <c r="C46" s="4">
        <v>122.83</v>
      </c>
    </row>
    <row r="47" spans="1:3" x14ac:dyDescent="0.3">
      <c r="A47" s="1">
        <v>46091</v>
      </c>
      <c r="B47" s="4">
        <v>90.77</v>
      </c>
      <c r="C47" s="4">
        <v>122.22</v>
      </c>
    </row>
    <row r="48" spans="1:3" x14ac:dyDescent="0.3">
      <c r="A48" s="1">
        <v>46092</v>
      </c>
      <c r="B48" s="4">
        <v>90.7</v>
      </c>
      <c r="C48" s="4">
        <v>121.11</v>
      </c>
    </row>
    <row r="49" spans="1:3" x14ac:dyDescent="0.3">
      <c r="A49" s="1">
        <v>46093</v>
      </c>
      <c r="B49" s="4">
        <v>88.29</v>
      </c>
      <c r="C49" s="4">
        <v>119.13</v>
      </c>
    </row>
    <row r="50" spans="1:3" x14ac:dyDescent="0.3">
      <c r="A50" s="1">
        <v>46094</v>
      </c>
      <c r="B50" s="4">
        <v>87.8</v>
      </c>
      <c r="C50" s="4">
        <v>119.23</v>
      </c>
    </row>
    <row r="51" spans="1:3" x14ac:dyDescent="0.3">
      <c r="A51" s="1">
        <v>46097</v>
      </c>
      <c r="B51" s="4">
        <v>88.66</v>
      </c>
      <c r="C51" s="4">
        <v>120.18</v>
      </c>
    </row>
    <row r="52" spans="1:3" x14ac:dyDescent="0.3">
      <c r="A52" s="1">
        <v>46098</v>
      </c>
      <c r="B52" s="4">
        <v>89.06</v>
      </c>
      <c r="C52" s="4">
        <v>120.88</v>
      </c>
    </row>
    <row r="53" spans="1:3" x14ac:dyDescent="0.3">
      <c r="A53" s="1">
        <v>46099</v>
      </c>
      <c r="B53" s="4">
        <v>88.24</v>
      </c>
      <c r="C53" s="4">
        <v>119.34</v>
      </c>
    </row>
    <row r="54" spans="1:3" x14ac:dyDescent="0.3">
      <c r="A54" s="1">
        <v>46100</v>
      </c>
      <c r="B54" s="4">
        <v>87.7</v>
      </c>
      <c r="C54" s="4">
        <v>119.45</v>
      </c>
    </row>
    <row r="55" spans="1:3" x14ac:dyDescent="0.3">
      <c r="A55" s="1">
        <v>46101</v>
      </c>
      <c r="B55" s="4">
        <v>86.03</v>
      </c>
      <c r="C55" s="4">
        <v>119.52</v>
      </c>
    </row>
    <row r="56" spans="1:3" x14ac:dyDescent="0.3">
      <c r="A56" s="1">
        <v>46104</v>
      </c>
      <c r="B56" s="4">
        <v>87.14</v>
      </c>
      <c r="C56" s="4">
        <v>120.78</v>
      </c>
    </row>
    <row r="57" spans="1:3" x14ac:dyDescent="0.3">
      <c r="A57" s="1">
        <v>46105</v>
      </c>
      <c r="B57" s="4">
        <v>87.85</v>
      </c>
      <c r="C57" s="4">
        <v>120.45</v>
      </c>
    </row>
    <row r="58" spans="1:3" x14ac:dyDescent="0.3">
      <c r="A58" s="1">
        <v>46106</v>
      </c>
      <c r="B58" s="4">
        <v>88.51</v>
      </c>
      <c r="C58" s="4">
        <v>120.7</v>
      </c>
    </row>
    <row r="59" spans="1:3" x14ac:dyDescent="0.3">
      <c r="A59" s="1">
        <v>46107</v>
      </c>
      <c r="B59" s="4">
        <v>86.24</v>
      </c>
      <c r="C59" s="4">
        <v>119.99</v>
      </c>
    </row>
    <row r="60" spans="1:3" x14ac:dyDescent="0.3">
      <c r="A60" s="1">
        <v>46108</v>
      </c>
      <c r="B60" s="4">
        <v>85.15</v>
      </c>
      <c r="C60" s="4">
        <v>117</v>
      </c>
    </row>
    <row r="61" spans="1:3" x14ac:dyDescent="0.3">
      <c r="A61" s="1">
        <v>46111</v>
      </c>
      <c r="B61" s="4">
        <v>83.66</v>
      </c>
      <c r="C61" s="4">
        <v>118.24</v>
      </c>
    </row>
    <row r="62" spans="1:3" x14ac:dyDescent="0.3">
      <c r="A62" s="1">
        <v>46112</v>
      </c>
      <c r="B62" s="4">
        <v>86.52</v>
      </c>
      <c r="C62" s="4">
        <v>120.81</v>
      </c>
    </row>
    <row r="63" spans="1:3" x14ac:dyDescent="0.3">
      <c r="A63" s="1">
        <v>46113</v>
      </c>
      <c r="B63" s="4">
        <v>87.97</v>
      </c>
      <c r="C63" s="4">
        <v>120.84</v>
      </c>
    </row>
    <row r="64" spans="1:3" x14ac:dyDescent="0.3">
      <c r="A64" s="1">
        <v>46114</v>
      </c>
      <c r="B64" s="4">
        <v>87.68</v>
      </c>
      <c r="C64" s="4">
        <v>121.32</v>
      </c>
    </row>
    <row r="65" spans="1:3" x14ac:dyDescent="0.3">
      <c r="A65" s="1">
        <v>46118</v>
      </c>
      <c r="B65" s="4">
        <v>88.08</v>
      </c>
      <c r="C65" s="4">
        <v>122.19</v>
      </c>
    </row>
    <row r="66" spans="1:3" x14ac:dyDescent="0.3">
      <c r="A66" s="1">
        <v>46119</v>
      </c>
      <c r="B66" s="4">
        <v>87.92</v>
      </c>
      <c r="C66" s="4">
        <v>122.19</v>
      </c>
    </row>
    <row r="67" spans="1:3" x14ac:dyDescent="0.3">
      <c r="A67" s="1">
        <v>46120</v>
      </c>
      <c r="B67" s="4">
        <v>91.4</v>
      </c>
      <c r="C67" s="4">
        <v>125.53</v>
      </c>
    </row>
    <row r="68" spans="1:3" x14ac:dyDescent="0.3">
      <c r="A68" s="1">
        <v>46121</v>
      </c>
      <c r="B68" s="4">
        <v>92.32</v>
      </c>
      <c r="C68" s="4">
        <v>125.88</v>
      </c>
    </row>
    <row r="69" spans="1:3" x14ac:dyDescent="0.3">
      <c r="A69" s="1">
        <v>46122</v>
      </c>
      <c r="B69" s="4">
        <v>92.07</v>
      </c>
      <c r="C69" s="4">
        <v>124.56</v>
      </c>
    </row>
    <row r="70" spans="1:3" x14ac:dyDescent="0.3">
      <c r="A70" s="1">
        <v>46125</v>
      </c>
      <c r="B70" s="4">
        <v>92.84</v>
      </c>
      <c r="C70" s="4">
        <v>126.68</v>
      </c>
    </row>
    <row r="71" spans="1:3" x14ac:dyDescent="0.3">
      <c r="A71" s="1">
        <v>46126</v>
      </c>
      <c r="B71" s="4">
        <v>93.36</v>
      </c>
      <c r="C71" s="4">
        <v>127.15</v>
      </c>
    </row>
    <row r="72" spans="1:3" x14ac:dyDescent="0.3">
      <c r="A72" s="1">
        <v>46127</v>
      </c>
      <c r="B72" s="4">
        <v>92.2</v>
      </c>
      <c r="C72" s="4">
        <v>128.13</v>
      </c>
    </row>
    <row r="73" spans="1:3" x14ac:dyDescent="0.3">
      <c r="A73" s="1">
        <v>46128</v>
      </c>
      <c r="B73" s="4">
        <v>91.8</v>
      </c>
      <c r="C73" s="4">
        <v>127.79</v>
      </c>
    </row>
    <row r="74" spans="1:3" x14ac:dyDescent="0.3">
      <c r="A74" s="1">
        <v>46129</v>
      </c>
      <c r="B74" s="4">
        <v>93.57</v>
      </c>
      <c r="C74" s="4">
        <v>129.03</v>
      </c>
    </row>
    <row r="75" spans="1:3" x14ac:dyDescent="0.3">
      <c r="A75" s="1">
        <v>46132</v>
      </c>
      <c r="B75" s="4">
        <v>93.99</v>
      </c>
      <c r="C75" s="4">
        <v>129.51</v>
      </c>
    </row>
    <row r="76" spans="1:3" x14ac:dyDescent="0.3">
      <c r="A76" s="1">
        <v>46133</v>
      </c>
      <c r="B76" s="4">
        <v>92.68</v>
      </c>
      <c r="C76" s="4">
        <v>128.66999999999999</v>
      </c>
    </row>
    <row r="77" spans="1:3" x14ac:dyDescent="0.3">
      <c r="A77" s="1">
        <v>46134</v>
      </c>
      <c r="B77" s="4">
        <v>92.57</v>
      </c>
      <c r="C77" s="4">
        <v>128.43</v>
      </c>
    </row>
    <row r="78" spans="1:3" x14ac:dyDescent="0.3">
      <c r="A78" s="1">
        <v>46135</v>
      </c>
      <c r="B78" s="4">
        <v>93.96</v>
      </c>
      <c r="C78" s="4">
        <v>127.44</v>
      </c>
    </row>
    <row r="79" spans="1:3" x14ac:dyDescent="0.3">
      <c r="A79" s="1">
        <v>46136</v>
      </c>
      <c r="B79" s="4">
        <v>93.12</v>
      </c>
      <c r="C79" s="4">
        <v>126.63</v>
      </c>
    </row>
    <row r="80" spans="1:3" x14ac:dyDescent="0.3">
      <c r="A80" s="1">
        <v>46139</v>
      </c>
      <c r="B80" s="4">
        <v>93.19</v>
      </c>
      <c r="C80" s="4">
        <v>127.53</v>
      </c>
    </row>
    <row r="81" spans="1:3" x14ac:dyDescent="0.3">
      <c r="A81" s="1">
        <v>46140</v>
      </c>
      <c r="B81" s="4">
        <v>92.22</v>
      </c>
      <c r="C81" s="4">
        <v>127.73</v>
      </c>
    </row>
    <row r="82" spans="1:3" x14ac:dyDescent="0.3">
      <c r="A82" s="1">
        <v>46141</v>
      </c>
      <c r="B82" s="4">
        <v>91.67</v>
      </c>
      <c r="C82" s="4">
        <v>127.54</v>
      </c>
    </row>
    <row r="83" spans="1:3" x14ac:dyDescent="0.3">
      <c r="A83" s="1">
        <v>46142</v>
      </c>
      <c r="B83" s="4">
        <v>94.34</v>
      </c>
      <c r="C83" s="4">
        <v>128.19999999999999</v>
      </c>
    </row>
    <row r="84" spans="1:3" x14ac:dyDescent="0.3">
      <c r="A84" s="1">
        <v>46143</v>
      </c>
      <c r="B84" s="4">
        <v>93.52</v>
      </c>
      <c r="C84" s="4">
        <v>127.66</v>
      </c>
    </row>
    <row r="85" spans="1:3" x14ac:dyDescent="0.3">
      <c r="A85" s="1">
        <v>46146</v>
      </c>
      <c r="B85" s="4">
        <v>92.46</v>
      </c>
      <c r="C85" s="4">
        <v>126.76</v>
      </c>
    </row>
    <row r="86" spans="1:3" x14ac:dyDescent="0.3">
      <c r="A86" s="1">
        <v>46147</v>
      </c>
      <c r="B86" s="4">
        <v>93.48</v>
      </c>
      <c r="C86" s="4">
        <v>126.98</v>
      </c>
    </row>
    <row r="87" spans="1:3" x14ac:dyDescent="0.3">
      <c r="A87" s="1">
        <v>46148</v>
      </c>
      <c r="B87" s="4">
        <v>95.73</v>
      </c>
      <c r="C87" s="4">
        <v>127.59</v>
      </c>
    </row>
    <row r="88" spans="1:3" x14ac:dyDescent="0.3">
      <c r="A88" s="1">
        <v>46149</v>
      </c>
      <c r="B88" s="4">
        <v>93.99</v>
      </c>
      <c r="C88" s="4">
        <v>126.85</v>
      </c>
    </row>
    <row r="89" spans="1:3" x14ac:dyDescent="0.3">
      <c r="A89" s="1">
        <v>46150</v>
      </c>
      <c r="B89" s="4">
        <v>93.87</v>
      </c>
      <c r="C89" s="4">
        <v>126.13</v>
      </c>
    </row>
    <row r="90" spans="1:3" x14ac:dyDescent="0.3">
      <c r="A90" s="1">
        <v>46153</v>
      </c>
      <c r="B90" s="4">
        <v>94.78</v>
      </c>
      <c r="C90" s="4">
        <v>125.69</v>
      </c>
    </row>
    <row r="91" spans="1:3" x14ac:dyDescent="0.3">
      <c r="A91" s="1">
        <v>46154</v>
      </c>
      <c r="B91" s="4">
        <v>94.25</v>
      </c>
      <c r="C91" s="4">
        <v>126.47</v>
      </c>
    </row>
    <row r="92" spans="1:3" x14ac:dyDescent="0.3">
      <c r="A92" s="1">
        <v>46155</v>
      </c>
      <c r="B92" s="4">
        <v>94.02</v>
      </c>
      <c r="C92" s="4">
        <v>125</v>
      </c>
    </row>
    <row r="93" spans="1:3" x14ac:dyDescent="0.3">
      <c r="A93" s="1">
        <v>46156</v>
      </c>
      <c r="B93" s="4">
        <v>94.65</v>
      </c>
      <c r="C93" s="4">
        <v>125.78</v>
      </c>
    </row>
    <row r="94" spans="1:3" x14ac:dyDescent="0.3">
      <c r="A94" s="1">
        <v>46157</v>
      </c>
      <c r="B94" s="4">
        <v>92.65</v>
      </c>
      <c r="C94" s="4">
        <v>125.29</v>
      </c>
    </row>
    <row r="95" spans="1:3" x14ac:dyDescent="0.3">
      <c r="A95" s="1">
        <v>46160</v>
      </c>
      <c r="B95" s="4">
        <v>92.21</v>
      </c>
      <c r="C95" s="4">
        <v>126.77</v>
      </c>
    </row>
    <row r="96" spans="1:3" x14ac:dyDescent="0.3">
      <c r="A96" s="1">
        <v>46161</v>
      </c>
      <c r="B96" s="4">
        <v>91.05</v>
      </c>
      <c r="C96" s="4">
        <v>125.3</v>
      </c>
    </row>
    <row r="97" spans="1:3" x14ac:dyDescent="0.3">
      <c r="A97" s="1">
        <v>46162</v>
      </c>
      <c r="B97" s="4">
        <v>92.41</v>
      </c>
      <c r="C97" s="4">
        <v>126.76</v>
      </c>
    </row>
    <row r="98" spans="1:3" x14ac:dyDescent="0.3">
      <c r="A98" s="1">
        <v>46163</v>
      </c>
      <c r="B98" s="4">
        <v>92.35</v>
      </c>
      <c r="C98" s="4">
        <v>127.01</v>
      </c>
    </row>
    <row r="99" spans="1:3" x14ac:dyDescent="0.3">
      <c r="A99" s="1">
        <v>46164</v>
      </c>
      <c r="B99" s="4">
        <v>93.08</v>
      </c>
      <c r="C99" s="4">
        <v>127.37</v>
      </c>
    </row>
    <row r="100" spans="1:3" x14ac:dyDescent="0.3">
      <c r="A100" s="1">
        <v>46168</v>
      </c>
      <c r="B100" s="4">
        <v>94.74</v>
      </c>
      <c r="C100" s="4">
        <v>127.36</v>
      </c>
    </row>
    <row r="101" spans="1:3" x14ac:dyDescent="0.3">
      <c r="A101" s="1">
        <v>46169</v>
      </c>
      <c r="B101" s="4">
        <v>94.79</v>
      </c>
      <c r="C101" s="4">
        <v>126.28</v>
      </c>
    </row>
    <row r="102" spans="1:3" x14ac:dyDescent="0.3">
      <c r="A102" s="1">
        <v>46170</v>
      </c>
      <c r="B102" s="4">
        <v>94.59</v>
      </c>
      <c r="C102" s="4">
        <v>125.91</v>
      </c>
    </row>
    <row r="103" spans="1:3" x14ac:dyDescent="0.3">
      <c r="A103" s="1">
        <v>46171</v>
      </c>
      <c r="B103" s="4">
        <v>94.28</v>
      </c>
      <c r="C103" s="4">
        <v>126.66</v>
      </c>
    </row>
    <row r="104" spans="1:3" x14ac:dyDescent="0.3">
      <c r="A104" s="1">
        <v>46174</v>
      </c>
      <c r="B104" s="4">
        <v>93.53</v>
      </c>
      <c r="C104" s="4">
        <v>126.23</v>
      </c>
    </row>
    <row r="105" spans="1:3" x14ac:dyDescent="0.3">
      <c r="A105" s="1">
        <v>46175</v>
      </c>
      <c r="B105" s="4">
        <v>94.69</v>
      </c>
      <c r="C105" s="4">
        <v>126.31</v>
      </c>
    </row>
    <row r="106" spans="1:3" x14ac:dyDescent="0.3">
      <c r="A106" s="1">
        <v>46176</v>
      </c>
      <c r="B106" s="4">
        <v>94.51</v>
      </c>
      <c r="C106" s="4">
        <v>124.56</v>
      </c>
    </row>
    <row r="107" spans="1:3" x14ac:dyDescent="0.3">
      <c r="A107" s="1">
        <v>46177</v>
      </c>
      <c r="B107" s="4">
        <v>95.56</v>
      </c>
      <c r="C107" s="4">
        <v>127.9</v>
      </c>
    </row>
    <row r="108" spans="1:3" x14ac:dyDescent="0.3">
      <c r="A108" s="1">
        <v>46178</v>
      </c>
      <c r="B108" s="4">
        <v>94.11</v>
      </c>
      <c r="C108" s="4">
        <v>128.08000000000001</v>
      </c>
    </row>
    <row r="109" spans="1:3" x14ac:dyDescent="0.3">
      <c r="A109" s="1">
        <v>46181</v>
      </c>
      <c r="B109" s="4">
        <v>93.86</v>
      </c>
      <c r="C109" s="4">
        <v>127.4</v>
      </c>
    </row>
    <row r="110" spans="1:3" x14ac:dyDescent="0.3">
      <c r="A110" s="1">
        <v>46182</v>
      </c>
      <c r="B110" s="4">
        <v>94.84</v>
      </c>
      <c r="C110" s="4">
        <v>128.68</v>
      </c>
    </row>
    <row r="111" spans="1:3" x14ac:dyDescent="0.3">
      <c r="A111" s="1">
        <v>46183</v>
      </c>
      <c r="B111" s="4">
        <v>91.68</v>
      </c>
      <c r="C111" s="4">
        <v>128.19</v>
      </c>
    </row>
    <row r="112" spans="1:3" x14ac:dyDescent="0.3">
      <c r="A112" s="1">
        <v>46184</v>
      </c>
      <c r="B112" s="4">
        <v>94.78</v>
      </c>
      <c r="C112" s="4">
        <v>129.24</v>
      </c>
    </row>
    <row r="113" spans="1:3" x14ac:dyDescent="0.3">
      <c r="A113" s="1">
        <v>46185</v>
      </c>
      <c r="B113" s="4">
        <v>95.14</v>
      </c>
      <c r="C113" s="4">
        <v>130.97</v>
      </c>
    </row>
    <row r="114" spans="1:3" x14ac:dyDescent="0.3">
      <c r="A114" s="1">
        <v>46188</v>
      </c>
      <c r="B114" s="4">
        <v>96.4</v>
      </c>
      <c r="C114" s="4">
        <v>131.38</v>
      </c>
    </row>
    <row r="115" spans="1:3" x14ac:dyDescent="0.3">
      <c r="A115" s="1">
        <v>46189</v>
      </c>
      <c r="B115" s="4">
        <v>96.97</v>
      </c>
      <c r="C115" s="4">
        <v>133.24</v>
      </c>
    </row>
    <row r="116" spans="1:3" x14ac:dyDescent="0.3">
      <c r="A116" s="1">
        <v>46190</v>
      </c>
      <c r="B116" s="4">
        <v>96.81</v>
      </c>
      <c r="C116" s="4">
        <v>132.4</v>
      </c>
    </row>
    <row r="117" spans="1:3" x14ac:dyDescent="0.3">
      <c r="A117" s="1">
        <v>46191</v>
      </c>
      <c r="B117" s="4">
        <v>97.56</v>
      </c>
      <c r="C117" s="4">
        <v>131.44</v>
      </c>
    </row>
    <row r="118" spans="1:3" x14ac:dyDescent="0.3">
      <c r="A118" s="1">
        <v>46195</v>
      </c>
      <c r="B118" s="4">
        <v>98.2</v>
      </c>
      <c r="C118" s="4">
        <v>132.15</v>
      </c>
    </row>
    <row r="119" spans="1:3" x14ac:dyDescent="0.3">
      <c r="A119" s="1">
        <v>46196</v>
      </c>
      <c r="B119" s="4">
        <v>96.13</v>
      </c>
      <c r="C119" s="4">
        <v>132.68</v>
      </c>
    </row>
    <row r="120" spans="1:3" x14ac:dyDescent="0.3">
      <c r="A120" s="1">
        <v>46197</v>
      </c>
      <c r="B120" s="4">
        <v>97.06</v>
      </c>
      <c r="C120" s="4">
        <v>131.49</v>
      </c>
    </row>
    <row r="121" spans="1:3" x14ac:dyDescent="0.3">
      <c r="A121" s="1">
        <v>46198</v>
      </c>
      <c r="B121" s="4">
        <v>99</v>
      </c>
      <c r="C121" s="4">
        <v>131.01</v>
      </c>
    </row>
    <row r="122" spans="1:3" x14ac:dyDescent="0.3">
      <c r="A122" s="1">
        <v>46199</v>
      </c>
      <c r="B122" s="4">
        <v>97.19</v>
      </c>
      <c r="C122" s="4">
        <v>131.46</v>
      </c>
    </row>
    <row r="123" spans="1:3" x14ac:dyDescent="0.3">
      <c r="A123" s="1">
        <v>46202</v>
      </c>
      <c r="B123" s="4">
        <v>98.2</v>
      </c>
      <c r="C123" s="4">
        <v>131.75</v>
      </c>
    </row>
    <row r="124" spans="1:3" x14ac:dyDescent="0.3">
      <c r="A124" s="1">
        <v>46203</v>
      </c>
      <c r="B124" s="4">
        <v>99.61</v>
      </c>
      <c r="C124" s="4">
        <v>131.6</v>
      </c>
    </row>
    <row r="125" spans="1:3" x14ac:dyDescent="0.3">
      <c r="A125" s="1">
        <v>46204</v>
      </c>
      <c r="B125" s="4">
        <v>98.26</v>
      </c>
      <c r="C125" s="4">
        <v>134.35</v>
      </c>
    </row>
    <row r="126" spans="1:3" x14ac:dyDescent="0.3">
      <c r="A126" s="1">
        <v>46205</v>
      </c>
      <c r="B126" s="4">
        <v>98.25</v>
      </c>
      <c r="C126" s="4">
        <v>136.18</v>
      </c>
    </row>
    <row r="127" spans="1:3" x14ac:dyDescent="0.3">
      <c r="A127" s="1">
        <v>46209</v>
      </c>
      <c r="B127" s="4">
        <v>99.03</v>
      </c>
      <c r="C127" s="4">
        <v>137.47999999999999</v>
      </c>
    </row>
    <row r="128" spans="1:3" x14ac:dyDescent="0.3">
      <c r="A128" s="1">
        <v>46210</v>
      </c>
      <c r="B128" s="4">
        <v>97.09</v>
      </c>
      <c r="C128" s="4">
        <v>137.15</v>
      </c>
    </row>
    <row r="129" spans="1:3" x14ac:dyDescent="0.3">
      <c r="A129" s="1">
        <v>46211</v>
      </c>
      <c r="B129" s="4">
        <v>96.07</v>
      </c>
      <c r="C129" s="4">
        <v>134.5</v>
      </c>
    </row>
    <row r="130" spans="1:3" x14ac:dyDescent="0.3">
      <c r="A130" s="1">
        <v>46212</v>
      </c>
      <c r="B130" s="4">
        <v>96.49</v>
      </c>
      <c r="C130" s="4">
        <v>135.99</v>
      </c>
    </row>
    <row r="131" spans="1:3" x14ac:dyDescent="0.3">
      <c r="A131" s="1">
        <v>46213</v>
      </c>
      <c r="B131" s="4">
        <v>96.83</v>
      </c>
      <c r="C131" s="4">
        <v>136.44999999999999</v>
      </c>
    </row>
    <row r="132" spans="1:3" x14ac:dyDescent="0.3">
      <c r="A132" s="1">
        <v>46216</v>
      </c>
      <c r="B132" s="4">
        <v>95.85</v>
      </c>
      <c r="C132" s="4">
        <v>137.24</v>
      </c>
    </row>
    <row r="133" spans="1:3" x14ac:dyDescent="0.3">
      <c r="A133" s="1">
        <v>46217</v>
      </c>
      <c r="B133" s="4">
        <v>96.11</v>
      </c>
      <c r="C133" s="4">
        <v>137.61000000000001</v>
      </c>
    </row>
    <row r="134" spans="1:3" x14ac:dyDescent="0.3">
      <c r="A134" s="1">
        <v>46218</v>
      </c>
      <c r="B134" s="4">
        <v>96</v>
      </c>
      <c r="C134" s="4">
        <v>138.44999999999999</v>
      </c>
    </row>
    <row r="135" spans="1:3" x14ac:dyDescent="0.3">
      <c r="A135" s="1">
        <v>46219</v>
      </c>
      <c r="B135" s="4">
        <v>95.87</v>
      </c>
      <c r="C135" s="4">
        <v>139.19</v>
      </c>
    </row>
    <row r="136" spans="1:3" x14ac:dyDescent="0.3">
      <c r="A136" s="1">
        <v>46220</v>
      </c>
      <c r="B136" s="4">
        <v>95.47</v>
      </c>
      <c r="C136" s="4">
        <v>137.94</v>
      </c>
    </row>
    <row r="137" spans="1:3" x14ac:dyDescent="0.3">
      <c r="A137" s="1">
        <v>46223</v>
      </c>
      <c r="B137" s="4">
        <v>94.55</v>
      </c>
      <c r="C137" s="4">
        <v>137.35</v>
      </c>
    </row>
    <row r="138" spans="1:3" x14ac:dyDescent="0.3">
      <c r="A138" s="1">
        <v>46224</v>
      </c>
      <c r="B138" s="4">
        <v>95.26</v>
      </c>
      <c r="C138" s="4">
        <v>137.44</v>
      </c>
    </row>
    <row r="139" spans="1:3" x14ac:dyDescent="0.3">
      <c r="A139" s="1">
        <v>46225</v>
      </c>
      <c r="B139" s="4">
        <v>95.38</v>
      </c>
      <c r="C139" s="4">
        <v>137.16</v>
      </c>
    </row>
    <row r="140" spans="1:3" x14ac:dyDescent="0.3">
      <c r="A140" s="1">
        <v>46226</v>
      </c>
      <c r="B140" s="4">
        <v>96.77</v>
      </c>
      <c r="C140" s="4">
        <v>136.59</v>
      </c>
    </row>
    <row r="141" spans="1:3" x14ac:dyDescent="0.3">
      <c r="A141" s="1">
        <v>46227</v>
      </c>
      <c r="B141" s="4">
        <v>96.84</v>
      </c>
      <c r="C141" s="4">
        <v>137.81</v>
      </c>
    </row>
    <row r="142" spans="1:3" x14ac:dyDescent="0.3">
      <c r="A142" s="1">
        <v>46230</v>
      </c>
      <c r="B142" s="4">
        <v>97.08</v>
      </c>
      <c r="C142" s="4">
        <v>139.18</v>
      </c>
    </row>
    <row r="143" spans="1:3" x14ac:dyDescent="0.3">
      <c r="A143" s="1">
        <v>46231</v>
      </c>
      <c r="B143" s="4">
        <v>96.59</v>
      </c>
      <c r="C143" s="4">
        <v>140.93</v>
      </c>
    </row>
    <row r="144" spans="1:3" x14ac:dyDescent="0.3">
      <c r="A144" s="1">
        <v>46232</v>
      </c>
      <c r="B144" s="4">
        <v>93.32</v>
      </c>
      <c r="C144" s="4">
        <v>138.69999999999999</v>
      </c>
    </row>
    <row r="145" spans="1:3" x14ac:dyDescent="0.3">
      <c r="A145" s="1">
        <v>46233</v>
      </c>
      <c r="B145" s="4">
        <v>94.44</v>
      </c>
      <c r="C145" s="4">
        <v>139.41999999999999</v>
      </c>
    </row>
    <row r="146" spans="1:3" x14ac:dyDescent="0.3">
      <c r="A146" s="1">
        <v>46234</v>
      </c>
      <c r="B146" s="4">
        <v>95.22</v>
      </c>
      <c r="C146" s="4">
        <v>139.22999999999999</v>
      </c>
    </row>
    <row r="147" spans="1:3" x14ac:dyDescent="0.3">
      <c r="A147" s="1">
        <v>46237</v>
      </c>
      <c r="B147" s="4">
        <v>97.14</v>
      </c>
      <c r="C147" s="4">
        <v>140.51</v>
      </c>
    </row>
    <row r="148" spans="1:3" x14ac:dyDescent="0.3">
      <c r="A148" s="1">
        <v>46238</v>
      </c>
      <c r="B148" s="4">
        <v>98.98</v>
      </c>
      <c r="C148" s="4">
        <v>141.76</v>
      </c>
    </row>
    <row r="149" spans="1:3" x14ac:dyDescent="0.3">
      <c r="A149" s="1">
        <v>46239</v>
      </c>
      <c r="B149" s="4">
        <v>98.89</v>
      </c>
      <c r="C149" s="4">
        <v>142.02000000000001</v>
      </c>
    </row>
    <row r="150" spans="1:3" x14ac:dyDescent="0.3">
      <c r="A150" s="1">
        <v>46240</v>
      </c>
      <c r="B150" s="4">
        <v>98.17</v>
      </c>
      <c r="C150" s="4">
        <v>141.38999999999999</v>
      </c>
    </row>
    <row r="151" spans="1:3" x14ac:dyDescent="0.3">
      <c r="A151" s="1">
        <v>46241</v>
      </c>
      <c r="B151" s="4">
        <v>98.61</v>
      </c>
      <c r="C151" s="4">
        <v>140.9</v>
      </c>
    </row>
    <row r="152" spans="1:3" x14ac:dyDescent="0.3">
      <c r="A152" s="1">
        <v>46244</v>
      </c>
      <c r="B152" s="4">
        <v>98.05</v>
      </c>
      <c r="C152" s="4">
        <v>141.19999999999999</v>
      </c>
    </row>
    <row r="153" spans="1:3" x14ac:dyDescent="0.3">
      <c r="A153" s="1">
        <v>46245</v>
      </c>
      <c r="B153" s="4">
        <v>98.67</v>
      </c>
      <c r="C153" s="4">
        <v>141.38</v>
      </c>
    </row>
    <row r="154" spans="1:3" x14ac:dyDescent="0.3">
      <c r="A154" s="1">
        <v>46246</v>
      </c>
      <c r="B154" s="4">
        <v>98.88</v>
      </c>
      <c r="C154" s="4">
        <v>141.68</v>
      </c>
    </row>
    <row r="155" spans="1:3" x14ac:dyDescent="0.3">
      <c r="A155" s="1">
        <v>46247</v>
      </c>
      <c r="B155" s="4">
        <v>98.83</v>
      </c>
      <c r="C155" s="4">
        <v>142.74</v>
      </c>
    </row>
    <row r="156" spans="1:3" x14ac:dyDescent="0.3">
      <c r="A156" s="1">
        <v>46248</v>
      </c>
      <c r="B156" s="4">
        <v>99.3</v>
      </c>
      <c r="C156" s="4">
        <v>142.63</v>
      </c>
    </row>
    <row r="157" spans="1:3" x14ac:dyDescent="0.3">
      <c r="A157" s="1">
        <v>46251</v>
      </c>
      <c r="B157" s="4">
        <v>99.19</v>
      </c>
      <c r="C157" s="4">
        <v>141.16</v>
      </c>
    </row>
    <row r="158" spans="1:3" x14ac:dyDescent="0.3">
      <c r="A158" s="1">
        <v>46252</v>
      </c>
      <c r="B158" s="4">
        <v>97.47</v>
      </c>
      <c r="C158" s="4">
        <v>141.56</v>
      </c>
    </row>
    <row r="159" spans="1:3" x14ac:dyDescent="0.3">
      <c r="A159" s="1">
        <v>46253</v>
      </c>
      <c r="B159" s="4">
        <v>96.63</v>
      </c>
      <c r="C159" s="4">
        <v>140.65</v>
      </c>
    </row>
    <row r="160" spans="1:3" x14ac:dyDescent="0.3">
      <c r="A160" s="1">
        <v>46254</v>
      </c>
      <c r="B160" s="4">
        <v>95.38</v>
      </c>
      <c r="C160" s="4">
        <v>139.30000000000001</v>
      </c>
    </row>
    <row r="161" spans="1:3" x14ac:dyDescent="0.3">
      <c r="A161" s="1">
        <v>46255</v>
      </c>
      <c r="B161" s="4">
        <v>95.63</v>
      </c>
      <c r="C161" s="4">
        <v>140.72</v>
      </c>
    </row>
    <row r="162" spans="1:3" x14ac:dyDescent="0.3">
      <c r="A162" s="1">
        <v>46258</v>
      </c>
      <c r="B162" s="4">
        <v>94.84</v>
      </c>
      <c r="C162" s="4">
        <v>142.21</v>
      </c>
    </row>
    <row r="163" spans="1:3" x14ac:dyDescent="0.3">
      <c r="A163" s="1">
        <v>46259</v>
      </c>
      <c r="B163" s="4">
        <v>94.51</v>
      </c>
      <c r="C163" s="4">
        <v>142.41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375E-4AB0-489A-8F21-781F016C18FD}">
  <dimension ref="A1:U163"/>
  <sheetViews>
    <sheetView workbookViewId="0">
      <selection activeCell="I11" sqref="I11"/>
    </sheetView>
  </sheetViews>
  <sheetFormatPr defaultRowHeight="14.4" x14ac:dyDescent="0.3"/>
  <cols>
    <col min="1" max="1" width="2.109375" bestFit="1" customWidth="1"/>
    <col min="2" max="2" width="10.33203125" style="1" bestFit="1" customWidth="1"/>
    <col min="3" max="4" width="8.88671875" style="4"/>
    <col min="5" max="5" width="10.6640625" style="12" bestFit="1" customWidth="1"/>
    <col min="7" max="7" width="10.33203125" style="1" bestFit="1" customWidth="1"/>
    <col min="8" max="9" width="8.88671875" style="4"/>
    <col min="10" max="11" width="8.88671875" style="15"/>
    <col min="12" max="16" width="8.88671875" style="4"/>
  </cols>
  <sheetData>
    <row r="1" spans="2:16" s="3" customFormat="1" x14ac:dyDescent="0.3">
      <c r="B1" s="2" t="s">
        <v>0</v>
      </c>
      <c r="C1" s="5" t="s">
        <v>5</v>
      </c>
      <c r="D1" s="5" t="s">
        <v>8</v>
      </c>
      <c r="E1" s="11" t="str">
        <f>_xlfn.CONCAT(D1,"/",C1)</f>
        <v>VDC/FSTA</v>
      </c>
      <c r="F1" s="3" t="s">
        <v>21</v>
      </c>
      <c r="G1" s="1"/>
      <c r="H1" s="14" t="s">
        <v>17</v>
      </c>
      <c r="I1" s="14" t="s">
        <v>18</v>
      </c>
      <c r="J1" s="14" t="s">
        <v>19</v>
      </c>
      <c r="K1" s="14" t="s">
        <v>20</v>
      </c>
      <c r="L1" s="5"/>
      <c r="M1" s="5"/>
      <c r="N1" s="5"/>
      <c r="O1" s="5"/>
      <c r="P1" s="5"/>
    </row>
    <row r="2" spans="2:16" x14ac:dyDescent="0.3">
      <c r="B2" s="1">
        <v>46024</v>
      </c>
      <c r="C2" s="4">
        <v>49.14</v>
      </c>
      <c r="D2" s="4">
        <v>210.9</v>
      </c>
      <c r="E2" s="12">
        <f>D2/C2</f>
        <v>4.2918192918192917</v>
      </c>
    </row>
    <row r="3" spans="2:16" x14ac:dyDescent="0.3">
      <c r="B3" s="1">
        <v>46027</v>
      </c>
      <c r="C3" s="4">
        <v>48.98</v>
      </c>
      <c r="D3" s="4">
        <v>210.27</v>
      </c>
      <c r="E3" s="12">
        <f t="shared" ref="E3:E66" si="0">D3/C3</f>
        <v>4.2929767251939568</v>
      </c>
    </row>
    <row r="4" spans="2:16" x14ac:dyDescent="0.3">
      <c r="B4" s="1">
        <v>46028</v>
      </c>
      <c r="C4" s="4">
        <v>49.13</v>
      </c>
      <c r="D4" s="4">
        <v>210.77</v>
      </c>
      <c r="E4" s="12">
        <f t="shared" si="0"/>
        <v>4.2900468145735804</v>
      </c>
    </row>
    <row r="5" spans="2:16" x14ac:dyDescent="0.3">
      <c r="B5" s="1">
        <v>46029</v>
      </c>
      <c r="C5" s="4">
        <v>48.64</v>
      </c>
      <c r="D5" s="4">
        <v>208.73</v>
      </c>
      <c r="E5" s="12">
        <f t="shared" si="0"/>
        <v>4.2913240131578947</v>
      </c>
    </row>
    <row r="6" spans="2:16" x14ac:dyDescent="0.3">
      <c r="B6" s="1">
        <v>46030</v>
      </c>
      <c r="C6" s="4">
        <v>49.74</v>
      </c>
      <c r="D6" s="4">
        <v>213.42</v>
      </c>
      <c r="E6" s="12">
        <f t="shared" si="0"/>
        <v>4.2907117008443905</v>
      </c>
    </row>
    <row r="7" spans="2:16" x14ac:dyDescent="0.3">
      <c r="B7" s="1">
        <v>46031</v>
      </c>
      <c r="C7" s="4">
        <v>50.25</v>
      </c>
      <c r="D7" s="4">
        <v>215.68</v>
      </c>
      <c r="E7" s="12">
        <f t="shared" si="0"/>
        <v>4.2921393034825872</v>
      </c>
    </row>
    <row r="8" spans="2:16" x14ac:dyDescent="0.3">
      <c r="B8" s="1">
        <v>46034</v>
      </c>
      <c r="C8" s="4">
        <v>50.88</v>
      </c>
      <c r="D8" s="4">
        <v>218.47</v>
      </c>
      <c r="E8" s="12">
        <f t="shared" si="0"/>
        <v>4.2938286163522008</v>
      </c>
    </row>
    <row r="9" spans="2:16" x14ac:dyDescent="0.3">
      <c r="B9" s="1">
        <v>46035</v>
      </c>
      <c r="C9" s="4">
        <v>51.39</v>
      </c>
      <c r="D9" s="4">
        <v>220.62</v>
      </c>
      <c r="E9" s="12">
        <f t="shared" si="0"/>
        <v>4.2930531231757154</v>
      </c>
    </row>
    <row r="10" spans="2:16" x14ac:dyDescent="0.3">
      <c r="B10" s="1">
        <v>46036</v>
      </c>
      <c r="C10" s="4">
        <v>52.01</v>
      </c>
      <c r="D10" s="4">
        <v>223.33</v>
      </c>
      <c r="E10" s="12">
        <f t="shared" si="0"/>
        <v>4.2939819265525863</v>
      </c>
    </row>
    <row r="11" spans="2:16" x14ac:dyDescent="0.3">
      <c r="B11" s="1">
        <v>46037</v>
      </c>
      <c r="C11" s="4">
        <v>52.09</v>
      </c>
      <c r="D11" s="4">
        <v>223.56</v>
      </c>
      <c r="E11" s="12">
        <f t="shared" si="0"/>
        <v>4.2918026492608945</v>
      </c>
      <c r="F11" s="13"/>
      <c r="G11" s="13"/>
    </row>
    <row r="12" spans="2:16" x14ac:dyDescent="0.3">
      <c r="B12" s="1">
        <v>46038</v>
      </c>
      <c r="C12" s="4">
        <v>52.03</v>
      </c>
      <c r="D12" s="4">
        <v>223.36</v>
      </c>
      <c r="E12" s="12">
        <f t="shared" si="0"/>
        <v>4.2929079377282342</v>
      </c>
      <c r="F12" s="13"/>
      <c r="G12" s="13"/>
    </row>
    <row r="13" spans="2:16" x14ac:dyDescent="0.3">
      <c r="B13" s="1">
        <v>46042</v>
      </c>
      <c r="C13" s="4">
        <v>52.15</v>
      </c>
      <c r="D13" s="4">
        <v>223.74</v>
      </c>
      <c r="E13" s="12">
        <f t="shared" si="0"/>
        <v>4.2903163950143819</v>
      </c>
      <c r="F13" s="13"/>
      <c r="G13" s="13"/>
    </row>
    <row r="14" spans="2:16" x14ac:dyDescent="0.3">
      <c r="B14" s="1">
        <v>46043</v>
      </c>
      <c r="C14" s="4">
        <v>52.32</v>
      </c>
      <c r="D14" s="4">
        <v>224.58</v>
      </c>
      <c r="E14" s="12">
        <f t="shared" si="0"/>
        <v>4.2924311926605503</v>
      </c>
      <c r="F14" s="13"/>
      <c r="G14" s="13"/>
    </row>
    <row r="15" spans="2:16" x14ac:dyDescent="0.3">
      <c r="B15" s="1">
        <v>46044</v>
      </c>
      <c r="C15" s="4">
        <v>52.24</v>
      </c>
      <c r="D15" s="4">
        <v>224.2</v>
      </c>
      <c r="E15" s="12">
        <f t="shared" si="0"/>
        <v>4.291730474732006</v>
      </c>
      <c r="F15" s="13"/>
      <c r="G15" s="13"/>
    </row>
    <row r="16" spans="2:16" x14ac:dyDescent="0.3">
      <c r="B16" s="1">
        <v>46045</v>
      </c>
      <c r="C16" s="4">
        <v>52.56</v>
      </c>
      <c r="D16" s="4">
        <v>225.56</v>
      </c>
      <c r="E16" s="12">
        <f t="shared" si="0"/>
        <v>4.2914764079147636</v>
      </c>
      <c r="F16" s="13"/>
      <c r="G16" s="13"/>
    </row>
    <row r="17" spans="2:11" x14ac:dyDescent="0.3">
      <c r="B17" s="1">
        <v>46048</v>
      </c>
      <c r="C17" s="4">
        <v>52.49</v>
      </c>
      <c r="D17" s="4">
        <v>225.25</v>
      </c>
      <c r="E17" s="12">
        <f t="shared" si="0"/>
        <v>4.291293579729472</v>
      </c>
      <c r="F17" s="13"/>
      <c r="G17" s="13"/>
    </row>
    <row r="18" spans="2:11" x14ac:dyDescent="0.3">
      <c r="B18" s="1">
        <v>46049</v>
      </c>
      <c r="C18" s="4">
        <v>52.66</v>
      </c>
      <c r="D18" s="4">
        <v>226.05</v>
      </c>
      <c r="E18" s="12">
        <f t="shared" si="0"/>
        <v>4.2926319787314853</v>
      </c>
      <c r="F18" s="13"/>
      <c r="G18" s="13"/>
    </row>
    <row r="19" spans="2:11" x14ac:dyDescent="0.3">
      <c r="B19" s="1">
        <v>46050</v>
      </c>
      <c r="C19" s="4">
        <v>52.16</v>
      </c>
      <c r="D19" s="4">
        <v>223.94</v>
      </c>
      <c r="E19" s="12">
        <f t="shared" si="0"/>
        <v>4.2933282208588963</v>
      </c>
      <c r="F19" s="13"/>
      <c r="G19" s="13"/>
    </row>
    <row r="20" spans="2:11" x14ac:dyDescent="0.3">
      <c r="B20" s="1">
        <v>46051</v>
      </c>
      <c r="C20" s="4">
        <v>52.18</v>
      </c>
      <c r="D20" s="4">
        <v>223.86</v>
      </c>
      <c r="E20" s="12">
        <f t="shared" si="0"/>
        <v>4.2901494825603681</v>
      </c>
      <c r="F20" s="13"/>
      <c r="G20" s="13"/>
    </row>
    <row r="21" spans="2:11" x14ac:dyDescent="0.3">
      <c r="B21" s="1">
        <v>46052</v>
      </c>
      <c r="C21" s="4">
        <v>52.86</v>
      </c>
      <c r="D21" s="4">
        <v>226.93</v>
      </c>
      <c r="E21" s="12">
        <f t="shared" si="0"/>
        <v>4.2930382141505863</v>
      </c>
      <c r="F21" s="13">
        <f t="shared" ref="F21:F84" si="1">AVERAGE(E2:E21)</f>
        <v>4.2920494024246914</v>
      </c>
      <c r="G21" s="13">
        <f>AVERAGE(E:E)</f>
        <v>4.2922617320697212</v>
      </c>
      <c r="H21" s="4">
        <f t="shared" ref="H12:H75" si="2">C21*F21</f>
        <v>226.87773141216917</v>
      </c>
      <c r="I21" s="4">
        <f t="shared" ref="I12:I75" si="3">C21*G21</f>
        <v>226.88895515720546</v>
      </c>
      <c r="J21" s="15">
        <f t="shared" ref="J12:J75" si="4">LN(H21/D21)</f>
        <v>-2.3035565259908112E-4</v>
      </c>
      <c r="K21" s="15">
        <f t="shared" ref="K12:K75" si="5">LN(I21/D21)</f>
        <v>-1.8088641930901931E-4</v>
      </c>
    </row>
    <row r="22" spans="2:11" x14ac:dyDescent="0.3">
      <c r="B22" s="1">
        <v>46055</v>
      </c>
      <c r="C22" s="4">
        <v>53.61</v>
      </c>
      <c r="D22" s="4">
        <v>230.05</v>
      </c>
      <c r="E22" s="12">
        <f t="shared" si="0"/>
        <v>4.2911770192128333</v>
      </c>
      <c r="F22" s="13">
        <f t="shared" si="1"/>
        <v>4.2920172887943693</v>
      </c>
      <c r="G22" s="13">
        <f t="shared" ref="G22:G85" si="6">G21</f>
        <v>4.2922617320697212</v>
      </c>
      <c r="H22" s="4">
        <f t="shared" si="2"/>
        <v>230.09504685226614</v>
      </c>
      <c r="I22" s="4">
        <f t="shared" si="3"/>
        <v>230.10815145625776</v>
      </c>
      <c r="J22" s="15">
        <f t="shared" si="4"/>
        <v>1.9579414238256218E-4</v>
      </c>
      <c r="K22" s="15">
        <f t="shared" si="5"/>
        <v>2.5274552404774413E-4</v>
      </c>
    </row>
    <row r="23" spans="2:11" x14ac:dyDescent="0.3">
      <c r="B23" s="1">
        <v>46056</v>
      </c>
      <c r="C23" s="4">
        <v>54.45</v>
      </c>
      <c r="D23" s="4">
        <v>233.64</v>
      </c>
      <c r="E23" s="12">
        <f t="shared" si="0"/>
        <v>4.2909090909090901</v>
      </c>
      <c r="F23" s="13">
        <f t="shared" si="1"/>
        <v>4.2919139070801258</v>
      </c>
      <c r="G23" s="13">
        <f t="shared" si="6"/>
        <v>4.2922617320697212</v>
      </c>
      <c r="H23" s="4">
        <f t="shared" si="2"/>
        <v>233.69471224051287</v>
      </c>
      <c r="I23" s="4">
        <f t="shared" si="3"/>
        <v>233.71365131119634</v>
      </c>
      <c r="J23" s="15">
        <f t="shared" si="4"/>
        <v>2.3414584592073648E-4</v>
      </c>
      <c r="K23" s="15">
        <f t="shared" si="5"/>
        <v>3.1518449293991267E-4</v>
      </c>
    </row>
    <row r="24" spans="2:11" x14ac:dyDescent="0.3">
      <c r="B24" s="1">
        <v>46057</v>
      </c>
      <c r="C24" s="4">
        <v>54.99</v>
      </c>
      <c r="D24" s="4">
        <v>236.02</v>
      </c>
      <c r="E24" s="12">
        <f t="shared" si="0"/>
        <v>4.2920531005637388</v>
      </c>
      <c r="F24" s="13">
        <f t="shared" si="1"/>
        <v>4.2920142213796337</v>
      </c>
      <c r="G24" s="13">
        <f t="shared" si="6"/>
        <v>4.2922617320697212</v>
      </c>
      <c r="H24" s="4">
        <f t="shared" si="2"/>
        <v>236.01786203366606</v>
      </c>
      <c r="I24" s="4">
        <f t="shared" si="3"/>
        <v>236.03147264651398</v>
      </c>
      <c r="J24" s="15">
        <f t="shared" si="4"/>
        <v>-9.0584527468241945E-6</v>
      </c>
      <c r="K24" s="15">
        <f t="shared" si="5"/>
        <v>4.8607608199654184E-5</v>
      </c>
    </row>
    <row r="25" spans="2:11" x14ac:dyDescent="0.3">
      <c r="B25" s="1">
        <v>46058</v>
      </c>
      <c r="C25" s="4">
        <v>55.06</v>
      </c>
      <c r="D25" s="4">
        <v>236.13</v>
      </c>
      <c r="E25" s="12">
        <f t="shared" si="0"/>
        <v>4.2885942608063932</v>
      </c>
      <c r="F25" s="13">
        <f t="shared" si="1"/>
        <v>4.2918777337620586</v>
      </c>
      <c r="G25" s="13">
        <f t="shared" si="6"/>
        <v>4.2922617320697212</v>
      </c>
      <c r="H25" s="4">
        <f t="shared" si="2"/>
        <v>236.31078802093896</v>
      </c>
      <c r="I25" s="4">
        <f t="shared" si="3"/>
        <v>236.33193096775886</v>
      </c>
      <c r="J25" s="15">
        <f t="shared" si="4"/>
        <v>7.6533624677429873E-4</v>
      </c>
      <c r="K25" s="15">
        <f t="shared" si="5"/>
        <v>8.5480317807174985E-4</v>
      </c>
    </row>
    <row r="26" spans="2:11" x14ac:dyDescent="0.3">
      <c r="B26" s="1">
        <v>46059</v>
      </c>
      <c r="C26" s="4">
        <v>55.78</v>
      </c>
      <c r="D26" s="4">
        <v>239.32</v>
      </c>
      <c r="E26" s="12">
        <f t="shared" si="0"/>
        <v>4.2904266762280381</v>
      </c>
      <c r="F26" s="13">
        <f t="shared" si="1"/>
        <v>4.2918634825312409</v>
      </c>
      <c r="G26" s="13">
        <f t="shared" si="6"/>
        <v>4.2922617320697212</v>
      </c>
      <c r="H26" s="4">
        <f t="shared" si="2"/>
        <v>239.40014505559262</v>
      </c>
      <c r="I26" s="4">
        <f t="shared" si="3"/>
        <v>239.42235941484904</v>
      </c>
      <c r="J26" s="15">
        <f t="shared" si="4"/>
        <v>3.3483051494347164E-4</v>
      </c>
      <c r="K26" s="15">
        <f t="shared" si="5"/>
        <v>4.2761796359071003E-4</v>
      </c>
    </row>
    <row r="27" spans="2:11" x14ac:dyDescent="0.3">
      <c r="B27" s="1">
        <v>46062</v>
      </c>
      <c r="C27" s="4">
        <v>55.31</v>
      </c>
      <c r="D27" s="4">
        <v>237.36</v>
      </c>
      <c r="E27" s="12">
        <f t="shared" si="0"/>
        <v>4.2914482010486354</v>
      </c>
      <c r="F27" s="13">
        <f t="shared" si="1"/>
        <v>4.2918289274095436</v>
      </c>
      <c r="G27" s="13">
        <f t="shared" si="6"/>
        <v>4.2922617320697212</v>
      </c>
      <c r="H27" s="4">
        <f t="shared" si="2"/>
        <v>237.38105797502186</v>
      </c>
      <c r="I27" s="4">
        <f t="shared" si="3"/>
        <v>237.4049964007763</v>
      </c>
      <c r="J27" s="15">
        <f t="shared" si="4"/>
        <v>8.8713519430971152E-5</v>
      </c>
      <c r="K27" s="15">
        <f t="shared" si="5"/>
        <v>1.8955231009924118E-4</v>
      </c>
    </row>
    <row r="28" spans="2:11" x14ac:dyDescent="0.3">
      <c r="B28" s="1">
        <v>46063</v>
      </c>
      <c r="C28" s="4">
        <v>54.97</v>
      </c>
      <c r="D28" s="4">
        <v>235.81</v>
      </c>
      <c r="E28" s="12">
        <f t="shared" si="0"/>
        <v>4.2897944333272697</v>
      </c>
      <c r="F28" s="13">
        <f t="shared" si="1"/>
        <v>4.2916272182582968</v>
      </c>
      <c r="G28" s="13">
        <f t="shared" si="6"/>
        <v>4.2922617320697212</v>
      </c>
      <c r="H28" s="4">
        <f t="shared" si="2"/>
        <v>235.91074818765858</v>
      </c>
      <c r="I28" s="4">
        <f t="shared" si="3"/>
        <v>235.94562741187258</v>
      </c>
      <c r="J28" s="15">
        <f t="shared" si="4"/>
        <v>4.2715182479269098E-4</v>
      </c>
      <c r="K28" s="15">
        <f t="shared" si="5"/>
        <v>5.7499013357119246E-4</v>
      </c>
    </row>
    <row r="29" spans="2:11" x14ac:dyDescent="0.3">
      <c r="B29" s="1">
        <v>46064</v>
      </c>
      <c r="C29" s="4">
        <v>55.65</v>
      </c>
      <c r="D29" s="4">
        <v>238.82</v>
      </c>
      <c r="E29" s="12">
        <f t="shared" si="0"/>
        <v>4.2914645103324345</v>
      </c>
      <c r="F29" s="13">
        <f t="shared" si="1"/>
        <v>4.2915477876161328</v>
      </c>
      <c r="G29" s="13">
        <f t="shared" si="6"/>
        <v>4.2922617320697212</v>
      </c>
      <c r="H29" s="4">
        <f t="shared" si="2"/>
        <v>238.82463438083778</v>
      </c>
      <c r="I29" s="4">
        <f t="shared" si="3"/>
        <v>238.86436538967999</v>
      </c>
      <c r="J29" s="15">
        <f t="shared" si="4"/>
        <v>1.9405141414157898E-5</v>
      </c>
      <c r="K29" s="15">
        <f t="shared" si="5"/>
        <v>1.8575190239420957E-4</v>
      </c>
    </row>
    <row r="30" spans="2:11" x14ac:dyDescent="0.3">
      <c r="B30" s="1">
        <v>46065</v>
      </c>
      <c r="C30" s="4">
        <v>56.39</v>
      </c>
      <c r="D30" s="4">
        <v>241.86</v>
      </c>
      <c r="E30" s="12">
        <f t="shared" si="0"/>
        <v>4.289058343677957</v>
      </c>
      <c r="F30" s="13">
        <f t="shared" si="1"/>
        <v>4.2913016084724012</v>
      </c>
      <c r="G30" s="13">
        <f t="shared" si="6"/>
        <v>4.2922617320697212</v>
      </c>
      <c r="H30" s="4">
        <f t="shared" si="2"/>
        <v>241.98649770175871</v>
      </c>
      <c r="I30" s="4">
        <f t="shared" si="3"/>
        <v>242.04063907141159</v>
      </c>
      <c r="J30" s="15">
        <f t="shared" si="4"/>
        <v>5.2288362214729562E-4</v>
      </c>
      <c r="K30" s="15">
        <f t="shared" si="5"/>
        <v>7.4659574804025557E-4</v>
      </c>
    </row>
    <row r="31" spans="2:11" x14ac:dyDescent="0.3">
      <c r="B31" s="1">
        <v>46066</v>
      </c>
      <c r="C31" s="4">
        <v>56.57</v>
      </c>
      <c r="D31" s="4">
        <v>242.63</v>
      </c>
      <c r="E31" s="12">
        <f t="shared" si="0"/>
        <v>4.2890224500618706</v>
      </c>
      <c r="F31" s="13">
        <f t="shared" si="1"/>
        <v>4.2911625985124502</v>
      </c>
      <c r="G31" s="13">
        <f t="shared" si="6"/>
        <v>4.2922617320697212</v>
      </c>
      <c r="H31" s="4">
        <f t="shared" si="2"/>
        <v>242.75106819784932</v>
      </c>
      <c r="I31" s="4">
        <f t="shared" si="3"/>
        <v>242.81324618318413</v>
      </c>
      <c r="J31" s="15">
        <f t="shared" si="4"/>
        <v>4.9885835395105968E-4</v>
      </c>
      <c r="K31" s="15">
        <f t="shared" si="5"/>
        <v>7.5496443025492642E-4</v>
      </c>
    </row>
    <row r="32" spans="2:11" x14ac:dyDescent="0.3">
      <c r="B32" s="1">
        <v>46070</v>
      </c>
      <c r="C32" s="4">
        <v>55.79</v>
      </c>
      <c r="D32" s="4">
        <v>239.36</v>
      </c>
      <c r="E32" s="12">
        <f t="shared" si="0"/>
        <v>4.2903746191073671</v>
      </c>
      <c r="F32" s="13">
        <f t="shared" si="1"/>
        <v>4.2910359325814067</v>
      </c>
      <c r="G32" s="13">
        <f t="shared" si="6"/>
        <v>4.2922617320697212</v>
      </c>
      <c r="H32" s="4">
        <f t="shared" si="2"/>
        <v>239.39689467871668</v>
      </c>
      <c r="I32" s="4">
        <f t="shared" si="3"/>
        <v>239.46528203216974</v>
      </c>
      <c r="J32" s="15">
        <f t="shared" si="4"/>
        <v>1.541269867850278E-4</v>
      </c>
      <c r="K32" s="15">
        <f t="shared" si="5"/>
        <v>4.3975135740331045E-4</v>
      </c>
    </row>
    <row r="33" spans="2:11" x14ac:dyDescent="0.3">
      <c r="B33" s="1">
        <v>46071</v>
      </c>
      <c r="C33" s="4">
        <v>55.53</v>
      </c>
      <c r="D33" s="4">
        <v>238.38</v>
      </c>
      <c r="E33" s="12">
        <f t="shared" si="0"/>
        <v>4.2928146947595893</v>
      </c>
      <c r="F33" s="13">
        <f t="shared" si="1"/>
        <v>4.2911608475686664</v>
      </c>
      <c r="G33" s="13">
        <f t="shared" si="6"/>
        <v>4.2922617320697212</v>
      </c>
      <c r="H33" s="4">
        <f t="shared" si="2"/>
        <v>238.28816186548806</v>
      </c>
      <c r="I33" s="4">
        <f t="shared" si="3"/>
        <v>238.34929398183161</v>
      </c>
      <c r="J33" s="15">
        <f t="shared" si="4"/>
        <v>-3.8533362618081029E-4</v>
      </c>
      <c r="K33" s="15">
        <f t="shared" si="5"/>
        <v>-1.2881951496783342E-4</v>
      </c>
    </row>
    <row r="34" spans="2:11" x14ac:dyDescent="0.3">
      <c r="B34" s="1">
        <v>46072</v>
      </c>
      <c r="C34" s="4">
        <v>55.39</v>
      </c>
      <c r="D34" s="4">
        <v>237.63</v>
      </c>
      <c r="E34" s="12">
        <f t="shared" si="0"/>
        <v>4.2901245712222424</v>
      </c>
      <c r="F34" s="13">
        <f t="shared" si="1"/>
        <v>4.2910455164967507</v>
      </c>
      <c r="G34" s="13">
        <f t="shared" si="6"/>
        <v>4.2922617320697212</v>
      </c>
      <c r="H34" s="4">
        <f t="shared" si="2"/>
        <v>237.68101115875501</v>
      </c>
      <c r="I34" s="4">
        <f t="shared" si="3"/>
        <v>237.74837733934186</v>
      </c>
      <c r="J34" s="15">
        <f t="shared" si="4"/>
        <v>2.1464328725110673E-4</v>
      </c>
      <c r="K34" s="15">
        <f t="shared" si="5"/>
        <v>4.9803418679356289E-4</v>
      </c>
    </row>
    <row r="35" spans="2:11" x14ac:dyDescent="0.3">
      <c r="B35" s="1">
        <v>46073</v>
      </c>
      <c r="C35" s="4">
        <v>55.5</v>
      </c>
      <c r="D35" s="4">
        <v>238.2</v>
      </c>
      <c r="E35" s="12">
        <f t="shared" si="0"/>
        <v>4.2918918918918916</v>
      </c>
      <c r="F35" s="13">
        <f t="shared" si="1"/>
        <v>4.2910535873547442</v>
      </c>
      <c r="G35" s="13">
        <f t="shared" si="6"/>
        <v>4.2922617320697212</v>
      </c>
      <c r="H35" s="4">
        <f t="shared" si="2"/>
        <v>238.1534740981883</v>
      </c>
      <c r="I35" s="4">
        <f t="shared" si="3"/>
        <v>238.22052612986951</v>
      </c>
      <c r="J35" s="15">
        <f t="shared" si="4"/>
        <v>-1.9534192354829478E-4</v>
      </c>
      <c r="K35" s="15">
        <f t="shared" si="5"/>
        <v>8.616811726797485E-5</v>
      </c>
    </row>
    <row r="36" spans="2:11" x14ac:dyDescent="0.3">
      <c r="B36" s="1">
        <v>46076</v>
      </c>
      <c r="C36" s="4">
        <v>56.17</v>
      </c>
      <c r="D36" s="4">
        <v>241.01</v>
      </c>
      <c r="E36" s="12">
        <f t="shared" si="0"/>
        <v>4.2907245860779772</v>
      </c>
      <c r="F36" s="13">
        <f t="shared" si="1"/>
        <v>4.2910159962629058</v>
      </c>
      <c r="G36" s="13">
        <f t="shared" si="6"/>
        <v>4.2922617320697212</v>
      </c>
      <c r="H36" s="4">
        <f t="shared" si="2"/>
        <v>241.02636851008742</v>
      </c>
      <c r="I36" s="4">
        <f t="shared" si="3"/>
        <v>241.09634149035625</v>
      </c>
      <c r="J36" s="15">
        <f t="shared" si="4"/>
        <v>6.7914004680980918E-5</v>
      </c>
      <c r="K36" s="15">
        <f t="shared" si="5"/>
        <v>3.5818442467458467E-4</v>
      </c>
    </row>
    <row r="37" spans="2:11" x14ac:dyDescent="0.3">
      <c r="B37" s="1">
        <v>46077</v>
      </c>
      <c r="C37" s="4">
        <v>56.66</v>
      </c>
      <c r="D37" s="4">
        <v>243.1</v>
      </c>
      <c r="E37" s="12">
        <f t="shared" si="0"/>
        <v>4.290504765266502</v>
      </c>
      <c r="F37" s="13">
        <f t="shared" si="1"/>
        <v>4.2909765555397579</v>
      </c>
      <c r="G37" s="13">
        <f t="shared" si="6"/>
        <v>4.2922617320697212</v>
      </c>
      <c r="H37" s="4">
        <f t="shared" si="2"/>
        <v>243.12673163688265</v>
      </c>
      <c r="I37" s="4">
        <f t="shared" si="3"/>
        <v>243.19954973907039</v>
      </c>
      <c r="J37" s="15">
        <f t="shared" si="4"/>
        <v>1.0995543918194572E-4</v>
      </c>
      <c r="K37" s="15">
        <f t="shared" si="5"/>
        <v>4.0941736637172265E-4</v>
      </c>
    </row>
    <row r="38" spans="2:11" x14ac:dyDescent="0.3">
      <c r="B38" s="1">
        <v>46078</v>
      </c>
      <c r="C38" s="4">
        <v>56.23</v>
      </c>
      <c r="D38" s="4">
        <v>241.29</v>
      </c>
      <c r="E38" s="12">
        <f t="shared" si="0"/>
        <v>4.2911257335941668</v>
      </c>
      <c r="F38" s="13">
        <f t="shared" si="1"/>
        <v>4.2909012432828924</v>
      </c>
      <c r="G38" s="13">
        <f t="shared" si="6"/>
        <v>4.2922617320697212</v>
      </c>
      <c r="H38" s="4">
        <f t="shared" si="2"/>
        <v>241.27737690979703</v>
      </c>
      <c r="I38" s="4">
        <f t="shared" si="3"/>
        <v>241.35387719428041</v>
      </c>
      <c r="J38" s="15">
        <f t="shared" si="4"/>
        <v>-5.2316384446316753E-5</v>
      </c>
      <c r="K38" s="15">
        <f t="shared" si="5"/>
        <v>2.6469700610202377E-4</v>
      </c>
    </row>
    <row r="39" spans="2:11" x14ac:dyDescent="0.3">
      <c r="B39" s="1">
        <v>46079</v>
      </c>
      <c r="C39" s="4">
        <v>56.15</v>
      </c>
      <c r="D39" s="4">
        <v>240.89</v>
      </c>
      <c r="E39" s="12">
        <f t="shared" si="0"/>
        <v>4.2901157613535172</v>
      </c>
      <c r="F39" s="13">
        <f t="shared" si="1"/>
        <v>4.2907406203076244</v>
      </c>
      <c r="G39" s="13">
        <f t="shared" si="6"/>
        <v>4.2922617320697212</v>
      </c>
      <c r="H39" s="4">
        <f t="shared" si="2"/>
        <v>240.9250858302731</v>
      </c>
      <c r="I39" s="4">
        <f t="shared" si="3"/>
        <v>241.01049625571483</v>
      </c>
      <c r="J39" s="15">
        <f t="shared" si="4"/>
        <v>1.4564023156178881E-4</v>
      </c>
      <c r="K39" s="15">
        <f t="shared" si="5"/>
        <v>5.0008771172602509E-4</v>
      </c>
    </row>
    <row r="40" spans="2:11" x14ac:dyDescent="0.3">
      <c r="B40" s="1">
        <v>46080</v>
      </c>
      <c r="C40" s="4">
        <v>56.91</v>
      </c>
      <c r="D40" s="4">
        <v>244.19</v>
      </c>
      <c r="E40" s="12">
        <f t="shared" si="0"/>
        <v>4.2908100509576528</v>
      </c>
      <c r="F40" s="13">
        <f t="shared" si="1"/>
        <v>4.2907736487274875</v>
      </c>
      <c r="G40" s="13">
        <f t="shared" si="6"/>
        <v>4.2922617320697212</v>
      </c>
      <c r="H40" s="4">
        <f t="shared" si="2"/>
        <v>244.18792834908129</v>
      </c>
      <c r="I40" s="4">
        <f t="shared" si="3"/>
        <v>244.27261517208782</v>
      </c>
      <c r="J40" s="15">
        <f t="shared" si="4"/>
        <v>-8.4838023935140843E-6</v>
      </c>
      <c r="K40" s="15">
        <f t="shared" si="5"/>
        <v>3.382661039330161E-4</v>
      </c>
    </row>
    <row r="41" spans="2:11" x14ac:dyDescent="0.3">
      <c r="B41" s="1">
        <v>46083</v>
      </c>
      <c r="C41" s="4">
        <v>56.14</v>
      </c>
      <c r="D41" s="4">
        <v>240.91</v>
      </c>
      <c r="E41" s="12">
        <f t="shared" si="0"/>
        <v>4.2912361952262197</v>
      </c>
      <c r="F41" s="13">
        <f t="shared" si="1"/>
        <v>4.2906835477812688</v>
      </c>
      <c r="G41" s="13">
        <f t="shared" si="6"/>
        <v>4.2922617320697212</v>
      </c>
      <c r="H41" s="4">
        <f t="shared" si="2"/>
        <v>240.87897437244044</v>
      </c>
      <c r="I41" s="4">
        <f t="shared" si="3"/>
        <v>240.96757363839416</v>
      </c>
      <c r="J41" s="15">
        <f t="shared" si="4"/>
        <v>-1.2879343136845673E-4</v>
      </c>
      <c r="K41" s="15">
        <f t="shared" si="5"/>
        <v>2.3895546013237459E-4</v>
      </c>
    </row>
    <row r="42" spans="2:11" x14ac:dyDescent="0.3">
      <c r="B42" s="1">
        <v>46084</v>
      </c>
      <c r="C42" s="4">
        <v>55.62</v>
      </c>
      <c r="D42" s="4">
        <v>238.63</v>
      </c>
      <c r="E42" s="12">
        <f t="shared" si="0"/>
        <v>4.2903631787126937</v>
      </c>
      <c r="F42" s="13">
        <f t="shared" si="1"/>
        <v>4.2906428557562624</v>
      </c>
      <c r="G42" s="13">
        <f t="shared" si="6"/>
        <v>4.2922617320697212</v>
      </c>
      <c r="H42" s="4">
        <f t="shared" si="2"/>
        <v>238.64555563716331</v>
      </c>
      <c r="I42" s="4">
        <f t="shared" si="3"/>
        <v>238.73559753771789</v>
      </c>
      <c r="J42" s="15">
        <f t="shared" si="4"/>
        <v>6.5185140890082702E-5</v>
      </c>
      <c r="K42" s="15">
        <f t="shared" si="5"/>
        <v>4.4241788677260225E-4</v>
      </c>
    </row>
    <row r="43" spans="2:11" x14ac:dyDescent="0.3">
      <c r="B43" s="1">
        <v>46085</v>
      </c>
      <c r="C43" s="4">
        <v>55.27</v>
      </c>
      <c r="D43" s="4">
        <v>237.13</v>
      </c>
      <c r="E43" s="12">
        <f t="shared" si="0"/>
        <v>4.2903926180568117</v>
      </c>
      <c r="F43" s="13">
        <f t="shared" si="1"/>
        <v>4.2906170321136496</v>
      </c>
      <c r="G43" s="13">
        <f t="shared" si="6"/>
        <v>4.2922617320697212</v>
      </c>
      <c r="H43" s="4">
        <f t="shared" si="2"/>
        <v>237.14240336492142</v>
      </c>
      <c r="I43" s="4">
        <f t="shared" si="3"/>
        <v>237.2333059314935</v>
      </c>
      <c r="J43" s="15">
        <f t="shared" si="4"/>
        <v>5.23048140108935E-5</v>
      </c>
      <c r="K43" s="15">
        <f t="shared" si="5"/>
        <v>4.355561732322433E-4</v>
      </c>
    </row>
    <row r="44" spans="2:11" x14ac:dyDescent="0.3">
      <c r="B44" s="1">
        <v>46086</v>
      </c>
      <c r="C44" s="4">
        <v>54.09</v>
      </c>
      <c r="D44" s="4">
        <v>232.11</v>
      </c>
      <c r="E44" s="12">
        <f t="shared" si="0"/>
        <v>4.2911813643926786</v>
      </c>
      <c r="F44" s="13">
        <f t="shared" si="1"/>
        <v>4.2905734453050961</v>
      </c>
      <c r="G44" s="13">
        <f t="shared" si="6"/>
        <v>4.2922617320697212</v>
      </c>
      <c r="H44" s="4">
        <f t="shared" si="2"/>
        <v>232.07711765655267</v>
      </c>
      <c r="I44" s="4">
        <f t="shared" si="3"/>
        <v>232.16843708765123</v>
      </c>
      <c r="J44" s="15">
        <f t="shared" si="4"/>
        <v>-1.4167710499308358E-4</v>
      </c>
      <c r="K44" s="15">
        <f t="shared" si="5"/>
        <v>2.5173293994161289E-4</v>
      </c>
    </row>
    <row r="45" spans="2:11" x14ac:dyDescent="0.3">
      <c r="B45" s="1">
        <v>46087</v>
      </c>
      <c r="C45" s="4">
        <v>54.26</v>
      </c>
      <c r="D45" s="4">
        <v>232.79</v>
      </c>
      <c r="E45" s="12">
        <f t="shared" si="0"/>
        <v>4.2902690748249173</v>
      </c>
      <c r="F45" s="13">
        <f t="shared" si="1"/>
        <v>4.2906571860060225</v>
      </c>
      <c r="G45" s="13">
        <f t="shared" si="6"/>
        <v>4.2922617320697212</v>
      </c>
      <c r="H45" s="4">
        <f t="shared" si="2"/>
        <v>232.81105891268678</v>
      </c>
      <c r="I45" s="4">
        <f t="shared" si="3"/>
        <v>232.89812158210307</v>
      </c>
      <c r="J45" s="15">
        <f t="shared" si="4"/>
        <v>9.045904126735887E-5</v>
      </c>
      <c r="K45" s="15">
        <f t="shared" si="5"/>
        <v>4.6435190864891295E-4</v>
      </c>
    </row>
    <row r="46" spans="2:11" x14ac:dyDescent="0.3">
      <c r="B46" s="1">
        <v>46090</v>
      </c>
      <c r="C46" s="4">
        <v>54.41</v>
      </c>
      <c r="D46" s="4">
        <v>233.42</v>
      </c>
      <c r="E46" s="12">
        <f t="shared" si="0"/>
        <v>4.2900202168718984</v>
      </c>
      <c r="F46" s="13">
        <f t="shared" si="1"/>
        <v>4.2906368630382152</v>
      </c>
      <c r="G46" s="13">
        <f t="shared" si="6"/>
        <v>4.2922617320697212</v>
      </c>
      <c r="H46" s="4">
        <f t="shared" si="2"/>
        <v>233.45355171790928</v>
      </c>
      <c r="I46" s="4">
        <f t="shared" si="3"/>
        <v>233.54196084191352</v>
      </c>
      <c r="J46" s="15">
        <f t="shared" si="4"/>
        <v>1.4372935816821486E-4</v>
      </c>
      <c r="K46" s="15">
        <f t="shared" si="5"/>
        <v>5.2235879970538861E-4</v>
      </c>
    </row>
    <row r="47" spans="2:11" x14ac:dyDescent="0.3">
      <c r="B47" s="1">
        <v>46091</v>
      </c>
      <c r="C47" s="4">
        <v>54.33</v>
      </c>
      <c r="D47" s="4">
        <v>233.16</v>
      </c>
      <c r="E47" s="12">
        <f t="shared" si="0"/>
        <v>4.2915516289342905</v>
      </c>
      <c r="F47" s="13">
        <f t="shared" si="1"/>
        <v>4.2906420344324978</v>
      </c>
      <c r="G47" s="13">
        <f t="shared" si="6"/>
        <v>4.2922617320697212</v>
      </c>
      <c r="H47" s="4">
        <f t="shared" si="2"/>
        <v>233.1105817307176</v>
      </c>
      <c r="I47" s="4">
        <f t="shared" si="3"/>
        <v>233.19857990334793</v>
      </c>
      <c r="J47" s="15">
        <f t="shared" si="4"/>
        <v>-2.11972495815704E-4</v>
      </c>
      <c r="K47" s="15">
        <f t="shared" si="5"/>
        <v>1.6545167216145348E-4</v>
      </c>
    </row>
    <row r="48" spans="2:11" x14ac:dyDescent="0.3">
      <c r="B48" s="1">
        <v>46092</v>
      </c>
      <c r="C48" s="4">
        <v>53.71</v>
      </c>
      <c r="D48" s="4">
        <v>230.53</v>
      </c>
      <c r="E48" s="12">
        <f t="shared" si="0"/>
        <v>4.2921243716253956</v>
      </c>
      <c r="F48" s="13">
        <f t="shared" si="1"/>
        <v>4.2907585313474037</v>
      </c>
      <c r="G48" s="13">
        <f t="shared" si="6"/>
        <v>4.2922617320697212</v>
      </c>
      <c r="H48" s="4">
        <f t="shared" si="2"/>
        <v>230.45664071866906</v>
      </c>
      <c r="I48" s="4">
        <f t="shared" si="3"/>
        <v>230.53737762946471</v>
      </c>
      <c r="J48" s="15">
        <f t="shared" si="4"/>
        <v>-3.1827075004087506E-4</v>
      </c>
      <c r="K48" s="15">
        <f t="shared" si="5"/>
        <v>3.2002391942156671E-5</v>
      </c>
    </row>
    <row r="49" spans="1:21" x14ac:dyDescent="0.3">
      <c r="B49" s="1">
        <v>46093</v>
      </c>
      <c r="C49" s="4">
        <v>53.59</v>
      </c>
      <c r="D49" s="4">
        <v>230.13</v>
      </c>
      <c r="E49" s="12">
        <f t="shared" si="0"/>
        <v>4.2942713192759836</v>
      </c>
      <c r="F49" s="13">
        <f t="shared" si="1"/>
        <v>4.2908988717945808</v>
      </c>
      <c r="G49" s="13">
        <f t="shared" si="6"/>
        <v>4.2922617320697212</v>
      </c>
      <c r="H49" s="4">
        <f t="shared" si="2"/>
        <v>229.9492705394716</v>
      </c>
      <c r="I49" s="4">
        <f t="shared" si="3"/>
        <v>230.02230622161636</v>
      </c>
      <c r="J49" s="15">
        <f t="shared" si="4"/>
        <v>-7.8564491554931903E-4</v>
      </c>
      <c r="K49" s="15">
        <f t="shared" si="5"/>
        <v>-4.6807884647683651E-4</v>
      </c>
    </row>
    <row r="50" spans="1:21" x14ac:dyDescent="0.3">
      <c r="B50" s="1">
        <v>46094</v>
      </c>
      <c r="C50" s="4">
        <v>53.93</v>
      </c>
      <c r="D50" s="4">
        <v>231.38</v>
      </c>
      <c r="E50" s="12">
        <f t="shared" si="0"/>
        <v>4.290376413869831</v>
      </c>
      <c r="F50" s="13">
        <f t="shared" si="1"/>
        <v>4.2909647753041744</v>
      </c>
      <c r="G50" s="13">
        <f t="shared" si="6"/>
        <v>4.2922617320697212</v>
      </c>
      <c r="H50" s="4">
        <f t="shared" si="2"/>
        <v>231.41173033215412</v>
      </c>
      <c r="I50" s="4">
        <f t="shared" si="3"/>
        <v>231.48167521052005</v>
      </c>
      <c r="J50" s="15">
        <f t="shared" si="4"/>
        <v>1.3712575279192961E-4</v>
      </c>
      <c r="K50" s="15">
        <f t="shared" si="5"/>
        <v>4.3933303447179128E-4</v>
      </c>
    </row>
    <row r="51" spans="1:21" x14ac:dyDescent="0.3">
      <c r="B51" s="1">
        <v>46097</v>
      </c>
      <c r="C51" s="4">
        <v>53.96</v>
      </c>
      <c r="D51" s="4">
        <v>231.66</v>
      </c>
      <c r="E51" s="12">
        <f t="shared" si="0"/>
        <v>4.2931801334321715</v>
      </c>
      <c r="F51" s="13">
        <f t="shared" si="1"/>
        <v>4.2911726594726902</v>
      </c>
      <c r="G51" s="13">
        <f t="shared" si="6"/>
        <v>4.2922617320697212</v>
      </c>
      <c r="H51" s="4">
        <f t="shared" si="2"/>
        <v>231.55167670514638</v>
      </c>
      <c r="I51" s="4">
        <f t="shared" si="3"/>
        <v>231.61044306248215</v>
      </c>
      <c r="J51" s="15">
        <f t="shared" si="4"/>
        <v>-4.6770538082614884E-4</v>
      </c>
      <c r="K51" s="15">
        <f t="shared" si="5"/>
        <v>-2.1394387856593172E-4</v>
      </c>
    </row>
    <row r="52" spans="1:21" x14ac:dyDescent="0.3">
      <c r="B52" s="1">
        <v>46098</v>
      </c>
      <c r="C52" s="4">
        <v>53.76</v>
      </c>
      <c r="D52" s="4">
        <v>230.81</v>
      </c>
      <c r="E52" s="12">
        <f t="shared" si="0"/>
        <v>4.2933407738095237</v>
      </c>
      <c r="F52" s="13">
        <f t="shared" si="1"/>
        <v>4.2913209672077972</v>
      </c>
      <c r="G52" s="13">
        <f t="shared" si="6"/>
        <v>4.2922617320697212</v>
      </c>
      <c r="H52" s="4">
        <f t="shared" si="2"/>
        <v>230.70141519709117</v>
      </c>
      <c r="I52" s="4">
        <f t="shared" si="3"/>
        <v>230.75199071606821</v>
      </c>
      <c r="J52" s="15">
        <f t="shared" si="4"/>
        <v>-4.7056172972926051E-4</v>
      </c>
      <c r="K52" s="15">
        <f t="shared" si="5"/>
        <v>-2.513607506858864E-4</v>
      </c>
    </row>
    <row r="53" spans="1:21" x14ac:dyDescent="0.3">
      <c r="B53" s="1">
        <v>46099</v>
      </c>
      <c r="C53" s="4">
        <v>52.5</v>
      </c>
      <c r="D53" s="4">
        <v>225.32</v>
      </c>
      <c r="E53" s="12">
        <f t="shared" si="0"/>
        <v>4.2918095238095235</v>
      </c>
      <c r="F53" s="13">
        <f t="shared" si="1"/>
        <v>4.2912707086602939</v>
      </c>
      <c r="G53" s="13">
        <f t="shared" si="6"/>
        <v>4.2922617320697212</v>
      </c>
      <c r="H53" s="4">
        <f t="shared" si="2"/>
        <v>225.29171220466543</v>
      </c>
      <c r="I53" s="4">
        <f t="shared" si="3"/>
        <v>225.34374093366037</v>
      </c>
      <c r="J53" s="15">
        <f t="shared" si="4"/>
        <v>-1.2555286338795227E-4</v>
      </c>
      <c r="K53" s="15">
        <f t="shared" si="5"/>
        <v>1.0535985714389165E-4</v>
      </c>
    </row>
    <row r="54" spans="1:21" x14ac:dyDescent="0.3">
      <c r="B54" s="1">
        <v>46100</v>
      </c>
      <c r="C54" s="4">
        <v>52.12</v>
      </c>
      <c r="D54" s="4">
        <v>223.68</v>
      </c>
      <c r="E54" s="12">
        <f t="shared" si="0"/>
        <v>4.2916346891788182</v>
      </c>
      <c r="F54" s="13">
        <f t="shared" si="1"/>
        <v>4.2913462145581232</v>
      </c>
      <c r="G54" s="13">
        <f t="shared" si="6"/>
        <v>4.2922617320697212</v>
      </c>
      <c r="H54" s="4">
        <f t="shared" si="2"/>
        <v>223.66496470276937</v>
      </c>
      <c r="I54" s="4">
        <f t="shared" si="3"/>
        <v>223.71268147547386</v>
      </c>
      <c r="J54" s="15">
        <f t="shared" si="4"/>
        <v>-6.7220147414793761E-5</v>
      </c>
      <c r="K54" s="15">
        <f t="shared" si="5"/>
        <v>1.4609749727780358E-4</v>
      </c>
    </row>
    <row r="55" spans="1:21" s="8" customFormat="1" x14ac:dyDescent="0.3">
      <c r="A55" s="8" t="s">
        <v>15</v>
      </c>
      <c r="B55" s="6">
        <v>46101</v>
      </c>
      <c r="C55" s="9">
        <f>51.33+0.29</f>
        <v>51.62</v>
      </c>
      <c r="D55" s="7">
        <v>221.54</v>
      </c>
      <c r="E55" s="12">
        <f t="shared" si="0"/>
        <v>4.2917473847345988</v>
      </c>
      <c r="F55" s="13">
        <f t="shared" si="1"/>
        <v>4.2913389892002582</v>
      </c>
      <c r="G55" s="13">
        <f t="shared" si="6"/>
        <v>4.2922617320697212</v>
      </c>
      <c r="H55" s="4">
        <f t="shared" si="2"/>
        <v>221.51891862251733</v>
      </c>
      <c r="I55" s="4">
        <f t="shared" si="3"/>
        <v>221.56655060943899</v>
      </c>
      <c r="J55" s="15">
        <f t="shared" si="4"/>
        <v>-9.516286260128468E-5</v>
      </c>
      <c r="K55" s="15">
        <f t="shared" si="5"/>
        <v>1.1983848775997618E-4</v>
      </c>
      <c r="L55" s="4"/>
      <c r="M55" s="4"/>
      <c r="N55" s="4"/>
      <c r="O55" s="4"/>
      <c r="P55" s="4"/>
      <c r="Q55"/>
      <c r="R55"/>
      <c r="S55"/>
      <c r="T55"/>
      <c r="U55"/>
    </row>
    <row r="56" spans="1:21" x14ac:dyDescent="0.3">
      <c r="B56" s="1">
        <v>46104</v>
      </c>
      <c r="C56" s="10">
        <f>51.57+0.29</f>
        <v>51.86</v>
      </c>
      <c r="D56" s="4">
        <v>222.44</v>
      </c>
      <c r="E56" s="12">
        <f t="shared" si="0"/>
        <v>4.2892402622445047</v>
      </c>
      <c r="F56" s="13">
        <f t="shared" si="1"/>
        <v>4.2912647730085851</v>
      </c>
      <c r="G56" s="13">
        <f t="shared" si="6"/>
        <v>4.2922617320697212</v>
      </c>
      <c r="H56" s="4">
        <f t="shared" si="2"/>
        <v>222.54499112822523</v>
      </c>
      <c r="I56" s="4">
        <f t="shared" si="3"/>
        <v>222.59669342513573</v>
      </c>
      <c r="J56" s="15">
        <f t="shared" si="4"/>
        <v>4.7188616365370178E-4</v>
      </c>
      <c r="K56" s="15">
        <f t="shared" si="5"/>
        <v>7.041820772339557E-4</v>
      </c>
    </row>
    <row r="57" spans="1:21" s="8" customFormat="1" x14ac:dyDescent="0.3">
      <c r="A57" s="8" t="s">
        <v>16</v>
      </c>
      <c r="B57" s="6">
        <v>46105</v>
      </c>
      <c r="C57" s="7">
        <v>51.55</v>
      </c>
      <c r="D57" s="7">
        <v>221.31</v>
      </c>
      <c r="E57" s="12">
        <f t="shared" si="0"/>
        <v>4.2931134820562562</v>
      </c>
      <c r="F57" s="13">
        <f t="shared" si="1"/>
        <v>4.2913952088480736</v>
      </c>
      <c r="G57" s="13">
        <f t="shared" si="6"/>
        <v>4.2922617320697212</v>
      </c>
      <c r="H57" s="4">
        <f t="shared" si="2"/>
        <v>221.22142301611819</v>
      </c>
      <c r="I57" s="4">
        <f t="shared" si="3"/>
        <v>221.2660922881941</v>
      </c>
      <c r="J57" s="15">
        <f t="shared" si="4"/>
        <v>-4.0031952741808636E-4</v>
      </c>
      <c r="K57" s="15">
        <f t="shared" si="5"/>
        <v>-1.9841881527284344E-4</v>
      </c>
      <c r="L57" s="4"/>
      <c r="M57" s="4"/>
      <c r="N57" s="4"/>
      <c r="O57" s="4"/>
      <c r="P57" s="4"/>
      <c r="Q57"/>
      <c r="R57"/>
      <c r="S57"/>
      <c r="T57"/>
      <c r="U57"/>
    </row>
    <row r="58" spans="1:21" x14ac:dyDescent="0.3">
      <c r="B58" s="1">
        <v>46106</v>
      </c>
      <c r="C58" s="4">
        <v>51.89</v>
      </c>
      <c r="D58" s="4">
        <v>222.65</v>
      </c>
      <c r="E58" s="12">
        <f t="shared" si="0"/>
        <v>4.290807477355945</v>
      </c>
      <c r="F58" s="13">
        <f t="shared" si="1"/>
        <v>4.2913792960361627</v>
      </c>
      <c r="G58" s="13">
        <f t="shared" si="6"/>
        <v>4.2922617320697212</v>
      </c>
      <c r="H58" s="4">
        <f t="shared" si="2"/>
        <v>222.6796716713165</v>
      </c>
      <c r="I58" s="4">
        <f t="shared" si="3"/>
        <v>222.72546127709782</v>
      </c>
      <c r="J58" s="15">
        <f t="shared" si="4"/>
        <v>1.3325710478289887E-4</v>
      </c>
      <c r="K58" s="15">
        <f t="shared" si="5"/>
        <v>3.3886589801579713E-4</v>
      </c>
    </row>
    <row r="59" spans="1:21" x14ac:dyDescent="0.3">
      <c r="B59" s="1">
        <v>46107</v>
      </c>
      <c r="C59" s="4">
        <v>51.7</v>
      </c>
      <c r="D59" s="4">
        <v>221.7</v>
      </c>
      <c r="E59" s="12">
        <f t="shared" si="0"/>
        <v>4.2882011605415853</v>
      </c>
      <c r="F59" s="13">
        <f t="shared" si="1"/>
        <v>4.291283565995565</v>
      </c>
      <c r="G59" s="13">
        <f t="shared" si="6"/>
        <v>4.2922617320697212</v>
      </c>
      <c r="H59" s="4">
        <f t="shared" si="2"/>
        <v>221.85936036197072</v>
      </c>
      <c r="I59" s="4">
        <f t="shared" si="3"/>
        <v>221.90993154800461</v>
      </c>
      <c r="J59" s="15">
        <f t="shared" si="4"/>
        <v>7.1855261355508512E-4</v>
      </c>
      <c r="K59" s="15">
        <f t="shared" si="5"/>
        <v>9.4646917819677192E-4</v>
      </c>
    </row>
    <row r="60" spans="1:21" x14ac:dyDescent="0.3">
      <c r="B60" s="1">
        <v>46108</v>
      </c>
      <c r="C60" s="4">
        <v>52</v>
      </c>
      <c r="D60" s="4">
        <v>223.18</v>
      </c>
      <c r="E60" s="12">
        <f t="shared" si="0"/>
        <v>4.2919230769230774</v>
      </c>
      <c r="F60" s="13">
        <f t="shared" si="1"/>
        <v>4.2913392172938369</v>
      </c>
      <c r="G60" s="13">
        <f t="shared" si="6"/>
        <v>4.2922617320697212</v>
      </c>
      <c r="H60" s="4">
        <f t="shared" si="2"/>
        <v>223.14963929927953</v>
      </c>
      <c r="I60" s="4">
        <f t="shared" si="3"/>
        <v>223.1976100676255</v>
      </c>
      <c r="J60" s="15">
        <f t="shared" si="4"/>
        <v>-1.360460883349076E-4</v>
      </c>
      <c r="K60" s="15">
        <f t="shared" si="5"/>
        <v>7.8902109951168E-5</v>
      </c>
    </row>
    <row r="61" spans="1:21" x14ac:dyDescent="0.3">
      <c r="B61" s="1">
        <v>46111</v>
      </c>
      <c r="C61" s="4">
        <v>52.23</v>
      </c>
      <c r="D61" s="4">
        <v>224.07</v>
      </c>
      <c r="E61" s="12">
        <f t="shared" si="0"/>
        <v>4.2900631820792645</v>
      </c>
      <c r="F61" s="13">
        <f t="shared" si="1"/>
        <v>4.2912805666364893</v>
      </c>
      <c r="G61" s="13">
        <f t="shared" si="6"/>
        <v>4.2922617320697212</v>
      </c>
      <c r="H61" s="4">
        <f t="shared" si="2"/>
        <v>224.13358399542383</v>
      </c>
      <c r="I61" s="4">
        <f t="shared" si="3"/>
        <v>224.18483026600151</v>
      </c>
      <c r="J61" s="15">
        <f t="shared" si="4"/>
        <v>2.8372819013896942E-4</v>
      </c>
      <c r="K61" s="15">
        <f t="shared" si="5"/>
        <v>5.1234369720123041E-4</v>
      </c>
    </row>
    <row r="62" spans="1:21" x14ac:dyDescent="0.3">
      <c r="B62" s="1">
        <v>46112</v>
      </c>
      <c r="C62" s="4">
        <v>52.33</v>
      </c>
      <c r="D62" s="4">
        <v>224.59</v>
      </c>
      <c r="E62" s="12">
        <f t="shared" si="0"/>
        <v>4.2918020256067271</v>
      </c>
      <c r="F62" s="13">
        <f t="shared" si="1"/>
        <v>4.2913525089811904</v>
      </c>
      <c r="G62" s="13">
        <f t="shared" si="6"/>
        <v>4.2922617320697212</v>
      </c>
      <c r="H62" s="4">
        <f t="shared" si="2"/>
        <v>224.56647679498568</v>
      </c>
      <c r="I62" s="4">
        <f t="shared" si="3"/>
        <v>224.6140564392085</v>
      </c>
      <c r="J62" s="15">
        <f t="shared" si="4"/>
        <v>-1.0474391999725749E-4</v>
      </c>
      <c r="K62" s="15">
        <f t="shared" si="5"/>
        <v>1.0710695456396356E-4</v>
      </c>
    </row>
    <row r="63" spans="1:21" x14ac:dyDescent="0.3">
      <c r="B63" s="1">
        <v>46113</v>
      </c>
      <c r="C63" s="4">
        <v>52.1</v>
      </c>
      <c r="D63" s="4">
        <v>223.73</v>
      </c>
      <c r="E63" s="12">
        <f t="shared" si="0"/>
        <v>4.2942418426103641</v>
      </c>
      <c r="F63" s="13">
        <f t="shared" si="1"/>
        <v>4.2915449702088688</v>
      </c>
      <c r="G63" s="13">
        <f t="shared" si="6"/>
        <v>4.2922617320697212</v>
      </c>
      <c r="H63" s="4">
        <f t="shared" si="2"/>
        <v>223.58949294788206</v>
      </c>
      <c r="I63" s="4">
        <f t="shared" si="3"/>
        <v>223.62683624083249</v>
      </c>
      <c r="J63" s="15">
        <f t="shared" si="4"/>
        <v>-6.2821790221113906E-4</v>
      </c>
      <c r="K63" s="15">
        <f t="shared" si="5"/>
        <v>-4.612146395845406E-4</v>
      </c>
    </row>
    <row r="64" spans="1:21" x14ac:dyDescent="0.3">
      <c r="B64" s="1">
        <v>46114</v>
      </c>
      <c r="C64" s="4">
        <v>52.4</v>
      </c>
      <c r="D64" s="4">
        <v>224.97</v>
      </c>
      <c r="E64" s="12">
        <f t="shared" si="0"/>
        <v>4.2933206106870232</v>
      </c>
      <c r="F64" s="13">
        <f t="shared" si="1"/>
        <v>4.2916519325235853</v>
      </c>
      <c r="G64" s="13">
        <f t="shared" si="6"/>
        <v>4.2922617320697212</v>
      </c>
      <c r="H64" s="4">
        <f t="shared" si="2"/>
        <v>224.88256126423587</v>
      </c>
      <c r="I64" s="4">
        <f t="shared" si="3"/>
        <v>224.91451476045339</v>
      </c>
      <c r="J64" s="15">
        <f t="shared" si="4"/>
        <v>-3.8874397700232647E-4</v>
      </c>
      <c r="K64" s="15">
        <f t="shared" si="5"/>
        <v>-2.4666436833226492E-4</v>
      </c>
    </row>
    <row r="65" spans="2:11" x14ac:dyDescent="0.3">
      <c r="B65" s="1">
        <v>46118</v>
      </c>
      <c r="C65" s="4">
        <v>52.85</v>
      </c>
      <c r="D65" s="4">
        <v>226.81</v>
      </c>
      <c r="E65" s="12">
        <f t="shared" si="0"/>
        <v>4.2915799432355719</v>
      </c>
      <c r="F65" s="13">
        <f t="shared" si="1"/>
        <v>4.2917174759441181</v>
      </c>
      <c r="G65" s="13">
        <f t="shared" si="6"/>
        <v>4.2922617320697212</v>
      </c>
      <c r="H65" s="4">
        <f t="shared" si="2"/>
        <v>226.81726860364665</v>
      </c>
      <c r="I65" s="4">
        <f t="shared" si="3"/>
        <v>226.84603253988476</v>
      </c>
      <c r="J65" s="15">
        <f t="shared" si="4"/>
        <v>3.2046590451530521E-5</v>
      </c>
      <c r="K65" s="15">
        <f t="shared" si="5"/>
        <v>1.5885400998113416E-4</v>
      </c>
    </row>
    <row r="66" spans="2:11" x14ac:dyDescent="0.3">
      <c r="B66" s="1">
        <v>46119</v>
      </c>
      <c r="C66" s="4">
        <v>51.99</v>
      </c>
      <c r="D66" s="4">
        <v>223.16</v>
      </c>
      <c r="E66" s="12">
        <f t="shared" si="0"/>
        <v>4.2923639161377185</v>
      </c>
      <c r="F66" s="13">
        <f t="shared" si="1"/>
        <v>4.2918346609074085</v>
      </c>
      <c r="G66" s="13">
        <f t="shared" si="6"/>
        <v>4.2922617320697212</v>
      </c>
      <c r="H66" s="4">
        <f t="shared" si="2"/>
        <v>223.13248402057619</v>
      </c>
      <c r="I66" s="4">
        <f t="shared" si="3"/>
        <v>223.15468745030481</v>
      </c>
      <c r="J66" s="15">
        <f t="shared" si="4"/>
        <v>-1.2330917702579265E-4</v>
      </c>
      <c r="K66" s="15">
        <f t="shared" si="5"/>
        <v>-2.3806295624206754E-5</v>
      </c>
    </row>
    <row r="67" spans="2:11" x14ac:dyDescent="0.3">
      <c r="B67" s="1">
        <v>46120</v>
      </c>
      <c r="C67" s="4">
        <v>53.03</v>
      </c>
      <c r="D67" s="4">
        <v>227.68</v>
      </c>
      <c r="E67" s="12">
        <f t="shared" ref="E67:E130" si="7">D67/C67</f>
        <v>4.2934188195361118</v>
      </c>
      <c r="F67" s="13">
        <f t="shared" si="1"/>
        <v>4.2919280204374992</v>
      </c>
      <c r="G67" s="13">
        <f t="shared" si="6"/>
        <v>4.2922617320697212</v>
      </c>
      <c r="H67" s="4">
        <f t="shared" si="2"/>
        <v>227.6009429238006</v>
      </c>
      <c r="I67" s="4">
        <f t="shared" si="3"/>
        <v>227.61863965165733</v>
      </c>
      <c r="J67" s="15">
        <f t="shared" si="4"/>
        <v>-3.4728919900002466E-4</v>
      </c>
      <c r="K67" s="15">
        <f t="shared" si="5"/>
        <v>-2.6953890642463342E-4</v>
      </c>
    </row>
    <row r="68" spans="2:11" x14ac:dyDescent="0.3">
      <c r="B68" s="1">
        <v>46121</v>
      </c>
      <c r="C68" s="4">
        <v>53.52</v>
      </c>
      <c r="D68" s="4">
        <v>229.63</v>
      </c>
      <c r="E68" s="12">
        <f t="shared" si="7"/>
        <v>4.2905455904334824</v>
      </c>
      <c r="F68" s="13">
        <f t="shared" si="1"/>
        <v>4.2918490813779044</v>
      </c>
      <c r="G68" s="13">
        <f t="shared" si="6"/>
        <v>4.2922617320697212</v>
      </c>
      <c r="H68" s="4">
        <f t="shared" si="2"/>
        <v>229.69976283534547</v>
      </c>
      <c r="I68" s="4">
        <f t="shared" si="3"/>
        <v>229.7218479003715</v>
      </c>
      <c r="J68" s="15">
        <f t="shared" si="4"/>
        <v>3.0375926633302922E-4</v>
      </c>
      <c r="K68" s="15">
        <f t="shared" si="5"/>
        <v>3.9990217527311768E-4</v>
      </c>
    </row>
    <row r="69" spans="2:11" x14ac:dyDescent="0.3">
      <c r="B69" s="1">
        <v>46122</v>
      </c>
      <c r="C69" s="4">
        <v>52.79</v>
      </c>
      <c r="D69" s="4">
        <v>226.52</v>
      </c>
      <c r="E69" s="12">
        <f t="shared" si="7"/>
        <v>4.2909641977647288</v>
      </c>
      <c r="F69" s="13">
        <f t="shared" si="1"/>
        <v>4.2916837253023408</v>
      </c>
      <c r="G69" s="13">
        <f t="shared" si="6"/>
        <v>4.2922617320697212</v>
      </c>
      <c r="H69" s="4">
        <f t="shared" si="2"/>
        <v>226.55798385871057</v>
      </c>
      <c r="I69" s="4">
        <f t="shared" si="3"/>
        <v>226.58849683596057</v>
      </c>
      <c r="J69" s="15">
        <f t="shared" si="4"/>
        <v>1.6767029144105209E-4</v>
      </c>
      <c r="K69" s="15">
        <f t="shared" si="5"/>
        <v>3.0234187599939712E-4</v>
      </c>
    </row>
    <row r="70" spans="2:11" x14ac:dyDescent="0.3">
      <c r="B70" s="1">
        <v>46125</v>
      </c>
      <c r="C70" s="4">
        <v>52.25</v>
      </c>
      <c r="D70" s="4">
        <v>224.2</v>
      </c>
      <c r="E70" s="12">
        <f t="shared" si="7"/>
        <v>4.290909090909091</v>
      </c>
      <c r="F70" s="13">
        <f t="shared" si="1"/>
        <v>4.2917103591543038</v>
      </c>
      <c r="G70" s="13">
        <f t="shared" si="6"/>
        <v>4.2922617320697212</v>
      </c>
      <c r="H70" s="4">
        <f t="shared" si="2"/>
        <v>224.24186626581238</v>
      </c>
      <c r="I70" s="4">
        <f t="shared" si="3"/>
        <v>224.27067550064294</v>
      </c>
      <c r="J70" s="15">
        <f t="shared" si="4"/>
        <v>1.867188105457782E-4</v>
      </c>
      <c r="K70" s="15">
        <f t="shared" si="5"/>
        <v>3.1518449293991267E-4</v>
      </c>
    </row>
    <row r="71" spans="2:11" x14ac:dyDescent="0.3">
      <c r="B71" s="1">
        <v>46126</v>
      </c>
      <c r="C71" s="4">
        <v>52.16</v>
      </c>
      <c r="D71" s="4">
        <v>223.95</v>
      </c>
      <c r="E71" s="12">
        <f t="shared" si="7"/>
        <v>4.2935199386503067</v>
      </c>
      <c r="F71" s="13">
        <f t="shared" si="1"/>
        <v>4.2917273494152113</v>
      </c>
      <c r="G71" s="13">
        <f t="shared" si="6"/>
        <v>4.2922617320697212</v>
      </c>
      <c r="H71" s="4">
        <f t="shared" si="2"/>
        <v>223.8564985454974</v>
      </c>
      <c r="I71" s="4">
        <f t="shared" si="3"/>
        <v>223.88437194475665</v>
      </c>
      <c r="J71" s="15">
        <f t="shared" si="4"/>
        <v>-4.1759758362185177E-4</v>
      </c>
      <c r="K71" s="15">
        <f t="shared" si="5"/>
        <v>-2.930907488325973E-4</v>
      </c>
    </row>
    <row r="72" spans="2:11" x14ac:dyDescent="0.3">
      <c r="B72" s="1">
        <v>46127</v>
      </c>
      <c r="C72" s="4">
        <v>51.96</v>
      </c>
      <c r="D72" s="4">
        <v>222.98</v>
      </c>
      <c r="E72" s="12">
        <f t="shared" si="7"/>
        <v>4.291377983063895</v>
      </c>
      <c r="F72" s="13">
        <f t="shared" si="1"/>
        <v>4.2916292098779296</v>
      </c>
      <c r="G72" s="13">
        <f t="shared" si="6"/>
        <v>4.2922617320697212</v>
      </c>
      <c r="H72" s="4">
        <f t="shared" si="2"/>
        <v>222.99305374525721</v>
      </c>
      <c r="I72" s="4">
        <f t="shared" si="3"/>
        <v>223.02591959834271</v>
      </c>
      <c r="J72" s="15">
        <f t="shared" si="4"/>
        <v>5.8540511142117156E-5</v>
      </c>
      <c r="K72" s="15">
        <f t="shared" si="5"/>
        <v>2.0591474905224598E-4</v>
      </c>
    </row>
    <row r="73" spans="2:11" x14ac:dyDescent="0.3">
      <c r="B73" s="1">
        <v>46128</v>
      </c>
      <c r="C73" s="4">
        <v>52.12</v>
      </c>
      <c r="D73" s="4">
        <v>223.71</v>
      </c>
      <c r="E73" s="12">
        <f t="shared" si="7"/>
        <v>4.2922102839600926</v>
      </c>
      <c r="F73" s="13">
        <f t="shared" si="1"/>
        <v>4.2916492478854575</v>
      </c>
      <c r="G73" s="13">
        <f t="shared" si="6"/>
        <v>4.2922617320697212</v>
      </c>
      <c r="H73" s="4">
        <f t="shared" si="2"/>
        <v>223.68075879979003</v>
      </c>
      <c r="I73" s="4">
        <f t="shared" si="3"/>
        <v>223.71268147547386</v>
      </c>
      <c r="J73" s="15">
        <f t="shared" si="4"/>
        <v>-1.3071883885163151E-4</v>
      </c>
      <c r="K73" s="15">
        <f t="shared" si="5"/>
        <v>1.1986318909969499E-5</v>
      </c>
    </row>
    <row r="74" spans="2:11" x14ac:dyDescent="0.3">
      <c r="B74" s="1">
        <v>46129</v>
      </c>
      <c r="C74" s="4">
        <v>52.84</v>
      </c>
      <c r="D74" s="4">
        <v>226.87</v>
      </c>
      <c r="E74" s="12">
        <f t="shared" si="7"/>
        <v>4.2935276305828918</v>
      </c>
      <c r="F74" s="13">
        <f t="shared" si="1"/>
        <v>4.291743894955661</v>
      </c>
      <c r="G74" s="13">
        <f t="shared" si="6"/>
        <v>4.2922617320697212</v>
      </c>
      <c r="H74" s="4">
        <f t="shared" si="2"/>
        <v>226.77574740945715</v>
      </c>
      <c r="I74" s="4">
        <f t="shared" si="3"/>
        <v>226.80310992256409</v>
      </c>
      <c r="J74" s="15">
        <f t="shared" si="4"/>
        <v>-4.1553389373666209E-4</v>
      </c>
      <c r="K74" s="15">
        <f t="shared" si="5"/>
        <v>-2.9488226856573221E-4</v>
      </c>
    </row>
    <row r="75" spans="2:11" x14ac:dyDescent="0.3">
      <c r="B75" s="1">
        <v>46132</v>
      </c>
      <c r="C75" s="4">
        <v>52.78</v>
      </c>
      <c r="D75" s="4">
        <v>226.67</v>
      </c>
      <c r="E75" s="12">
        <f t="shared" si="7"/>
        <v>4.2946191739295188</v>
      </c>
      <c r="F75" s="13">
        <f t="shared" si="1"/>
        <v>4.2918874844154074</v>
      </c>
      <c r="G75" s="13">
        <f t="shared" si="6"/>
        <v>4.2922617320697212</v>
      </c>
      <c r="H75" s="4">
        <f t="shared" si="2"/>
        <v>226.52582142744521</v>
      </c>
      <c r="I75" s="4">
        <f t="shared" si="3"/>
        <v>226.5455742186399</v>
      </c>
      <c r="J75" s="15">
        <f t="shared" si="4"/>
        <v>-6.3627496372245236E-4</v>
      </c>
      <c r="K75" s="15">
        <f t="shared" si="5"/>
        <v>-5.4907991500811198E-4</v>
      </c>
    </row>
    <row r="76" spans="2:11" x14ac:dyDescent="0.3">
      <c r="B76" s="1">
        <v>46133</v>
      </c>
      <c r="C76" s="4">
        <v>52.52</v>
      </c>
      <c r="D76" s="4">
        <v>225.51</v>
      </c>
      <c r="E76" s="12">
        <f t="shared" si="7"/>
        <v>4.293792840822543</v>
      </c>
      <c r="F76" s="13">
        <f t="shared" si="1"/>
        <v>4.2921151133443098</v>
      </c>
      <c r="G76" s="13">
        <f t="shared" si="6"/>
        <v>4.2922617320697212</v>
      </c>
      <c r="H76" s="4">
        <f t="shared" ref="H76:H139" si="8">C76*F76</f>
        <v>225.42188575284317</v>
      </c>
      <c r="I76" s="4">
        <f t="shared" ref="I76:I139" si="9">C76*G76</f>
        <v>225.42958616830177</v>
      </c>
      <c r="J76" s="15">
        <f t="shared" ref="J76:J139" si="10">LN(H76/D76)</f>
        <v>-3.9080957041310455E-4</v>
      </c>
      <c r="K76" s="15">
        <f t="shared" ref="K76:K139" si="11">LN(I76/D76)</f>
        <v>-3.5665013681270935E-4</v>
      </c>
    </row>
    <row r="77" spans="2:11" x14ac:dyDescent="0.3">
      <c r="B77" s="1">
        <v>46134</v>
      </c>
      <c r="C77" s="4">
        <v>52.7</v>
      </c>
      <c r="D77" s="4">
        <v>226.28</v>
      </c>
      <c r="E77" s="12">
        <f t="shared" si="7"/>
        <v>4.2937381404174575</v>
      </c>
      <c r="F77" s="13">
        <f t="shared" si="1"/>
        <v>4.2921463462623697</v>
      </c>
      <c r="G77" s="13">
        <f t="shared" si="6"/>
        <v>4.2922617320697212</v>
      </c>
      <c r="H77" s="4">
        <f t="shared" si="8"/>
        <v>226.19611244802689</v>
      </c>
      <c r="I77" s="4">
        <f t="shared" si="9"/>
        <v>226.20219328007431</v>
      </c>
      <c r="J77" s="15">
        <f t="shared" si="10"/>
        <v>-3.7079328886722562E-4</v>
      </c>
      <c r="K77" s="15">
        <f t="shared" si="11"/>
        <v>-3.4391064155937209E-4</v>
      </c>
    </row>
    <row r="78" spans="2:11" x14ac:dyDescent="0.3">
      <c r="B78" s="1">
        <v>46135</v>
      </c>
      <c r="C78" s="4">
        <v>53.45</v>
      </c>
      <c r="D78" s="4">
        <v>229.51</v>
      </c>
      <c r="E78" s="12">
        <f t="shared" si="7"/>
        <v>4.2939195509822259</v>
      </c>
      <c r="F78" s="13">
        <f t="shared" si="1"/>
        <v>4.2923019499436839</v>
      </c>
      <c r="G78" s="13">
        <f t="shared" si="6"/>
        <v>4.2922617320697212</v>
      </c>
      <c r="H78" s="4">
        <f t="shared" si="8"/>
        <v>229.4235392244899</v>
      </c>
      <c r="I78" s="4">
        <f t="shared" si="9"/>
        <v>229.42138957912661</v>
      </c>
      <c r="J78" s="15">
        <f t="shared" si="10"/>
        <v>-3.7678996692675214E-4</v>
      </c>
      <c r="K78" s="15">
        <f t="shared" si="11"/>
        <v>-3.861597789411309E-4</v>
      </c>
    </row>
    <row r="79" spans="2:11" x14ac:dyDescent="0.3">
      <c r="B79" s="1">
        <v>46136</v>
      </c>
      <c r="C79" s="4">
        <v>53.37</v>
      </c>
      <c r="D79" s="4">
        <v>229.06</v>
      </c>
      <c r="E79" s="12">
        <f t="shared" si="7"/>
        <v>4.2919243020423465</v>
      </c>
      <c r="F79" s="13">
        <f t="shared" si="1"/>
        <v>4.2924881070187224</v>
      </c>
      <c r="G79" s="13">
        <f t="shared" si="6"/>
        <v>4.2922617320697212</v>
      </c>
      <c r="H79" s="4">
        <f t="shared" si="8"/>
        <v>229.09009027158919</v>
      </c>
      <c r="I79" s="4">
        <f t="shared" si="9"/>
        <v>229.07800864056099</v>
      </c>
      <c r="J79" s="15">
        <f t="shared" si="10"/>
        <v>1.3135551982367314E-4</v>
      </c>
      <c r="K79" s="15">
        <f t="shared" si="11"/>
        <v>7.8616662362148698E-5</v>
      </c>
    </row>
    <row r="80" spans="2:11" x14ac:dyDescent="0.3">
      <c r="B80" s="1">
        <v>46139</v>
      </c>
      <c r="C80" s="4">
        <v>52.82</v>
      </c>
      <c r="D80" s="4">
        <v>226.73</v>
      </c>
      <c r="E80" s="12">
        <f t="shared" si="7"/>
        <v>4.2925028398333964</v>
      </c>
      <c r="F80" s="13">
        <f t="shared" si="1"/>
        <v>4.2925170951642384</v>
      </c>
      <c r="G80" s="13">
        <f t="shared" si="6"/>
        <v>4.2922617320697212</v>
      </c>
      <c r="H80" s="4">
        <f t="shared" si="8"/>
        <v>226.73075296657507</v>
      </c>
      <c r="I80" s="4">
        <f t="shared" si="9"/>
        <v>226.71726468792266</v>
      </c>
      <c r="J80" s="15">
        <f t="shared" si="10"/>
        <v>3.3209779242394016E-6</v>
      </c>
      <c r="K80" s="15">
        <f t="shared" si="11"/>
        <v>-5.6171083486127972E-5</v>
      </c>
    </row>
    <row r="81" spans="2:11" x14ac:dyDescent="0.3">
      <c r="B81" s="1">
        <v>46140</v>
      </c>
      <c r="C81" s="4">
        <v>53.19</v>
      </c>
      <c r="D81" s="4">
        <v>228.33</v>
      </c>
      <c r="E81" s="12">
        <f t="shared" si="7"/>
        <v>4.2927241962774962</v>
      </c>
      <c r="F81" s="13">
        <f t="shared" si="1"/>
        <v>4.2926501458741493</v>
      </c>
      <c r="G81" s="13">
        <f t="shared" si="6"/>
        <v>4.2922617320697212</v>
      </c>
      <c r="H81" s="4">
        <f t="shared" si="8"/>
        <v>228.32606125904599</v>
      </c>
      <c r="I81" s="4">
        <f t="shared" si="9"/>
        <v>228.30540152878845</v>
      </c>
      <c r="J81" s="15">
        <f t="shared" si="10"/>
        <v>-1.7250360997172845E-5</v>
      </c>
      <c r="K81" s="15">
        <f t="shared" si="11"/>
        <v>-1.0773790710483755E-4</v>
      </c>
    </row>
    <row r="82" spans="2:11" x14ac:dyDescent="0.3">
      <c r="B82" s="1">
        <v>46141</v>
      </c>
      <c r="C82" s="4">
        <v>53.09</v>
      </c>
      <c r="D82" s="4">
        <v>228.07</v>
      </c>
      <c r="E82" s="12">
        <f t="shared" si="7"/>
        <v>4.2959126012431712</v>
      </c>
      <c r="F82" s="13">
        <f t="shared" si="1"/>
        <v>4.2928556746559714</v>
      </c>
      <c r="G82" s="13">
        <f t="shared" si="6"/>
        <v>4.2922617320697212</v>
      </c>
      <c r="H82" s="4">
        <f t="shared" si="8"/>
        <v>227.90770776748553</v>
      </c>
      <c r="I82" s="4">
        <f t="shared" si="9"/>
        <v>227.87617535558152</v>
      </c>
      <c r="J82" s="15">
        <f t="shared" si="10"/>
        <v>-7.118428668897468E-4</v>
      </c>
      <c r="K82" s="15">
        <f t="shared" si="11"/>
        <v>-8.5020849639938305E-4</v>
      </c>
    </row>
    <row r="83" spans="2:11" x14ac:dyDescent="0.3">
      <c r="B83" s="1">
        <v>46142</v>
      </c>
      <c r="C83" s="4">
        <v>54.09</v>
      </c>
      <c r="D83" s="4">
        <v>232.14</v>
      </c>
      <c r="E83" s="12">
        <f t="shared" si="7"/>
        <v>4.2917359955629504</v>
      </c>
      <c r="F83" s="13">
        <f t="shared" si="1"/>
        <v>4.2927303823036009</v>
      </c>
      <c r="G83" s="13">
        <f t="shared" si="6"/>
        <v>4.2922617320697212</v>
      </c>
      <c r="H83" s="4">
        <f t="shared" si="8"/>
        <v>232.19378637880178</v>
      </c>
      <c r="I83" s="4">
        <f t="shared" si="9"/>
        <v>232.16843708765123</v>
      </c>
      <c r="J83" s="15">
        <f t="shared" si="10"/>
        <v>2.3167118404980927E-4</v>
      </c>
      <c r="K83" s="15">
        <f t="shared" si="11"/>
        <v>1.2249222893813199E-4</v>
      </c>
    </row>
    <row r="84" spans="2:11" x14ac:dyDescent="0.3">
      <c r="B84" s="1">
        <v>46143</v>
      </c>
      <c r="C84" s="4">
        <v>53.95</v>
      </c>
      <c r="D84" s="4">
        <v>231.6</v>
      </c>
      <c r="E84" s="12">
        <f t="shared" si="7"/>
        <v>4.2928637627432806</v>
      </c>
      <c r="F84" s="13">
        <f t="shared" si="1"/>
        <v>4.2927075399064138</v>
      </c>
      <c r="G84" s="13">
        <f t="shared" si="6"/>
        <v>4.2922617320697212</v>
      </c>
      <c r="H84" s="4">
        <f t="shared" si="8"/>
        <v>231.59157177795103</v>
      </c>
      <c r="I84" s="4">
        <f t="shared" si="9"/>
        <v>231.56752044516148</v>
      </c>
      <c r="J84" s="15">
        <f t="shared" si="10"/>
        <v>-3.639194909152042E-5</v>
      </c>
      <c r="K84" s="15">
        <f t="shared" si="11"/>
        <v>-1.4024970861745983E-4</v>
      </c>
    </row>
    <row r="85" spans="2:11" x14ac:dyDescent="0.3">
      <c r="B85" s="1">
        <v>46146</v>
      </c>
      <c r="C85" s="4">
        <v>53.51</v>
      </c>
      <c r="D85" s="4">
        <v>229.79</v>
      </c>
      <c r="E85" s="12">
        <f t="shared" si="7"/>
        <v>4.2943375070080361</v>
      </c>
      <c r="F85" s="13">
        <f t="shared" ref="F85:F148" si="12">AVERAGE(E66:E85)</f>
        <v>4.2928454180950366</v>
      </c>
      <c r="G85" s="13">
        <f t="shared" si="6"/>
        <v>4.2922617320697212</v>
      </c>
      <c r="H85" s="4">
        <f t="shared" si="8"/>
        <v>229.71015832226541</v>
      </c>
      <c r="I85" s="4">
        <f t="shared" si="9"/>
        <v>229.67892528305077</v>
      </c>
      <c r="J85" s="15">
        <f t="shared" si="10"/>
        <v>-3.4751534723998303E-4</v>
      </c>
      <c r="K85" s="15">
        <f t="shared" si="11"/>
        <v>-4.834917575527825E-4</v>
      </c>
    </row>
    <row r="86" spans="2:11" x14ac:dyDescent="0.3">
      <c r="B86" s="1">
        <v>46147</v>
      </c>
      <c r="C86" s="4">
        <v>53.76</v>
      </c>
      <c r="D86" s="4">
        <v>230.81</v>
      </c>
      <c r="E86" s="12">
        <f t="shared" si="7"/>
        <v>4.2933407738095237</v>
      </c>
      <c r="F86" s="13">
        <f t="shared" si="12"/>
        <v>4.2928942609786267</v>
      </c>
      <c r="G86" s="13">
        <f t="shared" ref="G86:G149" si="13">G85</f>
        <v>4.2922617320697212</v>
      </c>
      <c r="H86" s="4">
        <f t="shared" si="8"/>
        <v>230.78599547021096</v>
      </c>
      <c r="I86" s="4">
        <f t="shared" si="9"/>
        <v>230.75199071606821</v>
      </c>
      <c r="J86" s="15">
        <f t="shared" si="10"/>
        <v>-1.0400666403624589E-4</v>
      </c>
      <c r="K86" s="15">
        <f t="shared" si="11"/>
        <v>-2.513607506858864E-4</v>
      </c>
    </row>
    <row r="87" spans="2:11" x14ac:dyDescent="0.3">
      <c r="B87" s="1">
        <v>46148</v>
      </c>
      <c r="C87" s="4">
        <v>53.71</v>
      </c>
      <c r="D87" s="4">
        <v>230.59</v>
      </c>
      <c r="E87" s="12">
        <f t="shared" si="7"/>
        <v>4.2932414820331406</v>
      </c>
      <c r="F87" s="13">
        <f t="shared" si="12"/>
        <v>4.2928853941034779</v>
      </c>
      <c r="G87" s="13">
        <f t="shared" si="13"/>
        <v>4.2922617320697212</v>
      </c>
      <c r="H87" s="4">
        <f t="shared" si="8"/>
        <v>230.5708745172978</v>
      </c>
      <c r="I87" s="4">
        <f t="shared" si="9"/>
        <v>230.53737762946471</v>
      </c>
      <c r="J87" s="15">
        <f t="shared" si="10"/>
        <v>-8.2944949452621949E-5</v>
      </c>
      <c r="K87" s="15">
        <f t="shared" si="11"/>
        <v>-2.282335567852644E-4</v>
      </c>
    </row>
    <row r="88" spans="2:11" x14ac:dyDescent="0.3">
      <c r="B88" s="1">
        <v>46149</v>
      </c>
      <c r="C88" s="4">
        <v>53.55</v>
      </c>
      <c r="D88" s="4">
        <v>229.94</v>
      </c>
      <c r="E88" s="12">
        <f t="shared" si="7"/>
        <v>4.2939309056956114</v>
      </c>
      <c r="F88" s="13">
        <f t="shared" si="12"/>
        <v>4.2930546598665851</v>
      </c>
      <c r="G88" s="13">
        <f t="shared" si="13"/>
        <v>4.2922617320697212</v>
      </c>
      <c r="H88" s="4">
        <f t="shared" si="8"/>
        <v>229.89307703585561</v>
      </c>
      <c r="I88" s="4">
        <f t="shared" si="9"/>
        <v>229.85061575233357</v>
      </c>
      <c r="J88" s="15">
        <f t="shared" si="10"/>
        <v>-2.040869465490938E-4</v>
      </c>
      <c r="K88" s="15">
        <f t="shared" si="11"/>
        <v>-3.8880414575740644E-4</v>
      </c>
    </row>
    <row r="89" spans="2:11" x14ac:dyDescent="0.3">
      <c r="B89" s="1">
        <v>46150</v>
      </c>
      <c r="C89" s="4">
        <v>53.6</v>
      </c>
      <c r="D89" s="4">
        <v>230.24</v>
      </c>
      <c r="E89" s="12">
        <f t="shared" si="7"/>
        <v>4.2955223880597018</v>
      </c>
      <c r="F89" s="13">
        <f t="shared" si="12"/>
        <v>4.2932825693813346</v>
      </c>
      <c r="G89" s="13">
        <f t="shared" si="13"/>
        <v>4.2922617320697212</v>
      </c>
      <c r="H89" s="4">
        <f t="shared" si="8"/>
        <v>230.11994571883955</v>
      </c>
      <c r="I89" s="4">
        <f t="shared" si="9"/>
        <v>230.06522883893706</v>
      </c>
      <c r="J89" s="15">
        <f t="shared" si="10"/>
        <v>-5.2156702596939831E-4</v>
      </c>
      <c r="K89" s="15">
        <f t="shared" si="11"/>
        <v>-7.5937077622245013E-4</v>
      </c>
    </row>
    <row r="90" spans="2:11" x14ac:dyDescent="0.3">
      <c r="B90" s="1">
        <v>46153</v>
      </c>
      <c r="C90" s="4">
        <v>53</v>
      </c>
      <c r="D90" s="4">
        <v>227.58</v>
      </c>
      <c r="E90" s="12">
        <f t="shared" si="7"/>
        <v>4.2939622641509434</v>
      </c>
      <c r="F90" s="13">
        <f t="shared" si="12"/>
        <v>4.2934352280434265</v>
      </c>
      <c r="G90" s="13">
        <f t="shared" si="13"/>
        <v>4.2922617320697212</v>
      </c>
      <c r="H90" s="4">
        <f t="shared" si="8"/>
        <v>227.55206708630161</v>
      </c>
      <c r="I90" s="4">
        <f t="shared" si="9"/>
        <v>227.48987179969521</v>
      </c>
      <c r="J90" s="15">
        <f t="shared" si="10"/>
        <v>-1.2274641034325156E-4</v>
      </c>
      <c r="K90" s="15">
        <f t="shared" si="11"/>
        <v>-3.9610709066191356E-4</v>
      </c>
    </row>
    <row r="91" spans="2:11" x14ac:dyDescent="0.3">
      <c r="B91" s="1">
        <v>46154</v>
      </c>
      <c r="C91" s="4">
        <v>53.69</v>
      </c>
      <c r="D91" s="4">
        <v>230.59</v>
      </c>
      <c r="E91" s="12">
        <f t="shared" si="7"/>
        <v>4.2948407524678718</v>
      </c>
      <c r="F91" s="13">
        <f t="shared" si="12"/>
        <v>4.293501268734305</v>
      </c>
      <c r="G91" s="13">
        <f t="shared" si="13"/>
        <v>4.2922617320697212</v>
      </c>
      <c r="H91" s="4">
        <f t="shared" si="8"/>
        <v>230.51808311834483</v>
      </c>
      <c r="I91" s="4">
        <f t="shared" si="9"/>
        <v>230.45153239482332</v>
      </c>
      <c r="J91" s="15">
        <f t="shared" si="10"/>
        <v>-3.1193069421797074E-4</v>
      </c>
      <c r="K91" s="15">
        <f t="shared" si="11"/>
        <v>-6.0067303967510795E-4</v>
      </c>
    </row>
    <row r="92" spans="2:11" x14ac:dyDescent="0.3">
      <c r="B92" s="1">
        <v>46155</v>
      </c>
      <c r="C92" s="4">
        <v>53.85</v>
      </c>
      <c r="D92" s="4">
        <v>231.23</v>
      </c>
      <c r="E92" s="12">
        <f t="shared" si="7"/>
        <v>4.2939647168059425</v>
      </c>
      <c r="F92" s="13">
        <f t="shared" si="12"/>
        <v>4.2936306054214084</v>
      </c>
      <c r="G92" s="13">
        <f t="shared" si="13"/>
        <v>4.2922617320697212</v>
      </c>
      <c r="H92" s="4">
        <f t="shared" si="8"/>
        <v>231.21200810194284</v>
      </c>
      <c r="I92" s="4">
        <f t="shared" si="9"/>
        <v>231.13829427195449</v>
      </c>
      <c r="J92" s="15">
        <f t="shared" si="10"/>
        <v>-7.7812559200963278E-5</v>
      </c>
      <c r="K92" s="15">
        <f t="shared" si="11"/>
        <v>-3.9667827739971808E-4</v>
      </c>
    </row>
    <row r="93" spans="2:11" x14ac:dyDescent="0.3">
      <c r="B93" s="1">
        <v>46156</v>
      </c>
      <c r="C93" s="4">
        <v>54</v>
      </c>
      <c r="D93" s="4">
        <v>231.96</v>
      </c>
      <c r="E93" s="12">
        <f t="shared" si="7"/>
        <v>4.2955555555555556</v>
      </c>
      <c r="F93" s="13">
        <f t="shared" si="12"/>
        <v>4.2937978690011818</v>
      </c>
      <c r="G93" s="13">
        <f t="shared" si="13"/>
        <v>4.2922617320697212</v>
      </c>
      <c r="H93" s="4">
        <f t="shared" si="8"/>
        <v>231.86508492606382</v>
      </c>
      <c r="I93" s="4">
        <f t="shared" si="9"/>
        <v>231.78213353176494</v>
      </c>
      <c r="J93" s="15">
        <f t="shared" si="10"/>
        <v>-4.0927098747234835E-4</v>
      </c>
      <c r="K93" s="15">
        <f t="shared" si="11"/>
        <v>-7.67092157886622E-4</v>
      </c>
    </row>
    <row r="94" spans="2:11" x14ac:dyDescent="0.3">
      <c r="B94" s="1">
        <v>46157</v>
      </c>
      <c r="C94" s="4">
        <v>53.84</v>
      </c>
      <c r="D94" s="4">
        <v>231.25</v>
      </c>
      <c r="E94" s="12">
        <f t="shared" si="7"/>
        <v>4.295133729569093</v>
      </c>
      <c r="F94" s="13">
        <f t="shared" si="12"/>
        <v>4.2938781739504908</v>
      </c>
      <c r="G94" s="13">
        <f t="shared" si="13"/>
        <v>4.2922617320697212</v>
      </c>
      <c r="H94" s="4">
        <f t="shared" si="8"/>
        <v>231.18240088549445</v>
      </c>
      <c r="I94" s="4">
        <f t="shared" si="9"/>
        <v>231.09537165463379</v>
      </c>
      <c r="J94" s="15">
        <f t="shared" si="10"/>
        <v>-2.9236322912330547E-4</v>
      </c>
      <c r="K94" s="15">
        <f t="shared" si="11"/>
        <v>-6.6888676998320842E-4</v>
      </c>
    </row>
    <row r="95" spans="2:11" x14ac:dyDescent="0.3">
      <c r="B95" s="1">
        <v>46160</v>
      </c>
      <c r="C95" s="4">
        <v>54.54</v>
      </c>
      <c r="D95" s="4">
        <v>234.25</v>
      </c>
      <c r="E95" s="12">
        <f t="shared" si="7"/>
        <v>4.2950128346167951</v>
      </c>
      <c r="F95" s="13">
        <f t="shared" si="12"/>
        <v>4.293897856984854</v>
      </c>
      <c r="G95" s="13">
        <f t="shared" si="13"/>
        <v>4.2922617320697212</v>
      </c>
      <c r="H95" s="4">
        <f t="shared" si="8"/>
        <v>234.18918911995394</v>
      </c>
      <c r="I95" s="4">
        <f t="shared" si="9"/>
        <v>234.0999548670826</v>
      </c>
      <c r="J95" s="15">
        <f t="shared" si="10"/>
        <v>-2.5963190868770334E-4</v>
      </c>
      <c r="K95" s="15">
        <f t="shared" si="11"/>
        <v>-6.4073941501009712E-4</v>
      </c>
    </row>
    <row r="96" spans="2:11" x14ac:dyDescent="0.3">
      <c r="B96" s="1">
        <v>46161</v>
      </c>
      <c r="C96" s="4">
        <v>54.69</v>
      </c>
      <c r="D96" s="4">
        <v>234.76</v>
      </c>
      <c r="E96" s="12">
        <f t="shared" si="7"/>
        <v>4.2925580544889375</v>
      </c>
      <c r="F96" s="13">
        <f t="shared" si="12"/>
        <v>4.2938361176681736</v>
      </c>
      <c r="G96" s="13">
        <f t="shared" si="13"/>
        <v>4.2922617320697212</v>
      </c>
      <c r="H96" s="4">
        <f t="shared" si="8"/>
        <v>234.8298972752724</v>
      </c>
      <c r="I96" s="4">
        <f t="shared" si="9"/>
        <v>234.74379412689305</v>
      </c>
      <c r="J96" s="15">
        <f t="shared" si="10"/>
        <v>2.9769497254588967E-4</v>
      </c>
      <c r="K96" s="15">
        <f t="shared" si="11"/>
        <v>-6.9034045373423433E-5</v>
      </c>
    </row>
    <row r="97" spans="2:11" x14ac:dyDescent="0.3">
      <c r="B97" s="1">
        <v>46162</v>
      </c>
      <c r="C97" s="4">
        <v>54.29</v>
      </c>
      <c r="D97" s="4">
        <v>233.14</v>
      </c>
      <c r="E97" s="12">
        <f t="shared" si="7"/>
        <v>4.2943451832750048</v>
      </c>
      <c r="F97" s="13">
        <f t="shared" si="12"/>
        <v>4.29386646981105</v>
      </c>
      <c r="G97" s="13">
        <f t="shared" si="13"/>
        <v>4.2922617320697212</v>
      </c>
      <c r="H97" s="4">
        <f t="shared" si="8"/>
        <v>233.11401064604189</v>
      </c>
      <c r="I97" s="4">
        <f t="shared" si="9"/>
        <v>233.02688943406517</v>
      </c>
      <c r="J97" s="15">
        <f t="shared" si="10"/>
        <v>-1.1148152462650795E-4</v>
      </c>
      <c r="K97" s="15">
        <f t="shared" si="11"/>
        <v>-4.852792882475656E-4</v>
      </c>
    </row>
    <row r="98" spans="2:11" x14ac:dyDescent="0.3">
      <c r="B98" s="1">
        <v>46163</v>
      </c>
      <c r="C98" s="4">
        <v>53.5</v>
      </c>
      <c r="D98" s="4">
        <v>229.78</v>
      </c>
      <c r="E98" s="12">
        <f t="shared" si="7"/>
        <v>4.2949532710280378</v>
      </c>
      <c r="F98" s="13">
        <f t="shared" si="12"/>
        <v>4.2939181558133415</v>
      </c>
      <c r="G98" s="13">
        <f t="shared" si="13"/>
        <v>4.2922617320697212</v>
      </c>
      <c r="H98" s="4">
        <f t="shared" si="8"/>
        <v>229.72462133601377</v>
      </c>
      <c r="I98" s="4">
        <f t="shared" si="9"/>
        <v>229.63600266573008</v>
      </c>
      <c r="J98" s="15">
        <f t="shared" si="10"/>
        <v>-2.4103637562271943E-4</v>
      </c>
      <c r="K98" s="15">
        <f t="shared" si="11"/>
        <v>-6.2687123717897674E-4</v>
      </c>
    </row>
    <row r="99" spans="2:11" x14ac:dyDescent="0.3">
      <c r="B99" s="1">
        <v>46164</v>
      </c>
      <c r="C99" s="4">
        <v>53.5</v>
      </c>
      <c r="D99" s="4">
        <v>229.69</v>
      </c>
      <c r="E99" s="12">
        <f t="shared" si="7"/>
        <v>4.2932710280373829</v>
      </c>
      <c r="F99" s="13">
        <f t="shared" si="12"/>
        <v>4.2939854921130927</v>
      </c>
      <c r="G99" s="13">
        <f t="shared" si="13"/>
        <v>4.2922617320697212</v>
      </c>
      <c r="H99" s="4">
        <f t="shared" si="8"/>
        <v>229.72822382805046</v>
      </c>
      <c r="I99" s="4">
        <f t="shared" si="9"/>
        <v>229.63600266573008</v>
      </c>
      <c r="J99" s="15">
        <f t="shared" si="10"/>
        <v>1.6640100960804729E-4</v>
      </c>
      <c r="K99" s="15">
        <f t="shared" si="11"/>
        <v>-2.3511551362334913E-4</v>
      </c>
    </row>
    <row r="100" spans="2:11" x14ac:dyDescent="0.3">
      <c r="B100" s="1">
        <v>46168</v>
      </c>
      <c r="C100" s="4">
        <v>52.75</v>
      </c>
      <c r="D100" s="4">
        <v>226.39</v>
      </c>
      <c r="E100" s="12">
        <f t="shared" si="7"/>
        <v>4.2917535545023693</v>
      </c>
      <c r="F100" s="13">
        <f t="shared" si="12"/>
        <v>4.2939480278465414</v>
      </c>
      <c r="G100" s="13">
        <f t="shared" si="13"/>
        <v>4.2922617320697212</v>
      </c>
      <c r="H100" s="4">
        <f t="shared" si="8"/>
        <v>226.50575846890507</v>
      </c>
      <c r="I100" s="4">
        <f t="shared" si="9"/>
        <v>226.4168063666778</v>
      </c>
      <c r="J100" s="15">
        <f t="shared" si="10"/>
        <v>5.11192561472538E-4</v>
      </c>
      <c r="K100" s="15">
        <f t="shared" si="11"/>
        <v>1.184009000404202E-4</v>
      </c>
    </row>
    <row r="101" spans="2:11" x14ac:dyDescent="0.3">
      <c r="B101" s="1">
        <v>46169</v>
      </c>
      <c r="C101" s="4">
        <v>53.28</v>
      </c>
      <c r="D101" s="4">
        <v>228.79</v>
      </c>
      <c r="E101" s="12">
        <f t="shared" si="7"/>
        <v>4.294106606606606</v>
      </c>
      <c r="F101" s="13">
        <f t="shared" si="12"/>
        <v>4.2940171483629967</v>
      </c>
      <c r="G101" s="13">
        <f t="shared" si="13"/>
        <v>4.2922617320697212</v>
      </c>
      <c r="H101" s="4">
        <f t="shared" si="8"/>
        <v>228.78523366478046</v>
      </c>
      <c r="I101" s="4">
        <f t="shared" si="9"/>
        <v>228.69170508467474</v>
      </c>
      <c r="J101" s="15">
        <f t="shared" si="10"/>
        <v>-2.0833012230715466E-5</v>
      </c>
      <c r="K101" s="15">
        <f t="shared" si="11"/>
        <v>-4.2972173857604477E-4</v>
      </c>
    </row>
    <row r="102" spans="2:11" x14ac:dyDescent="0.3">
      <c r="B102" s="1">
        <v>46170</v>
      </c>
      <c r="C102" s="4">
        <v>53.15</v>
      </c>
      <c r="D102" s="4">
        <v>228.13</v>
      </c>
      <c r="E102" s="12">
        <f t="shared" si="7"/>
        <v>4.2921919096895582</v>
      </c>
      <c r="F102" s="13">
        <f t="shared" si="12"/>
        <v>4.2938311137853162</v>
      </c>
      <c r="G102" s="13">
        <f t="shared" si="13"/>
        <v>4.2922617320697212</v>
      </c>
      <c r="H102" s="4">
        <f t="shared" si="8"/>
        <v>228.21712369768954</v>
      </c>
      <c r="I102" s="4">
        <f t="shared" si="9"/>
        <v>228.13371105950569</v>
      </c>
      <c r="J102" s="15">
        <f t="shared" si="10"/>
        <v>3.8183082230081961E-4</v>
      </c>
      <c r="K102" s="15">
        <f t="shared" si="11"/>
        <v>1.6267169252450964E-5</v>
      </c>
    </row>
    <row r="103" spans="2:11" x14ac:dyDescent="0.3">
      <c r="B103" s="1">
        <v>46171</v>
      </c>
      <c r="C103" s="4">
        <v>52.11</v>
      </c>
      <c r="D103" s="4">
        <v>223.75</v>
      </c>
      <c r="E103" s="12">
        <f t="shared" si="7"/>
        <v>4.2938015735943198</v>
      </c>
      <c r="F103" s="13">
        <f t="shared" si="12"/>
        <v>4.2939343926868858</v>
      </c>
      <c r="G103" s="13">
        <f t="shared" si="13"/>
        <v>4.2922617320697212</v>
      </c>
      <c r="H103" s="4">
        <f t="shared" si="8"/>
        <v>223.75692120291362</v>
      </c>
      <c r="I103" s="4">
        <f t="shared" si="9"/>
        <v>223.66975885815316</v>
      </c>
      <c r="J103" s="15">
        <f t="shared" si="10"/>
        <v>3.0932272044302221E-5</v>
      </c>
      <c r="K103" s="15">
        <f t="shared" si="11"/>
        <v>-3.5868394776265801E-4</v>
      </c>
    </row>
    <row r="104" spans="2:11" x14ac:dyDescent="0.3">
      <c r="B104" s="1">
        <v>46174</v>
      </c>
      <c r="C104" s="4">
        <v>51.58</v>
      </c>
      <c r="D104" s="4">
        <v>221.47</v>
      </c>
      <c r="E104" s="12">
        <f t="shared" si="7"/>
        <v>4.2937184955409071</v>
      </c>
      <c r="F104" s="13">
        <f t="shared" si="12"/>
        <v>4.293977129326767</v>
      </c>
      <c r="G104" s="13">
        <f t="shared" si="13"/>
        <v>4.2922617320697212</v>
      </c>
      <c r="H104" s="4">
        <f t="shared" si="8"/>
        <v>221.48334033067462</v>
      </c>
      <c r="I104" s="4">
        <f t="shared" si="9"/>
        <v>221.3948601401562</v>
      </c>
      <c r="J104" s="15">
        <f t="shared" si="10"/>
        <v>6.0233570735423045E-5</v>
      </c>
      <c r="K104" s="15">
        <f t="shared" si="11"/>
        <v>-3.3933539247638209E-4</v>
      </c>
    </row>
    <row r="105" spans="2:11" x14ac:dyDescent="0.3">
      <c r="B105" s="1">
        <v>46175</v>
      </c>
      <c r="C105" s="4">
        <v>51.44</v>
      </c>
      <c r="D105" s="4">
        <v>220.82</v>
      </c>
      <c r="E105" s="12">
        <f t="shared" si="7"/>
        <v>4.2927682737169519</v>
      </c>
      <c r="F105" s="13">
        <f t="shared" si="12"/>
        <v>4.2938986676622122</v>
      </c>
      <c r="G105" s="13">
        <f t="shared" si="13"/>
        <v>4.2922617320697212</v>
      </c>
      <c r="H105" s="4">
        <f t="shared" si="8"/>
        <v>220.87814746454418</v>
      </c>
      <c r="I105" s="4">
        <f t="shared" si="9"/>
        <v>220.79394349766645</v>
      </c>
      <c r="J105" s="15">
        <f t="shared" si="10"/>
        <v>2.6329050829784257E-4</v>
      </c>
      <c r="K105" s="15">
        <f t="shared" si="11"/>
        <v>-1.1800579554803159E-4</v>
      </c>
    </row>
    <row r="106" spans="2:11" x14ac:dyDescent="0.3">
      <c r="B106" s="1">
        <v>46176</v>
      </c>
      <c r="C106" s="4">
        <v>51.75</v>
      </c>
      <c r="D106" s="4">
        <v>222.17</v>
      </c>
      <c r="E106" s="12">
        <f t="shared" si="7"/>
        <v>4.293140096618357</v>
      </c>
      <c r="F106" s="13">
        <f t="shared" si="12"/>
        <v>4.2938886338026538</v>
      </c>
      <c r="G106" s="13">
        <f t="shared" si="13"/>
        <v>4.2922617320697212</v>
      </c>
      <c r="H106" s="4">
        <f t="shared" si="8"/>
        <v>222.20873679928732</v>
      </c>
      <c r="I106" s="4">
        <f t="shared" si="9"/>
        <v>222.12454463460807</v>
      </c>
      <c r="J106" s="15">
        <f t="shared" si="10"/>
        <v>1.7434137224691643E-4</v>
      </c>
      <c r="K106" s="15">
        <f t="shared" si="11"/>
        <v>-2.0461815747882601E-4</v>
      </c>
    </row>
    <row r="107" spans="2:11" x14ac:dyDescent="0.3">
      <c r="B107" s="1">
        <v>46177</v>
      </c>
      <c r="C107" s="4">
        <v>51.7</v>
      </c>
      <c r="D107" s="4">
        <v>221.91</v>
      </c>
      <c r="E107" s="12">
        <f t="shared" si="7"/>
        <v>4.2922630560928434</v>
      </c>
      <c r="F107" s="13">
        <f t="shared" si="12"/>
        <v>4.2938397125056387</v>
      </c>
      <c r="G107" s="13">
        <f t="shared" si="13"/>
        <v>4.2922617320697212</v>
      </c>
      <c r="H107" s="4">
        <f t="shared" si="8"/>
        <v>221.99151313654153</v>
      </c>
      <c r="I107" s="4">
        <f t="shared" si="9"/>
        <v>221.90993154800461</v>
      </c>
      <c r="J107" s="15">
        <f t="shared" si="10"/>
        <v>3.6725775896448806E-4</v>
      </c>
      <c r="K107" s="15">
        <f t="shared" si="11"/>
        <v>-3.0846742344072244E-7</v>
      </c>
    </row>
    <row r="108" spans="2:11" x14ac:dyDescent="0.3">
      <c r="B108" s="1">
        <v>46178</v>
      </c>
      <c r="C108" s="4">
        <v>52.57</v>
      </c>
      <c r="D108" s="4">
        <v>225.75</v>
      </c>
      <c r="E108" s="12">
        <f t="shared" si="7"/>
        <v>4.2942743009320905</v>
      </c>
      <c r="F108" s="13">
        <f t="shared" si="12"/>
        <v>4.2938568822674625</v>
      </c>
      <c r="G108" s="13">
        <f t="shared" si="13"/>
        <v>4.2922617320697212</v>
      </c>
      <c r="H108" s="4">
        <f t="shared" si="8"/>
        <v>225.72805630080052</v>
      </c>
      <c r="I108" s="4">
        <f t="shared" si="9"/>
        <v>225.64419925490523</v>
      </c>
      <c r="J108" s="15">
        <f t="shared" si="10"/>
        <v>-9.7208264767323119E-5</v>
      </c>
      <c r="K108" s="15">
        <f t="shared" si="11"/>
        <v>-4.6877317965923076E-4</v>
      </c>
    </row>
    <row r="109" spans="2:11" x14ac:dyDescent="0.3">
      <c r="B109" s="1">
        <v>46181</v>
      </c>
      <c r="C109" s="4">
        <v>52.48</v>
      </c>
      <c r="D109" s="4">
        <v>225.19</v>
      </c>
      <c r="E109" s="12">
        <f t="shared" si="7"/>
        <v>4.2909679878048781</v>
      </c>
      <c r="F109" s="13">
        <f t="shared" si="12"/>
        <v>4.2936291622547227</v>
      </c>
      <c r="G109" s="13">
        <f t="shared" si="13"/>
        <v>4.2922617320697212</v>
      </c>
      <c r="H109" s="4">
        <f t="shared" si="8"/>
        <v>225.32965843512784</v>
      </c>
      <c r="I109" s="4">
        <f t="shared" si="9"/>
        <v>225.25789569901895</v>
      </c>
      <c r="J109" s="15">
        <f t="shared" si="10"/>
        <v>6.1998821577071599E-4</v>
      </c>
      <c r="K109" s="15">
        <f t="shared" si="11"/>
        <v>3.0145861566418467E-4</v>
      </c>
    </row>
    <row r="110" spans="2:11" x14ac:dyDescent="0.3">
      <c r="B110" s="1">
        <v>46182</v>
      </c>
      <c r="C110" s="4">
        <v>52.98</v>
      </c>
      <c r="D110" s="4">
        <v>227.52</v>
      </c>
      <c r="E110" s="12">
        <f t="shared" si="7"/>
        <v>4.2944507361268407</v>
      </c>
      <c r="F110" s="13">
        <f t="shared" si="12"/>
        <v>4.2936535858535176</v>
      </c>
      <c r="G110" s="13">
        <f t="shared" si="13"/>
        <v>4.2922617320697212</v>
      </c>
      <c r="H110" s="4">
        <f t="shared" si="8"/>
        <v>227.47776697851936</v>
      </c>
      <c r="I110" s="4">
        <f t="shared" si="9"/>
        <v>227.40402656505381</v>
      </c>
      <c r="J110" s="15">
        <f t="shared" si="10"/>
        <v>-1.8564056646872988E-4</v>
      </c>
      <c r="K110" s="15">
        <f t="shared" si="11"/>
        <v>-5.0985848487357854E-4</v>
      </c>
    </row>
    <row r="111" spans="2:11" x14ac:dyDescent="0.3">
      <c r="B111" s="1">
        <v>46183</v>
      </c>
      <c r="C111" s="4">
        <v>53.91</v>
      </c>
      <c r="D111" s="4">
        <v>231.33</v>
      </c>
      <c r="E111" s="12">
        <f t="shared" si="7"/>
        <v>4.291040623260991</v>
      </c>
      <c r="F111" s="13">
        <f t="shared" si="12"/>
        <v>4.2934635793931744</v>
      </c>
      <c r="G111" s="13">
        <f t="shared" si="13"/>
        <v>4.2922617320697212</v>
      </c>
      <c r="H111" s="4">
        <f t="shared" si="8"/>
        <v>231.460621565086</v>
      </c>
      <c r="I111" s="4">
        <f t="shared" si="9"/>
        <v>231.39582997587866</v>
      </c>
      <c r="J111" s="15">
        <f t="shared" si="10"/>
        <v>5.6449531372466868E-4</v>
      </c>
      <c r="K111" s="15">
        <f t="shared" si="11"/>
        <v>2.8453123667722641E-4</v>
      </c>
    </row>
    <row r="112" spans="2:11" x14ac:dyDescent="0.3">
      <c r="B112" s="1">
        <v>46184</v>
      </c>
      <c r="C112" s="4">
        <v>53.74</v>
      </c>
      <c r="D112" s="4">
        <v>230.74</v>
      </c>
      <c r="E112" s="12">
        <f t="shared" si="7"/>
        <v>4.293636025307034</v>
      </c>
      <c r="F112" s="13">
        <f t="shared" si="12"/>
        <v>4.2934471448182281</v>
      </c>
      <c r="G112" s="13">
        <f t="shared" si="13"/>
        <v>4.2922617320697212</v>
      </c>
      <c r="H112" s="4">
        <f t="shared" si="8"/>
        <v>230.7298495625316</v>
      </c>
      <c r="I112" s="4">
        <f t="shared" si="9"/>
        <v>230.66614548142684</v>
      </c>
      <c r="J112" s="15">
        <f t="shared" si="10"/>
        <v>-4.399176882155238E-5</v>
      </c>
      <c r="K112" s="15">
        <f t="shared" si="11"/>
        <v>-3.2012802571948284E-4</v>
      </c>
    </row>
    <row r="113" spans="1:21" x14ac:dyDescent="0.3">
      <c r="B113" s="1">
        <v>46185</v>
      </c>
      <c r="C113" s="4">
        <v>54.11</v>
      </c>
      <c r="D113" s="4">
        <v>232.25</v>
      </c>
      <c r="E113" s="12">
        <f t="shared" si="7"/>
        <v>4.292182591018296</v>
      </c>
      <c r="F113" s="13">
        <f t="shared" si="12"/>
        <v>4.2932784965913653</v>
      </c>
      <c r="G113" s="13">
        <f t="shared" si="13"/>
        <v>4.2922617320697212</v>
      </c>
      <c r="H113" s="4">
        <f t="shared" si="8"/>
        <v>232.30929945055877</v>
      </c>
      <c r="I113" s="4">
        <f t="shared" si="9"/>
        <v>232.2542823222926</v>
      </c>
      <c r="J113" s="15">
        <f t="shared" si="10"/>
        <v>2.5529335415716819E-4</v>
      </c>
      <c r="K113" s="15">
        <f t="shared" si="11"/>
        <v>1.8438246774785636E-5</v>
      </c>
    </row>
    <row r="114" spans="1:21" x14ac:dyDescent="0.3">
      <c r="B114" s="1">
        <v>46188</v>
      </c>
      <c r="C114" s="4">
        <v>53.93</v>
      </c>
      <c r="D114" s="4">
        <v>231.48</v>
      </c>
      <c r="E114" s="12">
        <f t="shared" si="7"/>
        <v>4.2922306693862415</v>
      </c>
      <c r="F114" s="13">
        <f t="shared" si="12"/>
        <v>4.2931333435822223</v>
      </c>
      <c r="G114" s="13">
        <f t="shared" si="13"/>
        <v>4.2922617320697212</v>
      </c>
      <c r="H114" s="4">
        <f t="shared" si="8"/>
        <v>231.52868121938926</v>
      </c>
      <c r="I114" s="4">
        <f t="shared" si="9"/>
        <v>231.48167521052005</v>
      </c>
      <c r="J114" s="15">
        <f t="shared" si="10"/>
        <v>2.1028210287728439E-4</v>
      </c>
      <c r="K114" s="15">
        <f t="shared" si="11"/>
        <v>7.2369295764633319E-6</v>
      </c>
    </row>
    <row r="115" spans="1:21" x14ac:dyDescent="0.3">
      <c r="B115" s="1">
        <v>46189</v>
      </c>
      <c r="C115" s="4">
        <v>54.01</v>
      </c>
      <c r="D115" s="4">
        <v>231.64</v>
      </c>
      <c r="E115" s="12">
        <f t="shared" si="7"/>
        <v>4.2888354008516938</v>
      </c>
      <c r="F115" s="13">
        <f t="shared" si="12"/>
        <v>4.2928244718939679</v>
      </c>
      <c r="G115" s="13">
        <f t="shared" si="13"/>
        <v>4.2922617320697212</v>
      </c>
      <c r="H115" s="4">
        <f t="shared" si="8"/>
        <v>231.85544972699319</v>
      </c>
      <c r="I115" s="4">
        <f t="shared" si="9"/>
        <v>231.82505614908564</v>
      </c>
      <c r="J115" s="15">
        <f t="shared" si="10"/>
        <v>9.2967360364695079E-4</v>
      </c>
      <c r="K115" s="15">
        <f t="shared" si="11"/>
        <v>7.9857653328965653E-4</v>
      </c>
    </row>
    <row r="116" spans="1:21" x14ac:dyDescent="0.3">
      <c r="B116" s="1">
        <v>46190</v>
      </c>
      <c r="C116" s="4">
        <v>52.9</v>
      </c>
      <c r="D116" s="4">
        <v>227.01</v>
      </c>
      <c r="E116" s="12">
        <f t="shared" si="7"/>
        <v>4.2913043478260873</v>
      </c>
      <c r="F116" s="13">
        <f t="shared" si="12"/>
        <v>4.292761786560825</v>
      </c>
      <c r="G116" s="13">
        <f t="shared" si="13"/>
        <v>4.2922617320697212</v>
      </c>
      <c r="H116" s="4">
        <f t="shared" si="8"/>
        <v>227.08709850906763</v>
      </c>
      <c r="I116" s="4">
        <f t="shared" si="9"/>
        <v>227.06064562648825</v>
      </c>
      <c r="J116" s="15">
        <f t="shared" si="10"/>
        <v>3.3956838773745157E-4</v>
      </c>
      <c r="K116" s="15">
        <f t="shared" si="11"/>
        <v>2.2307377579267547E-4</v>
      </c>
    </row>
    <row r="117" spans="1:21" s="8" customFormat="1" x14ac:dyDescent="0.3">
      <c r="A117" s="8" t="s">
        <v>15</v>
      </c>
      <c r="B117" s="6">
        <v>46191</v>
      </c>
      <c r="C117" s="9">
        <f>52.41+0.296</f>
        <v>52.705999999999996</v>
      </c>
      <c r="D117" s="7">
        <v>226.11</v>
      </c>
      <c r="E117" s="12">
        <f t="shared" si="7"/>
        <v>4.2900239061966383</v>
      </c>
      <c r="F117" s="13">
        <f t="shared" si="12"/>
        <v>4.2925457227069055</v>
      </c>
      <c r="G117" s="13">
        <f t="shared" si="13"/>
        <v>4.2922617320697212</v>
      </c>
      <c r="H117" s="4">
        <f t="shared" si="8"/>
        <v>226.24291486099014</v>
      </c>
      <c r="I117" s="4">
        <f t="shared" si="9"/>
        <v>226.22794685046671</v>
      </c>
      <c r="J117" s="15">
        <f t="shared" si="10"/>
        <v>5.8766003467033696E-4</v>
      </c>
      <c r="K117" s="15">
        <f t="shared" si="11"/>
        <v>5.2149882167087187E-4</v>
      </c>
      <c r="L117" s="4"/>
      <c r="M117" s="4"/>
      <c r="N117" s="4"/>
      <c r="O117" s="4"/>
      <c r="P117" s="4"/>
      <c r="Q117"/>
      <c r="R117"/>
      <c r="S117"/>
      <c r="T117"/>
      <c r="U117"/>
    </row>
    <row r="118" spans="1:21" x14ac:dyDescent="0.3">
      <c r="B118" s="1">
        <v>46195</v>
      </c>
      <c r="C118" s="10">
        <f>52.05+0.296</f>
        <v>52.345999999999997</v>
      </c>
      <c r="D118" s="4">
        <v>224.5</v>
      </c>
      <c r="E118" s="12">
        <f t="shared" si="7"/>
        <v>4.2887708707446608</v>
      </c>
      <c r="F118" s="13">
        <f t="shared" si="12"/>
        <v>4.2922366026927374</v>
      </c>
      <c r="G118" s="13">
        <f t="shared" si="13"/>
        <v>4.2922617320697212</v>
      </c>
      <c r="H118" s="4">
        <f t="shared" si="8"/>
        <v>224.68141720455401</v>
      </c>
      <c r="I118" s="4">
        <f t="shared" si="9"/>
        <v>224.68273262692162</v>
      </c>
      <c r="J118" s="15">
        <f t="shared" si="10"/>
        <v>8.0776811982750626E-4</v>
      </c>
      <c r="K118" s="15">
        <f t="shared" si="11"/>
        <v>8.1362271400524291E-4</v>
      </c>
    </row>
    <row r="119" spans="1:21" x14ac:dyDescent="0.3">
      <c r="B119" s="1">
        <v>46196</v>
      </c>
      <c r="C119" s="10">
        <f>52.95+0.296</f>
        <v>53.246000000000002</v>
      </c>
      <c r="D119" s="4">
        <v>228.7</v>
      </c>
      <c r="E119" s="12">
        <f t="shared" si="7"/>
        <v>4.2951583217518685</v>
      </c>
      <c r="F119" s="13">
        <f t="shared" si="12"/>
        <v>4.2923309673784606</v>
      </c>
      <c r="G119" s="13">
        <f t="shared" si="13"/>
        <v>4.2922617320697212</v>
      </c>
      <c r="H119" s="4">
        <f t="shared" si="8"/>
        <v>228.54945468903352</v>
      </c>
      <c r="I119" s="4">
        <f t="shared" si="9"/>
        <v>228.5457681857844</v>
      </c>
      <c r="J119" s="15">
        <f t="shared" si="10"/>
        <v>-6.5848221299038591E-4</v>
      </c>
      <c r="K119" s="15">
        <f t="shared" si="11"/>
        <v>-6.7461234546487329E-4</v>
      </c>
    </row>
    <row r="120" spans="1:21" s="8" customFormat="1" x14ac:dyDescent="0.3">
      <c r="A120" s="8" t="s">
        <v>16</v>
      </c>
      <c r="B120" s="6">
        <v>46197</v>
      </c>
      <c r="C120" s="7">
        <v>53.41</v>
      </c>
      <c r="D120" s="7">
        <v>229.24</v>
      </c>
      <c r="E120" s="12">
        <f t="shared" si="7"/>
        <v>4.2920801348062163</v>
      </c>
      <c r="F120" s="13">
        <f t="shared" si="12"/>
        <v>4.2923472963936531</v>
      </c>
      <c r="G120" s="13">
        <f t="shared" si="13"/>
        <v>4.2922617320697212</v>
      </c>
      <c r="H120" s="4">
        <f t="shared" si="8"/>
        <v>229.25426910038499</v>
      </c>
      <c r="I120" s="4">
        <f t="shared" si="9"/>
        <v>229.24969910984379</v>
      </c>
      <c r="J120" s="15">
        <f t="shared" si="10"/>
        <v>6.2243309682297621E-5</v>
      </c>
      <c r="K120" s="15">
        <f t="shared" si="11"/>
        <v>4.2308954221034005E-5</v>
      </c>
      <c r="L120" s="4"/>
      <c r="M120" s="4"/>
      <c r="N120" s="4"/>
      <c r="O120" s="4"/>
      <c r="P120" s="4"/>
      <c r="Q120"/>
      <c r="R120"/>
      <c r="S120"/>
      <c r="T120"/>
      <c r="U120"/>
    </row>
    <row r="121" spans="1:21" x14ac:dyDescent="0.3">
      <c r="B121" s="1">
        <v>46198</v>
      </c>
      <c r="C121" s="4">
        <v>52.97</v>
      </c>
      <c r="D121" s="4">
        <v>227.23</v>
      </c>
      <c r="E121" s="12">
        <f t="shared" si="7"/>
        <v>4.2897866717009627</v>
      </c>
      <c r="F121" s="13">
        <f t="shared" si="12"/>
        <v>4.2921312996483723</v>
      </c>
      <c r="G121" s="13">
        <f t="shared" si="13"/>
        <v>4.2922617320697212</v>
      </c>
      <c r="H121" s="4">
        <f t="shared" si="8"/>
        <v>227.35419494237428</v>
      </c>
      <c r="I121" s="4">
        <f t="shared" si="9"/>
        <v>227.36110394773311</v>
      </c>
      <c r="J121" s="15">
        <f t="shared" si="10"/>
        <v>5.4641119003303153E-4</v>
      </c>
      <c r="K121" s="15">
        <f t="shared" si="11"/>
        <v>5.7679945880778443E-4</v>
      </c>
    </row>
    <row r="122" spans="1:21" x14ac:dyDescent="0.3">
      <c r="B122" s="1">
        <v>46199</v>
      </c>
      <c r="C122" s="4">
        <v>53.49</v>
      </c>
      <c r="D122" s="4">
        <v>229.65</v>
      </c>
      <c r="E122" s="12">
        <f t="shared" si="7"/>
        <v>4.2933258553000559</v>
      </c>
      <c r="F122" s="13">
        <f t="shared" si="12"/>
        <v>4.292187996928897</v>
      </c>
      <c r="G122" s="13">
        <f t="shared" si="13"/>
        <v>4.2922617320697212</v>
      </c>
      <c r="H122" s="4">
        <f t="shared" si="8"/>
        <v>229.5891359557267</v>
      </c>
      <c r="I122" s="4">
        <f t="shared" si="9"/>
        <v>229.5930800484094</v>
      </c>
      <c r="J122" s="15">
        <f t="shared" si="10"/>
        <v>-2.6506471188698802E-4</v>
      </c>
      <c r="K122" s="15">
        <f t="shared" si="11"/>
        <v>-2.4788594256468948E-4</v>
      </c>
    </row>
    <row r="123" spans="1:21" x14ac:dyDescent="0.3">
      <c r="B123" s="1">
        <v>46202</v>
      </c>
      <c r="C123" s="4">
        <v>53.29</v>
      </c>
      <c r="D123" s="4">
        <v>228.79</v>
      </c>
      <c r="E123" s="12">
        <f t="shared" si="7"/>
        <v>4.2933008069056111</v>
      </c>
      <c r="F123" s="13">
        <f t="shared" si="12"/>
        <v>4.2921629585944618</v>
      </c>
      <c r="G123" s="13">
        <f t="shared" si="13"/>
        <v>4.2922617320697212</v>
      </c>
      <c r="H123" s="4">
        <f t="shared" si="8"/>
        <v>228.72936406349888</v>
      </c>
      <c r="I123" s="4">
        <f t="shared" si="9"/>
        <v>228.73462770199544</v>
      </c>
      <c r="J123" s="15">
        <f t="shared" si="10"/>
        <v>-2.6506391474930951E-4</v>
      </c>
      <c r="K123" s="15">
        <f t="shared" si="11"/>
        <v>-2.4205166201878326E-4</v>
      </c>
    </row>
    <row r="124" spans="1:21" x14ac:dyDescent="0.3">
      <c r="B124" s="1">
        <v>46203</v>
      </c>
      <c r="C124" s="4">
        <v>52.54</v>
      </c>
      <c r="D124" s="4">
        <v>225.49</v>
      </c>
      <c r="E124" s="12">
        <f t="shared" si="7"/>
        <v>4.2917776931861438</v>
      </c>
      <c r="F124" s="13">
        <f t="shared" si="12"/>
        <v>4.2920659184767231</v>
      </c>
      <c r="G124" s="13">
        <f t="shared" si="13"/>
        <v>4.2922617320697212</v>
      </c>
      <c r="H124" s="4">
        <f t="shared" si="8"/>
        <v>225.50514335676704</v>
      </c>
      <c r="I124" s="4">
        <f t="shared" si="9"/>
        <v>225.51543140294314</v>
      </c>
      <c r="J124" s="15">
        <f t="shared" si="10"/>
        <v>6.7155298657972366E-5</v>
      </c>
      <c r="K124" s="15">
        <f t="shared" si="11"/>
        <v>1.1277648205250522E-4</v>
      </c>
    </row>
    <row r="125" spans="1:21" x14ac:dyDescent="0.3">
      <c r="B125" s="1">
        <v>46204</v>
      </c>
      <c r="C125" s="4">
        <v>52.58</v>
      </c>
      <c r="D125" s="4">
        <v>225.95</v>
      </c>
      <c r="E125" s="12">
        <f t="shared" si="7"/>
        <v>4.2972613160897675</v>
      </c>
      <c r="F125" s="13">
        <f t="shared" si="12"/>
        <v>4.2922905705953642</v>
      </c>
      <c r="G125" s="13">
        <f t="shared" si="13"/>
        <v>4.2922617320697212</v>
      </c>
      <c r="H125" s="4">
        <f t="shared" si="8"/>
        <v>225.68863820190424</v>
      </c>
      <c r="I125" s="4">
        <f t="shared" si="9"/>
        <v>225.68712187222593</v>
      </c>
      <c r="J125" s="15">
        <f t="shared" si="10"/>
        <v>-1.1573935671761954E-3</v>
      </c>
      <c r="K125" s="15">
        <f t="shared" si="11"/>
        <v>-1.1641122694746057E-3</v>
      </c>
    </row>
    <row r="126" spans="1:21" x14ac:dyDescent="0.3">
      <c r="B126" s="1">
        <v>46205</v>
      </c>
      <c r="C126" s="4">
        <v>53.7</v>
      </c>
      <c r="D126" s="4">
        <v>230.45</v>
      </c>
      <c r="E126" s="12">
        <f t="shared" si="7"/>
        <v>4.2914338919925505</v>
      </c>
      <c r="F126" s="13">
        <f t="shared" si="12"/>
        <v>4.2922052603640743</v>
      </c>
      <c r="G126" s="13">
        <f t="shared" si="13"/>
        <v>4.2922617320697212</v>
      </c>
      <c r="H126" s="4">
        <f t="shared" si="8"/>
        <v>230.49142248155081</v>
      </c>
      <c r="I126" s="4">
        <f t="shared" si="9"/>
        <v>230.49445501214404</v>
      </c>
      <c r="J126" s="15">
        <f t="shared" si="10"/>
        <v>1.7972991639291828E-4</v>
      </c>
      <c r="K126" s="15">
        <f t="shared" si="11"/>
        <v>1.9288663438071492E-4</v>
      </c>
    </row>
    <row r="127" spans="1:21" x14ac:dyDescent="0.3">
      <c r="B127" s="1">
        <v>46209</v>
      </c>
      <c r="C127" s="4">
        <v>53.18</v>
      </c>
      <c r="D127" s="4">
        <v>228.2</v>
      </c>
      <c r="E127" s="12">
        <f t="shared" si="7"/>
        <v>4.2910868747649493</v>
      </c>
      <c r="F127" s="13">
        <f t="shared" si="12"/>
        <v>4.292146451297679</v>
      </c>
      <c r="G127" s="13">
        <f t="shared" si="13"/>
        <v>4.2922617320697212</v>
      </c>
      <c r="H127" s="4">
        <f t="shared" si="8"/>
        <v>228.25634828001057</v>
      </c>
      <c r="I127" s="4">
        <f t="shared" si="9"/>
        <v>228.26247891146778</v>
      </c>
      <c r="J127" s="15">
        <f t="shared" si="10"/>
        <v>2.4689449718098762E-4</v>
      </c>
      <c r="K127" s="15">
        <f t="shared" si="11"/>
        <v>2.7375267297743684E-4</v>
      </c>
    </row>
    <row r="128" spans="1:21" x14ac:dyDescent="0.3">
      <c r="B128" s="1">
        <v>46210</v>
      </c>
      <c r="C128" s="4">
        <v>53.59</v>
      </c>
      <c r="D128" s="4">
        <v>230.1</v>
      </c>
      <c r="E128" s="12">
        <f t="shared" si="7"/>
        <v>4.2937115133420409</v>
      </c>
      <c r="F128" s="13">
        <f t="shared" si="12"/>
        <v>4.2921183119181769</v>
      </c>
      <c r="G128" s="13">
        <f t="shared" si="13"/>
        <v>4.2922617320697212</v>
      </c>
      <c r="H128" s="4">
        <f t="shared" si="8"/>
        <v>230.01462033569513</v>
      </c>
      <c r="I128" s="4">
        <f t="shared" si="9"/>
        <v>230.02230622161636</v>
      </c>
      <c r="J128" s="15">
        <f t="shared" si="10"/>
        <v>-3.7112346146501941E-4</v>
      </c>
      <c r="K128" s="15">
        <f t="shared" si="11"/>
        <v>-3.37709248482336E-4</v>
      </c>
    </row>
    <row r="129" spans="2:11" x14ac:dyDescent="0.3">
      <c r="B129" s="1">
        <v>46211</v>
      </c>
      <c r="C129" s="4">
        <v>53.3</v>
      </c>
      <c r="D129" s="4">
        <v>228.81</v>
      </c>
      <c r="E129" s="12">
        <f t="shared" si="7"/>
        <v>4.2928705440900563</v>
      </c>
      <c r="F129" s="13">
        <f t="shared" si="12"/>
        <v>4.2922134397324356</v>
      </c>
      <c r="G129" s="13">
        <f t="shared" si="13"/>
        <v>4.2922617320697212</v>
      </c>
      <c r="H129" s="4">
        <f t="shared" si="8"/>
        <v>228.77497633773882</v>
      </c>
      <c r="I129" s="4">
        <f t="shared" si="9"/>
        <v>228.77755031931613</v>
      </c>
      <c r="J129" s="15">
        <f t="shared" si="10"/>
        <v>-1.5308047309547815E-4</v>
      </c>
      <c r="K129" s="15">
        <f t="shared" si="11"/>
        <v>-1.4182938637914599E-4</v>
      </c>
    </row>
    <row r="130" spans="2:11" x14ac:dyDescent="0.3">
      <c r="B130" s="1">
        <v>46212</v>
      </c>
      <c r="C130" s="4">
        <v>52.57</v>
      </c>
      <c r="D130" s="4">
        <v>225.6</v>
      </c>
      <c r="E130" s="12">
        <f t="shared" si="7"/>
        <v>4.2914209625261552</v>
      </c>
      <c r="F130" s="13">
        <f t="shared" si="12"/>
        <v>4.2920619510524016</v>
      </c>
      <c r="G130" s="13">
        <f t="shared" si="13"/>
        <v>4.2922617320697212</v>
      </c>
      <c r="H130" s="4">
        <f t="shared" si="8"/>
        <v>225.63369676682476</v>
      </c>
      <c r="I130" s="4">
        <f t="shared" si="9"/>
        <v>225.64419925490523</v>
      </c>
      <c r="J130" s="15">
        <f t="shared" si="10"/>
        <v>1.4935394731761936E-4</v>
      </c>
      <c r="K130" s="15">
        <f t="shared" si="11"/>
        <v>1.9589949353181923E-4</v>
      </c>
    </row>
    <row r="131" spans="2:11" x14ac:dyDescent="0.3">
      <c r="B131" s="1">
        <v>46213</v>
      </c>
      <c r="C131" s="4">
        <v>53.1</v>
      </c>
      <c r="D131" s="4">
        <v>228.14</v>
      </c>
      <c r="E131" s="12">
        <f t="shared" ref="E131:E163" si="14">D131/C131</f>
        <v>4.2964218455743879</v>
      </c>
      <c r="F131" s="13">
        <f t="shared" si="12"/>
        <v>4.2923310121680709</v>
      </c>
      <c r="G131" s="13">
        <f t="shared" si="13"/>
        <v>4.2922617320697212</v>
      </c>
      <c r="H131" s="4">
        <f t="shared" si="8"/>
        <v>227.92277674612458</v>
      </c>
      <c r="I131" s="4">
        <f t="shared" si="9"/>
        <v>227.91909797290219</v>
      </c>
      <c r="J131" s="15">
        <f t="shared" si="10"/>
        <v>-9.5260249850625427E-4</v>
      </c>
      <c r="K131" s="15">
        <f t="shared" si="11"/>
        <v>-9.6874306577970329E-4</v>
      </c>
    </row>
    <row r="132" spans="2:11" x14ac:dyDescent="0.3">
      <c r="B132" s="1">
        <v>46216</v>
      </c>
      <c r="C132" s="4">
        <v>53.4</v>
      </c>
      <c r="D132" s="4">
        <v>229.27</v>
      </c>
      <c r="E132" s="12">
        <f t="shared" si="14"/>
        <v>4.2934456928838953</v>
      </c>
      <c r="F132" s="13">
        <f t="shared" si="12"/>
        <v>4.2923214955469131</v>
      </c>
      <c r="G132" s="13">
        <f t="shared" si="13"/>
        <v>4.2922617320697212</v>
      </c>
      <c r="H132" s="4">
        <f t="shared" si="8"/>
        <v>229.20996786220516</v>
      </c>
      <c r="I132" s="4">
        <f t="shared" si="9"/>
        <v>229.20677649252309</v>
      </c>
      <c r="J132" s="15">
        <f t="shared" si="10"/>
        <v>-2.6187463944324666E-4</v>
      </c>
      <c r="K132" s="15">
        <f t="shared" si="11"/>
        <v>-2.7579808234284419E-4</v>
      </c>
    </row>
    <row r="133" spans="2:11" x14ac:dyDescent="0.3">
      <c r="B133" s="1">
        <v>46217</v>
      </c>
      <c r="C133" s="4">
        <v>52.74</v>
      </c>
      <c r="D133" s="4">
        <v>226.29</v>
      </c>
      <c r="E133" s="12">
        <f t="shared" si="14"/>
        <v>4.2906712172923775</v>
      </c>
      <c r="F133" s="13">
        <f t="shared" si="12"/>
        <v>4.2922459268606179</v>
      </c>
      <c r="G133" s="13">
        <f t="shared" si="13"/>
        <v>4.2922617320697212</v>
      </c>
      <c r="H133" s="4">
        <f t="shared" si="8"/>
        <v>226.37305018262899</v>
      </c>
      <c r="I133" s="4">
        <f t="shared" si="9"/>
        <v>226.37388374935711</v>
      </c>
      <c r="J133" s="15">
        <f t="shared" si="10"/>
        <v>3.6694041418826561E-4</v>
      </c>
      <c r="K133" s="15">
        <f t="shared" si="11"/>
        <v>3.7062267757037365E-4</v>
      </c>
    </row>
    <row r="134" spans="2:11" x14ac:dyDescent="0.3">
      <c r="B134" s="1">
        <v>46218</v>
      </c>
      <c r="C134" s="4">
        <v>52.68</v>
      </c>
      <c r="D134" s="4">
        <v>226.34</v>
      </c>
      <c r="E134" s="12">
        <f t="shared" si="14"/>
        <v>4.2965072133637054</v>
      </c>
      <c r="F134" s="13">
        <f t="shared" si="12"/>
        <v>4.2924597540594913</v>
      </c>
      <c r="G134" s="13">
        <f t="shared" si="13"/>
        <v>4.2922617320697212</v>
      </c>
      <c r="H134" s="4">
        <f t="shared" si="8"/>
        <v>226.126779843854</v>
      </c>
      <c r="I134" s="4">
        <f t="shared" si="9"/>
        <v>226.11634804543291</v>
      </c>
      <c r="J134" s="15">
        <f t="shared" si="10"/>
        <v>-9.4247879149320947E-4</v>
      </c>
      <c r="K134" s="15">
        <f t="shared" si="11"/>
        <v>-9.8861237663631961E-4</v>
      </c>
    </row>
    <row r="135" spans="2:11" x14ac:dyDescent="0.3">
      <c r="B135" s="1">
        <v>46219</v>
      </c>
      <c r="C135" s="4">
        <v>54.12</v>
      </c>
      <c r="D135" s="4">
        <v>232.34</v>
      </c>
      <c r="E135" s="12">
        <f t="shared" si="14"/>
        <v>4.2930524759793052</v>
      </c>
      <c r="F135" s="13">
        <f t="shared" si="12"/>
        <v>4.2926706078158716</v>
      </c>
      <c r="G135" s="13">
        <f t="shared" si="13"/>
        <v>4.2922617320697212</v>
      </c>
      <c r="H135" s="4">
        <f t="shared" si="8"/>
        <v>232.31933329499495</v>
      </c>
      <c r="I135" s="4">
        <f t="shared" si="9"/>
        <v>232.29720493961329</v>
      </c>
      <c r="J135" s="15">
        <f t="shared" si="10"/>
        <v>-8.895422318165644E-5</v>
      </c>
      <c r="K135" s="15">
        <f t="shared" si="11"/>
        <v>-1.842084966625963E-4</v>
      </c>
    </row>
    <row r="136" spans="2:11" x14ac:dyDescent="0.3">
      <c r="B136" s="1">
        <v>46220</v>
      </c>
      <c r="C136" s="4">
        <v>53.64</v>
      </c>
      <c r="D136" s="4">
        <v>230.32</v>
      </c>
      <c r="E136" s="12">
        <f t="shared" si="14"/>
        <v>4.2938105891126019</v>
      </c>
      <c r="F136" s="13">
        <f t="shared" si="12"/>
        <v>4.2927959198801977</v>
      </c>
      <c r="G136" s="13">
        <f t="shared" si="13"/>
        <v>4.2922617320697212</v>
      </c>
      <c r="H136" s="4">
        <f t="shared" si="8"/>
        <v>230.2655731423738</v>
      </c>
      <c r="I136" s="4">
        <f t="shared" si="9"/>
        <v>230.23691930821985</v>
      </c>
      <c r="J136" s="15">
        <f t="shared" si="10"/>
        <v>-2.3633765820410308E-4</v>
      </c>
      <c r="K136" s="15">
        <f t="shared" si="11"/>
        <v>-3.6078360436365986E-4</v>
      </c>
    </row>
    <row r="137" spans="2:11" x14ac:dyDescent="0.3">
      <c r="B137" s="1">
        <v>46223</v>
      </c>
      <c r="C137" s="4">
        <v>53.45</v>
      </c>
      <c r="D137" s="4">
        <v>229.43</v>
      </c>
      <c r="E137" s="12">
        <f t="shared" si="14"/>
        <v>4.292422825070159</v>
      </c>
      <c r="F137" s="13">
        <f t="shared" si="12"/>
        <v>4.2929158658238737</v>
      </c>
      <c r="G137" s="13">
        <f t="shared" si="13"/>
        <v>4.2922617320697212</v>
      </c>
      <c r="H137" s="4">
        <f t="shared" si="8"/>
        <v>229.45635302828606</v>
      </c>
      <c r="I137" s="4">
        <f t="shared" si="9"/>
        <v>229.42138957912661</v>
      </c>
      <c r="J137" s="15">
        <f t="shared" si="10"/>
        <v>1.148564481863661E-4</v>
      </c>
      <c r="K137" s="15">
        <f t="shared" si="11"/>
        <v>-3.7530324937208801E-5</v>
      </c>
    </row>
    <row r="138" spans="2:11" x14ac:dyDescent="0.3">
      <c r="B138" s="1">
        <v>46224</v>
      </c>
      <c r="C138" s="4">
        <v>53</v>
      </c>
      <c r="D138" s="4">
        <v>227.51</v>
      </c>
      <c r="E138" s="12">
        <f t="shared" si="14"/>
        <v>4.2926415094339623</v>
      </c>
      <c r="F138" s="13">
        <f t="shared" si="12"/>
        <v>4.2931093977583386</v>
      </c>
      <c r="G138" s="13">
        <f t="shared" si="13"/>
        <v>4.2922617320697212</v>
      </c>
      <c r="H138" s="4">
        <f t="shared" si="8"/>
        <v>227.53479808119195</v>
      </c>
      <c r="I138" s="4">
        <f t="shared" si="9"/>
        <v>227.48987179969521</v>
      </c>
      <c r="J138" s="15">
        <f t="shared" si="10"/>
        <v>1.0899182375491431E-4</v>
      </c>
      <c r="K138" s="15">
        <f t="shared" si="11"/>
        <v>-8.8475630721842493E-5</v>
      </c>
    </row>
    <row r="139" spans="2:11" x14ac:dyDescent="0.3">
      <c r="B139" s="1">
        <v>46225</v>
      </c>
      <c r="C139" s="4">
        <v>53.14</v>
      </c>
      <c r="D139" s="4">
        <v>228.03</v>
      </c>
      <c r="E139" s="12">
        <f t="shared" si="14"/>
        <v>4.2911178020323675</v>
      </c>
      <c r="F139" s="13">
        <f t="shared" si="12"/>
        <v>4.2929073717723636</v>
      </c>
      <c r="G139" s="13">
        <f t="shared" si="13"/>
        <v>4.2922617320697212</v>
      </c>
      <c r="H139" s="4">
        <f t="shared" si="8"/>
        <v>228.12509773598342</v>
      </c>
      <c r="I139" s="4">
        <f t="shared" si="9"/>
        <v>228.09078844218499</v>
      </c>
      <c r="J139" s="15">
        <f t="shared" si="10"/>
        <v>4.1695352231346024E-4</v>
      </c>
      <c r="K139" s="15">
        <f t="shared" si="11"/>
        <v>2.6654537168755284E-4</v>
      </c>
    </row>
    <row r="140" spans="2:11" x14ac:dyDescent="0.3">
      <c r="B140" s="1">
        <v>46226</v>
      </c>
      <c r="C140" s="4">
        <v>52.41</v>
      </c>
      <c r="D140" s="4">
        <v>224.97</v>
      </c>
      <c r="E140" s="12">
        <f t="shared" si="14"/>
        <v>4.2925014310246139</v>
      </c>
      <c r="F140" s="13">
        <f t="shared" si="12"/>
        <v>4.2929284365832832</v>
      </c>
      <c r="G140" s="13">
        <f t="shared" si="13"/>
        <v>4.2922617320697212</v>
      </c>
      <c r="H140" s="4">
        <f t="shared" ref="H140:H163" si="15">C140*F140</f>
        <v>224.99237936132985</v>
      </c>
      <c r="I140" s="4">
        <f t="shared" ref="I140:I163" si="16">C140*G140</f>
        <v>224.95743737777408</v>
      </c>
      <c r="J140" s="15">
        <f t="shared" ref="J140:J163" si="17">LN(H140/D140)</f>
        <v>9.9472144227064481E-5</v>
      </c>
      <c r="K140" s="15">
        <f t="shared" ref="K140:K163" si="18">LN(I140/D140)</f>
        <v>-5.5842881253931182E-5</v>
      </c>
    </row>
    <row r="141" spans="2:11" x14ac:dyDescent="0.3">
      <c r="B141" s="1">
        <v>46227</v>
      </c>
      <c r="C141" s="4">
        <v>52.95</v>
      </c>
      <c r="D141" s="4">
        <v>227.32</v>
      </c>
      <c r="E141" s="12">
        <f t="shared" si="14"/>
        <v>4.2931067044381486</v>
      </c>
      <c r="F141" s="13">
        <f t="shared" si="12"/>
        <v>4.2930944382201419</v>
      </c>
      <c r="G141" s="13">
        <f t="shared" si="13"/>
        <v>4.2922617320697212</v>
      </c>
      <c r="H141" s="4">
        <f t="shared" si="15"/>
        <v>227.31935050375654</v>
      </c>
      <c r="I141" s="4">
        <f t="shared" si="16"/>
        <v>227.27525871309174</v>
      </c>
      <c r="J141" s="15">
        <f t="shared" si="17"/>
        <v>-2.8571932575816731E-6</v>
      </c>
      <c r="K141" s="15">
        <f t="shared" si="18"/>
        <v>-1.9684009542628221E-4</v>
      </c>
    </row>
    <row r="142" spans="2:11" x14ac:dyDescent="0.3">
      <c r="B142" s="1">
        <v>46230</v>
      </c>
      <c r="C142" s="4">
        <v>53.78</v>
      </c>
      <c r="D142" s="4">
        <v>230.91</v>
      </c>
      <c r="E142" s="12">
        <f t="shared" si="14"/>
        <v>4.2936035701004087</v>
      </c>
      <c r="F142" s="13">
        <f t="shared" si="12"/>
        <v>4.2931083239601593</v>
      </c>
      <c r="G142" s="13">
        <f t="shared" si="13"/>
        <v>4.2922617320697212</v>
      </c>
      <c r="H142" s="4">
        <f t="shared" si="15"/>
        <v>230.88336566257738</v>
      </c>
      <c r="I142" s="4">
        <f t="shared" si="16"/>
        <v>230.8378359507096</v>
      </c>
      <c r="J142" s="15">
        <f t="shared" si="17"/>
        <v>-1.153517544104931E-4</v>
      </c>
      <c r="K142" s="15">
        <f t="shared" si="18"/>
        <v>-3.1256908753817751E-4</v>
      </c>
    </row>
    <row r="143" spans="2:11" x14ac:dyDescent="0.3">
      <c r="B143" s="1">
        <v>46231</v>
      </c>
      <c r="C143" s="4">
        <v>54.89</v>
      </c>
      <c r="D143" s="4">
        <v>235.43</v>
      </c>
      <c r="E143" s="12">
        <f t="shared" si="14"/>
        <v>4.2891237019493538</v>
      </c>
      <c r="F143" s="13">
        <f t="shared" si="12"/>
        <v>4.2928994687123474</v>
      </c>
      <c r="G143" s="13">
        <f t="shared" si="13"/>
        <v>4.2922617320697212</v>
      </c>
      <c r="H143" s="4">
        <f t="shared" si="15"/>
        <v>235.63725183762074</v>
      </c>
      <c r="I143" s="4">
        <f t="shared" si="16"/>
        <v>235.60224647330699</v>
      </c>
      <c r="J143" s="15">
        <f t="shared" si="17"/>
        <v>8.7992468245080705E-4</v>
      </c>
      <c r="K143" s="15">
        <f t="shared" si="18"/>
        <v>7.3135749101788572E-4</v>
      </c>
    </row>
    <row r="144" spans="2:11" x14ac:dyDescent="0.3">
      <c r="B144" s="1">
        <v>46232</v>
      </c>
      <c r="C144" s="4">
        <v>54.97</v>
      </c>
      <c r="D144" s="4">
        <v>236.08</v>
      </c>
      <c r="E144" s="12">
        <f t="shared" si="14"/>
        <v>4.2947062033836643</v>
      </c>
      <c r="F144" s="13">
        <f t="shared" si="12"/>
        <v>4.2930458942222236</v>
      </c>
      <c r="G144" s="13">
        <f t="shared" si="13"/>
        <v>4.2922617320697212</v>
      </c>
      <c r="H144" s="4">
        <f t="shared" si="15"/>
        <v>235.98873280539561</v>
      </c>
      <c r="I144" s="4">
        <f t="shared" si="16"/>
        <v>235.94562741187258</v>
      </c>
      <c r="J144" s="15">
        <f t="shared" si="17"/>
        <v>-3.8666909879479311E-4</v>
      </c>
      <c r="K144" s="15">
        <f t="shared" si="18"/>
        <v>-5.6934447603607661E-4</v>
      </c>
    </row>
    <row r="145" spans="2:11" x14ac:dyDescent="0.3">
      <c r="B145" s="1">
        <v>46233</v>
      </c>
      <c r="C145" s="4">
        <v>53.91</v>
      </c>
      <c r="D145" s="4">
        <v>231.37</v>
      </c>
      <c r="E145" s="12">
        <f t="shared" si="14"/>
        <v>4.2917826006306807</v>
      </c>
      <c r="F145" s="13">
        <f t="shared" si="12"/>
        <v>4.2927719584492703</v>
      </c>
      <c r="G145" s="13">
        <f t="shared" si="13"/>
        <v>4.2922617320697212</v>
      </c>
      <c r="H145" s="4">
        <f t="shared" si="15"/>
        <v>231.42333628000014</v>
      </c>
      <c r="I145" s="4">
        <f t="shared" si="16"/>
        <v>231.39582997587866</v>
      </c>
      <c r="J145" s="15">
        <f t="shared" si="17"/>
        <v>2.3049718332167311E-4</v>
      </c>
      <c r="K145" s="15">
        <f t="shared" si="18"/>
        <v>1.116330300653283E-4</v>
      </c>
    </row>
    <row r="146" spans="2:11" x14ac:dyDescent="0.3">
      <c r="B146" s="1">
        <v>46234</v>
      </c>
      <c r="C146" s="4">
        <v>53.66</v>
      </c>
      <c r="D146" s="4">
        <v>230.43</v>
      </c>
      <c r="E146" s="12">
        <f t="shared" si="14"/>
        <v>4.2942601565411858</v>
      </c>
      <c r="F146" s="13">
        <f t="shared" si="12"/>
        <v>4.2929132716767011</v>
      </c>
      <c r="G146" s="13">
        <f t="shared" si="13"/>
        <v>4.2922617320697212</v>
      </c>
      <c r="H146" s="4">
        <f t="shared" si="15"/>
        <v>230.35772615817177</v>
      </c>
      <c r="I146" s="4">
        <f t="shared" si="16"/>
        <v>230.32276454286122</v>
      </c>
      <c r="J146" s="15">
        <f t="shared" si="17"/>
        <v>-3.13696907786604E-4</v>
      </c>
      <c r="K146" s="15">
        <f t="shared" si="18"/>
        <v>-4.6547939514337498E-4</v>
      </c>
    </row>
    <row r="147" spans="2:11" x14ac:dyDescent="0.3">
      <c r="B147" s="1">
        <v>46237</v>
      </c>
      <c r="C147" s="4">
        <v>53.56</v>
      </c>
      <c r="D147" s="4">
        <v>230.1</v>
      </c>
      <c r="E147" s="12">
        <f t="shared" si="14"/>
        <v>4.2961165048543686</v>
      </c>
      <c r="F147" s="13">
        <f t="shared" si="12"/>
        <v>4.2931647531811716</v>
      </c>
      <c r="G147" s="13">
        <f t="shared" si="13"/>
        <v>4.2922617320697212</v>
      </c>
      <c r="H147" s="4">
        <f t="shared" si="15"/>
        <v>229.94190418038357</v>
      </c>
      <c r="I147" s="4">
        <f t="shared" si="16"/>
        <v>229.89353836965427</v>
      </c>
      <c r="J147" s="15">
        <f t="shared" si="17"/>
        <v>-6.8731054455462048E-4</v>
      </c>
      <c r="K147" s="15">
        <f t="shared" si="18"/>
        <v>-8.976719322695149E-4</v>
      </c>
    </row>
    <row r="148" spans="2:11" x14ac:dyDescent="0.3">
      <c r="B148" s="1">
        <v>46238</v>
      </c>
      <c r="C148" s="4">
        <v>53.9</v>
      </c>
      <c r="D148" s="4">
        <v>231.38</v>
      </c>
      <c r="E148" s="12">
        <f t="shared" si="14"/>
        <v>4.2927643784786644</v>
      </c>
      <c r="F148" s="13">
        <f t="shared" si="12"/>
        <v>4.2931173964380038</v>
      </c>
      <c r="G148" s="13">
        <f t="shared" si="13"/>
        <v>4.2922617320697212</v>
      </c>
      <c r="H148" s="4">
        <f t="shared" si="15"/>
        <v>231.39902766800839</v>
      </c>
      <c r="I148" s="4">
        <f t="shared" si="16"/>
        <v>231.35290735855796</v>
      </c>
      <c r="J148" s="15">
        <f t="shared" si="17"/>
        <v>8.2232196713800774E-5</v>
      </c>
      <c r="K148" s="15">
        <f t="shared" si="18"/>
        <v>-1.1709839971245013E-4</v>
      </c>
    </row>
    <row r="149" spans="2:11" x14ac:dyDescent="0.3">
      <c r="B149" s="1">
        <v>46239</v>
      </c>
      <c r="C149" s="4">
        <v>53.85</v>
      </c>
      <c r="D149" s="4">
        <v>231.23</v>
      </c>
      <c r="E149" s="12">
        <f t="shared" si="14"/>
        <v>4.2939647168059425</v>
      </c>
      <c r="F149" s="13">
        <f t="shared" ref="F149:F163" si="19">AVERAGE(E130:E149)</f>
        <v>4.2931721050737979</v>
      </c>
      <c r="G149" s="13">
        <f t="shared" si="13"/>
        <v>4.2922617320697212</v>
      </c>
      <c r="H149" s="4">
        <f t="shared" si="15"/>
        <v>231.18731785822402</v>
      </c>
      <c r="I149" s="4">
        <f t="shared" si="16"/>
        <v>231.13829427195449</v>
      </c>
      <c r="J149" s="15">
        <f t="shared" si="17"/>
        <v>-1.8460442655938465E-4</v>
      </c>
      <c r="K149" s="15">
        <f t="shared" si="18"/>
        <v>-3.9667827739971808E-4</v>
      </c>
    </row>
    <row r="150" spans="2:11" x14ac:dyDescent="0.3">
      <c r="B150" s="1">
        <v>46240</v>
      </c>
      <c r="C150" s="4">
        <v>53.77</v>
      </c>
      <c r="D150" s="4">
        <v>230.79</v>
      </c>
      <c r="E150" s="12">
        <f t="shared" si="14"/>
        <v>4.2921703552166628</v>
      </c>
      <c r="F150" s="13">
        <f t="shared" si="19"/>
        <v>4.2932095747083228</v>
      </c>
      <c r="G150" s="13">
        <f t="shared" ref="G150:G172" si="20">G149</f>
        <v>4.2922617320697212</v>
      </c>
      <c r="H150" s="4">
        <f t="shared" si="15"/>
        <v>230.84587883206652</v>
      </c>
      <c r="I150" s="4">
        <f t="shared" si="16"/>
        <v>230.79491333338893</v>
      </c>
      <c r="J150" s="15">
        <f t="shared" si="17"/>
        <v>2.4209050856630388E-4</v>
      </c>
      <c r="K150" s="15">
        <f t="shared" si="18"/>
        <v>2.1288968712700679E-5</v>
      </c>
    </row>
    <row r="151" spans="2:11" x14ac:dyDescent="0.3">
      <c r="B151" s="1">
        <v>46241</v>
      </c>
      <c r="C151" s="4">
        <v>53.87</v>
      </c>
      <c r="D151" s="4">
        <v>231.22</v>
      </c>
      <c r="E151" s="12">
        <f t="shared" si="14"/>
        <v>4.2921848895489143</v>
      </c>
      <c r="F151" s="13">
        <f t="shared" si="19"/>
        <v>4.2929977269070507</v>
      </c>
      <c r="G151" s="13">
        <f t="shared" si="20"/>
        <v>4.2922617320697212</v>
      </c>
      <c r="H151" s="4">
        <f t="shared" si="15"/>
        <v>231.26378754848281</v>
      </c>
      <c r="I151" s="4">
        <f t="shared" si="16"/>
        <v>231.22413950659586</v>
      </c>
      <c r="J151" s="15">
        <f t="shared" si="17"/>
        <v>1.8935819932532996E-4</v>
      </c>
      <c r="K151" s="15">
        <f t="shared" si="18"/>
        <v>1.7902731345678563E-5</v>
      </c>
    </row>
    <row r="152" spans="2:11" x14ac:dyDescent="0.3">
      <c r="B152" s="1">
        <v>46244</v>
      </c>
      <c r="C152" s="4">
        <v>53.71</v>
      </c>
      <c r="D152" s="4">
        <v>230.39</v>
      </c>
      <c r="E152" s="12">
        <f t="shared" si="14"/>
        <v>4.2895177806739895</v>
      </c>
      <c r="F152" s="13">
        <f t="shared" si="19"/>
        <v>4.2928013312965545</v>
      </c>
      <c r="G152" s="13">
        <f t="shared" si="20"/>
        <v>4.2922617320697212</v>
      </c>
      <c r="H152" s="4">
        <f t="shared" si="15"/>
        <v>230.56635950393795</v>
      </c>
      <c r="I152" s="4">
        <f t="shared" si="16"/>
        <v>230.53737762946471</v>
      </c>
      <c r="J152" s="15">
        <f t="shared" si="17"/>
        <v>7.6518962763794313E-4</v>
      </c>
      <c r="K152" s="15">
        <f t="shared" si="18"/>
        <v>6.3948310141628633E-4</v>
      </c>
    </row>
    <row r="153" spans="2:11" x14ac:dyDescent="0.3">
      <c r="B153" s="1">
        <v>46245</v>
      </c>
      <c r="C153" s="4">
        <v>53.62</v>
      </c>
      <c r="D153" s="4">
        <v>229.95</v>
      </c>
      <c r="E153" s="12">
        <f t="shared" si="14"/>
        <v>4.2885117493472587</v>
      </c>
      <c r="F153" s="13">
        <f t="shared" si="19"/>
        <v>4.2926933578992985</v>
      </c>
      <c r="G153" s="13">
        <f t="shared" si="20"/>
        <v>4.2922617320697212</v>
      </c>
      <c r="H153" s="4">
        <f t="shared" si="15"/>
        <v>230.17421785056038</v>
      </c>
      <c r="I153" s="4">
        <f t="shared" si="16"/>
        <v>230.15107407357843</v>
      </c>
      <c r="J153" s="15">
        <f t="shared" si="17"/>
        <v>9.7459711794949913E-4</v>
      </c>
      <c r="K153" s="15">
        <f t="shared" si="18"/>
        <v>8.740431079592814E-4</v>
      </c>
    </row>
    <row r="154" spans="2:11" x14ac:dyDescent="0.3">
      <c r="B154" s="1">
        <v>46246</v>
      </c>
      <c r="C154" s="4">
        <v>53.82</v>
      </c>
      <c r="D154" s="4">
        <v>231.1</v>
      </c>
      <c r="E154" s="12">
        <f t="shared" si="14"/>
        <v>4.2939427722036418</v>
      </c>
      <c r="F154" s="13">
        <f t="shared" si="19"/>
        <v>4.2925651358412953</v>
      </c>
      <c r="G154" s="13">
        <f t="shared" si="20"/>
        <v>4.2922617320697212</v>
      </c>
      <c r="H154" s="4">
        <f t="shared" si="15"/>
        <v>231.02585561097851</v>
      </c>
      <c r="I154" s="4">
        <f t="shared" si="16"/>
        <v>231.0095264199924</v>
      </c>
      <c r="J154" s="15">
        <f t="shared" si="17"/>
        <v>-3.2088397027537578E-4</v>
      </c>
      <c r="K154" s="15">
        <f t="shared" si="18"/>
        <v>-3.9156769549636021E-4</v>
      </c>
    </row>
    <row r="155" spans="2:11" x14ac:dyDescent="0.3">
      <c r="B155" s="1">
        <v>46247</v>
      </c>
      <c r="C155" s="4">
        <v>54.3</v>
      </c>
      <c r="D155" s="4">
        <v>233.09</v>
      </c>
      <c r="E155" s="12">
        <f t="shared" si="14"/>
        <v>4.2926335174953962</v>
      </c>
      <c r="F155" s="13">
        <f t="shared" si="19"/>
        <v>4.2925441879171</v>
      </c>
      <c r="G155" s="13">
        <f t="shared" si="20"/>
        <v>4.2922617320697212</v>
      </c>
      <c r="H155" s="4">
        <f t="shared" si="15"/>
        <v>233.08514940389853</v>
      </c>
      <c r="I155" s="4">
        <f t="shared" si="16"/>
        <v>233.06981205138584</v>
      </c>
      <c r="J155" s="15">
        <f t="shared" si="17"/>
        <v>-2.0810187363538146E-5</v>
      </c>
      <c r="K155" s="15">
        <f t="shared" si="18"/>
        <v>-8.6613852609710134E-5</v>
      </c>
    </row>
    <row r="156" spans="2:11" x14ac:dyDescent="0.3">
      <c r="B156" s="1">
        <v>46248</v>
      </c>
      <c r="C156" s="4">
        <v>54.35</v>
      </c>
      <c r="D156" s="4">
        <v>233.28</v>
      </c>
      <c r="E156" s="12">
        <f t="shared" si="14"/>
        <v>4.2921803127874885</v>
      </c>
      <c r="F156" s="13">
        <f t="shared" si="19"/>
        <v>4.2924626741008449</v>
      </c>
      <c r="G156" s="13">
        <f t="shared" si="20"/>
        <v>4.2922617320697212</v>
      </c>
      <c r="H156" s="4">
        <f t="shared" si="15"/>
        <v>233.29534633738092</v>
      </c>
      <c r="I156" s="4">
        <f t="shared" si="16"/>
        <v>233.28442513798936</v>
      </c>
      <c r="J156" s="15">
        <f t="shared" si="17"/>
        <v>6.5782890188745337E-5</v>
      </c>
      <c r="K156" s="15">
        <f t="shared" si="18"/>
        <v>1.8969033004086078E-5</v>
      </c>
    </row>
    <row r="157" spans="2:11" x14ac:dyDescent="0.3">
      <c r="B157" s="1">
        <v>46251</v>
      </c>
      <c r="C157" s="4">
        <v>53.62</v>
      </c>
      <c r="D157" s="4">
        <v>230.22</v>
      </c>
      <c r="E157" s="12">
        <f t="shared" si="14"/>
        <v>4.2935471838866093</v>
      </c>
      <c r="F157" s="13">
        <f t="shared" si="19"/>
        <v>4.2925188920416675</v>
      </c>
      <c r="G157" s="13">
        <f t="shared" si="20"/>
        <v>4.2922617320697212</v>
      </c>
      <c r="H157" s="4">
        <f t="shared" si="15"/>
        <v>230.16486299127419</v>
      </c>
      <c r="I157" s="4">
        <f t="shared" si="16"/>
        <v>230.15107407357843</v>
      </c>
      <c r="J157" s="15">
        <f t="shared" si="17"/>
        <v>-2.3952572476504709E-4</v>
      </c>
      <c r="K157" s="15">
        <f t="shared" si="18"/>
        <v>-2.9943639302394177E-4</v>
      </c>
    </row>
    <row r="158" spans="2:11" x14ac:dyDescent="0.3">
      <c r="B158" s="1">
        <v>46252</v>
      </c>
      <c r="C158" s="4">
        <v>54.06</v>
      </c>
      <c r="D158" s="4">
        <v>232.12</v>
      </c>
      <c r="E158" s="12">
        <f t="shared" si="14"/>
        <v>4.2937476877543466</v>
      </c>
      <c r="F158" s="13">
        <f t="shared" si="19"/>
        <v>4.2925742009576862</v>
      </c>
      <c r="G158" s="13">
        <f t="shared" si="20"/>
        <v>4.2922617320697212</v>
      </c>
      <c r="H158" s="4">
        <f t="shared" si="15"/>
        <v>232.05656130377253</v>
      </c>
      <c r="I158" s="4">
        <f t="shared" si="16"/>
        <v>232.03966923568913</v>
      </c>
      <c r="J158" s="15">
        <f t="shared" si="17"/>
        <v>-2.7333864701946771E-4</v>
      </c>
      <c r="K158" s="15">
        <f t="shared" si="18"/>
        <v>-3.4613418802704305E-4</v>
      </c>
    </row>
    <row r="159" spans="2:11" x14ac:dyDescent="0.3">
      <c r="B159" s="1">
        <v>46253</v>
      </c>
      <c r="C159" s="4">
        <v>54.62</v>
      </c>
      <c r="D159" s="4">
        <v>234.4</v>
      </c>
      <c r="E159" s="12">
        <f t="shared" si="14"/>
        <v>4.2914683266202855</v>
      </c>
      <c r="F159" s="13">
        <f t="shared" si="19"/>
        <v>4.2925917271870819</v>
      </c>
      <c r="G159" s="13">
        <f t="shared" si="20"/>
        <v>4.2922617320697212</v>
      </c>
      <c r="H159" s="4">
        <f t="shared" si="15"/>
        <v>234.46136013895841</v>
      </c>
      <c r="I159" s="4">
        <f t="shared" si="16"/>
        <v>234.44333580564816</v>
      </c>
      <c r="J159" s="15">
        <f t="shared" si="17"/>
        <v>2.6174107966806637E-4</v>
      </c>
      <c r="K159" s="15">
        <f t="shared" si="18"/>
        <v>1.8486262878031256E-4</v>
      </c>
    </row>
    <row r="160" spans="2:11" x14ac:dyDescent="0.3">
      <c r="B160" s="1">
        <v>46254</v>
      </c>
      <c r="C160" s="4">
        <v>53.64</v>
      </c>
      <c r="D160" s="4">
        <v>230.2</v>
      </c>
      <c r="E160" s="12">
        <f t="shared" si="14"/>
        <v>4.2915734526472775</v>
      </c>
      <c r="F160" s="13">
        <f t="shared" si="19"/>
        <v>4.2925453282682158</v>
      </c>
      <c r="G160" s="13">
        <f t="shared" si="20"/>
        <v>4.2922617320697212</v>
      </c>
      <c r="H160" s="4">
        <f t="shared" si="15"/>
        <v>230.25213140830709</v>
      </c>
      <c r="I160" s="4">
        <f t="shared" si="16"/>
        <v>230.23691930821985</v>
      </c>
      <c r="J160" s="15">
        <f t="shared" si="17"/>
        <v>2.2643573554717811E-4</v>
      </c>
      <c r="K160" s="15">
        <f t="shared" si="18"/>
        <v>1.6036641177445685E-4</v>
      </c>
    </row>
    <row r="161" spans="2:11" x14ac:dyDescent="0.3">
      <c r="B161" s="1">
        <v>46255</v>
      </c>
      <c r="C161" s="4">
        <v>54.04</v>
      </c>
      <c r="D161" s="4">
        <v>231.75</v>
      </c>
      <c r="E161" s="12">
        <f t="shared" si="14"/>
        <v>4.2884900074019248</v>
      </c>
      <c r="F161" s="13">
        <f t="shared" si="19"/>
        <v>4.2923144934164039</v>
      </c>
      <c r="G161" s="13">
        <f t="shared" si="20"/>
        <v>4.2922617320697212</v>
      </c>
      <c r="H161" s="4">
        <f t="shared" si="15"/>
        <v>231.95667522422247</v>
      </c>
      <c r="I161" s="4">
        <f t="shared" si="16"/>
        <v>231.95382400104774</v>
      </c>
      <c r="J161" s="15">
        <f t="shared" si="17"/>
        <v>8.9140505819948848E-4</v>
      </c>
      <c r="K161" s="15">
        <f t="shared" si="18"/>
        <v>8.7911293211251427E-4</v>
      </c>
    </row>
    <row r="162" spans="2:11" x14ac:dyDescent="0.3">
      <c r="B162" s="1">
        <v>46258</v>
      </c>
      <c r="C162" s="4">
        <v>54.92</v>
      </c>
      <c r="D162" s="4">
        <v>235.69</v>
      </c>
      <c r="E162" s="12">
        <f t="shared" si="14"/>
        <v>4.2915149308084484</v>
      </c>
      <c r="F162" s="13">
        <f t="shared" si="19"/>
        <v>4.2922100614518053</v>
      </c>
      <c r="G162" s="13">
        <f t="shared" si="20"/>
        <v>4.2922617320697212</v>
      </c>
      <c r="H162" s="4">
        <f t="shared" si="15"/>
        <v>235.72817657493314</v>
      </c>
      <c r="I162" s="4">
        <f t="shared" si="16"/>
        <v>235.73101432526909</v>
      </c>
      <c r="J162" s="15">
        <f t="shared" si="17"/>
        <v>1.619647986166293E-4</v>
      </c>
      <c r="K162" s="15">
        <f t="shared" si="18"/>
        <v>1.7400295755291067E-4</v>
      </c>
    </row>
    <row r="163" spans="2:11" x14ac:dyDescent="0.3">
      <c r="B163" s="1">
        <v>46259</v>
      </c>
      <c r="C163" s="4">
        <v>54.43</v>
      </c>
      <c r="D163" s="4">
        <v>233.53</v>
      </c>
      <c r="E163" s="12">
        <f t="shared" si="14"/>
        <v>4.2904648171963995</v>
      </c>
      <c r="F163" s="13">
        <f t="shared" si="19"/>
        <v>4.2922771172141569</v>
      </c>
      <c r="G163" s="13">
        <f t="shared" si="20"/>
        <v>4.2922617320697212</v>
      </c>
      <c r="H163" s="4">
        <f t="shared" si="15"/>
        <v>233.62864348996655</v>
      </c>
      <c r="I163" s="4">
        <f t="shared" si="16"/>
        <v>233.62780607655492</v>
      </c>
      <c r="J163" s="15">
        <f t="shared" si="17"/>
        <v>4.2231260325484901E-4</v>
      </c>
      <c r="K163" s="15">
        <f t="shared" si="18"/>
        <v>4.1872821865222062E-4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5114-56A0-4C12-BB28-411F8A9495D6}">
  <dimension ref="A1:O163"/>
  <sheetViews>
    <sheetView workbookViewId="0">
      <selection activeCell="I7" sqref="I7"/>
    </sheetView>
  </sheetViews>
  <sheetFormatPr defaultRowHeight="14.4" x14ac:dyDescent="0.3"/>
  <cols>
    <col min="1" max="1" width="2.109375" bestFit="1" customWidth="1"/>
    <col min="2" max="2" width="10.33203125" style="1" bestFit="1" customWidth="1"/>
    <col min="3" max="4" width="8.88671875" style="4"/>
    <col min="5" max="5" width="10.6640625" style="12" bestFit="1" customWidth="1"/>
    <col min="7" max="7" width="10.33203125" style="1" bestFit="1" customWidth="1"/>
    <col min="8" max="9" width="8.88671875" style="4"/>
    <col min="10" max="11" width="8.88671875" style="15"/>
  </cols>
  <sheetData>
    <row r="1" spans="2:15" s="3" customFormat="1" x14ac:dyDescent="0.3">
      <c r="B1" s="2" t="s">
        <v>0</v>
      </c>
      <c r="C1" s="5" t="s">
        <v>7</v>
      </c>
      <c r="D1" s="5" t="s">
        <v>14</v>
      </c>
      <c r="E1" s="11" t="str">
        <f>_xlfn.CONCAT(D1,"/",C1)</f>
        <v>VPU/FUTY</v>
      </c>
      <c r="F1" s="3" t="s">
        <v>21</v>
      </c>
      <c r="G1" s="1"/>
      <c r="H1" s="14" t="s">
        <v>17</v>
      </c>
      <c r="I1" s="14" t="s">
        <v>18</v>
      </c>
      <c r="J1" s="14" t="s">
        <v>19</v>
      </c>
      <c r="K1" s="14" t="s">
        <v>20</v>
      </c>
      <c r="L1"/>
      <c r="N1"/>
      <c r="O1"/>
    </row>
    <row r="2" spans="2:15" x14ac:dyDescent="0.3">
      <c r="B2" s="1">
        <v>46024</v>
      </c>
      <c r="C2" s="4">
        <v>55.86</v>
      </c>
      <c r="D2" s="4">
        <v>187.22</v>
      </c>
      <c r="E2" s="12">
        <f>D2/C2</f>
        <v>3.3515932688865018</v>
      </c>
    </row>
    <row r="3" spans="2:15" x14ac:dyDescent="0.3">
      <c r="B3" s="1">
        <v>46027</v>
      </c>
      <c r="C3" s="4">
        <v>55.32</v>
      </c>
      <c r="D3" s="4">
        <v>185.45</v>
      </c>
      <c r="E3" s="12">
        <f t="shared" ref="E3:E66" si="0">D3/C3</f>
        <v>3.3523138105567605</v>
      </c>
    </row>
    <row r="4" spans="2:15" x14ac:dyDescent="0.3">
      <c r="B4" s="1">
        <v>46028</v>
      </c>
      <c r="C4" s="4">
        <v>55.62</v>
      </c>
      <c r="D4" s="4">
        <v>186.42</v>
      </c>
      <c r="E4" s="12">
        <f t="shared" si="0"/>
        <v>3.3516720604099244</v>
      </c>
    </row>
    <row r="5" spans="2:15" x14ac:dyDescent="0.3">
      <c r="B5" s="1">
        <v>46029</v>
      </c>
      <c r="C5" s="4">
        <v>54.35</v>
      </c>
      <c r="D5" s="4">
        <v>182.18</v>
      </c>
      <c r="E5" s="12">
        <f t="shared" si="0"/>
        <v>3.3519779208831646</v>
      </c>
    </row>
    <row r="6" spans="2:15" x14ac:dyDescent="0.3">
      <c r="B6" s="1">
        <v>46030</v>
      </c>
      <c r="C6" s="4">
        <v>54.52</v>
      </c>
      <c r="D6" s="4">
        <v>182.68</v>
      </c>
      <c r="E6" s="12">
        <f t="shared" si="0"/>
        <v>3.350696991929567</v>
      </c>
    </row>
    <row r="7" spans="2:15" x14ac:dyDescent="0.3">
      <c r="B7" s="1">
        <v>46031</v>
      </c>
      <c r="C7" s="4">
        <v>55.15</v>
      </c>
      <c r="D7" s="4">
        <v>184.95</v>
      </c>
      <c r="E7" s="12">
        <f t="shared" si="0"/>
        <v>3.3535811423390753</v>
      </c>
    </row>
    <row r="8" spans="2:15" x14ac:dyDescent="0.3">
      <c r="B8" s="1">
        <v>46034</v>
      </c>
      <c r="C8" s="4">
        <v>55.28</v>
      </c>
      <c r="D8" s="4">
        <v>185.21</v>
      </c>
      <c r="E8" s="12">
        <f t="shared" si="0"/>
        <v>3.3503979739507961</v>
      </c>
    </row>
    <row r="9" spans="2:15" x14ac:dyDescent="0.3">
      <c r="B9" s="1">
        <v>46035</v>
      </c>
      <c r="C9" s="4">
        <v>55.62</v>
      </c>
      <c r="D9" s="4">
        <v>186.37</v>
      </c>
      <c r="E9" s="12">
        <f t="shared" si="0"/>
        <v>3.3507731032002881</v>
      </c>
    </row>
    <row r="10" spans="2:15" x14ac:dyDescent="0.3">
      <c r="B10" s="1">
        <v>46036</v>
      </c>
      <c r="C10" s="4">
        <v>56.01</v>
      </c>
      <c r="D10" s="4">
        <v>187.64</v>
      </c>
      <c r="E10" s="12">
        <f t="shared" si="0"/>
        <v>3.350116050705231</v>
      </c>
    </row>
    <row r="11" spans="2:15" x14ac:dyDescent="0.3">
      <c r="B11" s="1">
        <v>46037</v>
      </c>
      <c r="C11" s="4">
        <v>56.63</v>
      </c>
      <c r="D11" s="4">
        <v>189.71</v>
      </c>
      <c r="E11" s="12">
        <f t="shared" si="0"/>
        <v>3.3499911707575492</v>
      </c>
      <c r="F11" s="13"/>
      <c r="G11" s="13"/>
    </row>
    <row r="12" spans="2:15" x14ac:dyDescent="0.3">
      <c r="B12" s="1">
        <v>46038</v>
      </c>
      <c r="C12" s="4">
        <v>56.33</v>
      </c>
      <c r="D12" s="4">
        <v>188.76</v>
      </c>
      <c r="E12" s="12">
        <f t="shared" si="0"/>
        <v>3.350967512870584</v>
      </c>
      <c r="F12" s="13"/>
      <c r="G12" s="13"/>
    </row>
    <row r="13" spans="2:15" x14ac:dyDescent="0.3">
      <c r="B13" s="1">
        <v>46042</v>
      </c>
      <c r="C13" s="4">
        <v>55.72</v>
      </c>
      <c r="D13" s="4">
        <v>186.71</v>
      </c>
      <c r="E13" s="12">
        <f t="shared" si="0"/>
        <v>3.3508614501076814</v>
      </c>
      <c r="F13" s="13"/>
      <c r="G13" s="13"/>
    </row>
    <row r="14" spans="2:15" x14ac:dyDescent="0.3">
      <c r="B14" s="1">
        <v>46043</v>
      </c>
      <c r="C14" s="4">
        <v>55.87</v>
      </c>
      <c r="D14" s="4">
        <v>187.21</v>
      </c>
      <c r="E14" s="12">
        <f t="shared" si="0"/>
        <v>3.3508143905494903</v>
      </c>
      <c r="F14" s="13"/>
      <c r="G14" s="13"/>
    </row>
    <row r="15" spans="2:15" x14ac:dyDescent="0.3">
      <c r="B15" s="1">
        <v>46044</v>
      </c>
      <c r="C15" s="4">
        <v>55.5</v>
      </c>
      <c r="D15" s="4">
        <v>186.01</v>
      </c>
      <c r="E15" s="12">
        <f t="shared" si="0"/>
        <v>3.3515315315315313</v>
      </c>
      <c r="F15" s="13"/>
      <c r="G15" s="13"/>
    </row>
    <row r="16" spans="2:15" x14ac:dyDescent="0.3">
      <c r="B16" s="1">
        <v>46045</v>
      </c>
      <c r="C16" s="4">
        <v>55.25</v>
      </c>
      <c r="D16" s="4">
        <v>185.14</v>
      </c>
      <c r="E16" s="12">
        <f t="shared" si="0"/>
        <v>3.3509502262443438</v>
      </c>
      <c r="F16" s="13"/>
      <c r="G16" s="13"/>
    </row>
    <row r="17" spans="2:11" x14ac:dyDescent="0.3">
      <c r="B17" s="1">
        <v>46048</v>
      </c>
      <c r="C17" s="4">
        <v>55.61</v>
      </c>
      <c r="D17" s="4">
        <v>186.35</v>
      </c>
      <c r="E17" s="12">
        <f t="shared" si="0"/>
        <v>3.3510160043157704</v>
      </c>
      <c r="F17" s="13"/>
      <c r="G17" s="13"/>
    </row>
    <row r="18" spans="2:11" x14ac:dyDescent="0.3">
      <c r="B18" s="1">
        <v>46049</v>
      </c>
      <c r="C18" s="4">
        <v>56.32</v>
      </c>
      <c r="D18" s="4">
        <v>188.64</v>
      </c>
      <c r="E18" s="12">
        <f t="shared" si="0"/>
        <v>3.3494318181818179</v>
      </c>
      <c r="F18" s="13"/>
      <c r="G18" s="13"/>
    </row>
    <row r="19" spans="2:11" x14ac:dyDescent="0.3">
      <c r="B19" s="1">
        <v>46050</v>
      </c>
      <c r="C19" s="4">
        <v>56.21</v>
      </c>
      <c r="D19" s="4">
        <v>188.28</v>
      </c>
      <c r="E19" s="12">
        <f t="shared" si="0"/>
        <v>3.3495819249243906</v>
      </c>
      <c r="F19" s="13"/>
      <c r="G19" s="13"/>
    </row>
    <row r="20" spans="2:11" x14ac:dyDescent="0.3">
      <c r="B20" s="1">
        <v>46051</v>
      </c>
      <c r="C20" s="4">
        <v>56.22</v>
      </c>
      <c r="D20" s="4">
        <v>188.34</v>
      </c>
      <c r="E20" s="12">
        <f t="shared" si="0"/>
        <v>3.3500533617929564</v>
      </c>
      <c r="F20" s="13"/>
      <c r="G20" s="13"/>
    </row>
    <row r="21" spans="2:11" x14ac:dyDescent="0.3">
      <c r="B21" s="1">
        <v>46052</v>
      </c>
      <c r="C21" s="4">
        <v>56.07</v>
      </c>
      <c r="D21" s="4">
        <v>187.99</v>
      </c>
      <c r="E21" s="12">
        <f t="shared" si="0"/>
        <v>3.3527733190654541</v>
      </c>
      <c r="F21" s="13">
        <f t="shared" ref="F21:F84" si="1">AVERAGE(E2:E21)</f>
        <v>3.3510547516601443</v>
      </c>
      <c r="G21" s="13">
        <f>AVERAGE(E:E)</f>
        <v>3.351043355272568</v>
      </c>
      <c r="H21" s="4">
        <f t="shared" ref="H12:H75" si="2">C21*F21</f>
        <v>187.8936399255843</v>
      </c>
      <c r="I21" s="4">
        <f t="shared" ref="I12:I75" si="3">C21*G21</f>
        <v>187.8930009301329</v>
      </c>
      <c r="J21" s="15">
        <f t="shared" ref="J12:J75" si="4">LN(H21/D21)</f>
        <v>-5.1271226673058078E-4</v>
      </c>
      <c r="K21" s="15">
        <f t="shared" ref="K12:K75" si="5">LN(I21/D21)</f>
        <v>-5.1611310849519819E-4</v>
      </c>
    </row>
    <row r="22" spans="2:11" x14ac:dyDescent="0.3">
      <c r="B22" s="1">
        <v>46055</v>
      </c>
      <c r="C22" s="4">
        <v>55.23</v>
      </c>
      <c r="D22" s="4">
        <v>185.22</v>
      </c>
      <c r="E22" s="12">
        <f t="shared" si="0"/>
        <v>3.3536121673003803</v>
      </c>
      <c r="F22" s="13">
        <f t="shared" si="1"/>
        <v>3.3511556965808382</v>
      </c>
      <c r="G22" s="13">
        <f t="shared" ref="G22:G85" si="6">G21</f>
        <v>3.351043355272568</v>
      </c>
      <c r="H22" s="4">
        <f t="shared" si="2"/>
        <v>185.08432912215969</v>
      </c>
      <c r="I22" s="4">
        <f t="shared" si="3"/>
        <v>185.07812451170392</v>
      </c>
      <c r="J22" s="15">
        <f t="shared" si="4"/>
        <v>-7.3275343138651207E-4</v>
      </c>
      <c r="K22" s="15">
        <f t="shared" si="5"/>
        <v>-7.6627714723310569E-4</v>
      </c>
    </row>
    <row r="23" spans="2:11" x14ac:dyDescent="0.3">
      <c r="B23" s="1">
        <v>46056</v>
      </c>
      <c r="C23" s="4">
        <v>56.06</v>
      </c>
      <c r="D23" s="4">
        <v>187.94</v>
      </c>
      <c r="E23" s="12">
        <f t="shared" si="0"/>
        <v>3.3524794862647163</v>
      </c>
      <c r="F23" s="13">
        <f t="shared" si="1"/>
        <v>3.3511639803662363</v>
      </c>
      <c r="G23" s="13">
        <f t="shared" si="6"/>
        <v>3.351043355272568</v>
      </c>
      <c r="H23" s="4">
        <f t="shared" si="2"/>
        <v>187.8662527393312</v>
      </c>
      <c r="I23" s="4">
        <f t="shared" si="3"/>
        <v>187.85949049658018</v>
      </c>
      <c r="J23" s="15">
        <f t="shared" si="4"/>
        <v>-3.9247490470362449E-4</v>
      </c>
      <c r="K23" s="15">
        <f t="shared" si="5"/>
        <v>-4.2847053648281425E-4</v>
      </c>
    </row>
    <row r="24" spans="2:11" x14ac:dyDescent="0.3">
      <c r="B24" s="1">
        <v>46057</v>
      </c>
      <c r="C24" s="4">
        <v>55.79</v>
      </c>
      <c r="D24" s="4">
        <v>186.96</v>
      </c>
      <c r="E24" s="12">
        <f t="shared" si="0"/>
        <v>3.3511381968094645</v>
      </c>
      <c r="F24" s="13">
        <f t="shared" si="1"/>
        <v>3.3511372871862131</v>
      </c>
      <c r="G24" s="13">
        <f t="shared" si="6"/>
        <v>3.351043355272568</v>
      </c>
      <c r="H24" s="4">
        <f t="shared" si="2"/>
        <v>186.95994925211883</v>
      </c>
      <c r="I24" s="4">
        <f t="shared" si="3"/>
        <v>186.95470879065655</v>
      </c>
      <c r="J24" s="15">
        <f t="shared" si="4"/>
        <v>-2.7143714196506218E-7</v>
      </c>
      <c r="K24" s="15">
        <f t="shared" si="5"/>
        <v>-2.8301691371915253E-5</v>
      </c>
    </row>
    <row r="25" spans="2:11" x14ac:dyDescent="0.3">
      <c r="B25" s="1">
        <v>46058</v>
      </c>
      <c r="C25" s="4">
        <v>55.82</v>
      </c>
      <c r="D25" s="4">
        <v>187.11</v>
      </c>
      <c r="E25" s="12">
        <f t="shared" si="0"/>
        <v>3.3520243640272307</v>
      </c>
      <c r="F25" s="13">
        <f t="shared" si="1"/>
        <v>3.3511396093434174</v>
      </c>
      <c r="G25" s="13">
        <f t="shared" si="6"/>
        <v>3.351043355272568</v>
      </c>
      <c r="H25" s="4">
        <f t="shared" si="2"/>
        <v>187.06061299354957</v>
      </c>
      <c r="I25" s="4">
        <f t="shared" si="3"/>
        <v>187.05524009131474</v>
      </c>
      <c r="J25" s="15">
        <f t="shared" si="4"/>
        <v>-2.6398121617367775E-4</v>
      </c>
      <c r="K25" s="15">
        <f t="shared" si="5"/>
        <v>-2.9270441617112308E-4</v>
      </c>
    </row>
    <row r="26" spans="2:11" x14ac:dyDescent="0.3">
      <c r="B26" s="1">
        <v>46059</v>
      </c>
      <c r="C26" s="4">
        <v>56.14</v>
      </c>
      <c r="D26" s="4">
        <v>188.11</v>
      </c>
      <c r="E26" s="12">
        <f t="shared" si="0"/>
        <v>3.3507303170644818</v>
      </c>
      <c r="F26" s="13">
        <f t="shared" si="1"/>
        <v>3.3511412756001624</v>
      </c>
      <c r="G26" s="13">
        <f t="shared" si="6"/>
        <v>3.351043355272568</v>
      </c>
      <c r="H26" s="4">
        <f t="shared" si="2"/>
        <v>188.13307121219313</v>
      </c>
      <c r="I26" s="4">
        <f t="shared" si="3"/>
        <v>188.12757396500197</v>
      </c>
      <c r="J26" s="15">
        <f t="shared" si="4"/>
        <v>1.2263993140237663E-4</v>
      </c>
      <c r="K26" s="15">
        <f t="shared" si="5"/>
        <v>9.3419510600939047E-5</v>
      </c>
    </row>
    <row r="27" spans="2:11" x14ac:dyDescent="0.3">
      <c r="B27" s="1">
        <v>46062</v>
      </c>
      <c r="C27" s="4">
        <v>56.3</v>
      </c>
      <c r="D27" s="4">
        <v>188.7</v>
      </c>
      <c r="E27" s="12">
        <f t="shared" si="0"/>
        <v>3.3516873889875667</v>
      </c>
      <c r="F27" s="13">
        <f t="shared" si="1"/>
        <v>3.3510465879325873</v>
      </c>
      <c r="G27" s="13">
        <f t="shared" si="6"/>
        <v>3.351043355272568</v>
      </c>
      <c r="H27" s="4">
        <f t="shared" si="2"/>
        <v>188.66392290060466</v>
      </c>
      <c r="I27" s="4">
        <f t="shared" si="3"/>
        <v>188.66374090184556</v>
      </c>
      <c r="J27" s="15">
        <f t="shared" si="4"/>
        <v>-1.9120587483792957E-4</v>
      </c>
      <c r="K27" s="15">
        <f t="shared" si="5"/>
        <v>-1.9217054706616992E-4</v>
      </c>
    </row>
    <row r="28" spans="2:11" x14ac:dyDescent="0.3">
      <c r="B28" s="1">
        <v>46063</v>
      </c>
      <c r="C28" s="4">
        <v>57.19</v>
      </c>
      <c r="D28" s="4">
        <v>191.63</v>
      </c>
      <c r="E28" s="12">
        <f t="shared" si="0"/>
        <v>3.3507606224864488</v>
      </c>
      <c r="F28" s="13">
        <f t="shared" si="1"/>
        <v>3.35106472035937</v>
      </c>
      <c r="G28" s="13">
        <f t="shared" si="6"/>
        <v>3.351043355272568</v>
      </c>
      <c r="H28" s="4">
        <f t="shared" si="2"/>
        <v>191.64739135735235</v>
      </c>
      <c r="I28" s="4">
        <f t="shared" si="3"/>
        <v>191.64616948803817</v>
      </c>
      <c r="J28" s="15">
        <f t="shared" si="4"/>
        <v>9.0750760448863476E-5</v>
      </c>
      <c r="K28" s="15">
        <f t="shared" si="5"/>
        <v>8.4375128614747492E-5</v>
      </c>
    </row>
    <row r="29" spans="2:11" x14ac:dyDescent="0.3">
      <c r="B29" s="1">
        <v>46064</v>
      </c>
      <c r="C29" s="4">
        <v>57.66</v>
      </c>
      <c r="D29" s="4">
        <v>193.23</v>
      </c>
      <c r="E29" s="12">
        <f t="shared" si="0"/>
        <v>3.3511966701352756</v>
      </c>
      <c r="F29" s="13">
        <f t="shared" si="1"/>
        <v>3.3510858987061183</v>
      </c>
      <c r="G29" s="13">
        <f t="shared" si="6"/>
        <v>3.351043355272568</v>
      </c>
      <c r="H29" s="4">
        <f t="shared" si="2"/>
        <v>193.22361291939478</v>
      </c>
      <c r="I29" s="4">
        <f t="shared" si="3"/>
        <v>193.22115986501626</v>
      </c>
      <c r="J29" s="15">
        <f t="shared" si="4"/>
        <v>-3.3054837073715843E-5</v>
      </c>
      <c r="K29" s="15">
        <f t="shared" si="5"/>
        <v>-4.5750334859177158E-5</v>
      </c>
    </row>
    <row r="30" spans="2:11" x14ac:dyDescent="0.3">
      <c r="B30" s="1">
        <v>46065</v>
      </c>
      <c r="C30" s="4">
        <v>58.5</v>
      </c>
      <c r="D30" s="4">
        <v>196.13</v>
      </c>
      <c r="E30" s="12">
        <f t="shared" si="0"/>
        <v>3.3526495726495726</v>
      </c>
      <c r="F30" s="13">
        <f t="shared" si="1"/>
        <v>3.351212574803335</v>
      </c>
      <c r="G30" s="13">
        <f t="shared" si="6"/>
        <v>3.351043355272568</v>
      </c>
      <c r="H30" s="4">
        <f t="shared" si="2"/>
        <v>196.0459356259951</v>
      </c>
      <c r="I30" s="4">
        <f t="shared" si="3"/>
        <v>196.03603628344524</v>
      </c>
      <c r="J30" s="15">
        <f t="shared" si="4"/>
        <v>-4.2870746344105166E-4</v>
      </c>
      <c r="K30" s="15">
        <f t="shared" si="5"/>
        <v>-4.7920375381497554E-4</v>
      </c>
    </row>
    <row r="31" spans="2:11" x14ac:dyDescent="0.3">
      <c r="B31" s="1">
        <v>46066</v>
      </c>
      <c r="C31" s="4">
        <v>60.05</v>
      </c>
      <c r="D31" s="4">
        <v>201.32</v>
      </c>
      <c r="E31" s="12">
        <f t="shared" si="0"/>
        <v>3.3525395503746878</v>
      </c>
      <c r="F31" s="13">
        <f t="shared" si="1"/>
        <v>3.3513399937841926</v>
      </c>
      <c r="G31" s="13">
        <f t="shared" si="6"/>
        <v>3.351043355272568</v>
      </c>
      <c r="H31" s="4">
        <f t="shared" si="2"/>
        <v>201.24796662674075</v>
      </c>
      <c r="I31" s="4">
        <f t="shared" si="3"/>
        <v>201.23015348411769</v>
      </c>
      <c r="J31" s="15">
        <f t="shared" si="4"/>
        <v>-3.5786937858773161E-4</v>
      </c>
      <c r="K31" s="15">
        <f t="shared" si="5"/>
        <v>-4.4638670037298048E-4</v>
      </c>
    </row>
    <row r="32" spans="2:11" x14ac:dyDescent="0.3">
      <c r="B32" s="1">
        <v>46070</v>
      </c>
      <c r="C32" s="4">
        <v>59.92</v>
      </c>
      <c r="D32" s="4">
        <v>200.87</v>
      </c>
      <c r="E32" s="12">
        <f t="shared" si="0"/>
        <v>3.3523030707610149</v>
      </c>
      <c r="F32" s="13">
        <f t="shared" si="1"/>
        <v>3.3514067716787137</v>
      </c>
      <c r="G32" s="13">
        <f t="shared" si="6"/>
        <v>3.351043355272568</v>
      </c>
      <c r="H32" s="4">
        <f t="shared" si="2"/>
        <v>200.81629375898854</v>
      </c>
      <c r="I32" s="4">
        <f t="shared" si="3"/>
        <v>200.79451784793227</v>
      </c>
      <c r="J32" s="15">
        <f t="shared" si="4"/>
        <v>-2.6740390282624414E-4</v>
      </c>
      <c r="K32" s="15">
        <f t="shared" si="5"/>
        <v>-3.7584675569905183E-4</v>
      </c>
    </row>
    <row r="33" spans="2:11" x14ac:dyDescent="0.3">
      <c r="B33" s="1">
        <v>46071</v>
      </c>
      <c r="C33" s="4">
        <v>58.9</v>
      </c>
      <c r="D33" s="4">
        <v>197.39</v>
      </c>
      <c r="E33" s="12">
        <f t="shared" si="0"/>
        <v>3.3512733446519523</v>
      </c>
      <c r="F33" s="13">
        <f t="shared" si="1"/>
        <v>3.3514273664059275</v>
      </c>
      <c r="G33" s="13">
        <f t="shared" si="6"/>
        <v>3.351043355272568</v>
      </c>
      <c r="H33" s="4">
        <f t="shared" si="2"/>
        <v>197.39907188130914</v>
      </c>
      <c r="I33" s="4">
        <f t="shared" si="3"/>
        <v>197.37645362555426</v>
      </c>
      <c r="J33" s="15">
        <f t="shared" si="4"/>
        <v>4.5958117672908279E-5</v>
      </c>
      <c r="K33" s="15">
        <f t="shared" si="5"/>
        <v>-6.8629815561250135E-5</v>
      </c>
    </row>
    <row r="34" spans="2:11" x14ac:dyDescent="0.3">
      <c r="B34" s="1">
        <v>46072</v>
      </c>
      <c r="C34" s="4">
        <v>59.52</v>
      </c>
      <c r="D34" s="4">
        <v>199.51</v>
      </c>
      <c r="E34" s="12">
        <f t="shared" si="0"/>
        <v>3.35198252688172</v>
      </c>
      <c r="F34" s="13">
        <f t="shared" si="1"/>
        <v>3.3514857732225387</v>
      </c>
      <c r="G34" s="13">
        <f t="shared" si="6"/>
        <v>3.351043355272568</v>
      </c>
      <c r="H34" s="4">
        <f t="shared" si="2"/>
        <v>199.48043322220551</v>
      </c>
      <c r="I34" s="4">
        <f t="shared" si="3"/>
        <v>199.45410050582325</v>
      </c>
      <c r="J34" s="15">
        <f t="shared" si="4"/>
        <v>-1.4820795380899885E-4</v>
      </c>
      <c r="K34" s="15">
        <f t="shared" si="5"/>
        <v>-2.8022318033955152E-4</v>
      </c>
    </row>
    <row r="35" spans="2:11" x14ac:dyDescent="0.3">
      <c r="B35" s="1">
        <v>46073</v>
      </c>
      <c r="C35" s="4">
        <v>59.8</v>
      </c>
      <c r="D35" s="4">
        <v>200.31</v>
      </c>
      <c r="E35" s="12">
        <f t="shared" si="0"/>
        <v>3.3496655518394651</v>
      </c>
      <c r="F35" s="13">
        <f t="shared" si="1"/>
        <v>3.3513924742379353</v>
      </c>
      <c r="G35" s="13">
        <f t="shared" si="6"/>
        <v>3.351043355272568</v>
      </c>
      <c r="H35" s="4">
        <f t="shared" si="2"/>
        <v>200.41326995942853</v>
      </c>
      <c r="I35" s="4">
        <f t="shared" si="3"/>
        <v>200.39239264529957</v>
      </c>
      <c r="J35" s="15">
        <f t="shared" si="4"/>
        <v>5.1541784296771148E-4</v>
      </c>
      <c r="K35" s="15">
        <f t="shared" si="5"/>
        <v>4.1124110049262975E-4</v>
      </c>
    </row>
    <row r="36" spans="2:11" x14ac:dyDescent="0.3">
      <c r="B36" s="1">
        <v>46076</v>
      </c>
      <c r="C36" s="4">
        <v>60.16</v>
      </c>
      <c r="D36" s="4">
        <v>201.69</v>
      </c>
      <c r="E36" s="12">
        <f t="shared" si="0"/>
        <v>3.3525598404255321</v>
      </c>
      <c r="F36" s="13">
        <f t="shared" si="1"/>
        <v>3.3514729549469946</v>
      </c>
      <c r="G36" s="13">
        <f t="shared" si="6"/>
        <v>3.351043355272568</v>
      </c>
      <c r="H36" s="4">
        <f t="shared" si="2"/>
        <v>201.62461296961118</v>
      </c>
      <c r="I36" s="4">
        <f t="shared" si="3"/>
        <v>201.59876825319768</v>
      </c>
      <c r="J36" s="15">
        <f t="shared" si="4"/>
        <v>-3.2424826107968366E-4</v>
      </c>
      <c r="K36" s="15">
        <f t="shared" si="5"/>
        <v>-4.5243882567691426E-4</v>
      </c>
    </row>
    <row r="37" spans="2:11" x14ac:dyDescent="0.3">
      <c r="B37" s="1">
        <v>46077</v>
      </c>
      <c r="C37" s="4">
        <v>60.82</v>
      </c>
      <c r="D37" s="4">
        <v>203.79</v>
      </c>
      <c r="E37" s="12">
        <f t="shared" si="0"/>
        <v>3.3507070042749096</v>
      </c>
      <c r="F37" s="13">
        <f t="shared" si="1"/>
        <v>3.351457504944952</v>
      </c>
      <c r="G37" s="13">
        <f t="shared" si="6"/>
        <v>3.351043355272568</v>
      </c>
      <c r="H37" s="4">
        <f t="shared" si="2"/>
        <v>203.83564545075197</v>
      </c>
      <c r="I37" s="4">
        <f t="shared" si="3"/>
        <v>203.8104568676776</v>
      </c>
      <c r="J37" s="15">
        <f t="shared" si="4"/>
        <v>2.2395769967949901E-4</v>
      </c>
      <c r="K37" s="15">
        <f t="shared" si="5"/>
        <v>1.0037705969212167E-4</v>
      </c>
    </row>
    <row r="38" spans="2:11" x14ac:dyDescent="0.3">
      <c r="B38" s="1">
        <v>46078</v>
      </c>
      <c r="C38" s="4">
        <v>61.06</v>
      </c>
      <c r="D38" s="4">
        <v>204.55</v>
      </c>
      <c r="E38" s="12">
        <f t="shared" si="0"/>
        <v>3.3499836226662301</v>
      </c>
      <c r="F38" s="13">
        <f t="shared" si="1"/>
        <v>3.3514850951691728</v>
      </c>
      <c r="G38" s="13">
        <f t="shared" si="6"/>
        <v>3.351043355272568</v>
      </c>
      <c r="H38" s="4">
        <f t="shared" si="2"/>
        <v>204.64167991102971</v>
      </c>
      <c r="I38" s="4">
        <f t="shared" si="3"/>
        <v>204.61470727294301</v>
      </c>
      <c r="J38" s="15">
        <f t="shared" si="4"/>
        <v>4.4810252536767664E-4</v>
      </c>
      <c r="K38" s="15">
        <f t="shared" si="5"/>
        <v>3.1628961311786787E-4</v>
      </c>
    </row>
    <row r="39" spans="2:11" x14ac:dyDescent="0.3">
      <c r="B39" s="1">
        <v>46079</v>
      </c>
      <c r="C39" s="4">
        <v>60.81</v>
      </c>
      <c r="D39" s="4">
        <v>203.78</v>
      </c>
      <c r="E39" s="12">
        <f t="shared" si="0"/>
        <v>3.3510935701364906</v>
      </c>
      <c r="F39" s="13">
        <f t="shared" si="1"/>
        <v>3.3515606774297773</v>
      </c>
      <c r="G39" s="13">
        <f t="shared" si="6"/>
        <v>3.351043355272568</v>
      </c>
      <c r="H39" s="4">
        <f t="shared" si="2"/>
        <v>203.80840479450475</v>
      </c>
      <c r="I39" s="4">
        <f t="shared" si="3"/>
        <v>203.77694643412488</v>
      </c>
      <c r="J39" s="15">
        <f t="shared" si="4"/>
        <v>1.3937979695499613E-4</v>
      </c>
      <c r="K39" s="15">
        <f t="shared" si="5"/>
        <v>-1.4984732327097993E-5</v>
      </c>
    </row>
    <row r="40" spans="2:11" x14ac:dyDescent="0.3">
      <c r="B40" s="1">
        <v>46080</v>
      </c>
      <c r="C40" s="4">
        <v>61.44</v>
      </c>
      <c r="D40" s="4">
        <v>205.87</v>
      </c>
      <c r="E40" s="12">
        <f t="shared" si="0"/>
        <v>3.350748697916667</v>
      </c>
      <c r="F40" s="13">
        <f t="shared" si="1"/>
        <v>3.3515954442359628</v>
      </c>
      <c r="G40" s="13">
        <f t="shared" si="6"/>
        <v>3.351043355272568</v>
      </c>
      <c r="H40" s="4">
        <f t="shared" si="2"/>
        <v>205.92202409385754</v>
      </c>
      <c r="I40" s="4">
        <f t="shared" si="3"/>
        <v>205.88810374794656</v>
      </c>
      <c r="J40" s="15">
        <f t="shared" si="4"/>
        <v>2.5267169391541931E-4</v>
      </c>
      <c r="K40" s="15">
        <f t="shared" si="5"/>
        <v>8.7933899993413806E-5</v>
      </c>
    </row>
    <row r="41" spans="2:11" x14ac:dyDescent="0.3">
      <c r="B41" s="1">
        <v>46083</v>
      </c>
      <c r="C41" s="4">
        <v>61.03</v>
      </c>
      <c r="D41" s="4">
        <v>204.47</v>
      </c>
      <c r="E41" s="12">
        <f t="shared" si="0"/>
        <v>3.3503195149926266</v>
      </c>
      <c r="F41" s="13">
        <f t="shared" si="1"/>
        <v>3.3514727540323213</v>
      </c>
      <c r="G41" s="13">
        <f t="shared" si="6"/>
        <v>3.351043355272568</v>
      </c>
      <c r="H41" s="4">
        <f t="shared" si="2"/>
        <v>204.54038217859258</v>
      </c>
      <c r="I41" s="4">
        <f t="shared" si="3"/>
        <v>204.51417597228482</v>
      </c>
      <c r="J41" s="15">
        <f t="shared" si="4"/>
        <v>3.4415839965905895E-4</v>
      </c>
      <c r="K41" s="15">
        <f t="shared" si="5"/>
        <v>2.1602778323428557E-4</v>
      </c>
    </row>
    <row r="42" spans="2:11" x14ac:dyDescent="0.3">
      <c r="B42" s="1">
        <v>46084</v>
      </c>
      <c r="C42" s="4">
        <v>60.67</v>
      </c>
      <c r="D42" s="4">
        <v>203.22</v>
      </c>
      <c r="E42" s="12">
        <f t="shared" si="0"/>
        <v>3.3495961760342836</v>
      </c>
      <c r="F42" s="13">
        <f t="shared" si="1"/>
        <v>3.3512719544690173</v>
      </c>
      <c r="G42" s="13">
        <f t="shared" si="6"/>
        <v>3.351043355272568</v>
      </c>
      <c r="H42" s="4">
        <f t="shared" si="2"/>
        <v>203.32166947763528</v>
      </c>
      <c r="I42" s="4">
        <f t="shared" si="3"/>
        <v>203.30780036438671</v>
      </c>
      <c r="J42" s="15">
        <f t="shared" si="4"/>
        <v>5.0016757143465517E-4</v>
      </c>
      <c r="K42" s="15">
        <f t="shared" si="5"/>
        <v>4.3195257826499387E-4</v>
      </c>
    </row>
    <row r="43" spans="2:11" x14ac:dyDescent="0.3">
      <c r="B43" s="1">
        <v>46085</v>
      </c>
      <c r="C43" s="4">
        <v>60.9</v>
      </c>
      <c r="D43" s="4">
        <v>204.13</v>
      </c>
      <c r="E43" s="12">
        <f t="shared" si="0"/>
        <v>3.3518883415435141</v>
      </c>
      <c r="F43" s="13">
        <f t="shared" si="1"/>
        <v>3.3512423972329564</v>
      </c>
      <c r="G43" s="13">
        <f t="shared" si="6"/>
        <v>3.351043355272568</v>
      </c>
      <c r="H43" s="4">
        <f t="shared" si="2"/>
        <v>204.09066199148702</v>
      </c>
      <c r="I43" s="4">
        <f t="shared" si="3"/>
        <v>204.07854033609939</v>
      </c>
      <c r="J43" s="15">
        <f t="shared" si="4"/>
        <v>-1.9272914037627906E-4</v>
      </c>
      <c r="K43" s="15">
        <f t="shared" si="5"/>
        <v>-2.5212438784760012E-4</v>
      </c>
    </row>
    <row r="44" spans="2:11" x14ac:dyDescent="0.3">
      <c r="B44" s="1">
        <v>46086</v>
      </c>
      <c r="C44" s="4">
        <v>60.43</v>
      </c>
      <c r="D44" s="4">
        <v>202.48</v>
      </c>
      <c r="E44" s="12">
        <f t="shared" si="0"/>
        <v>3.3506536488499088</v>
      </c>
      <c r="F44" s="13">
        <f t="shared" si="1"/>
        <v>3.3512181698349783</v>
      </c>
      <c r="G44" s="13">
        <f t="shared" si="6"/>
        <v>3.351043355272568</v>
      </c>
      <c r="H44" s="4">
        <f t="shared" si="2"/>
        <v>202.51411400312773</v>
      </c>
      <c r="I44" s="4">
        <f t="shared" si="3"/>
        <v>202.50354995912127</v>
      </c>
      <c r="J44" s="15">
        <f t="shared" si="4"/>
        <v>1.6846666175567758E-4</v>
      </c>
      <c r="K44" s="15">
        <f t="shared" si="5"/>
        <v>1.1630081839227803E-4</v>
      </c>
    </row>
    <row r="45" spans="2:11" x14ac:dyDescent="0.3">
      <c r="B45" s="1">
        <v>46087</v>
      </c>
      <c r="C45" s="4">
        <v>60.18</v>
      </c>
      <c r="D45" s="4">
        <v>201.6</v>
      </c>
      <c r="E45" s="12">
        <f t="shared" si="0"/>
        <v>3.3499501495513457</v>
      </c>
      <c r="F45" s="13">
        <f t="shared" si="1"/>
        <v>3.3511144591111846</v>
      </c>
      <c r="G45" s="13">
        <f t="shared" si="6"/>
        <v>3.351043355272568</v>
      </c>
      <c r="H45" s="4">
        <f t="shared" si="2"/>
        <v>201.67006814931108</v>
      </c>
      <c r="I45" s="4">
        <f t="shared" si="3"/>
        <v>201.66578912030315</v>
      </c>
      <c r="J45" s="15">
        <f t="shared" si="4"/>
        <v>3.4749987936234968E-4</v>
      </c>
      <c r="K45" s="15">
        <f t="shared" si="5"/>
        <v>3.2628168647948918E-4</v>
      </c>
    </row>
    <row r="46" spans="2:11" x14ac:dyDescent="0.3">
      <c r="B46" s="1">
        <v>46090</v>
      </c>
      <c r="C46" s="4">
        <v>60.32</v>
      </c>
      <c r="D46" s="4">
        <v>202.12</v>
      </c>
      <c r="E46" s="12">
        <f t="shared" si="0"/>
        <v>3.35079575596817</v>
      </c>
      <c r="F46" s="13">
        <f t="shared" si="1"/>
        <v>3.3511177310563687</v>
      </c>
      <c r="G46" s="13">
        <f t="shared" si="6"/>
        <v>3.351043355272568</v>
      </c>
      <c r="H46" s="4">
        <f t="shared" si="2"/>
        <v>202.13942153732015</v>
      </c>
      <c r="I46" s="4">
        <f t="shared" si="3"/>
        <v>202.13493519004132</v>
      </c>
      <c r="J46" s="15">
        <f t="shared" si="4"/>
        <v>9.6084525432922022E-5</v>
      </c>
      <c r="K46" s="15">
        <f t="shared" si="5"/>
        <v>7.3889957786679175E-5</v>
      </c>
    </row>
    <row r="47" spans="2:11" x14ac:dyDescent="0.3">
      <c r="B47" s="1">
        <v>46091</v>
      </c>
      <c r="C47" s="4">
        <v>59.95</v>
      </c>
      <c r="D47" s="4">
        <v>200.84</v>
      </c>
      <c r="E47" s="12">
        <f t="shared" si="0"/>
        <v>3.3501251042535447</v>
      </c>
      <c r="F47" s="13">
        <f t="shared" si="1"/>
        <v>3.3510396168196679</v>
      </c>
      <c r="G47" s="13">
        <f t="shared" si="6"/>
        <v>3.351043355272568</v>
      </c>
      <c r="H47" s="4">
        <f t="shared" si="2"/>
        <v>200.89482502833911</v>
      </c>
      <c r="I47" s="4">
        <f t="shared" si="3"/>
        <v>200.89504914859046</v>
      </c>
      <c r="J47" s="15">
        <f t="shared" si="4"/>
        <v>2.7294137955603413E-4</v>
      </c>
      <c r="K47" s="15">
        <f t="shared" si="5"/>
        <v>2.7405698881228943E-4</v>
      </c>
    </row>
    <row r="48" spans="2:11" x14ac:dyDescent="0.3">
      <c r="B48" s="1">
        <v>46092</v>
      </c>
      <c r="C48" s="4">
        <v>59.48</v>
      </c>
      <c r="D48" s="4">
        <v>199.3</v>
      </c>
      <c r="E48" s="12">
        <f t="shared" si="0"/>
        <v>3.3507061197041024</v>
      </c>
      <c r="F48" s="13">
        <f t="shared" si="1"/>
        <v>3.3510368916805504</v>
      </c>
      <c r="G48" s="13">
        <f t="shared" si="6"/>
        <v>3.351043355272568</v>
      </c>
      <c r="H48" s="4">
        <f t="shared" si="2"/>
        <v>199.31967431715913</v>
      </c>
      <c r="I48" s="4">
        <f t="shared" si="3"/>
        <v>199.32005877161234</v>
      </c>
      <c r="J48" s="15">
        <f t="shared" si="4"/>
        <v>9.8712223418522492E-5</v>
      </c>
      <c r="K48" s="15">
        <f t="shared" si="5"/>
        <v>1.0064105499903552E-4</v>
      </c>
    </row>
    <row r="49" spans="1:11" x14ac:dyDescent="0.3">
      <c r="B49" s="1">
        <v>46093</v>
      </c>
      <c r="C49" s="4">
        <v>59.89</v>
      </c>
      <c r="D49" s="4">
        <v>200.63</v>
      </c>
      <c r="E49" s="12">
        <f t="shared" si="0"/>
        <v>3.3499749540824846</v>
      </c>
      <c r="F49" s="13">
        <f t="shared" si="1"/>
        <v>3.3509758058779107</v>
      </c>
      <c r="G49" s="13">
        <f t="shared" si="6"/>
        <v>3.351043355272568</v>
      </c>
      <c r="H49" s="4">
        <f t="shared" si="2"/>
        <v>200.68994101402808</v>
      </c>
      <c r="I49" s="4">
        <f t="shared" si="3"/>
        <v>200.69398654727411</v>
      </c>
      <c r="J49" s="15">
        <f t="shared" si="4"/>
        <v>2.9871934258914702E-4</v>
      </c>
      <c r="K49" s="15">
        <f t="shared" si="5"/>
        <v>3.1887726605520165E-4</v>
      </c>
    </row>
    <row r="50" spans="1:11" x14ac:dyDescent="0.3">
      <c r="B50" s="1">
        <v>46094</v>
      </c>
      <c r="C50" s="4">
        <v>60.44</v>
      </c>
      <c r="D50" s="4">
        <v>202.59</v>
      </c>
      <c r="E50" s="12">
        <f t="shared" si="0"/>
        <v>3.3519192587690272</v>
      </c>
      <c r="F50" s="13">
        <f t="shared" si="1"/>
        <v>3.3509392901838835</v>
      </c>
      <c r="G50" s="13">
        <f t="shared" si="6"/>
        <v>3.351043355272568</v>
      </c>
      <c r="H50" s="4">
        <f t="shared" si="2"/>
        <v>202.53077069871392</v>
      </c>
      <c r="I50" s="4">
        <f t="shared" si="3"/>
        <v>202.53706039267399</v>
      </c>
      <c r="J50" s="15">
        <f t="shared" si="4"/>
        <v>-2.9240318439328379E-4</v>
      </c>
      <c r="K50" s="15">
        <f t="shared" si="5"/>
        <v>-2.6134816852777741E-4</v>
      </c>
    </row>
    <row r="51" spans="1:11" x14ac:dyDescent="0.3">
      <c r="B51" s="1">
        <v>46097</v>
      </c>
      <c r="C51" s="4">
        <v>60.76</v>
      </c>
      <c r="D51" s="4">
        <v>203.71</v>
      </c>
      <c r="E51" s="12">
        <f t="shared" si="0"/>
        <v>3.352699144173799</v>
      </c>
      <c r="F51" s="13">
        <f t="shared" si="1"/>
        <v>3.3509472698738394</v>
      </c>
      <c r="G51" s="13">
        <f t="shared" si="6"/>
        <v>3.351043355272568</v>
      </c>
      <c r="H51" s="4">
        <f t="shared" si="2"/>
        <v>203.60355611753448</v>
      </c>
      <c r="I51" s="4">
        <f t="shared" si="3"/>
        <v>203.60939426636122</v>
      </c>
      <c r="J51" s="15">
        <f t="shared" si="4"/>
        <v>-5.2266310948890821E-4</v>
      </c>
      <c r="K51" s="15">
        <f t="shared" si="5"/>
        <v>-4.9398942010047764E-4</v>
      </c>
    </row>
    <row r="52" spans="1:11" x14ac:dyDescent="0.3">
      <c r="B52" s="1">
        <v>46098</v>
      </c>
      <c r="C52" s="4">
        <v>60.62</v>
      </c>
      <c r="D52" s="4">
        <v>203.11</v>
      </c>
      <c r="E52" s="12">
        <f t="shared" si="0"/>
        <v>3.350544374793798</v>
      </c>
      <c r="F52" s="13">
        <f t="shared" si="1"/>
        <v>3.3508593350754787</v>
      </c>
      <c r="G52" s="13">
        <f t="shared" si="6"/>
        <v>3.351043355272568</v>
      </c>
      <c r="H52" s="4">
        <f t="shared" si="2"/>
        <v>203.12909289227551</v>
      </c>
      <c r="I52" s="4">
        <f t="shared" si="3"/>
        <v>203.14024819662308</v>
      </c>
      <c r="J52" s="15">
        <f t="shared" si="4"/>
        <v>9.3998301116698962E-5</v>
      </c>
      <c r="K52" s="15">
        <f t="shared" si="5"/>
        <v>1.4891410805652872E-4</v>
      </c>
    </row>
    <row r="53" spans="1:11" x14ac:dyDescent="0.3">
      <c r="B53" s="1">
        <v>46099</v>
      </c>
      <c r="C53" s="4">
        <v>60.2</v>
      </c>
      <c r="D53" s="4">
        <v>201.48</v>
      </c>
      <c r="E53" s="12">
        <f t="shared" si="0"/>
        <v>3.3468438538205976</v>
      </c>
      <c r="F53" s="13">
        <f t="shared" si="1"/>
        <v>3.3506378605339107</v>
      </c>
      <c r="G53" s="13">
        <f t="shared" si="6"/>
        <v>3.351043355272568</v>
      </c>
      <c r="H53" s="4">
        <f t="shared" si="2"/>
        <v>201.70839920414144</v>
      </c>
      <c r="I53" s="4">
        <f t="shared" si="3"/>
        <v>201.73280998740861</v>
      </c>
      <c r="J53" s="15">
        <f t="shared" si="4"/>
        <v>1.1329652788799188E-3</v>
      </c>
      <c r="K53" s="15">
        <f t="shared" si="5"/>
        <v>1.2539781191195848E-3</v>
      </c>
    </row>
    <row r="54" spans="1:11" x14ac:dyDescent="0.3">
      <c r="B54" s="1">
        <v>46100</v>
      </c>
      <c r="C54" s="4">
        <v>59.91</v>
      </c>
      <c r="D54" s="4">
        <v>200.77</v>
      </c>
      <c r="E54" s="12">
        <f t="shared" si="0"/>
        <v>3.351193456851945</v>
      </c>
      <c r="F54" s="13">
        <f t="shared" si="1"/>
        <v>3.3505984070324217</v>
      </c>
      <c r="G54" s="13">
        <f t="shared" si="6"/>
        <v>3.351043355272568</v>
      </c>
      <c r="H54" s="4">
        <f t="shared" si="2"/>
        <v>200.73435056531238</v>
      </c>
      <c r="I54" s="4">
        <f t="shared" si="3"/>
        <v>200.76100741437955</v>
      </c>
      <c r="J54" s="15">
        <f t="shared" si="4"/>
        <v>-1.7757932003038192E-4</v>
      </c>
      <c r="K54" s="15">
        <f t="shared" si="5"/>
        <v>-4.4791487859761011E-5</v>
      </c>
    </row>
    <row r="55" spans="1:11" x14ac:dyDescent="0.3">
      <c r="A55" s="8" t="s">
        <v>15</v>
      </c>
      <c r="B55" s="1">
        <v>46101</v>
      </c>
      <c r="C55" s="10">
        <f>57.11+0.386</f>
        <v>57.496000000000002</v>
      </c>
      <c r="D55" s="4">
        <v>192.75</v>
      </c>
      <c r="E55" s="12">
        <f t="shared" si="0"/>
        <v>3.3524071239738413</v>
      </c>
      <c r="F55" s="13">
        <f t="shared" si="1"/>
        <v>3.3507354856391407</v>
      </c>
      <c r="G55" s="13">
        <f t="shared" si="6"/>
        <v>3.351043355272568</v>
      </c>
      <c r="H55" s="4">
        <f t="shared" si="2"/>
        <v>192.65388748230805</v>
      </c>
      <c r="I55" s="4">
        <f t="shared" si="3"/>
        <v>192.67158875475158</v>
      </c>
      <c r="J55" s="15">
        <f t="shared" si="4"/>
        <v>-4.9876258546456141E-4</v>
      </c>
      <c r="K55" s="15">
        <f t="shared" si="5"/>
        <v>-4.0688559550358471E-4</v>
      </c>
    </row>
    <row r="56" spans="1:11" x14ac:dyDescent="0.3">
      <c r="B56" s="1">
        <v>46104</v>
      </c>
      <c r="C56" s="10">
        <f>57.74+0.386</f>
        <v>58.126000000000005</v>
      </c>
      <c r="D56" s="4">
        <v>194.78</v>
      </c>
      <c r="E56" s="12">
        <f t="shared" si="0"/>
        <v>3.3509961118948488</v>
      </c>
      <c r="F56" s="13">
        <f t="shared" si="1"/>
        <v>3.3506572992126067</v>
      </c>
      <c r="G56" s="13">
        <f t="shared" si="6"/>
        <v>3.351043355272568</v>
      </c>
      <c r="H56" s="4">
        <f t="shared" si="2"/>
        <v>194.760306174032</v>
      </c>
      <c r="I56" s="4">
        <f t="shared" si="3"/>
        <v>194.78274606857332</v>
      </c>
      <c r="J56" s="15">
        <f t="shared" si="4"/>
        <v>-1.0111316170701059E-4</v>
      </c>
      <c r="K56" s="15">
        <f t="shared" si="5"/>
        <v>1.409820934401041E-5</v>
      </c>
    </row>
    <row r="57" spans="1:11" x14ac:dyDescent="0.3">
      <c r="A57" s="8" t="s">
        <v>16</v>
      </c>
      <c r="B57" s="1">
        <v>46105</v>
      </c>
      <c r="C57" s="4">
        <v>58.13</v>
      </c>
      <c r="D57" s="4">
        <v>194.89</v>
      </c>
      <c r="E57" s="12">
        <f t="shared" si="0"/>
        <v>3.3526578358850849</v>
      </c>
      <c r="F57" s="13">
        <f t="shared" si="1"/>
        <v>3.3507548407931154</v>
      </c>
      <c r="G57" s="13">
        <f t="shared" si="6"/>
        <v>3.351043355272568</v>
      </c>
      <c r="H57" s="4">
        <f t="shared" si="2"/>
        <v>194.77937889530381</v>
      </c>
      <c r="I57" s="4">
        <f t="shared" si="3"/>
        <v>194.79615024199438</v>
      </c>
      <c r="J57" s="15">
        <f t="shared" si="4"/>
        <v>-5.6776905581570642E-4</v>
      </c>
      <c r="K57" s="15">
        <f t="shared" si="5"/>
        <v>-4.8166843887981306E-4</v>
      </c>
    </row>
    <row r="58" spans="1:11" x14ac:dyDescent="0.3">
      <c r="B58" s="1">
        <v>46106</v>
      </c>
      <c r="C58" s="4">
        <v>58.34</v>
      </c>
      <c r="D58" s="4">
        <v>195.48</v>
      </c>
      <c r="E58" s="12">
        <f t="shared" si="0"/>
        <v>3.3507027768255053</v>
      </c>
      <c r="F58" s="13">
        <f t="shared" si="1"/>
        <v>3.350790798501079</v>
      </c>
      <c r="G58" s="13">
        <f t="shared" si="6"/>
        <v>3.351043355272568</v>
      </c>
      <c r="H58" s="4">
        <f t="shared" si="2"/>
        <v>195.48513518455295</v>
      </c>
      <c r="I58" s="4">
        <f t="shared" si="3"/>
        <v>195.49986934660163</v>
      </c>
      <c r="J58" s="15">
        <f t="shared" si="4"/>
        <v>2.6269271048103696E-5</v>
      </c>
      <c r="K58" s="15">
        <f t="shared" si="5"/>
        <v>1.0163871941507221E-4</v>
      </c>
    </row>
    <row r="59" spans="1:11" x14ac:dyDescent="0.3">
      <c r="B59" s="1">
        <v>46107</v>
      </c>
      <c r="C59" s="4">
        <v>58.47</v>
      </c>
      <c r="D59" s="4">
        <v>195.92</v>
      </c>
      <c r="E59" s="12">
        <f t="shared" si="0"/>
        <v>3.3507781768428253</v>
      </c>
      <c r="F59" s="13">
        <f t="shared" si="1"/>
        <v>3.3507750288363964</v>
      </c>
      <c r="G59" s="13">
        <f t="shared" si="6"/>
        <v>3.351043355272568</v>
      </c>
      <c r="H59" s="4">
        <f t="shared" si="2"/>
        <v>195.91981593606408</v>
      </c>
      <c r="I59" s="4">
        <f t="shared" si="3"/>
        <v>195.93550498278705</v>
      </c>
      <c r="J59" s="15">
        <f t="shared" si="4"/>
        <v>-9.394856184147736E-7</v>
      </c>
      <c r="K59" s="15">
        <f t="shared" si="5"/>
        <v>7.9136225460559967E-5</v>
      </c>
    </row>
    <row r="60" spans="1:11" x14ac:dyDescent="0.3">
      <c r="B60" s="1">
        <v>46108</v>
      </c>
      <c r="C60" s="4">
        <v>58.74</v>
      </c>
      <c r="D60" s="4">
        <v>196.88</v>
      </c>
      <c r="E60" s="12">
        <f t="shared" si="0"/>
        <v>3.3517194416070817</v>
      </c>
      <c r="F60" s="13">
        <f t="shared" si="1"/>
        <v>3.3508235660209165</v>
      </c>
      <c r="G60" s="13">
        <f t="shared" si="6"/>
        <v>3.351043355272568</v>
      </c>
      <c r="H60" s="4">
        <f t="shared" si="2"/>
        <v>196.82737626806863</v>
      </c>
      <c r="I60" s="4">
        <f t="shared" si="3"/>
        <v>196.84028668871065</v>
      </c>
      <c r="J60" s="15">
        <f t="shared" si="4"/>
        <v>-2.6732408594198789E-4</v>
      </c>
      <c r="K60" s="15">
        <f t="shared" si="5"/>
        <v>-2.0173363053262815E-4</v>
      </c>
    </row>
    <row r="61" spans="1:11" x14ac:dyDescent="0.3">
      <c r="B61" s="1">
        <v>46111</v>
      </c>
      <c r="C61" s="4">
        <v>59.13</v>
      </c>
      <c r="D61" s="4">
        <v>198.11</v>
      </c>
      <c r="E61" s="12">
        <f t="shared" si="0"/>
        <v>3.3504143412819212</v>
      </c>
      <c r="F61" s="13">
        <f t="shared" si="1"/>
        <v>3.3508283073353811</v>
      </c>
      <c r="G61" s="13">
        <f t="shared" si="6"/>
        <v>3.351043355272568</v>
      </c>
      <c r="H61" s="4">
        <f t="shared" si="2"/>
        <v>198.1344778127411</v>
      </c>
      <c r="I61" s="4">
        <f t="shared" si="3"/>
        <v>198.14719359726695</v>
      </c>
      <c r="J61" s="15">
        <f t="shared" si="4"/>
        <v>1.2354904178024791E-4</v>
      </c>
      <c r="K61" s="15">
        <f t="shared" si="5"/>
        <v>1.877245282968859E-4</v>
      </c>
    </row>
    <row r="62" spans="1:11" x14ac:dyDescent="0.3">
      <c r="B62" s="1">
        <v>46112</v>
      </c>
      <c r="C62" s="4">
        <v>59.07</v>
      </c>
      <c r="D62" s="4">
        <v>198.14</v>
      </c>
      <c r="E62" s="12">
        <f t="shared" si="0"/>
        <v>3.3543253766717451</v>
      </c>
      <c r="F62" s="13">
        <f t="shared" si="1"/>
        <v>3.3510647673672538</v>
      </c>
      <c r="G62" s="13">
        <f t="shared" si="6"/>
        <v>3.351043355272568</v>
      </c>
      <c r="H62" s="4">
        <f t="shared" si="2"/>
        <v>197.94739580838367</v>
      </c>
      <c r="I62" s="4">
        <f t="shared" si="3"/>
        <v>197.9461309959506</v>
      </c>
      <c r="J62" s="15">
        <f t="shared" si="4"/>
        <v>-9.7253388436660375E-4</v>
      </c>
      <c r="K62" s="15">
        <f t="shared" si="5"/>
        <v>-9.7892354394643372E-4</v>
      </c>
    </row>
    <row r="63" spans="1:11" x14ac:dyDescent="0.3">
      <c r="B63" s="1">
        <v>46113</v>
      </c>
      <c r="C63" s="4">
        <v>59.36</v>
      </c>
      <c r="D63" s="4">
        <v>198.97</v>
      </c>
      <c r="E63" s="12">
        <f t="shared" si="0"/>
        <v>3.351920485175202</v>
      </c>
      <c r="F63" s="13">
        <f t="shared" si="1"/>
        <v>3.3510663745488385</v>
      </c>
      <c r="G63" s="13">
        <f t="shared" si="6"/>
        <v>3.351043355272568</v>
      </c>
      <c r="H63" s="4">
        <f t="shared" si="2"/>
        <v>198.91929999321906</v>
      </c>
      <c r="I63" s="4">
        <f t="shared" si="3"/>
        <v>198.91793356897963</v>
      </c>
      <c r="J63" s="15">
        <f t="shared" si="4"/>
        <v>-2.5484478751355502E-4</v>
      </c>
      <c r="K63" s="15">
        <f t="shared" si="5"/>
        <v>-2.6171405023784478E-4</v>
      </c>
    </row>
    <row r="64" spans="1:11" x14ac:dyDescent="0.3">
      <c r="B64" s="1">
        <v>46114</v>
      </c>
      <c r="C64" s="4">
        <v>59.75</v>
      </c>
      <c r="D64" s="4">
        <v>200.14</v>
      </c>
      <c r="E64" s="12">
        <f t="shared" si="0"/>
        <v>3.3496234309623429</v>
      </c>
      <c r="F64" s="13">
        <f t="shared" si="1"/>
        <v>3.3510148636544606</v>
      </c>
      <c r="G64" s="13">
        <f t="shared" si="6"/>
        <v>3.351043355272568</v>
      </c>
      <c r="H64" s="4">
        <f t="shared" si="2"/>
        <v>200.22313810335402</v>
      </c>
      <c r="I64" s="4">
        <f t="shared" si="3"/>
        <v>200.22484047753593</v>
      </c>
      <c r="J64" s="15">
        <f t="shared" si="4"/>
        <v>4.1531348236945541E-4</v>
      </c>
      <c r="K64" s="15">
        <f t="shared" si="5"/>
        <v>4.238158311037639E-4</v>
      </c>
    </row>
    <row r="65" spans="2:11" x14ac:dyDescent="0.3">
      <c r="B65" s="1">
        <v>46118</v>
      </c>
      <c r="C65" s="4">
        <v>59.48</v>
      </c>
      <c r="D65" s="4">
        <v>199.4</v>
      </c>
      <c r="E65" s="12">
        <f t="shared" si="0"/>
        <v>3.3523873570948219</v>
      </c>
      <c r="F65" s="13">
        <f t="shared" si="1"/>
        <v>3.3511367240316345</v>
      </c>
      <c r="G65" s="13">
        <f t="shared" si="6"/>
        <v>3.351043355272568</v>
      </c>
      <c r="H65" s="4">
        <f t="shared" si="2"/>
        <v>199.32561234540162</v>
      </c>
      <c r="I65" s="4">
        <f t="shared" si="3"/>
        <v>199.32005877161234</v>
      </c>
      <c r="J65" s="15">
        <f t="shared" si="4"/>
        <v>-3.7312704856786247E-4</v>
      </c>
      <c r="K65" s="15">
        <f t="shared" si="5"/>
        <v>-4.0098925398991859E-4</v>
      </c>
    </row>
    <row r="66" spans="2:11" x14ac:dyDescent="0.3">
      <c r="B66" s="1">
        <v>46119</v>
      </c>
      <c r="C66" s="4">
        <v>59.67</v>
      </c>
      <c r="D66" s="4">
        <v>199.98</v>
      </c>
      <c r="E66" s="12">
        <f t="shared" si="0"/>
        <v>3.3514328808446452</v>
      </c>
      <c r="F66" s="13">
        <f t="shared" si="1"/>
        <v>3.3511685802754578</v>
      </c>
      <c r="G66" s="13">
        <f t="shared" si="6"/>
        <v>3.351043355272568</v>
      </c>
      <c r="H66" s="4">
        <f t="shared" si="2"/>
        <v>199.96422918503657</v>
      </c>
      <c r="I66" s="4">
        <f t="shared" si="3"/>
        <v>199.95675700911414</v>
      </c>
      <c r="J66" s="15">
        <f t="shared" si="4"/>
        <v>-7.8865070781087003E-5</v>
      </c>
      <c r="K66" s="15">
        <f t="shared" si="5"/>
        <v>-1.1623333191899611E-4</v>
      </c>
    </row>
    <row r="67" spans="2:11" x14ac:dyDescent="0.3">
      <c r="B67" s="1">
        <v>46120</v>
      </c>
      <c r="C67" s="4">
        <v>60.3</v>
      </c>
      <c r="D67" s="4">
        <v>202.09</v>
      </c>
      <c r="E67" s="12">
        <f t="shared" ref="E67:E130" si="7">D67/C67</f>
        <v>3.3514096185737978</v>
      </c>
      <c r="F67" s="13">
        <f t="shared" si="1"/>
        <v>3.3512328059914709</v>
      </c>
      <c r="G67" s="13">
        <f t="shared" si="6"/>
        <v>3.351043355272568</v>
      </c>
      <c r="H67" s="4">
        <f t="shared" si="2"/>
        <v>202.07933820128568</v>
      </c>
      <c r="I67" s="4">
        <f t="shared" si="3"/>
        <v>202.06791432293585</v>
      </c>
      <c r="J67" s="15">
        <f t="shared" si="4"/>
        <v>-5.2759067594014283E-5</v>
      </c>
      <c r="K67" s="15">
        <f t="shared" si="5"/>
        <v>-1.0929231522359584E-4</v>
      </c>
    </row>
    <row r="68" spans="2:11" x14ac:dyDescent="0.3">
      <c r="B68" s="1">
        <v>46121</v>
      </c>
      <c r="C68" s="4">
        <v>60.76</v>
      </c>
      <c r="D68" s="4">
        <v>203.63</v>
      </c>
      <c r="E68" s="12">
        <f t="shared" si="7"/>
        <v>3.3513824884792629</v>
      </c>
      <c r="F68" s="13">
        <f t="shared" si="1"/>
        <v>3.3512666244302287</v>
      </c>
      <c r="G68" s="13">
        <f t="shared" si="6"/>
        <v>3.351043355272568</v>
      </c>
      <c r="H68" s="4">
        <f t="shared" si="2"/>
        <v>203.62296010038068</v>
      </c>
      <c r="I68" s="4">
        <f t="shared" si="3"/>
        <v>203.60939426636122</v>
      </c>
      <c r="J68" s="15">
        <f t="shared" si="4"/>
        <v>-3.4572613632015318E-5</v>
      </c>
      <c r="K68" s="15">
        <f t="shared" si="5"/>
        <v>-1.0119715305774286E-4</v>
      </c>
    </row>
    <row r="69" spans="2:11" x14ac:dyDescent="0.3">
      <c r="B69" s="1">
        <v>46122</v>
      </c>
      <c r="C69" s="4">
        <v>60.52</v>
      </c>
      <c r="D69" s="4">
        <v>202.89</v>
      </c>
      <c r="E69" s="12">
        <f t="shared" si="7"/>
        <v>3.3524454725710506</v>
      </c>
      <c r="F69" s="13">
        <f t="shared" si="1"/>
        <v>3.351390150354657</v>
      </c>
      <c r="G69" s="13">
        <f t="shared" si="6"/>
        <v>3.351043355272568</v>
      </c>
      <c r="H69" s="4">
        <f t="shared" si="2"/>
        <v>202.82613189946386</v>
      </c>
      <c r="I69" s="4">
        <f t="shared" si="3"/>
        <v>202.80514386109581</v>
      </c>
      <c r="J69" s="15">
        <f t="shared" si="4"/>
        <v>-3.1484131905083241E-4</v>
      </c>
      <c r="K69" s="15">
        <f t="shared" si="5"/>
        <v>-4.1832465300926252E-4</v>
      </c>
    </row>
    <row r="70" spans="2:11" x14ac:dyDescent="0.3">
      <c r="B70" s="1">
        <v>46125</v>
      </c>
      <c r="C70" s="4">
        <v>59.76</v>
      </c>
      <c r="D70" s="4">
        <v>200.25</v>
      </c>
      <c r="E70" s="12">
        <f t="shared" si="7"/>
        <v>3.3509036144578315</v>
      </c>
      <c r="F70" s="13">
        <f t="shared" si="1"/>
        <v>3.3513393681390973</v>
      </c>
      <c r="G70" s="13">
        <f t="shared" si="6"/>
        <v>3.351043355272568</v>
      </c>
      <c r="H70" s="4">
        <f t="shared" si="2"/>
        <v>200.27604063999246</v>
      </c>
      <c r="I70" s="4">
        <f t="shared" si="3"/>
        <v>200.25835091108866</v>
      </c>
      <c r="J70" s="15">
        <f t="shared" si="4"/>
        <v>1.3003219459863089E-4</v>
      </c>
      <c r="K70" s="15">
        <f t="shared" si="5"/>
        <v>4.1701557887033051E-5</v>
      </c>
    </row>
    <row r="71" spans="2:11" x14ac:dyDescent="0.3">
      <c r="B71" s="1">
        <v>46126</v>
      </c>
      <c r="C71" s="4">
        <v>59.96</v>
      </c>
      <c r="D71" s="4">
        <v>200.91</v>
      </c>
      <c r="E71" s="12">
        <f t="shared" si="7"/>
        <v>3.3507338225483654</v>
      </c>
      <c r="F71" s="13">
        <f t="shared" si="1"/>
        <v>3.3512411020578257</v>
      </c>
      <c r="G71" s="13">
        <f t="shared" si="6"/>
        <v>3.351043355272568</v>
      </c>
      <c r="H71" s="4">
        <f t="shared" si="2"/>
        <v>200.94041647938724</v>
      </c>
      <c r="I71" s="4">
        <f t="shared" si="3"/>
        <v>200.92855958214318</v>
      </c>
      <c r="J71" s="15">
        <f t="shared" si="4"/>
        <v>1.5138209740723084E-4</v>
      </c>
      <c r="K71" s="15">
        <f t="shared" si="5"/>
        <v>9.2373326122274725E-5</v>
      </c>
    </row>
    <row r="72" spans="2:11" x14ac:dyDescent="0.3">
      <c r="B72" s="1">
        <v>46127</v>
      </c>
      <c r="C72" s="4">
        <v>59.46</v>
      </c>
      <c r="D72" s="4">
        <v>199.25</v>
      </c>
      <c r="E72" s="12">
        <f t="shared" si="7"/>
        <v>3.3509922637066936</v>
      </c>
      <c r="F72" s="13">
        <f t="shared" si="1"/>
        <v>3.3512634965034707</v>
      </c>
      <c r="G72" s="13">
        <f t="shared" si="6"/>
        <v>3.351043355272568</v>
      </c>
      <c r="H72" s="4">
        <f t="shared" si="2"/>
        <v>199.26612750209637</v>
      </c>
      <c r="I72" s="4">
        <f t="shared" si="3"/>
        <v>199.2530379045069</v>
      </c>
      <c r="J72" s="15">
        <f t="shared" si="4"/>
        <v>8.0937763830433502E-5</v>
      </c>
      <c r="K72" s="15">
        <f t="shared" si="5"/>
        <v>1.5246581420915036E-5</v>
      </c>
    </row>
    <row r="73" spans="2:11" x14ac:dyDescent="0.3">
      <c r="B73" s="1">
        <v>46128</v>
      </c>
      <c r="C73" s="4">
        <v>59.85</v>
      </c>
      <c r="D73" s="4">
        <v>200.51</v>
      </c>
      <c r="E73" s="12">
        <f t="shared" si="7"/>
        <v>3.3502088554720131</v>
      </c>
      <c r="F73" s="13">
        <f t="shared" si="1"/>
        <v>3.3514317465860417</v>
      </c>
      <c r="G73" s="13">
        <f t="shared" si="6"/>
        <v>3.351043355272568</v>
      </c>
      <c r="H73" s="4">
        <f t="shared" si="2"/>
        <v>200.58319003317459</v>
      </c>
      <c r="I73" s="4">
        <f t="shared" si="3"/>
        <v>200.5599448130632</v>
      </c>
      <c r="J73" s="15">
        <f t="shared" si="4"/>
        <v>3.6495276312659088E-4</v>
      </c>
      <c r="K73" s="15">
        <f t="shared" si="5"/>
        <v>2.4905787116334937E-4</v>
      </c>
    </row>
    <row r="74" spans="2:11" x14ac:dyDescent="0.3">
      <c r="B74" s="1">
        <v>46129</v>
      </c>
      <c r="C74" s="4">
        <v>59.59</v>
      </c>
      <c r="D74" s="4">
        <v>199.7</v>
      </c>
      <c r="E74" s="12">
        <f t="shared" si="7"/>
        <v>3.3512334284275882</v>
      </c>
      <c r="F74" s="13">
        <f t="shared" si="1"/>
        <v>3.3514337451648233</v>
      </c>
      <c r="G74" s="13">
        <f t="shared" si="6"/>
        <v>3.351043355272568</v>
      </c>
      <c r="H74" s="4">
        <f t="shared" si="2"/>
        <v>199.71193687437184</v>
      </c>
      <c r="I74" s="4">
        <f t="shared" si="3"/>
        <v>199.68867354069235</v>
      </c>
      <c r="J74" s="15">
        <f t="shared" si="4"/>
        <v>5.9772246512369514E-5</v>
      </c>
      <c r="K74" s="15">
        <f t="shared" si="5"/>
        <v>-5.6718981088045265E-5</v>
      </c>
    </row>
    <row r="75" spans="2:11" x14ac:dyDescent="0.3">
      <c r="B75" s="1">
        <v>46132</v>
      </c>
      <c r="C75" s="4">
        <v>59.11</v>
      </c>
      <c r="D75" s="4">
        <v>198.05</v>
      </c>
      <c r="E75" s="12">
        <f t="shared" si="7"/>
        <v>3.350532904753849</v>
      </c>
      <c r="F75" s="13">
        <f t="shared" si="1"/>
        <v>3.3513400342038238</v>
      </c>
      <c r="G75" s="13">
        <f t="shared" si="6"/>
        <v>3.351043355272568</v>
      </c>
      <c r="H75" s="4">
        <f t="shared" si="2"/>
        <v>198.09770942178801</v>
      </c>
      <c r="I75" s="4">
        <f t="shared" si="3"/>
        <v>198.08017273016151</v>
      </c>
      <c r="J75" s="15">
        <f t="shared" si="4"/>
        <v>2.4086683266851168E-4</v>
      </c>
      <c r="K75" s="15">
        <f t="shared" si="5"/>
        <v>1.5233745014631009E-4</v>
      </c>
    </row>
    <row r="76" spans="2:11" x14ac:dyDescent="0.3">
      <c r="B76" s="1">
        <v>46133</v>
      </c>
      <c r="C76" s="4">
        <v>58.04</v>
      </c>
      <c r="D76" s="4">
        <v>194.44</v>
      </c>
      <c r="E76" s="12">
        <f t="shared" si="7"/>
        <v>3.3501033769813922</v>
      </c>
      <c r="F76" s="13">
        <f t="shared" si="1"/>
        <v>3.3512953974581507</v>
      </c>
      <c r="G76" s="13">
        <f t="shared" si="6"/>
        <v>3.351043355272568</v>
      </c>
      <c r="H76" s="4">
        <f t="shared" ref="H76:H139" si="8">C76*F76</f>
        <v>194.50918486847107</v>
      </c>
      <c r="I76" s="4">
        <f t="shared" ref="I76:I139" si="9">C76*G76</f>
        <v>194.49455634001984</v>
      </c>
      <c r="J76" s="15">
        <f t="shared" ref="J76:J139" si="10">LN(H76/D76)</f>
        <v>3.55752740420939E-4</v>
      </c>
      <c r="K76" s="15">
        <f t="shared" ref="K76:K139" si="11">LN(I76/D76)</f>
        <v>2.8054252052608941E-4</v>
      </c>
    </row>
    <row r="77" spans="2:11" x14ac:dyDescent="0.3">
      <c r="B77" s="1">
        <v>46134</v>
      </c>
      <c r="C77" s="4">
        <v>57.97</v>
      </c>
      <c r="D77" s="4">
        <v>194.34</v>
      </c>
      <c r="E77" s="12">
        <f t="shared" si="7"/>
        <v>3.3524236674141799</v>
      </c>
      <c r="F77" s="13">
        <f t="shared" si="1"/>
        <v>3.3512836890346058</v>
      </c>
      <c r="G77" s="13">
        <f t="shared" si="6"/>
        <v>3.351043355272568</v>
      </c>
      <c r="H77" s="4">
        <f t="shared" si="8"/>
        <v>194.27391545333609</v>
      </c>
      <c r="I77" s="4">
        <f t="shared" si="9"/>
        <v>194.25998330515077</v>
      </c>
      <c r="J77" s="15">
        <f t="shared" si="10"/>
        <v>-3.4010386490580813E-4</v>
      </c>
      <c r="K77" s="15">
        <f t="shared" si="11"/>
        <v>-4.1182037785770966E-4</v>
      </c>
    </row>
    <row r="78" spans="2:11" x14ac:dyDescent="0.3">
      <c r="B78" s="1">
        <v>46135</v>
      </c>
      <c r="C78" s="4">
        <v>59.59</v>
      </c>
      <c r="D78" s="4">
        <v>199.69</v>
      </c>
      <c r="E78" s="12">
        <f t="shared" si="7"/>
        <v>3.3510656150360796</v>
      </c>
      <c r="F78" s="13">
        <f t="shared" si="1"/>
        <v>3.3513018309451348</v>
      </c>
      <c r="G78" s="13">
        <f t="shared" si="6"/>
        <v>3.351043355272568</v>
      </c>
      <c r="H78" s="4">
        <f t="shared" si="8"/>
        <v>199.70407610602058</v>
      </c>
      <c r="I78" s="4">
        <f t="shared" si="9"/>
        <v>199.68867354069235</v>
      </c>
      <c r="J78" s="15">
        <f t="shared" si="10"/>
        <v>7.0487304987810226E-5</v>
      </c>
      <c r="K78" s="15">
        <f t="shared" si="11"/>
        <v>-6.6426146187871816E-6</v>
      </c>
    </row>
    <row r="79" spans="2:11" x14ac:dyDescent="0.3">
      <c r="B79" s="1">
        <v>46136</v>
      </c>
      <c r="C79" s="4">
        <v>59.65</v>
      </c>
      <c r="D79" s="4">
        <v>199.84</v>
      </c>
      <c r="E79" s="12">
        <f t="shared" si="7"/>
        <v>3.3502095557418277</v>
      </c>
      <c r="F79" s="13">
        <f t="shared" si="1"/>
        <v>3.351273399890085</v>
      </c>
      <c r="G79" s="13">
        <f t="shared" si="6"/>
        <v>3.351043355272568</v>
      </c>
      <c r="H79" s="4">
        <f t="shared" si="8"/>
        <v>199.90345830344356</v>
      </c>
      <c r="I79" s="4">
        <f t="shared" si="9"/>
        <v>199.88973614200867</v>
      </c>
      <c r="J79" s="15">
        <f t="shared" si="10"/>
        <v>3.1749514674198011E-4</v>
      </c>
      <c r="K79" s="15">
        <f t="shared" si="11"/>
        <v>2.4884884845122537E-4</v>
      </c>
    </row>
    <row r="80" spans="2:11" x14ac:dyDescent="0.3">
      <c r="B80" s="1">
        <v>46139</v>
      </c>
      <c r="C80" s="4">
        <v>59.72</v>
      </c>
      <c r="D80" s="4">
        <v>200.11</v>
      </c>
      <c r="E80" s="12">
        <f t="shared" si="7"/>
        <v>3.3508037508372408</v>
      </c>
      <c r="F80" s="13">
        <f t="shared" si="1"/>
        <v>3.3512276153515925</v>
      </c>
      <c r="G80" s="13">
        <f t="shared" si="6"/>
        <v>3.351043355272568</v>
      </c>
      <c r="H80" s="4">
        <f t="shared" si="8"/>
        <v>200.13531318879711</v>
      </c>
      <c r="I80" s="4">
        <f t="shared" si="9"/>
        <v>200.12430917687774</v>
      </c>
      <c r="J80" s="15">
        <f t="shared" si="10"/>
        <v>1.2648837099020295E-4</v>
      </c>
      <c r="K80" s="15">
        <f t="shared" si="11"/>
        <v>7.1503999311138636E-5</v>
      </c>
    </row>
    <row r="81" spans="2:11" x14ac:dyDescent="0.3">
      <c r="B81" s="1">
        <v>46140</v>
      </c>
      <c r="C81" s="4">
        <v>59.75</v>
      </c>
      <c r="D81" s="4">
        <v>200.26</v>
      </c>
      <c r="E81" s="12">
        <f t="shared" si="7"/>
        <v>3.3516317991631799</v>
      </c>
      <c r="F81" s="13">
        <f t="shared" si="1"/>
        <v>3.3512884882456553</v>
      </c>
      <c r="G81" s="13">
        <f t="shared" si="6"/>
        <v>3.351043355272568</v>
      </c>
      <c r="H81" s="4">
        <f t="shared" si="8"/>
        <v>200.23948717267791</v>
      </c>
      <c r="I81" s="4">
        <f t="shared" si="9"/>
        <v>200.22484047753593</v>
      </c>
      <c r="J81" s="15">
        <f t="shared" si="10"/>
        <v>-1.0243622275182924E-4</v>
      </c>
      <c r="K81" s="15">
        <f t="shared" si="11"/>
        <v>-1.7558478624288076E-4</v>
      </c>
    </row>
    <row r="82" spans="2:11" x14ac:dyDescent="0.3">
      <c r="B82" s="1">
        <v>46141</v>
      </c>
      <c r="C82" s="4">
        <v>59</v>
      </c>
      <c r="D82" s="4">
        <v>197.6</v>
      </c>
      <c r="E82" s="12">
        <f t="shared" si="7"/>
        <v>3.3491525423728814</v>
      </c>
      <c r="F82" s="13">
        <f t="shared" si="1"/>
        <v>3.3510298465307122</v>
      </c>
      <c r="G82" s="13">
        <f t="shared" si="6"/>
        <v>3.351043355272568</v>
      </c>
      <c r="H82" s="4">
        <f t="shared" si="8"/>
        <v>197.71076094531202</v>
      </c>
      <c r="I82" s="4">
        <f t="shared" si="9"/>
        <v>197.71155796108152</v>
      </c>
      <c r="J82" s="15">
        <f t="shared" si="10"/>
        <v>5.6037406088098925E-4</v>
      </c>
      <c r="K82" s="15">
        <f t="shared" si="11"/>
        <v>5.6440527374574485E-4</v>
      </c>
    </row>
    <row r="83" spans="2:11" x14ac:dyDescent="0.3">
      <c r="B83" s="1">
        <v>46142</v>
      </c>
      <c r="C83" s="4">
        <v>60.4</v>
      </c>
      <c r="D83" s="4">
        <v>202.49</v>
      </c>
      <c r="E83" s="12">
        <f t="shared" si="7"/>
        <v>3.3524834437086093</v>
      </c>
      <c r="F83" s="13">
        <f t="shared" si="1"/>
        <v>3.3510579944573826</v>
      </c>
      <c r="G83" s="13">
        <f t="shared" si="6"/>
        <v>3.351043355272568</v>
      </c>
      <c r="H83" s="4">
        <f t="shared" si="8"/>
        <v>202.40390286522592</v>
      </c>
      <c r="I83" s="4">
        <f t="shared" si="9"/>
        <v>202.40301865846311</v>
      </c>
      <c r="J83" s="15">
        <f t="shared" si="10"/>
        <v>-4.2528245282281318E-4</v>
      </c>
      <c r="K83" s="15">
        <f t="shared" si="11"/>
        <v>-4.2965098861496833E-4</v>
      </c>
    </row>
    <row r="84" spans="2:11" x14ac:dyDescent="0.3">
      <c r="B84" s="1">
        <v>46143</v>
      </c>
      <c r="C84" s="4">
        <v>60.03</v>
      </c>
      <c r="D84" s="4">
        <v>201.12</v>
      </c>
      <c r="E84" s="12">
        <f t="shared" si="7"/>
        <v>3.3503248375812094</v>
      </c>
      <c r="F84" s="13">
        <f t="shared" si="1"/>
        <v>3.3510930647883264</v>
      </c>
      <c r="G84" s="13">
        <f t="shared" si="6"/>
        <v>3.351043355272568</v>
      </c>
      <c r="H84" s="4">
        <f t="shared" si="8"/>
        <v>201.16611667924323</v>
      </c>
      <c r="I84" s="4">
        <f t="shared" si="9"/>
        <v>201.16313261701225</v>
      </c>
      <c r="J84" s="15">
        <f t="shared" si="10"/>
        <v>2.2927303495285319E-4</v>
      </c>
      <c r="K84" s="15">
        <f t="shared" si="11"/>
        <v>2.1443910360821586E-4</v>
      </c>
    </row>
    <row r="85" spans="2:11" x14ac:dyDescent="0.3">
      <c r="B85" s="1">
        <v>46146</v>
      </c>
      <c r="C85" s="4">
        <v>59.85</v>
      </c>
      <c r="D85" s="4">
        <v>200.51</v>
      </c>
      <c r="E85" s="12">
        <f t="shared" si="7"/>
        <v>3.3502088554720131</v>
      </c>
      <c r="F85" s="13">
        <f t="shared" ref="F85:F148" si="12">AVERAGE(E66:E85)</f>
        <v>3.3509841397071858</v>
      </c>
      <c r="G85" s="13">
        <f t="shared" si="6"/>
        <v>3.351043355272568</v>
      </c>
      <c r="H85" s="4">
        <f t="shared" si="8"/>
        <v>200.55640076147506</v>
      </c>
      <c r="I85" s="4">
        <f t="shared" si="9"/>
        <v>200.5599448130632</v>
      </c>
      <c r="J85" s="15">
        <f t="shared" si="10"/>
        <v>2.3138693041353819E-4</v>
      </c>
      <c r="K85" s="15">
        <f t="shared" si="11"/>
        <v>2.4905787116334937E-4</v>
      </c>
    </row>
    <row r="86" spans="2:11" x14ac:dyDescent="0.3">
      <c r="B86" s="1">
        <v>46147</v>
      </c>
      <c r="C86" s="4">
        <v>59.85</v>
      </c>
      <c r="D86" s="4">
        <v>200.54</v>
      </c>
      <c r="E86" s="12">
        <f t="shared" si="7"/>
        <v>3.3507101086048454</v>
      </c>
      <c r="F86" s="13">
        <f t="shared" si="12"/>
        <v>3.3509480010951953</v>
      </c>
      <c r="G86" s="13">
        <f t="shared" ref="G86:G149" si="13">G85</f>
        <v>3.351043355272568</v>
      </c>
      <c r="H86" s="4">
        <f t="shared" si="8"/>
        <v>200.55423786554744</v>
      </c>
      <c r="I86" s="4">
        <f t="shared" si="9"/>
        <v>200.5599448130632</v>
      </c>
      <c r="J86" s="15">
        <f t="shared" si="10"/>
        <v>7.0995113912362555E-5</v>
      </c>
      <c r="K86" s="15">
        <f t="shared" si="11"/>
        <v>9.9450589996743144E-5</v>
      </c>
    </row>
    <row r="87" spans="2:11" x14ac:dyDescent="0.3">
      <c r="B87" s="1">
        <v>46148</v>
      </c>
      <c r="C87" s="4">
        <v>59.09</v>
      </c>
      <c r="D87" s="4">
        <v>198.05</v>
      </c>
      <c r="E87" s="12">
        <f t="shared" si="7"/>
        <v>3.3516669487222881</v>
      </c>
      <c r="F87" s="13">
        <f t="shared" si="12"/>
        <v>3.3509608676026197</v>
      </c>
      <c r="G87" s="13">
        <f t="shared" si="13"/>
        <v>3.351043355272568</v>
      </c>
      <c r="H87" s="4">
        <f t="shared" si="8"/>
        <v>198.0082776666388</v>
      </c>
      <c r="I87" s="4">
        <f t="shared" si="9"/>
        <v>198.01315186305607</v>
      </c>
      <c r="J87" s="15">
        <f t="shared" si="10"/>
        <v>-2.1068785008782556E-4</v>
      </c>
      <c r="K87" s="15">
        <f t="shared" si="11"/>
        <v>-1.8607202854864865E-4</v>
      </c>
    </row>
    <row r="88" spans="2:11" x14ac:dyDescent="0.3">
      <c r="B88" s="1">
        <v>46149</v>
      </c>
      <c r="C88" s="4">
        <v>58.3</v>
      </c>
      <c r="D88" s="4">
        <v>195.44</v>
      </c>
      <c r="E88" s="12">
        <f t="shared" si="7"/>
        <v>3.3523156089193828</v>
      </c>
      <c r="F88" s="13">
        <f t="shared" si="12"/>
        <v>3.351007523624626</v>
      </c>
      <c r="G88" s="13">
        <f t="shared" si="13"/>
        <v>3.351043355272568</v>
      </c>
      <c r="H88" s="4">
        <f t="shared" si="8"/>
        <v>195.36373862731568</v>
      </c>
      <c r="I88" s="4">
        <f t="shared" si="9"/>
        <v>195.36582761239072</v>
      </c>
      <c r="J88" s="15">
        <f t="shared" si="10"/>
        <v>-3.9027965249353001E-4</v>
      </c>
      <c r="K88" s="15">
        <f t="shared" si="11"/>
        <v>-3.7958691124455145E-4</v>
      </c>
    </row>
    <row r="89" spans="2:11" x14ac:dyDescent="0.3">
      <c r="B89" s="1">
        <v>46150</v>
      </c>
      <c r="C89" s="4">
        <v>57.85</v>
      </c>
      <c r="D89" s="4">
        <v>193.9</v>
      </c>
      <c r="E89" s="12">
        <f t="shared" si="7"/>
        <v>3.3517718236819363</v>
      </c>
      <c r="F89" s="13">
        <f t="shared" si="12"/>
        <v>3.3509738411801706</v>
      </c>
      <c r="G89" s="13">
        <f t="shared" si="13"/>
        <v>3.351043355272568</v>
      </c>
      <c r="H89" s="4">
        <f t="shared" si="8"/>
        <v>193.85383671227288</v>
      </c>
      <c r="I89" s="4">
        <f t="shared" si="9"/>
        <v>193.85785810251807</v>
      </c>
      <c r="J89" s="15">
        <f t="shared" si="10"/>
        <v>-2.3810615691978047E-4</v>
      </c>
      <c r="K89" s="15">
        <f t="shared" si="11"/>
        <v>-2.1736192712674751E-4</v>
      </c>
    </row>
    <row r="90" spans="2:11" x14ac:dyDescent="0.3">
      <c r="B90" s="1">
        <v>46153</v>
      </c>
      <c r="C90" s="4">
        <v>58.38</v>
      </c>
      <c r="D90" s="4">
        <v>195.62</v>
      </c>
      <c r="E90" s="12">
        <f t="shared" si="7"/>
        <v>3.3508050702295304</v>
      </c>
      <c r="F90" s="13">
        <f t="shared" si="12"/>
        <v>3.3509689139687553</v>
      </c>
      <c r="G90" s="13">
        <f t="shared" si="13"/>
        <v>3.351043355272568</v>
      </c>
      <c r="H90" s="4">
        <f t="shared" si="8"/>
        <v>195.62956519749594</v>
      </c>
      <c r="I90" s="4">
        <f t="shared" si="9"/>
        <v>195.63391108081254</v>
      </c>
      <c r="J90" s="15">
        <f t="shared" si="10"/>
        <v>4.8895632602306861E-5</v>
      </c>
      <c r="K90" s="15">
        <f t="shared" si="11"/>
        <v>7.1110245415679439E-5</v>
      </c>
    </row>
    <row r="91" spans="2:11" x14ac:dyDescent="0.3">
      <c r="B91" s="1">
        <v>46154</v>
      </c>
      <c r="C91" s="4">
        <v>58.44</v>
      </c>
      <c r="D91" s="4">
        <v>195.91</v>
      </c>
      <c r="E91" s="12">
        <f t="shared" si="7"/>
        <v>3.3523271731690625</v>
      </c>
      <c r="F91" s="13">
        <f t="shared" si="12"/>
        <v>3.3510485814997906</v>
      </c>
      <c r="G91" s="13">
        <f t="shared" si="13"/>
        <v>3.351043355272568</v>
      </c>
      <c r="H91" s="4">
        <f t="shared" si="8"/>
        <v>195.83527910284775</v>
      </c>
      <c r="I91" s="4">
        <f t="shared" si="9"/>
        <v>195.83497368212886</v>
      </c>
      <c r="J91" s="15">
        <f t="shared" si="10"/>
        <v>-3.8147695476776057E-4</v>
      </c>
      <c r="K91" s="15">
        <f t="shared" si="11"/>
        <v>-3.8303653564836991E-4</v>
      </c>
    </row>
    <row r="92" spans="2:11" x14ac:dyDescent="0.3">
      <c r="B92" s="1">
        <v>46155</v>
      </c>
      <c r="C92" s="4">
        <v>57.74</v>
      </c>
      <c r="D92" s="4">
        <v>193.52</v>
      </c>
      <c r="E92" s="12">
        <f t="shared" si="7"/>
        <v>3.3515760304814686</v>
      </c>
      <c r="F92" s="13">
        <f t="shared" si="12"/>
        <v>3.3510777698385299</v>
      </c>
      <c r="G92" s="13">
        <f t="shared" si="13"/>
        <v>3.351043355272568</v>
      </c>
      <c r="H92" s="4">
        <f t="shared" si="8"/>
        <v>193.49123043047672</v>
      </c>
      <c r="I92" s="4">
        <f t="shared" si="9"/>
        <v>193.48924333343808</v>
      </c>
      <c r="J92" s="15">
        <f t="shared" si="10"/>
        <v>-1.4867563168274476E-4</v>
      </c>
      <c r="K92" s="15">
        <f t="shared" si="11"/>
        <v>-1.589453851890594E-4</v>
      </c>
    </row>
    <row r="93" spans="2:11" x14ac:dyDescent="0.3">
      <c r="B93" s="1">
        <v>46156</v>
      </c>
      <c r="C93" s="4">
        <v>58.05</v>
      </c>
      <c r="D93" s="4">
        <v>194.56</v>
      </c>
      <c r="E93" s="12">
        <f t="shared" si="7"/>
        <v>3.3515934539190355</v>
      </c>
      <c r="F93" s="13">
        <f t="shared" si="12"/>
        <v>3.3511469997608798</v>
      </c>
      <c r="G93" s="13">
        <f t="shared" si="13"/>
        <v>3.351043355272568</v>
      </c>
      <c r="H93" s="4">
        <f t="shared" si="8"/>
        <v>194.53408333611907</v>
      </c>
      <c r="I93" s="4">
        <f t="shared" si="9"/>
        <v>194.52806677357256</v>
      </c>
      <c r="J93" s="15">
        <f t="shared" si="10"/>
        <v>-1.3321540999566327E-4</v>
      </c>
      <c r="K93" s="15">
        <f t="shared" si="11"/>
        <v>-1.6414395210798534E-4</v>
      </c>
    </row>
    <row r="94" spans="2:11" x14ac:dyDescent="0.3">
      <c r="B94" s="1">
        <v>46157</v>
      </c>
      <c r="C94" s="4">
        <v>56.69</v>
      </c>
      <c r="D94" s="4">
        <v>190.2</v>
      </c>
      <c r="E94" s="12">
        <f t="shared" si="7"/>
        <v>3.3550890809666609</v>
      </c>
      <c r="F94" s="13">
        <f t="shared" si="12"/>
        <v>3.3513397823878344</v>
      </c>
      <c r="G94" s="13">
        <f t="shared" si="13"/>
        <v>3.351043355272568</v>
      </c>
      <c r="H94" s="4">
        <f t="shared" si="8"/>
        <v>189.98745226356633</v>
      </c>
      <c r="I94" s="4">
        <f t="shared" si="9"/>
        <v>189.97064781040189</v>
      </c>
      <c r="J94" s="15">
        <f t="shared" si="10"/>
        <v>-1.1181208496599219E-3</v>
      </c>
      <c r="K94" s="15">
        <f t="shared" si="11"/>
        <v>-1.2065750932837955E-3</v>
      </c>
    </row>
    <row r="95" spans="2:11" x14ac:dyDescent="0.3">
      <c r="B95" s="1">
        <v>46160</v>
      </c>
      <c r="C95" s="4">
        <v>56.81</v>
      </c>
      <c r="D95" s="4">
        <v>190.32</v>
      </c>
      <c r="E95" s="12">
        <f t="shared" si="7"/>
        <v>3.3501144164759724</v>
      </c>
      <c r="F95" s="13">
        <f t="shared" si="12"/>
        <v>3.3513188579739399</v>
      </c>
      <c r="G95" s="13">
        <f t="shared" si="13"/>
        <v>3.351043355272568</v>
      </c>
      <c r="H95" s="4">
        <f t="shared" si="8"/>
        <v>190.38842432149954</v>
      </c>
      <c r="I95" s="4">
        <f t="shared" si="9"/>
        <v>190.37277301303459</v>
      </c>
      <c r="J95" s="15">
        <f t="shared" si="10"/>
        <v>3.5945788359288407E-4</v>
      </c>
      <c r="K95" s="15">
        <f t="shared" si="11"/>
        <v>2.7724725612700269E-4</v>
      </c>
    </row>
    <row r="96" spans="2:11" x14ac:dyDescent="0.3">
      <c r="B96" s="1">
        <v>46161</v>
      </c>
      <c r="C96" s="4">
        <v>57.31</v>
      </c>
      <c r="D96" s="4">
        <v>192.06</v>
      </c>
      <c r="E96" s="12">
        <f t="shared" si="7"/>
        <v>3.3512476007677541</v>
      </c>
      <c r="F96" s="13">
        <f t="shared" si="12"/>
        <v>3.3513760691632584</v>
      </c>
      <c r="G96" s="13">
        <f t="shared" si="13"/>
        <v>3.351043355272568</v>
      </c>
      <c r="H96" s="4">
        <f t="shared" si="8"/>
        <v>192.06736252374634</v>
      </c>
      <c r="I96" s="4">
        <f t="shared" si="9"/>
        <v>192.04829469067087</v>
      </c>
      <c r="J96" s="15">
        <f t="shared" si="10"/>
        <v>3.8333763566703945E-5</v>
      </c>
      <c r="K96" s="15">
        <f t="shared" si="11"/>
        <v>-6.0947964386841263E-5</v>
      </c>
    </row>
    <row r="97" spans="2:11" x14ac:dyDescent="0.3">
      <c r="B97" s="1">
        <v>46162</v>
      </c>
      <c r="C97" s="4">
        <v>57.58</v>
      </c>
      <c r="D97" s="4">
        <v>192.92</v>
      </c>
      <c r="E97" s="12">
        <f t="shared" si="7"/>
        <v>3.3504689128169503</v>
      </c>
      <c r="F97" s="13">
        <f t="shared" si="12"/>
        <v>3.3512783314333974</v>
      </c>
      <c r="G97" s="13">
        <f t="shared" si="13"/>
        <v>3.351043355272568</v>
      </c>
      <c r="H97" s="4">
        <f t="shared" si="8"/>
        <v>192.96660632393503</v>
      </c>
      <c r="I97" s="4">
        <f t="shared" si="9"/>
        <v>192.95307639659447</v>
      </c>
      <c r="J97" s="15">
        <f t="shared" si="10"/>
        <v>2.4155450537991654E-4</v>
      </c>
      <c r="K97" s="15">
        <f t="shared" si="11"/>
        <v>1.7143666505261469E-4</v>
      </c>
    </row>
    <row r="98" spans="2:11" x14ac:dyDescent="0.3">
      <c r="B98" s="1">
        <v>46163</v>
      </c>
      <c r="C98" s="4">
        <v>58.16</v>
      </c>
      <c r="D98" s="4">
        <v>194.93</v>
      </c>
      <c r="E98" s="12">
        <f t="shared" si="7"/>
        <v>3.3516162310866577</v>
      </c>
      <c r="F98" s="13">
        <f t="shared" si="12"/>
        <v>3.3513058622359262</v>
      </c>
      <c r="G98" s="13">
        <f t="shared" si="13"/>
        <v>3.351043355272568</v>
      </c>
      <c r="H98" s="4">
        <f t="shared" si="8"/>
        <v>194.91194894764146</v>
      </c>
      <c r="I98" s="4">
        <f t="shared" si="9"/>
        <v>194.89668154265254</v>
      </c>
      <c r="J98" s="15">
        <f t="shared" si="10"/>
        <v>-9.2607029182871739E-5</v>
      </c>
      <c r="K98" s="15">
        <f t="shared" si="11"/>
        <v>-1.7093985099609412E-4</v>
      </c>
    </row>
    <row r="99" spans="2:11" x14ac:dyDescent="0.3">
      <c r="B99" s="1">
        <v>46164</v>
      </c>
      <c r="C99" s="4">
        <v>58.63</v>
      </c>
      <c r="D99" s="4">
        <v>196.47</v>
      </c>
      <c r="E99" s="12">
        <f t="shared" si="7"/>
        <v>3.3510148388197165</v>
      </c>
      <c r="F99" s="13">
        <f t="shared" si="12"/>
        <v>3.3513461263898208</v>
      </c>
      <c r="G99" s="13">
        <f t="shared" si="13"/>
        <v>3.351043355272568</v>
      </c>
      <c r="H99" s="4">
        <f t="shared" si="8"/>
        <v>196.4894233902352</v>
      </c>
      <c r="I99" s="4">
        <f t="shared" si="9"/>
        <v>196.47167191963067</v>
      </c>
      <c r="J99" s="15">
        <f t="shared" si="10"/>
        <v>9.8856976547147675E-5</v>
      </c>
      <c r="K99" s="15">
        <f t="shared" si="11"/>
        <v>8.5097598454927828E-6</v>
      </c>
    </row>
    <row r="100" spans="2:11" x14ac:dyDescent="0.3">
      <c r="B100" s="1">
        <v>46168</v>
      </c>
      <c r="C100" s="4">
        <v>58.68</v>
      </c>
      <c r="D100" s="4">
        <v>196.65</v>
      </c>
      <c r="E100" s="12">
        <f t="shared" si="7"/>
        <v>3.3512269938650308</v>
      </c>
      <c r="F100" s="13">
        <f t="shared" si="12"/>
        <v>3.3513672885412098</v>
      </c>
      <c r="G100" s="13">
        <f t="shared" si="13"/>
        <v>3.351043355272568</v>
      </c>
      <c r="H100" s="4">
        <f t="shared" si="8"/>
        <v>196.6582324915982</v>
      </c>
      <c r="I100" s="4">
        <f t="shared" si="9"/>
        <v>196.6392240873943</v>
      </c>
      <c r="J100" s="15">
        <f t="shared" si="10"/>
        <v>4.1862798280232214E-5</v>
      </c>
      <c r="K100" s="15">
        <f t="shared" si="11"/>
        <v>-5.4798921243862953E-5</v>
      </c>
    </row>
    <row r="101" spans="2:11" x14ac:dyDescent="0.3">
      <c r="B101" s="1">
        <v>46169</v>
      </c>
      <c r="C101" s="4">
        <v>58.4</v>
      </c>
      <c r="D101" s="4">
        <v>195.7</v>
      </c>
      <c r="E101" s="12">
        <f t="shared" si="7"/>
        <v>3.3510273972602738</v>
      </c>
      <c r="F101" s="13">
        <f t="shared" si="12"/>
        <v>3.3513370684460648</v>
      </c>
      <c r="G101" s="13">
        <f t="shared" si="13"/>
        <v>3.351043355272568</v>
      </c>
      <c r="H101" s="4">
        <f t="shared" si="8"/>
        <v>195.71808479725019</v>
      </c>
      <c r="I101" s="4">
        <f t="shared" si="9"/>
        <v>195.70093194791798</v>
      </c>
      <c r="J101" s="15">
        <f t="shared" si="10"/>
        <v>9.2406549239786135E-5</v>
      </c>
      <c r="K101" s="15">
        <f t="shared" si="11"/>
        <v>4.7621139445591666E-6</v>
      </c>
    </row>
    <row r="102" spans="2:11" x14ac:dyDescent="0.3">
      <c r="B102" s="1">
        <v>46170</v>
      </c>
      <c r="C102" s="4">
        <v>57.75</v>
      </c>
      <c r="D102" s="4">
        <v>193.55</v>
      </c>
      <c r="E102" s="12">
        <f t="shared" si="7"/>
        <v>3.3515151515151516</v>
      </c>
      <c r="F102" s="13">
        <f t="shared" si="12"/>
        <v>3.351455198903178</v>
      </c>
      <c r="G102" s="13">
        <f t="shared" si="13"/>
        <v>3.351043355272568</v>
      </c>
      <c r="H102" s="4">
        <f t="shared" si="8"/>
        <v>193.54653773665854</v>
      </c>
      <c r="I102" s="4">
        <f t="shared" si="9"/>
        <v>193.5227537669908</v>
      </c>
      <c r="J102" s="15">
        <f t="shared" si="10"/>
        <v>-1.7888371525112875E-5</v>
      </c>
      <c r="K102" s="15">
        <f t="shared" si="11"/>
        <v>-1.407809399605371E-4</v>
      </c>
    </row>
    <row r="103" spans="2:11" x14ac:dyDescent="0.3">
      <c r="B103" s="1">
        <v>46171</v>
      </c>
      <c r="C103" s="4">
        <v>57.53</v>
      </c>
      <c r="D103" s="4">
        <v>192.66</v>
      </c>
      <c r="E103" s="12">
        <f t="shared" si="7"/>
        <v>3.3488614635842167</v>
      </c>
      <c r="F103" s="13">
        <f t="shared" si="12"/>
        <v>3.3512740998969583</v>
      </c>
      <c r="G103" s="13">
        <f t="shared" si="13"/>
        <v>3.351043355272568</v>
      </c>
      <c r="H103" s="4">
        <f t="shared" si="8"/>
        <v>192.79879896707203</v>
      </c>
      <c r="I103" s="4">
        <f t="shared" si="9"/>
        <v>192.78552422883084</v>
      </c>
      <c r="J103" s="15">
        <f t="shared" si="10"/>
        <v>7.2017540366445113E-4</v>
      </c>
      <c r="K103" s="15">
        <f t="shared" si="11"/>
        <v>6.5132022751833614E-4</v>
      </c>
    </row>
    <row r="104" spans="2:11" x14ac:dyDescent="0.3">
      <c r="B104" s="1">
        <v>46174</v>
      </c>
      <c r="C104" s="4">
        <v>55.83</v>
      </c>
      <c r="D104" s="4">
        <v>187.11</v>
      </c>
      <c r="E104" s="12">
        <f t="shared" si="7"/>
        <v>3.3514239656098876</v>
      </c>
      <c r="F104" s="13">
        <f t="shared" si="12"/>
        <v>3.351329056298392</v>
      </c>
      <c r="G104" s="13">
        <f t="shared" si="13"/>
        <v>3.351043355272568</v>
      </c>
      <c r="H104" s="4">
        <f t="shared" si="8"/>
        <v>187.10470121313921</v>
      </c>
      <c r="I104" s="4">
        <f t="shared" si="9"/>
        <v>187.08875052486746</v>
      </c>
      <c r="J104" s="15">
        <f t="shared" si="10"/>
        <v>-2.8319501312932343E-5</v>
      </c>
      <c r="K104" s="15">
        <f t="shared" si="11"/>
        <v>-1.1357320207827929E-4</v>
      </c>
    </row>
    <row r="105" spans="2:11" x14ac:dyDescent="0.3">
      <c r="B105" s="1">
        <v>46175</v>
      </c>
      <c r="C105" s="4">
        <v>56.94</v>
      </c>
      <c r="D105" s="4">
        <v>190.78</v>
      </c>
      <c r="E105" s="12">
        <f t="shared" si="7"/>
        <v>3.3505444327362137</v>
      </c>
      <c r="F105" s="13">
        <f t="shared" si="12"/>
        <v>3.3513458351616014</v>
      </c>
      <c r="G105" s="13">
        <f t="shared" si="13"/>
        <v>3.351043355272568</v>
      </c>
      <c r="H105" s="4">
        <f t="shared" si="8"/>
        <v>190.82563185410157</v>
      </c>
      <c r="I105" s="4">
        <f t="shared" si="9"/>
        <v>190.80840864922001</v>
      </c>
      <c r="J105" s="15">
        <f t="shared" si="10"/>
        <v>2.3915713244252492E-4</v>
      </c>
      <c r="K105" s="15">
        <f t="shared" si="11"/>
        <v>1.488968146231818E-4</v>
      </c>
    </row>
    <row r="106" spans="2:11" x14ac:dyDescent="0.3">
      <c r="B106" s="1">
        <v>46176</v>
      </c>
      <c r="C106" s="4">
        <v>56.6</v>
      </c>
      <c r="D106" s="4">
        <v>189.68</v>
      </c>
      <c r="E106" s="12">
        <f t="shared" si="7"/>
        <v>3.351236749116608</v>
      </c>
      <c r="F106" s="13">
        <f t="shared" si="12"/>
        <v>3.3513721671871899</v>
      </c>
      <c r="G106" s="13">
        <f t="shared" si="13"/>
        <v>3.351043355272568</v>
      </c>
      <c r="H106" s="4">
        <f t="shared" si="8"/>
        <v>189.68766466279496</v>
      </c>
      <c r="I106" s="4">
        <f t="shared" si="9"/>
        <v>189.66905390842734</v>
      </c>
      <c r="J106" s="15">
        <f t="shared" si="10"/>
        <v>4.0407570333162385E-5</v>
      </c>
      <c r="K106" s="15">
        <f t="shared" si="11"/>
        <v>-5.770986621908485E-5</v>
      </c>
    </row>
    <row r="107" spans="2:11" x14ac:dyDescent="0.3">
      <c r="B107" s="1">
        <v>46177</v>
      </c>
      <c r="C107" s="4">
        <v>56.94</v>
      </c>
      <c r="D107" s="4">
        <v>190.85</v>
      </c>
      <c r="E107" s="12">
        <f t="shared" si="7"/>
        <v>3.3517737969792765</v>
      </c>
      <c r="F107" s="13">
        <f t="shared" si="12"/>
        <v>3.3513775096000393</v>
      </c>
      <c r="G107" s="13">
        <f t="shared" si="13"/>
        <v>3.351043355272568</v>
      </c>
      <c r="H107" s="4">
        <f t="shared" si="8"/>
        <v>190.82743539662624</v>
      </c>
      <c r="I107" s="4">
        <f t="shared" si="9"/>
        <v>190.80840864922001</v>
      </c>
      <c r="J107" s="15">
        <f t="shared" si="10"/>
        <v>-1.182391271131066E-4</v>
      </c>
      <c r="K107" s="15">
        <f t="shared" si="11"/>
        <v>-2.1795065955353279E-4</v>
      </c>
    </row>
    <row r="108" spans="2:11" x14ac:dyDescent="0.3">
      <c r="B108" s="1">
        <v>46178</v>
      </c>
      <c r="C108" s="4">
        <v>57.39</v>
      </c>
      <c r="D108" s="4">
        <v>192.36</v>
      </c>
      <c r="E108" s="12">
        <f t="shared" si="7"/>
        <v>3.3518034500784113</v>
      </c>
      <c r="F108" s="13">
        <f t="shared" si="12"/>
        <v>3.3513519016579907</v>
      </c>
      <c r="G108" s="13">
        <f t="shared" si="13"/>
        <v>3.351043355272568</v>
      </c>
      <c r="H108" s="4">
        <f t="shared" si="8"/>
        <v>192.33408563615208</v>
      </c>
      <c r="I108" s="4">
        <f t="shared" si="9"/>
        <v>192.31637815909269</v>
      </c>
      <c r="J108" s="15">
        <f t="shared" si="10"/>
        <v>-1.3472712399142443E-4</v>
      </c>
      <c r="K108" s="15">
        <f t="shared" si="11"/>
        <v>-2.2679760739697735E-4</v>
      </c>
    </row>
    <row r="109" spans="2:11" x14ac:dyDescent="0.3">
      <c r="B109" s="1">
        <v>46181</v>
      </c>
      <c r="C109" s="4">
        <v>56.32</v>
      </c>
      <c r="D109" s="4">
        <v>188.75</v>
      </c>
      <c r="E109" s="12">
        <f t="shared" si="7"/>
        <v>3.3513849431818183</v>
      </c>
      <c r="F109" s="13">
        <f t="shared" si="12"/>
        <v>3.3513325576329849</v>
      </c>
      <c r="G109" s="13">
        <f t="shared" si="13"/>
        <v>3.351043355272568</v>
      </c>
      <c r="H109" s="4">
        <f t="shared" si="8"/>
        <v>188.74704964588972</v>
      </c>
      <c r="I109" s="4">
        <f t="shared" si="9"/>
        <v>188.73076176895103</v>
      </c>
      <c r="J109" s="15">
        <f t="shared" si="10"/>
        <v>-1.5631137319373486E-5</v>
      </c>
      <c r="K109" s="15">
        <f t="shared" si="11"/>
        <v>-1.0192959755339101E-4</v>
      </c>
    </row>
    <row r="110" spans="2:11" x14ac:dyDescent="0.3">
      <c r="B110" s="1">
        <v>46182</v>
      </c>
      <c r="C110" s="4">
        <v>56.86</v>
      </c>
      <c r="D110" s="4">
        <v>190.6</v>
      </c>
      <c r="E110" s="12">
        <f t="shared" si="7"/>
        <v>3.3520928596552935</v>
      </c>
      <c r="F110" s="13">
        <f t="shared" si="12"/>
        <v>3.3513969471042726</v>
      </c>
      <c r="G110" s="13">
        <f t="shared" si="13"/>
        <v>3.351043355272568</v>
      </c>
      <c r="H110" s="4">
        <f t="shared" si="8"/>
        <v>190.56043041234895</v>
      </c>
      <c r="I110" s="4">
        <f t="shared" si="9"/>
        <v>190.54032518079822</v>
      </c>
      <c r="J110" s="15">
        <f t="shared" si="10"/>
        <v>-2.0762694464580923E-4</v>
      </c>
      <c r="K110" s="15">
        <f t="shared" si="11"/>
        <v>-3.1313831545417322E-4</v>
      </c>
    </row>
    <row r="111" spans="2:11" x14ac:dyDescent="0.3">
      <c r="B111" s="1">
        <v>46183</v>
      </c>
      <c r="C111" s="4">
        <v>56.89</v>
      </c>
      <c r="D111" s="4">
        <v>190.57</v>
      </c>
      <c r="E111" s="12">
        <f t="shared" si="7"/>
        <v>3.3497978555106345</v>
      </c>
      <c r="F111" s="13">
        <f t="shared" si="12"/>
        <v>3.3512704812213512</v>
      </c>
      <c r="G111" s="13">
        <f t="shared" si="13"/>
        <v>3.351043355272568</v>
      </c>
      <c r="H111" s="4">
        <f t="shared" si="8"/>
        <v>190.65377767668267</v>
      </c>
      <c r="I111" s="4">
        <f t="shared" si="9"/>
        <v>190.64085648145641</v>
      </c>
      <c r="J111" s="15">
        <f t="shared" si="10"/>
        <v>4.3951968862973795E-4</v>
      </c>
      <c r="K111" s="15">
        <f t="shared" si="11"/>
        <v>3.7174430406533917E-4</v>
      </c>
    </row>
    <row r="112" spans="2:11" x14ac:dyDescent="0.3">
      <c r="B112" s="1">
        <v>46184</v>
      </c>
      <c r="C112" s="4">
        <v>56.89</v>
      </c>
      <c r="D112" s="4">
        <v>190.7</v>
      </c>
      <c r="E112" s="12">
        <f t="shared" si="7"/>
        <v>3.3520829671295482</v>
      </c>
      <c r="F112" s="13">
        <f t="shared" si="12"/>
        <v>3.3512958280537561</v>
      </c>
      <c r="G112" s="13">
        <f t="shared" si="13"/>
        <v>3.351043355272568</v>
      </c>
      <c r="H112" s="4">
        <f t="shared" si="8"/>
        <v>190.65521965797819</v>
      </c>
      <c r="I112" s="4">
        <f t="shared" si="9"/>
        <v>190.64085648145641</v>
      </c>
      <c r="J112" s="15">
        <f t="shared" si="10"/>
        <v>-2.3484845581910825E-4</v>
      </c>
      <c r="K112" s="15">
        <f t="shared" si="11"/>
        <v>-3.1018716202345359E-4</v>
      </c>
    </row>
    <row r="113" spans="1:11" x14ac:dyDescent="0.3">
      <c r="B113" s="1">
        <v>46185</v>
      </c>
      <c r="C113" s="4">
        <v>57.54</v>
      </c>
      <c r="D113" s="4">
        <v>192.89</v>
      </c>
      <c r="E113" s="12">
        <f t="shared" si="7"/>
        <v>3.3522766770941952</v>
      </c>
      <c r="F113" s="13">
        <f t="shared" si="12"/>
        <v>3.3513299892125139</v>
      </c>
      <c r="G113" s="13">
        <f t="shared" si="13"/>
        <v>3.351043355272568</v>
      </c>
      <c r="H113" s="4">
        <f t="shared" si="8"/>
        <v>192.83552757928805</v>
      </c>
      <c r="I113" s="4">
        <f t="shared" si="9"/>
        <v>192.81903466238356</v>
      </c>
      <c r="J113" s="15">
        <f t="shared" si="10"/>
        <v>-2.82441358838297E-4</v>
      </c>
      <c r="K113" s="15">
        <f t="shared" si="11"/>
        <v>-3.6797343095321475E-4</v>
      </c>
    </row>
    <row r="114" spans="1:11" x14ac:dyDescent="0.3">
      <c r="B114" s="1">
        <v>46188</v>
      </c>
      <c r="C114" s="4">
        <v>57.88</v>
      </c>
      <c r="D114" s="4">
        <v>194</v>
      </c>
      <c r="E114" s="12">
        <f t="shared" si="7"/>
        <v>3.3517622667588114</v>
      </c>
      <c r="F114" s="13">
        <f t="shared" si="12"/>
        <v>3.3511636485021215</v>
      </c>
      <c r="G114" s="13">
        <f t="shared" si="13"/>
        <v>3.351043355272568</v>
      </c>
      <c r="H114" s="4">
        <f t="shared" si="8"/>
        <v>193.96535197530281</v>
      </c>
      <c r="I114" s="4">
        <f t="shared" si="9"/>
        <v>193.95838940317626</v>
      </c>
      <c r="J114" s="15">
        <f t="shared" si="10"/>
        <v>-1.7861401598307365E-4</v>
      </c>
      <c r="K114" s="15">
        <f t="shared" si="11"/>
        <v>-2.1451061825119008E-4</v>
      </c>
    </row>
    <row r="115" spans="1:11" x14ac:dyDescent="0.3">
      <c r="B115" s="1">
        <v>46189</v>
      </c>
      <c r="C115" s="4">
        <v>58.25</v>
      </c>
      <c r="D115" s="4">
        <v>195.09</v>
      </c>
      <c r="E115" s="12">
        <f t="shared" si="7"/>
        <v>3.3491845493562233</v>
      </c>
      <c r="F115" s="13">
        <f t="shared" si="12"/>
        <v>3.3511171551461336</v>
      </c>
      <c r="G115" s="13">
        <f t="shared" si="13"/>
        <v>3.351043355272568</v>
      </c>
      <c r="H115" s="4">
        <f t="shared" si="8"/>
        <v>195.20257428726228</v>
      </c>
      <c r="I115" s="4">
        <f t="shared" si="9"/>
        <v>195.19827544462709</v>
      </c>
      <c r="J115" s="15">
        <f t="shared" si="10"/>
        <v>5.7687128990214522E-4</v>
      </c>
      <c r="K115" s="15">
        <f t="shared" si="11"/>
        <v>5.5484857843343671E-4</v>
      </c>
    </row>
    <row r="116" spans="1:11" x14ac:dyDescent="0.3">
      <c r="B116" s="1">
        <v>46190</v>
      </c>
      <c r="C116" s="4">
        <v>57.49</v>
      </c>
      <c r="D116" s="4">
        <v>192.6</v>
      </c>
      <c r="E116" s="12">
        <f t="shared" si="7"/>
        <v>3.3501478518003127</v>
      </c>
      <c r="F116" s="13">
        <f t="shared" si="12"/>
        <v>3.3510621676977621</v>
      </c>
      <c r="G116" s="13">
        <f t="shared" si="13"/>
        <v>3.351043355272568</v>
      </c>
      <c r="H116" s="4">
        <f t="shared" si="8"/>
        <v>192.65256402094434</v>
      </c>
      <c r="I116" s="4">
        <f t="shared" si="9"/>
        <v>192.65148249461996</v>
      </c>
      <c r="J116" s="15">
        <f t="shared" si="10"/>
        <v>2.7288083807612041E-4</v>
      </c>
      <c r="K116" s="15">
        <f t="shared" si="11"/>
        <v>2.6726695296822695E-4</v>
      </c>
    </row>
    <row r="117" spans="1:11" x14ac:dyDescent="0.3">
      <c r="A117" s="8" t="s">
        <v>15</v>
      </c>
      <c r="B117" s="1">
        <v>46191</v>
      </c>
      <c r="C117" s="10">
        <f>57.5+0.401</f>
        <v>57.901000000000003</v>
      </c>
      <c r="D117" s="4">
        <v>193.95</v>
      </c>
      <c r="E117" s="12">
        <f t="shared" si="7"/>
        <v>3.3496830797395551</v>
      </c>
      <c r="F117" s="13">
        <f t="shared" si="12"/>
        <v>3.351022876043892</v>
      </c>
      <c r="G117" s="13">
        <f t="shared" si="13"/>
        <v>3.351043355272568</v>
      </c>
      <c r="H117" s="4">
        <f t="shared" si="8"/>
        <v>194.0275755458174</v>
      </c>
      <c r="I117" s="4">
        <f t="shared" si="9"/>
        <v>194.02876131363698</v>
      </c>
      <c r="J117" s="15">
        <f t="shared" si="10"/>
        <v>3.9989706488624511E-4</v>
      </c>
      <c r="K117" s="15">
        <f t="shared" si="11"/>
        <v>4.060083827899734E-4</v>
      </c>
    </row>
    <row r="118" spans="1:11" x14ac:dyDescent="0.3">
      <c r="B118" s="1">
        <v>46195</v>
      </c>
      <c r="C118" s="10">
        <f>57.75+0.401</f>
        <v>58.151000000000003</v>
      </c>
      <c r="D118" s="4">
        <v>194.82</v>
      </c>
      <c r="E118" s="12">
        <f t="shared" si="7"/>
        <v>3.3502433320149265</v>
      </c>
      <c r="F118" s="13">
        <f t="shared" si="12"/>
        <v>3.3509542310903058</v>
      </c>
      <c r="G118" s="13">
        <f t="shared" si="13"/>
        <v>3.351043355272568</v>
      </c>
      <c r="H118" s="4">
        <f t="shared" si="8"/>
        <v>194.86133949213237</v>
      </c>
      <c r="I118" s="4">
        <f t="shared" si="9"/>
        <v>194.8665221524551</v>
      </c>
      <c r="J118" s="15">
        <f t="shared" si="10"/>
        <v>2.1217075645109466E-4</v>
      </c>
      <c r="K118" s="15">
        <f t="shared" si="11"/>
        <v>2.3876706034983049E-4</v>
      </c>
    </row>
    <row r="119" spans="1:11" x14ac:dyDescent="0.3">
      <c r="B119" s="1">
        <v>46196</v>
      </c>
      <c r="C119" s="10">
        <f>58.2+0.401</f>
        <v>58.601000000000006</v>
      </c>
      <c r="D119" s="4">
        <v>196.29</v>
      </c>
      <c r="E119" s="12">
        <f t="shared" si="7"/>
        <v>3.3496015426357908</v>
      </c>
      <c r="F119" s="13">
        <f t="shared" si="12"/>
        <v>3.3508835662811096</v>
      </c>
      <c r="G119" s="13">
        <f t="shared" si="13"/>
        <v>3.351043355272568</v>
      </c>
      <c r="H119" s="4">
        <f t="shared" si="8"/>
        <v>196.36512786763933</v>
      </c>
      <c r="I119" s="4">
        <f t="shared" si="9"/>
        <v>196.37449166232778</v>
      </c>
      <c r="J119" s="15">
        <f t="shared" si="10"/>
        <v>3.826659234738888E-4</v>
      </c>
      <c r="K119" s="15">
        <f t="shared" si="11"/>
        <v>4.3035041581730455E-4</v>
      </c>
    </row>
    <row r="120" spans="1:11" x14ac:dyDescent="0.3">
      <c r="A120" s="8" t="s">
        <v>16</v>
      </c>
      <c r="B120" s="1">
        <v>46197</v>
      </c>
      <c r="C120" s="4">
        <v>58.73</v>
      </c>
      <c r="D120" s="4">
        <v>196.86</v>
      </c>
      <c r="E120" s="12">
        <f t="shared" si="7"/>
        <v>3.3519495998637838</v>
      </c>
      <c r="F120" s="13">
        <f t="shared" si="12"/>
        <v>3.3509196965810468</v>
      </c>
      <c r="G120" s="13">
        <f t="shared" si="13"/>
        <v>3.351043355272568</v>
      </c>
      <c r="H120" s="4">
        <f t="shared" si="8"/>
        <v>196.79951378020488</v>
      </c>
      <c r="I120" s="4">
        <f t="shared" si="9"/>
        <v>196.8067762551579</v>
      </c>
      <c r="J120" s="15">
        <f t="shared" si="10"/>
        <v>-3.07302215004543E-4</v>
      </c>
      <c r="K120" s="15">
        <f t="shared" si="11"/>
        <v>-2.7039998484361573E-4</v>
      </c>
    </row>
    <row r="121" spans="1:11" x14ac:dyDescent="0.3">
      <c r="B121" s="1">
        <v>46198</v>
      </c>
      <c r="C121" s="4">
        <v>59.1</v>
      </c>
      <c r="D121" s="4">
        <v>198.16</v>
      </c>
      <c r="E121" s="12">
        <f t="shared" si="7"/>
        <v>3.3529610829103214</v>
      </c>
      <c r="F121" s="13">
        <f t="shared" si="12"/>
        <v>3.3510163808635496</v>
      </c>
      <c r="G121" s="13">
        <f t="shared" si="13"/>
        <v>3.351043355272568</v>
      </c>
      <c r="H121" s="4">
        <f t="shared" si="8"/>
        <v>198.04506810903578</v>
      </c>
      <c r="I121" s="4">
        <f t="shared" si="9"/>
        <v>198.04666229660879</v>
      </c>
      <c r="J121" s="15">
        <f t="shared" si="10"/>
        <v>-5.8016367502052902E-4</v>
      </c>
      <c r="K121" s="15">
        <f t="shared" si="11"/>
        <v>-5.7211408725774072E-4</v>
      </c>
    </row>
    <row r="122" spans="1:11" x14ac:dyDescent="0.3">
      <c r="B122" s="1">
        <v>46199</v>
      </c>
      <c r="C122" s="4">
        <v>59.51</v>
      </c>
      <c r="D122" s="4">
        <v>199.66</v>
      </c>
      <c r="E122" s="12">
        <f t="shared" si="7"/>
        <v>3.3550663753990926</v>
      </c>
      <c r="F122" s="13">
        <f t="shared" si="12"/>
        <v>3.3511939420577463</v>
      </c>
      <c r="G122" s="13">
        <f t="shared" si="13"/>
        <v>3.351043355272568</v>
      </c>
      <c r="H122" s="4">
        <f t="shared" si="8"/>
        <v>199.42955149185647</v>
      </c>
      <c r="I122" s="4">
        <f t="shared" si="9"/>
        <v>199.42059007227053</v>
      </c>
      <c r="J122" s="15">
        <f t="shared" si="10"/>
        <v>-1.1548712959036087E-3</v>
      </c>
      <c r="K122" s="15">
        <f t="shared" si="11"/>
        <v>-1.199807569724673E-3</v>
      </c>
    </row>
    <row r="123" spans="1:11" x14ac:dyDescent="0.3">
      <c r="B123" s="1">
        <v>46202</v>
      </c>
      <c r="C123" s="4">
        <v>59.27</v>
      </c>
      <c r="D123" s="4">
        <v>198.78</v>
      </c>
      <c r="E123" s="12">
        <f t="shared" si="7"/>
        <v>3.3538046229120972</v>
      </c>
      <c r="F123" s="13">
        <f t="shared" si="12"/>
        <v>3.3514411000241395</v>
      </c>
      <c r="G123" s="13">
        <f t="shared" si="13"/>
        <v>3.351043355272568</v>
      </c>
      <c r="H123" s="4">
        <f t="shared" si="8"/>
        <v>198.63991399843076</v>
      </c>
      <c r="I123" s="4">
        <f t="shared" si="9"/>
        <v>198.61633966700512</v>
      </c>
      <c r="J123" s="15">
        <f t="shared" si="10"/>
        <v>-7.0497729196133886E-4</v>
      </c>
      <c r="K123" s="15">
        <f t="shared" si="11"/>
        <v>-8.2366305831888377E-4</v>
      </c>
    </row>
    <row r="124" spans="1:11" x14ac:dyDescent="0.3">
      <c r="B124" s="1">
        <v>46203</v>
      </c>
      <c r="C124" s="4">
        <v>58.42</v>
      </c>
      <c r="D124" s="4">
        <v>195.73</v>
      </c>
      <c r="E124" s="12">
        <f t="shared" si="7"/>
        <v>3.3503937007874014</v>
      </c>
      <c r="F124" s="13">
        <f t="shared" si="12"/>
        <v>3.3513895867830166</v>
      </c>
      <c r="G124" s="13">
        <f t="shared" si="13"/>
        <v>3.351043355272568</v>
      </c>
      <c r="H124" s="4">
        <f t="shared" si="8"/>
        <v>195.78817965986383</v>
      </c>
      <c r="I124" s="4">
        <f t="shared" si="9"/>
        <v>195.76795281502342</v>
      </c>
      <c r="J124" s="15">
        <f t="shared" si="10"/>
        <v>2.9720030034181507E-4</v>
      </c>
      <c r="K124" s="15">
        <f t="shared" si="11"/>
        <v>1.9388512695626804E-4</v>
      </c>
    </row>
    <row r="125" spans="1:11" x14ac:dyDescent="0.3">
      <c r="B125" s="1">
        <v>46204</v>
      </c>
      <c r="C125" s="4">
        <v>57.73</v>
      </c>
      <c r="D125" s="4">
        <v>193.38</v>
      </c>
      <c r="E125" s="12">
        <f t="shared" si="7"/>
        <v>3.3497315087476185</v>
      </c>
      <c r="F125" s="13">
        <f t="shared" si="12"/>
        <v>3.3513489405835855</v>
      </c>
      <c r="G125" s="13">
        <f t="shared" si="13"/>
        <v>3.351043355272568</v>
      </c>
      <c r="H125" s="4">
        <f t="shared" si="8"/>
        <v>193.47337433989037</v>
      </c>
      <c r="I125" s="4">
        <f t="shared" si="9"/>
        <v>193.45573289988533</v>
      </c>
      <c r="J125" s="15">
        <f t="shared" si="10"/>
        <v>4.8273763599961659E-4</v>
      </c>
      <c r="K125" s="15">
        <f t="shared" si="11"/>
        <v>3.9155069923444834E-4</v>
      </c>
    </row>
    <row r="126" spans="1:11" x14ac:dyDescent="0.3">
      <c r="B126" s="1">
        <v>46205</v>
      </c>
      <c r="C126" s="4">
        <v>58.98</v>
      </c>
      <c r="D126" s="4">
        <v>197.54</v>
      </c>
      <c r="E126" s="12">
        <f t="shared" si="7"/>
        <v>3.3492709393014581</v>
      </c>
      <c r="F126" s="13">
        <f t="shared" si="12"/>
        <v>3.3512506500928283</v>
      </c>
      <c r="G126" s="13">
        <f t="shared" si="13"/>
        <v>3.351043355272568</v>
      </c>
      <c r="H126" s="4">
        <f t="shared" si="8"/>
        <v>197.65676334247499</v>
      </c>
      <c r="I126" s="4">
        <f t="shared" si="9"/>
        <v>197.64453709397606</v>
      </c>
      <c r="J126" s="15">
        <f t="shared" si="10"/>
        <v>5.9091246034010704E-4</v>
      </c>
      <c r="K126" s="15">
        <f t="shared" si="11"/>
        <v>5.2905458894267181E-4</v>
      </c>
    </row>
    <row r="127" spans="1:11" x14ac:dyDescent="0.3">
      <c r="B127" s="1">
        <v>46209</v>
      </c>
      <c r="C127" s="4">
        <v>58.35</v>
      </c>
      <c r="D127" s="4">
        <v>195.62</v>
      </c>
      <c r="E127" s="12">
        <f t="shared" si="7"/>
        <v>3.3525278491859467</v>
      </c>
      <c r="F127" s="13">
        <f t="shared" si="12"/>
        <v>3.3512883527031621</v>
      </c>
      <c r="G127" s="13">
        <f t="shared" si="13"/>
        <v>3.351043355272568</v>
      </c>
      <c r="H127" s="4">
        <f t="shared" si="8"/>
        <v>195.54767538022952</v>
      </c>
      <c r="I127" s="4">
        <f t="shared" si="9"/>
        <v>195.53337978015435</v>
      </c>
      <c r="J127" s="15">
        <f t="shared" si="10"/>
        <v>-3.6978832938760651E-4</v>
      </c>
      <c r="K127" s="15">
        <f t="shared" si="11"/>
        <v>-4.4289644798807277E-4</v>
      </c>
    </row>
    <row r="128" spans="1:11" x14ac:dyDescent="0.3">
      <c r="B128" s="1">
        <v>46210</v>
      </c>
      <c r="C128" s="4">
        <v>58.87</v>
      </c>
      <c r="D128" s="4">
        <v>197.25</v>
      </c>
      <c r="E128" s="12">
        <f t="shared" si="7"/>
        <v>3.3506030236113471</v>
      </c>
      <c r="F128" s="13">
        <f t="shared" si="12"/>
        <v>3.3512283313798088</v>
      </c>
      <c r="G128" s="13">
        <f t="shared" si="13"/>
        <v>3.351043355272568</v>
      </c>
      <c r="H128" s="4">
        <f t="shared" si="8"/>
        <v>197.28681186832932</v>
      </c>
      <c r="I128" s="4">
        <f t="shared" si="9"/>
        <v>197.27592232489607</v>
      </c>
      <c r="J128" s="15">
        <f t="shared" si="10"/>
        <v>1.8660802910551693E-4</v>
      </c>
      <c r="K128" s="15">
        <f t="shared" si="11"/>
        <v>1.3140999598005781E-4</v>
      </c>
    </row>
    <row r="129" spans="2:11" x14ac:dyDescent="0.3">
      <c r="B129" s="1">
        <v>46211</v>
      </c>
      <c r="C129" s="4">
        <v>58.43</v>
      </c>
      <c r="D129" s="4">
        <v>195.85</v>
      </c>
      <c r="E129" s="12">
        <f t="shared" si="7"/>
        <v>3.3518740373096012</v>
      </c>
      <c r="F129" s="13">
        <f t="shared" si="12"/>
        <v>3.351252786086198</v>
      </c>
      <c r="G129" s="13">
        <f t="shared" si="13"/>
        <v>3.351043355272568</v>
      </c>
      <c r="H129" s="4">
        <f t="shared" si="8"/>
        <v>195.81370029101654</v>
      </c>
      <c r="I129" s="4">
        <f t="shared" si="9"/>
        <v>195.80146324857614</v>
      </c>
      <c r="J129" s="15">
        <f t="shared" si="10"/>
        <v>-1.8536162049437224E-4</v>
      </c>
      <c r="K129" s="15">
        <f t="shared" si="11"/>
        <v>-2.4785686370090433E-4</v>
      </c>
    </row>
    <row r="130" spans="2:11" x14ac:dyDescent="0.3">
      <c r="B130" s="1">
        <v>46212</v>
      </c>
      <c r="C130" s="4">
        <v>58.18</v>
      </c>
      <c r="D130" s="4">
        <v>194.97</v>
      </c>
      <c r="E130" s="12">
        <f t="shared" si="7"/>
        <v>3.3511515984874527</v>
      </c>
      <c r="F130" s="13">
        <f t="shared" si="12"/>
        <v>3.3512057230278054</v>
      </c>
      <c r="G130" s="13">
        <f t="shared" si="13"/>
        <v>3.351043355272568</v>
      </c>
      <c r="H130" s="4">
        <f t="shared" si="8"/>
        <v>194.97314896575773</v>
      </c>
      <c r="I130" s="4">
        <f t="shared" si="9"/>
        <v>194.96370240975801</v>
      </c>
      <c r="J130" s="15">
        <f t="shared" si="10"/>
        <v>1.6150896694391207E-5</v>
      </c>
      <c r="K130" s="15">
        <f t="shared" si="11"/>
        <v>-3.2300825517865504E-5</v>
      </c>
    </row>
    <row r="131" spans="2:11" x14ac:dyDescent="0.3">
      <c r="B131" s="1">
        <v>46213</v>
      </c>
      <c r="C131" s="4">
        <v>58.53</v>
      </c>
      <c r="D131" s="4">
        <v>196.17</v>
      </c>
      <c r="E131" s="12">
        <f t="shared" ref="E131:E163" si="14">D131/C131</f>
        <v>3.3516145566376214</v>
      </c>
      <c r="F131" s="13">
        <f t="shared" si="12"/>
        <v>3.3512965580841554</v>
      </c>
      <c r="G131" s="13">
        <f t="shared" si="13"/>
        <v>3.351043355272568</v>
      </c>
      <c r="H131" s="4">
        <f t="shared" si="8"/>
        <v>196.15138754466562</v>
      </c>
      <c r="I131" s="4">
        <f t="shared" si="9"/>
        <v>196.1365675841034</v>
      </c>
      <c r="J131" s="15">
        <f t="shared" si="10"/>
        <v>-9.4883714929819805E-5</v>
      </c>
      <c r="K131" s="15">
        <f t="shared" si="11"/>
        <v>-1.7044025637088307E-4</v>
      </c>
    </row>
    <row r="132" spans="2:11" x14ac:dyDescent="0.3">
      <c r="B132" s="1">
        <v>46216</v>
      </c>
      <c r="C132" s="4">
        <v>58.92</v>
      </c>
      <c r="D132" s="4">
        <v>197.48</v>
      </c>
      <c r="E132" s="12">
        <f t="shared" si="14"/>
        <v>3.3516632722335369</v>
      </c>
      <c r="F132" s="13">
        <f t="shared" si="12"/>
        <v>3.3512755733393549</v>
      </c>
      <c r="G132" s="13">
        <f t="shared" si="13"/>
        <v>3.351043355272568</v>
      </c>
      <c r="H132" s="4">
        <f t="shared" si="8"/>
        <v>197.45715678115479</v>
      </c>
      <c r="I132" s="4">
        <f t="shared" si="9"/>
        <v>197.4434744926597</v>
      </c>
      <c r="J132" s="15">
        <f t="shared" si="10"/>
        <v>-1.1568027205568046E-4</v>
      </c>
      <c r="K132" s="15">
        <f t="shared" si="11"/>
        <v>-1.8497511443878702E-4</v>
      </c>
    </row>
    <row r="133" spans="2:11" x14ac:dyDescent="0.3">
      <c r="B133" s="1">
        <v>46217</v>
      </c>
      <c r="C133" s="4">
        <v>58.92</v>
      </c>
      <c r="D133" s="4">
        <v>197.39</v>
      </c>
      <c r="E133" s="12">
        <f t="shared" si="14"/>
        <v>3.3501357773251863</v>
      </c>
      <c r="F133" s="13">
        <f t="shared" si="12"/>
        <v>3.3511685283509047</v>
      </c>
      <c r="G133" s="13">
        <f t="shared" si="13"/>
        <v>3.351043355272568</v>
      </c>
      <c r="H133" s="4">
        <f t="shared" si="8"/>
        <v>197.45084969043532</v>
      </c>
      <c r="I133" s="4">
        <f t="shared" si="9"/>
        <v>197.4434744926597</v>
      </c>
      <c r="J133" s="15">
        <f t="shared" si="10"/>
        <v>3.0822388800343152E-4</v>
      </c>
      <c r="K133" s="15">
        <f t="shared" si="11"/>
        <v>2.7087112132711275E-4</v>
      </c>
    </row>
    <row r="134" spans="2:11" x14ac:dyDescent="0.3">
      <c r="B134" s="1">
        <v>46218</v>
      </c>
      <c r="C134" s="4">
        <v>58.38</v>
      </c>
      <c r="D134" s="4">
        <v>195.62</v>
      </c>
      <c r="E134" s="12">
        <f t="shared" si="14"/>
        <v>3.3508050702295304</v>
      </c>
      <c r="F134" s="13">
        <f t="shared" si="12"/>
        <v>3.3511206685244401</v>
      </c>
      <c r="G134" s="13">
        <f t="shared" si="13"/>
        <v>3.351043355272568</v>
      </c>
      <c r="H134" s="4">
        <f t="shared" si="8"/>
        <v>195.63842462845682</v>
      </c>
      <c r="I134" s="4">
        <f t="shared" si="9"/>
        <v>195.63391108081254</v>
      </c>
      <c r="J134" s="15">
        <f t="shared" si="10"/>
        <v>9.4181376352005589E-5</v>
      </c>
      <c r="K134" s="15">
        <f t="shared" si="11"/>
        <v>7.1110245415679439E-5</v>
      </c>
    </row>
    <row r="135" spans="2:11" x14ac:dyDescent="0.3">
      <c r="B135" s="1">
        <v>46219</v>
      </c>
      <c r="C135" s="4">
        <v>58.66</v>
      </c>
      <c r="D135" s="4">
        <v>196.49</v>
      </c>
      <c r="E135" s="12">
        <f t="shared" si="14"/>
        <v>3.34964200477327</v>
      </c>
      <c r="F135" s="13">
        <f t="shared" si="12"/>
        <v>3.3511435412952926</v>
      </c>
      <c r="G135" s="13">
        <f t="shared" si="13"/>
        <v>3.351043355272568</v>
      </c>
      <c r="H135" s="4">
        <f t="shared" si="8"/>
        <v>196.57808013238184</v>
      </c>
      <c r="I135" s="4">
        <f t="shared" si="9"/>
        <v>196.57220322028883</v>
      </c>
      <c r="J135" s="15">
        <f t="shared" si="10"/>
        <v>4.4816731913948927E-4</v>
      </c>
      <c r="K135" s="15">
        <f t="shared" si="11"/>
        <v>4.1827080199420509E-4</v>
      </c>
    </row>
    <row r="136" spans="2:11" x14ac:dyDescent="0.3">
      <c r="B136" s="1">
        <v>46220</v>
      </c>
      <c r="C136" s="4">
        <v>58.28</v>
      </c>
      <c r="D136" s="4">
        <v>195.22</v>
      </c>
      <c r="E136" s="12">
        <f t="shared" si="14"/>
        <v>3.349691146190803</v>
      </c>
      <c r="F136" s="13">
        <f t="shared" si="12"/>
        <v>3.3511207060148172</v>
      </c>
      <c r="G136" s="13">
        <f t="shared" si="13"/>
        <v>3.351043355272568</v>
      </c>
      <c r="H136" s="4">
        <f t="shared" si="8"/>
        <v>195.30331474654355</v>
      </c>
      <c r="I136" s="4">
        <f t="shared" si="9"/>
        <v>195.29880674528528</v>
      </c>
      <c r="J136" s="15">
        <f t="shared" si="10"/>
        <v>4.266825803300973E-4</v>
      </c>
      <c r="K136" s="15">
        <f t="shared" si="11"/>
        <v>4.0360026197885766E-4</v>
      </c>
    </row>
    <row r="137" spans="2:11" x14ac:dyDescent="0.3">
      <c r="B137" s="1">
        <v>46223</v>
      </c>
      <c r="C137" s="4">
        <v>57.94</v>
      </c>
      <c r="D137" s="4">
        <v>194.21</v>
      </c>
      <c r="E137" s="12">
        <f t="shared" si="14"/>
        <v>3.3519157749395929</v>
      </c>
      <c r="F137" s="13">
        <f t="shared" si="12"/>
        <v>3.351232340774819</v>
      </c>
      <c r="G137" s="13">
        <f t="shared" si="13"/>
        <v>3.351043355272568</v>
      </c>
      <c r="H137" s="4">
        <f t="shared" si="8"/>
        <v>194.17040182449301</v>
      </c>
      <c r="I137" s="4">
        <f t="shared" si="9"/>
        <v>194.15945200449258</v>
      </c>
      <c r="J137" s="15">
        <f t="shared" si="10"/>
        <v>-2.0391438629847777E-4</v>
      </c>
      <c r="K137" s="15">
        <f t="shared" si="11"/>
        <v>-2.6030881436205972E-4</v>
      </c>
    </row>
    <row r="138" spans="2:11" x14ac:dyDescent="0.3">
      <c r="B138" s="1">
        <v>46224</v>
      </c>
      <c r="C138" s="4">
        <v>57.95</v>
      </c>
      <c r="D138" s="4">
        <v>194.22</v>
      </c>
      <c r="E138" s="12">
        <f t="shared" si="14"/>
        <v>3.3515099223468505</v>
      </c>
      <c r="F138" s="13">
        <f t="shared" si="12"/>
        <v>3.3512956702914152</v>
      </c>
      <c r="G138" s="13">
        <f t="shared" si="13"/>
        <v>3.351043355272568</v>
      </c>
      <c r="H138" s="4">
        <f t="shared" si="8"/>
        <v>194.20758409338751</v>
      </c>
      <c r="I138" s="4">
        <f t="shared" si="9"/>
        <v>194.19296243804533</v>
      </c>
      <c r="J138" s="15">
        <f t="shared" si="10"/>
        <v>-6.3929067476953296E-5</v>
      </c>
      <c r="K138" s="15">
        <f t="shared" si="11"/>
        <v>-1.3922069865345108E-4</v>
      </c>
    </row>
    <row r="139" spans="2:11" x14ac:dyDescent="0.3">
      <c r="B139" s="1">
        <v>46225</v>
      </c>
      <c r="C139" s="4">
        <v>59.23</v>
      </c>
      <c r="D139" s="4">
        <v>198.41</v>
      </c>
      <c r="E139" s="12">
        <f t="shared" si="14"/>
        <v>3.3498227249704544</v>
      </c>
      <c r="F139" s="13">
        <f t="shared" si="12"/>
        <v>3.3513067294081482</v>
      </c>
      <c r="G139" s="13">
        <f t="shared" si="13"/>
        <v>3.351043355272568</v>
      </c>
      <c r="H139" s="4">
        <f t="shared" si="8"/>
        <v>198.49789758284462</v>
      </c>
      <c r="I139" s="4">
        <f t="shared" si="9"/>
        <v>198.48229793279418</v>
      </c>
      <c r="J139" s="15">
        <f t="shared" si="10"/>
        <v>4.4291174258228797E-4</v>
      </c>
      <c r="K139" s="15">
        <f t="shared" si="11"/>
        <v>3.6432016428849097E-4</v>
      </c>
    </row>
    <row r="140" spans="2:11" x14ac:dyDescent="0.3">
      <c r="B140" s="1">
        <v>46226</v>
      </c>
      <c r="C140" s="4">
        <v>59.5</v>
      </c>
      <c r="D140" s="4">
        <v>199.43</v>
      </c>
      <c r="E140" s="12">
        <f t="shared" si="14"/>
        <v>3.3517647058823532</v>
      </c>
      <c r="F140" s="13">
        <f t="shared" si="12"/>
        <v>3.3512974847090766</v>
      </c>
      <c r="G140" s="13">
        <f t="shared" si="13"/>
        <v>3.351043355272568</v>
      </c>
      <c r="H140" s="4">
        <f t="shared" ref="H140:H163" si="15">C140*F140</f>
        <v>199.40220034019006</v>
      </c>
      <c r="I140" s="4">
        <f t="shared" ref="I140:I163" si="16">C140*G140</f>
        <v>199.38707963871781</v>
      </c>
      <c r="J140" s="15">
        <f t="shared" ref="J140:J163" si="17">LN(H140/D140)</f>
        <v>-1.3940529290893379E-4</v>
      </c>
      <c r="K140" s="15">
        <f t="shared" ref="K140:K163" si="18">LN(I140/D140)</f>
        <v>-2.1523833175241832E-4</v>
      </c>
    </row>
    <row r="141" spans="2:11" x14ac:dyDescent="0.3">
      <c r="B141" s="1">
        <v>46227</v>
      </c>
      <c r="C141" s="4">
        <v>59.52</v>
      </c>
      <c r="D141" s="4">
        <v>199.46</v>
      </c>
      <c r="E141" s="12">
        <f t="shared" si="14"/>
        <v>3.3511424731182795</v>
      </c>
      <c r="F141" s="13">
        <f t="shared" si="12"/>
        <v>3.3512065542194742</v>
      </c>
      <c r="G141" s="13">
        <f t="shared" si="13"/>
        <v>3.351043355272568</v>
      </c>
      <c r="H141" s="4">
        <f t="shared" si="15"/>
        <v>199.46381410714312</v>
      </c>
      <c r="I141" s="4">
        <f t="shared" si="16"/>
        <v>199.45410050582325</v>
      </c>
      <c r="J141" s="15">
        <f t="shared" si="17"/>
        <v>1.9121982736268985E-5</v>
      </c>
      <c r="K141" s="15">
        <f t="shared" si="18"/>
        <v>-2.9577767091742582E-5</v>
      </c>
    </row>
    <row r="142" spans="2:11" x14ac:dyDescent="0.3">
      <c r="B142" s="1">
        <v>46230</v>
      </c>
      <c r="C142" s="4">
        <v>58.78</v>
      </c>
      <c r="D142" s="4">
        <v>197.01</v>
      </c>
      <c r="E142" s="12">
        <f t="shared" si="14"/>
        <v>3.351650221163661</v>
      </c>
      <c r="F142" s="13">
        <f t="shared" si="12"/>
        <v>3.3510357465077028</v>
      </c>
      <c r="G142" s="13">
        <f t="shared" si="13"/>
        <v>3.351043355272568</v>
      </c>
      <c r="H142" s="4">
        <f t="shared" si="15"/>
        <v>196.97388117972278</v>
      </c>
      <c r="I142" s="4">
        <f t="shared" si="16"/>
        <v>196.97432842292156</v>
      </c>
      <c r="J142" s="15">
        <f t="shared" si="17"/>
        <v>-1.8335176693140074E-4</v>
      </c>
      <c r="K142" s="15">
        <f t="shared" si="18"/>
        <v>-1.8108119842583862E-4</v>
      </c>
    </row>
    <row r="143" spans="2:11" x14ac:dyDescent="0.3">
      <c r="B143" s="1">
        <v>46231</v>
      </c>
      <c r="C143" s="4">
        <v>58.57</v>
      </c>
      <c r="D143" s="4">
        <v>196.22</v>
      </c>
      <c r="E143" s="12">
        <f t="shared" si="14"/>
        <v>3.3501792726651871</v>
      </c>
      <c r="F143" s="13">
        <f t="shared" si="12"/>
        <v>3.3508544789953576</v>
      </c>
      <c r="G143" s="13">
        <f t="shared" si="13"/>
        <v>3.351043355272568</v>
      </c>
      <c r="H143" s="4">
        <f t="shared" si="15"/>
        <v>196.25954683475808</v>
      </c>
      <c r="I143" s="4">
        <f t="shared" si="16"/>
        <v>196.27060931831431</v>
      </c>
      <c r="J143" s="15">
        <f t="shared" si="17"/>
        <v>2.0152303584142727E-4</v>
      </c>
      <c r="K143" s="15">
        <f t="shared" si="18"/>
        <v>2.5788804823988464E-4</v>
      </c>
    </row>
    <row r="144" spans="2:11" x14ac:dyDescent="0.3">
      <c r="B144" s="1">
        <v>46232</v>
      </c>
      <c r="C144" s="4">
        <v>57.77</v>
      </c>
      <c r="D144" s="4">
        <v>193.47</v>
      </c>
      <c r="E144" s="12">
        <f t="shared" si="14"/>
        <v>3.3489700536610694</v>
      </c>
      <c r="F144" s="13">
        <f t="shared" si="12"/>
        <v>3.3507832966390403</v>
      </c>
      <c r="G144" s="13">
        <f t="shared" si="13"/>
        <v>3.351043355272568</v>
      </c>
      <c r="H144" s="4">
        <f t="shared" si="15"/>
        <v>193.57475104683738</v>
      </c>
      <c r="I144" s="4">
        <f t="shared" si="16"/>
        <v>193.58977463409627</v>
      </c>
      <c r="J144" s="15">
        <f t="shared" si="17"/>
        <v>5.4128650039384873E-4</v>
      </c>
      <c r="K144" s="15">
        <f t="shared" si="18"/>
        <v>6.1889478457224749E-4</v>
      </c>
    </row>
    <row r="145" spans="2:11" x14ac:dyDescent="0.3">
      <c r="B145" s="1">
        <v>46233</v>
      </c>
      <c r="C145" s="4">
        <v>57.49</v>
      </c>
      <c r="D145" s="4">
        <v>192.58</v>
      </c>
      <c r="E145" s="12">
        <f t="shared" si="14"/>
        <v>3.349799965211341</v>
      </c>
      <c r="F145" s="13">
        <f t="shared" si="12"/>
        <v>3.3507867194622265</v>
      </c>
      <c r="G145" s="13">
        <f t="shared" si="13"/>
        <v>3.351043355272568</v>
      </c>
      <c r="H145" s="4">
        <f t="shared" si="15"/>
        <v>192.6367285018834</v>
      </c>
      <c r="I145" s="4">
        <f t="shared" si="16"/>
        <v>192.65148249461996</v>
      </c>
      <c r="J145" s="15">
        <f t="shared" si="17"/>
        <v>2.9452771957273158E-4</v>
      </c>
      <c r="K145" s="15">
        <f t="shared" si="18"/>
        <v>3.711145048555504E-4</v>
      </c>
    </row>
    <row r="146" spans="2:11" x14ac:dyDescent="0.3">
      <c r="B146" s="1">
        <v>46234</v>
      </c>
      <c r="C146" s="4">
        <v>57.09</v>
      </c>
      <c r="D146" s="4">
        <v>191.22</v>
      </c>
      <c r="E146" s="12">
        <f t="shared" si="14"/>
        <v>3.3494482396216498</v>
      </c>
      <c r="F146" s="13">
        <f t="shared" si="12"/>
        <v>3.3507955844782358</v>
      </c>
      <c r="G146" s="13">
        <f t="shared" si="13"/>
        <v>3.351043355272568</v>
      </c>
      <c r="H146" s="4">
        <f t="shared" si="15"/>
        <v>191.29691991786248</v>
      </c>
      <c r="I146" s="4">
        <f t="shared" si="16"/>
        <v>191.31106515251091</v>
      </c>
      <c r="J146" s="15">
        <f t="shared" si="17"/>
        <v>4.0217786400555155E-4</v>
      </c>
      <c r="K146" s="15">
        <f t="shared" si="18"/>
        <v>4.7611900066157935E-4</v>
      </c>
    </row>
    <row r="147" spans="2:11" x14ac:dyDescent="0.3">
      <c r="B147" s="1">
        <v>46237</v>
      </c>
      <c r="C147" s="4">
        <v>57.18</v>
      </c>
      <c r="D147" s="4">
        <v>191.55</v>
      </c>
      <c r="E147" s="12">
        <f t="shared" si="14"/>
        <v>3.3499475341028333</v>
      </c>
      <c r="F147" s="13">
        <f t="shared" si="12"/>
        <v>3.3506665687240806</v>
      </c>
      <c r="G147" s="13">
        <f t="shared" si="13"/>
        <v>3.351043355272568</v>
      </c>
      <c r="H147" s="4">
        <f t="shared" si="15"/>
        <v>191.59111439964292</v>
      </c>
      <c r="I147" s="4">
        <f t="shared" si="16"/>
        <v>191.61265905448545</v>
      </c>
      <c r="J147" s="15">
        <f t="shared" si="17"/>
        <v>2.146175299674464E-4</v>
      </c>
      <c r="K147" s="15">
        <f t="shared" si="18"/>
        <v>3.2706242930152747E-4</v>
      </c>
    </row>
    <row r="148" spans="2:11" x14ac:dyDescent="0.3">
      <c r="B148" s="1">
        <v>46238</v>
      </c>
      <c r="C148" s="4">
        <v>56.88</v>
      </c>
      <c r="D148" s="4">
        <v>190.54</v>
      </c>
      <c r="E148" s="12">
        <f t="shared" si="14"/>
        <v>3.3498593530239096</v>
      </c>
      <c r="F148" s="13">
        <f t="shared" si="12"/>
        <v>3.3506293851947091</v>
      </c>
      <c r="G148" s="13">
        <f t="shared" si="13"/>
        <v>3.351043355272568</v>
      </c>
      <c r="H148" s="4">
        <f t="shared" si="15"/>
        <v>190.58379942987506</v>
      </c>
      <c r="I148" s="4">
        <f t="shared" si="16"/>
        <v>190.60734604790369</v>
      </c>
      <c r="J148" s="15">
        <f t="shared" si="17"/>
        <v>2.2984358433353864E-4</v>
      </c>
      <c r="K148" s="15">
        <f t="shared" si="18"/>
        <v>3.533858981459709E-4</v>
      </c>
    </row>
    <row r="149" spans="2:11" x14ac:dyDescent="0.3">
      <c r="B149" s="1">
        <v>46239</v>
      </c>
      <c r="C149" s="4">
        <v>56.28</v>
      </c>
      <c r="D149" s="4">
        <v>188.61</v>
      </c>
      <c r="E149" s="12">
        <f t="shared" si="14"/>
        <v>3.3512793176972284</v>
      </c>
      <c r="F149" s="13">
        <f t="shared" ref="F149:F163" si="19">AVERAGE(E130:E149)</f>
        <v>3.3505996492140904</v>
      </c>
      <c r="G149" s="13">
        <f t="shared" si="13"/>
        <v>3.351043355272568</v>
      </c>
      <c r="H149" s="4">
        <f t="shared" si="15"/>
        <v>188.571748257769</v>
      </c>
      <c r="I149" s="4">
        <f t="shared" si="16"/>
        <v>188.59672003474014</v>
      </c>
      <c r="J149" s="15">
        <f t="shared" si="17"/>
        <v>-2.0282923306255547E-4</v>
      </c>
      <c r="K149" s="15">
        <f t="shared" si="18"/>
        <v>-7.0412135097385159E-5</v>
      </c>
    </row>
    <row r="150" spans="2:11" x14ac:dyDescent="0.3">
      <c r="B150" s="1">
        <v>46240</v>
      </c>
      <c r="C150" s="4">
        <v>55.99</v>
      </c>
      <c r="D150" s="4">
        <v>187.64</v>
      </c>
      <c r="E150" s="12">
        <f t="shared" si="14"/>
        <v>3.3513127344168598</v>
      </c>
      <c r="F150" s="13">
        <f t="shared" si="19"/>
        <v>3.3506077060105603</v>
      </c>
      <c r="G150" s="13">
        <f t="shared" ref="G150:G172" si="20">G149</f>
        <v>3.351043355272568</v>
      </c>
      <c r="H150" s="4">
        <f t="shared" si="15"/>
        <v>187.60052545953127</v>
      </c>
      <c r="I150" s="4">
        <f t="shared" si="16"/>
        <v>187.62491746171108</v>
      </c>
      <c r="J150" s="15">
        <f t="shared" si="17"/>
        <v>-2.1039593506586319E-4</v>
      </c>
      <c r="K150" s="15">
        <f t="shared" si="18"/>
        <v>-8.0383417661536384E-5</v>
      </c>
    </row>
    <row r="151" spans="2:11" x14ac:dyDescent="0.3">
      <c r="B151" s="1">
        <v>46241</v>
      </c>
      <c r="C151" s="4">
        <v>56.36</v>
      </c>
      <c r="D151" s="4">
        <v>188.86</v>
      </c>
      <c r="E151" s="12">
        <f t="shared" si="14"/>
        <v>3.3509581263307311</v>
      </c>
      <c r="F151" s="13">
        <f t="shared" si="19"/>
        <v>3.3505748844952157</v>
      </c>
      <c r="G151" s="13">
        <f t="shared" si="20"/>
        <v>3.351043355272568</v>
      </c>
      <c r="H151" s="4">
        <f t="shared" si="15"/>
        <v>188.83840049015035</v>
      </c>
      <c r="I151" s="4">
        <f t="shared" si="16"/>
        <v>188.86480350316194</v>
      </c>
      <c r="J151" s="15">
        <f t="shared" si="17"/>
        <v>-1.1437437831444941E-4</v>
      </c>
      <c r="K151" s="15">
        <f t="shared" si="18"/>
        <v>2.5433877350127219E-5</v>
      </c>
    </row>
    <row r="152" spans="2:11" x14ac:dyDescent="0.3">
      <c r="B152" s="1">
        <v>46244</v>
      </c>
      <c r="C152" s="4">
        <v>55.76</v>
      </c>
      <c r="D152" s="4">
        <v>186.8</v>
      </c>
      <c r="E152" s="12">
        <f t="shared" si="14"/>
        <v>3.3500717360114782</v>
      </c>
      <c r="F152" s="13">
        <f t="shared" si="19"/>
        <v>3.3504953076841133</v>
      </c>
      <c r="G152" s="13">
        <f t="shared" si="20"/>
        <v>3.351043355272568</v>
      </c>
      <c r="H152" s="4">
        <f t="shared" si="15"/>
        <v>186.82361835646614</v>
      </c>
      <c r="I152" s="4">
        <f t="shared" si="16"/>
        <v>186.85417748999839</v>
      </c>
      <c r="J152" s="15">
        <f t="shared" si="17"/>
        <v>1.2642860535149453E-4</v>
      </c>
      <c r="K152" s="15">
        <f t="shared" si="18"/>
        <v>2.8998733931993051E-4</v>
      </c>
    </row>
    <row r="153" spans="2:11" x14ac:dyDescent="0.3">
      <c r="B153" s="1">
        <v>46245</v>
      </c>
      <c r="C153" s="4">
        <v>56.38</v>
      </c>
      <c r="D153" s="4">
        <v>188.87</v>
      </c>
      <c r="E153" s="12">
        <f t="shared" si="14"/>
        <v>3.349946789641717</v>
      </c>
      <c r="F153" s="13">
        <f t="shared" si="19"/>
        <v>3.3504858582999395</v>
      </c>
      <c r="G153" s="13">
        <f t="shared" si="20"/>
        <v>3.351043355272568</v>
      </c>
      <c r="H153" s="4">
        <f t="shared" si="15"/>
        <v>188.90039269095061</v>
      </c>
      <c r="I153" s="4">
        <f t="shared" si="16"/>
        <v>188.93182437026741</v>
      </c>
      <c r="J153" s="15">
        <f t="shared" si="17"/>
        <v>1.6090562735583688E-4</v>
      </c>
      <c r="K153" s="15">
        <f t="shared" si="18"/>
        <v>3.2728466000551623E-4</v>
      </c>
    </row>
    <row r="154" spans="2:11" x14ac:dyDescent="0.3">
      <c r="B154" s="1">
        <v>46246</v>
      </c>
      <c r="C154" s="4">
        <v>56.64</v>
      </c>
      <c r="D154" s="4">
        <v>189.77</v>
      </c>
      <c r="E154" s="12">
        <f t="shared" si="14"/>
        <v>3.3504590395480229</v>
      </c>
      <c r="F154" s="13">
        <f t="shared" si="19"/>
        <v>3.3504685567658647</v>
      </c>
      <c r="G154" s="13">
        <f t="shared" si="20"/>
        <v>3.351043355272568</v>
      </c>
      <c r="H154" s="4">
        <f t="shared" si="15"/>
        <v>189.77053905521859</v>
      </c>
      <c r="I154" s="4">
        <f t="shared" si="16"/>
        <v>189.80309564263825</v>
      </c>
      <c r="J154" s="15">
        <f t="shared" si="17"/>
        <v>2.8405672813058481E-6</v>
      </c>
      <c r="K154" s="15">
        <f t="shared" si="18"/>
        <v>1.7438350137063019E-4</v>
      </c>
    </row>
    <row r="155" spans="2:11" x14ac:dyDescent="0.3">
      <c r="B155" s="1">
        <v>46247</v>
      </c>
      <c r="C155" s="4">
        <v>56.87</v>
      </c>
      <c r="D155" s="4">
        <v>190.62</v>
      </c>
      <c r="E155" s="12">
        <f t="shared" si="14"/>
        <v>3.3518551081413754</v>
      </c>
      <c r="F155" s="13">
        <f t="shared" si="19"/>
        <v>3.3505792119342699</v>
      </c>
      <c r="G155" s="13">
        <f t="shared" si="20"/>
        <v>3.351043355272568</v>
      </c>
      <c r="H155" s="4">
        <f t="shared" si="15"/>
        <v>190.54743978270193</v>
      </c>
      <c r="I155" s="4">
        <f t="shared" si="16"/>
        <v>190.57383561435094</v>
      </c>
      <c r="J155" s="15">
        <f t="shared" si="17"/>
        <v>-3.807262142638493E-4</v>
      </c>
      <c r="K155" s="15">
        <f t="shared" si="18"/>
        <v>-2.4220950897780552E-4</v>
      </c>
    </row>
    <row r="156" spans="2:11" x14ac:dyDescent="0.3">
      <c r="B156" s="1">
        <v>46248</v>
      </c>
      <c r="C156" s="4">
        <v>57.2</v>
      </c>
      <c r="D156" s="4">
        <v>191.73</v>
      </c>
      <c r="E156" s="12">
        <f t="shared" si="14"/>
        <v>3.3519230769230766</v>
      </c>
      <c r="F156" s="13">
        <f t="shared" si="19"/>
        <v>3.3506908084708833</v>
      </c>
      <c r="G156" s="13">
        <f t="shared" si="20"/>
        <v>3.351043355272568</v>
      </c>
      <c r="H156" s="4">
        <f t="shared" si="15"/>
        <v>191.65951424453453</v>
      </c>
      <c r="I156" s="4">
        <f t="shared" si="16"/>
        <v>191.67967992159089</v>
      </c>
      <c r="J156" s="15">
        <f t="shared" si="17"/>
        <v>-3.6769788239245956E-4</v>
      </c>
      <c r="K156" s="15">
        <f t="shared" si="18"/>
        <v>-2.6248726275412244E-4</v>
      </c>
    </row>
    <row r="157" spans="2:11" x14ac:dyDescent="0.3">
      <c r="B157" s="1">
        <v>46251</v>
      </c>
      <c r="C157" s="4">
        <v>57.01</v>
      </c>
      <c r="D157" s="4">
        <v>191.01</v>
      </c>
      <c r="E157" s="12">
        <f t="shared" si="14"/>
        <v>3.3504648307314504</v>
      </c>
      <c r="F157" s="13">
        <f t="shared" si="19"/>
        <v>3.3506182612604762</v>
      </c>
      <c r="G157" s="13">
        <f t="shared" si="20"/>
        <v>3.351043355272568</v>
      </c>
      <c r="H157" s="4">
        <f t="shared" si="15"/>
        <v>191.01874707445975</v>
      </c>
      <c r="I157" s="4">
        <f t="shared" si="16"/>
        <v>191.04298168408909</v>
      </c>
      <c r="J157" s="15">
        <f t="shared" si="17"/>
        <v>4.5792755274337529E-5</v>
      </c>
      <c r="K157" s="15">
        <f t="shared" si="18"/>
        <v>1.7265502824046099E-4</v>
      </c>
    </row>
    <row r="158" spans="2:11" x14ac:dyDescent="0.3">
      <c r="B158" s="1">
        <v>46252</v>
      </c>
      <c r="C158" s="4">
        <v>56.79</v>
      </c>
      <c r="D158" s="4">
        <v>190.24</v>
      </c>
      <c r="E158" s="12">
        <f t="shared" si="14"/>
        <v>3.3498855432294419</v>
      </c>
      <c r="F158" s="13">
        <f t="shared" si="19"/>
        <v>3.3505370423046061</v>
      </c>
      <c r="G158" s="13">
        <f t="shared" si="20"/>
        <v>3.351043355272568</v>
      </c>
      <c r="H158" s="4">
        <f t="shared" si="15"/>
        <v>190.27699863247858</v>
      </c>
      <c r="I158" s="4">
        <f t="shared" si="16"/>
        <v>190.30575214592915</v>
      </c>
      <c r="J158" s="15">
        <f t="shared" si="17"/>
        <v>1.9446507109080759E-4</v>
      </c>
      <c r="K158" s="15">
        <f t="shared" si="18"/>
        <v>3.455676286631798E-4</v>
      </c>
    </row>
    <row r="159" spans="2:11" x14ac:dyDescent="0.3">
      <c r="B159" s="1">
        <v>46253</v>
      </c>
      <c r="C159" s="4">
        <v>56.84</v>
      </c>
      <c r="D159" s="4">
        <v>190.36</v>
      </c>
      <c r="E159" s="12">
        <f t="shared" si="14"/>
        <v>3.3490499648135117</v>
      </c>
      <c r="F159" s="13">
        <f t="shared" si="19"/>
        <v>3.3504984042967587</v>
      </c>
      <c r="G159" s="13">
        <f t="shared" si="20"/>
        <v>3.351043355272568</v>
      </c>
      <c r="H159" s="4">
        <f t="shared" si="15"/>
        <v>190.44232930022778</v>
      </c>
      <c r="I159" s="4">
        <f t="shared" si="16"/>
        <v>190.47330431369278</v>
      </c>
      <c r="J159" s="15">
        <f t="shared" si="17"/>
        <v>4.323991487227304E-4</v>
      </c>
      <c r="K159" s="15">
        <f t="shared" si="18"/>
        <v>5.9503365778384217E-4</v>
      </c>
    </row>
    <row r="160" spans="2:11" x14ac:dyDescent="0.3">
      <c r="B160" s="1">
        <v>46254</v>
      </c>
      <c r="C160" s="4">
        <v>56.51</v>
      </c>
      <c r="D160" s="4">
        <v>189.31</v>
      </c>
      <c r="E160" s="12">
        <f t="shared" si="14"/>
        <v>3.350026543974518</v>
      </c>
      <c r="F160" s="13">
        <f t="shared" si="19"/>
        <v>3.3504114962013674</v>
      </c>
      <c r="G160" s="13">
        <f t="shared" si="20"/>
        <v>3.351043355272568</v>
      </c>
      <c r="H160" s="4">
        <f t="shared" si="15"/>
        <v>189.33175365033927</v>
      </c>
      <c r="I160" s="4">
        <f t="shared" si="16"/>
        <v>189.3674600064528</v>
      </c>
      <c r="J160" s="15">
        <f t="shared" si="17"/>
        <v>1.1490360032130205E-4</v>
      </c>
      <c r="K160" s="15">
        <f t="shared" si="18"/>
        <v>3.0347730172690856E-4</v>
      </c>
    </row>
    <row r="161" spans="2:11" x14ac:dyDescent="0.3">
      <c r="B161" s="1">
        <v>46255</v>
      </c>
      <c r="C161" s="4">
        <v>55.25</v>
      </c>
      <c r="D161" s="4">
        <v>185.03</v>
      </c>
      <c r="E161" s="12">
        <f t="shared" si="14"/>
        <v>3.3489592760180997</v>
      </c>
      <c r="F161" s="13">
        <f t="shared" si="19"/>
        <v>3.3503023363463575</v>
      </c>
      <c r="G161" s="13">
        <f t="shared" si="20"/>
        <v>3.351043355272568</v>
      </c>
      <c r="H161" s="4">
        <f t="shared" si="15"/>
        <v>185.10420408313627</v>
      </c>
      <c r="I161" s="4">
        <f t="shared" si="16"/>
        <v>185.14514537880939</v>
      </c>
      <c r="J161" s="15">
        <f t="shared" si="17"/>
        <v>4.0095772458648404E-4</v>
      </c>
      <c r="K161" s="15">
        <f t="shared" si="18"/>
        <v>6.2211298603108607E-4</v>
      </c>
    </row>
    <row r="162" spans="2:11" x14ac:dyDescent="0.3">
      <c r="B162" s="1">
        <v>46258</v>
      </c>
      <c r="C162" s="4">
        <v>55.79</v>
      </c>
      <c r="D162" s="4">
        <v>186.88</v>
      </c>
      <c r="E162" s="12">
        <f t="shared" si="14"/>
        <v>3.3497042480731314</v>
      </c>
      <c r="F162" s="13">
        <f t="shared" si="19"/>
        <v>3.3502050376918313</v>
      </c>
      <c r="G162" s="13">
        <f t="shared" si="20"/>
        <v>3.351043355272568</v>
      </c>
      <c r="H162" s="4">
        <f t="shared" si="15"/>
        <v>186.90793905282726</v>
      </c>
      <c r="I162" s="4">
        <f t="shared" si="16"/>
        <v>186.95470879065655</v>
      </c>
      <c r="J162" s="15">
        <f t="shared" si="17"/>
        <v>1.4949146272655967E-4</v>
      </c>
      <c r="K162" s="15">
        <f t="shared" si="18"/>
        <v>3.9968889936842483E-4</v>
      </c>
    </row>
    <row r="163" spans="2:11" x14ac:dyDescent="0.3">
      <c r="B163" s="1">
        <v>46259</v>
      </c>
      <c r="C163" s="4">
        <v>55.93</v>
      </c>
      <c r="D163" s="4">
        <v>187.32</v>
      </c>
      <c r="E163" s="12">
        <f t="shared" si="14"/>
        <v>3.3491864831038796</v>
      </c>
      <c r="F163" s="13">
        <f t="shared" si="19"/>
        <v>3.3501553982137664</v>
      </c>
      <c r="G163" s="13">
        <f t="shared" si="20"/>
        <v>3.351043355272568</v>
      </c>
      <c r="H163" s="4">
        <f t="shared" si="15"/>
        <v>187.37419142209595</v>
      </c>
      <c r="I163" s="4">
        <f t="shared" si="16"/>
        <v>187.42385486039473</v>
      </c>
      <c r="J163" s="15">
        <f t="shared" si="17"/>
        <v>2.8925680575995214E-4</v>
      </c>
      <c r="K163" s="15">
        <f t="shared" si="18"/>
        <v>5.5427119994946861E-4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422C-27CC-4AD9-B9CB-E83A7DB39AD1}">
  <dimension ref="A1:K163"/>
  <sheetViews>
    <sheetView workbookViewId="0">
      <selection activeCell="G14" sqref="G14"/>
    </sheetView>
  </sheetViews>
  <sheetFormatPr defaultRowHeight="14.4" x14ac:dyDescent="0.3"/>
  <cols>
    <col min="1" max="1" width="2.109375" bestFit="1" customWidth="1"/>
    <col min="2" max="2" width="10.33203125" style="1" bestFit="1" customWidth="1"/>
    <col min="3" max="4" width="8.88671875" style="4"/>
    <col min="5" max="5" width="10.6640625" style="12" bestFit="1" customWidth="1"/>
    <col min="7" max="7" width="10.33203125" style="1" bestFit="1" customWidth="1"/>
    <col min="8" max="9" width="8.88671875" style="4"/>
    <col min="10" max="11" width="8.88671875" style="15"/>
  </cols>
  <sheetData>
    <row r="1" spans="2:11" s="3" customFormat="1" x14ac:dyDescent="0.3">
      <c r="B1" s="2" t="s">
        <v>0</v>
      </c>
      <c r="C1" s="5" t="s">
        <v>6</v>
      </c>
      <c r="D1" s="5" t="s">
        <v>11</v>
      </c>
      <c r="E1" s="11" t="str">
        <f>_xlfn.CONCAT(D1,"/",C1)</f>
        <v>VGT/FTEC</v>
      </c>
      <c r="F1" s="3" t="s">
        <v>21</v>
      </c>
      <c r="G1" s="1"/>
      <c r="H1" s="14" t="s">
        <v>17</v>
      </c>
      <c r="I1" s="14" t="s">
        <v>18</v>
      </c>
      <c r="J1" s="14" t="s">
        <v>19</v>
      </c>
      <c r="K1" s="14" t="s">
        <v>20</v>
      </c>
    </row>
    <row r="2" spans="2:11" x14ac:dyDescent="0.3">
      <c r="B2" s="1">
        <v>46024</v>
      </c>
      <c r="C2" s="4">
        <v>225.48</v>
      </c>
      <c r="D2" s="4">
        <v>94.497500000000002</v>
      </c>
      <c r="E2" s="12">
        <f>D2/C2</f>
        <v>0.41909481993968428</v>
      </c>
    </row>
    <row r="3" spans="2:11" x14ac:dyDescent="0.3">
      <c r="B3" s="1">
        <v>46027</v>
      </c>
      <c r="C3" s="4">
        <v>225.87</v>
      </c>
      <c r="D3" s="4">
        <v>94.677499999999995</v>
      </c>
      <c r="E3" s="12">
        <f t="shared" ref="E3:E66" si="0">D3/C3</f>
        <v>0.41916810554743877</v>
      </c>
    </row>
    <row r="4" spans="2:11" x14ac:dyDescent="0.3">
      <c r="B4" s="1">
        <v>46028</v>
      </c>
      <c r="C4" s="4">
        <v>228.55</v>
      </c>
      <c r="D4" s="4">
        <v>95.811300000000003</v>
      </c>
      <c r="E4" s="12">
        <f t="shared" si="0"/>
        <v>0.41921373878801138</v>
      </c>
    </row>
    <row r="5" spans="2:11" x14ac:dyDescent="0.3">
      <c r="B5" s="1">
        <v>46029</v>
      </c>
      <c r="C5" s="4">
        <v>228.42</v>
      </c>
      <c r="D5" s="4">
        <v>95.762500000000003</v>
      </c>
      <c r="E5" s="12">
        <f t="shared" si="0"/>
        <v>0.41923868312757206</v>
      </c>
    </row>
    <row r="6" spans="2:11" x14ac:dyDescent="0.3">
      <c r="B6" s="1">
        <v>46030</v>
      </c>
      <c r="C6" s="4">
        <v>224.89</v>
      </c>
      <c r="D6" s="4">
        <v>94.351299999999995</v>
      </c>
      <c r="E6" s="12">
        <f t="shared" si="0"/>
        <v>0.41954422161945842</v>
      </c>
    </row>
    <row r="7" spans="2:11" x14ac:dyDescent="0.3">
      <c r="B7" s="1">
        <v>46031</v>
      </c>
      <c r="C7" s="4">
        <v>227.18</v>
      </c>
      <c r="D7" s="4">
        <v>95.245000000000005</v>
      </c>
      <c r="E7" s="12">
        <f t="shared" si="0"/>
        <v>0.41924905361387449</v>
      </c>
    </row>
    <row r="8" spans="2:11" x14ac:dyDescent="0.3">
      <c r="B8" s="1">
        <v>46034</v>
      </c>
      <c r="C8" s="4">
        <v>228.24</v>
      </c>
      <c r="D8" s="4">
        <v>95.688800000000001</v>
      </c>
      <c r="E8" s="12">
        <f t="shared" si="0"/>
        <v>0.41924640729057133</v>
      </c>
    </row>
    <row r="9" spans="2:11" x14ac:dyDescent="0.3">
      <c r="B9" s="1">
        <v>46035</v>
      </c>
      <c r="C9" s="4">
        <v>228.05</v>
      </c>
      <c r="D9" s="4">
        <v>95.551299999999998</v>
      </c>
      <c r="E9" s="12">
        <f t="shared" si="0"/>
        <v>0.41899276474457353</v>
      </c>
    </row>
    <row r="10" spans="2:11" x14ac:dyDescent="0.3">
      <c r="B10" s="1">
        <v>46036</v>
      </c>
      <c r="C10" s="4">
        <v>225.19</v>
      </c>
      <c r="D10" s="4">
        <v>94.41</v>
      </c>
      <c r="E10" s="12">
        <f t="shared" si="0"/>
        <v>0.41924597006971892</v>
      </c>
    </row>
    <row r="11" spans="2:11" x14ac:dyDescent="0.3">
      <c r="B11" s="1">
        <v>46037</v>
      </c>
      <c r="C11" s="4">
        <v>226.38</v>
      </c>
      <c r="D11" s="4">
        <v>94.918800000000005</v>
      </c>
      <c r="E11" s="12">
        <f t="shared" si="0"/>
        <v>0.41928968990193483</v>
      </c>
      <c r="F11" s="13"/>
      <c r="G11" s="13"/>
    </row>
    <row r="12" spans="2:11" x14ac:dyDescent="0.3">
      <c r="B12" s="1">
        <v>46038</v>
      </c>
      <c r="C12" s="4">
        <v>226.28</v>
      </c>
      <c r="D12" s="4">
        <v>94.868799999999993</v>
      </c>
      <c r="E12" s="12">
        <f t="shared" si="0"/>
        <v>0.41925402156620112</v>
      </c>
      <c r="F12" s="13"/>
      <c r="G12" s="13"/>
    </row>
    <row r="13" spans="2:11" x14ac:dyDescent="0.3">
      <c r="B13" s="1">
        <v>46042</v>
      </c>
      <c r="C13" s="4">
        <v>220.45</v>
      </c>
      <c r="D13" s="4">
        <v>92.336299999999994</v>
      </c>
      <c r="E13" s="12">
        <f t="shared" si="0"/>
        <v>0.41885370832388297</v>
      </c>
      <c r="F13" s="13"/>
      <c r="G13" s="13"/>
    </row>
    <row r="14" spans="2:11" x14ac:dyDescent="0.3">
      <c r="B14" s="1">
        <v>46043</v>
      </c>
      <c r="C14" s="4">
        <v>223.26</v>
      </c>
      <c r="D14" s="4">
        <v>93.575000000000003</v>
      </c>
      <c r="E14" s="12">
        <f t="shared" si="0"/>
        <v>0.41913016214279319</v>
      </c>
      <c r="F14" s="13"/>
      <c r="G14" s="13"/>
    </row>
    <row r="15" spans="2:11" x14ac:dyDescent="0.3">
      <c r="B15" s="1">
        <v>46044</v>
      </c>
      <c r="C15" s="4">
        <v>224.92</v>
      </c>
      <c r="D15" s="4">
        <v>94.281300000000002</v>
      </c>
      <c r="E15" s="12">
        <f t="shared" si="0"/>
        <v>0.41917704072559137</v>
      </c>
      <c r="F15" s="13"/>
      <c r="G15" s="13"/>
    </row>
    <row r="16" spans="2:11" x14ac:dyDescent="0.3">
      <c r="B16" s="1">
        <v>46045</v>
      </c>
      <c r="C16" s="4">
        <v>225.19</v>
      </c>
      <c r="D16" s="4">
        <v>94.373800000000003</v>
      </c>
      <c r="E16" s="12">
        <f t="shared" si="0"/>
        <v>0.41908521692792755</v>
      </c>
      <c r="F16" s="13"/>
      <c r="G16" s="13"/>
    </row>
    <row r="17" spans="2:11" x14ac:dyDescent="0.3">
      <c r="B17" s="1">
        <v>46048</v>
      </c>
      <c r="C17" s="4">
        <v>226.82</v>
      </c>
      <c r="D17" s="4">
        <v>95.053700000000006</v>
      </c>
      <c r="E17" s="12">
        <f t="shared" si="0"/>
        <v>0.41907106957058465</v>
      </c>
      <c r="F17" s="13"/>
      <c r="G17" s="13"/>
    </row>
    <row r="18" spans="2:11" x14ac:dyDescent="0.3">
      <c r="B18" s="1">
        <v>46049</v>
      </c>
      <c r="C18" s="4">
        <v>229.61</v>
      </c>
      <c r="D18" s="4">
        <v>96.237499999999997</v>
      </c>
      <c r="E18" s="12">
        <f t="shared" si="0"/>
        <v>0.41913461957231823</v>
      </c>
      <c r="F18" s="13"/>
      <c r="G18" s="13"/>
    </row>
    <row r="19" spans="2:11" x14ac:dyDescent="0.3">
      <c r="B19" s="1">
        <v>46050</v>
      </c>
      <c r="C19" s="4">
        <v>231.23</v>
      </c>
      <c r="D19" s="4">
        <v>96.897499999999994</v>
      </c>
      <c r="E19" s="12">
        <f t="shared" si="0"/>
        <v>0.41905245859101325</v>
      </c>
      <c r="F19" s="13"/>
      <c r="G19" s="13"/>
    </row>
    <row r="20" spans="2:11" x14ac:dyDescent="0.3">
      <c r="B20" s="1">
        <v>46051</v>
      </c>
      <c r="C20" s="4">
        <v>226.94</v>
      </c>
      <c r="D20" s="4">
        <v>95.1</v>
      </c>
      <c r="E20" s="12">
        <f t="shared" si="0"/>
        <v>0.41905349431567812</v>
      </c>
      <c r="F20" s="13"/>
      <c r="G20" s="13"/>
    </row>
    <row r="21" spans="2:11" x14ac:dyDescent="0.3">
      <c r="B21" s="1">
        <v>46052</v>
      </c>
      <c r="C21" s="4">
        <v>222.96</v>
      </c>
      <c r="D21" s="4">
        <v>93.49</v>
      </c>
      <c r="E21" s="12">
        <f t="shared" si="0"/>
        <v>0.4193128812343021</v>
      </c>
      <c r="F21" s="13">
        <f t="shared" ref="F21:F84" si="1">AVERAGE(E2:E21)</f>
        <v>0.4191704063806565</v>
      </c>
      <c r="G21" s="13">
        <f>AVERAGE(E:E)</f>
        <v>0.41897306379396099</v>
      </c>
      <c r="H21" s="4">
        <f t="shared" ref="H12:H75" si="2">C21*F21</f>
        <v>93.458233806631171</v>
      </c>
      <c r="I21" s="4">
        <f t="shared" ref="I12:I75" si="3">C21*G21</f>
        <v>93.414234303501544</v>
      </c>
      <c r="J21" s="15">
        <f t="shared" ref="J12:J75" si="4">LN(H21/D21)</f>
        <v>-3.3983946280453686E-4</v>
      </c>
      <c r="K21" s="15">
        <f t="shared" ref="K12:K75" si="5">LN(I21/D21)</f>
        <v>-8.1074354394256216E-4</v>
      </c>
    </row>
    <row r="22" spans="2:11" x14ac:dyDescent="0.3">
      <c r="B22" s="1">
        <v>46055</v>
      </c>
      <c r="C22" s="4">
        <v>224.76</v>
      </c>
      <c r="D22" s="4">
        <v>94.131299999999996</v>
      </c>
      <c r="E22" s="12">
        <f t="shared" si="0"/>
        <v>0.41880806193272824</v>
      </c>
      <c r="F22" s="13">
        <f t="shared" si="1"/>
        <v>0.41915606848030873</v>
      </c>
      <c r="G22" s="13">
        <f t="shared" ref="G22:G85" si="6">G21</f>
        <v>0.41897306379396099</v>
      </c>
      <c r="H22" s="4">
        <f t="shared" si="2"/>
        <v>94.209517951634183</v>
      </c>
      <c r="I22" s="4">
        <f t="shared" si="3"/>
        <v>94.168385818330663</v>
      </c>
      <c r="J22" s="15">
        <f t="shared" si="4"/>
        <v>8.3060015329369926E-4</v>
      </c>
      <c r="K22" s="15">
        <f t="shared" si="5"/>
        <v>3.9390207847668013E-4</v>
      </c>
    </row>
    <row r="23" spans="2:11" x14ac:dyDescent="0.3">
      <c r="B23" s="1">
        <v>46056</v>
      </c>
      <c r="C23" s="4">
        <v>219.58</v>
      </c>
      <c r="D23" s="4">
        <v>92.055000000000007</v>
      </c>
      <c r="E23" s="12">
        <f t="shared" si="0"/>
        <v>0.41923217050733219</v>
      </c>
      <c r="F23" s="13">
        <f t="shared" si="1"/>
        <v>0.41915927172830336</v>
      </c>
      <c r="G23" s="13">
        <f t="shared" si="6"/>
        <v>0.41897306379396099</v>
      </c>
      <c r="H23" s="4">
        <f t="shared" si="2"/>
        <v>92.038992886100857</v>
      </c>
      <c r="I23" s="4">
        <f t="shared" si="3"/>
        <v>91.998105347877953</v>
      </c>
      <c r="J23" s="15">
        <f t="shared" si="4"/>
        <v>-1.7390153462962493E-4</v>
      </c>
      <c r="K23" s="15">
        <f t="shared" si="5"/>
        <v>-6.1824171699484051E-4</v>
      </c>
    </row>
    <row r="24" spans="2:11" x14ac:dyDescent="0.3">
      <c r="B24" s="1">
        <v>46057</v>
      </c>
      <c r="C24" s="4">
        <v>215.16</v>
      </c>
      <c r="D24" s="4">
        <v>90.218800000000002</v>
      </c>
      <c r="E24" s="12">
        <f t="shared" si="0"/>
        <v>0.4193102807213237</v>
      </c>
      <c r="F24" s="13">
        <f t="shared" si="1"/>
        <v>0.41916409882496897</v>
      </c>
      <c r="G24" s="13">
        <f t="shared" si="6"/>
        <v>0.41897306379396099</v>
      </c>
      <c r="H24" s="4">
        <f t="shared" si="2"/>
        <v>90.18734750318032</v>
      </c>
      <c r="I24" s="4">
        <f t="shared" si="3"/>
        <v>90.146244405908647</v>
      </c>
      <c r="J24" s="15">
        <f t="shared" si="4"/>
        <v>-3.4868542534334469E-4</v>
      </c>
      <c r="K24" s="15">
        <f t="shared" si="5"/>
        <v>-8.0454168094521035E-4</v>
      </c>
    </row>
    <row r="25" spans="2:11" x14ac:dyDescent="0.3">
      <c r="B25" s="1">
        <v>46058</v>
      </c>
      <c r="C25" s="4">
        <v>211.33</v>
      </c>
      <c r="D25" s="4">
        <v>88.566299999999998</v>
      </c>
      <c r="E25" s="12">
        <f t="shared" si="0"/>
        <v>0.41909004873893907</v>
      </c>
      <c r="F25" s="13">
        <f t="shared" si="1"/>
        <v>0.41915666710553739</v>
      </c>
      <c r="G25" s="13">
        <f t="shared" si="6"/>
        <v>0.41897306379396099</v>
      </c>
      <c r="H25" s="4">
        <f t="shared" si="2"/>
        <v>88.580378459413225</v>
      </c>
      <c r="I25" s="4">
        <f t="shared" si="3"/>
        <v>88.541577571577776</v>
      </c>
      <c r="J25" s="15">
        <f t="shared" si="4"/>
        <v>1.5894691975373122E-4</v>
      </c>
      <c r="K25" s="15">
        <f t="shared" si="5"/>
        <v>-2.7917932191132432E-4</v>
      </c>
    </row>
    <row r="26" spans="2:11" x14ac:dyDescent="0.3">
      <c r="B26" s="1">
        <v>46059</v>
      </c>
      <c r="C26" s="4">
        <v>220.65</v>
      </c>
      <c r="D26" s="4">
        <v>92.442499999999995</v>
      </c>
      <c r="E26" s="12">
        <f t="shared" si="0"/>
        <v>0.41895535916610011</v>
      </c>
      <c r="F26" s="13">
        <f t="shared" si="1"/>
        <v>0.41912722398286945</v>
      </c>
      <c r="G26" s="13">
        <f t="shared" si="6"/>
        <v>0.41897306379396099</v>
      </c>
      <c r="H26" s="4">
        <f t="shared" si="2"/>
        <v>92.480421971820149</v>
      </c>
      <c r="I26" s="4">
        <f t="shared" si="3"/>
        <v>92.446406526137494</v>
      </c>
      <c r="J26" s="15">
        <f t="shared" si="4"/>
        <v>4.1013814780100857E-4</v>
      </c>
      <c r="K26" s="15">
        <f t="shared" si="5"/>
        <v>4.2258091212550927E-5</v>
      </c>
    </row>
    <row r="27" spans="2:11" x14ac:dyDescent="0.3">
      <c r="B27" s="1">
        <v>46062</v>
      </c>
      <c r="C27" s="4">
        <v>224.13</v>
      </c>
      <c r="D27" s="4">
        <v>93.933800000000005</v>
      </c>
      <c r="E27" s="12">
        <f t="shared" si="0"/>
        <v>0.419104091375541</v>
      </c>
      <c r="F27" s="13">
        <f t="shared" si="1"/>
        <v>0.41911997587095284</v>
      </c>
      <c r="G27" s="13">
        <f t="shared" si="6"/>
        <v>0.41897306379396099</v>
      </c>
      <c r="H27" s="4">
        <f t="shared" si="2"/>
        <v>93.937360191956657</v>
      </c>
      <c r="I27" s="4">
        <f t="shared" si="3"/>
        <v>93.904432788140468</v>
      </c>
      <c r="J27" s="15">
        <f t="shared" si="4"/>
        <v>3.7900356323238439E-5</v>
      </c>
      <c r="K27" s="15">
        <f t="shared" si="5"/>
        <v>-3.126862051767597E-4</v>
      </c>
    </row>
    <row r="28" spans="2:11" x14ac:dyDescent="0.3">
      <c r="B28" s="1">
        <v>46063</v>
      </c>
      <c r="C28" s="4">
        <v>223.25</v>
      </c>
      <c r="D28" s="4">
        <v>93.531300000000002</v>
      </c>
      <c r="E28" s="12">
        <f t="shared" si="0"/>
        <v>0.41895319148936172</v>
      </c>
      <c r="F28" s="13">
        <f t="shared" si="1"/>
        <v>0.41910531508089222</v>
      </c>
      <c r="G28" s="13">
        <f t="shared" si="6"/>
        <v>0.41897306379396099</v>
      </c>
      <c r="H28" s="4">
        <f t="shared" si="2"/>
        <v>93.56526159180919</v>
      </c>
      <c r="I28" s="4">
        <f t="shared" si="3"/>
        <v>93.535736492001789</v>
      </c>
      <c r="J28" s="15">
        <f t="shared" si="4"/>
        <v>3.6303812206106556E-4</v>
      </c>
      <c r="K28" s="15">
        <f t="shared" si="5"/>
        <v>4.7432108679539187E-5</v>
      </c>
    </row>
    <row r="29" spans="2:11" x14ac:dyDescent="0.3">
      <c r="B29" s="1">
        <v>46064</v>
      </c>
      <c r="C29" s="4">
        <v>223.29</v>
      </c>
      <c r="D29" s="4">
        <v>93.597499999999997</v>
      </c>
      <c r="E29" s="12">
        <f t="shared" si="0"/>
        <v>0.4191746159702629</v>
      </c>
      <c r="F29" s="13">
        <f t="shared" si="1"/>
        <v>0.41911440764217672</v>
      </c>
      <c r="G29" s="13">
        <f t="shared" si="6"/>
        <v>0.41897306379396099</v>
      </c>
      <c r="H29" s="4">
        <f t="shared" si="2"/>
        <v>93.58405608242164</v>
      </c>
      <c r="I29" s="4">
        <f t="shared" si="3"/>
        <v>93.552495414553547</v>
      </c>
      <c r="J29" s="15">
        <f t="shared" si="4"/>
        <v>-1.4364575103284298E-4</v>
      </c>
      <c r="K29" s="15">
        <f t="shared" si="5"/>
        <v>-4.8094669961666576E-4</v>
      </c>
    </row>
    <row r="30" spans="2:11" x14ac:dyDescent="0.3">
      <c r="B30" s="1">
        <v>46065</v>
      </c>
      <c r="C30" s="4">
        <v>217.72</v>
      </c>
      <c r="D30" s="4">
        <v>91.204999999999998</v>
      </c>
      <c r="E30" s="12">
        <f t="shared" si="0"/>
        <v>0.41890960867168842</v>
      </c>
      <c r="F30" s="13">
        <f t="shared" si="1"/>
        <v>0.41909758957227528</v>
      </c>
      <c r="G30" s="13">
        <f t="shared" si="6"/>
        <v>0.41897306379396099</v>
      </c>
      <c r="H30" s="4">
        <f t="shared" si="2"/>
        <v>91.245927201675769</v>
      </c>
      <c r="I30" s="4">
        <f t="shared" si="3"/>
        <v>91.218815449221182</v>
      </c>
      <c r="J30" s="15">
        <f t="shared" si="4"/>
        <v>4.4863792132996354E-4</v>
      </c>
      <c r="K30" s="15">
        <f t="shared" si="5"/>
        <v>1.5146541271025707E-4</v>
      </c>
    </row>
    <row r="31" spans="2:11" x14ac:dyDescent="0.3">
      <c r="B31" s="1">
        <v>46066</v>
      </c>
      <c r="C31" s="4">
        <v>217.95</v>
      </c>
      <c r="D31" s="4">
        <v>91.35</v>
      </c>
      <c r="E31" s="12">
        <f t="shared" si="0"/>
        <v>0.41913282863041984</v>
      </c>
      <c r="F31" s="13">
        <f t="shared" si="1"/>
        <v>0.41908974650869951</v>
      </c>
      <c r="G31" s="13">
        <f t="shared" si="6"/>
        <v>0.41897306379396099</v>
      </c>
      <c r="H31" s="4">
        <f t="shared" si="2"/>
        <v>91.34061025157105</v>
      </c>
      <c r="I31" s="4">
        <f t="shared" si="3"/>
        <v>91.315179253893788</v>
      </c>
      <c r="J31" s="15">
        <f t="shared" si="4"/>
        <v>-1.027939906082604E-4</v>
      </c>
      <c r="K31" s="15">
        <f t="shared" si="5"/>
        <v>-3.8125215402526303E-4</v>
      </c>
    </row>
    <row r="32" spans="2:11" x14ac:dyDescent="0.3">
      <c r="B32" s="1">
        <v>46070</v>
      </c>
      <c r="C32" s="4">
        <v>218.1</v>
      </c>
      <c r="D32" s="4">
        <v>91.385000000000005</v>
      </c>
      <c r="E32" s="12">
        <f t="shared" si="0"/>
        <v>0.41900504355800094</v>
      </c>
      <c r="F32" s="13">
        <f t="shared" si="1"/>
        <v>0.41907729760828943</v>
      </c>
      <c r="G32" s="13">
        <f t="shared" si="6"/>
        <v>0.41897306379396099</v>
      </c>
      <c r="H32" s="4">
        <f t="shared" si="2"/>
        <v>91.400758608367923</v>
      </c>
      <c r="I32" s="4">
        <f t="shared" si="3"/>
        <v>91.378025213462891</v>
      </c>
      <c r="J32" s="15">
        <f t="shared" si="4"/>
        <v>1.7242709198936042E-4</v>
      </c>
      <c r="K32" s="15">
        <f t="shared" si="5"/>
        <v>-7.632601323326812E-5</v>
      </c>
    </row>
    <row r="33" spans="2:11" x14ac:dyDescent="0.3">
      <c r="B33" s="1">
        <v>46071</v>
      </c>
      <c r="C33" s="4">
        <v>220.1</v>
      </c>
      <c r="D33" s="4">
        <v>92.23</v>
      </c>
      <c r="E33" s="12">
        <f t="shared" si="0"/>
        <v>0.41903680145388461</v>
      </c>
      <c r="F33" s="13">
        <f t="shared" si="1"/>
        <v>0.41908645226478952</v>
      </c>
      <c r="G33" s="13">
        <f t="shared" si="6"/>
        <v>0.41897306379396099</v>
      </c>
      <c r="H33" s="4">
        <f t="shared" si="2"/>
        <v>92.240928143480176</v>
      </c>
      <c r="I33" s="4">
        <f t="shared" si="3"/>
        <v>92.215971341050818</v>
      </c>
      <c r="J33" s="15">
        <f t="shared" si="4"/>
        <v>1.1848092924924781E-4</v>
      </c>
      <c r="K33" s="15">
        <f t="shared" si="5"/>
        <v>-1.5211672962269057E-4</v>
      </c>
    </row>
    <row r="34" spans="2:11" x14ac:dyDescent="0.3">
      <c r="B34" s="1">
        <v>46072</v>
      </c>
      <c r="C34" s="4">
        <v>219.18</v>
      </c>
      <c r="D34" s="4">
        <v>91.831299999999999</v>
      </c>
      <c r="E34" s="12">
        <f t="shared" si="0"/>
        <v>0.41897664020439818</v>
      </c>
      <c r="F34" s="13">
        <f t="shared" si="1"/>
        <v>0.41907877616786982</v>
      </c>
      <c r="G34" s="13">
        <f t="shared" si="6"/>
        <v>0.41897306379396099</v>
      </c>
      <c r="H34" s="4">
        <f t="shared" si="2"/>
        <v>91.853686160473714</v>
      </c>
      <c r="I34" s="4">
        <f t="shared" si="3"/>
        <v>91.830516122360379</v>
      </c>
      <c r="J34" s="15">
        <f t="shared" si="4"/>
        <v>2.4374513184217196E-4</v>
      </c>
      <c r="K34" s="15">
        <f t="shared" si="5"/>
        <v>-8.5360980978911698E-6</v>
      </c>
    </row>
    <row r="35" spans="2:11" x14ac:dyDescent="0.3">
      <c r="B35" s="1">
        <v>46073</v>
      </c>
      <c r="C35" s="4">
        <v>220.32</v>
      </c>
      <c r="D35" s="4">
        <v>92.2</v>
      </c>
      <c r="E35" s="12">
        <f t="shared" si="0"/>
        <v>0.41848220769789402</v>
      </c>
      <c r="F35" s="13">
        <f t="shared" si="1"/>
        <v>0.41904403451648492</v>
      </c>
      <c r="G35" s="13">
        <f t="shared" si="6"/>
        <v>0.41897306379396099</v>
      </c>
      <c r="H35" s="4">
        <f t="shared" si="2"/>
        <v>92.323781684671957</v>
      </c>
      <c r="I35" s="4">
        <f t="shared" si="3"/>
        <v>92.308145415085477</v>
      </c>
      <c r="J35" s="15">
        <f t="shared" si="4"/>
        <v>1.3416341471968439E-3</v>
      </c>
      <c r="K35" s="15">
        <f t="shared" si="5"/>
        <v>1.1722564033852974E-3</v>
      </c>
    </row>
    <row r="36" spans="2:11" x14ac:dyDescent="0.3">
      <c r="B36" s="1">
        <v>46076</v>
      </c>
      <c r="C36" s="4">
        <v>216.95</v>
      </c>
      <c r="D36" s="4">
        <v>90.856300000000005</v>
      </c>
      <c r="E36" s="12">
        <f t="shared" si="0"/>
        <v>0.41878912191749257</v>
      </c>
      <c r="F36" s="13">
        <f t="shared" si="1"/>
        <v>0.41902922976596313</v>
      </c>
      <c r="G36" s="13">
        <f t="shared" si="6"/>
        <v>0.41897306379396099</v>
      </c>
      <c r="H36" s="4">
        <f t="shared" si="2"/>
        <v>90.908391397725694</v>
      </c>
      <c r="I36" s="4">
        <f t="shared" si="3"/>
        <v>90.896206190099832</v>
      </c>
      <c r="J36" s="15">
        <f t="shared" si="4"/>
        <v>5.7317401692525099E-4</v>
      </c>
      <c r="K36" s="15">
        <f t="shared" si="5"/>
        <v>4.3912671772854399E-4</v>
      </c>
    </row>
    <row r="37" spans="2:11" x14ac:dyDescent="0.3">
      <c r="B37" s="1">
        <v>46077</v>
      </c>
      <c r="C37" s="4">
        <v>219.97</v>
      </c>
      <c r="D37" s="4">
        <v>92.162499999999994</v>
      </c>
      <c r="E37" s="12">
        <f t="shared" si="0"/>
        <v>0.41897758785288902</v>
      </c>
      <c r="F37" s="13">
        <f t="shared" si="1"/>
        <v>0.4190245556800784</v>
      </c>
      <c r="G37" s="13">
        <f t="shared" si="6"/>
        <v>0.41897306379396099</v>
      </c>
      <c r="H37" s="4">
        <f t="shared" si="2"/>
        <v>92.172831512946843</v>
      </c>
      <c r="I37" s="4">
        <f t="shared" si="3"/>
        <v>92.161504842757594</v>
      </c>
      <c r="J37" s="15">
        <f t="shared" si="4"/>
        <v>1.1209476634648717E-4</v>
      </c>
      <c r="K37" s="15">
        <f t="shared" si="5"/>
        <v>-1.0797912548202456E-5</v>
      </c>
    </row>
    <row r="38" spans="2:11" x14ac:dyDescent="0.3">
      <c r="B38" s="1">
        <v>46078</v>
      </c>
      <c r="C38" s="4">
        <v>224.1</v>
      </c>
      <c r="D38" s="4">
        <v>93.907499999999999</v>
      </c>
      <c r="E38" s="12">
        <f t="shared" si="0"/>
        <v>0.41904283801874165</v>
      </c>
      <c r="F38" s="13">
        <f t="shared" si="1"/>
        <v>0.4190199666023996</v>
      </c>
      <c r="G38" s="13">
        <f t="shared" si="6"/>
        <v>0.41897306379396099</v>
      </c>
      <c r="H38" s="4">
        <f t="shared" si="2"/>
        <v>93.902374515597742</v>
      </c>
      <c r="I38" s="4">
        <f t="shared" si="3"/>
        <v>93.891863596226656</v>
      </c>
      <c r="J38" s="15">
        <f t="shared" si="4"/>
        <v>-5.458162854049832E-5</v>
      </c>
      <c r="K38" s="15">
        <f t="shared" si="5"/>
        <v>-1.6652243660525434E-4</v>
      </c>
    </row>
    <row r="39" spans="2:11" x14ac:dyDescent="0.3">
      <c r="B39" s="1">
        <v>46079</v>
      </c>
      <c r="C39" s="4">
        <v>220.79</v>
      </c>
      <c r="D39" s="4">
        <v>92.523799999999994</v>
      </c>
      <c r="E39" s="12">
        <f t="shared" si="0"/>
        <v>0.41905792834820416</v>
      </c>
      <c r="F39" s="13">
        <f t="shared" si="1"/>
        <v>0.41902024009025907</v>
      </c>
      <c r="G39" s="13">
        <f t="shared" si="6"/>
        <v>0.41897306379396099</v>
      </c>
      <c r="H39" s="4">
        <f t="shared" si="2"/>
        <v>92.51547880952829</v>
      </c>
      <c r="I39" s="4">
        <f t="shared" si="3"/>
        <v>92.50506275506865</v>
      </c>
      <c r="J39" s="15">
        <f t="shared" si="4"/>
        <v>-8.9939720159411591E-5</v>
      </c>
      <c r="K39" s="15">
        <f t="shared" si="5"/>
        <v>-2.0253321256362574E-4</v>
      </c>
    </row>
    <row r="40" spans="2:11" x14ac:dyDescent="0.3">
      <c r="B40" s="1">
        <v>46080</v>
      </c>
      <c r="C40" s="4">
        <v>216.55</v>
      </c>
      <c r="D40" s="4">
        <v>90.837500000000006</v>
      </c>
      <c r="E40" s="12">
        <f t="shared" si="0"/>
        <v>0.41947587162318173</v>
      </c>
      <c r="F40" s="13">
        <f t="shared" si="1"/>
        <v>0.41904135895563421</v>
      </c>
      <c r="G40" s="13">
        <f t="shared" si="6"/>
        <v>0.41897306379396099</v>
      </c>
      <c r="H40" s="4">
        <f t="shared" si="2"/>
        <v>90.743406281842596</v>
      </c>
      <c r="I40" s="4">
        <f t="shared" si="3"/>
        <v>90.728616964582258</v>
      </c>
      <c r="J40" s="15">
        <f t="shared" si="4"/>
        <v>-1.036383488839554E-3</v>
      </c>
      <c r="K40" s="15">
        <f t="shared" si="5"/>
        <v>-1.1993762965297066E-3</v>
      </c>
    </row>
    <row r="41" spans="2:11" x14ac:dyDescent="0.3">
      <c r="B41" s="1">
        <v>46083</v>
      </c>
      <c r="C41" s="4">
        <v>218.83</v>
      </c>
      <c r="D41" s="4">
        <v>91.7363</v>
      </c>
      <c r="E41" s="12">
        <f t="shared" si="0"/>
        <v>0.41921263080930399</v>
      </c>
      <c r="F41" s="13">
        <f t="shared" si="1"/>
        <v>0.41903634643438437</v>
      </c>
      <c r="G41" s="13">
        <f t="shared" si="6"/>
        <v>0.41897306379396099</v>
      </c>
      <c r="H41" s="4">
        <f t="shared" si="2"/>
        <v>91.69772369023633</v>
      </c>
      <c r="I41" s="4">
        <f t="shared" si="3"/>
        <v>91.683875550032482</v>
      </c>
      <c r="J41" s="15">
        <f t="shared" si="4"/>
        <v>-4.2060147355766741E-4</v>
      </c>
      <c r="K41" s="15">
        <f t="shared" si="5"/>
        <v>-5.7163233257022145E-4</v>
      </c>
    </row>
    <row r="42" spans="2:11" x14ac:dyDescent="0.3">
      <c r="B42" s="1">
        <v>46084</v>
      </c>
      <c r="C42" s="4">
        <v>215.75</v>
      </c>
      <c r="D42" s="4">
        <v>90.46</v>
      </c>
      <c r="E42" s="12">
        <f t="shared" si="0"/>
        <v>0.41928157589803011</v>
      </c>
      <c r="F42" s="13">
        <f t="shared" si="1"/>
        <v>0.41906002213264948</v>
      </c>
      <c r="G42" s="13">
        <f t="shared" si="6"/>
        <v>0.41897306379396099</v>
      </c>
      <c r="H42" s="4">
        <f t="shared" si="2"/>
        <v>90.41219977511912</v>
      </c>
      <c r="I42" s="4">
        <f t="shared" si="3"/>
        <v>90.393438513547082</v>
      </c>
      <c r="J42" s="15">
        <f t="shared" si="4"/>
        <v>-5.2855249234677246E-4</v>
      </c>
      <c r="K42" s="15">
        <f t="shared" si="5"/>
        <v>-7.3608210057089991E-4</v>
      </c>
    </row>
    <row r="43" spans="2:11" x14ac:dyDescent="0.3">
      <c r="B43" s="1">
        <v>46085</v>
      </c>
      <c r="C43" s="4">
        <v>218.57</v>
      </c>
      <c r="D43" s="4">
        <v>91.641300000000001</v>
      </c>
      <c r="E43" s="12">
        <f t="shared" si="0"/>
        <v>0.41927666193896695</v>
      </c>
      <c r="F43" s="13">
        <f t="shared" si="1"/>
        <v>0.4190622467042312</v>
      </c>
      <c r="G43" s="13">
        <f t="shared" si="6"/>
        <v>0.41897306379396099</v>
      </c>
      <c r="H43" s="4">
        <f t="shared" si="2"/>
        <v>91.594435262143804</v>
      </c>
      <c r="I43" s="4">
        <f t="shared" si="3"/>
        <v>91.57494255344605</v>
      </c>
      <c r="J43" s="15">
        <f t="shared" si="4"/>
        <v>-5.1152400825117206E-4</v>
      </c>
      <c r="K43" s="15">
        <f t="shared" si="5"/>
        <v>-7.243620819925436E-4</v>
      </c>
    </row>
    <row r="44" spans="2:11" x14ac:dyDescent="0.3">
      <c r="B44" s="1">
        <v>46086</v>
      </c>
      <c r="C44" s="4">
        <v>218.72</v>
      </c>
      <c r="D44" s="4">
        <v>91.658799999999999</v>
      </c>
      <c r="E44" s="12">
        <f t="shared" si="0"/>
        <v>0.41906912948061448</v>
      </c>
      <c r="F44" s="13">
        <f t="shared" si="1"/>
        <v>0.41905018914219577</v>
      </c>
      <c r="G44" s="13">
        <f t="shared" si="6"/>
        <v>0.41897306379396099</v>
      </c>
      <c r="H44" s="4">
        <f t="shared" si="2"/>
        <v>91.654657369181052</v>
      </c>
      <c r="I44" s="4">
        <f t="shared" si="3"/>
        <v>91.637788513015153</v>
      </c>
      <c r="J44" s="15">
        <f t="shared" si="4"/>
        <v>-4.5197236243346108E-5</v>
      </c>
      <c r="K44" s="15">
        <f t="shared" si="5"/>
        <v>-2.2926217282417209E-4</v>
      </c>
    </row>
    <row r="45" spans="2:11" x14ac:dyDescent="0.3">
      <c r="B45" s="1">
        <v>46087</v>
      </c>
      <c r="C45" s="4">
        <v>214.29</v>
      </c>
      <c r="D45" s="4">
        <v>89.878799999999998</v>
      </c>
      <c r="E45" s="12">
        <f t="shared" si="0"/>
        <v>0.41942601147977043</v>
      </c>
      <c r="F45" s="13">
        <f t="shared" si="1"/>
        <v>0.4190669872792373</v>
      </c>
      <c r="G45" s="13">
        <f t="shared" si="6"/>
        <v>0.41897306379396099</v>
      </c>
      <c r="H45" s="4">
        <f t="shared" si="2"/>
        <v>89.801864704067754</v>
      </c>
      <c r="I45" s="4">
        <f t="shared" si="3"/>
        <v>89.781737840407899</v>
      </c>
      <c r="J45" s="15">
        <f t="shared" si="4"/>
        <v>-8.5635592188658221E-4</v>
      </c>
      <c r="K45" s="15">
        <f t="shared" si="5"/>
        <v>-1.0805062725751362E-3</v>
      </c>
    </row>
    <row r="46" spans="2:11" x14ac:dyDescent="0.3">
      <c r="B46" s="1">
        <v>46090</v>
      </c>
      <c r="C46" s="4">
        <v>218.19</v>
      </c>
      <c r="D46" s="4">
        <v>91.483800000000002</v>
      </c>
      <c r="E46" s="12">
        <f t="shared" si="0"/>
        <v>0.4192850268114946</v>
      </c>
      <c r="F46" s="13">
        <f t="shared" si="1"/>
        <v>0.41908347066150708</v>
      </c>
      <c r="G46" s="13">
        <f t="shared" si="6"/>
        <v>0.41897306379396099</v>
      </c>
      <c r="H46" s="4">
        <f t="shared" si="2"/>
        <v>91.439822463634229</v>
      </c>
      <c r="I46" s="4">
        <f t="shared" si="3"/>
        <v>91.415732789204341</v>
      </c>
      <c r="J46" s="15">
        <f t="shared" si="4"/>
        <v>-4.8082950272658302E-4</v>
      </c>
      <c r="K46" s="15">
        <f t="shared" si="5"/>
        <v>-7.4431260594370386E-4</v>
      </c>
    </row>
    <row r="47" spans="2:11" x14ac:dyDescent="0.3">
      <c r="B47" s="1">
        <v>46091</v>
      </c>
      <c r="C47" s="4">
        <v>218.23</v>
      </c>
      <c r="D47" s="4">
        <v>91.498800000000003</v>
      </c>
      <c r="E47" s="12">
        <f t="shared" si="0"/>
        <v>0.41927690968244519</v>
      </c>
      <c r="F47" s="13">
        <f t="shared" si="1"/>
        <v>0.41909211157685233</v>
      </c>
      <c r="G47" s="13">
        <f t="shared" si="6"/>
        <v>0.41897306379396099</v>
      </c>
      <c r="H47" s="4">
        <f t="shared" si="2"/>
        <v>91.458471509416484</v>
      </c>
      <c r="I47" s="4">
        <f t="shared" si="3"/>
        <v>91.4324917117561</v>
      </c>
      <c r="J47" s="15">
        <f t="shared" si="4"/>
        <v>-4.4085147208369828E-4</v>
      </c>
      <c r="K47" s="15">
        <f t="shared" si="5"/>
        <v>-7.2495296488095352E-4</v>
      </c>
    </row>
    <row r="48" spans="2:11" x14ac:dyDescent="0.3">
      <c r="B48" s="1">
        <v>46092</v>
      </c>
      <c r="C48" s="4">
        <v>219.09</v>
      </c>
      <c r="D48" s="4">
        <v>91.88</v>
      </c>
      <c r="E48" s="12">
        <f t="shared" si="0"/>
        <v>0.41937103473458393</v>
      </c>
      <c r="F48" s="13">
        <f t="shared" si="1"/>
        <v>0.41911300373911342</v>
      </c>
      <c r="G48" s="13">
        <f t="shared" si="6"/>
        <v>0.41897306379396099</v>
      </c>
      <c r="H48" s="4">
        <f t="shared" si="2"/>
        <v>91.823467989202356</v>
      </c>
      <c r="I48" s="4">
        <f t="shared" si="3"/>
        <v>91.792808546618915</v>
      </c>
      <c r="J48" s="15">
        <f t="shared" si="4"/>
        <v>-6.1547028154642128E-4</v>
      </c>
      <c r="K48" s="15">
        <f t="shared" si="5"/>
        <v>-9.4942153518047068E-4</v>
      </c>
    </row>
    <row r="49" spans="1:11" x14ac:dyDescent="0.3">
      <c r="B49" s="1">
        <v>46093</v>
      </c>
      <c r="C49" s="4">
        <v>214.93</v>
      </c>
      <c r="D49" s="4">
        <v>90.082499999999996</v>
      </c>
      <c r="E49" s="12">
        <f t="shared" si="0"/>
        <v>0.41912483134043638</v>
      </c>
      <c r="F49" s="13">
        <f t="shared" si="1"/>
        <v>0.41911051450762205</v>
      </c>
      <c r="G49" s="13">
        <f t="shared" si="6"/>
        <v>0.41897306379396099</v>
      </c>
      <c r="H49" s="4">
        <f t="shared" si="2"/>
        <v>90.079422883123215</v>
      </c>
      <c r="I49" s="4">
        <f t="shared" si="3"/>
        <v>90.04988060123604</v>
      </c>
      <c r="J49" s="15">
        <f t="shared" si="4"/>
        <v>-3.415945864518018E-5</v>
      </c>
      <c r="K49" s="15">
        <f t="shared" si="5"/>
        <v>-3.6217140984466016E-4</v>
      </c>
    </row>
    <row r="50" spans="1:11" x14ac:dyDescent="0.3">
      <c r="B50" s="1">
        <v>46094</v>
      </c>
      <c r="C50" s="4">
        <v>213.01</v>
      </c>
      <c r="D50" s="4">
        <v>89.305000000000007</v>
      </c>
      <c r="E50" s="12">
        <f t="shared" si="0"/>
        <v>0.4192526172480166</v>
      </c>
      <c r="F50" s="13">
        <f t="shared" si="1"/>
        <v>0.41912766493643849</v>
      </c>
      <c r="G50" s="13">
        <f t="shared" si="6"/>
        <v>0.41897306379396099</v>
      </c>
      <c r="H50" s="4">
        <f t="shared" si="2"/>
        <v>89.278383908110754</v>
      </c>
      <c r="I50" s="4">
        <f t="shared" si="3"/>
        <v>89.245452318751632</v>
      </c>
      <c r="J50" s="15">
        <f t="shared" si="4"/>
        <v>-2.9808027492657228E-4</v>
      </c>
      <c r="K50" s="15">
        <f t="shared" si="5"/>
        <v>-6.6701240666511535E-4</v>
      </c>
    </row>
    <row r="51" spans="1:11" x14ac:dyDescent="0.3">
      <c r="B51" s="1">
        <v>46097</v>
      </c>
      <c r="C51" s="4">
        <v>216.12</v>
      </c>
      <c r="D51" s="4">
        <v>90.618799999999993</v>
      </c>
      <c r="E51" s="12">
        <f t="shared" si="0"/>
        <v>0.4192985378493429</v>
      </c>
      <c r="F51" s="13">
        <f t="shared" si="1"/>
        <v>0.4191359503973846</v>
      </c>
      <c r="G51" s="13">
        <f t="shared" si="6"/>
        <v>0.41897306379396099</v>
      </c>
      <c r="H51" s="4">
        <f t="shared" si="2"/>
        <v>90.58366159988276</v>
      </c>
      <c r="I51" s="4">
        <f t="shared" si="3"/>
        <v>90.548458547150844</v>
      </c>
      <c r="J51" s="15">
        <f t="shared" si="4"/>
        <v>-3.8783579701332611E-4</v>
      </c>
      <c r="K51" s="15">
        <f t="shared" si="5"/>
        <v>-7.7653607995118216E-4</v>
      </c>
    </row>
    <row r="52" spans="1:11" x14ac:dyDescent="0.3">
      <c r="B52" s="1">
        <v>46098</v>
      </c>
      <c r="C52" s="4">
        <v>216.86</v>
      </c>
      <c r="D52" s="4">
        <v>90.924999999999997</v>
      </c>
      <c r="E52" s="12">
        <f t="shared" si="0"/>
        <v>0.41927971963478738</v>
      </c>
      <c r="F52" s="13">
        <f t="shared" si="1"/>
        <v>0.41914968420122395</v>
      </c>
      <c r="G52" s="13">
        <f t="shared" si="6"/>
        <v>0.41897306379396099</v>
      </c>
      <c r="H52" s="4">
        <f t="shared" si="2"/>
        <v>90.89680051587743</v>
      </c>
      <c r="I52" s="4">
        <f t="shared" si="3"/>
        <v>90.858498614358382</v>
      </c>
      <c r="J52" s="15">
        <f t="shared" si="4"/>
        <v>-3.1018815421097069E-4</v>
      </c>
      <c r="K52" s="15">
        <f t="shared" si="5"/>
        <v>-7.3165484342791137E-4</v>
      </c>
    </row>
    <row r="53" spans="1:11" x14ac:dyDescent="0.3">
      <c r="B53" s="1">
        <v>46099</v>
      </c>
      <c r="C53" s="4">
        <v>214.68</v>
      </c>
      <c r="D53" s="4">
        <v>89.981300000000005</v>
      </c>
      <c r="E53" s="12">
        <f t="shared" si="0"/>
        <v>0.41914151294950625</v>
      </c>
      <c r="F53" s="13">
        <f t="shared" si="1"/>
        <v>0.41915491977600505</v>
      </c>
      <c r="G53" s="13">
        <f t="shared" si="6"/>
        <v>0.41897306379396099</v>
      </c>
      <c r="H53" s="4">
        <f t="shared" si="2"/>
        <v>89.984178177512774</v>
      </c>
      <c r="I53" s="4">
        <f t="shared" si="3"/>
        <v>89.945137335287541</v>
      </c>
      <c r="J53" s="15">
        <f t="shared" si="4"/>
        <v>3.1985884650301852E-5</v>
      </c>
      <c r="K53" s="15">
        <f t="shared" si="5"/>
        <v>-4.0197166947744423E-4</v>
      </c>
    </row>
    <row r="54" spans="1:11" x14ac:dyDescent="0.3">
      <c r="B54" s="1">
        <v>46100</v>
      </c>
      <c r="C54" s="4">
        <v>215.19</v>
      </c>
      <c r="D54" s="4">
        <v>90.215000000000003</v>
      </c>
      <c r="E54" s="12">
        <f t="shared" si="0"/>
        <v>0.41923416515637346</v>
      </c>
      <c r="F54" s="13">
        <f t="shared" si="1"/>
        <v>0.41916779602360388</v>
      </c>
      <c r="G54" s="13">
        <f t="shared" si="6"/>
        <v>0.41897306379396099</v>
      </c>
      <c r="H54" s="4">
        <f t="shared" si="2"/>
        <v>90.200718026319322</v>
      </c>
      <c r="I54" s="4">
        <f t="shared" si="3"/>
        <v>90.158813597822459</v>
      </c>
      <c r="J54" s="15">
        <f t="shared" si="4"/>
        <v>-1.583229428871533E-4</v>
      </c>
      <c r="K54" s="15">
        <f t="shared" si="5"/>
        <v>-6.2299956822025552E-4</v>
      </c>
    </row>
    <row r="55" spans="1:11" x14ac:dyDescent="0.3">
      <c r="A55" s="8" t="s">
        <v>15</v>
      </c>
      <c r="B55" s="1">
        <v>46101</v>
      </c>
      <c r="C55" s="10">
        <f>210.06+0.221</f>
        <v>210.28100000000001</v>
      </c>
      <c r="D55" s="4">
        <v>88.141300000000001</v>
      </c>
      <c r="E55" s="12">
        <f t="shared" si="0"/>
        <v>0.41915960072474451</v>
      </c>
      <c r="F55" s="13">
        <f t="shared" si="1"/>
        <v>0.41920166567494632</v>
      </c>
      <c r="G55" s="13">
        <f t="shared" si="6"/>
        <v>0.41897306379396099</v>
      </c>
      <c r="H55" s="4">
        <f t="shared" si="2"/>
        <v>88.150145459793393</v>
      </c>
      <c r="I55" s="4">
        <f t="shared" si="3"/>
        <v>88.102074827657916</v>
      </c>
      <c r="J55" s="15">
        <f t="shared" si="4"/>
        <v>1.0035041436911576E-4</v>
      </c>
      <c r="K55" s="15">
        <f t="shared" si="5"/>
        <v>-4.4512507807001632E-4</v>
      </c>
    </row>
    <row r="56" spans="1:11" x14ac:dyDescent="0.3">
      <c r="B56" s="1">
        <v>46104</v>
      </c>
      <c r="C56" s="10">
        <f>213.33+0.221</f>
        <v>213.55100000000002</v>
      </c>
      <c r="D56" s="4">
        <v>89.552499999999995</v>
      </c>
      <c r="E56" s="12">
        <f t="shared" si="0"/>
        <v>0.41934947623752633</v>
      </c>
      <c r="F56" s="13">
        <f t="shared" si="1"/>
        <v>0.41922968339094802</v>
      </c>
      <c r="G56" s="13">
        <f t="shared" si="6"/>
        <v>0.41897306379396099</v>
      </c>
      <c r="H56" s="4">
        <f t="shared" si="2"/>
        <v>89.526918117820344</v>
      </c>
      <c r="I56" s="4">
        <f t="shared" si="3"/>
        <v>89.472116746264163</v>
      </c>
      <c r="J56" s="15">
        <f t="shared" si="4"/>
        <v>-2.8570432741565569E-4</v>
      </c>
      <c r="K56" s="15">
        <f t="shared" si="5"/>
        <v>-8.9801347545075886E-4</v>
      </c>
    </row>
    <row r="57" spans="1:11" x14ac:dyDescent="0.3">
      <c r="A57" s="8" t="s">
        <v>16</v>
      </c>
      <c r="B57" s="1">
        <v>46105</v>
      </c>
      <c r="C57" s="4">
        <v>212.27</v>
      </c>
      <c r="D57" s="4">
        <v>88.987499999999997</v>
      </c>
      <c r="E57" s="12">
        <f t="shared" si="0"/>
        <v>0.41921844820276061</v>
      </c>
      <c r="F57" s="13">
        <f t="shared" si="1"/>
        <v>0.41924172640844165</v>
      </c>
      <c r="G57" s="13">
        <f t="shared" si="6"/>
        <v>0.41897306379396099</v>
      </c>
      <c r="H57" s="4">
        <f t="shared" si="2"/>
        <v>88.992441264719915</v>
      </c>
      <c r="I57" s="4">
        <f t="shared" si="3"/>
        <v>88.935412251544108</v>
      </c>
      <c r="J57" s="15">
        <f t="shared" si="4"/>
        <v>5.5526085536054405E-5</v>
      </c>
      <c r="K57" s="15">
        <f t="shared" si="5"/>
        <v>-5.8550918805007953E-4</v>
      </c>
    </row>
    <row r="58" spans="1:11" x14ac:dyDescent="0.3">
      <c r="B58" s="1">
        <v>46106</v>
      </c>
      <c r="C58" s="4">
        <v>213.65</v>
      </c>
      <c r="D58" s="4">
        <v>89.557500000000005</v>
      </c>
      <c r="E58" s="12">
        <f t="shared" si="0"/>
        <v>0.41917856307044232</v>
      </c>
      <c r="F58" s="13">
        <f t="shared" si="1"/>
        <v>0.4192485126610267</v>
      </c>
      <c r="G58" s="13">
        <f t="shared" si="6"/>
        <v>0.41897306379396099</v>
      </c>
      <c r="H58" s="4">
        <f t="shared" si="2"/>
        <v>89.572444730028352</v>
      </c>
      <c r="I58" s="4">
        <f t="shared" si="3"/>
        <v>89.513595079579773</v>
      </c>
      <c r="J58" s="15">
        <f t="shared" si="4"/>
        <v>1.6685909310750225E-4</v>
      </c>
      <c r="K58" s="15">
        <f t="shared" si="5"/>
        <v>-4.9036301788948553E-4</v>
      </c>
    </row>
    <row r="59" spans="1:11" x14ac:dyDescent="0.3">
      <c r="B59" s="1">
        <v>46107</v>
      </c>
      <c r="C59" s="4">
        <v>207.53</v>
      </c>
      <c r="D59" s="4">
        <v>87.004999999999995</v>
      </c>
      <c r="E59" s="12">
        <f t="shared" si="0"/>
        <v>0.41924059172167877</v>
      </c>
      <c r="F59" s="13">
        <f t="shared" si="1"/>
        <v>0.41925764582970038</v>
      </c>
      <c r="G59" s="13">
        <f t="shared" si="6"/>
        <v>0.41897306379396099</v>
      </c>
      <c r="H59" s="4">
        <f t="shared" si="2"/>
        <v>87.008539239037717</v>
      </c>
      <c r="I59" s="4">
        <f t="shared" si="3"/>
        <v>86.949479929160731</v>
      </c>
      <c r="J59" s="15">
        <f t="shared" si="4"/>
        <v>4.0677743279997138E-5</v>
      </c>
      <c r="K59" s="15">
        <f t="shared" si="5"/>
        <v>-6.3832874838379706E-4</v>
      </c>
    </row>
    <row r="60" spans="1:11" x14ac:dyDescent="0.3">
      <c r="B60" s="1">
        <v>46108</v>
      </c>
      <c r="C60" s="4">
        <v>203.09</v>
      </c>
      <c r="D60" s="4">
        <v>85.125</v>
      </c>
      <c r="E60" s="12">
        <f t="shared" si="0"/>
        <v>0.41914914569895118</v>
      </c>
      <c r="F60" s="13">
        <f t="shared" si="1"/>
        <v>0.41924130953348893</v>
      </c>
      <c r="G60" s="13">
        <f t="shared" si="6"/>
        <v>0.41897306379396099</v>
      </c>
      <c r="H60" s="4">
        <f t="shared" si="2"/>
        <v>85.143717553156264</v>
      </c>
      <c r="I60" s="4">
        <f t="shared" si="3"/>
        <v>85.089239525915545</v>
      </c>
      <c r="J60" s="15">
        <f t="shared" si="4"/>
        <v>2.1985897939021947E-4</v>
      </c>
      <c r="K60" s="15">
        <f t="shared" si="5"/>
        <v>-4.2018193906915896E-4</v>
      </c>
    </row>
    <row r="61" spans="1:11" x14ac:dyDescent="0.3">
      <c r="B61" s="1">
        <v>46111</v>
      </c>
      <c r="C61" s="4">
        <v>199.44</v>
      </c>
      <c r="D61" s="4">
        <v>83.587500000000006</v>
      </c>
      <c r="E61" s="12">
        <f t="shared" si="0"/>
        <v>0.41911101083032493</v>
      </c>
      <c r="F61" s="13">
        <f t="shared" si="1"/>
        <v>0.41923622853454001</v>
      </c>
      <c r="G61" s="13">
        <f t="shared" si="6"/>
        <v>0.41897306379396099</v>
      </c>
      <c r="H61" s="4">
        <f t="shared" si="2"/>
        <v>83.612473418928658</v>
      </c>
      <c r="I61" s="4">
        <f t="shared" si="3"/>
        <v>83.559987843067574</v>
      </c>
      <c r="J61" s="15">
        <f t="shared" si="4"/>
        <v>2.9872515651409081E-4</v>
      </c>
      <c r="K61" s="15">
        <f t="shared" si="5"/>
        <v>-3.2919617920578603E-4</v>
      </c>
    </row>
    <row r="62" spans="1:11" x14ac:dyDescent="0.3">
      <c r="B62" s="1">
        <v>46112</v>
      </c>
      <c r="C62" s="4">
        <v>208.05</v>
      </c>
      <c r="D62" s="4">
        <v>87.215000000000003</v>
      </c>
      <c r="E62" s="12">
        <f t="shared" si="0"/>
        <v>0.41920211487623166</v>
      </c>
      <c r="F62" s="13">
        <f t="shared" si="1"/>
        <v>0.41923225548345</v>
      </c>
      <c r="G62" s="13">
        <f t="shared" si="6"/>
        <v>0.41897306379396099</v>
      </c>
      <c r="H62" s="4">
        <f t="shared" si="2"/>
        <v>87.22127075333178</v>
      </c>
      <c r="I62" s="4">
        <f t="shared" si="3"/>
        <v>87.167345922333581</v>
      </c>
      <c r="J62" s="15">
        <f t="shared" si="4"/>
        <v>7.1897356064789638E-5</v>
      </c>
      <c r="K62" s="15">
        <f t="shared" si="5"/>
        <v>-5.4654705555908217E-4</v>
      </c>
    </row>
    <row r="63" spans="1:11" x14ac:dyDescent="0.3">
      <c r="B63" s="1">
        <v>46113</v>
      </c>
      <c r="C63" s="4">
        <v>210.71</v>
      </c>
      <c r="D63" s="4">
        <v>88.331299999999999</v>
      </c>
      <c r="E63" s="12">
        <f t="shared" si="0"/>
        <v>0.41920791609320868</v>
      </c>
      <c r="F63" s="13">
        <f t="shared" si="1"/>
        <v>0.41922881819116203</v>
      </c>
      <c r="G63" s="13">
        <f t="shared" si="6"/>
        <v>0.41897306379396099</v>
      </c>
      <c r="H63" s="4">
        <f t="shared" si="2"/>
        <v>88.335704281059762</v>
      </c>
      <c r="I63" s="4">
        <f t="shared" si="3"/>
        <v>88.281814272025528</v>
      </c>
      <c r="J63" s="15">
        <f t="shared" si="4"/>
        <v>4.9859690309357343E-5</v>
      </c>
      <c r="K63" s="15">
        <f t="shared" si="5"/>
        <v>-5.6038567094470338E-4</v>
      </c>
    </row>
    <row r="64" spans="1:11" x14ac:dyDescent="0.3">
      <c r="B64" s="1">
        <v>46114</v>
      </c>
      <c r="C64" s="4">
        <v>212.53</v>
      </c>
      <c r="D64" s="4">
        <v>89.081299999999999</v>
      </c>
      <c r="E64" s="12">
        <f t="shared" si="0"/>
        <v>0.41914694396085256</v>
      </c>
      <c r="F64" s="13">
        <f t="shared" si="1"/>
        <v>0.419232708915174</v>
      </c>
      <c r="G64" s="13">
        <f t="shared" si="6"/>
        <v>0.41897306379396099</v>
      </c>
      <c r="H64" s="4">
        <f t="shared" si="2"/>
        <v>89.099527625741928</v>
      </c>
      <c r="I64" s="4">
        <f t="shared" si="3"/>
        <v>89.044345248130526</v>
      </c>
      <c r="J64" s="15">
        <f t="shared" si="4"/>
        <v>2.0459693726194392E-4</v>
      </c>
      <c r="K64" s="15">
        <f t="shared" si="5"/>
        <v>-4.1492905020150064E-4</v>
      </c>
    </row>
    <row r="65" spans="2:11" x14ac:dyDescent="0.3">
      <c r="B65" s="1">
        <v>46118</v>
      </c>
      <c r="C65" s="4">
        <v>213.56</v>
      </c>
      <c r="D65" s="4">
        <v>89.527500000000003</v>
      </c>
      <c r="E65" s="12">
        <f t="shared" si="0"/>
        <v>0.41921474058812513</v>
      </c>
      <c r="F65" s="13">
        <f t="shared" si="1"/>
        <v>0.41922214537059166</v>
      </c>
      <c r="G65" s="13">
        <f t="shared" si="6"/>
        <v>0.41897306379396099</v>
      </c>
      <c r="H65" s="4">
        <f t="shared" si="2"/>
        <v>89.529081365343558</v>
      </c>
      <c r="I65" s="4">
        <f t="shared" si="3"/>
        <v>89.475887503838308</v>
      </c>
      <c r="J65" s="15">
        <f t="shared" si="4"/>
        <v>1.7663303203342523E-5</v>
      </c>
      <c r="K65" s="15">
        <f t="shared" si="5"/>
        <v>-5.766650375917204E-4</v>
      </c>
    </row>
    <row r="66" spans="2:11" x14ac:dyDescent="0.3">
      <c r="B66" s="1">
        <v>46119</v>
      </c>
      <c r="C66" s="4">
        <v>214.27</v>
      </c>
      <c r="D66" s="4">
        <v>89.806299999999993</v>
      </c>
      <c r="E66" s="12">
        <f t="shared" si="0"/>
        <v>0.41912680263219299</v>
      </c>
      <c r="F66" s="13">
        <f t="shared" si="1"/>
        <v>0.41921423416162662</v>
      </c>
      <c r="G66" s="13">
        <f t="shared" si="6"/>
        <v>0.41897306379396099</v>
      </c>
      <c r="H66" s="4">
        <f t="shared" si="2"/>
        <v>89.82503395381174</v>
      </c>
      <c r="I66" s="4">
        <f t="shared" si="3"/>
        <v>89.77335837913202</v>
      </c>
      <c r="J66" s="15">
        <f t="shared" si="4"/>
        <v>2.085822497368438E-4</v>
      </c>
      <c r="K66" s="15">
        <f t="shared" si="5"/>
        <v>-3.6687475112485085E-4</v>
      </c>
    </row>
    <row r="67" spans="2:11" x14ac:dyDescent="0.3">
      <c r="B67" s="1">
        <v>46120</v>
      </c>
      <c r="C67" s="4">
        <v>220.42</v>
      </c>
      <c r="D67" s="4">
        <v>92.387500000000003</v>
      </c>
      <c r="E67" s="12">
        <f t="shared" ref="E67:E130" si="7">D67/C67</f>
        <v>0.41914299972779245</v>
      </c>
      <c r="F67" s="13">
        <f t="shared" si="1"/>
        <v>0.41920753866389393</v>
      </c>
      <c r="G67" s="13">
        <f t="shared" si="6"/>
        <v>0.41897306379396099</v>
      </c>
      <c r="H67" s="4">
        <f t="shared" si="2"/>
        <v>92.401725672295498</v>
      </c>
      <c r="I67" s="4">
        <f t="shared" si="3"/>
        <v>92.350042721464874</v>
      </c>
      <c r="J67" s="15">
        <f t="shared" si="4"/>
        <v>1.5396646933101804E-4</v>
      </c>
      <c r="K67" s="15">
        <f t="shared" si="5"/>
        <v>-4.0551886202052804E-4</v>
      </c>
    </row>
    <row r="68" spans="2:11" x14ac:dyDescent="0.3">
      <c r="B68" s="1">
        <v>46121</v>
      </c>
      <c r="C68" s="4">
        <v>220.68</v>
      </c>
      <c r="D68" s="4">
        <v>92.518799999999999</v>
      </c>
      <c r="E68" s="12">
        <f t="shared" si="7"/>
        <v>0.41924415443175639</v>
      </c>
      <c r="F68" s="13">
        <f t="shared" si="1"/>
        <v>0.41920119464875255</v>
      </c>
      <c r="G68" s="13">
        <f t="shared" si="6"/>
        <v>0.41897306379396099</v>
      </c>
      <c r="H68" s="4">
        <f t="shared" si="2"/>
        <v>92.509319635086712</v>
      </c>
      <c r="I68" s="4">
        <f t="shared" si="3"/>
        <v>92.45897571805132</v>
      </c>
      <c r="J68" s="15">
        <f t="shared" si="4"/>
        <v>-1.0247485560874509E-4</v>
      </c>
      <c r="K68" s="15">
        <f t="shared" si="5"/>
        <v>-6.4682672069386958E-4</v>
      </c>
    </row>
    <row r="69" spans="2:11" x14ac:dyDescent="0.3">
      <c r="B69" s="1">
        <v>46122</v>
      </c>
      <c r="C69" s="4">
        <v>221.67</v>
      </c>
      <c r="D69" s="4">
        <v>92.91</v>
      </c>
      <c r="E69" s="12">
        <f t="shared" si="7"/>
        <v>0.41913655433752878</v>
      </c>
      <c r="F69" s="13">
        <f t="shared" si="1"/>
        <v>0.41920178079860726</v>
      </c>
      <c r="G69" s="13">
        <f t="shared" si="6"/>
        <v>0.41897306379396099</v>
      </c>
      <c r="H69" s="4">
        <f t="shared" si="2"/>
        <v>92.924458749627263</v>
      </c>
      <c r="I69" s="4">
        <f t="shared" si="3"/>
        <v>92.87375905120733</v>
      </c>
      <c r="J69" s="15">
        <f t="shared" si="4"/>
        <v>1.5560891939774357E-4</v>
      </c>
      <c r="K69" s="15">
        <f t="shared" si="5"/>
        <v>-3.9014119896631976E-4</v>
      </c>
    </row>
    <row r="70" spans="2:11" x14ac:dyDescent="0.3">
      <c r="B70" s="1">
        <v>46125</v>
      </c>
      <c r="C70" s="4">
        <v>226.21</v>
      </c>
      <c r="D70" s="4">
        <v>94.782499999999999</v>
      </c>
      <c r="E70" s="12">
        <f t="shared" si="7"/>
        <v>0.41900225454223949</v>
      </c>
      <c r="F70" s="13">
        <f t="shared" si="1"/>
        <v>0.4191892626633183</v>
      </c>
      <c r="G70" s="13">
        <f t="shared" si="6"/>
        <v>0.41897306379396099</v>
      </c>
      <c r="H70" s="4">
        <f t="shared" si="2"/>
        <v>94.824803107069229</v>
      </c>
      <c r="I70" s="4">
        <f t="shared" si="3"/>
        <v>94.775896760831913</v>
      </c>
      <c r="J70" s="15">
        <f t="shared" si="4"/>
        <v>4.4621812638988637E-4</v>
      </c>
      <c r="K70" s="15">
        <f t="shared" si="5"/>
        <v>-6.9669709003578707E-5</v>
      </c>
    </row>
    <row r="71" spans="2:11" x14ac:dyDescent="0.3">
      <c r="B71" s="1">
        <v>46126</v>
      </c>
      <c r="C71" s="4">
        <v>229.6</v>
      </c>
      <c r="D71" s="4">
        <v>96.254999999999995</v>
      </c>
      <c r="E71" s="12">
        <f t="shared" si="7"/>
        <v>0.41922909407665504</v>
      </c>
      <c r="F71" s="13">
        <f t="shared" si="1"/>
        <v>0.41918579047468391</v>
      </c>
      <c r="G71" s="13">
        <f t="shared" si="6"/>
        <v>0.41897306379396099</v>
      </c>
      <c r="H71" s="4">
        <f t="shared" si="2"/>
        <v>96.245057492987428</v>
      </c>
      <c r="I71" s="4">
        <f t="shared" si="3"/>
        <v>96.196215447093437</v>
      </c>
      <c r="J71" s="15">
        <f t="shared" si="4"/>
        <v>-1.0329874339669168E-4</v>
      </c>
      <c r="K71" s="15">
        <f t="shared" si="5"/>
        <v>-6.1090343958816523E-4</v>
      </c>
    </row>
    <row r="72" spans="2:11" x14ac:dyDescent="0.3">
      <c r="B72" s="1">
        <v>46127</v>
      </c>
      <c r="C72" s="4">
        <v>233.81</v>
      </c>
      <c r="D72" s="4">
        <v>98.002499999999998</v>
      </c>
      <c r="E72" s="12">
        <f t="shared" si="7"/>
        <v>0.41915444164064836</v>
      </c>
      <c r="F72" s="13">
        <f t="shared" si="1"/>
        <v>0.41917952657497698</v>
      </c>
      <c r="G72" s="13">
        <f t="shared" si="6"/>
        <v>0.41897306379396099</v>
      </c>
      <c r="H72" s="4">
        <f t="shared" si="2"/>
        <v>98.008365108495369</v>
      </c>
      <c r="I72" s="4">
        <f t="shared" si="3"/>
        <v>97.960092045666016</v>
      </c>
      <c r="J72" s="15">
        <f t="shared" si="4"/>
        <v>5.9844728442639696E-5</v>
      </c>
      <c r="K72" s="15">
        <f t="shared" si="5"/>
        <v>-4.3281684073784424E-4</v>
      </c>
    </row>
    <row r="73" spans="2:11" x14ac:dyDescent="0.3">
      <c r="B73" s="1">
        <v>46128</v>
      </c>
      <c r="C73" s="4">
        <v>236.2</v>
      </c>
      <c r="D73" s="4">
        <v>98.992500000000007</v>
      </c>
      <c r="E73" s="12">
        <f t="shared" si="7"/>
        <v>0.41910457239627441</v>
      </c>
      <c r="F73" s="13">
        <f t="shared" si="1"/>
        <v>0.41917767954731538</v>
      </c>
      <c r="G73" s="13">
        <f t="shared" si="6"/>
        <v>0.41897306379396099</v>
      </c>
      <c r="H73" s="4">
        <f t="shared" si="2"/>
        <v>99.00976790907589</v>
      </c>
      <c r="I73" s="4">
        <f t="shared" si="3"/>
        <v>98.961437668133584</v>
      </c>
      <c r="J73" s="15">
        <f t="shared" si="4"/>
        <v>1.7442132660402211E-4</v>
      </c>
      <c r="K73" s="15">
        <f t="shared" si="5"/>
        <v>-3.1383394023157051E-4</v>
      </c>
    </row>
    <row r="74" spans="2:11" x14ac:dyDescent="0.3">
      <c r="B74" s="1">
        <v>46129</v>
      </c>
      <c r="C74" s="4">
        <v>240.29</v>
      </c>
      <c r="D74" s="4">
        <v>100.69750000000001</v>
      </c>
      <c r="E74" s="12">
        <f t="shared" si="7"/>
        <v>0.41906654459195142</v>
      </c>
      <c r="F74" s="13">
        <f t="shared" si="1"/>
        <v>0.41916929851909429</v>
      </c>
      <c r="G74" s="13">
        <f t="shared" si="6"/>
        <v>0.41897306379396099</v>
      </c>
      <c r="H74" s="4">
        <f t="shared" si="2"/>
        <v>100.72219074115317</v>
      </c>
      <c r="I74" s="4">
        <f t="shared" si="3"/>
        <v>100.67503749905089</v>
      </c>
      <c r="J74" s="15">
        <f t="shared" si="4"/>
        <v>2.4516710542033183E-4</v>
      </c>
      <c r="K74" s="15">
        <f t="shared" si="5"/>
        <v>-2.2309398611407416E-4</v>
      </c>
    </row>
    <row r="75" spans="2:11" x14ac:dyDescent="0.3">
      <c r="B75" s="1">
        <v>46132</v>
      </c>
      <c r="C75" s="4">
        <v>241.31</v>
      </c>
      <c r="D75" s="4">
        <v>101.1413</v>
      </c>
      <c r="E75" s="12">
        <f t="shared" si="7"/>
        <v>0.41913430856574529</v>
      </c>
      <c r="F75" s="13">
        <f t="shared" si="1"/>
        <v>0.41916803391114438</v>
      </c>
      <c r="G75" s="13">
        <f t="shared" si="6"/>
        <v>0.41897306379396099</v>
      </c>
      <c r="H75" s="4">
        <f t="shared" si="2"/>
        <v>101.14943826309825</v>
      </c>
      <c r="I75" s="4">
        <f t="shared" si="3"/>
        <v>101.10239002412072</v>
      </c>
      <c r="J75" s="15">
        <f t="shared" si="4"/>
        <v>8.0461054940079085E-5</v>
      </c>
      <c r="K75" s="15">
        <f t="shared" si="5"/>
        <v>-3.8478309365014052E-4</v>
      </c>
    </row>
    <row r="76" spans="2:11" x14ac:dyDescent="0.3">
      <c r="B76" s="1">
        <v>46133</v>
      </c>
      <c r="C76" s="4">
        <v>240.98</v>
      </c>
      <c r="D76" s="4">
        <v>101.02</v>
      </c>
      <c r="E76" s="12">
        <f t="shared" si="7"/>
        <v>0.41920491327081083</v>
      </c>
      <c r="F76" s="13">
        <f t="shared" si="1"/>
        <v>0.41916080576280856</v>
      </c>
      <c r="G76" s="13">
        <f t="shared" si="6"/>
        <v>0.41897306379396099</v>
      </c>
      <c r="H76" s="4">
        <f t="shared" ref="H76:H139" si="8">C76*F76</f>
        <v>101.0093709727216</v>
      </c>
      <c r="I76" s="4">
        <f t="shared" ref="I76:I139" si="9">C76*G76</f>
        <v>100.96412891306872</v>
      </c>
      <c r="J76" s="15">
        <f t="shared" ref="J76:J139" si="10">LN(H76/D76)</f>
        <v>-1.0522259448744585E-4</v>
      </c>
      <c r="K76" s="15">
        <f t="shared" ref="K76:K139" si="11">LN(I76/D76)</f>
        <v>-5.5322255918718042E-4</v>
      </c>
    </row>
    <row r="77" spans="2:11" x14ac:dyDescent="0.3">
      <c r="B77" s="1">
        <v>46134</v>
      </c>
      <c r="C77" s="4">
        <v>245.86</v>
      </c>
      <c r="D77" s="4">
        <v>103.03</v>
      </c>
      <c r="E77" s="12">
        <f t="shared" si="7"/>
        <v>0.41905962743024483</v>
      </c>
      <c r="F77" s="13">
        <f t="shared" si="1"/>
        <v>0.41915286472418273</v>
      </c>
      <c r="G77" s="13">
        <f t="shared" si="6"/>
        <v>0.41897306379396099</v>
      </c>
      <c r="H77" s="4">
        <f t="shared" si="8"/>
        <v>103.05292332108758</v>
      </c>
      <c r="I77" s="4">
        <f t="shared" si="9"/>
        <v>103.00871746438325</v>
      </c>
      <c r="J77" s="15">
        <f t="shared" si="10"/>
        <v>2.2246696439190669E-4</v>
      </c>
      <c r="K77" s="15">
        <f t="shared" si="11"/>
        <v>-2.0658773219277632E-4</v>
      </c>
    </row>
    <row r="78" spans="2:11" x14ac:dyDescent="0.3">
      <c r="B78" s="1">
        <v>46135</v>
      </c>
      <c r="C78" s="4">
        <v>242.41</v>
      </c>
      <c r="D78" s="4">
        <v>101.57</v>
      </c>
      <c r="E78" s="12">
        <f t="shared" si="7"/>
        <v>0.41900086630089517</v>
      </c>
      <c r="F78" s="13">
        <f t="shared" si="1"/>
        <v>0.4191439798857054</v>
      </c>
      <c r="G78" s="13">
        <f t="shared" si="6"/>
        <v>0.41897306379396099</v>
      </c>
      <c r="H78" s="4">
        <f t="shared" si="8"/>
        <v>101.60469216409385</v>
      </c>
      <c r="I78" s="4">
        <f t="shared" si="9"/>
        <v>101.56326039429408</v>
      </c>
      <c r="J78" s="15">
        <f t="shared" si="10"/>
        <v>3.4150084404205669E-4</v>
      </c>
      <c r="K78" s="15">
        <f t="shared" si="11"/>
        <v>-6.6356496177016072E-5</v>
      </c>
    </row>
    <row r="79" spans="2:11" x14ac:dyDescent="0.3">
      <c r="B79" s="1">
        <v>46136</v>
      </c>
      <c r="C79" s="4">
        <v>248.58</v>
      </c>
      <c r="D79" s="4">
        <v>104.16</v>
      </c>
      <c r="E79" s="12">
        <f t="shared" si="7"/>
        <v>0.4190200337919382</v>
      </c>
      <c r="F79" s="13">
        <f t="shared" si="1"/>
        <v>0.41913295198921841</v>
      </c>
      <c r="G79" s="13">
        <f t="shared" si="6"/>
        <v>0.41897306379396099</v>
      </c>
      <c r="H79" s="4">
        <f t="shared" si="8"/>
        <v>104.18806920547992</v>
      </c>
      <c r="I79" s="4">
        <f t="shared" si="9"/>
        <v>104.14832419790282</v>
      </c>
      <c r="J79" s="15">
        <f t="shared" si="10"/>
        <v>2.694453157812147E-4</v>
      </c>
      <c r="K79" s="15">
        <f t="shared" si="11"/>
        <v>-1.1210115730477808E-4</v>
      </c>
    </row>
    <row r="80" spans="2:11" x14ac:dyDescent="0.3">
      <c r="B80" s="1">
        <v>46139</v>
      </c>
      <c r="C80" s="4">
        <v>248.85</v>
      </c>
      <c r="D80" s="4">
        <v>104.32</v>
      </c>
      <c r="E80" s="12">
        <f t="shared" si="7"/>
        <v>0.41920835844886478</v>
      </c>
      <c r="F80" s="13">
        <f t="shared" si="1"/>
        <v>0.41913591262671401</v>
      </c>
      <c r="G80" s="13">
        <f t="shared" si="6"/>
        <v>0.41897306379396099</v>
      </c>
      <c r="H80" s="4">
        <f t="shared" si="8"/>
        <v>104.30197185715778</v>
      </c>
      <c r="I80" s="4">
        <f t="shared" si="9"/>
        <v>104.26144692512719</v>
      </c>
      <c r="J80" s="15">
        <f t="shared" si="10"/>
        <v>-1.7283072081621052E-4</v>
      </c>
      <c r="K80" s="15">
        <f t="shared" si="11"/>
        <v>-5.6144088819078868E-4</v>
      </c>
    </row>
    <row r="81" spans="2:11" x14ac:dyDescent="0.3">
      <c r="B81" s="1">
        <v>46140</v>
      </c>
      <c r="C81" s="4">
        <v>244.95</v>
      </c>
      <c r="D81" s="4">
        <v>102.67</v>
      </c>
      <c r="E81" s="12">
        <f t="shared" si="7"/>
        <v>0.4191467646458461</v>
      </c>
      <c r="F81" s="13">
        <f t="shared" si="1"/>
        <v>0.41913770031749004</v>
      </c>
      <c r="G81" s="13">
        <f t="shared" si="6"/>
        <v>0.41897306379396099</v>
      </c>
      <c r="H81" s="4">
        <f t="shared" si="8"/>
        <v>102.66777969276917</v>
      </c>
      <c r="I81" s="4">
        <f t="shared" si="9"/>
        <v>102.62745197633073</v>
      </c>
      <c r="J81" s="15">
        <f t="shared" si="10"/>
        <v>-2.1625900837477602E-5</v>
      </c>
      <c r="K81" s="15">
        <f t="shared" si="11"/>
        <v>-4.1450124070082273E-4</v>
      </c>
    </row>
    <row r="82" spans="2:11" x14ac:dyDescent="0.3">
      <c r="B82" s="1">
        <v>46141</v>
      </c>
      <c r="C82" s="4">
        <v>246.21</v>
      </c>
      <c r="D82" s="4">
        <v>103.13</v>
      </c>
      <c r="E82" s="12">
        <f t="shared" si="7"/>
        <v>0.41887007026522072</v>
      </c>
      <c r="F82" s="13">
        <f t="shared" si="1"/>
        <v>0.41912109808693954</v>
      </c>
      <c r="G82" s="13">
        <f t="shared" si="6"/>
        <v>0.41897306379396099</v>
      </c>
      <c r="H82" s="4">
        <f t="shared" si="8"/>
        <v>103.19180555998538</v>
      </c>
      <c r="I82" s="4">
        <f t="shared" si="9"/>
        <v>103.15535803671114</v>
      </c>
      <c r="J82" s="15">
        <f t="shared" si="10"/>
        <v>5.9911807834711248E-4</v>
      </c>
      <c r="K82" s="15">
        <f t="shared" si="11"/>
        <v>2.4585396734133397E-4</v>
      </c>
    </row>
    <row r="83" spans="2:11" x14ac:dyDescent="0.3">
      <c r="B83" s="1">
        <v>46142</v>
      </c>
      <c r="C83" s="4">
        <v>246.31</v>
      </c>
      <c r="D83" s="4">
        <v>103.18</v>
      </c>
      <c r="E83" s="12">
        <f t="shared" si="7"/>
        <v>0.41890300840404371</v>
      </c>
      <c r="F83" s="13">
        <f t="shared" si="1"/>
        <v>0.41910585270248124</v>
      </c>
      <c r="G83" s="13">
        <f t="shared" si="6"/>
        <v>0.41897306379396099</v>
      </c>
      <c r="H83" s="4">
        <f t="shared" si="8"/>
        <v>103.22996257914815</v>
      </c>
      <c r="I83" s="4">
        <f t="shared" si="9"/>
        <v>103.19725534309053</v>
      </c>
      <c r="J83" s="15">
        <f t="shared" si="10"/>
        <v>4.8411016115328879E-4</v>
      </c>
      <c r="K83" s="15">
        <f t="shared" si="11"/>
        <v>1.6722136460292628E-4</v>
      </c>
    </row>
    <row r="84" spans="2:11" x14ac:dyDescent="0.3">
      <c r="B84" s="1">
        <v>46143</v>
      </c>
      <c r="C84" s="4">
        <v>250.2</v>
      </c>
      <c r="D84" s="4">
        <v>104.85</v>
      </c>
      <c r="E84" s="12">
        <f t="shared" si="7"/>
        <v>0.41906474820143885</v>
      </c>
      <c r="F84" s="13">
        <f t="shared" si="1"/>
        <v>0.41910174291451058</v>
      </c>
      <c r="G84" s="13">
        <f t="shared" si="6"/>
        <v>0.41897306379396099</v>
      </c>
      <c r="H84" s="4">
        <f t="shared" si="8"/>
        <v>104.85925607721055</v>
      </c>
      <c r="I84" s="4">
        <f t="shared" si="9"/>
        <v>104.82706056124903</v>
      </c>
      <c r="J84" s="15">
        <f t="shared" si="10"/>
        <v>8.8275333093984596E-5</v>
      </c>
      <c r="K84" s="15">
        <f t="shared" si="11"/>
        <v>-2.1880732952942353E-4</v>
      </c>
    </row>
    <row r="85" spans="2:11" x14ac:dyDescent="0.3">
      <c r="B85" s="1">
        <v>46146</v>
      </c>
      <c r="C85" s="4">
        <v>250.42</v>
      </c>
      <c r="D85" s="4">
        <v>104.95</v>
      </c>
      <c r="E85" s="12">
        <f t="shared" si="7"/>
        <v>0.41909591885632141</v>
      </c>
      <c r="F85" s="13">
        <f t="shared" ref="F85:F148" si="12">AVERAGE(E66:E85)</f>
        <v>0.41909580182792039</v>
      </c>
      <c r="G85" s="13">
        <f t="shared" si="6"/>
        <v>0.41897306379396099</v>
      </c>
      <c r="H85" s="4">
        <f t="shared" si="8"/>
        <v>104.94997069374782</v>
      </c>
      <c r="I85" s="4">
        <f t="shared" si="9"/>
        <v>104.9192346352837</v>
      </c>
      <c r="J85" s="15">
        <f t="shared" si="10"/>
        <v>-2.7924017422448051E-7</v>
      </c>
      <c r="K85" s="15">
        <f t="shared" si="11"/>
        <v>-2.9318604025161836E-4</v>
      </c>
    </row>
    <row r="86" spans="2:11" x14ac:dyDescent="0.3">
      <c r="B86" s="1">
        <v>46147</v>
      </c>
      <c r="C86" s="4">
        <v>254.87</v>
      </c>
      <c r="D86" s="4">
        <v>106.81</v>
      </c>
      <c r="E86" s="12">
        <f t="shared" si="7"/>
        <v>0.41907639188605955</v>
      </c>
      <c r="F86" s="13">
        <f t="shared" si="12"/>
        <v>0.41909328129061374</v>
      </c>
      <c r="G86" s="13">
        <f t="shared" ref="G86:G149" si="13">G85</f>
        <v>0.41897306379396099</v>
      </c>
      <c r="H86" s="4">
        <f t="shared" si="8"/>
        <v>106.81430460253873</v>
      </c>
      <c r="I86" s="4">
        <f t="shared" si="9"/>
        <v>106.78366476916683</v>
      </c>
      <c r="J86" s="15">
        <f t="shared" si="10"/>
        <v>4.0300681585138071E-5</v>
      </c>
      <c r="K86" s="15">
        <f t="shared" si="11"/>
        <v>-2.4659187335984538E-4</v>
      </c>
    </row>
    <row r="87" spans="2:11" x14ac:dyDescent="0.3">
      <c r="B87" s="1">
        <v>46148</v>
      </c>
      <c r="C87" s="4">
        <v>261.5</v>
      </c>
      <c r="D87" s="4">
        <v>109.56</v>
      </c>
      <c r="E87" s="12">
        <f t="shared" si="7"/>
        <v>0.4189674952198853</v>
      </c>
      <c r="F87" s="13">
        <f t="shared" si="12"/>
        <v>0.4190845060652183</v>
      </c>
      <c r="G87" s="13">
        <f t="shared" si="13"/>
        <v>0.41897306379396099</v>
      </c>
      <c r="H87" s="4">
        <f t="shared" si="8"/>
        <v>109.59059833605458</v>
      </c>
      <c r="I87" s="4">
        <f t="shared" si="9"/>
        <v>109.56145618212079</v>
      </c>
      <c r="J87" s="15">
        <f t="shared" si="10"/>
        <v>2.7924483424392795E-4</v>
      </c>
      <c r="K87" s="15">
        <f t="shared" si="11"/>
        <v>1.3291095689047378E-5</v>
      </c>
    </row>
    <row r="88" spans="2:11" x14ac:dyDescent="0.3">
      <c r="B88" s="1">
        <v>46149</v>
      </c>
      <c r="C88" s="4">
        <v>261.33999999999997</v>
      </c>
      <c r="D88" s="4">
        <v>109.5</v>
      </c>
      <c r="E88" s="12">
        <f t="shared" si="7"/>
        <v>0.41899441340782129</v>
      </c>
      <c r="F88" s="13">
        <f t="shared" si="12"/>
        <v>0.41907201901402152</v>
      </c>
      <c r="G88" s="13">
        <f t="shared" si="13"/>
        <v>0.41897306379396099</v>
      </c>
      <c r="H88" s="4">
        <f t="shared" si="8"/>
        <v>109.52028144912437</v>
      </c>
      <c r="I88" s="4">
        <f t="shared" si="9"/>
        <v>109.49442049191376</v>
      </c>
      <c r="J88" s="15">
        <f t="shared" si="10"/>
        <v>1.852015625963853E-4</v>
      </c>
      <c r="K88" s="15">
        <f t="shared" si="11"/>
        <v>-5.0955709966656146E-5</v>
      </c>
    </row>
    <row r="89" spans="2:11" x14ac:dyDescent="0.3">
      <c r="B89" s="1">
        <v>46150</v>
      </c>
      <c r="C89" s="4">
        <v>268.37</v>
      </c>
      <c r="D89" s="4">
        <v>112.44</v>
      </c>
      <c r="E89" s="12">
        <f t="shared" si="7"/>
        <v>0.41897380482170138</v>
      </c>
      <c r="F89" s="13">
        <f t="shared" si="12"/>
        <v>0.41906388153823021</v>
      </c>
      <c r="G89" s="13">
        <f t="shared" si="13"/>
        <v>0.41897306379396099</v>
      </c>
      <c r="H89" s="4">
        <f t="shared" si="8"/>
        <v>112.46417388841485</v>
      </c>
      <c r="I89" s="4">
        <f t="shared" si="9"/>
        <v>112.43980113038531</v>
      </c>
      <c r="J89" s="15">
        <f t="shared" si="10"/>
        <v>2.1497056359611356E-4</v>
      </c>
      <c r="K89" s="15">
        <f t="shared" si="11"/>
        <v>-1.7686747648902872E-6</v>
      </c>
    </row>
    <row r="90" spans="2:11" x14ac:dyDescent="0.3">
      <c r="B90" s="1">
        <v>46153</v>
      </c>
      <c r="C90" s="4">
        <v>271.45999999999998</v>
      </c>
      <c r="D90" s="4">
        <v>113.72</v>
      </c>
      <c r="E90" s="12">
        <f t="shared" si="7"/>
        <v>0.41891991453621163</v>
      </c>
      <c r="F90" s="13">
        <f t="shared" si="12"/>
        <v>0.41905976453792881</v>
      </c>
      <c r="G90" s="13">
        <f t="shared" si="13"/>
        <v>0.41897306379396099</v>
      </c>
      <c r="H90" s="4">
        <f t="shared" si="8"/>
        <v>113.75796368146615</v>
      </c>
      <c r="I90" s="4">
        <f t="shared" si="9"/>
        <v>113.73442789750864</v>
      </c>
      <c r="J90" s="15">
        <f t="shared" si="10"/>
        <v>3.3377898416365396E-4</v>
      </c>
      <c r="K90" s="15">
        <f t="shared" si="11"/>
        <v>1.2686407260869241E-4</v>
      </c>
    </row>
    <row r="91" spans="2:11" x14ac:dyDescent="0.3">
      <c r="B91" s="1">
        <v>46154</v>
      </c>
      <c r="C91" s="4">
        <v>267.95</v>
      </c>
      <c r="D91" s="4">
        <v>112.3</v>
      </c>
      <c r="E91" s="12">
        <f t="shared" si="7"/>
        <v>0.41910804254525097</v>
      </c>
      <c r="F91" s="13">
        <f t="shared" si="12"/>
        <v>0.41905371196135865</v>
      </c>
      <c r="G91" s="13">
        <f t="shared" si="13"/>
        <v>0.41897306379396099</v>
      </c>
      <c r="H91" s="4">
        <f t="shared" si="8"/>
        <v>112.28544212004604</v>
      </c>
      <c r="I91" s="4">
        <f t="shared" si="9"/>
        <v>112.26383244359184</v>
      </c>
      <c r="J91" s="15">
        <f t="shared" si="10"/>
        <v>-1.2964224071621681E-4</v>
      </c>
      <c r="K91" s="15">
        <f t="shared" si="11"/>
        <v>-3.2211381794942256E-4</v>
      </c>
    </row>
    <row r="92" spans="2:11" x14ac:dyDescent="0.3">
      <c r="B92" s="1">
        <v>46155</v>
      </c>
      <c r="C92" s="4">
        <v>270.74</v>
      </c>
      <c r="D92" s="4">
        <v>113.45</v>
      </c>
      <c r="E92" s="12">
        <f t="shared" si="7"/>
        <v>0.41903671419073651</v>
      </c>
      <c r="F92" s="13">
        <f t="shared" si="12"/>
        <v>0.41904782558886311</v>
      </c>
      <c r="G92" s="13">
        <f t="shared" si="13"/>
        <v>0.41897306379396099</v>
      </c>
      <c r="H92" s="4">
        <f t="shared" si="8"/>
        <v>113.4530082999288</v>
      </c>
      <c r="I92" s="4">
        <f t="shared" si="9"/>
        <v>113.43276729157701</v>
      </c>
      <c r="J92" s="15">
        <f t="shared" si="10"/>
        <v>2.6516174919909542E-5</v>
      </c>
      <c r="K92" s="15">
        <f t="shared" si="11"/>
        <v>-1.5190848262163008E-4</v>
      </c>
    </row>
    <row r="93" spans="2:11" x14ac:dyDescent="0.3">
      <c r="B93" s="1">
        <v>46156</v>
      </c>
      <c r="C93" s="4">
        <v>274.95</v>
      </c>
      <c r="D93" s="4">
        <v>115.19</v>
      </c>
      <c r="E93" s="12">
        <f t="shared" si="7"/>
        <v>0.41894889979996364</v>
      </c>
      <c r="F93" s="13">
        <f t="shared" si="12"/>
        <v>0.41904004195904754</v>
      </c>
      <c r="G93" s="13">
        <f t="shared" si="13"/>
        <v>0.41897306379396099</v>
      </c>
      <c r="H93" s="4">
        <f t="shared" si="8"/>
        <v>115.21505953664011</v>
      </c>
      <c r="I93" s="4">
        <f t="shared" si="9"/>
        <v>115.19664389014957</v>
      </c>
      <c r="J93" s="15">
        <f t="shared" si="10"/>
        <v>2.1752592403421616E-4</v>
      </c>
      <c r="K93" s="15">
        <f t="shared" si="11"/>
        <v>5.7676000997467376E-5</v>
      </c>
    </row>
    <row r="94" spans="2:11" x14ac:dyDescent="0.3">
      <c r="B94" s="1">
        <v>46157</v>
      </c>
      <c r="C94" s="4">
        <v>270.56</v>
      </c>
      <c r="D94" s="4">
        <v>113.31</v>
      </c>
      <c r="E94" s="12">
        <f t="shared" si="7"/>
        <v>0.41879804849201657</v>
      </c>
      <c r="F94" s="13">
        <f t="shared" si="12"/>
        <v>0.41902661715405093</v>
      </c>
      <c r="G94" s="13">
        <f t="shared" si="13"/>
        <v>0.41897306379396099</v>
      </c>
      <c r="H94" s="4">
        <f t="shared" si="8"/>
        <v>113.37184153720003</v>
      </c>
      <c r="I94" s="4">
        <f t="shared" si="9"/>
        <v>113.35735214009408</v>
      </c>
      <c r="J94" s="15">
        <f t="shared" si="10"/>
        <v>5.4562410747031561E-4</v>
      </c>
      <c r="K94" s="15">
        <f t="shared" si="11"/>
        <v>4.1781174338374006E-4</v>
      </c>
    </row>
    <row r="95" spans="2:11" x14ac:dyDescent="0.3">
      <c r="B95" s="1">
        <v>46160</v>
      </c>
      <c r="C95" s="4">
        <v>267.64999999999998</v>
      </c>
      <c r="D95" s="4">
        <v>112.13</v>
      </c>
      <c r="E95" s="12">
        <f t="shared" si="7"/>
        <v>0.41894264898187933</v>
      </c>
      <c r="F95" s="13">
        <f t="shared" si="12"/>
        <v>0.41901703417485753</v>
      </c>
      <c r="G95" s="13">
        <f t="shared" si="13"/>
        <v>0.41897306379396099</v>
      </c>
      <c r="H95" s="4">
        <f t="shared" si="8"/>
        <v>112.14990919690061</v>
      </c>
      <c r="I95" s="4">
        <f t="shared" si="9"/>
        <v>112.13814052445365</v>
      </c>
      <c r="J95" s="15">
        <f t="shared" si="10"/>
        <v>1.7753883550419508E-4</v>
      </c>
      <c r="K95" s="15">
        <f t="shared" si="11"/>
        <v>7.2596352189722733E-5</v>
      </c>
    </row>
    <row r="96" spans="2:11" x14ac:dyDescent="0.3">
      <c r="B96" s="1">
        <v>46161</v>
      </c>
      <c r="C96" s="4">
        <v>266.18</v>
      </c>
      <c r="D96" s="4">
        <v>111.52</v>
      </c>
      <c r="E96" s="12">
        <f t="shared" si="7"/>
        <v>0.41896461041400551</v>
      </c>
      <c r="F96" s="13">
        <f t="shared" si="12"/>
        <v>0.41900501903201726</v>
      </c>
      <c r="G96" s="13">
        <f t="shared" si="13"/>
        <v>0.41897306379396099</v>
      </c>
      <c r="H96" s="4">
        <f t="shared" si="8"/>
        <v>111.53075596594236</v>
      </c>
      <c r="I96" s="4">
        <f t="shared" si="9"/>
        <v>111.52225012067653</v>
      </c>
      <c r="J96" s="15">
        <f t="shared" si="10"/>
        <v>9.6444111154156585E-5</v>
      </c>
      <c r="K96" s="15">
        <f t="shared" si="11"/>
        <v>2.0176631785124618E-5</v>
      </c>
    </row>
    <row r="97" spans="2:11" x14ac:dyDescent="0.3">
      <c r="B97" s="1">
        <v>46162</v>
      </c>
      <c r="C97" s="4">
        <v>271.76</v>
      </c>
      <c r="D97" s="4">
        <v>113.83</v>
      </c>
      <c r="E97" s="12">
        <f t="shared" si="7"/>
        <v>0.41886223138063</v>
      </c>
      <c r="F97" s="13">
        <f t="shared" si="12"/>
        <v>0.41899514922953651</v>
      </c>
      <c r="G97" s="13">
        <f t="shared" si="13"/>
        <v>0.41897306379396099</v>
      </c>
      <c r="H97" s="4">
        <f t="shared" si="8"/>
        <v>113.86612175461885</v>
      </c>
      <c r="I97" s="4">
        <f t="shared" si="9"/>
        <v>113.86011981664683</v>
      </c>
      <c r="J97" s="15">
        <f t="shared" si="10"/>
        <v>3.1728037037714304E-4</v>
      </c>
      <c r="K97" s="15">
        <f t="shared" si="11"/>
        <v>2.6456850079205091E-4</v>
      </c>
    </row>
    <row r="98" spans="2:11" x14ac:dyDescent="0.3">
      <c r="B98" s="1">
        <v>46163</v>
      </c>
      <c r="C98" s="4">
        <v>273.47000000000003</v>
      </c>
      <c r="D98" s="4">
        <v>114.49</v>
      </c>
      <c r="E98" s="12">
        <f t="shared" si="7"/>
        <v>0.41865652539583859</v>
      </c>
      <c r="F98" s="13">
        <f t="shared" si="12"/>
        <v>0.41897793218428364</v>
      </c>
      <c r="G98" s="13">
        <f t="shared" si="13"/>
        <v>0.41897306379396099</v>
      </c>
      <c r="H98" s="4">
        <f t="shared" si="8"/>
        <v>114.57789511443606</v>
      </c>
      <c r="I98" s="4">
        <f t="shared" si="9"/>
        <v>114.57656375573453</v>
      </c>
      <c r="J98" s="15">
        <f t="shared" si="10"/>
        <v>7.6741543118306486E-4</v>
      </c>
      <c r="K98" s="15">
        <f t="shared" si="11"/>
        <v>7.5579568170814596E-4</v>
      </c>
    </row>
    <row r="99" spans="2:11" x14ac:dyDescent="0.3">
      <c r="B99" s="1">
        <v>46164</v>
      </c>
      <c r="C99" s="4">
        <v>276.35000000000002</v>
      </c>
      <c r="D99" s="4">
        <v>115.75</v>
      </c>
      <c r="E99" s="12">
        <f t="shared" si="7"/>
        <v>0.41885290392618052</v>
      </c>
      <c r="F99" s="13">
        <f t="shared" si="12"/>
        <v>0.41896957569099591</v>
      </c>
      <c r="G99" s="13">
        <f t="shared" si="13"/>
        <v>0.41897306379396099</v>
      </c>
      <c r="H99" s="4">
        <f t="shared" si="8"/>
        <v>115.78224224220673</v>
      </c>
      <c r="I99" s="4">
        <f t="shared" si="9"/>
        <v>115.78320617946113</v>
      </c>
      <c r="J99" s="15">
        <f t="shared" si="10"/>
        <v>2.7851190057088344E-4</v>
      </c>
      <c r="K99" s="15">
        <f t="shared" si="11"/>
        <v>2.8683729851749904E-4</v>
      </c>
    </row>
    <row r="100" spans="2:11" x14ac:dyDescent="0.3">
      <c r="B100" s="1">
        <v>46168</v>
      </c>
      <c r="C100" s="4">
        <v>281.97000000000003</v>
      </c>
      <c r="D100" s="4">
        <v>118.05</v>
      </c>
      <c r="E100" s="12">
        <f t="shared" si="7"/>
        <v>0.41866155974039787</v>
      </c>
      <c r="F100" s="13">
        <f t="shared" si="12"/>
        <v>0.41894223575557249</v>
      </c>
      <c r="G100" s="13">
        <f t="shared" si="13"/>
        <v>0.41897306379396099</v>
      </c>
      <c r="H100" s="4">
        <f t="shared" si="8"/>
        <v>118.12914221599878</v>
      </c>
      <c r="I100" s="4">
        <f t="shared" si="9"/>
        <v>118.13783479798319</v>
      </c>
      <c r="J100" s="15">
        <f t="shared" si="10"/>
        <v>6.7018804639949075E-4</v>
      </c>
      <c r="K100" s="15">
        <f t="shared" si="11"/>
        <v>7.4377075438676631E-4</v>
      </c>
    </row>
    <row r="101" spans="2:11" x14ac:dyDescent="0.3">
      <c r="B101" s="1">
        <v>46169</v>
      </c>
      <c r="C101" s="4">
        <v>280.39999999999998</v>
      </c>
      <c r="D101" s="4">
        <v>117.38</v>
      </c>
      <c r="E101" s="12">
        <f t="shared" si="7"/>
        <v>0.41861626248216832</v>
      </c>
      <c r="F101" s="13">
        <f t="shared" si="12"/>
        <v>0.41891571064738864</v>
      </c>
      <c r="G101" s="13">
        <f t="shared" si="13"/>
        <v>0.41897306379396099</v>
      </c>
      <c r="H101" s="4">
        <f t="shared" si="8"/>
        <v>117.46396526552776</v>
      </c>
      <c r="I101" s="4">
        <f t="shared" si="9"/>
        <v>117.48004708782665</v>
      </c>
      <c r="J101" s="15">
        <f t="shared" si="10"/>
        <v>7.1507282727611813E-4</v>
      </c>
      <c r="K101" s="15">
        <f t="shared" si="11"/>
        <v>8.519720158354343E-4</v>
      </c>
    </row>
    <row r="102" spans="2:11" x14ac:dyDescent="0.3">
      <c r="B102" s="1">
        <v>46170</v>
      </c>
      <c r="C102" s="4">
        <v>284.02</v>
      </c>
      <c r="D102" s="4">
        <v>118.95</v>
      </c>
      <c r="E102" s="12">
        <f t="shared" si="7"/>
        <v>0.41880853461023876</v>
      </c>
      <c r="F102" s="13">
        <f t="shared" si="12"/>
        <v>0.41891263386463951</v>
      </c>
      <c r="G102" s="13">
        <f t="shared" si="13"/>
        <v>0.41897306379396099</v>
      </c>
      <c r="H102" s="4">
        <f t="shared" si="8"/>
        <v>118.9795662702349</v>
      </c>
      <c r="I102" s="4">
        <f t="shared" si="9"/>
        <v>118.99672957876079</v>
      </c>
      <c r="J102" s="15">
        <f t="shared" si="10"/>
        <v>2.4852960353399447E-4</v>
      </c>
      <c r="K102" s="15">
        <f t="shared" si="11"/>
        <v>3.9277345348898515E-4</v>
      </c>
    </row>
    <row r="103" spans="2:11" x14ac:dyDescent="0.3">
      <c r="B103" s="1">
        <v>46171</v>
      </c>
      <c r="C103" s="4">
        <v>289.25</v>
      </c>
      <c r="D103" s="4">
        <v>121.06</v>
      </c>
      <c r="E103" s="12">
        <f t="shared" si="7"/>
        <v>0.41853068280034572</v>
      </c>
      <c r="F103" s="13">
        <f t="shared" si="12"/>
        <v>0.41889401758445455</v>
      </c>
      <c r="G103" s="13">
        <f t="shared" si="13"/>
        <v>0.41897306379396099</v>
      </c>
      <c r="H103" s="4">
        <f t="shared" si="8"/>
        <v>121.16509458630348</v>
      </c>
      <c r="I103" s="4">
        <f t="shared" si="9"/>
        <v>121.18795870240322</v>
      </c>
      <c r="J103" s="15">
        <f t="shared" si="10"/>
        <v>8.6774322930872048E-4</v>
      </c>
      <c r="K103" s="15">
        <f t="shared" si="11"/>
        <v>1.0564275958336532E-3</v>
      </c>
    </row>
    <row r="104" spans="2:11" x14ac:dyDescent="0.3">
      <c r="B104" s="1">
        <v>46174</v>
      </c>
      <c r="C104" s="4">
        <v>296.68</v>
      </c>
      <c r="D104" s="4">
        <v>124.19</v>
      </c>
      <c r="E104" s="12">
        <f t="shared" si="7"/>
        <v>0.41859916408251313</v>
      </c>
      <c r="F104" s="13">
        <f t="shared" si="12"/>
        <v>0.4188707383785083</v>
      </c>
      <c r="G104" s="13">
        <f t="shared" si="13"/>
        <v>0.41897306379396099</v>
      </c>
      <c r="H104" s="4">
        <f t="shared" si="8"/>
        <v>124.27057066213584</v>
      </c>
      <c r="I104" s="4">
        <f t="shared" si="9"/>
        <v>124.30092856639234</v>
      </c>
      <c r="J104" s="15">
        <f t="shared" si="10"/>
        <v>6.4855896245683096E-4</v>
      </c>
      <c r="K104" s="15">
        <f t="shared" si="11"/>
        <v>8.9281789400508314E-4</v>
      </c>
    </row>
    <row r="105" spans="2:11" x14ac:dyDescent="0.3">
      <c r="B105" s="1">
        <v>46175</v>
      </c>
      <c r="C105" s="4">
        <v>300.51</v>
      </c>
      <c r="D105" s="4">
        <v>125.77</v>
      </c>
      <c r="E105" s="12">
        <f t="shared" si="7"/>
        <v>0.41852184619480215</v>
      </c>
      <c r="F105" s="13">
        <f t="shared" si="12"/>
        <v>0.41884203474543236</v>
      </c>
      <c r="G105" s="13">
        <f t="shared" si="13"/>
        <v>0.41897306379396099</v>
      </c>
      <c r="H105" s="4">
        <f t="shared" si="8"/>
        <v>125.86621986134988</v>
      </c>
      <c r="I105" s="4">
        <f t="shared" si="9"/>
        <v>125.90559540072321</v>
      </c>
      <c r="J105" s="15">
        <f t="shared" si="10"/>
        <v>7.647537074940582E-4</v>
      </c>
      <c r="K105" s="15">
        <f t="shared" si="11"/>
        <v>1.0775412183073019E-3</v>
      </c>
    </row>
    <row r="106" spans="2:11" x14ac:dyDescent="0.3">
      <c r="B106" s="1">
        <v>46176</v>
      </c>
      <c r="C106" s="4">
        <v>296.02</v>
      </c>
      <c r="D106" s="4">
        <v>123.91</v>
      </c>
      <c r="E106" s="12">
        <f t="shared" si="7"/>
        <v>0.41858658198770354</v>
      </c>
      <c r="F106" s="13">
        <f t="shared" si="12"/>
        <v>0.41881754425051454</v>
      </c>
      <c r="G106" s="13">
        <f t="shared" si="13"/>
        <v>0.41897306379396099</v>
      </c>
      <c r="H106" s="4">
        <f t="shared" si="8"/>
        <v>123.9783694490373</v>
      </c>
      <c r="I106" s="4">
        <f t="shared" si="9"/>
        <v>124.02440634428832</v>
      </c>
      <c r="J106" s="15">
        <f t="shared" si="10"/>
        <v>5.5161483310323253E-4</v>
      </c>
      <c r="K106" s="15">
        <f t="shared" si="11"/>
        <v>9.2287596622995485E-4</v>
      </c>
    </row>
    <row r="107" spans="2:11" x14ac:dyDescent="0.3">
      <c r="B107" s="1">
        <v>46177</v>
      </c>
      <c r="C107" s="4">
        <v>293.42</v>
      </c>
      <c r="D107" s="4">
        <v>122.82</v>
      </c>
      <c r="E107" s="12">
        <f t="shared" si="7"/>
        <v>0.41858087383273118</v>
      </c>
      <c r="F107" s="13">
        <f t="shared" si="12"/>
        <v>0.41879821318115684</v>
      </c>
      <c r="G107" s="13">
        <f t="shared" si="13"/>
        <v>0.41897306379396099</v>
      </c>
      <c r="H107" s="4">
        <f t="shared" si="8"/>
        <v>122.88377171161505</v>
      </c>
      <c r="I107" s="4">
        <f t="shared" si="9"/>
        <v>122.93507637842404</v>
      </c>
      <c r="J107" s="15">
        <f t="shared" si="10"/>
        <v>5.1909429475024244E-4</v>
      </c>
      <c r="K107" s="15">
        <f t="shared" si="11"/>
        <v>9.3651279583375135E-4</v>
      </c>
    </row>
    <row r="108" spans="2:11" x14ac:dyDescent="0.3">
      <c r="B108" s="1">
        <v>46178</v>
      </c>
      <c r="C108" s="4">
        <v>275.32</v>
      </c>
      <c r="D108" s="4">
        <v>115.28</v>
      </c>
      <c r="E108" s="12">
        <f t="shared" si="7"/>
        <v>0.41871277059421763</v>
      </c>
      <c r="F108" s="13">
        <f t="shared" si="12"/>
        <v>0.41878413104047663</v>
      </c>
      <c r="G108" s="13">
        <f t="shared" si="13"/>
        <v>0.41897306379396099</v>
      </c>
      <c r="H108" s="4">
        <f t="shared" si="8"/>
        <v>115.29964695806402</v>
      </c>
      <c r="I108" s="4">
        <f t="shared" si="9"/>
        <v>115.35166392375334</v>
      </c>
      <c r="J108" s="15">
        <f t="shared" si="10"/>
        <v>1.704136368560944E-4</v>
      </c>
      <c r="K108" s="15">
        <f t="shared" si="11"/>
        <v>6.2145782448570698E-4</v>
      </c>
    </row>
    <row r="109" spans="2:11" x14ac:dyDescent="0.3">
      <c r="B109" s="1">
        <v>46181</v>
      </c>
      <c r="C109" s="4">
        <v>280.08999999999997</v>
      </c>
      <c r="D109" s="4">
        <v>117.25</v>
      </c>
      <c r="E109" s="12">
        <f t="shared" si="7"/>
        <v>0.41861544503552434</v>
      </c>
      <c r="F109" s="13">
        <f t="shared" si="12"/>
        <v>0.41876621305116785</v>
      </c>
      <c r="G109" s="13">
        <f t="shared" si="13"/>
        <v>0.41897306379396099</v>
      </c>
      <c r="H109" s="4">
        <f t="shared" si="8"/>
        <v>117.29222861350159</v>
      </c>
      <c r="I109" s="4">
        <f t="shared" si="9"/>
        <v>117.35016543805052</v>
      </c>
      <c r="J109" s="15">
        <f t="shared" si="10"/>
        <v>3.6009390895220443E-4</v>
      </c>
      <c r="K109" s="15">
        <f t="shared" si="11"/>
        <v>8.5392475278188039E-4</v>
      </c>
    </row>
    <row r="110" spans="2:11" x14ac:dyDescent="0.3">
      <c r="B110" s="1">
        <v>46182</v>
      </c>
      <c r="C110" s="4">
        <v>274.63</v>
      </c>
      <c r="D110" s="4">
        <v>114.99</v>
      </c>
      <c r="E110" s="12">
        <f t="shared" si="7"/>
        <v>0.41870880821468887</v>
      </c>
      <c r="F110" s="13">
        <f t="shared" si="12"/>
        <v>0.41875565773509171</v>
      </c>
      <c r="G110" s="13">
        <f t="shared" si="13"/>
        <v>0.41897306379396099</v>
      </c>
      <c r="H110" s="4">
        <f t="shared" si="8"/>
        <v>115.00286628378824</v>
      </c>
      <c r="I110" s="4">
        <f t="shared" si="9"/>
        <v>115.0625725097355</v>
      </c>
      <c r="J110" s="15">
        <f t="shared" si="10"/>
        <v>1.11884198928062E-4</v>
      </c>
      <c r="K110" s="15">
        <f t="shared" si="11"/>
        <v>6.3092110947632644E-4</v>
      </c>
    </row>
    <row r="111" spans="2:11" x14ac:dyDescent="0.3">
      <c r="B111" s="1">
        <v>46183</v>
      </c>
      <c r="C111" s="4">
        <v>268.43</v>
      </c>
      <c r="D111" s="4">
        <v>112.34</v>
      </c>
      <c r="E111" s="12">
        <f t="shared" si="7"/>
        <v>0.4185076183735052</v>
      </c>
      <c r="F111" s="13">
        <f t="shared" si="12"/>
        <v>0.41872563652650435</v>
      </c>
      <c r="G111" s="13">
        <f t="shared" si="13"/>
        <v>0.41897306379396099</v>
      </c>
      <c r="H111" s="4">
        <f t="shared" si="8"/>
        <v>112.39852261280957</v>
      </c>
      <c r="I111" s="4">
        <f t="shared" si="9"/>
        <v>112.46493951421294</v>
      </c>
      <c r="J111" s="15">
        <f t="shared" si="10"/>
        <v>5.2080625477089922E-4</v>
      </c>
      <c r="K111" s="15">
        <f t="shared" si="11"/>
        <v>1.111537205068991E-3</v>
      </c>
    </row>
    <row r="112" spans="2:11" x14ac:dyDescent="0.3">
      <c r="B112" s="1">
        <v>46184</v>
      </c>
      <c r="C112" s="4">
        <v>277.23</v>
      </c>
      <c r="D112" s="4">
        <v>116.07</v>
      </c>
      <c r="E112" s="12">
        <f t="shared" si="7"/>
        <v>0.41867763229087757</v>
      </c>
      <c r="F112" s="13">
        <f t="shared" si="12"/>
        <v>0.41870768243151141</v>
      </c>
      <c r="G112" s="13">
        <f t="shared" si="13"/>
        <v>0.41897306379396099</v>
      </c>
      <c r="H112" s="4">
        <f t="shared" si="8"/>
        <v>116.07833080048792</v>
      </c>
      <c r="I112" s="4">
        <f t="shared" si="9"/>
        <v>116.15190247559981</v>
      </c>
      <c r="J112" s="15">
        <f t="shared" si="10"/>
        <v>7.1771358103495372E-5</v>
      </c>
      <c r="K112" s="15">
        <f t="shared" si="11"/>
        <v>7.0538117311633999E-4</v>
      </c>
    </row>
    <row r="113" spans="1:11" x14ac:dyDescent="0.3">
      <c r="B113" s="1">
        <v>46185</v>
      </c>
      <c r="C113" s="4">
        <v>278.92</v>
      </c>
      <c r="D113" s="4">
        <v>116.74</v>
      </c>
      <c r="E113" s="12">
        <f t="shared" si="7"/>
        <v>0.41854295138390935</v>
      </c>
      <c r="F113" s="13">
        <f t="shared" si="12"/>
        <v>0.41868738501070873</v>
      </c>
      <c r="G113" s="13">
        <f t="shared" si="13"/>
        <v>0.41897306379396099</v>
      </c>
      <c r="H113" s="4">
        <f t="shared" si="8"/>
        <v>116.78028542718688</v>
      </c>
      <c r="I113" s="4">
        <f t="shared" si="9"/>
        <v>116.8599669534116</v>
      </c>
      <c r="J113" s="15">
        <f t="shared" si="10"/>
        <v>3.4502722119278189E-4</v>
      </c>
      <c r="K113" s="15">
        <f t="shared" si="11"/>
        <v>1.0271145627539712E-3</v>
      </c>
    </row>
    <row r="114" spans="1:11" x14ac:dyDescent="0.3">
      <c r="B114" s="1">
        <v>46188</v>
      </c>
      <c r="C114" s="4">
        <v>288.36</v>
      </c>
      <c r="D114" s="4">
        <v>120.73</v>
      </c>
      <c r="E114" s="12">
        <f t="shared" si="7"/>
        <v>0.41867804133721737</v>
      </c>
      <c r="F114" s="13">
        <f t="shared" si="12"/>
        <v>0.41868138465296872</v>
      </c>
      <c r="G114" s="13">
        <f t="shared" si="13"/>
        <v>0.41897306379396099</v>
      </c>
      <c r="H114" s="4">
        <f t="shared" si="8"/>
        <v>120.73096407853006</v>
      </c>
      <c r="I114" s="4">
        <f t="shared" si="9"/>
        <v>120.8150726756266</v>
      </c>
      <c r="J114" s="15">
        <f t="shared" si="10"/>
        <v>7.9853779574896318E-6</v>
      </c>
      <c r="K114" s="15">
        <f t="shared" si="11"/>
        <v>7.0440417767080802E-4</v>
      </c>
    </row>
    <row r="115" spans="1:11" x14ac:dyDescent="0.3">
      <c r="B115" s="1">
        <v>46189</v>
      </c>
      <c r="C115" s="4">
        <v>281.39</v>
      </c>
      <c r="D115" s="4">
        <v>117.81</v>
      </c>
      <c r="E115" s="12">
        <f t="shared" si="7"/>
        <v>0.41867159458402931</v>
      </c>
      <c r="F115" s="13">
        <f t="shared" si="12"/>
        <v>0.41866783193307616</v>
      </c>
      <c r="G115" s="13">
        <f t="shared" si="13"/>
        <v>0.41897306379396099</v>
      </c>
      <c r="H115" s="4">
        <f t="shared" si="8"/>
        <v>117.80894122764829</v>
      </c>
      <c r="I115" s="4">
        <f t="shared" si="9"/>
        <v>117.89483042098267</v>
      </c>
      <c r="J115" s="15">
        <f t="shared" si="10"/>
        <v>-8.9871582157570449E-6</v>
      </c>
      <c r="K115" s="15">
        <f t="shared" si="11"/>
        <v>7.1980217370868726E-4</v>
      </c>
    </row>
    <row r="116" spans="1:11" x14ac:dyDescent="0.3">
      <c r="B116" s="1">
        <v>46190</v>
      </c>
      <c r="C116" s="4">
        <v>279.20999999999998</v>
      </c>
      <c r="D116" s="4">
        <v>116.93</v>
      </c>
      <c r="E116" s="12">
        <f t="shared" si="7"/>
        <v>0.41878872533218731</v>
      </c>
      <c r="F116" s="13">
        <f t="shared" si="12"/>
        <v>0.41865903767898527</v>
      </c>
      <c r="G116" s="13">
        <f t="shared" si="13"/>
        <v>0.41897306379396099</v>
      </c>
      <c r="H116" s="4">
        <f t="shared" si="8"/>
        <v>116.89378991034947</v>
      </c>
      <c r="I116" s="4">
        <f t="shared" si="9"/>
        <v>116.98146914191184</v>
      </c>
      <c r="J116" s="15">
        <f t="shared" si="10"/>
        <v>-3.0972117896034405E-4</v>
      </c>
      <c r="K116" s="15">
        <f t="shared" si="11"/>
        <v>4.4007369909052297E-4</v>
      </c>
    </row>
    <row r="117" spans="1:11" x14ac:dyDescent="0.3">
      <c r="A117" s="8" t="s">
        <v>15</v>
      </c>
      <c r="B117" s="1">
        <v>46191</v>
      </c>
      <c r="C117" s="10">
        <f>286.54+0.289</f>
        <v>286.82900000000001</v>
      </c>
      <c r="D117" s="4">
        <v>120.04</v>
      </c>
      <c r="E117" s="12">
        <f t="shared" si="7"/>
        <v>0.41850719418189936</v>
      </c>
      <c r="F117" s="13">
        <f t="shared" si="12"/>
        <v>0.41864128581904875</v>
      </c>
      <c r="G117" s="13">
        <f t="shared" si="13"/>
        <v>0.41897306379396099</v>
      </c>
      <c r="H117" s="4">
        <f t="shared" si="8"/>
        <v>120.07846137019193</v>
      </c>
      <c r="I117" s="4">
        <f t="shared" si="9"/>
        <v>120.17362491495804</v>
      </c>
      <c r="J117" s="15">
        <f t="shared" si="10"/>
        <v>3.2035329812941796E-4</v>
      </c>
      <c r="K117" s="15">
        <f t="shared" si="11"/>
        <v>1.1125507871454316E-3</v>
      </c>
    </row>
    <row r="118" spans="1:11" x14ac:dyDescent="0.3">
      <c r="B118" s="1">
        <v>46195</v>
      </c>
      <c r="C118" s="10">
        <f>287.68+0.289</f>
        <v>287.96899999999999</v>
      </c>
      <c r="D118" s="4">
        <v>120.51</v>
      </c>
      <c r="E118" s="12">
        <f t="shared" si="7"/>
        <v>0.41848254499616283</v>
      </c>
      <c r="F118" s="13">
        <f t="shared" si="12"/>
        <v>0.4186325867990649</v>
      </c>
      <c r="G118" s="13">
        <f t="shared" si="13"/>
        <v>0.41897306379396099</v>
      </c>
      <c r="H118" s="4">
        <f t="shared" si="8"/>
        <v>120.55320738793992</v>
      </c>
      <c r="I118" s="4">
        <f t="shared" si="9"/>
        <v>120.65125420768315</v>
      </c>
      <c r="J118" s="15">
        <f t="shared" si="10"/>
        <v>3.5847352128743265E-4</v>
      </c>
      <c r="K118" s="15">
        <f t="shared" si="11"/>
        <v>1.1714503998645084E-3</v>
      </c>
    </row>
    <row r="119" spans="1:11" x14ac:dyDescent="0.3">
      <c r="B119" s="1">
        <v>46196</v>
      </c>
      <c r="C119" s="10">
        <f>277.03+0.289</f>
        <v>277.31899999999996</v>
      </c>
      <c r="D119" s="4">
        <v>116.07</v>
      </c>
      <c r="E119" s="12">
        <f t="shared" si="7"/>
        <v>0.41854326605822179</v>
      </c>
      <c r="F119" s="13">
        <f t="shared" si="12"/>
        <v>0.41861710490566695</v>
      </c>
      <c r="G119" s="13">
        <f t="shared" si="13"/>
        <v>0.41897306379396099</v>
      </c>
      <c r="H119" s="4">
        <f t="shared" si="8"/>
        <v>116.09047691533463</v>
      </c>
      <c r="I119" s="4">
        <f t="shared" si="9"/>
        <v>116.18919107827745</v>
      </c>
      <c r="J119" s="15">
        <f t="shared" si="10"/>
        <v>1.7640311270737671E-4</v>
      </c>
      <c r="K119" s="15">
        <f t="shared" si="11"/>
        <v>1.0263627302523151E-3</v>
      </c>
    </row>
    <row r="120" spans="1:11" x14ac:dyDescent="0.3">
      <c r="A120" s="8" t="s">
        <v>16</v>
      </c>
      <c r="B120" s="1">
        <v>46197</v>
      </c>
      <c r="C120" s="4">
        <v>275.02</v>
      </c>
      <c r="D120" s="4">
        <v>115.13</v>
      </c>
      <c r="E120" s="12">
        <f t="shared" si="7"/>
        <v>0.41862410006544981</v>
      </c>
      <c r="F120" s="13">
        <f t="shared" si="12"/>
        <v>0.41861523192191957</v>
      </c>
      <c r="G120" s="13">
        <f t="shared" si="13"/>
        <v>0.41897306379396099</v>
      </c>
      <c r="H120" s="4">
        <f t="shared" si="8"/>
        <v>115.12756108316631</v>
      </c>
      <c r="I120" s="4">
        <f t="shared" si="9"/>
        <v>115.22597200461514</v>
      </c>
      <c r="J120" s="15">
        <f t="shared" si="10"/>
        <v>-2.1184249692340835E-5</v>
      </c>
      <c r="K120" s="15">
        <f t="shared" si="11"/>
        <v>8.3324959481439499E-4</v>
      </c>
    </row>
    <row r="121" spans="1:11" x14ac:dyDescent="0.3">
      <c r="B121" s="1">
        <v>46198</v>
      </c>
      <c r="C121" s="4">
        <v>275.85000000000002</v>
      </c>
      <c r="D121" s="4">
        <v>115.47</v>
      </c>
      <c r="E121" s="12">
        <f t="shared" si="7"/>
        <v>0.41859706362153343</v>
      </c>
      <c r="F121" s="13">
        <f t="shared" si="12"/>
        <v>0.41861427197888784</v>
      </c>
      <c r="G121" s="13">
        <f t="shared" si="13"/>
        <v>0.41897306379396099</v>
      </c>
      <c r="H121" s="4">
        <f t="shared" si="8"/>
        <v>115.47474692537622</v>
      </c>
      <c r="I121" s="4">
        <f t="shared" si="9"/>
        <v>115.57371964756415</v>
      </c>
      <c r="J121" s="15">
        <f t="shared" si="10"/>
        <v>4.1108753847796009E-5</v>
      </c>
      <c r="K121" s="15">
        <f t="shared" si="11"/>
        <v>8.9783574026437751E-4</v>
      </c>
    </row>
    <row r="122" spans="1:11" x14ac:dyDescent="0.3">
      <c r="B122" s="1">
        <v>46199</v>
      </c>
      <c r="C122" s="4">
        <v>272.48</v>
      </c>
      <c r="D122" s="4">
        <v>113.86</v>
      </c>
      <c r="E122" s="12">
        <f t="shared" si="7"/>
        <v>0.4178655314151497</v>
      </c>
      <c r="F122" s="13">
        <f t="shared" si="12"/>
        <v>0.41856712181913336</v>
      </c>
      <c r="G122" s="13">
        <f t="shared" si="13"/>
        <v>0.41897306379396099</v>
      </c>
      <c r="H122" s="4">
        <f t="shared" si="8"/>
        <v>114.05116935327746</v>
      </c>
      <c r="I122" s="4">
        <f t="shared" si="9"/>
        <v>114.1617804225785</v>
      </c>
      <c r="J122" s="15">
        <f t="shared" si="10"/>
        <v>1.6775781428651716E-3</v>
      </c>
      <c r="K122" s="15">
        <f t="shared" si="11"/>
        <v>2.6469453770313978E-3</v>
      </c>
    </row>
    <row r="123" spans="1:11" x14ac:dyDescent="0.3">
      <c r="B123" s="1">
        <v>46202</v>
      </c>
      <c r="C123" s="4">
        <v>278.33999999999997</v>
      </c>
      <c r="D123" s="4">
        <v>116.5</v>
      </c>
      <c r="E123" s="12">
        <f t="shared" si="7"/>
        <v>0.41855284903355611</v>
      </c>
      <c r="F123" s="13">
        <f t="shared" si="12"/>
        <v>0.41856823013079392</v>
      </c>
      <c r="G123" s="13">
        <f t="shared" si="13"/>
        <v>0.41897306379396099</v>
      </c>
      <c r="H123" s="4">
        <f t="shared" si="8"/>
        <v>116.50428117460517</v>
      </c>
      <c r="I123" s="4">
        <f t="shared" si="9"/>
        <v>116.6169625764111</v>
      </c>
      <c r="J123" s="15">
        <f t="shared" si="10"/>
        <v>3.6747604671160757E-5</v>
      </c>
      <c r="K123" s="15">
        <f t="shared" si="11"/>
        <v>1.0034669715408384E-3</v>
      </c>
    </row>
    <row r="124" spans="1:11" x14ac:dyDescent="0.3">
      <c r="B124" s="1">
        <v>46203</v>
      </c>
      <c r="C124" s="4">
        <v>285.58</v>
      </c>
      <c r="D124" s="4">
        <v>119.52</v>
      </c>
      <c r="E124" s="12">
        <f t="shared" si="7"/>
        <v>0.41851670285033965</v>
      </c>
      <c r="F124" s="13">
        <f t="shared" si="12"/>
        <v>0.41856410706918534</v>
      </c>
      <c r="G124" s="13">
        <f t="shared" si="13"/>
        <v>0.41897306379396099</v>
      </c>
      <c r="H124" s="4">
        <f t="shared" si="8"/>
        <v>119.53353769681794</v>
      </c>
      <c r="I124" s="4">
        <f t="shared" si="9"/>
        <v>119.65032755827937</v>
      </c>
      <c r="J124" s="15">
        <f t="shared" si="10"/>
        <v>1.1326079473944145E-4</v>
      </c>
      <c r="K124" s="15">
        <f t="shared" si="11"/>
        <v>1.0898306032308027E-3</v>
      </c>
    </row>
    <row r="125" spans="1:11" x14ac:dyDescent="0.3">
      <c r="B125" s="1">
        <v>46204</v>
      </c>
      <c r="C125" s="4">
        <v>279.98</v>
      </c>
      <c r="D125" s="4">
        <v>117.22</v>
      </c>
      <c r="E125" s="12">
        <f t="shared" si="7"/>
        <v>0.41867276234016715</v>
      </c>
      <c r="F125" s="13">
        <f t="shared" si="12"/>
        <v>0.41857165287645354</v>
      </c>
      <c r="G125" s="13">
        <f t="shared" si="13"/>
        <v>0.41897306379396099</v>
      </c>
      <c r="H125" s="4">
        <f t="shared" si="8"/>
        <v>117.19169137234947</v>
      </c>
      <c r="I125" s="4">
        <f t="shared" si="9"/>
        <v>117.30407840103321</v>
      </c>
      <c r="J125" s="15">
        <f t="shared" si="10"/>
        <v>-2.4152914577276632E-4</v>
      </c>
      <c r="K125" s="15">
        <f t="shared" si="11"/>
        <v>7.1701298398501733E-4</v>
      </c>
    </row>
    <row r="126" spans="1:11" x14ac:dyDescent="0.3">
      <c r="B126" s="1">
        <v>46205</v>
      </c>
      <c r="C126" s="4">
        <v>273.89</v>
      </c>
      <c r="D126" s="4">
        <v>114.64</v>
      </c>
      <c r="E126" s="12">
        <f t="shared" si="7"/>
        <v>0.41856219650224546</v>
      </c>
      <c r="F126" s="13">
        <f t="shared" si="12"/>
        <v>0.4185704336021806</v>
      </c>
      <c r="G126" s="13">
        <f t="shared" si="13"/>
        <v>0.41897306379396099</v>
      </c>
      <c r="H126" s="4">
        <f t="shared" si="8"/>
        <v>114.64225605930125</v>
      </c>
      <c r="I126" s="4">
        <f t="shared" si="9"/>
        <v>114.75253244252796</v>
      </c>
      <c r="J126" s="15">
        <f t="shared" si="10"/>
        <v>1.9679318758388848E-5</v>
      </c>
      <c r="K126" s="15">
        <f t="shared" si="11"/>
        <v>9.8113439314651539E-4</v>
      </c>
    </row>
    <row r="127" spans="1:11" x14ac:dyDescent="0.3">
      <c r="B127" s="1">
        <v>46209</v>
      </c>
      <c r="C127" s="4">
        <v>278.01</v>
      </c>
      <c r="D127" s="4">
        <v>116.37</v>
      </c>
      <c r="E127" s="12">
        <f t="shared" si="7"/>
        <v>0.4185820653933312</v>
      </c>
      <c r="F127" s="13">
        <f t="shared" si="12"/>
        <v>0.41857049318021061</v>
      </c>
      <c r="G127" s="13">
        <f t="shared" si="13"/>
        <v>0.41897306379396099</v>
      </c>
      <c r="H127" s="4">
        <f t="shared" si="8"/>
        <v>116.36678280903035</v>
      </c>
      <c r="I127" s="4">
        <f t="shared" si="9"/>
        <v>116.47870146535909</v>
      </c>
      <c r="J127" s="15">
        <f t="shared" si="10"/>
        <v>-2.7646605156427626E-5</v>
      </c>
      <c r="K127" s="15">
        <f t="shared" si="11"/>
        <v>9.3366613231313418E-4</v>
      </c>
    </row>
    <row r="128" spans="1:11" x14ac:dyDescent="0.3">
      <c r="B128" s="1">
        <v>46210</v>
      </c>
      <c r="C128" s="4">
        <v>272.33999999999997</v>
      </c>
      <c r="D128" s="4">
        <v>114.06</v>
      </c>
      <c r="E128" s="12">
        <f t="shared" si="7"/>
        <v>0.41881471689799521</v>
      </c>
      <c r="F128" s="13">
        <f t="shared" si="12"/>
        <v>0.41857559049539955</v>
      </c>
      <c r="G128" s="13">
        <f t="shared" si="13"/>
        <v>0.41897306379396099</v>
      </c>
      <c r="H128" s="4">
        <f t="shared" si="8"/>
        <v>113.9948763155171</v>
      </c>
      <c r="I128" s="4">
        <f t="shared" si="9"/>
        <v>114.10312419364732</v>
      </c>
      <c r="J128" s="15">
        <f t="shared" si="10"/>
        <v>-5.711229446633344E-4</v>
      </c>
      <c r="K128" s="15">
        <f t="shared" si="11"/>
        <v>3.780119536251955E-4</v>
      </c>
    </row>
    <row r="129" spans="2:11" x14ac:dyDescent="0.3">
      <c r="B129" s="1">
        <v>46211</v>
      </c>
      <c r="C129" s="4">
        <v>275.81</v>
      </c>
      <c r="D129" s="4">
        <v>115.47</v>
      </c>
      <c r="E129" s="12">
        <f t="shared" si="7"/>
        <v>0.41865777165439977</v>
      </c>
      <c r="F129" s="13">
        <f t="shared" si="12"/>
        <v>0.41857770682634338</v>
      </c>
      <c r="G129" s="13">
        <f t="shared" si="13"/>
        <v>0.41897306379396099</v>
      </c>
      <c r="H129" s="4">
        <f t="shared" si="8"/>
        <v>115.44791731977377</v>
      </c>
      <c r="I129" s="4">
        <f t="shared" si="9"/>
        <v>115.55696072501237</v>
      </c>
      <c r="J129" s="15">
        <f t="shared" si="10"/>
        <v>-1.9125999878971008E-4</v>
      </c>
      <c r="K129" s="15">
        <f t="shared" si="11"/>
        <v>7.5281888180022175E-4</v>
      </c>
    </row>
    <row r="130" spans="2:11" x14ac:dyDescent="0.3">
      <c r="B130" s="1">
        <v>46212</v>
      </c>
      <c r="C130" s="4">
        <v>281.24</v>
      </c>
      <c r="D130" s="4">
        <v>117.71</v>
      </c>
      <c r="E130" s="12">
        <f t="shared" si="7"/>
        <v>0.4185393258426966</v>
      </c>
      <c r="F130" s="13">
        <f t="shared" si="12"/>
        <v>0.41856923270774377</v>
      </c>
      <c r="G130" s="13">
        <f t="shared" si="13"/>
        <v>0.41897306379396099</v>
      </c>
      <c r="H130" s="4">
        <f t="shared" si="8"/>
        <v>117.71841100672586</v>
      </c>
      <c r="I130" s="4">
        <f t="shared" si="9"/>
        <v>117.8319844614136</v>
      </c>
      <c r="J130" s="15">
        <f t="shared" si="10"/>
        <v>7.1452775758620149E-5</v>
      </c>
      <c r="K130" s="15">
        <f t="shared" si="11"/>
        <v>1.0357768921602432E-3</v>
      </c>
    </row>
    <row r="131" spans="2:11" x14ac:dyDescent="0.3">
      <c r="B131" s="1">
        <v>46213</v>
      </c>
      <c r="C131" s="4">
        <v>282.07</v>
      </c>
      <c r="D131" s="4">
        <v>118.08</v>
      </c>
      <c r="E131" s="12">
        <f t="shared" ref="E131:E163" si="14">D131/C131</f>
        <v>0.41861949161555645</v>
      </c>
      <c r="F131" s="13">
        <f t="shared" si="12"/>
        <v>0.41857482636984633</v>
      </c>
      <c r="G131" s="13">
        <f t="shared" si="13"/>
        <v>0.41897306379396099</v>
      </c>
      <c r="H131" s="4">
        <f t="shared" si="8"/>
        <v>118.06740127414255</v>
      </c>
      <c r="I131" s="4">
        <f t="shared" si="9"/>
        <v>118.17973210436257</v>
      </c>
      <c r="J131" s="15">
        <f t="shared" si="10"/>
        <v>-1.0670221904977767E-4</v>
      </c>
      <c r="K131" s="15">
        <f t="shared" si="11"/>
        <v>8.4425821868265442E-4</v>
      </c>
    </row>
    <row r="132" spans="2:11" x14ac:dyDescent="0.3">
      <c r="B132" s="1">
        <v>46216</v>
      </c>
      <c r="C132" s="4">
        <v>276.08</v>
      </c>
      <c r="D132" s="4">
        <v>115.58</v>
      </c>
      <c r="E132" s="12">
        <f t="shared" si="14"/>
        <v>0.41864676905244858</v>
      </c>
      <c r="F132" s="13">
        <f t="shared" si="12"/>
        <v>0.41857328320792486</v>
      </c>
      <c r="G132" s="13">
        <f t="shared" si="13"/>
        <v>0.41897306379396099</v>
      </c>
      <c r="H132" s="4">
        <f t="shared" si="8"/>
        <v>115.55971202804389</v>
      </c>
      <c r="I132" s="4">
        <f t="shared" si="9"/>
        <v>115.67008345223674</v>
      </c>
      <c r="J132" s="15">
        <f t="shared" si="10"/>
        <v>-1.7554726386222099E-4</v>
      </c>
      <c r="K132" s="15">
        <f t="shared" si="11"/>
        <v>7.7909988570473644E-4</v>
      </c>
    </row>
    <row r="133" spans="2:11" x14ac:dyDescent="0.3">
      <c r="B133" s="1">
        <v>46217</v>
      </c>
      <c r="C133" s="4">
        <v>279.7</v>
      </c>
      <c r="D133" s="4">
        <v>117.11</v>
      </c>
      <c r="E133" s="12">
        <f t="shared" si="14"/>
        <v>0.41869860564890954</v>
      </c>
      <c r="F133" s="13">
        <f t="shared" si="12"/>
        <v>0.41858106592117483</v>
      </c>
      <c r="G133" s="13">
        <f t="shared" si="13"/>
        <v>0.41897306379396099</v>
      </c>
      <c r="H133" s="4">
        <f t="shared" si="8"/>
        <v>117.0771241381526</v>
      </c>
      <c r="I133" s="4">
        <f t="shared" si="9"/>
        <v>117.18676594317088</v>
      </c>
      <c r="J133" s="15">
        <f t="shared" si="10"/>
        <v>-2.807657524669699E-4</v>
      </c>
      <c r="K133" s="15">
        <f t="shared" si="11"/>
        <v>6.5528813945688979E-4</v>
      </c>
    </row>
    <row r="134" spans="2:11" x14ac:dyDescent="0.3">
      <c r="B134" s="1">
        <v>46218</v>
      </c>
      <c r="C134" s="4">
        <v>278.17</v>
      </c>
      <c r="D134" s="4">
        <v>116.5</v>
      </c>
      <c r="E134" s="12">
        <f t="shared" si="14"/>
        <v>0.41880864219721753</v>
      </c>
      <c r="F134" s="13">
        <f t="shared" si="12"/>
        <v>0.41858759596417483</v>
      </c>
      <c r="G134" s="13">
        <f t="shared" si="13"/>
        <v>0.41897306379396099</v>
      </c>
      <c r="H134" s="4">
        <f t="shared" si="8"/>
        <v>116.43851156935452</v>
      </c>
      <c r="I134" s="4">
        <f t="shared" si="9"/>
        <v>116.54573715556613</v>
      </c>
      <c r="J134" s="15">
        <f t="shared" si="10"/>
        <v>-5.2793702217279943E-4</v>
      </c>
      <c r="K134" s="15">
        <f t="shared" si="11"/>
        <v>3.9251656530263156E-4</v>
      </c>
    </row>
    <row r="135" spans="2:11" x14ac:dyDescent="0.3">
      <c r="B135" s="1">
        <v>46219</v>
      </c>
      <c r="C135" s="4">
        <v>272.8</v>
      </c>
      <c r="D135" s="4">
        <v>114.24</v>
      </c>
      <c r="E135" s="12">
        <f t="shared" si="14"/>
        <v>0.41876832844574774</v>
      </c>
      <c r="F135" s="13">
        <f t="shared" si="12"/>
        <v>0.4185924326572607</v>
      </c>
      <c r="G135" s="13">
        <f t="shared" si="13"/>
        <v>0.41897306379396099</v>
      </c>
      <c r="H135" s="4">
        <f t="shared" si="8"/>
        <v>114.19201562890072</v>
      </c>
      <c r="I135" s="4">
        <f t="shared" si="9"/>
        <v>114.29585180299256</v>
      </c>
      <c r="J135" s="15">
        <f t="shared" si="10"/>
        <v>-4.2011949746136192E-4</v>
      </c>
      <c r="K135" s="15">
        <f t="shared" si="11"/>
        <v>4.8877936362170778E-4</v>
      </c>
    </row>
    <row r="136" spans="2:11" x14ac:dyDescent="0.3">
      <c r="B136" s="1">
        <v>46220</v>
      </c>
      <c r="C136" s="4">
        <v>270.13</v>
      </c>
      <c r="D136" s="4">
        <v>113.1</v>
      </c>
      <c r="E136" s="12">
        <f t="shared" si="14"/>
        <v>0.41868729870802945</v>
      </c>
      <c r="F136" s="13">
        <f t="shared" si="12"/>
        <v>0.41858736132605284</v>
      </c>
      <c r="G136" s="13">
        <f t="shared" si="13"/>
        <v>0.41897306379396099</v>
      </c>
      <c r="H136" s="4">
        <f t="shared" si="8"/>
        <v>113.07300391500665</v>
      </c>
      <c r="I136" s="4">
        <f t="shared" si="9"/>
        <v>113.17719372266268</v>
      </c>
      <c r="J136" s="15">
        <f t="shared" si="10"/>
        <v>-2.387206665185889E-4</v>
      </c>
      <c r="K136" s="15">
        <f t="shared" si="11"/>
        <v>6.8229346835486384E-4</v>
      </c>
    </row>
    <row r="137" spans="2:11" x14ac:dyDescent="0.3">
      <c r="B137" s="1">
        <v>46223</v>
      </c>
      <c r="C137" s="4">
        <v>270.27999999999997</v>
      </c>
      <c r="D137" s="4">
        <v>113.23</v>
      </c>
      <c r="E137" s="12">
        <f t="shared" si="14"/>
        <v>0.41893591830694099</v>
      </c>
      <c r="F137" s="13">
        <f t="shared" si="12"/>
        <v>0.41860879753230495</v>
      </c>
      <c r="G137" s="13">
        <f t="shared" si="13"/>
        <v>0.41897306379396099</v>
      </c>
      <c r="H137" s="4">
        <f t="shared" si="8"/>
        <v>113.14158579703137</v>
      </c>
      <c r="I137" s="4">
        <f t="shared" si="9"/>
        <v>113.24003968223177</v>
      </c>
      <c r="J137" s="15">
        <f t="shared" si="10"/>
        <v>-7.8114227236667335E-4</v>
      </c>
      <c r="K137" s="15">
        <f t="shared" si="11"/>
        <v>8.8662343614340526E-5</v>
      </c>
    </row>
    <row r="138" spans="2:11" x14ac:dyDescent="0.3">
      <c r="B138" s="1">
        <v>46224</v>
      </c>
      <c r="C138" s="4">
        <v>277.01</v>
      </c>
      <c r="D138" s="4">
        <v>116.01</v>
      </c>
      <c r="E138" s="12">
        <f t="shared" si="14"/>
        <v>0.41879354535937335</v>
      </c>
      <c r="F138" s="13">
        <f t="shared" si="12"/>
        <v>0.41862434755046546</v>
      </c>
      <c r="G138" s="13">
        <f t="shared" si="13"/>
        <v>0.41897306379396099</v>
      </c>
      <c r="H138" s="4">
        <f t="shared" si="8"/>
        <v>115.96313051495443</v>
      </c>
      <c r="I138" s="4">
        <f t="shared" si="9"/>
        <v>116.05972840156512</v>
      </c>
      <c r="J138" s="15">
        <f t="shared" si="10"/>
        <v>-4.0409409123652482E-4</v>
      </c>
      <c r="K138" s="15">
        <f t="shared" si="11"/>
        <v>4.2856431701595319E-4</v>
      </c>
    </row>
    <row r="139" spans="2:11" x14ac:dyDescent="0.3">
      <c r="B139" s="1">
        <v>46225</v>
      </c>
      <c r="C139" s="4">
        <v>276.23</v>
      </c>
      <c r="D139" s="4">
        <v>115.62</v>
      </c>
      <c r="E139" s="12">
        <f t="shared" si="14"/>
        <v>0.41856423994497338</v>
      </c>
      <c r="F139" s="13">
        <f t="shared" si="12"/>
        <v>0.41862539624480311</v>
      </c>
      <c r="G139" s="13">
        <f t="shared" si="13"/>
        <v>0.41897306379396099</v>
      </c>
      <c r="H139" s="4">
        <f t="shared" si="8"/>
        <v>115.63689320470196</v>
      </c>
      <c r="I139" s="4">
        <f t="shared" si="9"/>
        <v>115.73292941180586</v>
      </c>
      <c r="J139" s="15">
        <f t="shared" si="10"/>
        <v>1.460990372905091E-4</v>
      </c>
      <c r="K139" s="15">
        <f t="shared" si="11"/>
        <v>9.7625235230071675E-4</v>
      </c>
    </row>
    <row r="140" spans="2:11" x14ac:dyDescent="0.3">
      <c r="B140" s="1">
        <v>46226</v>
      </c>
      <c r="C140" s="4">
        <v>273.3</v>
      </c>
      <c r="D140" s="4">
        <v>114.39</v>
      </c>
      <c r="E140" s="12">
        <f t="shared" si="14"/>
        <v>0.41855104281009875</v>
      </c>
      <c r="F140" s="13">
        <f t="shared" si="12"/>
        <v>0.41862174338203556</v>
      </c>
      <c r="G140" s="13">
        <f t="shared" si="13"/>
        <v>0.41897306379396099</v>
      </c>
      <c r="H140" s="4">
        <f t="shared" ref="H140:H163" si="15">C140*F140</f>
        <v>114.40932246631033</v>
      </c>
      <c r="I140" s="4">
        <f t="shared" ref="I140:I163" si="16">C140*G140</f>
        <v>114.50533833488954</v>
      </c>
      <c r="J140" s="15">
        <f t="shared" ref="J140:J163" si="17">LN(H140/D140)</f>
        <v>1.6890317810368149E-4</v>
      </c>
      <c r="K140" s="15">
        <f t="shared" ref="K140:K163" si="18">LN(I140/D140)</f>
        <v>1.0077823820292663E-3</v>
      </c>
    </row>
    <row r="141" spans="2:11" x14ac:dyDescent="0.3">
      <c r="B141" s="1">
        <v>46227</v>
      </c>
      <c r="C141" s="4">
        <v>270.52</v>
      </c>
      <c r="D141" s="4">
        <v>113.3</v>
      </c>
      <c r="E141" s="12">
        <f t="shared" si="14"/>
        <v>0.41882300754103208</v>
      </c>
      <c r="F141" s="13">
        <f t="shared" si="12"/>
        <v>0.41863304057801043</v>
      </c>
      <c r="G141" s="13">
        <f t="shared" si="13"/>
        <v>0.41897306379396099</v>
      </c>
      <c r="H141" s="4">
        <f t="shared" si="15"/>
        <v>113.24861013716337</v>
      </c>
      <c r="I141" s="4">
        <f t="shared" si="16"/>
        <v>113.34059321754232</v>
      </c>
      <c r="J141" s="15">
        <f t="shared" si="17"/>
        <v>-4.5367626565396353E-4</v>
      </c>
      <c r="K141" s="15">
        <f t="shared" si="18"/>
        <v>3.5821665836731212E-4</v>
      </c>
    </row>
    <row r="142" spans="2:11" x14ac:dyDescent="0.3">
      <c r="B142" s="1">
        <v>46230</v>
      </c>
      <c r="C142" s="4">
        <v>268.44</v>
      </c>
      <c r="D142" s="4">
        <v>112.42</v>
      </c>
      <c r="E142" s="12">
        <f t="shared" si="14"/>
        <v>0.41879004619281779</v>
      </c>
      <c r="F142" s="13">
        <f t="shared" si="12"/>
        <v>0.41867926631689378</v>
      </c>
      <c r="G142" s="13">
        <f t="shared" si="13"/>
        <v>0.41897306379396099</v>
      </c>
      <c r="H142" s="4">
        <f t="shared" si="15"/>
        <v>112.39026225010697</v>
      </c>
      <c r="I142" s="4">
        <f t="shared" si="16"/>
        <v>112.46912924485089</v>
      </c>
      <c r="J142" s="15">
        <f t="shared" si="17"/>
        <v>-2.6455865287318111E-4</v>
      </c>
      <c r="K142" s="15">
        <f t="shared" si="18"/>
        <v>4.3691970169852635E-4</v>
      </c>
    </row>
    <row r="143" spans="2:11" x14ac:dyDescent="0.3">
      <c r="B143" s="1">
        <v>46231</v>
      </c>
      <c r="C143" s="4">
        <v>264.63</v>
      </c>
      <c r="D143" s="4">
        <v>110.87</v>
      </c>
      <c r="E143" s="12">
        <f t="shared" si="14"/>
        <v>0.41896232475531875</v>
      </c>
      <c r="F143" s="13">
        <f t="shared" si="12"/>
        <v>0.418699740102982</v>
      </c>
      <c r="G143" s="13">
        <f t="shared" si="13"/>
        <v>0.41897306379396099</v>
      </c>
      <c r="H143" s="4">
        <f t="shared" si="15"/>
        <v>110.80051222345213</v>
      </c>
      <c r="I143" s="4">
        <f t="shared" si="16"/>
        <v>110.8728418717959</v>
      </c>
      <c r="J143" s="15">
        <f t="shared" si="17"/>
        <v>-6.2694652641859792E-4</v>
      </c>
      <c r="K143" s="15">
        <f t="shared" si="18"/>
        <v>2.5632140113752619E-5</v>
      </c>
    </row>
    <row r="144" spans="2:11" x14ac:dyDescent="0.3">
      <c r="B144" s="1">
        <v>46232</v>
      </c>
      <c r="C144" s="4">
        <v>258.14</v>
      </c>
      <c r="D144" s="4">
        <v>108.2</v>
      </c>
      <c r="E144" s="12">
        <f t="shared" si="14"/>
        <v>0.41915239792360737</v>
      </c>
      <c r="F144" s="13">
        <f t="shared" si="12"/>
        <v>0.41873152485664544</v>
      </c>
      <c r="G144" s="13">
        <f t="shared" si="13"/>
        <v>0.41897306379396099</v>
      </c>
      <c r="H144" s="4">
        <f t="shared" si="15"/>
        <v>108.09135582649445</v>
      </c>
      <c r="I144" s="4">
        <f t="shared" si="16"/>
        <v>108.15370668777308</v>
      </c>
      <c r="J144" s="15">
        <f t="shared" si="17"/>
        <v>-1.0046095668293593E-3</v>
      </c>
      <c r="K144" s="15">
        <f t="shared" si="18"/>
        <v>-4.2794101975076465E-4</v>
      </c>
    </row>
    <row r="145" spans="2:11" x14ac:dyDescent="0.3">
      <c r="B145" s="1">
        <v>46233</v>
      </c>
      <c r="C145" s="4">
        <v>271.06</v>
      </c>
      <c r="D145" s="4">
        <v>113.58</v>
      </c>
      <c r="E145" s="12">
        <f t="shared" si="14"/>
        <v>0.4190216188297794</v>
      </c>
      <c r="F145" s="13">
        <f t="shared" si="12"/>
        <v>0.41874896768112607</v>
      </c>
      <c r="G145" s="13">
        <f t="shared" si="13"/>
        <v>0.41897306379396099</v>
      </c>
      <c r="H145" s="4">
        <f t="shared" si="15"/>
        <v>113.50609517964604</v>
      </c>
      <c r="I145" s="4">
        <f t="shared" si="16"/>
        <v>113.56683867199106</v>
      </c>
      <c r="J145" s="15">
        <f t="shared" si="17"/>
        <v>-6.5089694641805448E-4</v>
      </c>
      <c r="K145" s="15">
        <f t="shared" si="18"/>
        <v>-1.1588387582768082E-4</v>
      </c>
    </row>
    <row r="146" spans="2:11" x14ac:dyDescent="0.3">
      <c r="B146" s="1">
        <v>46234</v>
      </c>
      <c r="C146" s="4">
        <v>270.10000000000002</v>
      </c>
      <c r="D146" s="4">
        <v>113.15</v>
      </c>
      <c r="E146" s="12">
        <f t="shared" si="14"/>
        <v>0.41891891891891891</v>
      </c>
      <c r="F146" s="13">
        <f t="shared" si="12"/>
        <v>0.41876680380195969</v>
      </c>
      <c r="G146" s="13">
        <f t="shared" si="13"/>
        <v>0.41897306379396099</v>
      </c>
      <c r="H146" s="4">
        <f t="shared" si="15"/>
        <v>113.10891370690932</v>
      </c>
      <c r="I146" s="4">
        <f t="shared" si="16"/>
        <v>113.16462453074887</v>
      </c>
      <c r="J146" s="15">
        <f t="shared" si="17"/>
        <v>-3.6317944667151568E-4</v>
      </c>
      <c r="K146" s="15">
        <f t="shared" si="18"/>
        <v>1.2924070461243028E-4</v>
      </c>
    </row>
    <row r="147" spans="2:11" x14ac:dyDescent="0.3">
      <c r="B147" s="1">
        <v>46237</v>
      </c>
      <c r="C147" s="4">
        <v>274.73</v>
      </c>
      <c r="D147" s="4">
        <v>115.14</v>
      </c>
      <c r="E147" s="12">
        <f t="shared" si="14"/>
        <v>0.41910239143886724</v>
      </c>
      <c r="F147" s="13">
        <f t="shared" si="12"/>
        <v>0.41879282010423652</v>
      </c>
      <c r="G147" s="13">
        <f t="shared" si="13"/>
        <v>0.41897306379396099</v>
      </c>
      <c r="H147" s="4">
        <f t="shared" si="15"/>
        <v>115.0549514672369</v>
      </c>
      <c r="I147" s="4">
        <f t="shared" si="16"/>
        <v>115.10446981611491</v>
      </c>
      <c r="J147" s="15">
        <f t="shared" si="17"/>
        <v>-7.3892616750103701E-4</v>
      </c>
      <c r="K147" s="15">
        <f t="shared" si="18"/>
        <v>-3.086300765051219E-4</v>
      </c>
    </row>
    <row r="148" spans="2:11" x14ac:dyDescent="0.3">
      <c r="B148" s="1">
        <v>46238</v>
      </c>
      <c r="C148" s="4">
        <v>286.77</v>
      </c>
      <c r="D148" s="4">
        <v>120.15</v>
      </c>
      <c r="E148" s="12">
        <f t="shared" si="14"/>
        <v>0.41897688042682296</v>
      </c>
      <c r="F148" s="13">
        <f t="shared" si="12"/>
        <v>0.41880092828067789</v>
      </c>
      <c r="G148" s="13">
        <f t="shared" si="13"/>
        <v>0.41897306379396099</v>
      </c>
      <c r="H148" s="4">
        <f t="shared" si="15"/>
        <v>120.09954220304999</v>
      </c>
      <c r="I148" s="4">
        <f t="shared" si="16"/>
        <v>120.14890550419419</v>
      </c>
      <c r="J148" s="15">
        <f t="shared" si="17"/>
        <v>-4.2004490189000122E-4</v>
      </c>
      <c r="K148" s="15">
        <f t="shared" si="18"/>
        <v>-9.1094531081894105E-6</v>
      </c>
    </row>
    <row r="149" spans="2:11" x14ac:dyDescent="0.3">
      <c r="B149" s="1">
        <v>46239</v>
      </c>
      <c r="C149" s="4">
        <v>285.70999999999998</v>
      </c>
      <c r="D149" s="4">
        <v>119.72</v>
      </c>
      <c r="E149" s="12">
        <f t="shared" si="14"/>
        <v>0.41902628539428094</v>
      </c>
      <c r="F149" s="13">
        <f t="shared" ref="F149:F163" si="19">AVERAGE(E130:E149)</f>
        <v>0.41881935396767195</v>
      </c>
      <c r="G149" s="13">
        <f t="shared" si="13"/>
        <v>0.41897306379396099</v>
      </c>
      <c r="H149" s="4">
        <f t="shared" si="15"/>
        <v>119.66087762210354</v>
      </c>
      <c r="I149" s="4">
        <f t="shared" si="16"/>
        <v>119.70479405657258</v>
      </c>
      <c r="J149" s="15">
        <f t="shared" si="17"/>
        <v>-4.9396075146759149E-4</v>
      </c>
      <c r="K149" s="15">
        <f t="shared" si="18"/>
        <v>-1.2702062464150455E-4</v>
      </c>
    </row>
    <row r="150" spans="2:11" x14ac:dyDescent="0.3">
      <c r="B150" s="1">
        <v>46240</v>
      </c>
      <c r="C150" s="4">
        <v>285.45</v>
      </c>
      <c r="D150" s="4">
        <v>119.6</v>
      </c>
      <c r="E150" s="12">
        <f t="shared" si="14"/>
        <v>0.41898756349623401</v>
      </c>
      <c r="F150" s="13">
        <f t="shared" si="19"/>
        <v>0.41884176585034882</v>
      </c>
      <c r="G150" s="13">
        <f t="shared" ref="G150:G172" si="20">G149</f>
        <v>0.41897306379396099</v>
      </c>
      <c r="H150" s="4">
        <f t="shared" si="15"/>
        <v>119.55838206198207</v>
      </c>
      <c r="I150" s="4">
        <f t="shared" si="16"/>
        <v>119.59586105998616</v>
      </c>
      <c r="J150" s="15">
        <f t="shared" si="17"/>
        <v>-3.4803662810556124E-4</v>
      </c>
      <c r="K150" s="15">
        <f t="shared" si="18"/>
        <v>-3.4607120674322568E-5</v>
      </c>
    </row>
    <row r="151" spans="2:11" x14ac:dyDescent="0.3">
      <c r="B151" s="1">
        <v>46241</v>
      </c>
      <c r="C151" s="4">
        <v>289.83999999999997</v>
      </c>
      <c r="D151" s="4">
        <v>121.45</v>
      </c>
      <c r="E151" s="12">
        <f t="shared" si="14"/>
        <v>0.41902428926304175</v>
      </c>
      <c r="F151" s="13">
        <f t="shared" si="19"/>
        <v>0.41886200573272314</v>
      </c>
      <c r="G151" s="13">
        <f t="shared" si="20"/>
        <v>0.41897306379396099</v>
      </c>
      <c r="H151" s="4">
        <f t="shared" si="15"/>
        <v>121.40296374157246</v>
      </c>
      <c r="I151" s="4">
        <f t="shared" si="16"/>
        <v>121.43515281004164</v>
      </c>
      <c r="J151" s="15">
        <f t="shared" si="17"/>
        <v>-3.8736409299701185E-4</v>
      </c>
      <c r="K151" s="15">
        <f t="shared" si="18"/>
        <v>-1.2225687577095581E-4</v>
      </c>
    </row>
    <row r="152" spans="2:11" x14ac:dyDescent="0.3">
      <c r="B152" s="1">
        <v>46244</v>
      </c>
      <c r="C152" s="4">
        <v>286.99</v>
      </c>
      <c r="D152" s="4">
        <v>120.25</v>
      </c>
      <c r="E152" s="12">
        <f t="shared" si="14"/>
        <v>0.41900414648594025</v>
      </c>
      <c r="F152" s="13">
        <f t="shared" si="19"/>
        <v>0.41887987460439768</v>
      </c>
      <c r="G152" s="13">
        <f t="shared" si="20"/>
        <v>0.41897306379396099</v>
      </c>
      <c r="H152" s="4">
        <f t="shared" si="15"/>
        <v>120.21433521271609</v>
      </c>
      <c r="I152" s="4">
        <f t="shared" si="16"/>
        <v>120.24107957822886</v>
      </c>
      <c r="J152" s="15">
        <f t="shared" si="17"/>
        <v>-2.9663265875887483E-4</v>
      </c>
      <c r="K152" s="15">
        <f t="shared" si="18"/>
        <v>-7.4185053274052293E-5</v>
      </c>
    </row>
    <row r="153" spans="2:11" x14ac:dyDescent="0.3">
      <c r="B153" s="1">
        <v>46245</v>
      </c>
      <c r="C153" s="4">
        <v>286.79000000000002</v>
      </c>
      <c r="D153" s="4">
        <v>120.17</v>
      </c>
      <c r="E153" s="12">
        <f t="shared" si="14"/>
        <v>0.41901739949091665</v>
      </c>
      <c r="F153" s="13">
        <f t="shared" si="19"/>
        <v>0.41889581429649797</v>
      </c>
      <c r="G153" s="13">
        <f t="shared" si="20"/>
        <v>0.41897306379396099</v>
      </c>
      <c r="H153" s="4">
        <f t="shared" si="15"/>
        <v>120.13513058209266</v>
      </c>
      <c r="I153" s="4">
        <f t="shared" si="16"/>
        <v>120.15728496547008</v>
      </c>
      <c r="J153" s="15">
        <f t="shared" si="17"/>
        <v>-2.9020951876982011E-4</v>
      </c>
      <c r="K153" s="15">
        <f t="shared" si="18"/>
        <v>-1.0581432352642105E-4</v>
      </c>
    </row>
    <row r="154" spans="2:11" x14ac:dyDescent="0.3">
      <c r="B154" s="1">
        <v>46246</v>
      </c>
      <c r="C154" s="4">
        <v>290.2</v>
      </c>
      <c r="D154" s="4">
        <v>121.6</v>
      </c>
      <c r="E154" s="12">
        <f t="shared" si="14"/>
        <v>0.41902136457615435</v>
      </c>
      <c r="F154" s="13">
        <f t="shared" si="19"/>
        <v>0.41890645041544483</v>
      </c>
      <c r="G154" s="13">
        <f t="shared" si="20"/>
        <v>0.41897306379396099</v>
      </c>
      <c r="H154" s="4">
        <f t="shared" si="15"/>
        <v>121.56665191056209</v>
      </c>
      <c r="I154" s="4">
        <f t="shared" si="16"/>
        <v>121.58598311300747</v>
      </c>
      <c r="J154" s="15">
        <f t="shared" si="17"/>
        <v>-2.7428176836714917E-4</v>
      </c>
      <c r="K154" s="15">
        <f t="shared" si="18"/>
        <v>-1.1527709639030164E-4</v>
      </c>
    </row>
    <row r="155" spans="2:11" x14ac:dyDescent="0.3">
      <c r="B155" s="1">
        <v>46247</v>
      </c>
      <c r="C155" s="4">
        <v>293.44</v>
      </c>
      <c r="D155" s="4">
        <v>122.99</v>
      </c>
      <c r="E155" s="12">
        <f t="shared" si="14"/>
        <v>0.41913167938931295</v>
      </c>
      <c r="F155" s="13">
        <f t="shared" si="19"/>
        <v>0.41892461796262309</v>
      </c>
      <c r="G155" s="13">
        <f t="shared" si="20"/>
        <v>0.41897306379396099</v>
      </c>
      <c r="H155" s="4">
        <f t="shared" si="15"/>
        <v>122.92923989495212</v>
      </c>
      <c r="I155" s="4">
        <f t="shared" si="16"/>
        <v>122.94345583969991</v>
      </c>
      <c r="J155" s="15">
        <f t="shared" si="17"/>
        <v>-4.9414682893622879E-4</v>
      </c>
      <c r="K155" s="15">
        <f t="shared" si="18"/>
        <v>-3.7851020063021587E-4</v>
      </c>
    </row>
    <row r="156" spans="2:11" x14ac:dyDescent="0.3">
      <c r="B156" s="1">
        <v>46248</v>
      </c>
      <c r="C156" s="4">
        <v>292.5</v>
      </c>
      <c r="D156" s="4">
        <v>122.56</v>
      </c>
      <c r="E156" s="12">
        <f t="shared" si="14"/>
        <v>0.41900854700854701</v>
      </c>
      <c r="F156" s="13">
        <f t="shared" si="19"/>
        <v>0.41894068037764898</v>
      </c>
      <c r="G156" s="13">
        <f t="shared" si="20"/>
        <v>0.41897306379396099</v>
      </c>
      <c r="H156" s="4">
        <f t="shared" si="15"/>
        <v>122.54014901046233</v>
      </c>
      <c r="I156" s="4">
        <f t="shared" si="16"/>
        <v>122.54962115973359</v>
      </c>
      <c r="J156" s="15">
        <f t="shared" si="17"/>
        <v>-1.6198268064072189E-4</v>
      </c>
      <c r="K156" s="15">
        <f t="shared" si="18"/>
        <v>-8.4687334781128896E-5</v>
      </c>
    </row>
    <row r="157" spans="2:11" x14ac:dyDescent="0.3">
      <c r="B157" s="1">
        <v>46251</v>
      </c>
      <c r="C157" s="4">
        <v>292.36</v>
      </c>
      <c r="D157" s="4">
        <v>122.54</v>
      </c>
      <c r="E157" s="12">
        <f t="shared" si="14"/>
        <v>0.41914078533315091</v>
      </c>
      <c r="F157" s="13">
        <f t="shared" si="19"/>
        <v>0.41895092372895942</v>
      </c>
      <c r="G157" s="13">
        <f t="shared" si="20"/>
        <v>0.41897306379396099</v>
      </c>
      <c r="H157" s="4">
        <f t="shared" si="15"/>
        <v>122.48449206139858</v>
      </c>
      <c r="I157" s="4">
        <f t="shared" si="16"/>
        <v>122.49096493080243</v>
      </c>
      <c r="J157" s="15">
        <f t="shared" si="17"/>
        <v>-4.5308074375749951E-4</v>
      </c>
      <c r="K157" s="15">
        <f t="shared" si="18"/>
        <v>-4.0023569972871711E-4</v>
      </c>
    </row>
    <row r="158" spans="2:11" x14ac:dyDescent="0.3">
      <c r="B158" s="1">
        <v>46252</v>
      </c>
      <c r="C158" s="4">
        <v>285.82</v>
      </c>
      <c r="D158" s="4">
        <v>119.79</v>
      </c>
      <c r="E158" s="12">
        <f t="shared" si="14"/>
        <v>0.41910992932614938</v>
      </c>
      <c r="F158" s="13">
        <f t="shared" si="19"/>
        <v>0.41896674292729824</v>
      </c>
      <c r="G158" s="13">
        <f t="shared" si="20"/>
        <v>0.41897306379396099</v>
      </c>
      <c r="H158" s="4">
        <f t="shared" si="15"/>
        <v>119.74907446348038</v>
      </c>
      <c r="I158" s="4">
        <f t="shared" si="16"/>
        <v>119.75088109358992</v>
      </c>
      <c r="J158" s="15">
        <f t="shared" si="17"/>
        <v>-3.4170238830137488E-4</v>
      </c>
      <c r="K158" s="15">
        <f t="shared" si="18"/>
        <v>-3.2661570400220168E-4</v>
      </c>
    </row>
    <row r="159" spans="2:11" x14ac:dyDescent="0.3">
      <c r="B159" s="1">
        <v>46253</v>
      </c>
      <c r="C159" s="4">
        <v>283.52999999999997</v>
      </c>
      <c r="D159" s="4">
        <v>118.8</v>
      </c>
      <c r="E159" s="12">
        <f t="shared" si="14"/>
        <v>0.41900328007618243</v>
      </c>
      <c r="F159" s="13">
        <f t="shared" si="19"/>
        <v>0.4189886949338586</v>
      </c>
      <c r="G159" s="13">
        <f t="shared" si="20"/>
        <v>0.41897306379396099</v>
      </c>
      <c r="H159" s="4">
        <f t="shared" si="15"/>
        <v>118.79586467459691</v>
      </c>
      <c r="I159" s="4">
        <f t="shared" si="16"/>
        <v>118.79143277750175</v>
      </c>
      <c r="J159" s="15">
        <f t="shared" si="17"/>
        <v>-3.4809742241693928E-5</v>
      </c>
      <c r="K159" s="15">
        <f t="shared" si="18"/>
        <v>-7.2117267881335455E-5</v>
      </c>
    </row>
    <row r="160" spans="2:11" x14ac:dyDescent="0.3">
      <c r="B160" s="1">
        <v>46254</v>
      </c>
      <c r="C160" s="4">
        <v>282.35000000000002</v>
      </c>
      <c r="D160" s="4">
        <v>118.36</v>
      </c>
      <c r="E160" s="12">
        <f t="shared" si="14"/>
        <v>0.41919603329201344</v>
      </c>
      <c r="F160" s="13">
        <f t="shared" si="19"/>
        <v>0.41902094445795435</v>
      </c>
      <c r="G160" s="13">
        <f t="shared" si="20"/>
        <v>0.41897306379396099</v>
      </c>
      <c r="H160" s="4">
        <f t="shared" si="15"/>
        <v>118.31056366770342</v>
      </c>
      <c r="I160" s="4">
        <f t="shared" si="16"/>
        <v>118.2970445622249</v>
      </c>
      <c r="J160" s="15">
        <f t="shared" si="17"/>
        <v>-4.1776494929876475E-4</v>
      </c>
      <c r="K160" s="15">
        <f t="shared" si="18"/>
        <v>-5.3203942757420065E-4</v>
      </c>
    </row>
    <row r="161" spans="2:11" x14ac:dyDescent="0.3">
      <c r="B161" s="1">
        <v>46255</v>
      </c>
      <c r="C161" s="4">
        <v>282.62</v>
      </c>
      <c r="D161" s="4">
        <v>118.42</v>
      </c>
      <c r="E161" s="12">
        <f t="shared" si="14"/>
        <v>0.41900785507041255</v>
      </c>
      <c r="F161" s="13">
        <f t="shared" si="19"/>
        <v>0.41903018683442339</v>
      </c>
      <c r="G161" s="13">
        <f t="shared" si="20"/>
        <v>0.41897306379396099</v>
      </c>
      <c r="H161" s="4">
        <f t="shared" si="15"/>
        <v>118.42631140314474</v>
      </c>
      <c r="I161" s="4">
        <f t="shared" si="16"/>
        <v>118.41016728944926</v>
      </c>
      <c r="J161" s="15">
        <f t="shared" si="17"/>
        <v>5.3295346749077406E-5</v>
      </c>
      <c r="K161" s="15">
        <f t="shared" si="18"/>
        <v>-8.3035963440988589E-5</v>
      </c>
    </row>
    <row r="162" spans="2:11" x14ac:dyDescent="0.3">
      <c r="B162" s="1">
        <v>46258</v>
      </c>
      <c r="C162" s="4">
        <v>277.79000000000002</v>
      </c>
      <c r="D162" s="4">
        <v>116.42</v>
      </c>
      <c r="E162" s="12">
        <f t="shared" si="14"/>
        <v>0.41909355988336511</v>
      </c>
      <c r="F162" s="13">
        <f t="shared" si="19"/>
        <v>0.4190453625189508</v>
      </c>
      <c r="G162" s="13">
        <f t="shared" si="20"/>
        <v>0.41897306379396099</v>
      </c>
      <c r="H162" s="4">
        <f t="shared" si="15"/>
        <v>116.40661125413935</v>
      </c>
      <c r="I162" s="4">
        <f t="shared" si="16"/>
        <v>116.38652739132444</v>
      </c>
      <c r="J162" s="15">
        <f t="shared" si="17"/>
        <v>-1.1501044320741228E-4</v>
      </c>
      <c r="K162" s="15">
        <f t="shared" si="18"/>
        <v>-2.8755730589939113E-4</v>
      </c>
    </row>
    <row r="163" spans="2:11" x14ac:dyDescent="0.3">
      <c r="B163" s="1">
        <v>46259</v>
      </c>
      <c r="C163" s="4">
        <v>280.41000000000003</v>
      </c>
      <c r="D163" s="4">
        <v>117.51</v>
      </c>
      <c r="E163" s="12">
        <f t="shared" si="14"/>
        <v>0.41906494062265964</v>
      </c>
      <c r="F163" s="13">
        <f t="shared" si="19"/>
        <v>0.41905049331231786</v>
      </c>
      <c r="G163" s="13">
        <f t="shared" si="20"/>
        <v>0.41897306379396099</v>
      </c>
      <c r="H163" s="4">
        <f t="shared" si="15"/>
        <v>117.50594882970707</v>
      </c>
      <c r="I163" s="4">
        <f t="shared" si="16"/>
        <v>117.48423681846461</v>
      </c>
      <c r="J163" s="15">
        <f t="shared" si="17"/>
        <v>-3.4475705274600776E-5</v>
      </c>
      <c r="K163" s="15">
        <f t="shared" si="18"/>
        <v>-2.1926649765902946E-4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DEE5-BADE-4422-8FA0-93FD5DB16791}">
  <dimension ref="A1:K163"/>
  <sheetViews>
    <sheetView workbookViewId="0">
      <selection activeCell="K1" sqref="K1"/>
    </sheetView>
  </sheetViews>
  <sheetFormatPr defaultRowHeight="14.4" x14ac:dyDescent="0.3"/>
  <cols>
    <col min="1" max="1" width="2.109375" bestFit="1" customWidth="1"/>
    <col min="2" max="2" width="10.33203125" style="1" bestFit="1" customWidth="1"/>
    <col min="3" max="4" width="8.88671875" style="4"/>
    <col min="5" max="5" width="10.6640625" style="12" bestFit="1" customWidth="1"/>
    <col min="7" max="7" width="10.33203125" style="1" bestFit="1" customWidth="1"/>
    <col min="8" max="9" width="8.88671875" style="4"/>
    <col min="10" max="11" width="8.88671875" style="15"/>
  </cols>
  <sheetData>
    <row r="1" spans="2:11" s="3" customFormat="1" x14ac:dyDescent="0.3">
      <c r="B1" s="2" t="s">
        <v>0</v>
      </c>
      <c r="C1" s="5" t="s">
        <v>4</v>
      </c>
      <c r="D1" s="5" t="s">
        <v>13</v>
      </c>
      <c r="E1" s="11" t="str">
        <f>_xlfn.CONCAT(D1,"/",C1)</f>
        <v>VNQ/FREL</v>
      </c>
      <c r="F1" s="3" t="s">
        <v>21</v>
      </c>
      <c r="G1" s="1"/>
      <c r="H1" s="14" t="s">
        <v>17</v>
      </c>
      <c r="I1" s="14" t="s">
        <v>18</v>
      </c>
      <c r="J1" s="14" t="s">
        <v>19</v>
      </c>
      <c r="K1" s="14" t="s">
        <v>20</v>
      </c>
    </row>
    <row r="2" spans="2:11" x14ac:dyDescent="0.3">
      <c r="B2" s="1">
        <v>46024</v>
      </c>
      <c r="C2" s="4">
        <v>26.89</v>
      </c>
      <c r="D2" s="4">
        <v>88.52</v>
      </c>
      <c r="E2" s="12">
        <f>D2/C2</f>
        <v>3.2919300855336555</v>
      </c>
    </row>
    <row r="3" spans="2:11" x14ac:dyDescent="0.3">
      <c r="B3" s="1">
        <v>46027</v>
      </c>
      <c r="C3" s="4">
        <v>26.95</v>
      </c>
      <c r="D3" s="4">
        <v>88.72</v>
      </c>
      <c r="E3" s="12">
        <f t="shared" ref="E3:E66" si="0">D3/C3</f>
        <v>3.2920222634508347</v>
      </c>
    </row>
    <row r="4" spans="2:11" x14ac:dyDescent="0.3">
      <c r="B4" s="1">
        <v>46028</v>
      </c>
      <c r="C4" s="4">
        <v>27.15</v>
      </c>
      <c r="D4" s="4">
        <v>89.37</v>
      </c>
      <c r="E4" s="12">
        <f t="shared" si="0"/>
        <v>3.2917127071823207</v>
      </c>
    </row>
    <row r="5" spans="2:11" x14ac:dyDescent="0.3">
      <c r="B5" s="1">
        <v>46029</v>
      </c>
      <c r="C5" s="4">
        <v>26.89</v>
      </c>
      <c r="D5" s="4">
        <v>88.5</v>
      </c>
      <c r="E5" s="12">
        <f t="shared" si="0"/>
        <v>3.2911863146150986</v>
      </c>
    </row>
    <row r="6" spans="2:11" x14ac:dyDescent="0.3">
      <c r="B6" s="1">
        <v>46030</v>
      </c>
      <c r="C6" s="4">
        <v>27.13</v>
      </c>
      <c r="D6" s="4">
        <v>89.29</v>
      </c>
      <c r="E6" s="12">
        <f t="shared" si="0"/>
        <v>3.2911905639513459</v>
      </c>
    </row>
    <row r="7" spans="2:11" x14ac:dyDescent="0.3">
      <c r="B7" s="1">
        <v>46031</v>
      </c>
      <c r="C7" s="4">
        <v>27.2</v>
      </c>
      <c r="D7" s="4">
        <v>89.47</v>
      </c>
      <c r="E7" s="12">
        <f t="shared" si="0"/>
        <v>3.2893382352941178</v>
      </c>
    </row>
    <row r="8" spans="2:11" x14ac:dyDescent="0.3">
      <c r="B8" s="1">
        <v>46034</v>
      </c>
      <c r="C8" s="4">
        <v>27.24</v>
      </c>
      <c r="D8" s="4">
        <v>89.59</v>
      </c>
      <c r="E8" s="12">
        <f t="shared" si="0"/>
        <v>3.2889133627019094</v>
      </c>
    </row>
    <row r="9" spans="2:11" x14ac:dyDescent="0.3">
      <c r="B9" s="1">
        <v>46035</v>
      </c>
      <c r="C9" s="4">
        <v>27.38</v>
      </c>
      <c r="D9" s="4">
        <v>90.09</v>
      </c>
      <c r="E9" s="12">
        <f t="shared" si="0"/>
        <v>3.2903579254930611</v>
      </c>
    </row>
    <row r="10" spans="2:11" x14ac:dyDescent="0.3">
      <c r="B10" s="1">
        <v>46036</v>
      </c>
      <c r="C10" s="4">
        <v>27.63</v>
      </c>
      <c r="D10" s="4">
        <v>90.87</v>
      </c>
      <c r="E10" s="12">
        <f t="shared" si="0"/>
        <v>3.2888165038002173</v>
      </c>
    </row>
    <row r="11" spans="2:11" x14ac:dyDescent="0.3">
      <c r="B11" s="1">
        <v>46037</v>
      </c>
      <c r="C11" s="4">
        <v>27.81</v>
      </c>
      <c r="D11" s="4">
        <v>91.5</v>
      </c>
      <c r="E11" s="12">
        <f t="shared" si="0"/>
        <v>3.290183387270766</v>
      </c>
      <c r="F11" s="13"/>
      <c r="G11" s="13"/>
    </row>
    <row r="12" spans="2:11" x14ac:dyDescent="0.3">
      <c r="B12" s="1">
        <v>46038</v>
      </c>
      <c r="C12" s="4">
        <v>28.16</v>
      </c>
      <c r="D12" s="4">
        <v>92.62</v>
      </c>
      <c r="E12" s="12">
        <f t="shared" si="0"/>
        <v>3.2890625</v>
      </c>
      <c r="F12" s="13"/>
      <c r="G12" s="13"/>
    </row>
    <row r="13" spans="2:11" x14ac:dyDescent="0.3">
      <c r="B13" s="1">
        <v>46042</v>
      </c>
      <c r="C13" s="4">
        <v>27.65</v>
      </c>
      <c r="D13" s="4">
        <v>90.9</v>
      </c>
      <c r="E13" s="12">
        <f t="shared" si="0"/>
        <v>3.2875226039783008</v>
      </c>
      <c r="F13" s="13"/>
      <c r="G13" s="13"/>
    </row>
    <row r="14" spans="2:11" x14ac:dyDescent="0.3">
      <c r="B14" s="1">
        <v>46043</v>
      </c>
      <c r="C14" s="4">
        <v>27.76</v>
      </c>
      <c r="D14" s="4">
        <v>91.26</v>
      </c>
      <c r="E14" s="12">
        <f t="shared" si="0"/>
        <v>3.2874639769452449</v>
      </c>
      <c r="F14" s="13"/>
      <c r="G14" s="13"/>
    </row>
    <row r="15" spans="2:11" x14ac:dyDescent="0.3">
      <c r="B15" s="1">
        <v>46044</v>
      </c>
      <c r="C15" s="4">
        <v>27.48</v>
      </c>
      <c r="D15" s="4">
        <v>90.36</v>
      </c>
      <c r="E15" s="12">
        <f t="shared" si="0"/>
        <v>3.2882096069868996</v>
      </c>
      <c r="F15" s="13"/>
      <c r="G15" s="13"/>
    </row>
    <row r="16" spans="2:11" x14ac:dyDescent="0.3">
      <c r="B16" s="1">
        <v>46045</v>
      </c>
      <c r="C16" s="4">
        <v>27.52</v>
      </c>
      <c r="D16" s="4">
        <v>90.54</v>
      </c>
      <c r="E16" s="12">
        <f t="shared" si="0"/>
        <v>3.2899709302325584</v>
      </c>
      <c r="F16" s="13"/>
      <c r="G16" s="13"/>
    </row>
    <row r="17" spans="2:11" x14ac:dyDescent="0.3">
      <c r="B17" s="1">
        <v>46048</v>
      </c>
      <c r="C17" s="4">
        <v>27.48</v>
      </c>
      <c r="D17" s="4">
        <v>90.42</v>
      </c>
      <c r="E17" s="12">
        <f t="shared" si="0"/>
        <v>3.2903930131004366</v>
      </c>
      <c r="F17" s="13"/>
      <c r="G17" s="13"/>
    </row>
    <row r="18" spans="2:11" x14ac:dyDescent="0.3">
      <c r="B18" s="1">
        <v>46049</v>
      </c>
      <c r="C18" s="4">
        <v>27.48</v>
      </c>
      <c r="D18" s="4">
        <v>90.39</v>
      </c>
      <c r="E18" s="12">
        <f t="shared" si="0"/>
        <v>3.2893013100436681</v>
      </c>
      <c r="F18" s="13"/>
      <c r="G18" s="13"/>
    </row>
    <row r="19" spans="2:11" x14ac:dyDescent="0.3">
      <c r="B19" s="1">
        <v>46050</v>
      </c>
      <c r="C19" s="4">
        <v>27.18</v>
      </c>
      <c r="D19" s="4">
        <v>89.46</v>
      </c>
      <c r="E19" s="12">
        <f t="shared" si="0"/>
        <v>3.2913907284768209</v>
      </c>
      <c r="F19" s="13"/>
      <c r="G19" s="13"/>
    </row>
    <row r="20" spans="2:11" x14ac:dyDescent="0.3">
      <c r="B20" s="1">
        <v>46051</v>
      </c>
      <c r="C20" s="4">
        <v>27.56</v>
      </c>
      <c r="D20" s="4">
        <v>90.71</v>
      </c>
      <c r="E20" s="12">
        <f t="shared" si="0"/>
        <v>3.291364296081277</v>
      </c>
      <c r="F20" s="13"/>
      <c r="G20" s="13"/>
    </row>
    <row r="21" spans="2:11" x14ac:dyDescent="0.3">
      <c r="B21" s="1">
        <v>46052</v>
      </c>
      <c r="C21" s="4">
        <v>27.59</v>
      </c>
      <c r="D21" s="4">
        <v>90.8</v>
      </c>
      <c r="E21" s="12">
        <f t="shared" si="0"/>
        <v>3.2910474809713666</v>
      </c>
      <c r="F21" s="13">
        <f t="shared" ref="F21:F84" si="1">AVERAGE(E2:E21)</f>
        <v>3.2900688898054953</v>
      </c>
      <c r="G21" s="13">
        <f>AVERAGE(E:E)</f>
        <v>3.2926957297437363</v>
      </c>
      <c r="H21" s="4">
        <f t="shared" ref="H12:H75" si="2">C21*F21</f>
        <v>90.773000669733619</v>
      </c>
      <c r="I21" s="4">
        <f t="shared" ref="I12:I75" si="3">C21*G21</f>
        <v>90.845475183629688</v>
      </c>
      <c r="J21" s="15">
        <f t="shared" ref="J12:J75" si="4">LN(H21/D21)</f>
        <v>-2.9739366938677855E-4</v>
      </c>
      <c r="K21" s="15">
        <f t="shared" ref="K12:K75" si="5">LN(I21/D21)</f>
        <v>5.0070264105150268E-4</v>
      </c>
    </row>
    <row r="22" spans="2:11" x14ac:dyDescent="0.3">
      <c r="B22" s="1">
        <v>46055</v>
      </c>
      <c r="C22" s="4">
        <v>27.29</v>
      </c>
      <c r="D22" s="4">
        <v>89.86</v>
      </c>
      <c r="E22" s="12">
        <f t="shared" si="0"/>
        <v>3.292781238548919</v>
      </c>
      <c r="F22" s="13">
        <f t="shared" si="1"/>
        <v>3.2901114474562574</v>
      </c>
      <c r="G22" s="13">
        <f t="shared" ref="G22:G85" si="6">G21</f>
        <v>3.2926957297437363</v>
      </c>
      <c r="H22" s="4">
        <f t="shared" si="2"/>
        <v>89.787141401081257</v>
      </c>
      <c r="I22" s="4">
        <f t="shared" si="3"/>
        <v>89.857666464706554</v>
      </c>
      <c r="J22" s="15">
        <f t="shared" si="4"/>
        <v>-8.111301114527578E-4</v>
      </c>
      <c r="K22" s="15">
        <f t="shared" si="5"/>
        <v>-2.5968902662467111E-5</v>
      </c>
    </row>
    <row r="23" spans="2:11" x14ac:dyDescent="0.3">
      <c r="B23" s="1">
        <v>46056</v>
      </c>
      <c r="C23" s="4">
        <v>27.26</v>
      </c>
      <c r="D23" s="4">
        <v>89.66</v>
      </c>
      <c r="E23" s="12">
        <f t="shared" si="0"/>
        <v>3.2890682318415259</v>
      </c>
      <c r="F23" s="13">
        <f t="shared" si="1"/>
        <v>3.2899637458757924</v>
      </c>
      <c r="G23" s="13">
        <f t="shared" si="6"/>
        <v>3.2926957297437363</v>
      </c>
      <c r="H23" s="4">
        <f t="shared" si="2"/>
        <v>89.684411712574104</v>
      </c>
      <c r="I23" s="4">
        <f t="shared" si="3"/>
        <v>89.758885592814252</v>
      </c>
      <c r="J23" s="15">
        <f t="shared" si="4"/>
        <v>2.7223276701797644E-4</v>
      </c>
      <c r="K23" s="15">
        <f t="shared" si="5"/>
        <v>1.1022875601975242E-3</v>
      </c>
    </row>
    <row r="24" spans="2:11" x14ac:dyDescent="0.3">
      <c r="B24" s="1">
        <v>46057</v>
      </c>
      <c r="C24" s="4">
        <v>27.65</v>
      </c>
      <c r="D24" s="4">
        <v>90.95</v>
      </c>
      <c r="E24" s="12">
        <f t="shared" si="0"/>
        <v>3.289330922242315</v>
      </c>
      <c r="F24" s="13">
        <f t="shared" si="1"/>
        <v>3.2898446566287922</v>
      </c>
      <c r="G24" s="13">
        <f t="shared" si="6"/>
        <v>3.2926957297437363</v>
      </c>
      <c r="H24" s="4">
        <f t="shared" si="2"/>
        <v>90.964204755786099</v>
      </c>
      <c r="I24" s="4">
        <f t="shared" si="3"/>
        <v>91.043036927414306</v>
      </c>
      <c r="J24" s="15">
        <f t="shared" si="4"/>
        <v>1.5616983658908355E-4</v>
      </c>
      <c r="K24" s="15">
        <f t="shared" si="5"/>
        <v>1.0224230233169299E-3</v>
      </c>
    </row>
    <row r="25" spans="2:11" x14ac:dyDescent="0.3">
      <c r="B25" s="1">
        <v>46058</v>
      </c>
      <c r="C25" s="4">
        <v>27.61</v>
      </c>
      <c r="D25" s="4">
        <v>90.82</v>
      </c>
      <c r="E25" s="12">
        <f t="shared" si="0"/>
        <v>3.2893879029337194</v>
      </c>
      <c r="F25" s="13">
        <f t="shared" si="1"/>
        <v>3.2897547360447228</v>
      </c>
      <c r="G25" s="13">
        <f t="shared" si="6"/>
        <v>3.2926957297437363</v>
      </c>
      <c r="H25" s="4">
        <f t="shared" si="2"/>
        <v>90.830128262194791</v>
      </c>
      <c r="I25" s="4">
        <f t="shared" si="3"/>
        <v>90.911329098224556</v>
      </c>
      <c r="J25" s="15">
        <f t="shared" si="4"/>
        <v>1.1151395600093141E-4</v>
      </c>
      <c r="K25" s="15">
        <f t="shared" si="5"/>
        <v>1.0051002913624785E-3</v>
      </c>
    </row>
    <row r="26" spans="2:11" x14ac:dyDescent="0.3">
      <c r="B26" s="1">
        <v>46059</v>
      </c>
      <c r="C26" s="4">
        <v>28.02</v>
      </c>
      <c r="D26" s="4">
        <v>92.25</v>
      </c>
      <c r="E26" s="12">
        <f t="shared" si="0"/>
        <v>3.2922912205567454</v>
      </c>
      <c r="F26" s="13">
        <f t="shared" si="1"/>
        <v>3.289809768874993</v>
      </c>
      <c r="G26" s="13">
        <f t="shared" si="6"/>
        <v>3.2926957297437363</v>
      </c>
      <c r="H26" s="4">
        <f t="shared" si="2"/>
        <v>92.180469723877309</v>
      </c>
      <c r="I26" s="4">
        <f t="shared" si="3"/>
        <v>92.261334347419492</v>
      </c>
      <c r="J26" s="15">
        <f t="shared" si="4"/>
        <v>-7.5399991683450251E-4</v>
      </c>
      <c r="K26" s="15">
        <f t="shared" si="5"/>
        <v>1.2285800732870819E-4</v>
      </c>
    </row>
    <row r="27" spans="2:11" x14ac:dyDescent="0.3">
      <c r="B27" s="1">
        <v>46062</v>
      </c>
      <c r="C27" s="4">
        <v>28.13</v>
      </c>
      <c r="D27" s="4">
        <v>92.64</v>
      </c>
      <c r="E27" s="12">
        <f t="shared" si="0"/>
        <v>3.2932811944543192</v>
      </c>
      <c r="F27" s="13">
        <f t="shared" si="1"/>
        <v>3.2900069168330033</v>
      </c>
      <c r="G27" s="13">
        <f t="shared" si="6"/>
        <v>3.2926957297437363</v>
      </c>
      <c r="H27" s="4">
        <f t="shared" si="2"/>
        <v>92.547894570512383</v>
      </c>
      <c r="I27" s="4">
        <f t="shared" si="3"/>
        <v>92.623530877691294</v>
      </c>
      <c r="J27" s="15">
        <f t="shared" si="4"/>
        <v>-9.9472416699707784E-4</v>
      </c>
      <c r="K27" s="15">
        <f t="shared" si="5"/>
        <v>-1.7779130381531593E-4</v>
      </c>
    </row>
    <row r="28" spans="2:11" x14ac:dyDescent="0.3">
      <c r="B28" s="1">
        <v>46063</v>
      </c>
      <c r="C28" s="4">
        <v>28.49</v>
      </c>
      <c r="D28" s="4">
        <v>93.88</v>
      </c>
      <c r="E28" s="12">
        <f t="shared" si="0"/>
        <v>3.2951912951912954</v>
      </c>
      <c r="F28" s="13">
        <f t="shared" si="1"/>
        <v>3.2903208134574724</v>
      </c>
      <c r="G28" s="13">
        <f t="shared" si="6"/>
        <v>3.2926957297437363</v>
      </c>
      <c r="H28" s="4">
        <f t="shared" si="2"/>
        <v>93.741239975403388</v>
      </c>
      <c r="I28" s="4">
        <f t="shared" si="3"/>
        <v>93.808901340399046</v>
      </c>
      <c r="J28" s="15">
        <f t="shared" si="4"/>
        <v>-1.4791507604796363E-3</v>
      </c>
      <c r="K28" s="15">
        <f t="shared" si="5"/>
        <v>-7.5762245390139965E-4</v>
      </c>
    </row>
    <row r="29" spans="2:11" x14ac:dyDescent="0.3">
      <c r="B29" s="1">
        <v>46064</v>
      </c>
      <c r="C29" s="4">
        <v>28.38</v>
      </c>
      <c r="D29" s="4">
        <v>93.36</v>
      </c>
      <c r="E29" s="12">
        <f t="shared" si="0"/>
        <v>3.2896405919661733</v>
      </c>
      <c r="F29" s="13">
        <f t="shared" si="1"/>
        <v>3.2902849467811288</v>
      </c>
      <c r="G29" s="13">
        <f t="shared" si="6"/>
        <v>3.2926957297437363</v>
      </c>
      <c r="H29" s="4">
        <f t="shared" si="2"/>
        <v>93.378286789648428</v>
      </c>
      <c r="I29" s="4">
        <f t="shared" si="3"/>
        <v>93.44670481012723</v>
      </c>
      <c r="J29" s="15">
        <f t="shared" si="4"/>
        <v>1.9585474431914589E-4</v>
      </c>
      <c r="K29" s="15">
        <f t="shared" si="5"/>
        <v>9.282837727004542E-4</v>
      </c>
    </row>
    <row r="30" spans="2:11" x14ac:dyDescent="0.3">
      <c r="B30" s="1">
        <v>46065</v>
      </c>
      <c r="C30" s="4">
        <v>28.31</v>
      </c>
      <c r="D30" s="4">
        <v>93.25</v>
      </c>
      <c r="E30" s="12">
        <f t="shared" si="0"/>
        <v>3.2938890851289298</v>
      </c>
      <c r="F30" s="13">
        <f t="shared" si="1"/>
        <v>3.290538575847564</v>
      </c>
      <c r="G30" s="13">
        <f t="shared" si="6"/>
        <v>3.2926957297437363</v>
      </c>
      <c r="H30" s="4">
        <f t="shared" si="2"/>
        <v>93.15514708224454</v>
      </c>
      <c r="I30" s="4">
        <f t="shared" si="3"/>
        <v>93.216216109045163</v>
      </c>
      <c r="J30" s="15">
        <f t="shared" si="4"/>
        <v>-1.0177071548397505E-3</v>
      </c>
      <c r="K30" s="15">
        <f t="shared" si="5"/>
        <v>-3.6235938101242423E-4</v>
      </c>
    </row>
    <row r="31" spans="2:11" x14ac:dyDescent="0.3">
      <c r="B31" s="1">
        <v>46066</v>
      </c>
      <c r="C31" s="4">
        <v>28.73</v>
      </c>
      <c r="D31" s="4">
        <v>94.59</v>
      </c>
      <c r="E31" s="12">
        <f t="shared" si="0"/>
        <v>3.2923773059519665</v>
      </c>
      <c r="F31" s="13">
        <f t="shared" si="1"/>
        <v>3.2906482717816248</v>
      </c>
      <c r="G31" s="13">
        <f t="shared" si="6"/>
        <v>3.2926957297437363</v>
      </c>
      <c r="H31" s="4">
        <f t="shared" si="2"/>
        <v>94.540324848286076</v>
      </c>
      <c r="I31" s="4">
        <f t="shared" si="3"/>
        <v>94.599148315537548</v>
      </c>
      <c r="J31" s="15">
        <f t="shared" si="4"/>
        <v>-5.2530077232253777E-4</v>
      </c>
      <c r="K31" s="15">
        <f t="shared" si="5"/>
        <v>9.67107852235471E-5</v>
      </c>
    </row>
    <row r="32" spans="2:11" x14ac:dyDescent="0.3">
      <c r="B32" s="1">
        <v>46070</v>
      </c>
      <c r="C32" s="4">
        <v>29.01</v>
      </c>
      <c r="D32" s="4">
        <v>95.49</v>
      </c>
      <c r="E32" s="12">
        <f t="shared" si="0"/>
        <v>3.2916235780765248</v>
      </c>
      <c r="F32" s="13">
        <f t="shared" si="1"/>
        <v>3.2907763256854508</v>
      </c>
      <c r="G32" s="13">
        <f t="shared" si="6"/>
        <v>3.2926957297437363</v>
      </c>
      <c r="H32" s="4">
        <f t="shared" si="2"/>
        <v>95.465421208134927</v>
      </c>
      <c r="I32" s="4">
        <f t="shared" si="3"/>
        <v>95.521103119865799</v>
      </c>
      <c r="J32" s="15">
        <f t="shared" si="4"/>
        <v>-2.5742963300329322E-4</v>
      </c>
      <c r="K32" s="15">
        <f t="shared" si="5"/>
        <v>3.2566819030593278E-4</v>
      </c>
    </row>
    <row r="33" spans="2:11" x14ac:dyDescent="0.3">
      <c r="B33" s="1">
        <v>46071</v>
      </c>
      <c r="C33" s="4">
        <v>28.67</v>
      </c>
      <c r="D33" s="4">
        <v>94.37</v>
      </c>
      <c r="E33" s="12">
        <f t="shared" si="0"/>
        <v>3.2915940006975934</v>
      </c>
      <c r="F33" s="13">
        <f t="shared" si="1"/>
        <v>3.2909798955214149</v>
      </c>
      <c r="G33" s="13">
        <f t="shared" si="6"/>
        <v>3.2926957297437363</v>
      </c>
      <c r="H33" s="4">
        <f t="shared" si="2"/>
        <v>94.352393604598973</v>
      </c>
      <c r="I33" s="4">
        <f t="shared" si="3"/>
        <v>94.401586571752929</v>
      </c>
      <c r="J33" s="15">
        <f t="shared" si="4"/>
        <v>-1.8658512236757215E-4</v>
      </c>
      <c r="K33" s="15">
        <f t="shared" si="5"/>
        <v>3.3465388114120923E-4</v>
      </c>
    </row>
    <row r="34" spans="2:11" x14ac:dyDescent="0.3">
      <c r="B34" s="1">
        <v>46072</v>
      </c>
      <c r="C34" s="4">
        <v>28.63</v>
      </c>
      <c r="D34" s="4">
        <v>94.17</v>
      </c>
      <c r="E34" s="12">
        <f t="shared" si="0"/>
        <v>3.2892071253929447</v>
      </c>
      <c r="F34" s="13">
        <f t="shared" si="1"/>
        <v>3.2910670529438</v>
      </c>
      <c r="G34" s="13">
        <f t="shared" si="6"/>
        <v>3.2926957297437363</v>
      </c>
      <c r="H34" s="4">
        <f t="shared" si="2"/>
        <v>94.223249725780988</v>
      </c>
      <c r="I34" s="4">
        <f t="shared" si="3"/>
        <v>94.269878742563165</v>
      </c>
      <c r="J34" s="15">
        <f t="shared" si="4"/>
        <v>5.6530398277606796E-4</v>
      </c>
      <c r="K34" s="15">
        <f t="shared" si="5"/>
        <v>1.0600596071560289E-3</v>
      </c>
    </row>
    <row r="35" spans="2:11" x14ac:dyDescent="0.3">
      <c r="B35" s="1">
        <v>46073</v>
      </c>
      <c r="C35" s="4">
        <v>28.81</v>
      </c>
      <c r="D35" s="4">
        <v>94.88</v>
      </c>
      <c r="E35" s="12">
        <f t="shared" si="0"/>
        <v>3.293300937174592</v>
      </c>
      <c r="F35" s="13">
        <f t="shared" si="1"/>
        <v>3.2913216194531842</v>
      </c>
      <c r="G35" s="13">
        <f t="shared" si="6"/>
        <v>3.2926957297437363</v>
      </c>
      <c r="H35" s="4">
        <f t="shared" si="2"/>
        <v>94.822975856446234</v>
      </c>
      <c r="I35" s="4">
        <f t="shared" si="3"/>
        <v>94.862563973917034</v>
      </c>
      <c r="J35" s="15">
        <f t="shared" si="4"/>
        <v>-6.0119399828970641E-4</v>
      </c>
      <c r="K35" s="15">
        <f t="shared" si="5"/>
        <v>-1.837861338738907E-4</v>
      </c>
    </row>
    <row r="36" spans="2:11" x14ac:dyDescent="0.3">
      <c r="B36" s="1">
        <v>46076</v>
      </c>
      <c r="C36" s="4">
        <v>28.82</v>
      </c>
      <c r="D36" s="4">
        <v>94.89</v>
      </c>
      <c r="E36" s="12">
        <f t="shared" si="0"/>
        <v>3.2925052047189451</v>
      </c>
      <c r="F36" s="13">
        <f t="shared" si="1"/>
        <v>3.2914483331775037</v>
      </c>
      <c r="G36" s="13">
        <f t="shared" si="6"/>
        <v>3.2926957297437363</v>
      </c>
      <c r="H36" s="4">
        <f t="shared" si="2"/>
        <v>94.859540962175657</v>
      </c>
      <c r="I36" s="4">
        <f t="shared" si="3"/>
        <v>94.895490931214482</v>
      </c>
      <c r="J36" s="15">
        <f t="shared" si="4"/>
        <v>-3.2104465635606524E-4</v>
      </c>
      <c r="K36" s="15">
        <f t="shared" si="5"/>
        <v>5.7864604813302129E-5</v>
      </c>
    </row>
    <row r="37" spans="2:11" x14ac:dyDescent="0.3">
      <c r="B37" s="1">
        <v>46077</v>
      </c>
      <c r="C37" s="4">
        <v>28.89</v>
      </c>
      <c r="D37" s="4">
        <v>95.13</v>
      </c>
      <c r="E37" s="12">
        <f t="shared" si="0"/>
        <v>3.2928348909657319</v>
      </c>
      <c r="F37" s="13">
        <f t="shared" si="1"/>
        <v>3.2915704270707686</v>
      </c>
      <c r="G37" s="13">
        <f t="shared" si="6"/>
        <v>3.2926957297437363</v>
      </c>
      <c r="H37" s="4">
        <f t="shared" si="2"/>
        <v>95.093469638074509</v>
      </c>
      <c r="I37" s="4">
        <f t="shared" si="3"/>
        <v>95.125979632296549</v>
      </c>
      <c r="J37" s="15">
        <f t="shared" si="4"/>
        <v>-3.8407839415463552E-4</v>
      </c>
      <c r="K37" s="15">
        <f t="shared" si="5"/>
        <v>-4.2262721117213621E-5</v>
      </c>
    </row>
    <row r="38" spans="2:11" x14ac:dyDescent="0.3">
      <c r="B38" s="1">
        <v>46078</v>
      </c>
      <c r="C38" s="4">
        <v>28.79</v>
      </c>
      <c r="D38" s="4">
        <v>94.87</v>
      </c>
      <c r="E38" s="12">
        <f t="shared" si="0"/>
        <v>3.295241403265023</v>
      </c>
      <c r="F38" s="13">
        <f t="shared" si="1"/>
        <v>3.2918674317318364</v>
      </c>
      <c r="G38" s="13">
        <f t="shared" si="6"/>
        <v>3.2926957297437363</v>
      </c>
      <c r="H38" s="4">
        <f t="shared" si="2"/>
        <v>94.772863359559565</v>
      </c>
      <c r="I38" s="4">
        <f t="shared" si="3"/>
        <v>94.796710059322166</v>
      </c>
      <c r="J38" s="15">
        <f t="shared" si="4"/>
        <v>-1.0244166030240116E-3</v>
      </c>
      <c r="K38" s="15">
        <f t="shared" si="5"/>
        <v>-7.7282876159665112E-4</v>
      </c>
    </row>
    <row r="39" spans="2:11" x14ac:dyDescent="0.3">
      <c r="B39" s="1">
        <v>46079</v>
      </c>
      <c r="C39" s="4">
        <v>28.99</v>
      </c>
      <c r="D39" s="4">
        <v>95.52</v>
      </c>
      <c r="E39" s="12">
        <f t="shared" si="0"/>
        <v>3.2949292859606762</v>
      </c>
      <c r="F39" s="13">
        <f t="shared" si="1"/>
        <v>3.2920443596060287</v>
      </c>
      <c r="G39" s="13">
        <f t="shared" si="6"/>
        <v>3.2926957297437363</v>
      </c>
      <c r="H39" s="4">
        <f t="shared" si="2"/>
        <v>95.436365984978764</v>
      </c>
      <c r="I39" s="4">
        <f t="shared" si="3"/>
        <v>95.455249205270903</v>
      </c>
      <c r="J39" s="15">
        <f t="shared" si="4"/>
        <v>-8.759490152365104E-4</v>
      </c>
      <c r="K39" s="15">
        <f t="shared" si="5"/>
        <v>-6.7810669162352304E-4</v>
      </c>
    </row>
    <row r="40" spans="2:11" x14ac:dyDescent="0.3">
      <c r="B40" s="1">
        <v>46080</v>
      </c>
      <c r="C40" s="4">
        <v>29.06</v>
      </c>
      <c r="D40" s="4">
        <v>95.69</v>
      </c>
      <c r="E40" s="12">
        <f t="shared" si="0"/>
        <v>3.292842395044735</v>
      </c>
      <c r="F40" s="13">
        <f t="shared" si="1"/>
        <v>3.292118264554202</v>
      </c>
      <c r="G40" s="13">
        <f t="shared" si="6"/>
        <v>3.2926957297437363</v>
      </c>
      <c r="H40" s="4">
        <f t="shared" si="2"/>
        <v>95.668956767945105</v>
      </c>
      <c r="I40" s="4">
        <f t="shared" si="3"/>
        <v>95.685737906352969</v>
      </c>
      <c r="J40" s="15">
        <f t="shared" si="4"/>
        <v>-2.1993464528798944E-4</v>
      </c>
      <c r="K40" s="15">
        <f t="shared" si="5"/>
        <v>-4.454162993033178E-5</v>
      </c>
    </row>
    <row r="41" spans="2:11" x14ac:dyDescent="0.3">
      <c r="B41" s="1">
        <v>46083</v>
      </c>
      <c r="C41" s="4">
        <v>29.12</v>
      </c>
      <c r="D41" s="4">
        <v>95.93</v>
      </c>
      <c r="E41" s="12">
        <f t="shared" si="0"/>
        <v>3.2942994505494507</v>
      </c>
      <c r="F41" s="13">
        <f t="shared" si="1"/>
        <v>3.2922808630331053</v>
      </c>
      <c r="G41" s="13">
        <f t="shared" si="6"/>
        <v>3.2926957297437363</v>
      </c>
      <c r="H41" s="4">
        <f t="shared" si="2"/>
        <v>95.871218731524024</v>
      </c>
      <c r="I41" s="4">
        <f t="shared" si="3"/>
        <v>95.883299650137602</v>
      </c>
      <c r="J41" s="15">
        <f t="shared" si="4"/>
        <v>-6.1293948709034414E-4</v>
      </c>
      <c r="K41" s="15">
        <f t="shared" si="5"/>
        <v>-4.8693548226661518E-4</v>
      </c>
    </row>
    <row r="42" spans="2:11" x14ac:dyDescent="0.3">
      <c r="B42" s="1">
        <v>46084</v>
      </c>
      <c r="C42" s="4">
        <v>28.96</v>
      </c>
      <c r="D42" s="4">
        <v>95.42</v>
      </c>
      <c r="E42" s="12">
        <f t="shared" si="0"/>
        <v>3.2948895027624308</v>
      </c>
      <c r="F42" s="13">
        <f t="shared" si="1"/>
        <v>3.2923862762437812</v>
      </c>
      <c r="G42" s="13">
        <f t="shared" si="6"/>
        <v>3.2926957297437363</v>
      </c>
      <c r="H42" s="4">
        <f t="shared" si="2"/>
        <v>95.347506560019909</v>
      </c>
      <c r="I42" s="4">
        <f t="shared" si="3"/>
        <v>95.356468333378601</v>
      </c>
      <c r="J42" s="15">
        <f t="shared" si="4"/>
        <v>-7.6001877653944635E-4</v>
      </c>
      <c r="K42" s="15">
        <f t="shared" si="5"/>
        <v>-6.660325513409913E-4</v>
      </c>
    </row>
    <row r="43" spans="2:11" x14ac:dyDescent="0.3">
      <c r="B43" s="1">
        <v>46085</v>
      </c>
      <c r="C43" s="4">
        <v>29.01</v>
      </c>
      <c r="D43" s="4">
        <v>95.54</v>
      </c>
      <c r="E43" s="12">
        <f t="shared" si="0"/>
        <v>3.2933471216821788</v>
      </c>
      <c r="F43" s="13">
        <f t="shared" si="1"/>
        <v>3.2926002207358147</v>
      </c>
      <c r="G43" s="13">
        <f t="shared" si="6"/>
        <v>3.2926957297437363</v>
      </c>
      <c r="H43" s="4">
        <f t="shared" si="2"/>
        <v>95.518332403545983</v>
      </c>
      <c r="I43" s="4">
        <f t="shared" si="3"/>
        <v>95.521103119865799</v>
      </c>
      <c r="J43" s="15">
        <f t="shared" si="4"/>
        <v>-2.2681655674819607E-4</v>
      </c>
      <c r="K43" s="15">
        <f t="shared" si="5"/>
        <v>-1.9780980939867009E-4</v>
      </c>
    </row>
    <row r="44" spans="2:11" x14ac:dyDescent="0.3">
      <c r="B44" s="1">
        <v>46086</v>
      </c>
      <c r="C44" s="4">
        <v>28.75</v>
      </c>
      <c r="D44" s="4">
        <v>94.58</v>
      </c>
      <c r="E44" s="12">
        <f t="shared" si="0"/>
        <v>3.2897391304347825</v>
      </c>
      <c r="F44" s="13">
        <f t="shared" si="1"/>
        <v>3.292620631145438</v>
      </c>
      <c r="G44" s="13">
        <f t="shared" si="6"/>
        <v>3.2926957297437363</v>
      </c>
      <c r="H44" s="4">
        <f t="shared" si="2"/>
        <v>94.662843145431339</v>
      </c>
      <c r="I44" s="4">
        <f t="shared" si="3"/>
        <v>94.665002230132416</v>
      </c>
      <c r="J44" s="15">
        <f t="shared" si="4"/>
        <v>8.7552215287263588E-4</v>
      </c>
      <c r="K44" s="15">
        <f t="shared" si="5"/>
        <v>8.9833004673417049E-4</v>
      </c>
    </row>
    <row r="45" spans="2:11" x14ac:dyDescent="0.3">
      <c r="B45" s="1">
        <v>46087</v>
      </c>
      <c r="C45" s="4">
        <v>28.4</v>
      </c>
      <c r="D45" s="4">
        <v>93.55</v>
      </c>
      <c r="E45" s="12">
        <f t="shared" si="0"/>
        <v>3.2940140845070425</v>
      </c>
      <c r="F45" s="13">
        <f t="shared" si="1"/>
        <v>3.2928519402241037</v>
      </c>
      <c r="G45" s="13">
        <f t="shared" si="6"/>
        <v>3.2926957297437363</v>
      </c>
      <c r="H45" s="4">
        <f t="shared" si="2"/>
        <v>93.516995102364532</v>
      </c>
      <c r="I45" s="4">
        <f t="shared" si="3"/>
        <v>93.512558724722112</v>
      </c>
      <c r="J45" s="15">
        <f t="shared" si="4"/>
        <v>-3.5286714216871114E-4</v>
      </c>
      <c r="K45" s="15">
        <f t="shared" si="5"/>
        <v>-4.003075338338876E-4</v>
      </c>
    </row>
    <row r="46" spans="2:11" x14ac:dyDescent="0.3">
      <c r="B46" s="1">
        <v>46090</v>
      </c>
      <c r="C46" s="4">
        <v>28.47</v>
      </c>
      <c r="D46" s="4">
        <v>93.76</v>
      </c>
      <c r="E46" s="12">
        <f t="shared" si="0"/>
        <v>3.2932911837021428</v>
      </c>
      <c r="F46" s="13">
        <f t="shared" si="1"/>
        <v>3.292901938381374</v>
      </c>
      <c r="G46" s="13">
        <f t="shared" si="6"/>
        <v>3.2926957297437363</v>
      </c>
      <c r="H46" s="4">
        <f t="shared" si="2"/>
        <v>93.748918185717713</v>
      </c>
      <c r="I46" s="4">
        <f t="shared" si="3"/>
        <v>93.743047425804164</v>
      </c>
      <c r="J46" s="15">
        <f t="shared" si="4"/>
        <v>-1.1820039710552824E-4</v>
      </c>
      <c r="K46" s="15">
        <f t="shared" si="5"/>
        <v>-1.8082451965200803E-4</v>
      </c>
    </row>
    <row r="47" spans="2:11" x14ac:dyDescent="0.3">
      <c r="B47" s="1">
        <v>46091</v>
      </c>
      <c r="C47" s="4">
        <v>28.42</v>
      </c>
      <c r="D47" s="4">
        <v>93.62</v>
      </c>
      <c r="E47" s="12">
        <f t="shared" si="0"/>
        <v>3.2941590429275158</v>
      </c>
      <c r="F47" s="13">
        <f t="shared" si="1"/>
        <v>3.2929458308050341</v>
      </c>
      <c r="G47" s="13">
        <f t="shared" si="6"/>
        <v>3.2926957297437363</v>
      </c>
      <c r="H47" s="4">
        <f t="shared" si="2"/>
        <v>93.585520511479075</v>
      </c>
      <c r="I47" s="4">
        <f t="shared" si="3"/>
        <v>93.578412639316994</v>
      </c>
      <c r="J47" s="15">
        <f t="shared" si="4"/>
        <v>-3.6835974512507488E-4</v>
      </c>
      <c r="K47" s="15">
        <f t="shared" si="5"/>
        <v>-4.4431318386555901E-4</v>
      </c>
    </row>
    <row r="48" spans="2:11" x14ac:dyDescent="0.3">
      <c r="B48" s="1">
        <v>46092</v>
      </c>
      <c r="C48" s="4">
        <v>28.11</v>
      </c>
      <c r="D48" s="4">
        <v>92.65</v>
      </c>
      <c r="E48" s="12">
        <f t="shared" si="0"/>
        <v>3.2959800782639634</v>
      </c>
      <c r="F48" s="13">
        <f t="shared" si="1"/>
        <v>3.2929852699586677</v>
      </c>
      <c r="G48" s="13">
        <f t="shared" si="6"/>
        <v>3.2926957297437363</v>
      </c>
      <c r="H48" s="4">
        <f t="shared" si="2"/>
        <v>92.565815938538151</v>
      </c>
      <c r="I48" s="4">
        <f t="shared" si="3"/>
        <v>92.557676963096426</v>
      </c>
      <c r="J48" s="15">
        <f t="shared" si="4"/>
        <v>-9.090375660674128E-4</v>
      </c>
      <c r="K48" s="15">
        <f t="shared" si="5"/>
        <v>-9.9696779382394264E-4</v>
      </c>
    </row>
    <row r="49" spans="1:11" x14ac:dyDescent="0.3">
      <c r="B49" s="1">
        <v>46093</v>
      </c>
      <c r="C49" s="4">
        <v>27.92</v>
      </c>
      <c r="D49" s="4">
        <v>92.01</v>
      </c>
      <c r="E49" s="12">
        <f t="shared" si="0"/>
        <v>3.295487106017192</v>
      </c>
      <c r="F49" s="13">
        <f t="shared" si="1"/>
        <v>3.2932775956612188</v>
      </c>
      <c r="G49" s="13">
        <f t="shared" si="6"/>
        <v>3.2926957297437363</v>
      </c>
      <c r="H49" s="4">
        <f t="shared" si="2"/>
        <v>91.94831047086123</v>
      </c>
      <c r="I49" s="4">
        <f t="shared" si="3"/>
        <v>91.932064774445124</v>
      </c>
      <c r="J49" s="15">
        <f t="shared" si="4"/>
        <v>-6.7069034601739675E-4</v>
      </c>
      <c r="K49" s="15">
        <f t="shared" si="5"/>
        <v>-8.4738888099372591E-4</v>
      </c>
    </row>
    <row r="50" spans="1:11" x14ac:dyDescent="0.3">
      <c r="B50" s="1">
        <v>46094</v>
      </c>
      <c r="C50" s="4">
        <v>27.95</v>
      </c>
      <c r="D50" s="4">
        <v>92.16</v>
      </c>
      <c r="E50" s="12">
        <f t="shared" si="0"/>
        <v>3.2973166368515203</v>
      </c>
      <c r="F50" s="13">
        <f t="shared" si="1"/>
        <v>3.2934489732473482</v>
      </c>
      <c r="G50" s="13">
        <f t="shared" si="6"/>
        <v>3.2926957297437363</v>
      </c>
      <c r="H50" s="4">
        <f t="shared" si="2"/>
        <v>92.051898802263381</v>
      </c>
      <c r="I50" s="4">
        <f t="shared" si="3"/>
        <v>92.030845646337426</v>
      </c>
      <c r="J50" s="15">
        <f t="shared" si="4"/>
        <v>-1.1736615370498348E-3</v>
      </c>
      <c r="K50" s="15">
        <f t="shared" si="5"/>
        <v>-1.4023973273686017E-3</v>
      </c>
    </row>
    <row r="51" spans="1:11" x14ac:dyDescent="0.3">
      <c r="B51" s="1">
        <v>46097</v>
      </c>
      <c r="C51" s="4">
        <v>28.18</v>
      </c>
      <c r="D51" s="4">
        <v>92.93</v>
      </c>
      <c r="E51" s="12">
        <f t="shared" si="0"/>
        <v>3.2977288857345637</v>
      </c>
      <c r="F51" s="13">
        <f t="shared" si="1"/>
        <v>3.2937165522364777</v>
      </c>
      <c r="G51" s="13">
        <f t="shared" si="6"/>
        <v>3.2926957297437363</v>
      </c>
      <c r="H51" s="4">
        <f t="shared" si="2"/>
        <v>92.816932442023941</v>
      </c>
      <c r="I51" s="4">
        <f t="shared" si="3"/>
        <v>92.788165664178493</v>
      </c>
      <c r="J51" s="15">
        <f t="shared" si="4"/>
        <v>-1.2174367614564364E-3</v>
      </c>
      <c r="K51" s="15">
        <f t="shared" si="5"/>
        <v>-1.5274150796094285E-3</v>
      </c>
    </row>
    <row r="52" spans="1:11" x14ac:dyDescent="0.3">
      <c r="B52" s="1">
        <v>46098</v>
      </c>
      <c r="C52" s="4">
        <v>28.29</v>
      </c>
      <c r="D52" s="4">
        <v>93.34</v>
      </c>
      <c r="E52" s="12">
        <f t="shared" si="0"/>
        <v>3.2993990809473313</v>
      </c>
      <c r="F52" s="13">
        <f t="shared" si="1"/>
        <v>3.2941053273800178</v>
      </c>
      <c r="G52" s="13">
        <f t="shared" si="6"/>
        <v>3.2926957297437363</v>
      </c>
      <c r="H52" s="4">
        <f t="shared" si="2"/>
        <v>93.190239711580702</v>
      </c>
      <c r="I52" s="4">
        <f t="shared" si="3"/>
        <v>93.150362194450295</v>
      </c>
      <c r="J52" s="15">
        <f t="shared" si="4"/>
        <v>-1.6057484387487055E-3</v>
      </c>
      <c r="K52" s="15">
        <f t="shared" si="5"/>
        <v>-2.0337551890894797E-3</v>
      </c>
    </row>
    <row r="53" spans="1:11" x14ac:dyDescent="0.3">
      <c r="B53" s="1">
        <v>46099</v>
      </c>
      <c r="C53" s="4">
        <v>27.86</v>
      </c>
      <c r="D53" s="4">
        <v>91.96</v>
      </c>
      <c r="E53" s="12">
        <f t="shared" si="0"/>
        <v>3.3007896625987079</v>
      </c>
      <c r="F53" s="13">
        <f t="shared" si="1"/>
        <v>3.2945651104750739</v>
      </c>
      <c r="G53" s="13">
        <f t="shared" si="6"/>
        <v>3.2926957297437363</v>
      </c>
      <c r="H53" s="4">
        <f t="shared" si="2"/>
        <v>91.786583977835562</v>
      </c>
      <c r="I53" s="4">
        <f t="shared" si="3"/>
        <v>91.734503030660491</v>
      </c>
      <c r="J53" s="15">
        <f t="shared" si="4"/>
        <v>-1.8875569809079177E-3</v>
      </c>
      <c r="K53" s="15">
        <f t="shared" si="5"/>
        <v>-2.4551315242166902E-3</v>
      </c>
    </row>
    <row r="54" spans="1:11" x14ac:dyDescent="0.3">
      <c r="B54" s="1">
        <v>46100</v>
      </c>
      <c r="C54" s="4">
        <v>27.79</v>
      </c>
      <c r="D54" s="4">
        <v>91.59</v>
      </c>
      <c r="E54" s="12">
        <f t="shared" si="0"/>
        <v>3.2957898524649156</v>
      </c>
      <c r="F54" s="13">
        <f t="shared" si="1"/>
        <v>3.2948942468286724</v>
      </c>
      <c r="G54" s="13">
        <f t="shared" si="6"/>
        <v>3.2926957297437363</v>
      </c>
      <c r="H54" s="4">
        <f t="shared" si="2"/>
        <v>91.565111119368808</v>
      </c>
      <c r="I54" s="4">
        <f t="shared" si="3"/>
        <v>91.504014329578425</v>
      </c>
      <c r="J54" s="15">
        <f t="shared" si="4"/>
        <v>-2.7177926547925863E-4</v>
      </c>
      <c r="K54" s="15">
        <f t="shared" si="5"/>
        <v>-9.3925164137950278E-4</v>
      </c>
    </row>
    <row r="55" spans="1:11" x14ac:dyDescent="0.3">
      <c r="A55" s="8" t="s">
        <v>15</v>
      </c>
      <c r="B55" s="1">
        <v>46101</v>
      </c>
      <c r="C55" s="10">
        <f>26.66+0.25</f>
        <v>26.91</v>
      </c>
      <c r="D55" s="4">
        <v>88.75</v>
      </c>
      <c r="E55" s="12">
        <f t="shared" si="0"/>
        <v>3.2980304719435156</v>
      </c>
      <c r="F55" s="13">
        <f t="shared" si="1"/>
        <v>3.2951307235671186</v>
      </c>
      <c r="G55" s="13">
        <f t="shared" si="6"/>
        <v>3.2926957297437363</v>
      </c>
      <c r="H55" s="4">
        <f t="shared" si="2"/>
        <v>88.671967771191163</v>
      </c>
      <c r="I55" s="4">
        <f t="shared" si="3"/>
        <v>88.606442087403948</v>
      </c>
      <c r="J55" s="15">
        <f t="shared" si="4"/>
        <v>-8.7962313596746749E-4</v>
      </c>
      <c r="K55" s="15">
        <f t="shared" si="5"/>
        <v>-1.6188635976063265E-3</v>
      </c>
    </row>
    <row r="56" spans="1:11" x14ac:dyDescent="0.3">
      <c r="B56" s="1">
        <v>46104</v>
      </c>
      <c r="C56" s="10">
        <f>26.86+0.25</f>
        <v>27.11</v>
      </c>
      <c r="D56" s="4">
        <v>89.44</v>
      </c>
      <c r="E56" s="12">
        <f t="shared" si="0"/>
        <v>3.2991516045739577</v>
      </c>
      <c r="F56" s="13">
        <f t="shared" si="1"/>
        <v>3.2954630435598689</v>
      </c>
      <c r="G56" s="13">
        <f t="shared" si="6"/>
        <v>3.2926957297437363</v>
      </c>
      <c r="H56" s="4">
        <f t="shared" si="2"/>
        <v>89.340003110908043</v>
      </c>
      <c r="I56" s="4">
        <f t="shared" si="3"/>
        <v>89.264981233352685</v>
      </c>
      <c r="J56" s="15">
        <f t="shared" si="4"/>
        <v>-1.118658661818096E-3</v>
      </c>
      <c r="K56" s="15">
        <f t="shared" si="5"/>
        <v>-1.9587458771105674E-3</v>
      </c>
    </row>
    <row r="57" spans="1:11" x14ac:dyDescent="0.3">
      <c r="A57" s="8" t="s">
        <v>16</v>
      </c>
      <c r="B57" s="1">
        <v>46105</v>
      </c>
      <c r="C57" s="4">
        <v>26.69</v>
      </c>
      <c r="D57" s="4">
        <v>87.91</v>
      </c>
      <c r="E57" s="12">
        <f t="shared" si="0"/>
        <v>3.2937429748969649</v>
      </c>
      <c r="F57" s="13">
        <f t="shared" si="1"/>
        <v>3.2955084477564305</v>
      </c>
      <c r="G57" s="13">
        <f t="shared" si="6"/>
        <v>3.2926957297437363</v>
      </c>
      <c r="H57" s="4">
        <f t="shared" si="2"/>
        <v>87.957120470619131</v>
      </c>
      <c r="I57" s="4">
        <f t="shared" si="3"/>
        <v>87.882049026860329</v>
      </c>
      <c r="J57" s="15">
        <f t="shared" si="4"/>
        <v>5.3586448246377384E-4</v>
      </c>
      <c r="K57" s="15">
        <f t="shared" si="5"/>
        <v>-3.1800042754995326E-4</v>
      </c>
    </row>
    <row r="58" spans="1:11" x14ac:dyDescent="0.3">
      <c r="B58" s="1">
        <v>46106</v>
      </c>
      <c r="C58" s="4">
        <v>26.67</v>
      </c>
      <c r="D58" s="4">
        <v>87.84</v>
      </c>
      <c r="E58" s="12">
        <f t="shared" si="0"/>
        <v>3.2935883014623171</v>
      </c>
      <c r="F58" s="13">
        <f t="shared" si="1"/>
        <v>3.2954257926662947</v>
      </c>
      <c r="G58" s="13">
        <f t="shared" si="6"/>
        <v>3.2926957297437363</v>
      </c>
      <c r="H58" s="4">
        <f t="shared" si="2"/>
        <v>87.88900589041009</v>
      </c>
      <c r="I58" s="4">
        <f t="shared" si="3"/>
        <v>87.816195112265447</v>
      </c>
      <c r="J58" s="15">
        <f t="shared" si="4"/>
        <v>5.577439129319248E-4</v>
      </c>
      <c r="K58" s="15">
        <f t="shared" si="5"/>
        <v>-2.7103954819327207E-4</v>
      </c>
    </row>
    <row r="59" spans="1:11" x14ac:dyDescent="0.3">
      <c r="B59" s="1">
        <v>46107</v>
      </c>
      <c r="C59" s="4">
        <v>26.64</v>
      </c>
      <c r="D59" s="4">
        <v>87.72</v>
      </c>
      <c r="E59" s="12">
        <f t="shared" si="0"/>
        <v>3.2927927927927927</v>
      </c>
      <c r="F59" s="13">
        <f t="shared" si="1"/>
        <v>3.2953189680079005</v>
      </c>
      <c r="G59" s="13">
        <f t="shared" si="6"/>
        <v>3.2926957297437363</v>
      </c>
      <c r="H59" s="4">
        <f t="shared" si="2"/>
        <v>87.787297307730469</v>
      </c>
      <c r="I59" s="4">
        <f t="shared" si="3"/>
        <v>87.717414240373131</v>
      </c>
      <c r="J59" s="15">
        <f t="shared" si="4"/>
        <v>7.6688903608038031E-4</v>
      </c>
      <c r="K59" s="15">
        <f t="shared" si="5"/>
        <v>-2.9477858394692264E-5</v>
      </c>
    </row>
    <row r="60" spans="1:11" x14ac:dyDescent="0.3">
      <c r="B60" s="1">
        <v>46108</v>
      </c>
      <c r="C60" s="4">
        <v>26.42</v>
      </c>
      <c r="D60" s="4">
        <v>87</v>
      </c>
      <c r="E60" s="12">
        <f t="shared" si="0"/>
        <v>3.2929598788796364</v>
      </c>
      <c r="F60" s="13">
        <f t="shared" si="1"/>
        <v>3.2953248421996464</v>
      </c>
      <c r="G60" s="13">
        <f t="shared" si="6"/>
        <v>3.2926957297437363</v>
      </c>
      <c r="H60" s="4">
        <f t="shared" si="2"/>
        <v>87.062482330914662</v>
      </c>
      <c r="I60" s="4">
        <f t="shared" si="3"/>
        <v>86.993021179829512</v>
      </c>
      <c r="J60" s="15">
        <f t="shared" si="4"/>
        <v>7.1792993828068466E-4</v>
      </c>
      <c r="K60" s="15">
        <f t="shared" si="5"/>
        <v>-8.0219541300099022E-5</v>
      </c>
    </row>
    <row r="61" spans="1:11" x14ac:dyDescent="0.3">
      <c r="B61" s="1">
        <v>46111</v>
      </c>
      <c r="C61" s="4">
        <v>26.53</v>
      </c>
      <c r="D61" s="4">
        <v>87.33</v>
      </c>
      <c r="E61" s="12">
        <f t="shared" si="0"/>
        <v>3.2917451941198639</v>
      </c>
      <c r="F61" s="13">
        <f t="shared" si="1"/>
        <v>3.2951971293781659</v>
      </c>
      <c r="G61" s="13">
        <f t="shared" si="6"/>
        <v>3.2926957297437363</v>
      </c>
      <c r="H61" s="4">
        <f t="shared" si="2"/>
        <v>87.42157984240275</v>
      </c>
      <c r="I61" s="4">
        <f t="shared" si="3"/>
        <v>87.355217710101329</v>
      </c>
      <c r="J61" s="15">
        <f t="shared" si="4"/>
        <v>1.0481147108261288E-3</v>
      </c>
      <c r="K61" s="15">
        <f t="shared" si="5"/>
        <v>2.8872174311118302E-4</v>
      </c>
    </row>
    <row r="62" spans="1:11" x14ac:dyDescent="0.3">
      <c r="B62" s="1">
        <v>46112</v>
      </c>
      <c r="C62" s="4">
        <v>26.91</v>
      </c>
      <c r="D62" s="4">
        <v>88.7</v>
      </c>
      <c r="E62" s="12">
        <f t="shared" si="0"/>
        <v>3.2961724266072094</v>
      </c>
      <c r="F62" s="13">
        <f t="shared" si="1"/>
        <v>3.2952612755704052</v>
      </c>
      <c r="G62" s="13">
        <f t="shared" si="6"/>
        <v>3.2926957297437363</v>
      </c>
      <c r="H62" s="4">
        <f t="shared" si="2"/>
        <v>88.675480925599601</v>
      </c>
      <c r="I62" s="4">
        <f t="shared" si="3"/>
        <v>88.606442087403948</v>
      </c>
      <c r="J62" s="15">
        <f t="shared" si="4"/>
        <v>-2.7646520735142118E-4</v>
      </c>
      <c r="K62" s="15">
        <f t="shared" si="5"/>
        <v>-1.0553245576149567E-3</v>
      </c>
    </row>
    <row r="63" spans="1:11" x14ac:dyDescent="0.3">
      <c r="B63" s="1">
        <v>46113</v>
      </c>
      <c r="C63" s="4">
        <v>27</v>
      </c>
      <c r="D63" s="4">
        <v>89.02</v>
      </c>
      <c r="E63" s="12">
        <f t="shared" si="0"/>
        <v>3.297037037037037</v>
      </c>
      <c r="F63" s="13">
        <f t="shared" si="1"/>
        <v>3.295445771338148</v>
      </c>
      <c r="G63" s="13">
        <f t="shared" si="6"/>
        <v>3.2926957297437363</v>
      </c>
      <c r="H63" s="4">
        <f t="shared" si="2"/>
        <v>88.977035826129992</v>
      </c>
      <c r="I63" s="4">
        <f t="shared" si="3"/>
        <v>88.902784703080883</v>
      </c>
      <c r="J63" s="15">
        <f t="shared" si="4"/>
        <v>-4.8275157510343749E-4</v>
      </c>
      <c r="K63" s="15">
        <f t="shared" si="5"/>
        <v>-1.3175975642747736E-3</v>
      </c>
    </row>
    <row r="64" spans="1:11" x14ac:dyDescent="0.3">
      <c r="B64" s="1">
        <v>46114</v>
      </c>
      <c r="C64" s="4">
        <v>27.39</v>
      </c>
      <c r="D64" s="4">
        <v>90.23</v>
      </c>
      <c r="E64" s="12">
        <f t="shared" si="0"/>
        <v>3.2942679810149689</v>
      </c>
      <c r="F64" s="13">
        <f t="shared" si="1"/>
        <v>3.2956722138671575</v>
      </c>
      <c r="G64" s="13">
        <f t="shared" si="6"/>
        <v>3.2926957297437363</v>
      </c>
      <c r="H64" s="4">
        <f t="shared" si="2"/>
        <v>90.268461937821442</v>
      </c>
      <c r="I64" s="4">
        <f t="shared" si="3"/>
        <v>90.186936037680937</v>
      </c>
      <c r="J64" s="15">
        <f t="shared" si="4"/>
        <v>4.2617469412924245E-4</v>
      </c>
      <c r="K64" s="15">
        <f t="shared" si="5"/>
        <v>-4.7738271231814971E-4</v>
      </c>
    </row>
    <row r="65" spans="2:11" x14ac:dyDescent="0.3">
      <c r="B65" s="1">
        <v>46118</v>
      </c>
      <c r="C65" s="4">
        <v>27.42</v>
      </c>
      <c r="D65" s="4">
        <v>90.36</v>
      </c>
      <c r="E65" s="12">
        <f t="shared" si="0"/>
        <v>3.2954048140043763</v>
      </c>
      <c r="F65" s="13">
        <f t="shared" si="1"/>
        <v>3.2957417503420237</v>
      </c>
      <c r="G65" s="13">
        <f t="shared" si="6"/>
        <v>3.2926957297437363</v>
      </c>
      <c r="H65" s="4">
        <f t="shared" si="2"/>
        <v>90.36923879437829</v>
      </c>
      <c r="I65" s="4">
        <f t="shared" si="3"/>
        <v>90.285716909573253</v>
      </c>
      <c r="J65" s="15">
        <f t="shared" si="4"/>
        <v>1.0223906710355715E-4</v>
      </c>
      <c r="K65" s="15">
        <f t="shared" si="5"/>
        <v>-8.2241744652979262E-4</v>
      </c>
    </row>
    <row r="66" spans="2:11" x14ac:dyDescent="0.3">
      <c r="B66" s="1">
        <v>46119</v>
      </c>
      <c r="C66" s="4">
        <v>27.46</v>
      </c>
      <c r="D66" s="4">
        <v>90.49</v>
      </c>
      <c r="E66" s="12">
        <f t="shared" si="0"/>
        <v>3.2953386744355422</v>
      </c>
      <c r="F66" s="13">
        <f t="shared" si="1"/>
        <v>3.2958441248786947</v>
      </c>
      <c r="G66" s="13">
        <f t="shared" si="6"/>
        <v>3.2926957297437363</v>
      </c>
      <c r="H66" s="4">
        <f t="shared" si="2"/>
        <v>90.503879669168953</v>
      </c>
      <c r="I66" s="4">
        <f t="shared" si="3"/>
        <v>90.417424738763003</v>
      </c>
      <c r="J66" s="15">
        <f t="shared" si="4"/>
        <v>1.5337169656275137E-4</v>
      </c>
      <c r="K66" s="15">
        <f t="shared" si="5"/>
        <v>-8.0234700411238645E-4</v>
      </c>
    </row>
    <row r="67" spans="2:11" x14ac:dyDescent="0.3">
      <c r="B67" s="1">
        <v>46120</v>
      </c>
      <c r="C67" s="4">
        <v>27.96</v>
      </c>
      <c r="D67" s="4">
        <v>92.12</v>
      </c>
      <c r="E67" s="12">
        <f t="shared" ref="E67:E130" si="7">D67/C67</f>
        <v>3.2947067238912733</v>
      </c>
      <c r="F67" s="13">
        <f t="shared" si="1"/>
        <v>3.295871508926882</v>
      </c>
      <c r="G67" s="13">
        <f t="shared" si="6"/>
        <v>3.2926957297437363</v>
      </c>
      <c r="H67" s="4">
        <f t="shared" si="2"/>
        <v>92.152567389595617</v>
      </c>
      <c r="I67" s="4">
        <f t="shared" si="3"/>
        <v>92.063772603634874</v>
      </c>
      <c r="J67" s="15">
        <f t="shared" si="4"/>
        <v>3.5346975836991507E-4</v>
      </c>
      <c r="K67" s="15">
        <f t="shared" si="5"/>
        <v>-6.1055756777052598E-4</v>
      </c>
    </row>
    <row r="68" spans="2:11" x14ac:dyDescent="0.3">
      <c r="B68" s="1">
        <v>46121</v>
      </c>
      <c r="C68" s="4">
        <v>28.16</v>
      </c>
      <c r="D68" s="4">
        <v>92.78</v>
      </c>
      <c r="E68" s="12">
        <f t="shared" si="7"/>
        <v>3.2947443181818183</v>
      </c>
      <c r="F68" s="13">
        <f t="shared" si="1"/>
        <v>3.295809720922775</v>
      </c>
      <c r="G68" s="13">
        <f t="shared" si="6"/>
        <v>3.2926957297437363</v>
      </c>
      <c r="H68" s="4">
        <f t="shared" si="2"/>
        <v>92.810001741185346</v>
      </c>
      <c r="I68" s="4">
        <f t="shared" si="3"/>
        <v>92.722311749583611</v>
      </c>
      <c r="J68" s="15">
        <f t="shared" si="4"/>
        <v>3.2331204445506118E-4</v>
      </c>
      <c r="K68" s="15">
        <f t="shared" si="5"/>
        <v>-6.2196801465164218E-4</v>
      </c>
    </row>
    <row r="69" spans="2:11" x14ac:dyDescent="0.3">
      <c r="B69" s="1">
        <v>46122</v>
      </c>
      <c r="C69" s="4">
        <v>28.23</v>
      </c>
      <c r="D69" s="4">
        <v>92.98</v>
      </c>
      <c r="E69" s="12">
        <f t="shared" si="7"/>
        <v>3.2936592277718741</v>
      </c>
      <c r="F69" s="13">
        <f t="shared" si="1"/>
        <v>3.2957183270105093</v>
      </c>
      <c r="G69" s="13">
        <f t="shared" si="6"/>
        <v>3.2926957297437363</v>
      </c>
      <c r="H69" s="4">
        <f t="shared" si="2"/>
        <v>93.038128371506673</v>
      </c>
      <c r="I69" s="4">
        <f t="shared" si="3"/>
        <v>92.952800450665677</v>
      </c>
      <c r="J69" s="15">
        <f t="shared" si="4"/>
        <v>6.2497536027920355E-4</v>
      </c>
      <c r="K69" s="15">
        <f t="shared" si="5"/>
        <v>-2.9257397793640245E-4</v>
      </c>
    </row>
    <row r="70" spans="2:11" x14ac:dyDescent="0.3">
      <c r="B70" s="1">
        <v>46125</v>
      </c>
      <c r="C70" s="4">
        <v>28.34</v>
      </c>
      <c r="D70" s="4">
        <v>93.33</v>
      </c>
      <c r="E70" s="12">
        <f t="shared" si="7"/>
        <v>3.2932251235003527</v>
      </c>
      <c r="F70" s="13">
        <f t="shared" si="1"/>
        <v>3.2955137513429507</v>
      </c>
      <c r="G70" s="13">
        <f t="shared" si="6"/>
        <v>3.2926957297437363</v>
      </c>
      <c r="H70" s="4">
        <f t="shared" si="2"/>
        <v>93.394859713059219</v>
      </c>
      <c r="I70" s="4">
        <f t="shared" si="3"/>
        <v>93.31499698093748</v>
      </c>
      <c r="J70" s="15">
        <f t="shared" si="4"/>
        <v>6.9470895056445423E-4</v>
      </c>
      <c r="K70" s="15">
        <f t="shared" si="5"/>
        <v>-1.6076529601667325E-4</v>
      </c>
    </row>
    <row r="71" spans="2:11" x14ac:dyDescent="0.3">
      <c r="B71" s="1">
        <v>46126</v>
      </c>
      <c r="C71" s="4">
        <v>28.59</v>
      </c>
      <c r="D71" s="4">
        <v>94.22</v>
      </c>
      <c r="E71" s="12">
        <f t="shared" si="7"/>
        <v>3.2955578873732074</v>
      </c>
      <c r="F71" s="13">
        <f t="shared" si="1"/>
        <v>3.2954052014248831</v>
      </c>
      <c r="G71" s="13">
        <f t="shared" si="6"/>
        <v>3.2926957297437363</v>
      </c>
      <c r="H71" s="4">
        <f t="shared" si="2"/>
        <v>94.215634708737412</v>
      </c>
      <c r="I71" s="4">
        <f t="shared" si="3"/>
        <v>94.138170913373415</v>
      </c>
      <c r="J71" s="15">
        <f t="shared" si="4"/>
        <v>-4.6331908188317723E-5</v>
      </c>
      <c r="K71" s="15">
        <f t="shared" si="5"/>
        <v>-8.6886691857026015E-4</v>
      </c>
    </row>
    <row r="72" spans="2:11" x14ac:dyDescent="0.3">
      <c r="B72" s="1">
        <v>46127</v>
      </c>
      <c r="C72" s="4">
        <v>28.63</v>
      </c>
      <c r="D72" s="4">
        <v>94.29</v>
      </c>
      <c r="E72" s="12">
        <f t="shared" si="7"/>
        <v>3.2933985330073354</v>
      </c>
      <c r="F72" s="13">
        <f t="shared" si="1"/>
        <v>3.2951051740278836</v>
      </c>
      <c r="G72" s="13">
        <f t="shared" si="6"/>
        <v>3.2926957297437363</v>
      </c>
      <c r="H72" s="4">
        <f t="shared" si="2"/>
        <v>94.338861132418302</v>
      </c>
      <c r="I72" s="4">
        <f t="shared" si="3"/>
        <v>94.269878742563165</v>
      </c>
      <c r="J72" s="15">
        <f t="shared" si="4"/>
        <v>5.1806635758494264E-4</v>
      </c>
      <c r="K72" s="15">
        <f t="shared" si="5"/>
        <v>-2.1342034845801025E-4</v>
      </c>
    </row>
    <row r="73" spans="2:11" x14ac:dyDescent="0.3">
      <c r="B73" s="1">
        <v>46128</v>
      </c>
      <c r="C73" s="4">
        <v>28.87</v>
      </c>
      <c r="D73" s="4">
        <v>95.16</v>
      </c>
      <c r="E73" s="12">
        <f t="shared" si="7"/>
        <v>3.2961551783858676</v>
      </c>
      <c r="F73" s="13">
        <f t="shared" si="1"/>
        <v>3.2948734498172421</v>
      </c>
      <c r="G73" s="13">
        <f t="shared" si="6"/>
        <v>3.2926957297437363</v>
      </c>
      <c r="H73" s="4">
        <f t="shared" si="2"/>
        <v>95.122996496223777</v>
      </c>
      <c r="I73" s="4">
        <f t="shared" si="3"/>
        <v>95.060125717701666</v>
      </c>
      <c r="J73" s="15">
        <f t="shared" si="4"/>
        <v>-3.8893127524826599E-4</v>
      </c>
      <c r="K73" s="15">
        <f t="shared" si="5"/>
        <v>-1.0500917408087667E-3</v>
      </c>
    </row>
    <row r="74" spans="2:11" x14ac:dyDescent="0.3">
      <c r="B74" s="1">
        <v>46129</v>
      </c>
      <c r="C74" s="4">
        <v>29.35</v>
      </c>
      <c r="D74" s="4">
        <v>96.68</v>
      </c>
      <c r="E74" s="12">
        <f t="shared" si="7"/>
        <v>3.2940374787052811</v>
      </c>
      <c r="F74" s="13">
        <f t="shared" si="1"/>
        <v>3.2947858311292597</v>
      </c>
      <c r="G74" s="13">
        <f t="shared" si="6"/>
        <v>3.2926957297437363</v>
      </c>
      <c r="H74" s="4">
        <f t="shared" si="2"/>
        <v>96.701964143643778</v>
      </c>
      <c r="I74" s="4">
        <f t="shared" si="3"/>
        <v>96.640619667978669</v>
      </c>
      <c r="J74" s="15">
        <f t="shared" si="4"/>
        <v>2.271581409929781E-4</v>
      </c>
      <c r="K74" s="15">
        <f t="shared" si="5"/>
        <v>-4.0740954207236168E-4</v>
      </c>
    </row>
    <row r="75" spans="2:11" x14ac:dyDescent="0.3">
      <c r="B75" s="1">
        <v>46132</v>
      </c>
      <c r="C75" s="4">
        <v>29.45</v>
      </c>
      <c r="D75" s="4">
        <v>97.03</v>
      </c>
      <c r="E75" s="12">
        <f t="shared" si="7"/>
        <v>3.2947368421052632</v>
      </c>
      <c r="F75" s="13">
        <f t="shared" si="1"/>
        <v>3.2946211496373472</v>
      </c>
      <c r="G75" s="13">
        <f t="shared" si="6"/>
        <v>3.2926957297437363</v>
      </c>
      <c r="H75" s="4">
        <f t="shared" si="2"/>
        <v>97.026592856819875</v>
      </c>
      <c r="I75" s="4">
        <f t="shared" si="3"/>
        <v>96.969889240953037</v>
      </c>
      <c r="J75" s="15">
        <f t="shared" si="4"/>
        <v>-3.5114943845151452E-5</v>
      </c>
      <c r="K75" s="15">
        <f t="shared" si="5"/>
        <v>-6.1969892050793953E-4</v>
      </c>
    </row>
    <row r="76" spans="2:11" x14ac:dyDescent="0.3">
      <c r="B76" s="1">
        <v>46133</v>
      </c>
      <c r="C76" s="4">
        <v>28.91</v>
      </c>
      <c r="D76" s="4">
        <v>95.31</v>
      </c>
      <c r="E76" s="12">
        <f t="shared" si="7"/>
        <v>3.2967831200276723</v>
      </c>
      <c r="F76" s="13">
        <f t="shared" si="1"/>
        <v>3.2945027254100325</v>
      </c>
      <c r="G76" s="13">
        <f t="shared" si="6"/>
        <v>3.2926957297437363</v>
      </c>
      <c r="H76" s="4">
        <f t="shared" ref="H76:H139" si="8">C76*F76</f>
        <v>95.244073791604038</v>
      </c>
      <c r="I76" s="4">
        <f t="shared" ref="I76:I139" si="9">C76*G76</f>
        <v>95.191833546891417</v>
      </c>
      <c r="J76" s="15">
        <f t="shared" ref="J76:J139" si="10">LN(H76/D76)</f>
        <v>-6.9194228928883526E-4</v>
      </c>
      <c r="K76" s="15">
        <f t="shared" ref="K76:K139" si="11">LN(I76/D76)</f>
        <v>-1.2405809021754199E-3</v>
      </c>
    </row>
    <row r="77" spans="2:11" x14ac:dyDescent="0.3">
      <c r="B77" s="1">
        <v>46134</v>
      </c>
      <c r="C77" s="4">
        <v>28.69</v>
      </c>
      <c r="D77" s="4">
        <v>94.52</v>
      </c>
      <c r="E77" s="12">
        <f t="shared" si="7"/>
        <v>3.2945277100034853</v>
      </c>
      <c r="F77" s="13">
        <f t="shared" si="1"/>
        <v>3.2945419621653587</v>
      </c>
      <c r="G77" s="13">
        <f t="shared" si="6"/>
        <v>3.2926957297437363</v>
      </c>
      <c r="H77" s="4">
        <f t="shared" si="8"/>
        <v>94.520408894524138</v>
      </c>
      <c r="I77" s="4">
        <f t="shared" si="9"/>
        <v>94.467440486347797</v>
      </c>
      <c r="J77" s="15">
        <f t="shared" si="10"/>
        <v>4.3260012663440486E-6</v>
      </c>
      <c r="K77" s="15">
        <f t="shared" si="11"/>
        <v>-5.5622230632916016E-4</v>
      </c>
    </row>
    <row r="78" spans="2:11" x14ac:dyDescent="0.3">
      <c r="B78" s="1">
        <v>46135</v>
      </c>
      <c r="C78" s="4">
        <v>28.96</v>
      </c>
      <c r="D78" s="4">
        <v>95.49</v>
      </c>
      <c r="E78" s="12">
        <f t="shared" si="7"/>
        <v>3.2973066298342539</v>
      </c>
      <c r="F78" s="13">
        <f t="shared" si="1"/>
        <v>3.2947278785839558</v>
      </c>
      <c r="G78" s="13">
        <f t="shared" si="6"/>
        <v>3.2926957297437363</v>
      </c>
      <c r="H78" s="4">
        <f t="shared" si="8"/>
        <v>95.415319363791369</v>
      </c>
      <c r="I78" s="4">
        <f t="shared" si="9"/>
        <v>95.356468333378601</v>
      </c>
      <c r="J78" s="15">
        <f t="shared" si="10"/>
        <v>-7.8238406626899941E-4</v>
      </c>
      <c r="K78" s="15">
        <f t="shared" si="11"/>
        <v>-1.3993624254911104E-3</v>
      </c>
    </row>
    <row r="79" spans="2:11" x14ac:dyDescent="0.3">
      <c r="B79" s="1">
        <v>46136</v>
      </c>
      <c r="C79" s="4">
        <v>28.89</v>
      </c>
      <c r="D79" s="4">
        <v>95.3</v>
      </c>
      <c r="E79" s="12">
        <f t="shared" si="7"/>
        <v>3.298719280027691</v>
      </c>
      <c r="F79" s="13">
        <f t="shared" si="1"/>
        <v>3.2950242029457009</v>
      </c>
      <c r="G79" s="13">
        <f t="shared" si="6"/>
        <v>3.2926957297437363</v>
      </c>
      <c r="H79" s="4">
        <f t="shared" si="8"/>
        <v>95.193249223101304</v>
      </c>
      <c r="I79" s="4">
        <f t="shared" si="9"/>
        <v>95.125979632296549</v>
      </c>
      <c r="J79" s="15">
        <f t="shared" si="10"/>
        <v>-1.1207828992227016E-3</v>
      </c>
      <c r="K79" s="15">
        <f t="shared" si="11"/>
        <v>-1.8276961629080097E-3</v>
      </c>
    </row>
    <row r="80" spans="2:11" x14ac:dyDescent="0.3">
      <c r="B80" s="1">
        <v>46139</v>
      </c>
      <c r="C80" s="4">
        <v>28.73</v>
      </c>
      <c r="D80" s="4">
        <v>94.78</v>
      </c>
      <c r="E80" s="12">
        <f t="shared" si="7"/>
        <v>3.2989906021580229</v>
      </c>
      <c r="F80" s="13">
        <f t="shared" si="1"/>
        <v>3.2953257391096202</v>
      </c>
      <c r="G80" s="13">
        <f t="shared" si="6"/>
        <v>3.2926957297437363</v>
      </c>
      <c r="H80" s="4">
        <f t="shared" si="8"/>
        <v>94.674708484619387</v>
      </c>
      <c r="I80" s="4">
        <f t="shared" si="9"/>
        <v>94.599148315537548</v>
      </c>
      <c r="J80" s="15">
        <f t="shared" si="10"/>
        <v>-1.1115218730985345E-3</v>
      </c>
      <c r="K80" s="15">
        <f t="shared" si="11"/>
        <v>-1.9099435291396786E-3</v>
      </c>
    </row>
    <row r="81" spans="2:11" x14ac:dyDescent="0.3">
      <c r="B81" s="1">
        <v>46140</v>
      </c>
      <c r="C81" s="4">
        <v>29.02</v>
      </c>
      <c r="D81" s="4">
        <v>95.65</v>
      </c>
      <c r="E81" s="12">
        <f t="shared" si="7"/>
        <v>3.296002756719504</v>
      </c>
      <c r="F81" s="13">
        <f t="shared" si="1"/>
        <v>3.2955386172396017</v>
      </c>
      <c r="G81" s="13">
        <f t="shared" si="6"/>
        <v>3.2926957297437363</v>
      </c>
      <c r="H81" s="4">
        <f t="shared" si="8"/>
        <v>95.636530672293247</v>
      </c>
      <c r="I81" s="4">
        <f t="shared" si="9"/>
        <v>95.554030077163219</v>
      </c>
      <c r="J81" s="15">
        <f t="shared" si="10"/>
        <v>-1.4082881509414204E-4</v>
      </c>
      <c r="K81" s="15">
        <f t="shared" si="11"/>
        <v>-1.0038484111158145E-3</v>
      </c>
    </row>
    <row r="82" spans="2:11" x14ac:dyDescent="0.3">
      <c r="B82" s="1">
        <v>46141</v>
      </c>
      <c r="C82" s="4">
        <v>28.79</v>
      </c>
      <c r="D82" s="4">
        <v>94.9</v>
      </c>
      <c r="E82" s="12">
        <f t="shared" si="7"/>
        <v>3.2962834317471348</v>
      </c>
      <c r="F82" s="13">
        <f t="shared" si="1"/>
        <v>3.2955441674965984</v>
      </c>
      <c r="G82" s="13">
        <f t="shared" si="6"/>
        <v>3.2926957297437363</v>
      </c>
      <c r="H82" s="4">
        <f t="shared" si="8"/>
        <v>94.878716582227071</v>
      </c>
      <c r="I82" s="4">
        <f t="shared" si="9"/>
        <v>94.796710059322166</v>
      </c>
      <c r="J82" s="15">
        <f t="shared" si="10"/>
        <v>-2.2429720513934907E-4</v>
      </c>
      <c r="K82" s="15">
        <f t="shared" si="11"/>
        <v>-1.0890009726933381E-3</v>
      </c>
    </row>
    <row r="83" spans="2:11" x14ac:dyDescent="0.3">
      <c r="B83" s="1">
        <v>46142</v>
      </c>
      <c r="C83" s="4">
        <v>29.21</v>
      </c>
      <c r="D83" s="4">
        <v>96.33</v>
      </c>
      <c r="E83" s="12">
        <f t="shared" si="7"/>
        <v>3.2978432043820609</v>
      </c>
      <c r="F83" s="13">
        <f t="shared" si="1"/>
        <v>3.2955844758638491</v>
      </c>
      <c r="G83" s="13">
        <f t="shared" si="6"/>
        <v>3.2926957297437363</v>
      </c>
      <c r="H83" s="4">
        <f t="shared" si="8"/>
        <v>96.264022539983031</v>
      </c>
      <c r="I83" s="4">
        <f t="shared" si="9"/>
        <v>96.179642265814536</v>
      </c>
      <c r="J83" s="15">
        <f t="shared" si="10"/>
        <v>-6.8514548611416548E-4</v>
      </c>
      <c r="K83" s="15">
        <f t="shared" si="11"/>
        <v>-1.5620803507782918E-3</v>
      </c>
    </row>
    <row r="84" spans="2:11" x14ac:dyDescent="0.3">
      <c r="B84" s="1">
        <v>46143</v>
      </c>
      <c r="C84" s="4">
        <v>29.15</v>
      </c>
      <c r="D84" s="4">
        <v>96.06</v>
      </c>
      <c r="E84" s="12">
        <f t="shared" si="7"/>
        <v>3.2953687821612352</v>
      </c>
      <c r="F84" s="13">
        <f t="shared" si="1"/>
        <v>3.2956395159211622</v>
      </c>
      <c r="G84" s="13">
        <f t="shared" si="6"/>
        <v>3.2926957297437363</v>
      </c>
      <c r="H84" s="4">
        <f t="shared" si="8"/>
        <v>96.067891889101872</v>
      </c>
      <c r="I84" s="4">
        <f t="shared" si="9"/>
        <v>95.982080522029904</v>
      </c>
      <c r="J84" s="15">
        <f t="shared" si="10"/>
        <v>8.2152456144783656E-5</v>
      </c>
      <c r="K84" s="15">
        <f t="shared" si="11"/>
        <v>-8.1148342107264355E-4</v>
      </c>
    </row>
    <row r="85" spans="2:11" x14ac:dyDescent="0.3">
      <c r="B85" s="1">
        <v>46146</v>
      </c>
      <c r="C85" s="4">
        <v>28.96</v>
      </c>
      <c r="D85" s="4">
        <v>95.46</v>
      </c>
      <c r="E85" s="12">
        <f t="shared" si="7"/>
        <v>3.2962707182320439</v>
      </c>
      <c r="F85" s="13">
        <f t="shared" ref="F85:F148" si="12">AVERAGE(E66:E85)</f>
        <v>3.2956828111325449</v>
      </c>
      <c r="G85" s="13">
        <f t="shared" si="6"/>
        <v>3.2926957297437363</v>
      </c>
      <c r="H85" s="4">
        <f t="shared" si="8"/>
        <v>95.442974210398503</v>
      </c>
      <c r="I85" s="4">
        <f t="shared" si="9"/>
        <v>95.356468333378601</v>
      </c>
      <c r="J85" s="15">
        <f t="shared" si="10"/>
        <v>-1.7837113032994693E-4</v>
      </c>
      <c r="K85" s="15">
        <f t="shared" si="11"/>
        <v>-1.0851440411304449E-3</v>
      </c>
    </row>
    <row r="86" spans="2:11" x14ac:dyDescent="0.3">
      <c r="B86" s="1">
        <v>46147</v>
      </c>
      <c r="C86" s="4">
        <v>29.05</v>
      </c>
      <c r="D86" s="4">
        <v>95.76</v>
      </c>
      <c r="E86" s="12">
        <f t="shared" si="7"/>
        <v>3.2963855421686747</v>
      </c>
      <c r="F86" s="13">
        <f t="shared" si="12"/>
        <v>3.295735154519202</v>
      </c>
      <c r="G86" s="13">
        <f t="shared" ref="G86:G149" si="13">G85</f>
        <v>3.2926957297437363</v>
      </c>
      <c r="H86" s="4">
        <f t="shared" si="8"/>
        <v>95.74110623878282</v>
      </c>
      <c r="I86" s="4">
        <f t="shared" si="9"/>
        <v>95.652810949055535</v>
      </c>
      <c r="J86" s="15">
        <f t="shared" si="10"/>
        <v>-1.97322737707178E-4</v>
      </c>
      <c r="K86" s="15">
        <f t="shared" si="11"/>
        <v>-1.1199779326932133E-3</v>
      </c>
    </row>
    <row r="87" spans="2:11" x14ac:dyDescent="0.3">
      <c r="B87" s="1">
        <v>46148</v>
      </c>
      <c r="C87" s="4">
        <v>29.47</v>
      </c>
      <c r="D87" s="4">
        <v>97.09</v>
      </c>
      <c r="E87" s="12">
        <f t="shared" si="7"/>
        <v>3.2945368171021379</v>
      </c>
      <c r="F87" s="13">
        <f t="shared" si="12"/>
        <v>3.2957266591797447</v>
      </c>
      <c r="G87" s="13">
        <f t="shared" si="13"/>
        <v>3.2926957297437363</v>
      </c>
      <c r="H87" s="4">
        <f t="shared" si="8"/>
        <v>97.12506464602707</v>
      </c>
      <c r="I87" s="4">
        <f t="shared" si="9"/>
        <v>97.035743155547905</v>
      </c>
      <c r="J87" s="15">
        <f t="shared" si="10"/>
        <v>3.6109090169676684E-4</v>
      </c>
      <c r="K87" s="15">
        <f t="shared" si="11"/>
        <v>-5.5898661334590264E-4</v>
      </c>
    </row>
    <row r="88" spans="2:11" x14ac:dyDescent="0.3">
      <c r="B88" s="1">
        <v>46149</v>
      </c>
      <c r="C88" s="4">
        <v>29.29</v>
      </c>
      <c r="D88" s="4">
        <v>96.39</v>
      </c>
      <c r="E88" s="12">
        <f t="shared" si="7"/>
        <v>3.2908842608398774</v>
      </c>
      <c r="F88" s="13">
        <f t="shared" si="12"/>
        <v>3.2955336563126485</v>
      </c>
      <c r="G88" s="13">
        <f t="shared" si="13"/>
        <v>3.2926957297437363</v>
      </c>
      <c r="H88" s="4">
        <f t="shared" si="8"/>
        <v>96.526180793397472</v>
      </c>
      <c r="I88" s="4">
        <f t="shared" si="9"/>
        <v>96.443057924194036</v>
      </c>
      <c r="J88" s="15">
        <f t="shared" si="10"/>
        <v>1.4118133114312107E-3</v>
      </c>
      <c r="K88" s="15">
        <f t="shared" si="11"/>
        <v>5.5029906286966984E-4</v>
      </c>
    </row>
    <row r="89" spans="2:11" x14ac:dyDescent="0.3">
      <c r="B89" s="1">
        <v>46150</v>
      </c>
      <c r="C89" s="4">
        <v>29.35</v>
      </c>
      <c r="D89" s="4">
        <v>96.62</v>
      </c>
      <c r="E89" s="12">
        <f t="shared" si="7"/>
        <v>3.2919931856899489</v>
      </c>
      <c r="F89" s="13">
        <f t="shared" si="12"/>
        <v>3.295450354208552</v>
      </c>
      <c r="G89" s="13">
        <f t="shared" si="13"/>
        <v>3.2926957297437363</v>
      </c>
      <c r="H89" s="4">
        <f t="shared" si="8"/>
        <v>96.721467896021011</v>
      </c>
      <c r="I89" s="4">
        <f t="shared" si="9"/>
        <v>96.640619667978669</v>
      </c>
      <c r="J89" s="15">
        <f t="shared" si="10"/>
        <v>1.0496238229790156E-3</v>
      </c>
      <c r="K89" s="15">
        <f t="shared" si="11"/>
        <v>2.133871669493708E-4</v>
      </c>
    </row>
    <row r="90" spans="2:11" x14ac:dyDescent="0.3">
      <c r="B90" s="1">
        <v>46153</v>
      </c>
      <c r="C90" s="4">
        <v>29.35</v>
      </c>
      <c r="D90" s="4">
        <v>96.69</v>
      </c>
      <c r="E90" s="12">
        <f t="shared" si="7"/>
        <v>3.2943781942078361</v>
      </c>
      <c r="F90" s="13">
        <f t="shared" si="12"/>
        <v>3.2955080077439263</v>
      </c>
      <c r="G90" s="13">
        <f t="shared" si="13"/>
        <v>3.2926957297437363</v>
      </c>
      <c r="H90" s="4">
        <f t="shared" si="8"/>
        <v>96.723160027284237</v>
      </c>
      <c r="I90" s="4">
        <f t="shared" si="9"/>
        <v>96.640619667978669</v>
      </c>
      <c r="J90" s="15">
        <f t="shared" si="10"/>
        <v>3.4289318890670277E-4</v>
      </c>
      <c r="K90" s="15">
        <f t="shared" si="11"/>
        <v>-5.1083820224623528E-4</v>
      </c>
    </row>
    <row r="91" spans="2:11" x14ac:dyDescent="0.3">
      <c r="B91" s="1">
        <v>46154</v>
      </c>
      <c r="C91" s="4">
        <v>29.37</v>
      </c>
      <c r="D91" s="4">
        <v>96.69</v>
      </c>
      <c r="E91" s="12">
        <f t="shared" si="7"/>
        <v>3.292134831460674</v>
      </c>
      <c r="F91" s="13">
        <f t="shared" si="12"/>
        <v>3.2953368549482995</v>
      </c>
      <c r="G91" s="13">
        <f t="shared" si="13"/>
        <v>3.2926957297437363</v>
      </c>
      <c r="H91" s="4">
        <f t="shared" si="8"/>
        <v>96.784043429831556</v>
      </c>
      <c r="I91" s="4">
        <f t="shared" si="9"/>
        <v>96.706473582573537</v>
      </c>
      <c r="J91" s="15">
        <f t="shared" si="10"/>
        <v>9.7215559845632523E-4</v>
      </c>
      <c r="K91" s="15">
        <f t="shared" si="11"/>
        <v>1.7036073417688581E-4</v>
      </c>
    </row>
    <row r="92" spans="2:11" x14ac:dyDescent="0.3">
      <c r="B92" s="1">
        <v>46155</v>
      </c>
      <c r="C92" s="4">
        <v>29.12</v>
      </c>
      <c r="D92" s="4">
        <v>95.89</v>
      </c>
      <c r="E92" s="12">
        <f t="shared" si="7"/>
        <v>3.2929258241758239</v>
      </c>
      <c r="F92" s="13">
        <f t="shared" si="12"/>
        <v>3.2953132195067241</v>
      </c>
      <c r="G92" s="13">
        <f t="shared" si="13"/>
        <v>3.2926957297437363</v>
      </c>
      <c r="H92" s="4">
        <f t="shared" si="8"/>
        <v>95.959520952035803</v>
      </c>
      <c r="I92" s="4">
        <f t="shared" si="9"/>
        <v>95.883299650137602</v>
      </c>
      <c r="J92" s="15">
        <f t="shared" si="10"/>
        <v>7.2474463041482075E-4</v>
      </c>
      <c r="K92" s="15">
        <f t="shared" si="11"/>
        <v>-6.9877818000159303E-5</v>
      </c>
    </row>
    <row r="93" spans="2:11" x14ac:dyDescent="0.3">
      <c r="B93" s="1">
        <v>46156</v>
      </c>
      <c r="C93" s="4">
        <v>28.94</v>
      </c>
      <c r="D93" s="4">
        <v>95.32</v>
      </c>
      <c r="E93" s="12">
        <f t="shared" si="7"/>
        <v>3.2937111264685552</v>
      </c>
      <c r="F93" s="13">
        <f t="shared" si="12"/>
        <v>3.295191016910858</v>
      </c>
      <c r="G93" s="13">
        <f t="shared" si="13"/>
        <v>3.2926957297437363</v>
      </c>
      <c r="H93" s="4">
        <f t="shared" si="8"/>
        <v>95.362828029400234</v>
      </c>
      <c r="I93" s="4">
        <f t="shared" si="9"/>
        <v>95.290614418783733</v>
      </c>
      <c r="J93" s="15">
        <f t="shared" si="10"/>
        <v>4.49206995333808E-4</v>
      </c>
      <c r="K93" s="15">
        <f t="shared" si="11"/>
        <v>-3.0833100809907302E-4</v>
      </c>
    </row>
    <row r="94" spans="2:11" x14ac:dyDescent="0.3">
      <c r="B94" s="1">
        <v>46157</v>
      </c>
      <c r="C94" s="4">
        <v>28.5</v>
      </c>
      <c r="D94" s="4">
        <v>93.91</v>
      </c>
      <c r="E94" s="12">
        <f t="shared" si="7"/>
        <v>3.2950877192982455</v>
      </c>
      <c r="F94" s="13">
        <f t="shared" si="12"/>
        <v>3.2952435289405066</v>
      </c>
      <c r="G94" s="13">
        <f t="shared" si="13"/>
        <v>3.2926957297437363</v>
      </c>
      <c r="H94" s="4">
        <f t="shared" si="8"/>
        <v>93.914440574804445</v>
      </c>
      <c r="I94" s="4">
        <f t="shared" si="9"/>
        <v>93.84182829769648</v>
      </c>
      <c r="J94" s="15">
        <f t="shared" si="10"/>
        <v>4.7284312858179355E-5</v>
      </c>
      <c r="K94" s="15">
        <f t="shared" si="11"/>
        <v>-7.2618952281300851E-4</v>
      </c>
    </row>
    <row r="95" spans="2:11" x14ac:dyDescent="0.3">
      <c r="B95" s="1">
        <v>46160</v>
      </c>
      <c r="C95" s="4">
        <v>28.85</v>
      </c>
      <c r="D95" s="4">
        <v>95.01</v>
      </c>
      <c r="E95" s="12">
        <f t="shared" si="7"/>
        <v>3.2932409012131716</v>
      </c>
      <c r="F95" s="13">
        <f t="shared" si="12"/>
        <v>3.2951687318959015</v>
      </c>
      <c r="G95" s="13">
        <f t="shared" si="13"/>
        <v>3.2926957297437363</v>
      </c>
      <c r="H95" s="4">
        <f t="shared" si="8"/>
        <v>95.065617915196768</v>
      </c>
      <c r="I95" s="4">
        <f t="shared" si="9"/>
        <v>94.994271803106798</v>
      </c>
      <c r="J95" s="15">
        <f t="shared" si="10"/>
        <v>5.8521884494327234E-4</v>
      </c>
      <c r="K95" s="15">
        <f t="shared" si="11"/>
        <v>-1.6555624544509976E-4</v>
      </c>
    </row>
    <row r="96" spans="2:11" x14ac:dyDescent="0.3">
      <c r="B96" s="1">
        <v>46161</v>
      </c>
      <c r="C96" s="4">
        <v>28.94</v>
      </c>
      <c r="D96" s="4">
        <v>95.28</v>
      </c>
      <c r="E96" s="12">
        <f t="shared" si="7"/>
        <v>3.2923289564616445</v>
      </c>
      <c r="F96" s="13">
        <f t="shared" si="12"/>
        <v>3.2949460237176007</v>
      </c>
      <c r="G96" s="13">
        <f t="shared" si="13"/>
        <v>3.2926957297437363</v>
      </c>
      <c r="H96" s="4">
        <f t="shared" si="8"/>
        <v>95.355737926387363</v>
      </c>
      <c r="I96" s="4">
        <f t="shared" si="9"/>
        <v>95.290614418783733</v>
      </c>
      <c r="J96" s="15">
        <f t="shared" si="10"/>
        <v>7.9458270727216396E-4</v>
      </c>
      <c r="K96" s="15">
        <f t="shared" si="11"/>
        <v>1.1139617539747228E-4</v>
      </c>
    </row>
    <row r="97" spans="2:11" x14ac:dyDescent="0.3">
      <c r="B97" s="1">
        <v>46162</v>
      </c>
      <c r="C97" s="4">
        <v>29.3</v>
      </c>
      <c r="D97" s="4">
        <v>96.49</v>
      </c>
      <c r="E97" s="12">
        <f t="shared" si="7"/>
        <v>3.2931740614334468</v>
      </c>
      <c r="F97" s="13">
        <f t="shared" si="12"/>
        <v>3.294878341289099</v>
      </c>
      <c r="G97" s="13">
        <f t="shared" si="13"/>
        <v>3.2926957297437363</v>
      </c>
      <c r="H97" s="4">
        <f t="shared" si="8"/>
        <v>96.539935399770599</v>
      </c>
      <c r="I97" s="4">
        <f t="shared" si="9"/>
        <v>96.47598488149147</v>
      </c>
      <c r="J97" s="15">
        <f t="shared" si="10"/>
        <v>5.1738504477148587E-4</v>
      </c>
      <c r="K97" s="15">
        <f t="shared" si="11"/>
        <v>-1.452599901663536E-4</v>
      </c>
    </row>
    <row r="98" spans="2:11" x14ac:dyDescent="0.3">
      <c r="B98" s="1">
        <v>46163</v>
      </c>
      <c r="C98" s="4">
        <v>29.36</v>
      </c>
      <c r="D98" s="4">
        <v>96.67</v>
      </c>
      <c r="E98" s="12">
        <f t="shared" si="7"/>
        <v>3.2925749318801092</v>
      </c>
      <c r="F98" s="13">
        <f t="shared" si="12"/>
        <v>3.2946417563913917</v>
      </c>
      <c r="G98" s="13">
        <f t="shared" si="13"/>
        <v>3.2926957297437363</v>
      </c>
      <c r="H98" s="4">
        <f t="shared" si="8"/>
        <v>96.730681967651265</v>
      </c>
      <c r="I98" s="4">
        <f t="shared" si="9"/>
        <v>96.673546625276089</v>
      </c>
      <c r="J98" s="15">
        <f t="shared" si="10"/>
        <v>6.2752591175172867E-4</v>
      </c>
      <c r="K98" s="15">
        <f t="shared" si="11"/>
        <v>3.6687288905010066E-5</v>
      </c>
    </row>
    <row r="99" spans="2:11" x14ac:dyDescent="0.3">
      <c r="B99" s="1">
        <v>46164</v>
      </c>
      <c r="C99" s="4">
        <v>29.4</v>
      </c>
      <c r="D99" s="4">
        <v>96.77</v>
      </c>
      <c r="E99" s="12">
        <f t="shared" si="7"/>
        <v>3.2914965986394558</v>
      </c>
      <c r="F99" s="13">
        <f t="shared" si="12"/>
        <v>3.2942806223219812</v>
      </c>
      <c r="G99" s="13">
        <f t="shared" si="13"/>
        <v>3.2926957297437363</v>
      </c>
      <c r="H99" s="4">
        <f t="shared" si="8"/>
        <v>96.851850296266235</v>
      </c>
      <c r="I99" s="4">
        <f t="shared" si="9"/>
        <v>96.805254454465839</v>
      </c>
      <c r="J99" s="15">
        <f t="shared" si="10"/>
        <v>8.4546554034707177E-4</v>
      </c>
      <c r="K99" s="15">
        <f t="shared" si="11"/>
        <v>3.6424547088905108E-4</v>
      </c>
    </row>
    <row r="100" spans="2:11" x14ac:dyDescent="0.3">
      <c r="B100" s="1">
        <v>46168</v>
      </c>
      <c r="C100" s="4">
        <v>29.53</v>
      </c>
      <c r="D100" s="4">
        <v>97.22</v>
      </c>
      <c r="E100" s="12">
        <f t="shared" si="7"/>
        <v>3.2922451743989161</v>
      </c>
      <c r="F100" s="13">
        <f t="shared" si="12"/>
        <v>3.2939433509340255</v>
      </c>
      <c r="G100" s="13">
        <f t="shared" si="13"/>
        <v>3.2926957297437363</v>
      </c>
      <c r="H100" s="4">
        <f t="shared" si="8"/>
        <v>97.27014715308178</v>
      </c>
      <c r="I100" s="4">
        <f t="shared" si="9"/>
        <v>97.233304899332538</v>
      </c>
      <c r="J100" s="15">
        <f t="shared" si="10"/>
        <v>5.1567809400215176E-4</v>
      </c>
      <c r="K100" s="15">
        <f t="shared" si="11"/>
        <v>1.3684415762632362E-4</v>
      </c>
    </row>
    <row r="101" spans="2:11" x14ac:dyDescent="0.3">
      <c r="B101" s="1">
        <v>46169</v>
      </c>
      <c r="C101" s="4">
        <v>29.46</v>
      </c>
      <c r="D101" s="4">
        <v>96.92</v>
      </c>
      <c r="E101" s="12">
        <f t="shared" si="7"/>
        <v>3.2898845892735911</v>
      </c>
      <c r="F101" s="13">
        <f t="shared" si="12"/>
        <v>3.2936374425617294</v>
      </c>
      <c r="G101" s="13">
        <f t="shared" si="13"/>
        <v>3.2926957297437363</v>
      </c>
      <c r="H101" s="4">
        <f t="shared" si="8"/>
        <v>97.030559057868558</v>
      </c>
      <c r="I101" s="4">
        <f t="shared" si="9"/>
        <v>97.002816198250471</v>
      </c>
      <c r="J101" s="15">
        <f t="shared" si="10"/>
        <v>1.1400747734961832E-3</v>
      </c>
      <c r="K101" s="15">
        <f t="shared" si="11"/>
        <v>8.5411510526353629E-4</v>
      </c>
    </row>
    <row r="102" spans="2:11" x14ac:dyDescent="0.3">
      <c r="B102" s="1">
        <v>46170</v>
      </c>
      <c r="C102" s="4">
        <v>29.34</v>
      </c>
      <c r="D102" s="4">
        <v>96.55</v>
      </c>
      <c r="E102" s="12">
        <f t="shared" si="7"/>
        <v>3.290729379686435</v>
      </c>
      <c r="F102" s="13">
        <f t="shared" si="12"/>
        <v>3.2933597399586945</v>
      </c>
      <c r="G102" s="13">
        <f t="shared" si="13"/>
        <v>3.2926957297437363</v>
      </c>
      <c r="H102" s="4">
        <f t="shared" si="8"/>
        <v>96.627174770388095</v>
      </c>
      <c r="I102" s="4">
        <f t="shared" si="9"/>
        <v>96.607692710681221</v>
      </c>
      <c r="J102" s="15">
        <f t="shared" si="10"/>
        <v>7.9900510591467068E-4</v>
      </c>
      <c r="K102" s="15">
        <f t="shared" si="11"/>
        <v>5.9736385941654515E-4</v>
      </c>
    </row>
    <row r="103" spans="2:11" x14ac:dyDescent="0.3">
      <c r="B103" s="1">
        <v>46171</v>
      </c>
      <c r="C103" s="4">
        <v>29.07</v>
      </c>
      <c r="D103" s="4">
        <v>95.7</v>
      </c>
      <c r="E103" s="12">
        <f t="shared" si="7"/>
        <v>3.2920536635706914</v>
      </c>
      <c r="F103" s="13">
        <f t="shared" si="12"/>
        <v>3.2930702629181261</v>
      </c>
      <c r="G103" s="13">
        <f t="shared" si="13"/>
        <v>3.2926957297437363</v>
      </c>
      <c r="H103" s="4">
        <f t="shared" si="8"/>
        <v>95.729552543029925</v>
      </c>
      <c r="I103" s="4">
        <f t="shared" si="9"/>
        <v>95.718664863650417</v>
      </c>
      <c r="J103" s="15">
        <f t="shared" si="10"/>
        <v>3.0875633226024756E-4</v>
      </c>
      <c r="K103" s="15">
        <f t="shared" si="11"/>
        <v>1.9501613098027077E-4</v>
      </c>
    </row>
    <row r="104" spans="2:11" x14ac:dyDescent="0.3">
      <c r="B104" s="1">
        <v>46174</v>
      </c>
      <c r="C104" s="4">
        <v>28.59</v>
      </c>
      <c r="D104" s="4">
        <v>94.09</v>
      </c>
      <c r="E104" s="12">
        <f t="shared" si="7"/>
        <v>3.2910108429520815</v>
      </c>
      <c r="F104" s="13">
        <f t="shared" si="12"/>
        <v>3.2928523659576685</v>
      </c>
      <c r="G104" s="13">
        <f t="shared" si="13"/>
        <v>3.2926957297437363</v>
      </c>
      <c r="H104" s="4">
        <f t="shared" si="8"/>
        <v>94.142649142729738</v>
      </c>
      <c r="I104" s="4">
        <f t="shared" si="9"/>
        <v>94.138170913373415</v>
      </c>
      <c r="J104" s="15">
        <f t="shared" si="10"/>
        <v>5.5940501653139031E-4</v>
      </c>
      <c r="K104" s="15">
        <f t="shared" si="11"/>
        <v>5.1183533465037933E-4</v>
      </c>
    </row>
    <row r="105" spans="2:11" x14ac:dyDescent="0.3">
      <c r="B105" s="1">
        <v>46175</v>
      </c>
      <c r="C105" s="4">
        <v>28.71</v>
      </c>
      <c r="D105" s="4">
        <v>94.52</v>
      </c>
      <c r="E105" s="12">
        <f t="shared" si="7"/>
        <v>3.2922326715430161</v>
      </c>
      <c r="F105" s="13">
        <f t="shared" si="12"/>
        <v>3.2926504636232168</v>
      </c>
      <c r="G105" s="13">
        <f t="shared" si="13"/>
        <v>3.2926957297437363</v>
      </c>
      <c r="H105" s="4">
        <f t="shared" si="8"/>
        <v>94.53199481062255</v>
      </c>
      <c r="I105" s="4">
        <f t="shared" si="9"/>
        <v>94.533294400942665</v>
      </c>
      <c r="J105" s="15">
        <f t="shared" si="10"/>
        <v>1.2689430387293209E-4</v>
      </c>
      <c r="K105" s="15">
        <f t="shared" si="11"/>
        <v>1.406418333698971E-4</v>
      </c>
    </row>
    <row r="106" spans="2:11" x14ac:dyDescent="0.3">
      <c r="B106" s="1">
        <v>46176</v>
      </c>
      <c r="C106" s="4">
        <v>28.67</v>
      </c>
      <c r="D106" s="4">
        <v>94.41</v>
      </c>
      <c r="E106" s="12">
        <f t="shared" si="7"/>
        <v>3.2929891873038017</v>
      </c>
      <c r="F106" s="13">
        <f t="shared" si="12"/>
        <v>3.2924806458799729</v>
      </c>
      <c r="G106" s="13">
        <f t="shared" si="13"/>
        <v>3.2926957297437363</v>
      </c>
      <c r="H106" s="4">
        <f t="shared" si="8"/>
        <v>94.395420117378833</v>
      </c>
      <c r="I106" s="4">
        <f t="shared" si="9"/>
        <v>94.401586571752929</v>
      </c>
      <c r="J106" s="15">
        <f t="shared" si="10"/>
        <v>-1.5444347562779855E-4</v>
      </c>
      <c r="K106" s="15">
        <f t="shared" si="11"/>
        <v>-8.9119830042161779E-5</v>
      </c>
    </row>
    <row r="107" spans="2:11" x14ac:dyDescent="0.3">
      <c r="B107" s="1">
        <v>46177</v>
      </c>
      <c r="C107" s="4">
        <v>29.18</v>
      </c>
      <c r="D107" s="4">
        <v>96.1</v>
      </c>
      <c r="E107" s="12">
        <f t="shared" si="7"/>
        <v>3.2933516106922549</v>
      </c>
      <c r="F107" s="13">
        <f t="shared" si="12"/>
        <v>3.2924213855594786</v>
      </c>
      <c r="G107" s="13">
        <f t="shared" si="13"/>
        <v>3.2926957297437363</v>
      </c>
      <c r="H107" s="4">
        <f t="shared" si="8"/>
        <v>96.072856030625587</v>
      </c>
      <c r="I107" s="4">
        <f t="shared" si="9"/>
        <v>96.08086139392222</v>
      </c>
      <c r="J107" s="15">
        <f t="shared" si="10"/>
        <v>-2.8249535460507286E-4</v>
      </c>
      <c r="K107" s="15">
        <f t="shared" si="11"/>
        <v>-1.9917286250283793E-4</v>
      </c>
    </row>
    <row r="108" spans="2:11" x14ac:dyDescent="0.3">
      <c r="B108" s="1">
        <v>46178</v>
      </c>
      <c r="C108" s="4">
        <v>29.41</v>
      </c>
      <c r="D108" s="4">
        <v>96.79</v>
      </c>
      <c r="E108" s="12">
        <f t="shared" si="7"/>
        <v>3.2910574634478071</v>
      </c>
      <c r="F108" s="13">
        <f t="shared" si="12"/>
        <v>3.2924300456898754</v>
      </c>
      <c r="G108" s="13">
        <f t="shared" si="13"/>
        <v>3.2926957297437363</v>
      </c>
      <c r="H108" s="4">
        <f t="shared" si="8"/>
        <v>96.830367643739237</v>
      </c>
      <c r="I108" s="4">
        <f t="shared" si="9"/>
        <v>96.838181411763287</v>
      </c>
      <c r="J108" s="15">
        <f t="shared" si="10"/>
        <v>4.1697725105461158E-4</v>
      </c>
      <c r="K108" s="15">
        <f t="shared" si="11"/>
        <v>4.9766942401079453E-4</v>
      </c>
    </row>
    <row r="109" spans="2:11" x14ac:dyDescent="0.3">
      <c r="B109" s="1">
        <v>46181</v>
      </c>
      <c r="C109" s="4">
        <v>29.03</v>
      </c>
      <c r="D109" s="4">
        <v>95.47</v>
      </c>
      <c r="E109" s="12">
        <f t="shared" si="7"/>
        <v>3.2886668963141577</v>
      </c>
      <c r="F109" s="13">
        <f t="shared" si="12"/>
        <v>3.2922637312210861</v>
      </c>
      <c r="G109" s="13">
        <f t="shared" si="13"/>
        <v>3.2926957297437363</v>
      </c>
      <c r="H109" s="4">
        <f t="shared" si="8"/>
        <v>95.574416117348136</v>
      </c>
      <c r="I109" s="4">
        <f t="shared" si="9"/>
        <v>95.586957034460667</v>
      </c>
      <c r="J109" s="15">
        <f t="shared" si="10"/>
        <v>1.0931083971709092E-3</v>
      </c>
      <c r="K109" s="15">
        <f t="shared" si="11"/>
        <v>1.2243160457011207E-3</v>
      </c>
    </row>
    <row r="110" spans="2:11" x14ac:dyDescent="0.3">
      <c r="B110" s="1">
        <v>46182</v>
      </c>
      <c r="C110" s="4">
        <v>29.7</v>
      </c>
      <c r="D110" s="4">
        <v>97.67</v>
      </c>
      <c r="E110" s="12">
        <f t="shared" si="7"/>
        <v>3.2885521885521887</v>
      </c>
      <c r="F110" s="13">
        <f t="shared" si="12"/>
        <v>3.2919724309383036</v>
      </c>
      <c r="G110" s="13">
        <f t="shared" si="13"/>
        <v>3.2926957297437363</v>
      </c>
      <c r="H110" s="4">
        <f t="shared" si="8"/>
        <v>97.771581198867608</v>
      </c>
      <c r="I110" s="4">
        <f t="shared" si="9"/>
        <v>97.793063173388958</v>
      </c>
      <c r="J110" s="15">
        <f t="shared" si="10"/>
        <v>1.0395045659334968E-3</v>
      </c>
      <c r="K110" s="15">
        <f t="shared" si="11"/>
        <v>1.2591963683725473E-3</v>
      </c>
    </row>
    <row r="111" spans="2:11" x14ac:dyDescent="0.3">
      <c r="B111" s="1">
        <v>46183</v>
      </c>
      <c r="C111" s="4">
        <v>29.7</v>
      </c>
      <c r="D111" s="4">
        <v>97.68</v>
      </c>
      <c r="E111" s="12">
        <f t="shared" si="7"/>
        <v>3.2888888888888892</v>
      </c>
      <c r="F111" s="13">
        <f t="shared" si="12"/>
        <v>3.2918101338097139</v>
      </c>
      <c r="G111" s="13">
        <f t="shared" si="13"/>
        <v>3.2926957297437363</v>
      </c>
      <c r="H111" s="4">
        <f t="shared" si="8"/>
        <v>97.766760974148497</v>
      </c>
      <c r="I111" s="4">
        <f t="shared" si="9"/>
        <v>97.793063173388958</v>
      </c>
      <c r="J111" s="15">
        <f t="shared" si="10"/>
        <v>8.8782213033366684E-4</v>
      </c>
      <c r="K111" s="15">
        <f t="shared" si="11"/>
        <v>1.1568160253090203E-3</v>
      </c>
    </row>
    <row r="112" spans="2:11" x14ac:dyDescent="0.3">
      <c r="B112" s="1">
        <v>46184</v>
      </c>
      <c r="C112" s="4">
        <v>29.65</v>
      </c>
      <c r="D112" s="4">
        <v>97.61</v>
      </c>
      <c r="E112" s="12">
        <f t="shared" si="7"/>
        <v>3.2920741989881956</v>
      </c>
      <c r="F112" s="13">
        <f t="shared" si="12"/>
        <v>3.2917675525503327</v>
      </c>
      <c r="G112" s="13">
        <f t="shared" si="13"/>
        <v>3.2926957297437363</v>
      </c>
      <c r="H112" s="4">
        <f t="shared" si="8"/>
        <v>97.600907933117355</v>
      </c>
      <c r="I112" s="4">
        <f t="shared" si="9"/>
        <v>97.628428386901774</v>
      </c>
      <c r="J112" s="15">
        <f t="shared" si="10"/>
        <v>-9.3151217680301901E-5</v>
      </c>
      <c r="K112" s="15">
        <f t="shared" si="11"/>
        <v>1.8877827596494346E-4</v>
      </c>
    </row>
    <row r="113" spans="1:11" x14ac:dyDescent="0.3">
      <c r="B113" s="1">
        <v>46185</v>
      </c>
      <c r="C113" s="4">
        <v>29.95</v>
      </c>
      <c r="D113" s="4">
        <v>98.51</v>
      </c>
      <c r="E113" s="12">
        <f t="shared" si="7"/>
        <v>3.2891485809682806</v>
      </c>
      <c r="F113" s="13">
        <f t="shared" si="12"/>
        <v>3.2915394252753187</v>
      </c>
      <c r="G113" s="13">
        <f t="shared" si="13"/>
        <v>3.2926957297437363</v>
      </c>
      <c r="H113" s="4">
        <f t="shared" si="8"/>
        <v>98.581605786995794</v>
      </c>
      <c r="I113" s="4">
        <f t="shared" si="9"/>
        <v>98.616237105824894</v>
      </c>
      <c r="J113" s="15">
        <f t="shared" si="10"/>
        <v>7.266244532376007E-4</v>
      </c>
      <c r="K113" s="15">
        <f t="shared" si="11"/>
        <v>1.0778587129749077E-3</v>
      </c>
    </row>
    <row r="114" spans="1:11" x14ac:dyDescent="0.3">
      <c r="B114" s="1">
        <v>46188</v>
      </c>
      <c r="C114" s="4">
        <v>29.73</v>
      </c>
      <c r="D114" s="4">
        <v>97.82</v>
      </c>
      <c r="E114" s="12">
        <f t="shared" si="7"/>
        <v>3.290279179280188</v>
      </c>
      <c r="F114" s="13">
        <f t="shared" si="12"/>
        <v>3.2912989982744163</v>
      </c>
      <c r="G114" s="13">
        <f t="shared" si="13"/>
        <v>3.2926957297437363</v>
      </c>
      <c r="H114" s="4">
        <f t="shared" si="8"/>
        <v>97.850319218698402</v>
      </c>
      <c r="I114" s="4">
        <f t="shared" si="9"/>
        <v>97.891844045281275</v>
      </c>
      <c r="J114" s="15">
        <f t="shared" si="10"/>
        <v>3.0990105256767196E-4</v>
      </c>
      <c r="K114" s="15">
        <f t="shared" si="11"/>
        <v>7.3418191789961936E-4</v>
      </c>
    </row>
    <row r="115" spans="1:11" x14ac:dyDescent="0.3">
      <c r="B115" s="1">
        <v>46189</v>
      </c>
      <c r="C115" s="4">
        <v>29.77</v>
      </c>
      <c r="D115" s="4">
        <v>98.06</v>
      </c>
      <c r="E115" s="12">
        <f t="shared" si="7"/>
        <v>3.2939200537453814</v>
      </c>
      <c r="F115" s="13">
        <f t="shared" si="12"/>
        <v>3.2913329559010265</v>
      </c>
      <c r="G115" s="13">
        <f t="shared" si="13"/>
        <v>3.2926957297437363</v>
      </c>
      <c r="H115" s="4">
        <f t="shared" si="8"/>
        <v>97.982982097173561</v>
      </c>
      <c r="I115" s="4">
        <f t="shared" si="9"/>
        <v>98.023551874471025</v>
      </c>
      <c r="J115" s="15">
        <f t="shared" si="10"/>
        <v>-7.8572470143916924E-4</v>
      </c>
      <c r="K115" s="15">
        <f t="shared" si="11"/>
        <v>-3.7176117629780504E-4</v>
      </c>
    </row>
    <row r="116" spans="1:11" x14ac:dyDescent="0.3">
      <c r="B116" s="1">
        <v>46190</v>
      </c>
      <c r="C116" s="4">
        <v>29.05</v>
      </c>
      <c r="D116" s="4">
        <v>95.61</v>
      </c>
      <c r="E116" s="12">
        <f t="shared" si="7"/>
        <v>3.2912220309810669</v>
      </c>
      <c r="F116" s="13">
        <f t="shared" si="12"/>
        <v>3.2912776096269978</v>
      </c>
      <c r="G116" s="13">
        <f t="shared" si="13"/>
        <v>3.2926957297437363</v>
      </c>
      <c r="H116" s="4">
        <f t="shared" si="8"/>
        <v>95.611614559664289</v>
      </c>
      <c r="I116" s="4">
        <f t="shared" si="9"/>
        <v>95.652810949055535</v>
      </c>
      <c r="J116" s="15">
        <f t="shared" si="10"/>
        <v>1.6886790419077254E-5</v>
      </c>
      <c r="K116" s="15">
        <f t="shared" si="11"/>
        <v>4.4766621966983928E-4</v>
      </c>
    </row>
    <row r="117" spans="1:11" x14ac:dyDescent="0.3">
      <c r="A117" s="8" t="s">
        <v>15</v>
      </c>
      <c r="B117" s="1">
        <v>46191</v>
      </c>
      <c r="C117" s="10">
        <f>28.77+0.273</f>
        <v>29.042999999999999</v>
      </c>
      <c r="D117" s="4">
        <v>95.56</v>
      </c>
      <c r="E117" s="12">
        <f t="shared" si="7"/>
        <v>3.290293702441208</v>
      </c>
      <c r="F117" s="13">
        <f t="shared" si="12"/>
        <v>3.2911335916773856</v>
      </c>
      <c r="G117" s="13">
        <f t="shared" si="13"/>
        <v>3.2926957297437363</v>
      </c>
      <c r="H117" s="4">
        <f t="shared" si="8"/>
        <v>95.584392903086311</v>
      </c>
      <c r="I117" s="4">
        <f t="shared" si="9"/>
        <v>95.629762078947323</v>
      </c>
      <c r="J117" s="15">
        <f t="shared" si="10"/>
        <v>2.5523012052049837E-4</v>
      </c>
      <c r="K117" s="15">
        <f t="shared" si="11"/>
        <v>7.2976796753962609E-4</v>
      </c>
    </row>
    <row r="118" spans="1:11" x14ac:dyDescent="0.3">
      <c r="B118" s="1">
        <v>46195</v>
      </c>
      <c r="C118" s="10">
        <f>29.04+0.273</f>
        <v>29.312999999999999</v>
      </c>
      <c r="D118" s="4">
        <v>96.59</v>
      </c>
      <c r="E118" s="12">
        <f t="shared" si="7"/>
        <v>3.2951250298502375</v>
      </c>
      <c r="F118" s="13">
        <f t="shared" si="12"/>
        <v>3.2912610965758931</v>
      </c>
      <c r="G118" s="13">
        <f t="shared" si="13"/>
        <v>3.2926957297437363</v>
      </c>
      <c r="H118" s="4">
        <f t="shared" si="8"/>
        <v>96.476736523929148</v>
      </c>
      <c r="I118" s="4">
        <f t="shared" si="9"/>
        <v>96.51878992597814</v>
      </c>
      <c r="J118" s="15">
        <f t="shared" si="10"/>
        <v>-1.1733091997495697E-3</v>
      </c>
      <c r="K118" s="15">
        <f t="shared" si="11"/>
        <v>-7.3751254178432602E-4</v>
      </c>
    </row>
    <row r="119" spans="1:11" x14ac:dyDescent="0.3">
      <c r="B119" s="1">
        <v>46196</v>
      </c>
      <c r="C119" s="10">
        <f>29.44+0.273</f>
        <v>29.713000000000001</v>
      </c>
      <c r="D119" s="4">
        <v>97.86</v>
      </c>
      <c r="E119" s="12">
        <f t="shared" si="7"/>
        <v>3.2935078921684111</v>
      </c>
      <c r="F119" s="13">
        <f t="shared" si="12"/>
        <v>3.2913616612523406</v>
      </c>
      <c r="G119" s="13">
        <f t="shared" si="13"/>
        <v>3.2926957297437363</v>
      </c>
      <c r="H119" s="4">
        <f t="shared" si="8"/>
        <v>97.796229040790806</v>
      </c>
      <c r="I119" s="4">
        <f t="shared" si="9"/>
        <v>97.835868217875642</v>
      </c>
      <c r="J119" s="15">
        <f t="shared" si="10"/>
        <v>-6.5186742870412676E-4</v>
      </c>
      <c r="K119" s="15">
        <f t="shared" si="11"/>
        <v>-2.4662536277778382E-4</v>
      </c>
    </row>
    <row r="120" spans="1:11" x14ac:dyDescent="0.3">
      <c r="A120" s="8" t="s">
        <v>16</v>
      </c>
      <c r="B120" s="1">
        <v>46197</v>
      </c>
      <c r="C120" s="4">
        <v>29.47</v>
      </c>
      <c r="D120" s="4">
        <v>97.01</v>
      </c>
      <c r="E120" s="12">
        <f t="shared" si="7"/>
        <v>3.2918221920597222</v>
      </c>
      <c r="F120" s="13">
        <f t="shared" si="12"/>
        <v>3.2913405121353811</v>
      </c>
      <c r="G120" s="13">
        <f t="shared" si="13"/>
        <v>3.2926957297437363</v>
      </c>
      <c r="H120" s="4">
        <f t="shared" si="8"/>
        <v>96.995804892629678</v>
      </c>
      <c r="I120" s="4">
        <f t="shared" si="9"/>
        <v>97.035743155547905</v>
      </c>
      <c r="J120" s="15">
        <f t="shared" si="10"/>
        <v>-1.4633693464494328E-4</v>
      </c>
      <c r="K120" s="15">
        <f t="shared" si="11"/>
        <v>2.6533079551555977E-4</v>
      </c>
    </row>
    <row r="121" spans="1:11" x14ac:dyDescent="0.3">
      <c r="B121" s="1">
        <v>46198</v>
      </c>
      <c r="C121" s="4">
        <v>29.53</v>
      </c>
      <c r="D121" s="4">
        <v>97.19</v>
      </c>
      <c r="E121" s="12">
        <f t="shared" si="7"/>
        <v>3.291229258381307</v>
      </c>
      <c r="F121" s="13">
        <f t="shared" si="12"/>
        <v>3.2914077455907664</v>
      </c>
      <c r="G121" s="13">
        <f t="shared" si="13"/>
        <v>3.2926957297437363</v>
      </c>
      <c r="H121" s="4">
        <f t="shared" si="8"/>
        <v>97.195270727295338</v>
      </c>
      <c r="I121" s="4">
        <f t="shared" si="9"/>
        <v>97.233304899332538</v>
      </c>
      <c r="J121" s="15">
        <f t="shared" si="10"/>
        <v>5.4229698339876288E-5</v>
      </c>
      <c r="K121" s="15">
        <f t="shared" si="11"/>
        <v>4.4547025955662739E-4</v>
      </c>
    </row>
    <row r="122" spans="1:11" x14ac:dyDescent="0.3">
      <c r="B122" s="1">
        <v>46199</v>
      </c>
      <c r="C122" s="4">
        <v>29.97</v>
      </c>
      <c r="D122" s="4">
        <v>98.67</v>
      </c>
      <c r="E122" s="12">
        <f t="shared" si="7"/>
        <v>3.2922922922922924</v>
      </c>
      <c r="F122" s="13">
        <f t="shared" si="12"/>
        <v>3.2914858912210589</v>
      </c>
      <c r="G122" s="13">
        <f t="shared" si="13"/>
        <v>3.2926957297437363</v>
      </c>
      <c r="H122" s="4">
        <f t="shared" si="8"/>
        <v>98.645832159895136</v>
      </c>
      <c r="I122" s="4">
        <f t="shared" si="9"/>
        <v>98.682091020419776</v>
      </c>
      <c r="J122" s="15">
        <f t="shared" si="10"/>
        <v>-2.449660522540875E-4</v>
      </c>
      <c r="K122" s="15">
        <f t="shared" si="11"/>
        <v>1.2253247860085151E-4</v>
      </c>
    </row>
    <row r="123" spans="1:11" x14ac:dyDescent="0.3">
      <c r="B123" s="1">
        <v>46202</v>
      </c>
      <c r="C123" s="4">
        <v>29.83</v>
      </c>
      <c r="D123" s="4">
        <v>98.15</v>
      </c>
      <c r="E123" s="12">
        <f t="shared" si="7"/>
        <v>3.2903117666778416</v>
      </c>
      <c r="F123" s="13">
        <f t="shared" si="12"/>
        <v>3.2913987963764173</v>
      </c>
      <c r="G123" s="13">
        <f t="shared" si="13"/>
        <v>3.2926957297437363</v>
      </c>
      <c r="H123" s="4">
        <f t="shared" si="8"/>
        <v>98.182426095908525</v>
      </c>
      <c r="I123" s="4">
        <f t="shared" si="9"/>
        <v>98.221113618255643</v>
      </c>
      <c r="J123" s="15">
        <f t="shared" si="10"/>
        <v>3.3031829584297053E-4</v>
      </c>
      <c r="K123" s="15">
        <f t="shared" si="11"/>
        <v>7.242778232913825E-4</v>
      </c>
    </row>
    <row r="124" spans="1:11" x14ac:dyDescent="0.3">
      <c r="B124" s="1">
        <v>46203</v>
      </c>
      <c r="C124" s="4">
        <v>29.3</v>
      </c>
      <c r="D124" s="4">
        <v>96.43</v>
      </c>
      <c r="E124" s="12">
        <f t="shared" si="7"/>
        <v>3.2911262798634815</v>
      </c>
      <c r="F124" s="13">
        <f t="shared" si="12"/>
        <v>3.2914045682219863</v>
      </c>
      <c r="G124" s="13">
        <f t="shared" si="13"/>
        <v>3.2926957297437363</v>
      </c>
      <c r="H124" s="4">
        <f t="shared" si="8"/>
        <v>96.438153848904207</v>
      </c>
      <c r="I124" s="4">
        <f t="shared" si="9"/>
        <v>96.47598488149147</v>
      </c>
      <c r="J124" s="15">
        <f t="shared" si="10"/>
        <v>8.4553605624719443E-5</v>
      </c>
      <c r="K124" s="15">
        <f t="shared" si="11"/>
        <v>4.7675951983281399E-4</v>
      </c>
    </row>
    <row r="125" spans="1:11" x14ac:dyDescent="0.3">
      <c r="B125" s="1">
        <v>46204</v>
      </c>
      <c r="C125" s="4">
        <v>29.44</v>
      </c>
      <c r="D125" s="4">
        <v>96.82</v>
      </c>
      <c r="E125" s="12">
        <f t="shared" si="7"/>
        <v>3.2887228260869561</v>
      </c>
      <c r="F125" s="13">
        <f t="shared" si="12"/>
        <v>3.2912290759491838</v>
      </c>
      <c r="G125" s="13">
        <f t="shared" si="13"/>
        <v>3.2926957297437363</v>
      </c>
      <c r="H125" s="4">
        <f t="shared" si="8"/>
        <v>96.893783995943977</v>
      </c>
      <c r="I125" s="4">
        <f t="shared" si="9"/>
        <v>96.936962283655603</v>
      </c>
      <c r="J125" s="15">
        <f t="shared" si="10"/>
        <v>7.6178367889070627E-4</v>
      </c>
      <c r="K125" s="15">
        <f t="shared" si="11"/>
        <v>1.2073093682317929E-3</v>
      </c>
    </row>
    <row r="126" spans="1:11" x14ac:dyDescent="0.3">
      <c r="B126" s="1">
        <v>46205</v>
      </c>
      <c r="C126" s="4">
        <v>29.79</v>
      </c>
      <c r="D126" s="4">
        <v>98.02</v>
      </c>
      <c r="E126" s="12">
        <f t="shared" si="7"/>
        <v>3.2903658945955017</v>
      </c>
      <c r="F126" s="13">
        <f t="shared" si="12"/>
        <v>3.2910979113137686</v>
      </c>
      <c r="G126" s="13">
        <f t="shared" si="13"/>
        <v>3.2926957297437363</v>
      </c>
      <c r="H126" s="4">
        <f t="shared" si="8"/>
        <v>98.04180677803717</v>
      </c>
      <c r="I126" s="4">
        <f t="shared" si="9"/>
        <v>98.089405789065907</v>
      </c>
      <c r="J126" s="15">
        <f t="shared" si="10"/>
        <v>2.224479972459479E-4</v>
      </c>
      <c r="K126" s="15">
        <f t="shared" si="11"/>
        <v>7.078272628938386E-4</v>
      </c>
    </row>
    <row r="127" spans="1:11" x14ac:dyDescent="0.3">
      <c r="B127" s="1">
        <v>46209</v>
      </c>
      <c r="C127" s="4">
        <v>29.59</v>
      </c>
      <c r="D127" s="4">
        <v>97.24</v>
      </c>
      <c r="E127" s="12">
        <f t="shared" si="7"/>
        <v>3.2862453531598512</v>
      </c>
      <c r="F127" s="13">
        <f t="shared" si="12"/>
        <v>3.2907425984371486</v>
      </c>
      <c r="G127" s="13">
        <f t="shared" si="13"/>
        <v>3.2926957297437363</v>
      </c>
      <c r="H127" s="4">
        <f t="shared" si="8"/>
        <v>97.373073487755221</v>
      </c>
      <c r="I127" s="4">
        <f t="shared" si="9"/>
        <v>97.430866643117156</v>
      </c>
      <c r="J127" s="15">
        <f t="shared" si="10"/>
        <v>1.3675700826299543E-3</v>
      </c>
      <c r="K127" s="15">
        <f t="shared" si="11"/>
        <v>1.960916983300164E-3</v>
      </c>
    </row>
    <row r="128" spans="1:11" x14ac:dyDescent="0.3">
      <c r="B128" s="1">
        <v>46210</v>
      </c>
      <c r="C128" s="4">
        <v>29.93</v>
      </c>
      <c r="D128" s="4">
        <v>98.4</v>
      </c>
      <c r="E128" s="12">
        <f t="shared" si="7"/>
        <v>3.2876712328767126</v>
      </c>
      <c r="F128" s="13">
        <f t="shared" si="12"/>
        <v>3.290573286908594</v>
      </c>
      <c r="G128" s="13">
        <f t="shared" si="13"/>
        <v>3.2926957297437363</v>
      </c>
      <c r="H128" s="4">
        <f t="shared" si="8"/>
        <v>98.486858477174223</v>
      </c>
      <c r="I128" s="4">
        <f t="shared" si="9"/>
        <v>98.550383191230026</v>
      </c>
      <c r="J128" s="15">
        <f t="shared" si="10"/>
        <v>8.8231874367720791E-4</v>
      </c>
      <c r="K128" s="15">
        <f t="shared" si="11"/>
        <v>1.5271178255040897E-3</v>
      </c>
    </row>
    <row r="129" spans="2:11" x14ac:dyDescent="0.3">
      <c r="B129" s="1">
        <v>46211</v>
      </c>
      <c r="C129" s="4">
        <v>29.41</v>
      </c>
      <c r="D129" s="4">
        <v>96.8</v>
      </c>
      <c r="E129" s="12">
        <f t="shared" si="7"/>
        <v>3.291397483849031</v>
      </c>
      <c r="F129" s="13">
        <f t="shared" si="12"/>
        <v>3.2907098162853368</v>
      </c>
      <c r="G129" s="13">
        <f t="shared" si="13"/>
        <v>3.2926957297437363</v>
      </c>
      <c r="H129" s="4">
        <f t="shared" si="8"/>
        <v>96.779775696951759</v>
      </c>
      <c r="I129" s="4">
        <f t="shared" si="9"/>
        <v>96.838181411763287</v>
      </c>
      <c r="J129" s="15">
        <f t="shared" si="10"/>
        <v>-2.0895057915013904E-4</v>
      </c>
      <c r="K129" s="15">
        <f t="shared" si="11"/>
        <v>3.9435830247674876E-4</v>
      </c>
    </row>
    <row r="130" spans="2:11" x14ac:dyDescent="0.3">
      <c r="B130" s="1">
        <v>46212</v>
      </c>
      <c r="C130" s="4">
        <v>29.49</v>
      </c>
      <c r="D130" s="4">
        <v>97.09</v>
      </c>
      <c r="E130" s="12">
        <f t="shared" si="7"/>
        <v>3.2923024754153953</v>
      </c>
      <c r="F130" s="13">
        <f t="shared" si="12"/>
        <v>3.2908973306284972</v>
      </c>
      <c r="G130" s="13">
        <f t="shared" si="13"/>
        <v>3.2926957297437363</v>
      </c>
      <c r="H130" s="4">
        <f t="shared" si="8"/>
        <v>97.048562280234378</v>
      </c>
      <c r="I130" s="4">
        <f t="shared" si="9"/>
        <v>97.101597070142773</v>
      </c>
      <c r="J130" s="15">
        <f t="shared" si="10"/>
        <v>-4.2688809382536251E-4</v>
      </c>
      <c r="K130" s="15">
        <f t="shared" si="11"/>
        <v>1.1943946423556497E-4</v>
      </c>
    </row>
    <row r="131" spans="2:11" x14ac:dyDescent="0.3">
      <c r="B131" s="1">
        <v>46213</v>
      </c>
      <c r="C131" s="4">
        <v>29.55</v>
      </c>
      <c r="D131" s="4">
        <v>97.32</v>
      </c>
      <c r="E131" s="12">
        <f t="shared" ref="E131:E163" si="14">D131/C131</f>
        <v>3.2934010152284259</v>
      </c>
      <c r="F131" s="13">
        <f t="shared" si="12"/>
        <v>3.2911229369454746</v>
      </c>
      <c r="G131" s="13">
        <f t="shared" si="13"/>
        <v>3.2926957297437363</v>
      </c>
      <c r="H131" s="4">
        <f t="shared" si="8"/>
        <v>97.252682786738774</v>
      </c>
      <c r="I131" s="4">
        <f t="shared" si="9"/>
        <v>97.299158813927406</v>
      </c>
      <c r="J131" s="15">
        <f t="shared" si="10"/>
        <v>-6.9194930123794678E-4</v>
      </c>
      <c r="K131" s="15">
        <f t="shared" si="11"/>
        <v>-2.1417404411024245E-4</v>
      </c>
    </row>
    <row r="132" spans="2:11" x14ac:dyDescent="0.3">
      <c r="B132" s="1">
        <v>46216</v>
      </c>
      <c r="C132" s="4">
        <v>29.71</v>
      </c>
      <c r="D132" s="4">
        <v>97.83</v>
      </c>
      <c r="E132" s="12">
        <f t="shared" si="14"/>
        <v>3.292830696735106</v>
      </c>
      <c r="F132" s="13">
        <f t="shared" si="12"/>
        <v>3.2911607618328196</v>
      </c>
      <c r="G132" s="13">
        <f t="shared" si="13"/>
        <v>3.2926957297437363</v>
      </c>
      <c r="H132" s="4">
        <f t="shared" si="8"/>
        <v>97.780386234053069</v>
      </c>
      <c r="I132" s="4">
        <f t="shared" si="9"/>
        <v>97.825990130686407</v>
      </c>
      <c r="J132" s="15">
        <f t="shared" si="10"/>
        <v>-5.0727129541547681E-4</v>
      </c>
      <c r="K132" s="15">
        <f t="shared" si="11"/>
        <v>-4.0988975716796571E-5</v>
      </c>
    </row>
    <row r="133" spans="2:11" x14ac:dyDescent="0.3">
      <c r="B133" s="1">
        <v>46217</v>
      </c>
      <c r="C133" s="4">
        <v>29.64</v>
      </c>
      <c r="D133" s="4">
        <v>97.57</v>
      </c>
      <c r="E133" s="12">
        <f t="shared" si="14"/>
        <v>3.2918353576248309</v>
      </c>
      <c r="F133" s="13">
        <f t="shared" si="12"/>
        <v>3.2912951006656472</v>
      </c>
      <c r="G133" s="13">
        <f t="shared" si="13"/>
        <v>3.2926957297437363</v>
      </c>
      <c r="H133" s="4">
        <f t="shared" si="8"/>
        <v>97.553986783729783</v>
      </c>
      <c r="I133" s="4">
        <f t="shared" si="9"/>
        <v>97.59550142960434</v>
      </c>
      <c r="J133" s="15">
        <f t="shared" si="10"/>
        <v>-1.6413375485109009E-4</v>
      </c>
      <c r="K133" s="15">
        <f t="shared" si="11"/>
        <v>2.6133132713192605E-4</v>
      </c>
    </row>
    <row r="134" spans="2:11" x14ac:dyDescent="0.3">
      <c r="B134" s="1">
        <v>46218</v>
      </c>
      <c r="C134" s="4">
        <v>29.73</v>
      </c>
      <c r="D134" s="4">
        <v>97.86</v>
      </c>
      <c r="E134" s="12">
        <f t="shared" si="14"/>
        <v>3.291624621594349</v>
      </c>
      <c r="F134" s="13">
        <f t="shared" si="12"/>
        <v>3.2913623727813559</v>
      </c>
      <c r="G134" s="13">
        <f t="shared" si="13"/>
        <v>3.2926957297437363</v>
      </c>
      <c r="H134" s="4">
        <f t="shared" si="8"/>
        <v>97.852203342789707</v>
      </c>
      <c r="I134" s="4">
        <f t="shared" si="9"/>
        <v>97.891844045281275</v>
      </c>
      <c r="J134" s="15">
        <f t="shared" si="10"/>
        <v>-7.9674717071800738E-5</v>
      </c>
      <c r="K134" s="15">
        <f t="shared" si="11"/>
        <v>3.2535116813322884E-4</v>
      </c>
    </row>
    <row r="135" spans="2:11" x14ac:dyDescent="0.3">
      <c r="B135" s="1">
        <v>46219</v>
      </c>
      <c r="C135" s="4">
        <v>30.41</v>
      </c>
      <c r="D135" s="4">
        <v>100.07</v>
      </c>
      <c r="E135" s="12">
        <f t="shared" si="14"/>
        <v>3.290693850707004</v>
      </c>
      <c r="F135" s="13">
        <f t="shared" si="12"/>
        <v>3.2912010626294368</v>
      </c>
      <c r="G135" s="13">
        <f t="shared" si="13"/>
        <v>3.2926957297437363</v>
      </c>
      <c r="H135" s="4">
        <f t="shared" si="8"/>
        <v>100.08542431456118</v>
      </c>
      <c r="I135" s="4">
        <f t="shared" si="9"/>
        <v>100.13087714150701</v>
      </c>
      <c r="J135" s="15">
        <f t="shared" si="10"/>
        <v>1.5412337331891602E-4</v>
      </c>
      <c r="K135" s="15">
        <f t="shared" si="11"/>
        <v>6.0816060601287959E-4</v>
      </c>
    </row>
    <row r="136" spans="2:11" x14ac:dyDescent="0.3">
      <c r="B136" s="1">
        <v>46220</v>
      </c>
      <c r="C136" s="4">
        <v>30.41</v>
      </c>
      <c r="D136" s="4">
        <v>100.02</v>
      </c>
      <c r="E136" s="12">
        <f t="shared" si="14"/>
        <v>3.2890496547188421</v>
      </c>
      <c r="F136" s="13">
        <f t="shared" si="12"/>
        <v>3.2910924438163258</v>
      </c>
      <c r="G136" s="13">
        <f t="shared" si="13"/>
        <v>3.2926957297437363</v>
      </c>
      <c r="H136" s="4">
        <f t="shared" si="8"/>
        <v>100.08212121645447</v>
      </c>
      <c r="I136" s="4">
        <f t="shared" si="9"/>
        <v>100.13087714150701</v>
      </c>
      <c r="J136" s="15">
        <f t="shared" si="10"/>
        <v>6.2089515166075546E-4</v>
      </c>
      <c r="K136" s="15">
        <f t="shared" si="11"/>
        <v>1.1079357176199314E-3</v>
      </c>
    </row>
    <row r="137" spans="2:11" x14ac:dyDescent="0.3">
      <c r="B137" s="1">
        <v>46223</v>
      </c>
      <c r="C137" s="4">
        <v>30.22</v>
      </c>
      <c r="D137" s="4">
        <v>99.48</v>
      </c>
      <c r="E137" s="12">
        <f t="shared" si="14"/>
        <v>3.2918596955658508</v>
      </c>
      <c r="F137" s="13">
        <f t="shared" si="12"/>
        <v>3.2911707434725579</v>
      </c>
      <c r="G137" s="13">
        <f t="shared" si="13"/>
        <v>3.2926957297437363</v>
      </c>
      <c r="H137" s="4">
        <f t="shared" si="8"/>
        <v>99.459179867740701</v>
      </c>
      <c r="I137" s="4">
        <f t="shared" si="9"/>
        <v>99.505264952855711</v>
      </c>
      <c r="J137" s="15">
        <f t="shared" si="10"/>
        <v>-2.093115327926592E-4</v>
      </c>
      <c r="K137" s="15">
        <f t="shared" si="11"/>
        <v>2.53937928493849E-4</v>
      </c>
    </row>
    <row r="138" spans="2:11" x14ac:dyDescent="0.3">
      <c r="B138" s="1">
        <v>46224</v>
      </c>
      <c r="C138" s="4">
        <v>30.24</v>
      </c>
      <c r="D138" s="4">
        <v>99.52</v>
      </c>
      <c r="E138" s="12">
        <f t="shared" si="14"/>
        <v>3.2910052910052912</v>
      </c>
      <c r="F138" s="13">
        <f t="shared" si="12"/>
        <v>3.2909647565303111</v>
      </c>
      <c r="G138" s="13">
        <f t="shared" si="13"/>
        <v>3.2926957297437363</v>
      </c>
      <c r="H138" s="4">
        <f t="shared" si="8"/>
        <v>99.518774237476606</v>
      </c>
      <c r="I138" s="4">
        <f t="shared" si="9"/>
        <v>99.571118867450579</v>
      </c>
      <c r="J138" s="15">
        <f t="shared" si="10"/>
        <v>-1.2316821464595523E-5</v>
      </c>
      <c r="K138" s="15">
        <f t="shared" si="11"/>
        <v>5.1352233956732541E-4</v>
      </c>
    </row>
    <row r="139" spans="2:11" x14ac:dyDescent="0.3">
      <c r="B139" s="1">
        <v>46225</v>
      </c>
      <c r="C139" s="4">
        <v>30.09</v>
      </c>
      <c r="D139" s="4">
        <v>99.02</v>
      </c>
      <c r="E139" s="12">
        <f t="shared" si="14"/>
        <v>3.2907942838152211</v>
      </c>
      <c r="F139" s="13">
        <f t="shared" si="12"/>
        <v>3.2908290761126509</v>
      </c>
      <c r="G139" s="13">
        <f t="shared" si="13"/>
        <v>3.2926957297437363</v>
      </c>
      <c r="H139" s="4">
        <f t="shared" si="8"/>
        <v>99.021046900229663</v>
      </c>
      <c r="I139" s="4">
        <f t="shared" si="9"/>
        <v>99.077214507989027</v>
      </c>
      <c r="J139" s="15">
        <f t="shared" si="10"/>
        <v>1.0572558023329459E-5</v>
      </c>
      <c r="K139" s="15">
        <f t="shared" si="11"/>
        <v>5.7764072778129891E-4</v>
      </c>
    </row>
    <row r="140" spans="2:11" x14ac:dyDescent="0.3">
      <c r="B140" s="1">
        <v>46226</v>
      </c>
      <c r="C140" s="4">
        <v>29.97</v>
      </c>
      <c r="D140" s="4">
        <v>98.69</v>
      </c>
      <c r="E140" s="12">
        <f t="shared" si="14"/>
        <v>3.2929596262929595</v>
      </c>
      <c r="F140" s="13">
        <f t="shared" si="12"/>
        <v>3.2908859478243131</v>
      </c>
      <c r="G140" s="13">
        <f t="shared" si="13"/>
        <v>3.2926957297437363</v>
      </c>
      <c r="H140" s="4">
        <f t="shared" ref="H140:H163" si="15">C140*F140</f>
        <v>98.627851856294654</v>
      </c>
      <c r="I140" s="4">
        <f t="shared" ref="I140:I163" si="16">C140*G140</f>
        <v>98.682091020419776</v>
      </c>
      <c r="J140" s="15">
        <f t="shared" ref="J140:J163" si="17">LN(H140/D140)</f>
        <v>-6.299292757930364E-4</v>
      </c>
      <c r="K140" s="15">
        <f t="shared" ref="K140:K163" si="18">LN(I140/D140)</f>
        <v>-8.0142836239597607E-5</v>
      </c>
    </row>
    <row r="141" spans="2:11" x14ac:dyDescent="0.3">
      <c r="B141" s="1">
        <v>46227</v>
      </c>
      <c r="C141" s="4">
        <v>30.59</v>
      </c>
      <c r="D141" s="4">
        <v>100.81</v>
      </c>
      <c r="E141" s="12">
        <f t="shared" si="14"/>
        <v>3.295521412226218</v>
      </c>
      <c r="F141" s="13">
        <f t="shared" si="12"/>
        <v>3.2911005555165587</v>
      </c>
      <c r="G141" s="13">
        <f t="shared" si="13"/>
        <v>3.2926957297437363</v>
      </c>
      <c r="H141" s="4">
        <f t="shared" si="15"/>
        <v>100.67476599325153</v>
      </c>
      <c r="I141" s="4">
        <f t="shared" si="16"/>
        <v>100.7235623728609</v>
      </c>
      <c r="J141" s="15">
        <f t="shared" si="17"/>
        <v>-1.3423747089674224E-3</v>
      </c>
      <c r="K141" s="15">
        <f t="shared" si="18"/>
        <v>-8.5779888393361749E-4</v>
      </c>
    </row>
    <row r="142" spans="2:11" x14ac:dyDescent="0.3">
      <c r="B142" s="1">
        <v>46230</v>
      </c>
      <c r="C142" s="4">
        <v>30.53</v>
      </c>
      <c r="D142" s="4">
        <v>100.54</v>
      </c>
      <c r="E142" s="12">
        <f t="shared" si="14"/>
        <v>3.293154274484114</v>
      </c>
      <c r="F142" s="13">
        <f t="shared" si="12"/>
        <v>3.2911436546261497</v>
      </c>
      <c r="G142" s="13">
        <f t="shared" si="13"/>
        <v>3.2926957297437363</v>
      </c>
      <c r="H142" s="4">
        <f t="shared" si="15"/>
        <v>100.47861577573636</v>
      </c>
      <c r="I142" s="4">
        <f t="shared" si="16"/>
        <v>100.52600062907626</v>
      </c>
      <c r="J142" s="15">
        <f t="shared" si="17"/>
        <v>-6.1073175670582364E-4</v>
      </c>
      <c r="K142" s="15">
        <f t="shared" si="18"/>
        <v>-1.3925149853845874E-4</v>
      </c>
    </row>
    <row r="143" spans="2:11" x14ac:dyDescent="0.3">
      <c r="B143" s="1">
        <v>46231</v>
      </c>
      <c r="C143" s="4">
        <v>30.66</v>
      </c>
      <c r="D143" s="4">
        <v>100.95</v>
      </c>
      <c r="E143" s="12">
        <f t="shared" si="14"/>
        <v>3.292563600782779</v>
      </c>
      <c r="F143" s="13">
        <f t="shared" si="12"/>
        <v>3.2912562463313968</v>
      </c>
      <c r="G143" s="13">
        <f t="shared" si="13"/>
        <v>3.2926957297437363</v>
      </c>
      <c r="H143" s="4">
        <f t="shared" si="15"/>
        <v>100.90991651252062</v>
      </c>
      <c r="I143" s="4">
        <f t="shared" si="16"/>
        <v>100.95405107394295</v>
      </c>
      <c r="J143" s="15">
        <f t="shared" si="17"/>
        <v>-3.9714162869704684E-4</v>
      </c>
      <c r="K143" s="15">
        <f t="shared" si="18"/>
        <v>4.0128703925835901E-5</v>
      </c>
    </row>
    <row r="144" spans="2:11" x14ac:dyDescent="0.3">
      <c r="B144" s="1">
        <v>46232</v>
      </c>
      <c r="C144" s="4">
        <v>30.61</v>
      </c>
      <c r="D144" s="4">
        <v>100.66</v>
      </c>
      <c r="E144" s="12">
        <f t="shared" si="14"/>
        <v>3.2884678209735378</v>
      </c>
      <c r="F144" s="13">
        <f t="shared" si="12"/>
        <v>3.2911233233868993</v>
      </c>
      <c r="G144" s="13">
        <f t="shared" si="13"/>
        <v>3.2926957297437363</v>
      </c>
      <c r="H144" s="4">
        <f t="shared" si="15"/>
        <v>100.74128492887299</v>
      </c>
      <c r="I144" s="4">
        <f t="shared" si="16"/>
        <v>100.78941628745577</v>
      </c>
      <c r="J144" s="15">
        <f t="shared" si="17"/>
        <v>8.0719379039908591E-4</v>
      </c>
      <c r="K144" s="15">
        <f t="shared" si="18"/>
        <v>1.284851628211629E-3</v>
      </c>
    </row>
    <row r="145" spans="2:11" x14ac:dyDescent="0.3">
      <c r="B145" s="1">
        <v>46233</v>
      </c>
      <c r="C145" s="4">
        <v>30.24</v>
      </c>
      <c r="D145" s="4">
        <v>99.49</v>
      </c>
      <c r="E145" s="12">
        <f t="shared" si="14"/>
        <v>3.2900132275132274</v>
      </c>
      <c r="F145" s="13">
        <f t="shared" si="12"/>
        <v>3.291187843458212</v>
      </c>
      <c r="G145" s="13">
        <f t="shared" si="13"/>
        <v>3.2926957297437363</v>
      </c>
      <c r="H145" s="4">
        <f t="shared" si="15"/>
        <v>99.525520386176325</v>
      </c>
      <c r="I145" s="4">
        <f t="shared" si="16"/>
        <v>99.571118867450579</v>
      </c>
      <c r="J145" s="15">
        <f t="shared" si="17"/>
        <v>3.5696096952222896E-4</v>
      </c>
      <c r="K145" s="15">
        <f t="shared" si="18"/>
        <v>8.1501472916827001E-4</v>
      </c>
    </row>
    <row r="146" spans="2:11" x14ac:dyDescent="0.3">
      <c r="B146" s="1">
        <v>46234</v>
      </c>
      <c r="C146" s="4">
        <v>30.05</v>
      </c>
      <c r="D146" s="4">
        <v>98.95</v>
      </c>
      <c r="E146" s="12">
        <f t="shared" si="14"/>
        <v>3.2928452579034944</v>
      </c>
      <c r="F146" s="13">
        <f t="shared" si="12"/>
        <v>3.2913118116236126</v>
      </c>
      <c r="G146" s="13">
        <f t="shared" si="13"/>
        <v>3.2926957297437363</v>
      </c>
      <c r="H146" s="4">
        <f t="shared" si="15"/>
        <v>98.903919939289565</v>
      </c>
      <c r="I146" s="4">
        <f t="shared" si="16"/>
        <v>98.945506678799276</v>
      </c>
      <c r="J146" s="15">
        <f t="shared" si="17"/>
        <v>-4.6579882327054599E-4</v>
      </c>
      <c r="K146" s="15">
        <f t="shared" si="18"/>
        <v>-4.5411048253763631E-5</v>
      </c>
    </row>
    <row r="147" spans="2:11" x14ac:dyDescent="0.3">
      <c r="B147" s="1">
        <v>46237</v>
      </c>
      <c r="C147" s="4">
        <v>30.09</v>
      </c>
      <c r="D147" s="4">
        <v>99.07</v>
      </c>
      <c r="E147" s="12">
        <f t="shared" si="14"/>
        <v>3.2924559654370222</v>
      </c>
      <c r="F147" s="13">
        <f t="shared" si="12"/>
        <v>3.2916223422374706</v>
      </c>
      <c r="G147" s="13">
        <f t="shared" si="13"/>
        <v>3.2926957297437363</v>
      </c>
      <c r="H147" s="4">
        <f t="shared" si="15"/>
        <v>99.044916277925495</v>
      </c>
      <c r="I147" s="4">
        <f t="shared" si="16"/>
        <v>99.077214507989027</v>
      </c>
      <c r="J147" s="15">
        <f t="shared" si="17"/>
        <v>-2.5322396394770905E-4</v>
      </c>
      <c r="K147" s="15">
        <f t="shared" si="18"/>
        <v>7.2819676119386195E-5</v>
      </c>
    </row>
    <row r="148" spans="2:11" x14ac:dyDescent="0.3">
      <c r="B148" s="1">
        <v>46238</v>
      </c>
      <c r="C148" s="4">
        <v>30.07</v>
      </c>
      <c r="D148" s="4">
        <v>98.92</v>
      </c>
      <c r="E148" s="12">
        <f t="shared" si="14"/>
        <v>3.2896574659128701</v>
      </c>
      <c r="F148" s="13">
        <f t="shared" si="12"/>
        <v>3.2917216538892782</v>
      </c>
      <c r="G148" s="13">
        <f t="shared" si="13"/>
        <v>3.2926957297437363</v>
      </c>
      <c r="H148" s="4">
        <f t="shared" si="15"/>
        <v>98.982070132450602</v>
      </c>
      <c r="I148" s="4">
        <f t="shared" si="16"/>
        <v>99.011360593394144</v>
      </c>
      <c r="J148" s="15">
        <f t="shared" si="17"/>
        <v>6.2728130579274306E-4</v>
      </c>
      <c r="K148" s="15">
        <f t="shared" si="18"/>
        <v>9.2315436632647645E-4</v>
      </c>
    </row>
    <row r="149" spans="2:11" x14ac:dyDescent="0.3">
      <c r="B149" s="1">
        <v>46239</v>
      </c>
      <c r="C149" s="4">
        <v>30.06</v>
      </c>
      <c r="D149" s="4">
        <v>98.92</v>
      </c>
      <c r="E149" s="12">
        <f t="shared" si="14"/>
        <v>3.2907518296739857</v>
      </c>
      <c r="F149" s="13">
        <f t="shared" ref="F149:F163" si="19">AVERAGE(E130:E149)</f>
        <v>3.2916893711805257</v>
      </c>
      <c r="G149" s="13">
        <f t="shared" si="13"/>
        <v>3.2926957297437363</v>
      </c>
      <c r="H149" s="4">
        <f t="shared" si="15"/>
        <v>98.948182497686602</v>
      </c>
      <c r="I149" s="4">
        <f t="shared" si="16"/>
        <v>98.97843363609671</v>
      </c>
      <c r="J149" s="15">
        <f t="shared" si="17"/>
        <v>2.8486134073135326E-4</v>
      </c>
      <c r="K149" s="15">
        <f t="shared" si="18"/>
        <v>5.905416907173816E-4</v>
      </c>
    </row>
    <row r="150" spans="2:11" x14ac:dyDescent="0.3">
      <c r="B150" s="1">
        <v>46240</v>
      </c>
      <c r="C150" s="4">
        <v>29.8</v>
      </c>
      <c r="D150" s="4">
        <v>98.04</v>
      </c>
      <c r="E150" s="12">
        <f t="shared" si="14"/>
        <v>3.2899328859060404</v>
      </c>
      <c r="F150" s="13">
        <f t="shared" si="19"/>
        <v>3.2915708917050579</v>
      </c>
      <c r="G150" s="13">
        <f t="shared" ref="G150:G172" si="20">G149</f>
        <v>3.2926957297437363</v>
      </c>
      <c r="H150" s="4">
        <f t="shared" si="15"/>
        <v>98.088812572810724</v>
      </c>
      <c r="I150" s="4">
        <f t="shared" si="16"/>
        <v>98.122332746363341</v>
      </c>
      <c r="J150" s="15">
        <f t="shared" si="17"/>
        <v>4.9776035635192787E-4</v>
      </c>
      <c r="K150" s="15">
        <f t="shared" si="18"/>
        <v>8.3943487055136582E-4</v>
      </c>
    </row>
    <row r="151" spans="2:11" x14ac:dyDescent="0.3">
      <c r="B151" s="1">
        <v>46241</v>
      </c>
      <c r="C151" s="4">
        <v>29.91</v>
      </c>
      <c r="D151" s="4">
        <v>98.43</v>
      </c>
      <c r="E151" s="12">
        <f t="shared" si="14"/>
        <v>3.290872617853561</v>
      </c>
      <c r="F151" s="13">
        <f t="shared" si="19"/>
        <v>3.2914444718363152</v>
      </c>
      <c r="G151" s="13">
        <f t="shared" si="20"/>
        <v>3.2926957297437363</v>
      </c>
      <c r="H151" s="4">
        <f t="shared" si="15"/>
        <v>98.447104152624192</v>
      </c>
      <c r="I151" s="4">
        <f t="shared" si="16"/>
        <v>98.484529276635158</v>
      </c>
      <c r="J151" s="15">
        <f t="shared" si="17"/>
        <v>1.7375461449246134E-4</v>
      </c>
      <c r="K151" s="15">
        <f t="shared" si="18"/>
        <v>5.5383701984112142E-4</v>
      </c>
    </row>
    <row r="152" spans="2:11" x14ac:dyDescent="0.3">
      <c r="B152" s="1">
        <v>46244</v>
      </c>
      <c r="C152" s="4">
        <v>29.48</v>
      </c>
      <c r="D152" s="4">
        <v>97.11</v>
      </c>
      <c r="E152" s="12">
        <f t="shared" si="14"/>
        <v>3.2940976933514245</v>
      </c>
      <c r="F152" s="13">
        <f t="shared" si="19"/>
        <v>3.2915078216671305</v>
      </c>
      <c r="G152" s="13">
        <f t="shared" si="20"/>
        <v>3.2926957297437363</v>
      </c>
      <c r="H152" s="4">
        <f t="shared" si="15"/>
        <v>97.033650582747015</v>
      </c>
      <c r="I152" s="4">
        <f t="shared" si="16"/>
        <v>97.068670112845339</v>
      </c>
      <c r="J152" s="15">
        <f t="shared" si="17"/>
        <v>-7.8652503916316538E-4</v>
      </c>
      <c r="K152" s="15">
        <f t="shared" si="18"/>
        <v>-4.2568926602248251E-4</v>
      </c>
    </row>
    <row r="153" spans="2:11" x14ac:dyDescent="0.3">
      <c r="B153" s="1">
        <v>46245</v>
      </c>
      <c r="C153" s="4">
        <v>29.29</v>
      </c>
      <c r="D153" s="4">
        <v>96.38</v>
      </c>
      <c r="E153" s="12">
        <f t="shared" si="14"/>
        <v>3.290542847388187</v>
      </c>
      <c r="F153" s="13">
        <f t="shared" si="19"/>
        <v>3.2914431961552983</v>
      </c>
      <c r="G153" s="13">
        <f t="shared" si="20"/>
        <v>3.2926957297437363</v>
      </c>
      <c r="H153" s="4">
        <f t="shared" si="15"/>
        <v>96.406371215388688</v>
      </c>
      <c r="I153" s="4">
        <f t="shared" si="16"/>
        <v>96.443057924194036</v>
      </c>
      <c r="J153" s="15">
        <f t="shared" si="17"/>
        <v>2.7357966631065105E-4</v>
      </c>
      <c r="K153" s="15">
        <f t="shared" si="18"/>
        <v>6.5404964655989728E-4</v>
      </c>
    </row>
    <row r="154" spans="2:11" x14ac:dyDescent="0.3">
      <c r="B154" s="1">
        <v>46246</v>
      </c>
      <c r="C154" s="4">
        <v>29.54</v>
      </c>
      <c r="D154" s="4">
        <v>97.31</v>
      </c>
      <c r="E154" s="12">
        <f t="shared" si="14"/>
        <v>3.2941773865944484</v>
      </c>
      <c r="F154" s="13">
        <f t="shared" si="19"/>
        <v>3.2915708344053036</v>
      </c>
      <c r="G154" s="13">
        <f t="shared" si="20"/>
        <v>3.2926957297437363</v>
      </c>
      <c r="H154" s="4">
        <f t="shared" si="15"/>
        <v>97.23300244833267</v>
      </c>
      <c r="I154" s="4">
        <f t="shared" si="16"/>
        <v>97.266231856629972</v>
      </c>
      <c r="J154" s="15">
        <f t="shared" si="17"/>
        <v>-7.9157363378582987E-4</v>
      </c>
      <c r="K154" s="15">
        <f t="shared" si="18"/>
        <v>-4.4988171155952334E-4</v>
      </c>
    </row>
    <row r="155" spans="2:11" x14ac:dyDescent="0.3">
      <c r="B155" s="1">
        <v>46247</v>
      </c>
      <c r="C155" s="4">
        <v>29.93</v>
      </c>
      <c r="D155" s="4">
        <v>98.58</v>
      </c>
      <c r="E155" s="12">
        <f t="shared" si="14"/>
        <v>3.2936852656197795</v>
      </c>
      <c r="F155" s="13">
        <f t="shared" si="19"/>
        <v>3.2917204051509423</v>
      </c>
      <c r="G155" s="13">
        <f t="shared" si="20"/>
        <v>3.2926957297437363</v>
      </c>
      <c r="H155" s="4">
        <f t="shared" si="15"/>
        <v>98.5211917261677</v>
      </c>
      <c r="I155" s="4">
        <f t="shared" si="16"/>
        <v>98.550383191230026</v>
      </c>
      <c r="J155" s="15">
        <f t="shared" si="17"/>
        <v>-5.9673181133351142E-4</v>
      </c>
      <c r="K155" s="15">
        <f t="shared" si="18"/>
        <v>-3.0047939351978147E-4</v>
      </c>
    </row>
    <row r="156" spans="2:11" x14ac:dyDescent="0.3">
      <c r="B156" s="1">
        <v>46248</v>
      </c>
      <c r="C156" s="4">
        <v>30.01</v>
      </c>
      <c r="D156" s="4">
        <v>98.83</v>
      </c>
      <c r="E156" s="12">
        <f t="shared" si="14"/>
        <v>3.2932355881372875</v>
      </c>
      <c r="F156" s="13">
        <f t="shared" si="19"/>
        <v>3.2919297018218652</v>
      </c>
      <c r="G156" s="13">
        <f t="shared" si="20"/>
        <v>3.2926957297437363</v>
      </c>
      <c r="H156" s="4">
        <f t="shared" si="15"/>
        <v>98.790810351674182</v>
      </c>
      <c r="I156" s="4">
        <f t="shared" si="16"/>
        <v>98.813798849609526</v>
      </c>
      <c r="J156" s="15">
        <f t="shared" si="17"/>
        <v>-3.9661459509040528E-4</v>
      </c>
      <c r="K156" s="15">
        <f t="shared" si="18"/>
        <v>-1.6394291671233382E-4</v>
      </c>
    </row>
    <row r="157" spans="2:11" x14ac:dyDescent="0.3">
      <c r="B157" s="1">
        <v>46251</v>
      </c>
      <c r="C157" s="4">
        <v>29.75</v>
      </c>
      <c r="D157" s="4">
        <v>97.98</v>
      </c>
      <c r="E157" s="12">
        <f t="shared" si="14"/>
        <v>3.2934453781512607</v>
      </c>
      <c r="F157" s="13">
        <f t="shared" si="19"/>
        <v>3.292008985951135</v>
      </c>
      <c r="G157" s="13">
        <f t="shared" si="20"/>
        <v>3.2926957297437363</v>
      </c>
      <c r="H157" s="4">
        <f t="shared" si="15"/>
        <v>97.937267332046261</v>
      </c>
      <c r="I157" s="4">
        <f t="shared" si="16"/>
        <v>97.957697959876157</v>
      </c>
      <c r="J157" s="15">
        <f t="shared" si="17"/>
        <v>-4.3623177490512279E-4</v>
      </c>
      <c r="K157" s="15">
        <f t="shared" si="18"/>
        <v>-2.2764419968560796E-4</v>
      </c>
    </row>
    <row r="158" spans="2:11" x14ac:dyDescent="0.3">
      <c r="B158" s="1">
        <v>46252</v>
      </c>
      <c r="C158" s="4">
        <v>29.64</v>
      </c>
      <c r="D158" s="4">
        <v>97.62</v>
      </c>
      <c r="E158" s="12">
        <f t="shared" si="14"/>
        <v>3.2935222672064777</v>
      </c>
      <c r="F158" s="13">
        <f t="shared" si="19"/>
        <v>3.2921348347611947</v>
      </c>
      <c r="G158" s="13">
        <f t="shared" si="20"/>
        <v>3.2926957297437363</v>
      </c>
      <c r="H158" s="4">
        <f t="shared" si="15"/>
        <v>97.578876502321819</v>
      </c>
      <c r="I158" s="4">
        <f t="shared" si="16"/>
        <v>97.59550142960434</v>
      </c>
      <c r="J158" s="15">
        <f t="shared" si="17"/>
        <v>-4.2134974364064478E-4</v>
      </c>
      <c r="K158" s="15">
        <f t="shared" si="18"/>
        <v>-2.5099001201102426E-4</v>
      </c>
    </row>
    <row r="159" spans="2:11" x14ac:dyDescent="0.3">
      <c r="B159" s="1">
        <v>46253</v>
      </c>
      <c r="C159" s="4">
        <v>29.95</v>
      </c>
      <c r="D159" s="4">
        <v>98.61</v>
      </c>
      <c r="E159" s="12">
        <f t="shared" si="14"/>
        <v>3.2924874791318866</v>
      </c>
      <c r="F159" s="13">
        <f t="shared" si="19"/>
        <v>3.2922194945270276</v>
      </c>
      <c r="G159" s="13">
        <f t="shared" si="20"/>
        <v>3.2926957297437363</v>
      </c>
      <c r="H159" s="4">
        <f t="shared" si="15"/>
        <v>98.601973861084474</v>
      </c>
      <c r="I159" s="4">
        <f t="shared" si="16"/>
        <v>98.616237105824894</v>
      </c>
      <c r="J159" s="15">
        <f t="shared" si="17"/>
        <v>-8.1396060926879418E-5</v>
      </c>
      <c r="K159" s="15">
        <f t="shared" si="18"/>
        <v>6.3248236324880484E-5</v>
      </c>
    </row>
    <row r="160" spans="2:11" x14ac:dyDescent="0.3">
      <c r="B160" s="1">
        <v>46254</v>
      </c>
      <c r="C160" s="4">
        <v>29.94</v>
      </c>
      <c r="D160" s="4">
        <v>98.6</v>
      </c>
      <c r="E160" s="12">
        <f t="shared" si="14"/>
        <v>3.2932531730126917</v>
      </c>
      <c r="F160" s="13">
        <f t="shared" si="19"/>
        <v>3.2922341718630141</v>
      </c>
      <c r="G160" s="13">
        <f t="shared" si="20"/>
        <v>3.2926957297437363</v>
      </c>
      <c r="H160" s="4">
        <f t="shared" si="15"/>
        <v>98.569491105578649</v>
      </c>
      <c r="I160" s="4">
        <f t="shared" si="16"/>
        <v>98.583310148527474</v>
      </c>
      <c r="J160" s="15">
        <f t="shared" si="17"/>
        <v>-3.0946871642015109E-4</v>
      </c>
      <c r="K160" s="15">
        <f t="shared" si="18"/>
        <v>-1.6928259800285189E-4</v>
      </c>
    </row>
    <row r="161" spans="2:11" x14ac:dyDescent="0.3">
      <c r="B161" s="1">
        <v>46255</v>
      </c>
      <c r="C161" s="4">
        <v>29.9</v>
      </c>
      <c r="D161" s="4">
        <v>98.5</v>
      </c>
      <c r="E161" s="12">
        <f t="shared" si="14"/>
        <v>3.2943143812709033</v>
      </c>
      <c r="F161" s="13">
        <f t="shared" si="19"/>
        <v>3.2921738203152495</v>
      </c>
      <c r="G161" s="13">
        <f t="shared" si="20"/>
        <v>3.2926957297437363</v>
      </c>
      <c r="H161" s="4">
        <f t="shared" si="15"/>
        <v>98.435997227425958</v>
      </c>
      <c r="I161" s="4">
        <f t="shared" si="16"/>
        <v>98.451602319337709</v>
      </c>
      <c r="J161" s="15">
        <f t="shared" si="17"/>
        <v>-6.4998553569118862E-4</v>
      </c>
      <c r="K161" s="15">
        <f t="shared" si="18"/>
        <v>-4.9146776229808966E-4</v>
      </c>
    </row>
    <row r="162" spans="2:11" x14ac:dyDescent="0.3">
      <c r="B162" s="1">
        <v>46258</v>
      </c>
      <c r="C162" s="4">
        <v>30.08</v>
      </c>
      <c r="D162" s="4">
        <v>99.1</v>
      </c>
      <c r="E162" s="12">
        <f t="shared" si="14"/>
        <v>3.2945478723404253</v>
      </c>
      <c r="F162" s="13">
        <f t="shared" si="19"/>
        <v>3.2922435002080648</v>
      </c>
      <c r="G162" s="13">
        <f t="shared" si="20"/>
        <v>3.2926957297437363</v>
      </c>
      <c r="H162" s="4">
        <f t="shared" si="15"/>
        <v>99.030684486258579</v>
      </c>
      <c r="I162" s="4">
        <f t="shared" si="16"/>
        <v>99.044287550691578</v>
      </c>
      <c r="J162" s="15">
        <f t="shared" si="17"/>
        <v>-6.9969491852374811E-4</v>
      </c>
      <c r="K162" s="15">
        <f t="shared" si="18"/>
        <v>-5.6234223519884842E-4</v>
      </c>
    </row>
    <row r="163" spans="2:11" x14ac:dyDescent="0.3">
      <c r="B163" s="1">
        <v>46259</v>
      </c>
      <c r="C163" s="4">
        <v>30.13</v>
      </c>
      <c r="D163" s="4">
        <v>99.25</v>
      </c>
      <c r="E163" s="12">
        <f t="shared" si="14"/>
        <v>3.2940590773315632</v>
      </c>
      <c r="F163" s="13">
        <f t="shared" si="19"/>
        <v>3.2923182740355039</v>
      </c>
      <c r="G163" s="13">
        <f t="shared" si="20"/>
        <v>3.2926957297437363</v>
      </c>
      <c r="H163" s="4">
        <f t="shared" si="15"/>
        <v>99.197549596689726</v>
      </c>
      <c r="I163" s="4">
        <f t="shared" si="16"/>
        <v>99.208922337178777</v>
      </c>
      <c r="J163" s="15">
        <f t="shared" si="17"/>
        <v>-5.2860722783626055E-4</v>
      </c>
      <c r="K163" s="15">
        <f t="shared" si="18"/>
        <v>-4.1396640598548681E-4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919E-1908-4EF4-8BCF-FF6ACABDE4FB}">
  <dimension ref="A1:K163"/>
  <sheetViews>
    <sheetView workbookViewId="0">
      <selection activeCell="M30" sqref="M30"/>
    </sheetView>
  </sheetViews>
  <sheetFormatPr defaultRowHeight="14.4" x14ac:dyDescent="0.3"/>
  <cols>
    <col min="1" max="1" width="2.109375" bestFit="1" customWidth="1"/>
    <col min="2" max="2" width="10.33203125" style="1" bestFit="1" customWidth="1"/>
    <col min="3" max="4" width="8.88671875" style="4"/>
    <col min="5" max="5" width="10.6640625" style="12" bestFit="1" customWidth="1"/>
    <col min="7" max="7" width="10.33203125" style="1" bestFit="1" customWidth="1"/>
    <col min="8" max="9" width="8.88671875" style="4"/>
    <col min="10" max="11" width="8.88671875" style="15"/>
  </cols>
  <sheetData>
    <row r="1" spans="2:11" s="3" customFormat="1" x14ac:dyDescent="0.3">
      <c r="B1" s="2" t="s">
        <v>0</v>
      </c>
      <c r="C1" s="5" t="s">
        <v>1</v>
      </c>
      <c r="D1" s="5" t="s">
        <v>9</v>
      </c>
      <c r="E1" s="11" t="str">
        <f>_xlfn.CONCAT(D1,"/",C1)</f>
        <v>VDE/FENY</v>
      </c>
      <c r="F1" s="3" t="s">
        <v>21</v>
      </c>
      <c r="G1" s="1"/>
      <c r="H1" s="14" t="s">
        <v>17</v>
      </c>
      <c r="I1" s="14" t="s">
        <v>18</v>
      </c>
      <c r="J1" s="14" t="s">
        <v>19</v>
      </c>
      <c r="K1" s="14" t="s">
        <v>20</v>
      </c>
    </row>
    <row r="2" spans="2:11" x14ac:dyDescent="0.3">
      <c r="B2" s="1">
        <v>46024</v>
      </c>
      <c r="C2" s="4">
        <v>25.3</v>
      </c>
      <c r="D2" s="4">
        <v>128.66</v>
      </c>
      <c r="E2" s="12">
        <f>D2/C2</f>
        <v>5.0853754940711458</v>
      </c>
    </row>
    <row r="3" spans="2:11" x14ac:dyDescent="0.3">
      <c r="B3" s="1">
        <v>46027</v>
      </c>
      <c r="C3" s="4">
        <v>25.9</v>
      </c>
      <c r="D3" s="4">
        <v>131.63</v>
      </c>
      <c r="E3" s="12">
        <f t="shared" ref="E3:E66" si="0">D3/C3</f>
        <v>5.0822393822393828</v>
      </c>
    </row>
    <row r="4" spans="2:11" x14ac:dyDescent="0.3">
      <c r="B4" s="1">
        <v>46028</v>
      </c>
      <c r="C4" s="4">
        <v>25.26</v>
      </c>
      <c r="D4" s="4">
        <v>128.43</v>
      </c>
      <c r="E4" s="12">
        <f t="shared" si="0"/>
        <v>5.0843230403800472</v>
      </c>
    </row>
    <row r="5" spans="2:11" x14ac:dyDescent="0.3">
      <c r="B5" s="1">
        <v>46029</v>
      </c>
      <c r="C5" s="4">
        <v>24.99</v>
      </c>
      <c r="D5" s="4">
        <v>127.1</v>
      </c>
      <c r="E5" s="12">
        <f t="shared" si="0"/>
        <v>5.086034413765506</v>
      </c>
    </row>
    <row r="6" spans="2:11" x14ac:dyDescent="0.3">
      <c r="B6" s="1">
        <v>46030</v>
      </c>
      <c r="C6" s="4">
        <v>25.73</v>
      </c>
      <c r="D6" s="4">
        <v>130.87</v>
      </c>
      <c r="E6" s="12">
        <f t="shared" si="0"/>
        <v>5.0862806062961523</v>
      </c>
    </row>
    <row r="7" spans="2:11" x14ac:dyDescent="0.3">
      <c r="B7" s="1">
        <v>46031</v>
      </c>
      <c r="C7" s="4">
        <v>25.8</v>
      </c>
      <c r="D7" s="4">
        <v>131.19999999999999</v>
      </c>
      <c r="E7" s="12">
        <f t="shared" si="0"/>
        <v>5.0852713178294566</v>
      </c>
    </row>
    <row r="8" spans="2:11" x14ac:dyDescent="0.3">
      <c r="B8" s="1">
        <v>46034</v>
      </c>
      <c r="C8" s="4">
        <v>25.65</v>
      </c>
      <c r="D8" s="4">
        <v>130.47999999999999</v>
      </c>
      <c r="E8" s="12">
        <f t="shared" si="0"/>
        <v>5.0869395711500971</v>
      </c>
    </row>
    <row r="9" spans="2:11" x14ac:dyDescent="0.3">
      <c r="B9" s="1">
        <v>46035</v>
      </c>
      <c r="C9" s="4">
        <v>26.04</v>
      </c>
      <c r="D9" s="4">
        <v>132.41999999999999</v>
      </c>
      <c r="E9" s="12">
        <f t="shared" si="0"/>
        <v>5.0852534562211975</v>
      </c>
    </row>
    <row r="10" spans="2:11" x14ac:dyDescent="0.3">
      <c r="B10" s="1">
        <v>46036</v>
      </c>
      <c r="C10" s="4">
        <v>26.62</v>
      </c>
      <c r="D10" s="4">
        <v>135.35</v>
      </c>
      <c r="E10" s="12">
        <f t="shared" si="0"/>
        <v>5.0845229151014273</v>
      </c>
    </row>
    <row r="11" spans="2:11" x14ac:dyDescent="0.3">
      <c r="B11" s="1">
        <v>46037</v>
      </c>
      <c r="C11" s="4">
        <v>26.4</v>
      </c>
      <c r="D11" s="4">
        <v>134.22999999999999</v>
      </c>
      <c r="E11" s="12">
        <f t="shared" si="0"/>
        <v>5.0844696969696965</v>
      </c>
      <c r="F11" s="13"/>
      <c r="G11" s="13"/>
    </row>
    <row r="12" spans="2:11" x14ac:dyDescent="0.3">
      <c r="B12" s="1">
        <v>46038</v>
      </c>
      <c r="C12" s="4">
        <v>26.47</v>
      </c>
      <c r="D12" s="4">
        <v>134.62</v>
      </c>
      <c r="E12" s="12">
        <f t="shared" si="0"/>
        <v>5.0857574612769181</v>
      </c>
      <c r="F12" s="13"/>
      <c r="G12" s="13"/>
    </row>
    <row r="13" spans="2:11" x14ac:dyDescent="0.3">
      <c r="B13" s="1">
        <v>46042</v>
      </c>
      <c r="C13" s="4">
        <v>26.4</v>
      </c>
      <c r="D13" s="4">
        <v>134.19999999999999</v>
      </c>
      <c r="E13" s="12">
        <f t="shared" si="0"/>
        <v>5.083333333333333</v>
      </c>
      <c r="F13" s="13"/>
      <c r="G13" s="13"/>
    </row>
    <row r="14" spans="2:11" x14ac:dyDescent="0.3">
      <c r="B14" s="1">
        <v>46043</v>
      </c>
      <c r="C14" s="4">
        <v>27.07</v>
      </c>
      <c r="D14" s="4">
        <v>137.68</v>
      </c>
      <c r="E14" s="12">
        <f t="shared" si="0"/>
        <v>5.0860731437015145</v>
      </c>
      <c r="F14" s="13"/>
      <c r="G14" s="13"/>
    </row>
    <row r="15" spans="2:11" x14ac:dyDescent="0.3">
      <c r="B15" s="1">
        <v>46044</v>
      </c>
      <c r="C15" s="4">
        <v>27.12</v>
      </c>
      <c r="D15" s="4">
        <v>137.97999999999999</v>
      </c>
      <c r="E15" s="12">
        <f t="shared" si="0"/>
        <v>5.0877581120943951</v>
      </c>
      <c r="F15" s="13"/>
      <c r="G15" s="13"/>
    </row>
    <row r="16" spans="2:11" x14ac:dyDescent="0.3">
      <c r="B16" s="1">
        <v>46045</v>
      </c>
      <c r="C16" s="4">
        <v>27.25</v>
      </c>
      <c r="D16" s="4">
        <v>138.69</v>
      </c>
      <c r="E16" s="12">
        <f t="shared" si="0"/>
        <v>5.08954128440367</v>
      </c>
      <c r="F16" s="13"/>
      <c r="G16" s="13"/>
    </row>
    <row r="17" spans="2:11" x14ac:dyDescent="0.3">
      <c r="B17" s="1">
        <v>46048</v>
      </c>
      <c r="C17" s="4">
        <v>27.27</v>
      </c>
      <c r="D17" s="4">
        <v>138.69</v>
      </c>
      <c r="E17" s="12">
        <f t="shared" si="0"/>
        <v>5.0858085808580862</v>
      </c>
      <c r="F17" s="13"/>
      <c r="G17" s="13"/>
    </row>
    <row r="18" spans="2:11" x14ac:dyDescent="0.3">
      <c r="B18" s="1">
        <v>46049</v>
      </c>
      <c r="C18" s="4">
        <v>27.55</v>
      </c>
      <c r="D18" s="4">
        <v>140.15</v>
      </c>
      <c r="E18" s="12">
        <f t="shared" si="0"/>
        <v>5.0871143375680585</v>
      </c>
      <c r="F18" s="13"/>
      <c r="G18" s="13"/>
    </row>
    <row r="19" spans="2:11" x14ac:dyDescent="0.3">
      <c r="B19" s="1">
        <v>46050</v>
      </c>
      <c r="C19" s="4">
        <v>27.72</v>
      </c>
      <c r="D19" s="4">
        <v>141.06</v>
      </c>
      <c r="E19" s="12">
        <f t="shared" si="0"/>
        <v>5.0887445887445892</v>
      </c>
      <c r="F19" s="13"/>
      <c r="G19" s="13"/>
    </row>
    <row r="20" spans="2:11" x14ac:dyDescent="0.3">
      <c r="B20" s="1">
        <v>46051</v>
      </c>
      <c r="C20" s="4">
        <v>28.03</v>
      </c>
      <c r="D20" s="4">
        <v>142.63999999999999</v>
      </c>
      <c r="E20" s="12">
        <f t="shared" si="0"/>
        <v>5.0888333927934353</v>
      </c>
      <c r="F20" s="13"/>
      <c r="G20" s="13"/>
    </row>
    <row r="21" spans="2:11" x14ac:dyDescent="0.3">
      <c r="B21" s="1">
        <v>46052</v>
      </c>
      <c r="C21" s="4">
        <v>28.28</v>
      </c>
      <c r="D21" s="4">
        <v>143.79</v>
      </c>
      <c r="E21" s="12">
        <f t="shared" si="0"/>
        <v>5.0845120226308342</v>
      </c>
      <c r="F21" s="13">
        <f t="shared" ref="F21:F84" si="1">AVERAGE(E2:E21)</f>
        <v>5.0859093075714465</v>
      </c>
      <c r="G21" s="13">
        <f>AVERAGE(E:E)</f>
        <v>5.0847113171121583</v>
      </c>
      <c r="H21" s="4">
        <f t="shared" ref="H12:H75" si="2">C21*F21</f>
        <v>143.82951521812052</v>
      </c>
      <c r="I21" s="4">
        <f t="shared" ref="I12:I75" si="3">C21*G21</f>
        <v>143.79563604793185</v>
      </c>
      <c r="J21" s="15">
        <f t="shared" ref="J12:J75" si="4">LN(H21/D21)</f>
        <v>2.7477425055243447E-4</v>
      </c>
      <c r="K21" s="15">
        <f t="shared" ref="K12:K75" si="5">LN(I21/D21)</f>
        <v>3.919561498305149E-5</v>
      </c>
    </row>
    <row r="22" spans="2:11" x14ac:dyDescent="0.3">
      <c r="B22" s="1">
        <v>46055</v>
      </c>
      <c r="C22" s="4">
        <v>27.74</v>
      </c>
      <c r="D22" s="4">
        <v>141.13</v>
      </c>
      <c r="E22" s="12">
        <f t="shared" si="0"/>
        <v>5.0875991348233596</v>
      </c>
      <c r="F22" s="13">
        <f t="shared" si="1"/>
        <v>5.0860204896090577</v>
      </c>
      <c r="G22" s="13">
        <f t="shared" ref="G22:G85" si="6">G21</f>
        <v>5.0847113171121583</v>
      </c>
      <c r="H22" s="4">
        <f t="shared" si="2"/>
        <v>141.08620838175526</v>
      </c>
      <c r="I22" s="4">
        <f t="shared" si="3"/>
        <v>141.04989193669127</v>
      </c>
      <c r="J22" s="15">
        <f t="shared" si="4"/>
        <v>-3.1034091803098282E-4</v>
      </c>
      <c r="K22" s="15">
        <f t="shared" si="5"/>
        <v>-5.6778011296966394E-4</v>
      </c>
    </row>
    <row r="23" spans="2:11" x14ac:dyDescent="0.3">
      <c r="B23" s="1">
        <v>46056</v>
      </c>
      <c r="C23" s="4">
        <v>28.59</v>
      </c>
      <c r="D23" s="4">
        <v>145.49</v>
      </c>
      <c r="E23" s="12">
        <f t="shared" si="0"/>
        <v>5.0888422525358523</v>
      </c>
      <c r="F23" s="13">
        <f t="shared" si="1"/>
        <v>5.0863506331238808</v>
      </c>
      <c r="G23" s="13">
        <f t="shared" si="6"/>
        <v>5.0847113171121583</v>
      </c>
      <c r="H23" s="4">
        <f t="shared" si="2"/>
        <v>145.41876460101176</v>
      </c>
      <c r="I23" s="4">
        <f t="shared" si="3"/>
        <v>145.37189655623661</v>
      </c>
      <c r="J23" s="15">
        <f t="shared" si="4"/>
        <v>-4.8974392717082856E-4</v>
      </c>
      <c r="K23" s="15">
        <f t="shared" si="5"/>
        <v>-8.1209296681653746E-4</v>
      </c>
    </row>
    <row r="24" spans="2:11" x14ac:dyDescent="0.3">
      <c r="B24" s="1">
        <v>46057</v>
      </c>
      <c r="C24" s="4">
        <v>29.18</v>
      </c>
      <c r="D24" s="4">
        <v>148.4</v>
      </c>
      <c r="E24" s="12">
        <f t="shared" si="0"/>
        <v>5.0856751199451677</v>
      </c>
      <c r="F24" s="13">
        <f t="shared" si="1"/>
        <v>5.086418237102138</v>
      </c>
      <c r="G24" s="13">
        <f t="shared" si="6"/>
        <v>5.0847113171121583</v>
      </c>
      <c r="H24" s="4">
        <f t="shared" si="2"/>
        <v>148.42168415864037</v>
      </c>
      <c r="I24" s="4">
        <f t="shared" si="3"/>
        <v>148.37187623333278</v>
      </c>
      <c r="J24" s="15">
        <f t="shared" si="4"/>
        <v>1.4610899294919717E-4</v>
      </c>
      <c r="K24" s="15">
        <f t="shared" si="5"/>
        <v>-1.8953121238007677E-4</v>
      </c>
    </row>
    <row r="25" spans="2:11" x14ac:dyDescent="0.3">
      <c r="B25" s="1">
        <v>46058</v>
      </c>
      <c r="C25" s="4">
        <v>28.82</v>
      </c>
      <c r="D25" s="4">
        <v>146.58000000000001</v>
      </c>
      <c r="E25" s="12">
        <f t="shared" si="0"/>
        <v>5.0860513532269263</v>
      </c>
      <c r="F25" s="13">
        <f t="shared" si="1"/>
        <v>5.0864190840752084</v>
      </c>
      <c r="G25" s="13">
        <f t="shared" si="6"/>
        <v>5.0847113171121583</v>
      </c>
      <c r="H25" s="4">
        <f t="shared" si="2"/>
        <v>146.59059800304752</v>
      </c>
      <c r="I25" s="4">
        <f t="shared" si="3"/>
        <v>146.54138015917241</v>
      </c>
      <c r="J25" s="15">
        <f t="shared" si="4"/>
        <v>7.2299221847605384E-5</v>
      </c>
      <c r="K25" s="15">
        <f t="shared" si="5"/>
        <v>-2.6350750006770942E-4</v>
      </c>
    </row>
    <row r="26" spans="2:11" x14ac:dyDescent="0.3">
      <c r="B26" s="1">
        <v>46059</v>
      </c>
      <c r="C26" s="4">
        <v>29.46</v>
      </c>
      <c r="D26" s="4">
        <v>149.88999999999999</v>
      </c>
      <c r="E26" s="12">
        <f t="shared" si="0"/>
        <v>5.0879158180583834</v>
      </c>
      <c r="F26" s="13">
        <f t="shared" si="1"/>
        <v>5.0865008446633198</v>
      </c>
      <c r="G26" s="13">
        <f t="shared" si="6"/>
        <v>5.0847113171121583</v>
      </c>
      <c r="H26" s="4">
        <f t="shared" si="2"/>
        <v>149.8483148837814</v>
      </c>
      <c r="I26" s="4">
        <f t="shared" si="3"/>
        <v>149.79559540212418</v>
      </c>
      <c r="J26" s="15">
        <f t="shared" si="4"/>
        <v>-2.7814339653902607E-4</v>
      </c>
      <c r="K26" s="15">
        <f t="shared" si="5"/>
        <v>-6.3002428175969562E-4</v>
      </c>
    </row>
    <row r="27" spans="2:11" x14ac:dyDescent="0.3">
      <c r="B27" s="1">
        <v>46062</v>
      </c>
      <c r="C27" s="4">
        <v>29.73</v>
      </c>
      <c r="D27" s="4">
        <v>151.26</v>
      </c>
      <c r="E27" s="12">
        <f t="shared" si="0"/>
        <v>5.0877901109989905</v>
      </c>
      <c r="F27" s="13">
        <f t="shared" si="1"/>
        <v>5.0866267843217958</v>
      </c>
      <c r="G27" s="13">
        <f t="shared" si="6"/>
        <v>5.0847113171121583</v>
      </c>
      <c r="H27" s="4">
        <f t="shared" si="2"/>
        <v>151.225414297887</v>
      </c>
      <c r="I27" s="4">
        <f t="shared" si="3"/>
        <v>151.16846745774447</v>
      </c>
      <c r="J27" s="15">
        <f t="shared" si="4"/>
        <v>-2.2867682624626255E-4</v>
      </c>
      <c r="K27" s="15">
        <f t="shared" si="5"/>
        <v>-6.053169916166273E-4</v>
      </c>
    </row>
    <row r="28" spans="2:11" x14ac:dyDescent="0.3">
      <c r="B28" s="1">
        <v>46063</v>
      </c>
      <c r="C28" s="4">
        <v>29.66</v>
      </c>
      <c r="D28" s="4">
        <v>150.82</v>
      </c>
      <c r="E28" s="12">
        <f t="shared" si="0"/>
        <v>5.0849629130141603</v>
      </c>
      <c r="F28" s="13">
        <f t="shared" si="1"/>
        <v>5.0865279514149995</v>
      </c>
      <c r="G28" s="13">
        <f t="shared" si="6"/>
        <v>5.0847113171121583</v>
      </c>
      <c r="H28" s="4">
        <f t="shared" si="2"/>
        <v>150.86641903896887</v>
      </c>
      <c r="I28" s="4">
        <f t="shared" si="3"/>
        <v>150.81253766554661</v>
      </c>
      <c r="J28" s="15">
        <f t="shared" si="4"/>
        <v>3.0773038761937842E-4</v>
      </c>
      <c r="K28" s="15">
        <f t="shared" si="5"/>
        <v>-4.9479638454550362E-5</v>
      </c>
    </row>
    <row r="29" spans="2:11" x14ac:dyDescent="0.3">
      <c r="B29" s="1">
        <v>46064</v>
      </c>
      <c r="C29" s="4">
        <v>30.41</v>
      </c>
      <c r="D29" s="4">
        <v>154.69</v>
      </c>
      <c r="E29" s="12">
        <f t="shared" si="0"/>
        <v>5.0868135481749421</v>
      </c>
      <c r="F29" s="13">
        <f t="shared" si="1"/>
        <v>5.0866059560126873</v>
      </c>
      <c r="G29" s="13">
        <f t="shared" si="6"/>
        <v>5.0847113171121583</v>
      </c>
      <c r="H29" s="4">
        <f t="shared" si="2"/>
        <v>154.68368712234582</v>
      </c>
      <c r="I29" s="4">
        <f t="shared" si="3"/>
        <v>154.62607115338074</v>
      </c>
      <c r="J29" s="15">
        <f t="shared" si="4"/>
        <v>-4.0810695400634304E-5</v>
      </c>
      <c r="K29" s="15">
        <f t="shared" si="5"/>
        <v>-4.1335613303989489E-4</v>
      </c>
    </row>
    <row r="30" spans="2:11" x14ac:dyDescent="0.3">
      <c r="B30" s="1">
        <v>46065</v>
      </c>
      <c r="C30" s="4">
        <v>29.81</v>
      </c>
      <c r="D30" s="4">
        <v>151.59</v>
      </c>
      <c r="E30" s="12">
        <f t="shared" si="0"/>
        <v>5.0852063066085211</v>
      </c>
      <c r="F30" s="13">
        <f t="shared" si="1"/>
        <v>5.0866401255880422</v>
      </c>
      <c r="G30" s="13">
        <f t="shared" si="6"/>
        <v>5.0847113171121583</v>
      </c>
      <c r="H30" s="4">
        <f t="shared" si="2"/>
        <v>151.63274214377952</v>
      </c>
      <c r="I30" s="4">
        <f t="shared" si="3"/>
        <v>151.57524436311343</v>
      </c>
      <c r="J30" s="15">
        <f t="shared" si="4"/>
        <v>2.8191911833815443E-4</v>
      </c>
      <c r="K30" s="15">
        <f t="shared" si="5"/>
        <v>-9.7343855686585762E-5</v>
      </c>
    </row>
    <row r="31" spans="2:11" x14ac:dyDescent="0.3">
      <c r="B31" s="1">
        <v>46066</v>
      </c>
      <c r="C31" s="4">
        <v>30.07</v>
      </c>
      <c r="D31" s="4">
        <v>152.94999999999999</v>
      </c>
      <c r="E31" s="12">
        <f t="shared" si="0"/>
        <v>5.0864649151978716</v>
      </c>
      <c r="F31" s="13">
        <f t="shared" si="1"/>
        <v>5.0867398864994504</v>
      </c>
      <c r="G31" s="13">
        <f t="shared" si="6"/>
        <v>5.0847113171121583</v>
      </c>
      <c r="H31" s="4">
        <f t="shared" si="2"/>
        <v>152.95826838703849</v>
      </c>
      <c r="I31" s="4">
        <f t="shared" si="3"/>
        <v>152.89726930556259</v>
      </c>
      <c r="J31" s="15">
        <f t="shared" si="4"/>
        <v>5.4057950666781463E-5</v>
      </c>
      <c r="K31" s="15">
        <f t="shared" si="5"/>
        <v>-3.4481717021441215E-4</v>
      </c>
    </row>
    <row r="32" spans="2:11" x14ac:dyDescent="0.3">
      <c r="B32" s="1">
        <v>46070</v>
      </c>
      <c r="C32" s="4">
        <v>29.73</v>
      </c>
      <c r="D32" s="4">
        <v>151.13999999999999</v>
      </c>
      <c r="E32" s="12">
        <f t="shared" si="0"/>
        <v>5.0837537840565084</v>
      </c>
      <c r="F32" s="13">
        <f t="shared" si="1"/>
        <v>5.08663970263843</v>
      </c>
      <c r="G32" s="13">
        <f t="shared" si="6"/>
        <v>5.0847113171121583</v>
      </c>
      <c r="H32" s="4">
        <f t="shared" si="2"/>
        <v>151.22579835944052</v>
      </c>
      <c r="I32" s="4">
        <f t="shared" si="3"/>
        <v>151.16846745774447</v>
      </c>
      <c r="J32" s="15">
        <f t="shared" si="4"/>
        <v>5.6751366860152686E-4</v>
      </c>
      <c r="K32" s="15">
        <f t="shared" si="5"/>
        <v>1.8833384369307561E-4</v>
      </c>
    </row>
    <row r="33" spans="2:11" x14ac:dyDescent="0.3">
      <c r="B33" s="1">
        <v>46071</v>
      </c>
      <c r="C33" s="4">
        <v>30.3</v>
      </c>
      <c r="D33" s="4">
        <v>154.11000000000001</v>
      </c>
      <c r="E33" s="12">
        <f t="shared" si="0"/>
        <v>5.0861386138613867</v>
      </c>
      <c r="F33" s="13">
        <f t="shared" si="1"/>
        <v>5.0867799666648326</v>
      </c>
      <c r="G33" s="13">
        <f t="shared" si="6"/>
        <v>5.0847113171121583</v>
      </c>
      <c r="H33" s="4">
        <f t="shared" si="2"/>
        <v>154.12943298994443</v>
      </c>
      <c r="I33" s="4">
        <f t="shared" si="3"/>
        <v>154.06675290849839</v>
      </c>
      <c r="J33" s="15">
        <f t="shared" si="4"/>
        <v>1.2609022655978011E-4</v>
      </c>
      <c r="K33" s="15">
        <f t="shared" si="5"/>
        <v>-2.806642057024765E-4</v>
      </c>
    </row>
    <row r="34" spans="2:11" x14ac:dyDescent="0.3">
      <c r="B34" s="1">
        <v>46072</v>
      </c>
      <c r="C34" s="4">
        <v>30.56</v>
      </c>
      <c r="D34" s="4">
        <v>155.41</v>
      </c>
      <c r="E34" s="12">
        <f t="shared" si="0"/>
        <v>5.0854057591623034</v>
      </c>
      <c r="F34" s="13">
        <f t="shared" si="1"/>
        <v>5.0867465974378723</v>
      </c>
      <c r="G34" s="13">
        <f t="shared" si="6"/>
        <v>5.0847113171121583</v>
      </c>
      <c r="H34" s="4">
        <f t="shared" si="2"/>
        <v>155.45097601770138</v>
      </c>
      <c r="I34" s="4">
        <f t="shared" si="3"/>
        <v>155.38877785094755</v>
      </c>
      <c r="J34" s="15">
        <f t="shared" si="4"/>
        <v>2.6362921755970423E-4</v>
      </c>
      <c r="K34" s="15">
        <f t="shared" si="5"/>
        <v>-1.3656520294045768E-4</v>
      </c>
    </row>
    <row r="35" spans="2:11" x14ac:dyDescent="0.3">
      <c r="B35" s="1">
        <v>46073</v>
      </c>
      <c r="C35" s="4">
        <v>30.42</v>
      </c>
      <c r="D35" s="4">
        <v>154.75</v>
      </c>
      <c r="E35" s="12">
        <f t="shared" si="0"/>
        <v>5.0871137409598948</v>
      </c>
      <c r="F35" s="13">
        <f t="shared" si="1"/>
        <v>5.0867143788811466</v>
      </c>
      <c r="G35" s="13">
        <f t="shared" si="6"/>
        <v>5.0847113171121583</v>
      </c>
      <c r="H35" s="4">
        <f t="shared" si="2"/>
        <v>154.7378514055645</v>
      </c>
      <c r="I35" s="4">
        <f t="shared" si="3"/>
        <v>154.67691826655187</v>
      </c>
      <c r="J35" s="15">
        <f t="shared" si="4"/>
        <v>-7.8507730669061116E-5</v>
      </c>
      <c r="K35" s="15">
        <f t="shared" si="5"/>
        <v>-4.7236830729822601E-4</v>
      </c>
    </row>
    <row r="36" spans="2:11" x14ac:dyDescent="0.3">
      <c r="B36" s="1">
        <v>46076</v>
      </c>
      <c r="C36" s="4">
        <v>30.51</v>
      </c>
      <c r="D36" s="4">
        <v>155.18</v>
      </c>
      <c r="E36" s="12">
        <f t="shared" si="0"/>
        <v>5.0862012454932808</v>
      </c>
      <c r="F36" s="13">
        <f t="shared" si="1"/>
        <v>5.0865473769356271</v>
      </c>
      <c r="G36" s="13">
        <f t="shared" si="6"/>
        <v>5.0847113171121583</v>
      </c>
      <c r="H36" s="4">
        <f t="shared" si="2"/>
        <v>155.190560470306</v>
      </c>
      <c r="I36" s="4">
        <f t="shared" si="3"/>
        <v>155.13454228509195</v>
      </c>
      <c r="J36" s="15">
        <f t="shared" si="4"/>
        <v>6.8050721653963123E-5</v>
      </c>
      <c r="K36" s="15">
        <f t="shared" si="5"/>
        <v>-2.9297831096454507E-4</v>
      </c>
    </row>
    <row r="37" spans="2:11" x14ac:dyDescent="0.3">
      <c r="B37" s="1">
        <v>46077</v>
      </c>
      <c r="C37" s="4">
        <v>30.53</v>
      </c>
      <c r="D37" s="4">
        <v>155.22999999999999</v>
      </c>
      <c r="E37" s="12">
        <f t="shared" si="0"/>
        <v>5.084507042253521</v>
      </c>
      <c r="F37" s="13">
        <f t="shared" si="1"/>
        <v>5.0864823000053994</v>
      </c>
      <c r="G37" s="13">
        <f t="shared" si="6"/>
        <v>5.0847113171121583</v>
      </c>
      <c r="H37" s="4">
        <f t="shared" si="2"/>
        <v>155.29030461916486</v>
      </c>
      <c r="I37" s="4">
        <f t="shared" si="3"/>
        <v>155.23623651143419</v>
      </c>
      <c r="J37" s="15">
        <f t="shared" si="4"/>
        <v>3.884101556383162E-4</v>
      </c>
      <c r="K37" s="15">
        <f t="shared" si="5"/>
        <v>4.0175134694807832E-5</v>
      </c>
    </row>
    <row r="38" spans="2:11" x14ac:dyDescent="0.3">
      <c r="B38" s="1">
        <v>46078</v>
      </c>
      <c r="C38" s="4">
        <v>30.38</v>
      </c>
      <c r="D38" s="4">
        <v>154.61000000000001</v>
      </c>
      <c r="E38" s="12">
        <f t="shared" si="0"/>
        <v>5.0892034233048067</v>
      </c>
      <c r="F38" s="13">
        <f t="shared" si="1"/>
        <v>5.0865867542922363</v>
      </c>
      <c r="G38" s="13">
        <f t="shared" si="6"/>
        <v>5.0847113171121583</v>
      </c>
      <c r="H38" s="4">
        <f t="shared" si="2"/>
        <v>154.53050559539813</v>
      </c>
      <c r="I38" s="4">
        <f t="shared" si="3"/>
        <v>154.47352981386737</v>
      </c>
      <c r="J38" s="15">
        <f t="shared" si="4"/>
        <v>-5.1429304743456179E-4</v>
      </c>
      <c r="K38" s="15">
        <f t="shared" si="5"/>
        <v>-8.8306352061608183E-4</v>
      </c>
    </row>
    <row r="39" spans="2:11" x14ac:dyDescent="0.3">
      <c r="B39" s="1">
        <v>46079</v>
      </c>
      <c r="C39" s="4">
        <v>30.5</v>
      </c>
      <c r="D39" s="4">
        <v>155.19999999999999</v>
      </c>
      <c r="E39" s="12">
        <f t="shared" si="0"/>
        <v>5.0885245901639342</v>
      </c>
      <c r="F39" s="13">
        <f t="shared" si="1"/>
        <v>5.0865757543632037</v>
      </c>
      <c r="G39" s="13">
        <f t="shared" si="6"/>
        <v>5.0847113171121583</v>
      </c>
      <c r="H39" s="4">
        <f t="shared" si="2"/>
        <v>155.14056050807773</v>
      </c>
      <c r="I39" s="4">
        <f t="shared" si="3"/>
        <v>155.08369517192082</v>
      </c>
      <c r="J39" s="15">
        <f t="shared" si="4"/>
        <v>-3.8305977505332951E-4</v>
      </c>
      <c r="K39" s="15">
        <f t="shared" si="5"/>
        <v>-7.4966770949200679E-4</v>
      </c>
    </row>
    <row r="40" spans="2:11" x14ac:dyDescent="0.3">
      <c r="B40" s="1">
        <v>46080</v>
      </c>
      <c r="C40" s="4">
        <v>31</v>
      </c>
      <c r="D40" s="4">
        <v>157.59</v>
      </c>
      <c r="E40" s="12">
        <f t="shared" si="0"/>
        <v>5.0835483870967746</v>
      </c>
      <c r="F40" s="13">
        <f t="shared" si="1"/>
        <v>5.0863115040783695</v>
      </c>
      <c r="G40" s="13">
        <f t="shared" si="6"/>
        <v>5.0847113171121583</v>
      </c>
      <c r="H40" s="4">
        <f t="shared" si="2"/>
        <v>157.67565662642946</v>
      </c>
      <c r="I40" s="4">
        <f t="shared" si="3"/>
        <v>157.62605083047691</v>
      </c>
      <c r="J40" s="15">
        <f t="shared" si="4"/>
        <v>5.4339333661490704E-4</v>
      </c>
      <c r="K40" s="15">
        <f t="shared" si="5"/>
        <v>2.2873727742683819E-4</v>
      </c>
    </row>
    <row r="41" spans="2:11" x14ac:dyDescent="0.3">
      <c r="B41" s="1">
        <v>46083</v>
      </c>
      <c r="C41" s="4">
        <v>31.63</v>
      </c>
      <c r="D41" s="4">
        <v>160.88999999999999</v>
      </c>
      <c r="E41" s="12">
        <f t="shared" si="0"/>
        <v>5.0866266202971859</v>
      </c>
      <c r="F41" s="13">
        <f t="shared" si="1"/>
        <v>5.0864172339616882</v>
      </c>
      <c r="G41" s="13">
        <f t="shared" si="6"/>
        <v>5.0847113171121583</v>
      </c>
      <c r="H41" s="4">
        <f t="shared" si="2"/>
        <v>160.88337711020819</v>
      </c>
      <c r="I41" s="4">
        <f t="shared" si="3"/>
        <v>160.82941896025756</v>
      </c>
      <c r="J41" s="15">
        <f t="shared" si="4"/>
        <v>-4.1164933234784651E-5</v>
      </c>
      <c r="K41" s="15">
        <f t="shared" si="5"/>
        <v>-3.7660791912566202E-4</v>
      </c>
    </row>
    <row r="42" spans="2:11" x14ac:dyDescent="0.3">
      <c r="B42" s="1">
        <v>46084</v>
      </c>
      <c r="C42" s="4">
        <v>31.33</v>
      </c>
      <c r="D42" s="4">
        <v>159.38</v>
      </c>
      <c r="E42" s="12">
        <f t="shared" si="0"/>
        <v>5.0871369294605806</v>
      </c>
      <c r="F42" s="13">
        <f t="shared" si="1"/>
        <v>5.0863941236935499</v>
      </c>
      <c r="G42" s="13">
        <f t="shared" si="6"/>
        <v>5.0847113171121583</v>
      </c>
      <c r="H42" s="4">
        <f t="shared" si="2"/>
        <v>159.3567278953189</v>
      </c>
      <c r="I42" s="4">
        <f t="shared" si="3"/>
        <v>159.3040055651239</v>
      </c>
      <c r="J42" s="15">
        <f t="shared" si="4"/>
        <v>-1.4602712951298168E-4</v>
      </c>
      <c r="K42" s="15">
        <f t="shared" si="5"/>
        <v>-4.7692657924146129E-4</v>
      </c>
    </row>
    <row r="43" spans="2:11" x14ac:dyDescent="0.3">
      <c r="B43" s="1">
        <v>46085</v>
      </c>
      <c r="C43" s="4">
        <v>31.22</v>
      </c>
      <c r="D43" s="4">
        <v>158.85</v>
      </c>
      <c r="E43" s="12">
        <f t="shared" si="0"/>
        <v>5.0880845611787313</v>
      </c>
      <c r="F43" s="13">
        <f t="shared" si="1"/>
        <v>5.0863562391256938</v>
      </c>
      <c r="G43" s="13">
        <f t="shared" si="6"/>
        <v>5.0847113171121583</v>
      </c>
      <c r="H43" s="4">
        <f t="shared" si="2"/>
        <v>158.79604178550414</v>
      </c>
      <c r="I43" s="4">
        <f t="shared" si="3"/>
        <v>158.74468732024158</v>
      </c>
      <c r="J43" s="15">
        <f t="shared" si="4"/>
        <v>-3.3973799712117974E-4</v>
      </c>
      <c r="K43" s="15">
        <f t="shared" si="5"/>
        <v>-6.6318920197871816E-4</v>
      </c>
    </row>
    <row r="44" spans="2:11" x14ac:dyDescent="0.3">
      <c r="B44" s="1">
        <v>46086</v>
      </c>
      <c r="C44" s="4">
        <v>31.38</v>
      </c>
      <c r="D44" s="4">
        <v>159.56</v>
      </c>
      <c r="E44" s="12">
        <f t="shared" si="0"/>
        <v>5.0847673677501595</v>
      </c>
      <c r="F44" s="13">
        <f t="shared" si="1"/>
        <v>5.0863108515159432</v>
      </c>
      <c r="G44" s="13">
        <f t="shared" si="6"/>
        <v>5.0847113171121583</v>
      </c>
      <c r="H44" s="4">
        <f t="shared" si="2"/>
        <v>159.60843452057028</v>
      </c>
      <c r="I44" s="4">
        <f t="shared" si="3"/>
        <v>159.55824113097952</v>
      </c>
      <c r="J44" s="15">
        <f t="shared" si="4"/>
        <v>3.0350445535020439E-4</v>
      </c>
      <c r="K44" s="15">
        <f t="shared" si="5"/>
        <v>-1.102330605896993E-5</v>
      </c>
    </row>
    <row r="45" spans="2:11" x14ac:dyDescent="0.3">
      <c r="B45" s="1">
        <v>46087</v>
      </c>
      <c r="C45" s="4">
        <v>31.37</v>
      </c>
      <c r="D45" s="4">
        <v>159.62</v>
      </c>
      <c r="E45" s="12">
        <f t="shared" si="0"/>
        <v>5.0883009244501114</v>
      </c>
      <c r="F45" s="13">
        <f t="shared" si="1"/>
        <v>5.0864233300771016</v>
      </c>
      <c r="G45" s="13">
        <f t="shared" si="6"/>
        <v>5.0847113171121583</v>
      </c>
      <c r="H45" s="4">
        <f t="shared" si="2"/>
        <v>159.5610998645187</v>
      </c>
      <c r="I45" s="4">
        <f t="shared" si="3"/>
        <v>159.50739401780842</v>
      </c>
      <c r="J45" s="15">
        <f t="shared" si="4"/>
        <v>-3.690703251219137E-4</v>
      </c>
      <c r="K45" s="15">
        <f t="shared" si="5"/>
        <v>-7.0571181901556753E-4</v>
      </c>
    </row>
    <row r="46" spans="2:11" x14ac:dyDescent="0.3">
      <c r="B46" s="1">
        <v>46090</v>
      </c>
      <c r="C46" s="4">
        <v>31.28</v>
      </c>
      <c r="D46" s="4">
        <v>159.08000000000001</v>
      </c>
      <c r="E46" s="12">
        <f t="shared" si="0"/>
        <v>5.085677749360614</v>
      </c>
      <c r="F46" s="13">
        <f t="shared" si="1"/>
        <v>5.0863114266422134</v>
      </c>
      <c r="G46" s="13">
        <f t="shared" si="6"/>
        <v>5.0847113171121583</v>
      </c>
      <c r="H46" s="4">
        <f t="shared" si="2"/>
        <v>159.09982142536845</v>
      </c>
      <c r="I46" s="4">
        <f t="shared" si="3"/>
        <v>159.04976999926831</v>
      </c>
      <c r="J46" s="15">
        <f t="shared" si="4"/>
        <v>1.2459259864615972E-4</v>
      </c>
      <c r="K46" s="15">
        <f t="shared" si="5"/>
        <v>-1.9004823611930969E-4</v>
      </c>
    </row>
    <row r="47" spans="2:11" x14ac:dyDescent="0.3">
      <c r="B47" s="1">
        <v>46091</v>
      </c>
      <c r="C47" s="4">
        <v>30.89</v>
      </c>
      <c r="D47" s="4">
        <v>157.15</v>
      </c>
      <c r="E47" s="12">
        <f t="shared" si="0"/>
        <v>5.0874069278083525</v>
      </c>
      <c r="F47" s="13">
        <f t="shared" si="1"/>
        <v>5.0862922674826816</v>
      </c>
      <c r="G47" s="13">
        <f t="shared" si="6"/>
        <v>5.0847113171121583</v>
      </c>
      <c r="H47" s="4">
        <f t="shared" si="2"/>
        <v>157.11556814254004</v>
      </c>
      <c r="I47" s="4">
        <f t="shared" si="3"/>
        <v>157.06673258559456</v>
      </c>
      <c r="J47" s="15">
        <f t="shared" si="4"/>
        <v>-2.1912586734362024E-4</v>
      </c>
      <c r="K47" s="15">
        <f t="shared" si="5"/>
        <v>-5.2999988682596874E-4</v>
      </c>
    </row>
    <row r="48" spans="2:11" x14ac:dyDescent="0.3">
      <c r="B48" s="1">
        <v>46092</v>
      </c>
      <c r="C48" s="4">
        <v>31.63</v>
      </c>
      <c r="D48" s="4">
        <v>160.91</v>
      </c>
      <c r="E48" s="12">
        <f t="shared" si="0"/>
        <v>5.0872589313942465</v>
      </c>
      <c r="F48" s="13">
        <f t="shared" si="1"/>
        <v>5.0864070684016864</v>
      </c>
      <c r="G48" s="13">
        <f t="shared" si="6"/>
        <v>5.0847113171121583</v>
      </c>
      <c r="H48" s="4">
        <f t="shared" si="2"/>
        <v>160.88305557354533</v>
      </c>
      <c r="I48" s="4">
        <f t="shared" si="3"/>
        <v>160.82941896025756</v>
      </c>
      <c r="J48" s="15">
        <f t="shared" si="4"/>
        <v>-1.6746431317237034E-4</v>
      </c>
      <c r="K48" s="15">
        <f t="shared" si="5"/>
        <v>-5.009087272409736E-4</v>
      </c>
    </row>
    <row r="49" spans="1:11" x14ac:dyDescent="0.3">
      <c r="B49" s="1">
        <v>46093</v>
      </c>
      <c r="C49" s="4">
        <v>31.88</v>
      </c>
      <c r="D49" s="4">
        <v>162.15</v>
      </c>
      <c r="E49" s="12">
        <f t="shared" si="0"/>
        <v>5.0862609786700128</v>
      </c>
      <c r="F49" s="13">
        <f t="shared" si="1"/>
        <v>5.0863794399264401</v>
      </c>
      <c r="G49" s="13">
        <f t="shared" si="6"/>
        <v>5.0847113171121583</v>
      </c>
      <c r="H49" s="4">
        <f t="shared" si="2"/>
        <v>162.15377654485491</v>
      </c>
      <c r="I49" s="4">
        <f t="shared" si="3"/>
        <v>162.10059678953562</v>
      </c>
      <c r="J49" s="15">
        <f t="shared" si="4"/>
        <v>2.3290168836913789E-5</v>
      </c>
      <c r="K49" s="15">
        <f t="shared" si="5"/>
        <v>-3.0472240505232214E-4</v>
      </c>
    </row>
    <row r="50" spans="1:11" x14ac:dyDescent="0.3">
      <c r="B50" s="1">
        <v>46094</v>
      </c>
      <c r="C50" s="4">
        <v>31.99</v>
      </c>
      <c r="D50" s="4">
        <v>162.78</v>
      </c>
      <c r="E50" s="12">
        <f t="shared" si="0"/>
        <v>5.088465145357925</v>
      </c>
      <c r="F50" s="13">
        <f t="shared" si="1"/>
        <v>5.0865423818639108</v>
      </c>
      <c r="G50" s="13">
        <f t="shared" si="6"/>
        <v>5.0847113171121583</v>
      </c>
      <c r="H50" s="4">
        <f t="shared" si="2"/>
        <v>162.71849079582651</v>
      </c>
      <c r="I50" s="4">
        <f t="shared" si="3"/>
        <v>162.65991503441793</v>
      </c>
      <c r="J50" s="15">
        <f t="shared" si="4"/>
        <v>-3.7793849523079948E-4</v>
      </c>
      <c r="K50" s="15">
        <f t="shared" si="5"/>
        <v>-7.3798551120846188E-4</v>
      </c>
    </row>
    <row r="51" spans="1:11" x14ac:dyDescent="0.3">
      <c r="B51" s="1">
        <v>46097</v>
      </c>
      <c r="C51" s="4">
        <v>32.08</v>
      </c>
      <c r="D51" s="4">
        <v>163.19999999999999</v>
      </c>
      <c r="E51" s="12">
        <f t="shared" si="0"/>
        <v>5.0872817955112222</v>
      </c>
      <c r="F51" s="13">
        <f t="shared" si="1"/>
        <v>5.0865832258795773</v>
      </c>
      <c r="G51" s="13">
        <f t="shared" si="6"/>
        <v>5.0847113171121583</v>
      </c>
      <c r="H51" s="4">
        <f t="shared" si="2"/>
        <v>163.17758988621682</v>
      </c>
      <c r="I51" s="4">
        <f t="shared" si="3"/>
        <v>163.11753905295802</v>
      </c>
      <c r="J51" s="15">
        <f t="shared" si="4"/>
        <v>-1.3732630249642109E-4</v>
      </c>
      <c r="K51" s="15">
        <f t="shared" si="5"/>
        <v>-5.0540310543253117E-4</v>
      </c>
    </row>
    <row r="52" spans="1:11" x14ac:dyDescent="0.3">
      <c r="B52" s="1">
        <v>46098</v>
      </c>
      <c r="C52" s="4">
        <v>32.47</v>
      </c>
      <c r="D52" s="4">
        <v>165.13</v>
      </c>
      <c r="E52" s="12">
        <f t="shared" si="0"/>
        <v>5.0856174930705267</v>
      </c>
      <c r="F52" s="13">
        <f t="shared" si="1"/>
        <v>5.086676411330278</v>
      </c>
      <c r="G52" s="13">
        <f t="shared" si="6"/>
        <v>5.0847113171121583</v>
      </c>
      <c r="H52" s="4">
        <f t="shared" si="2"/>
        <v>165.16438307589414</v>
      </c>
      <c r="I52" s="4">
        <f t="shared" si="3"/>
        <v>165.10057646663176</v>
      </c>
      <c r="J52" s="15">
        <f t="shared" si="4"/>
        <v>2.0819655301517834E-4</v>
      </c>
      <c r="K52" s="15">
        <f t="shared" si="5"/>
        <v>-1.7819993388205375E-4</v>
      </c>
    </row>
    <row r="53" spans="1:11" x14ac:dyDescent="0.3">
      <c r="B53" s="1">
        <v>46099</v>
      </c>
      <c r="C53" s="4">
        <v>32.5</v>
      </c>
      <c r="D53" s="4">
        <v>165.23</v>
      </c>
      <c r="E53" s="12">
        <f t="shared" si="0"/>
        <v>5.0839999999999996</v>
      </c>
      <c r="F53" s="13">
        <f t="shared" si="1"/>
        <v>5.086569480637209</v>
      </c>
      <c r="G53" s="13">
        <f t="shared" si="6"/>
        <v>5.0847113171121583</v>
      </c>
      <c r="H53" s="4">
        <f t="shared" si="2"/>
        <v>165.31350812070929</v>
      </c>
      <c r="I53" s="4">
        <f t="shared" si="3"/>
        <v>165.25311780614516</v>
      </c>
      <c r="J53" s="15">
        <f t="shared" si="4"/>
        <v>5.0527764384630087E-4</v>
      </c>
      <c r="K53" s="15">
        <f t="shared" si="5"/>
        <v>1.3990309905287227E-4</v>
      </c>
    </row>
    <row r="54" spans="1:11" x14ac:dyDescent="0.3">
      <c r="B54" s="1">
        <v>46100</v>
      </c>
      <c r="C54" s="4">
        <v>33.01</v>
      </c>
      <c r="D54" s="4">
        <v>167.89</v>
      </c>
      <c r="E54" s="12">
        <f t="shared" si="0"/>
        <v>5.0860345349893974</v>
      </c>
      <c r="F54" s="13">
        <f t="shared" si="1"/>
        <v>5.0866009194285642</v>
      </c>
      <c r="G54" s="13">
        <f t="shared" si="6"/>
        <v>5.0847113171121583</v>
      </c>
      <c r="H54" s="4">
        <f t="shared" si="2"/>
        <v>167.9086963503369</v>
      </c>
      <c r="I54" s="4">
        <f t="shared" si="3"/>
        <v>167.84632057787235</v>
      </c>
      <c r="J54" s="15">
        <f t="shared" si="4"/>
        <v>1.1135451423383896E-4</v>
      </c>
      <c r="K54" s="15">
        <f t="shared" si="5"/>
        <v>-2.6020075694464117E-4</v>
      </c>
    </row>
    <row r="55" spans="1:11" x14ac:dyDescent="0.3">
      <c r="A55" s="8" t="s">
        <v>15</v>
      </c>
      <c r="B55" s="1">
        <v>46101</v>
      </c>
      <c r="C55" s="10">
        <f>32.8+0.187</f>
        <v>32.986999999999995</v>
      </c>
      <c r="D55" s="4">
        <v>167.77</v>
      </c>
      <c r="E55" s="12">
        <f t="shared" si="0"/>
        <v>5.0859429472216338</v>
      </c>
      <c r="F55" s="13">
        <f t="shared" si="1"/>
        <v>5.0865423797416511</v>
      </c>
      <c r="G55" s="13">
        <f t="shared" si="6"/>
        <v>5.0847113171121583</v>
      </c>
      <c r="H55" s="4">
        <f t="shared" si="2"/>
        <v>167.78977348053783</v>
      </c>
      <c r="I55" s="4">
        <f t="shared" si="3"/>
        <v>167.72937221757874</v>
      </c>
      <c r="J55" s="15">
        <f t="shared" si="4"/>
        <v>1.1785370073192607E-4</v>
      </c>
      <c r="K55" s="15">
        <f t="shared" si="5"/>
        <v>-2.4219289801538532E-4</v>
      </c>
    </row>
    <row r="56" spans="1:11" x14ac:dyDescent="0.3">
      <c r="B56" s="1">
        <v>46104</v>
      </c>
      <c r="C56" s="10">
        <f>33.15+0.187</f>
        <v>33.336999999999996</v>
      </c>
      <c r="D56" s="4">
        <v>169.43</v>
      </c>
      <c r="E56" s="12">
        <f t="shared" si="0"/>
        <v>5.0823409424963266</v>
      </c>
      <c r="F56" s="13">
        <f t="shared" si="1"/>
        <v>5.0863493645918032</v>
      </c>
      <c r="G56" s="13">
        <f t="shared" si="6"/>
        <v>5.0847113171121583</v>
      </c>
      <c r="H56" s="4">
        <f t="shared" si="2"/>
        <v>169.56362876739692</v>
      </c>
      <c r="I56" s="4">
        <f t="shared" si="3"/>
        <v>169.50902117856799</v>
      </c>
      <c r="J56" s="15">
        <f t="shared" si="4"/>
        <v>7.8838516702647128E-4</v>
      </c>
      <c r="K56" s="15">
        <f t="shared" si="5"/>
        <v>4.662855266706938E-4</v>
      </c>
    </row>
    <row r="57" spans="1:11" x14ac:dyDescent="0.3">
      <c r="A57" s="8" t="s">
        <v>16</v>
      </c>
      <c r="B57" s="1">
        <v>46105</v>
      </c>
      <c r="C57" s="4">
        <v>33.85</v>
      </c>
      <c r="D57" s="4">
        <v>172.12</v>
      </c>
      <c r="E57" s="12">
        <f t="shared" si="0"/>
        <v>5.084785819793205</v>
      </c>
      <c r="F57" s="13">
        <f t="shared" si="1"/>
        <v>5.0863633034687883</v>
      </c>
      <c r="G57" s="13">
        <f t="shared" si="6"/>
        <v>5.0847113171121583</v>
      </c>
      <c r="H57" s="4">
        <f t="shared" si="2"/>
        <v>172.17339782241848</v>
      </c>
      <c r="I57" s="4">
        <f t="shared" si="3"/>
        <v>172.11747808424656</v>
      </c>
      <c r="J57" s="15">
        <f t="shared" si="4"/>
        <v>3.1018789895090814E-4</v>
      </c>
      <c r="K57" s="15">
        <f t="shared" si="5"/>
        <v>-1.4652185854562939E-5</v>
      </c>
    </row>
    <row r="58" spans="1:11" x14ac:dyDescent="0.3">
      <c r="B58" s="1">
        <v>46106</v>
      </c>
      <c r="C58" s="4">
        <v>33.71</v>
      </c>
      <c r="D58" s="4">
        <v>171.44</v>
      </c>
      <c r="E58" s="12">
        <f t="shared" si="0"/>
        <v>5.0857312370216547</v>
      </c>
      <c r="F58" s="13">
        <f t="shared" si="1"/>
        <v>5.0861896941546307</v>
      </c>
      <c r="G58" s="13">
        <f t="shared" si="6"/>
        <v>5.0847113171121583</v>
      </c>
      <c r="H58" s="4">
        <f t="shared" si="2"/>
        <v>171.45545458995261</v>
      </c>
      <c r="I58" s="4">
        <f t="shared" si="3"/>
        <v>171.40561849985087</v>
      </c>
      <c r="J58" s="15">
        <f t="shared" si="4"/>
        <v>9.0141702120680758E-5</v>
      </c>
      <c r="K58" s="15">
        <f t="shared" si="5"/>
        <v>-2.0056549309176527E-4</v>
      </c>
    </row>
    <row r="59" spans="1:11" x14ac:dyDescent="0.3">
      <c r="B59" s="1">
        <v>46107</v>
      </c>
      <c r="C59" s="4">
        <v>34.229999999999997</v>
      </c>
      <c r="D59" s="4">
        <v>174.14</v>
      </c>
      <c r="E59" s="12">
        <f t="shared" si="0"/>
        <v>5.0873502775343269</v>
      </c>
      <c r="F59" s="13">
        <f t="shared" si="1"/>
        <v>5.0861309785231503</v>
      </c>
      <c r="G59" s="13">
        <f t="shared" si="6"/>
        <v>5.0847113171121583</v>
      </c>
      <c r="H59" s="4">
        <f t="shared" si="2"/>
        <v>174.09826339484741</v>
      </c>
      <c r="I59" s="4">
        <f t="shared" si="3"/>
        <v>174.04966838474917</v>
      </c>
      <c r="J59" s="15">
        <f t="shared" si="4"/>
        <v>-2.397014328382534E-4</v>
      </c>
      <c r="K59" s="15">
        <f t="shared" si="5"/>
        <v>-5.1886443211515189E-4</v>
      </c>
    </row>
    <row r="60" spans="1:11" x14ac:dyDescent="0.3">
      <c r="B60" s="1">
        <v>46108</v>
      </c>
      <c r="C60" s="4">
        <v>34.79</v>
      </c>
      <c r="D60" s="4">
        <v>176.95</v>
      </c>
      <c r="E60" s="12">
        <f t="shared" si="0"/>
        <v>5.0862316757688992</v>
      </c>
      <c r="F60" s="13">
        <f t="shared" si="1"/>
        <v>5.0862651429567567</v>
      </c>
      <c r="G60" s="13">
        <f t="shared" si="6"/>
        <v>5.0847113171121583</v>
      </c>
      <c r="H60" s="4">
        <f t="shared" si="2"/>
        <v>176.95116432346555</v>
      </c>
      <c r="I60" s="4">
        <f t="shared" si="3"/>
        <v>176.89710672233198</v>
      </c>
      <c r="J60" s="15">
        <f t="shared" si="4"/>
        <v>6.5799357726579185E-6</v>
      </c>
      <c r="K60" s="15">
        <f t="shared" si="5"/>
        <v>-2.9896120136125936E-4</v>
      </c>
    </row>
    <row r="61" spans="1:11" x14ac:dyDescent="0.3">
      <c r="B61" s="1">
        <v>46111</v>
      </c>
      <c r="C61" s="4">
        <v>34.409999999999997</v>
      </c>
      <c r="D61" s="4">
        <v>175</v>
      </c>
      <c r="E61" s="12">
        <f t="shared" si="0"/>
        <v>5.0857308921825055</v>
      </c>
      <c r="F61" s="13">
        <f t="shared" si="1"/>
        <v>5.0862203565510224</v>
      </c>
      <c r="G61" s="13">
        <f t="shared" si="6"/>
        <v>5.0847113171121583</v>
      </c>
      <c r="H61" s="4">
        <f t="shared" si="2"/>
        <v>175.01684246892066</v>
      </c>
      <c r="I61" s="4">
        <f t="shared" si="3"/>
        <v>174.96491642182934</v>
      </c>
      <c r="J61" s="15">
        <f t="shared" si="4"/>
        <v>9.62380485170039E-5</v>
      </c>
      <c r="K61" s="15">
        <f t="shared" si="5"/>
        <v>-2.0049768786472991E-4</v>
      </c>
    </row>
    <row r="62" spans="1:11" x14ac:dyDescent="0.3">
      <c r="B62" s="1">
        <v>46112</v>
      </c>
      <c r="C62" s="4">
        <v>34.020000000000003</v>
      </c>
      <c r="D62" s="4">
        <v>173.04</v>
      </c>
      <c r="E62" s="12">
        <f t="shared" si="0"/>
        <v>5.0864197530864192</v>
      </c>
      <c r="F62" s="13">
        <f t="shared" si="1"/>
        <v>5.0861844977323134</v>
      </c>
      <c r="G62" s="13">
        <f t="shared" si="6"/>
        <v>5.0847113171121583</v>
      </c>
      <c r="H62" s="4">
        <f t="shared" si="2"/>
        <v>173.03199661285331</v>
      </c>
      <c r="I62" s="4">
        <f t="shared" si="3"/>
        <v>172.98187900815563</v>
      </c>
      <c r="J62" s="15">
        <f t="shared" si="4"/>
        <v>-4.6252729064716622E-5</v>
      </c>
      <c r="K62" s="15">
        <f t="shared" si="5"/>
        <v>-3.3593825082710662E-4</v>
      </c>
    </row>
    <row r="63" spans="1:11" x14ac:dyDescent="0.3">
      <c r="B63" s="1">
        <v>46113</v>
      </c>
      <c r="C63" s="4">
        <v>32.799999999999997</v>
      </c>
      <c r="D63" s="4">
        <v>166.8</v>
      </c>
      <c r="E63" s="12">
        <f t="shared" si="0"/>
        <v>5.0853658536585371</v>
      </c>
      <c r="F63" s="13">
        <f t="shared" si="1"/>
        <v>5.0860485623563036</v>
      </c>
      <c r="G63" s="13">
        <f t="shared" si="6"/>
        <v>5.0847113171121583</v>
      </c>
      <c r="H63" s="4">
        <f t="shared" si="2"/>
        <v>166.82239284528674</v>
      </c>
      <c r="I63" s="4">
        <f t="shared" si="3"/>
        <v>166.77853120127878</v>
      </c>
      <c r="J63" s="15">
        <f t="shared" si="4"/>
        <v>1.3424066130195362E-4</v>
      </c>
      <c r="K63" s="15">
        <f t="shared" si="5"/>
        <v>-1.2871810828804739E-4</v>
      </c>
    </row>
    <row r="64" spans="1:11" x14ac:dyDescent="0.3">
      <c r="B64" s="1">
        <v>46114</v>
      </c>
      <c r="C64" s="4">
        <v>33.04</v>
      </c>
      <c r="D64" s="4">
        <v>168.06</v>
      </c>
      <c r="E64" s="12">
        <f t="shared" si="0"/>
        <v>5.086561743341405</v>
      </c>
      <c r="F64" s="13">
        <f t="shared" si="1"/>
        <v>5.0861382811358666</v>
      </c>
      <c r="G64" s="13">
        <f t="shared" si="6"/>
        <v>5.0847113171121583</v>
      </c>
      <c r="H64" s="4">
        <f t="shared" si="2"/>
        <v>168.04600880872903</v>
      </c>
      <c r="I64" s="4">
        <f t="shared" si="3"/>
        <v>167.99886191738571</v>
      </c>
      <c r="J64" s="15">
        <f t="shared" si="4"/>
        <v>-8.325463343338204E-5</v>
      </c>
      <c r="K64" s="15">
        <f t="shared" si="5"/>
        <v>-3.6385342103445537E-4</v>
      </c>
    </row>
    <row r="65" spans="2:11" x14ac:dyDescent="0.3">
      <c r="B65" s="1">
        <v>46118</v>
      </c>
      <c r="C65" s="4">
        <v>33.270000000000003</v>
      </c>
      <c r="D65" s="4">
        <v>169.13</v>
      </c>
      <c r="E65" s="12">
        <f t="shared" si="0"/>
        <v>5.0835587616471285</v>
      </c>
      <c r="F65" s="13">
        <f t="shared" si="1"/>
        <v>5.0859011729957171</v>
      </c>
      <c r="G65" s="13">
        <f t="shared" si="6"/>
        <v>5.0847113171121583</v>
      </c>
      <c r="H65" s="4">
        <f t="shared" si="2"/>
        <v>169.20793202556752</v>
      </c>
      <c r="I65" s="4">
        <f t="shared" si="3"/>
        <v>169.16834552032151</v>
      </c>
      <c r="J65" s="15">
        <f t="shared" si="4"/>
        <v>4.6067567109124569E-4</v>
      </c>
      <c r="K65" s="15">
        <f t="shared" si="5"/>
        <v>2.2669647069517408E-4</v>
      </c>
    </row>
    <row r="66" spans="2:11" x14ac:dyDescent="0.3">
      <c r="B66" s="1">
        <v>46119</v>
      </c>
      <c r="C66" s="4">
        <v>33.54</v>
      </c>
      <c r="D66" s="4">
        <v>170.54</v>
      </c>
      <c r="E66" s="12">
        <f t="shared" si="0"/>
        <v>5.0846750149075728</v>
      </c>
      <c r="F66" s="13">
        <f t="shared" si="1"/>
        <v>5.0858510362730645</v>
      </c>
      <c r="G66" s="13">
        <f t="shared" si="6"/>
        <v>5.0847113171121583</v>
      </c>
      <c r="H66" s="4">
        <f t="shared" si="2"/>
        <v>170.57944375659858</v>
      </c>
      <c r="I66" s="4">
        <f t="shared" si="3"/>
        <v>170.54121757594177</v>
      </c>
      <c r="J66" s="15">
        <f t="shared" si="4"/>
        <v>2.3126067714005486E-4</v>
      </c>
      <c r="K66" s="15">
        <f t="shared" si="5"/>
        <v>7.1395074196427056E-6</v>
      </c>
    </row>
    <row r="67" spans="2:11" x14ac:dyDescent="0.3">
      <c r="B67" s="1">
        <v>46120</v>
      </c>
      <c r="C67" s="4">
        <v>32.4</v>
      </c>
      <c r="D67" s="4">
        <v>164.78</v>
      </c>
      <c r="E67" s="12">
        <f t="shared" ref="E67:E130" si="7">D67/C67</f>
        <v>5.0858024691358024</v>
      </c>
      <c r="F67" s="13">
        <f t="shared" si="1"/>
        <v>5.0857708133394377</v>
      </c>
      <c r="G67" s="13">
        <f t="shared" si="6"/>
        <v>5.0847113171121583</v>
      </c>
      <c r="H67" s="4">
        <f t="shared" si="2"/>
        <v>164.77897435219776</v>
      </c>
      <c r="I67" s="4">
        <f t="shared" si="3"/>
        <v>164.74464667443391</v>
      </c>
      <c r="J67" s="15">
        <f t="shared" si="4"/>
        <v>-6.2243657861649049E-6</v>
      </c>
      <c r="K67" s="15">
        <f t="shared" si="5"/>
        <v>-2.1457166289996259E-4</v>
      </c>
    </row>
    <row r="68" spans="2:11" x14ac:dyDescent="0.3">
      <c r="B68" s="1">
        <v>46121</v>
      </c>
      <c r="C68" s="4">
        <v>31.99</v>
      </c>
      <c r="D68" s="4">
        <v>162.72999999999999</v>
      </c>
      <c r="E68" s="12">
        <f t="shared" si="7"/>
        <v>5.0869021569240385</v>
      </c>
      <c r="F68" s="13">
        <f t="shared" si="1"/>
        <v>5.0857529746159269</v>
      </c>
      <c r="G68" s="13">
        <f t="shared" si="6"/>
        <v>5.0847113171121583</v>
      </c>
      <c r="H68" s="4">
        <f t="shared" si="2"/>
        <v>162.69323765796349</v>
      </c>
      <c r="I68" s="4">
        <f t="shared" si="3"/>
        <v>162.65991503441793</v>
      </c>
      <c r="J68" s="15">
        <f t="shared" si="4"/>
        <v>-2.259355690604849E-4</v>
      </c>
      <c r="K68" s="15">
        <f t="shared" si="5"/>
        <v>-4.3077528483589141E-4</v>
      </c>
    </row>
    <row r="69" spans="2:11" x14ac:dyDescent="0.3">
      <c r="B69" s="1">
        <v>46122</v>
      </c>
      <c r="C69" s="4">
        <v>31.82</v>
      </c>
      <c r="D69" s="4">
        <v>161.79</v>
      </c>
      <c r="E69" s="12">
        <f t="shared" si="7"/>
        <v>5.0845380263984916</v>
      </c>
      <c r="F69" s="13">
        <f t="shared" si="1"/>
        <v>5.0856668270023508</v>
      </c>
      <c r="G69" s="13">
        <f t="shared" si="6"/>
        <v>5.0847113171121583</v>
      </c>
      <c r="H69" s="4">
        <f t="shared" si="2"/>
        <v>161.82591843521482</v>
      </c>
      <c r="I69" s="4">
        <f t="shared" si="3"/>
        <v>161.79551411050889</v>
      </c>
      <c r="J69" s="15">
        <f t="shared" si="4"/>
        <v>2.2198188232513591E-4</v>
      </c>
      <c r="K69" s="15">
        <f t="shared" si="5"/>
        <v>3.4081318655921699E-5</v>
      </c>
    </row>
    <row r="70" spans="2:11" x14ac:dyDescent="0.3">
      <c r="B70" s="1">
        <v>46125</v>
      </c>
      <c r="C70" s="4">
        <v>31.91</v>
      </c>
      <c r="D70" s="4">
        <v>162.31</v>
      </c>
      <c r="E70" s="12">
        <f t="shared" si="7"/>
        <v>5.0864932623002197</v>
      </c>
      <c r="F70" s="13">
        <f t="shared" si="1"/>
        <v>5.0855682328494662</v>
      </c>
      <c r="G70" s="13">
        <f t="shared" si="6"/>
        <v>5.0847113171121583</v>
      </c>
      <c r="H70" s="4">
        <f t="shared" si="2"/>
        <v>162.28048231022646</v>
      </c>
      <c r="I70" s="4">
        <f t="shared" si="3"/>
        <v>162.25313812904898</v>
      </c>
      <c r="J70" s="15">
        <f t="shared" si="4"/>
        <v>-1.8187649646915567E-4</v>
      </c>
      <c r="K70" s="15">
        <f t="shared" si="5"/>
        <v>-3.503902005666243E-4</v>
      </c>
    </row>
    <row r="71" spans="2:11" x14ac:dyDescent="0.3">
      <c r="B71" s="1">
        <v>46126</v>
      </c>
      <c r="C71" s="4">
        <v>31.2</v>
      </c>
      <c r="D71" s="4">
        <v>158.69</v>
      </c>
      <c r="E71" s="12">
        <f t="shared" si="7"/>
        <v>5.0862179487179491</v>
      </c>
      <c r="F71" s="13">
        <f t="shared" si="1"/>
        <v>5.0855150405098017</v>
      </c>
      <c r="G71" s="13">
        <f t="shared" si="6"/>
        <v>5.0847113171121583</v>
      </c>
      <c r="H71" s="4">
        <f t="shared" si="2"/>
        <v>158.66806926390581</v>
      </c>
      <c r="I71" s="4">
        <f t="shared" si="3"/>
        <v>158.64299309389932</v>
      </c>
      <c r="J71" s="15">
        <f t="shared" si="4"/>
        <v>-1.3820815194631121E-4</v>
      </c>
      <c r="K71" s="15">
        <f t="shared" si="5"/>
        <v>-2.9626233305400147E-4</v>
      </c>
    </row>
    <row r="72" spans="2:11" x14ac:dyDescent="0.3">
      <c r="B72" s="1">
        <v>46127</v>
      </c>
      <c r="C72" s="4">
        <v>31.15</v>
      </c>
      <c r="D72" s="4">
        <v>158.44999999999999</v>
      </c>
      <c r="E72" s="12">
        <f t="shared" si="7"/>
        <v>5.086677367576244</v>
      </c>
      <c r="F72" s="13">
        <f t="shared" si="1"/>
        <v>5.085568034235088</v>
      </c>
      <c r="G72" s="13">
        <f t="shared" si="6"/>
        <v>5.0847113171121583</v>
      </c>
      <c r="H72" s="4">
        <f t="shared" si="2"/>
        <v>158.41544426642298</v>
      </c>
      <c r="I72" s="4">
        <f t="shared" si="3"/>
        <v>158.38875752804373</v>
      </c>
      <c r="J72" s="15">
        <f t="shared" si="4"/>
        <v>-2.1810982762101875E-4</v>
      </c>
      <c r="K72" s="15">
        <f t="shared" si="5"/>
        <v>-3.8658447720713024E-4</v>
      </c>
    </row>
    <row r="73" spans="2:11" x14ac:dyDescent="0.3">
      <c r="B73" s="1">
        <v>46128</v>
      </c>
      <c r="C73" s="4">
        <v>31.65</v>
      </c>
      <c r="D73" s="4">
        <v>160.93</v>
      </c>
      <c r="E73" s="12">
        <f t="shared" si="7"/>
        <v>5.0846761453396532</v>
      </c>
      <c r="F73" s="13">
        <f t="shared" si="1"/>
        <v>5.0856018415020703</v>
      </c>
      <c r="G73" s="13">
        <f t="shared" si="6"/>
        <v>5.0847113171121583</v>
      </c>
      <c r="H73" s="4">
        <f t="shared" si="2"/>
        <v>160.95929828354051</v>
      </c>
      <c r="I73" s="4">
        <f t="shared" si="3"/>
        <v>160.93111318659982</v>
      </c>
      <c r="J73" s="15">
        <f t="shared" si="4"/>
        <v>1.8203950101881568E-4</v>
      </c>
      <c r="K73" s="15">
        <f t="shared" si="5"/>
        <v>6.9171860421421732E-6</v>
      </c>
    </row>
    <row r="74" spans="2:11" x14ac:dyDescent="0.3">
      <c r="B74" s="1">
        <v>46129</v>
      </c>
      <c r="C74" s="4">
        <v>30.69</v>
      </c>
      <c r="D74" s="4">
        <v>156.07</v>
      </c>
      <c r="E74" s="12">
        <f t="shared" si="7"/>
        <v>5.0853698273053105</v>
      </c>
      <c r="F74" s="13">
        <f t="shared" si="1"/>
        <v>5.0855686061178664</v>
      </c>
      <c r="G74" s="13">
        <f t="shared" si="6"/>
        <v>5.0847113171121583</v>
      </c>
      <c r="H74" s="4">
        <f t="shared" si="2"/>
        <v>156.07610052175733</v>
      </c>
      <c r="I74" s="4">
        <f t="shared" si="3"/>
        <v>156.04979032217216</v>
      </c>
      <c r="J74" s="15">
        <f t="shared" si="4"/>
        <v>3.9087605117589012E-5</v>
      </c>
      <c r="K74" s="15">
        <f t="shared" si="5"/>
        <v>-1.2949949655686593E-4</v>
      </c>
    </row>
    <row r="75" spans="2:11" x14ac:dyDescent="0.3">
      <c r="B75" s="1">
        <v>46132</v>
      </c>
      <c r="C75" s="4">
        <v>30.77</v>
      </c>
      <c r="D75" s="4">
        <v>156.44999999999999</v>
      </c>
      <c r="E75" s="12">
        <f t="shared" si="7"/>
        <v>5.0844978875528106</v>
      </c>
      <c r="F75" s="13">
        <f t="shared" si="1"/>
        <v>5.0854963531344257</v>
      </c>
      <c r="G75" s="13">
        <f t="shared" si="6"/>
        <v>5.0847113171121583</v>
      </c>
      <c r="H75" s="4">
        <f t="shared" si="2"/>
        <v>156.48072278594628</v>
      </c>
      <c r="I75" s="4">
        <f t="shared" si="3"/>
        <v>156.45656722754111</v>
      </c>
      <c r="J75" s="15">
        <f t="shared" si="4"/>
        <v>1.9635519179134875E-4</v>
      </c>
      <c r="K75" s="15">
        <f t="shared" si="5"/>
        <v>4.1975645319823955E-5</v>
      </c>
    </row>
    <row r="76" spans="2:11" x14ac:dyDescent="0.3">
      <c r="B76" s="1">
        <v>46133</v>
      </c>
      <c r="C76" s="4">
        <v>31.22</v>
      </c>
      <c r="D76" s="4">
        <v>158.69</v>
      </c>
      <c r="E76" s="12">
        <f t="shared" si="7"/>
        <v>5.0829596412556057</v>
      </c>
      <c r="F76" s="13">
        <f t="shared" si="1"/>
        <v>5.085527288072389</v>
      </c>
      <c r="G76" s="13">
        <f t="shared" si="6"/>
        <v>5.0847113171121583</v>
      </c>
      <c r="H76" s="4">
        <f t="shared" ref="H76:H139" si="8">C76*F76</f>
        <v>158.77016193361999</v>
      </c>
      <c r="I76" s="4">
        <f t="shared" ref="I76:I139" si="9">C76*G76</f>
        <v>158.74468732024158</v>
      </c>
      <c r="J76" s="15">
        <f t="shared" ref="J76:J139" si="10">LN(H76/D76)</f>
        <v>5.050204399536394E-4</v>
      </c>
      <c r="K76" s="15">
        <f t="shared" ref="K76:K139" si="11">LN(I76/D76)</f>
        <v>3.445579387953906E-4</v>
      </c>
    </row>
    <row r="77" spans="2:11" x14ac:dyDescent="0.3">
      <c r="B77" s="1">
        <v>46134</v>
      </c>
      <c r="C77" s="4">
        <v>31.62</v>
      </c>
      <c r="D77" s="4">
        <v>160.75</v>
      </c>
      <c r="E77" s="12">
        <f t="shared" si="7"/>
        <v>5.0838077166350413</v>
      </c>
      <c r="F77" s="13">
        <f t="shared" si="1"/>
        <v>5.0854783829144798</v>
      </c>
      <c r="G77" s="13">
        <f t="shared" si="6"/>
        <v>5.0847113171121583</v>
      </c>
      <c r="H77" s="4">
        <f t="shared" si="8"/>
        <v>160.80282646775586</v>
      </c>
      <c r="I77" s="4">
        <f t="shared" si="9"/>
        <v>160.77857184708645</v>
      </c>
      <c r="J77" s="15">
        <f t="shared" si="10"/>
        <v>3.2857100844938577E-4</v>
      </c>
      <c r="K77" s="15">
        <f t="shared" si="11"/>
        <v>1.7772508985755867E-4</v>
      </c>
    </row>
    <row r="78" spans="2:11" x14ac:dyDescent="0.3">
      <c r="B78" s="1">
        <v>46135</v>
      </c>
      <c r="C78" s="4">
        <v>31.86</v>
      </c>
      <c r="D78" s="4">
        <v>162.04</v>
      </c>
      <c r="E78" s="12">
        <f t="shared" si="7"/>
        <v>5.0860012554927811</v>
      </c>
      <c r="F78" s="13">
        <f t="shared" si="1"/>
        <v>5.0854918838380367</v>
      </c>
      <c r="G78" s="13">
        <f t="shared" si="6"/>
        <v>5.0847113171121583</v>
      </c>
      <c r="H78" s="4">
        <f t="shared" si="8"/>
        <v>162.02377141907985</v>
      </c>
      <c r="I78" s="4">
        <f t="shared" si="9"/>
        <v>161.99890256319335</v>
      </c>
      <c r="J78" s="15">
        <f t="shared" si="10"/>
        <v>-1.0015671213507859E-4</v>
      </c>
      <c r="K78" s="15">
        <f t="shared" si="11"/>
        <v>-2.5365742632698463E-4</v>
      </c>
    </row>
    <row r="79" spans="2:11" x14ac:dyDescent="0.3">
      <c r="B79" s="1">
        <v>46136</v>
      </c>
      <c r="C79" s="4">
        <v>31.8</v>
      </c>
      <c r="D79" s="4">
        <v>161.72</v>
      </c>
      <c r="E79" s="12">
        <f t="shared" si="7"/>
        <v>5.0855345911949685</v>
      </c>
      <c r="F79" s="13">
        <f t="shared" si="1"/>
        <v>5.0854010995210697</v>
      </c>
      <c r="G79" s="13">
        <f t="shared" si="6"/>
        <v>5.0847113171121583</v>
      </c>
      <c r="H79" s="4">
        <f t="shared" si="8"/>
        <v>161.71575496477001</v>
      </c>
      <c r="I79" s="4">
        <f t="shared" si="9"/>
        <v>161.69381988416663</v>
      </c>
      <c r="J79" s="15">
        <f t="shared" si="10"/>
        <v>-2.6249634835121262E-5</v>
      </c>
      <c r="K79" s="15">
        <f t="shared" si="11"/>
        <v>-1.618985601785908E-4</v>
      </c>
    </row>
    <row r="80" spans="2:11" x14ac:dyDescent="0.3">
      <c r="B80" s="1">
        <v>46139</v>
      </c>
      <c r="C80" s="4">
        <v>31.83</v>
      </c>
      <c r="D80" s="4">
        <v>161.88999999999999</v>
      </c>
      <c r="E80" s="12">
        <f t="shared" si="7"/>
        <v>5.0860823122840086</v>
      </c>
      <c r="F80" s="13">
        <f t="shared" si="1"/>
        <v>5.0853936313468244</v>
      </c>
      <c r="G80" s="13">
        <f t="shared" si="6"/>
        <v>5.0847113171121583</v>
      </c>
      <c r="H80" s="4">
        <f t="shared" si="8"/>
        <v>161.86807928576943</v>
      </c>
      <c r="I80" s="4">
        <f t="shared" si="9"/>
        <v>161.84636122367999</v>
      </c>
      <c r="J80" s="15">
        <f t="shared" si="10"/>
        <v>-1.3541416055105196E-4</v>
      </c>
      <c r="K80" s="15">
        <f t="shared" si="11"/>
        <v>-2.6959453315261088E-4</v>
      </c>
    </row>
    <row r="81" spans="2:11" x14ac:dyDescent="0.3">
      <c r="B81" s="1">
        <v>46140</v>
      </c>
      <c r="C81" s="4">
        <v>32.32</v>
      </c>
      <c r="D81" s="4">
        <v>164.43</v>
      </c>
      <c r="E81" s="12">
        <f t="shared" si="7"/>
        <v>5.0875618811881189</v>
      </c>
      <c r="F81" s="13">
        <f t="shared" si="1"/>
        <v>5.0854851807971055</v>
      </c>
      <c r="G81" s="13">
        <f t="shared" si="6"/>
        <v>5.0847113171121583</v>
      </c>
      <c r="H81" s="4">
        <f t="shared" si="8"/>
        <v>164.36288104336245</v>
      </c>
      <c r="I81" s="4">
        <f t="shared" si="9"/>
        <v>164.33786976906495</v>
      </c>
      <c r="J81" s="15">
        <f t="shared" si="10"/>
        <v>-4.0827500496294606E-4</v>
      </c>
      <c r="K81" s="15">
        <f t="shared" si="11"/>
        <v>-5.60457646979832E-4</v>
      </c>
    </row>
    <row r="82" spans="2:11" x14ac:dyDescent="0.3">
      <c r="B82" s="1">
        <v>46141</v>
      </c>
      <c r="C82" s="4">
        <v>33.049999999999997</v>
      </c>
      <c r="D82" s="4">
        <v>168.13</v>
      </c>
      <c r="E82" s="12">
        <f t="shared" si="7"/>
        <v>5.0871406959152798</v>
      </c>
      <c r="F82" s="13">
        <f t="shared" si="1"/>
        <v>5.085521227938548</v>
      </c>
      <c r="G82" s="13">
        <f t="shared" si="6"/>
        <v>5.0847113171121583</v>
      </c>
      <c r="H82" s="4">
        <f t="shared" si="8"/>
        <v>168.07647658336899</v>
      </c>
      <c r="I82" s="4">
        <f t="shared" si="9"/>
        <v>168.04970903055681</v>
      </c>
      <c r="J82" s="15">
        <f t="shared" si="10"/>
        <v>-3.1839610959964574E-4</v>
      </c>
      <c r="K82" s="15">
        <f t="shared" si="11"/>
        <v>-4.7766696688124609E-4</v>
      </c>
    </row>
    <row r="83" spans="2:11" x14ac:dyDescent="0.3">
      <c r="B83" s="1">
        <v>46142</v>
      </c>
      <c r="C83" s="4">
        <v>33.33</v>
      </c>
      <c r="D83" s="4">
        <v>169.58</v>
      </c>
      <c r="E83" s="12">
        <f t="shared" si="7"/>
        <v>5.087908790879089</v>
      </c>
      <c r="F83" s="13">
        <f t="shared" si="1"/>
        <v>5.0856483747995762</v>
      </c>
      <c r="G83" s="13">
        <f t="shared" si="6"/>
        <v>5.0847113171121583</v>
      </c>
      <c r="H83" s="4">
        <f t="shared" si="8"/>
        <v>169.50466033206988</v>
      </c>
      <c r="I83" s="4">
        <f t="shared" si="9"/>
        <v>169.47342819934823</v>
      </c>
      <c r="J83" s="15">
        <f t="shared" si="10"/>
        <v>-4.4437084883823714E-4</v>
      </c>
      <c r="K83" s="15">
        <f t="shared" si="11"/>
        <v>-6.2864312994832328E-4</v>
      </c>
    </row>
    <row r="84" spans="2:11" x14ac:dyDescent="0.3">
      <c r="B84" s="1">
        <v>46143</v>
      </c>
      <c r="C84" s="4">
        <v>32.92</v>
      </c>
      <c r="D84" s="4">
        <v>167.52</v>
      </c>
      <c r="E84" s="12">
        <f t="shared" si="7"/>
        <v>5.0886998784933173</v>
      </c>
      <c r="F84" s="13">
        <f t="shared" si="1"/>
        <v>5.0857552815571712</v>
      </c>
      <c r="G84" s="13">
        <f t="shared" si="6"/>
        <v>5.0847113171121583</v>
      </c>
      <c r="H84" s="4">
        <f t="shared" si="8"/>
        <v>167.42306386886207</v>
      </c>
      <c r="I84" s="4">
        <f t="shared" si="9"/>
        <v>167.38869655933226</v>
      </c>
      <c r="J84" s="15">
        <f t="shared" si="10"/>
        <v>-5.7882156283316905E-4</v>
      </c>
      <c r="K84" s="15">
        <f t="shared" si="11"/>
        <v>-7.8411488709727837E-4</v>
      </c>
    </row>
    <row r="85" spans="2:11" x14ac:dyDescent="0.3">
      <c r="B85" s="1">
        <v>46146</v>
      </c>
      <c r="C85" s="4">
        <v>33.25</v>
      </c>
      <c r="D85" s="4">
        <v>169.25</v>
      </c>
      <c r="E85" s="12">
        <f t="shared" si="7"/>
        <v>5.0902255639097742</v>
      </c>
      <c r="F85" s="13">
        <f t="shared" ref="F85:F148" si="12">AVERAGE(E66:E85)</f>
        <v>5.0860886216703038</v>
      </c>
      <c r="G85" s="13">
        <f t="shared" si="6"/>
        <v>5.0847113171121583</v>
      </c>
      <c r="H85" s="4">
        <f t="shared" si="8"/>
        <v>169.11244667053759</v>
      </c>
      <c r="I85" s="4">
        <f t="shared" si="9"/>
        <v>169.06665129397928</v>
      </c>
      <c r="J85" s="15">
        <f t="shared" si="10"/>
        <v>-8.1305321198293728E-4</v>
      </c>
      <c r="K85" s="15">
        <f t="shared" si="11"/>
        <v>-1.0838882642607364E-3</v>
      </c>
    </row>
    <row r="86" spans="2:11" x14ac:dyDescent="0.3">
      <c r="B86" s="1">
        <v>46147</v>
      </c>
      <c r="C86" s="4">
        <v>33.25</v>
      </c>
      <c r="D86" s="4">
        <v>169.23</v>
      </c>
      <c r="E86" s="12">
        <f t="shared" si="7"/>
        <v>5.0896240601503759</v>
      </c>
      <c r="F86" s="13">
        <f t="shared" si="12"/>
        <v>5.0863360739324435</v>
      </c>
      <c r="G86" s="13">
        <f t="shared" ref="G86:G149" si="13">G85</f>
        <v>5.0847113171121583</v>
      </c>
      <c r="H86" s="4">
        <f t="shared" si="8"/>
        <v>169.12067445825375</v>
      </c>
      <c r="I86" s="4">
        <f t="shared" si="9"/>
        <v>169.06665129397928</v>
      </c>
      <c r="J86" s="15">
        <f t="shared" si="10"/>
        <v>-6.4622626052623987E-4</v>
      </c>
      <c r="K86" s="15">
        <f t="shared" si="11"/>
        <v>-9.6571289187078347E-4</v>
      </c>
    </row>
    <row r="87" spans="2:11" x14ac:dyDescent="0.3">
      <c r="B87" s="1">
        <v>46148</v>
      </c>
      <c r="C87" s="4">
        <v>31.94</v>
      </c>
      <c r="D87" s="4">
        <v>162.43</v>
      </c>
      <c r="E87" s="12">
        <f t="shared" si="7"/>
        <v>5.0854727614276767</v>
      </c>
      <c r="F87" s="13">
        <f t="shared" si="12"/>
        <v>5.0863195885470374</v>
      </c>
      <c r="G87" s="13">
        <f t="shared" si="13"/>
        <v>5.0847113171121583</v>
      </c>
      <c r="H87" s="4">
        <f t="shared" si="8"/>
        <v>162.45704765819238</v>
      </c>
      <c r="I87" s="4">
        <f t="shared" si="9"/>
        <v>162.40567946856234</v>
      </c>
      <c r="J87" s="15">
        <f t="shared" si="10"/>
        <v>1.6650499581203598E-4</v>
      </c>
      <c r="K87" s="15">
        <f t="shared" si="11"/>
        <v>-1.4974051817762818E-4</v>
      </c>
    </row>
    <row r="88" spans="2:11" x14ac:dyDescent="0.3">
      <c r="B88" s="1">
        <v>46149</v>
      </c>
      <c r="C88" s="4">
        <v>31.32</v>
      </c>
      <c r="D88" s="4">
        <v>159.31</v>
      </c>
      <c r="E88" s="12">
        <f t="shared" si="7"/>
        <v>5.0865261813537677</v>
      </c>
      <c r="F88" s="13">
        <f t="shared" si="12"/>
        <v>5.0863007897685231</v>
      </c>
      <c r="G88" s="13">
        <f t="shared" si="13"/>
        <v>5.0847113171121583</v>
      </c>
      <c r="H88" s="4">
        <f t="shared" si="8"/>
        <v>159.30294073555015</v>
      </c>
      <c r="I88" s="4">
        <f t="shared" si="9"/>
        <v>159.2531584519528</v>
      </c>
      <c r="J88" s="15">
        <f t="shared" si="10"/>
        <v>-4.4312477922052768E-5</v>
      </c>
      <c r="K88" s="15">
        <f t="shared" si="11"/>
        <v>-3.5686203594067855E-4</v>
      </c>
    </row>
    <row r="89" spans="2:11" x14ac:dyDescent="0.3">
      <c r="B89" s="1">
        <v>46150</v>
      </c>
      <c r="C89" s="4">
        <v>31.15</v>
      </c>
      <c r="D89" s="4">
        <v>158.38</v>
      </c>
      <c r="E89" s="12">
        <f t="shared" si="7"/>
        <v>5.0844301765650082</v>
      </c>
      <c r="F89" s="13">
        <f t="shared" si="12"/>
        <v>5.0862953972768494</v>
      </c>
      <c r="G89" s="13">
        <f t="shared" si="13"/>
        <v>5.0847113171121583</v>
      </c>
      <c r="H89" s="4">
        <f t="shared" si="8"/>
        <v>158.43810162517386</v>
      </c>
      <c r="I89" s="4">
        <f t="shared" si="9"/>
        <v>158.38875752804373</v>
      </c>
      <c r="J89" s="15">
        <f t="shared" si="10"/>
        <v>3.6678223578250454E-4</v>
      </c>
      <c r="K89" s="15">
        <f t="shared" si="11"/>
        <v>5.5292877456063028E-5</v>
      </c>
    </row>
    <row r="90" spans="2:11" x14ac:dyDescent="0.3">
      <c r="B90" s="1">
        <v>46153</v>
      </c>
      <c r="C90" s="4">
        <v>31.95</v>
      </c>
      <c r="D90" s="4">
        <v>162.46</v>
      </c>
      <c r="E90" s="12">
        <f t="shared" si="7"/>
        <v>5.0848200312989045</v>
      </c>
      <c r="F90" s="13">
        <f t="shared" si="12"/>
        <v>5.0862117357267831</v>
      </c>
      <c r="G90" s="13">
        <f t="shared" si="13"/>
        <v>5.0847113171121583</v>
      </c>
      <c r="H90" s="4">
        <f t="shared" si="8"/>
        <v>162.50446495647071</v>
      </c>
      <c r="I90" s="4">
        <f t="shared" si="9"/>
        <v>162.45652658173344</v>
      </c>
      <c r="J90" s="15">
        <f t="shared" si="10"/>
        <v>2.7366042471235335E-4</v>
      </c>
      <c r="K90" s="15">
        <f t="shared" si="11"/>
        <v>-2.1380373003739314E-5</v>
      </c>
    </row>
    <row r="91" spans="2:11" x14ac:dyDescent="0.3">
      <c r="B91" s="1">
        <v>46154</v>
      </c>
      <c r="C91" s="4">
        <v>32.18</v>
      </c>
      <c r="D91" s="4">
        <v>163.66999999999999</v>
      </c>
      <c r="E91" s="12">
        <f t="shared" si="7"/>
        <v>5.0860783095090119</v>
      </c>
      <c r="F91" s="13">
        <f t="shared" si="12"/>
        <v>5.0862047537663369</v>
      </c>
      <c r="G91" s="13">
        <f t="shared" si="13"/>
        <v>5.0847113171121583</v>
      </c>
      <c r="H91" s="4">
        <f t="shared" si="8"/>
        <v>163.67406897620072</v>
      </c>
      <c r="I91" s="4">
        <f t="shared" si="9"/>
        <v>163.62601018466924</v>
      </c>
      <c r="J91" s="15">
        <f t="shared" si="10"/>
        <v>2.4860546358168854E-5</v>
      </c>
      <c r="K91" s="15">
        <f t="shared" si="11"/>
        <v>-2.6880752729496006E-4</v>
      </c>
    </row>
    <row r="92" spans="2:11" x14ac:dyDescent="0.3">
      <c r="B92" s="1">
        <v>46155</v>
      </c>
      <c r="C92" s="4">
        <v>32.159999999999997</v>
      </c>
      <c r="D92" s="4">
        <v>163.61000000000001</v>
      </c>
      <c r="E92" s="12">
        <f t="shared" si="7"/>
        <v>5.0873756218905486</v>
      </c>
      <c r="F92" s="13">
        <f t="shared" si="12"/>
        <v>5.0862396664820517</v>
      </c>
      <c r="G92" s="13">
        <f t="shared" si="13"/>
        <v>5.0847113171121583</v>
      </c>
      <c r="H92" s="4">
        <f t="shared" si="8"/>
        <v>163.57346767406275</v>
      </c>
      <c r="I92" s="4">
        <f t="shared" si="9"/>
        <v>163.52431595832698</v>
      </c>
      <c r="J92" s="15">
        <f t="shared" si="10"/>
        <v>-2.2331401001885099E-4</v>
      </c>
      <c r="K92" s="15">
        <f t="shared" si="11"/>
        <v>-5.2384625795945264E-4</v>
      </c>
    </row>
    <row r="93" spans="2:11" x14ac:dyDescent="0.3">
      <c r="B93" s="1">
        <v>46156</v>
      </c>
      <c r="C93" s="4">
        <v>32.42</v>
      </c>
      <c r="D93" s="4">
        <v>164.8</v>
      </c>
      <c r="E93" s="12">
        <f t="shared" si="7"/>
        <v>5.0832819247378165</v>
      </c>
      <c r="F93" s="13">
        <f t="shared" si="12"/>
        <v>5.0861699554519602</v>
      </c>
      <c r="G93" s="13">
        <f t="shared" si="13"/>
        <v>5.0847113171121583</v>
      </c>
      <c r="H93" s="4">
        <f t="shared" si="8"/>
        <v>164.89362995575254</v>
      </c>
      <c r="I93" s="4">
        <f t="shared" si="9"/>
        <v>164.84634090077617</v>
      </c>
      <c r="J93" s="15">
        <f t="shared" si="10"/>
        <v>5.6798160329769637E-4</v>
      </c>
      <c r="K93" s="15">
        <f t="shared" si="11"/>
        <v>2.811552584190262E-4</v>
      </c>
    </row>
    <row r="94" spans="2:11" x14ac:dyDescent="0.3">
      <c r="B94" s="1">
        <v>46157</v>
      </c>
      <c r="C94" s="4">
        <v>33.130000000000003</v>
      </c>
      <c r="D94" s="4">
        <v>168.38</v>
      </c>
      <c r="E94" s="12">
        <f t="shared" si="7"/>
        <v>5.082402656202837</v>
      </c>
      <c r="F94" s="13">
        <f t="shared" si="12"/>
        <v>5.0860215968968365</v>
      </c>
      <c r="G94" s="13">
        <f t="shared" si="13"/>
        <v>5.0847113171121583</v>
      </c>
      <c r="H94" s="4">
        <f t="shared" si="8"/>
        <v>168.4998955051922</v>
      </c>
      <c r="I94" s="4">
        <f t="shared" si="9"/>
        <v>168.45648593592583</v>
      </c>
      <c r="J94" s="15">
        <f t="shared" si="10"/>
        <v>7.1179973547895925E-4</v>
      </c>
      <c r="K94" s="15">
        <f t="shared" si="11"/>
        <v>4.5414282854707637E-4</v>
      </c>
    </row>
    <row r="95" spans="2:11" x14ac:dyDescent="0.3">
      <c r="B95" s="1">
        <v>46160</v>
      </c>
      <c r="C95" s="4">
        <v>33.72</v>
      </c>
      <c r="D95" s="4">
        <v>171.5</v>
      </c>
      <c r="E95" s="12">
        <f t="shared" si="7"/>
        <v>5.0860023724792409</v>
      </c>
      <c r="F95" s="13">
        <f t="shared" si="12"/>
        <v>5.0860968211431574</v>
      </c>
      <c r="G95" s="13">
        <f t="shared" si="13"/>
        <v>5.0847113171121583</v>
      </c>
      <c r="H95" s="4">
        <f t="shared" si="8"/>
        <v>171.50318480894725</v>
      </c>
      <c r="I95" s="4">
        <f t="shared" si="9"/>
        <v>171.45646561302198</v>
      </c>
      <c r="J95" s="15">
        <f t="shared" si="10"/>
        <v>1.8570142135049166E-5</v>
      </c>
      <c r="K95" s="15">
        <f t="shared" si="11"/>
        <v>-2.5387704607950415E-4</v>
      </c>
    </row>
    <row r="96" spans="2:11" x14ac:dyDescent="0.3">
      <c r="B96" s="1">
        <v>46161</v>
      </c>
      <c r="C96" s="4">
        <v>34.07</v>
      </c>
      <c r="D96" s="4">
        <v>173.25</v>
      </c>
      <c r="E96" s="12">
        <f t="shared" si="7"/>
        <v>5.0851188729087173</v>
      </c>
      <c r="F96" s="13">
        <f t="shared" si="12"/>
        <v>5.0862047827258134</v>
      </c>
      <c r="G96" s="13">
        <f t="shared" si="13"/>
        <v>5.0847113171121583</v>
      </c>
      <c r="H96" s="4">
        <f t="shared" si="8"/>
        <v>173.28699694746845</v>
      </c>
      <c r="I96" s="4">
        <f t="shared" si="9"/>
        <v>173.23611457401122</v>
      </c>
      <c r="J96" s="15">
        <f t="shared" si="10"/>
        <v>2.1352379650604482E-4</v>
      </c>
      <c r="K96" s="15">
        <f t="shared" si="11"/>
        <v>-8.0149970877061778E-5</v>
      </c>
    </row>
    <row r="97" spans="2:11" x14ac:dyDescent="0.3">
      <c r="B97" s="1">
        <v>46162</v>
      </c>
      <c r="C97" s="4">
        <v>33.29</v>
      </c>
      <c r="D97" s="4">
        <v>169.17</v>
      </c>
      <c r="E97" s="12">
        <f t="shared" si="7"/>
        <v>5.0817062180835082</v>
      </c>
      <c r="F97" s="13">
        <f t="shared" si="12"/>
        <v>5.0860997077982377</v>
      </c>
      <c r="G97" s="13">
        <f t="shared" si="13"/>
        <v>5.0847113171121583</v>
      </c>
      <c r="H97" s="4">
        <f t="shared" si="8"/>
        <v>169.31625927260333</v>
      </c>
      <c r="I97" s="4">
        <f t="shared" si="9"/>
        <v>169.27003974666374</v>
      </c>
      <c r="J97" s="15">
        <f t="shared" si="10"/>
        <v>8.6419627207484759E-4</v>
      </c>
      <c r="K97" s="15">
        <f t="shared" si="11"/>
        <v>5.9118152599360835E-4</v>
      </c>
    </row>
    <row r="98" spans="2:11" x14ac:dyDescent="0.3">
      <c r="B98" s="1">
        <v>46163</v>
      </c>
      <c r="C98" s="4">
        <v>32.92</v>
      </c>
      <c r="D98" s="4">
        <v>167.28</v>
      </c>
      <c r="E98" s="12">
        <f t="shared" si="7"/>
        <v>5.0814094775212633</v>
      </c>
      <c r="F98" s="13">
        <f t="shared" si="12"/>
        <v>5.0858701188996616</v>
      </c>
      <c r="G98" s="13">
        <f t="shared" si="13"/>
        <v>5.0847113171121583</v>
      </c>
      <c r="H98" s="4">
        <f t="shared" si="8"/>
        <v>167.42684431417686</v>
      </c>
      <c r="I98" s="4">
        <f t="shared" si="9"/>
        <v>167.38869655933226</v>
      </c>
      <c r="J98" s="15">
        <f t="shared" si="10"/>
        <v>8.7745037840064567E-4</v>
      </c>
      <c r="K98" s="15">
        <f t="shared" si="11"/>
        <v>6.4957711475143592E-4</v>
      </c>
    </row>
    <row r="99" spans="2:11" x14ac:dyDescent="0.3">
      <c r="B99" s="1">
        <v>46164</v>
      </c>
      <c r="C99" s="4">
        <v>33.06</v>
      </c>
      <c r="D99" s="4">
        <v>168.02</v>
      </c>
      <c r="E99" s="12">
        <f t="shared" si="7"/>
        <v>5.0822746521476105</v>
      </c>
      <c r="F99" s="13">
        <f t="shared" si="12"/>
        <v>5.0857071219472942</v>
      </c>
      <c r="G99" s="13">
        <f t="shared" si="13"/>
        <v>5.0847113171121583</v>
      </c>
      <c r="H99" s="4">
        <f t="shared" si="8"/>
        <v>168.13347745157756</v>
      </c>
      <c r="I99" s="4">
        <f t="shared" si="9"/>
        <v>168.10055614372797</v>
      </c>
      <c r="J99" s="15">
        <f t="shared" si="10"/>
        <v>6.7515265198742861E-4</v>
      </c>
      <c r="K99" s="15">
        <f t="shared" si="11"/>
        <v>4.7932888243755061E-4</v>
      </c>
    </row>
    <row r="100" spans="2:11" x14ac:dyDescent="0.3">
      <c r="B100" s="1">
        <v>46168</v>
      </c>
      <c r="C100" s="4">
        <v>32.200000000000003</v>
      </c>
      <c r="D100" s="4">
        <v>163.72</v>
      </c>
      <c r="E100" s="12">
        <f t="shared" si="7"/>
        <v>5.0844720496894409</v>
      </c>
      <c r="F100" s="13">
        <f t="shared" si="12"/>
        <v>5.0856266088175648</v>
      </c>
      <c r="G100" s="13">
        <f t="shared" si="13"/>
        <v>5.0847113171121583</v>
      </c>
      <c r="H100" s="4">
        <f t="shared" si="8"/>
        <v>163.7571768039256</v>
      </c>
      <c r="I100" s="4">
        <f t="shared" si="9"/>
        <v>163.7277044110115</v>
      </c>
      <c r="J100" s="15">
        <f t="shared" si="10"/>
        <v>2.2704974098123809E-4</v>
      </c>
      <c r="K100" s="15">
        <f t="shared" si="11"/>
        <v>4.7057352420687122E-5</v>
      </c>
    </row>
    <row r="101" spans="2:11" x14ac:dyDescent="0.3">
      <c r="B101" s="1">
        <v>46169</v>
      </c>
      <c r="C101" s="4">
        <v>31.64</v>
      </c>
      <c r="D101" s="4">
        <v>160.84</v>
      </c>
      <c r="E101" s="12">
        <f t="shared" si="7"/>
        <v>5.0834386852085967</v>
      </c>
      <c r="F101" s="13">
        <f t="shared" si="12"/>
        <v>5.0854204490185886</v>
      </c>
      <c r="G101" s="13">
        <f t="shared" si="13"/>
        <v>5.0847113171121583</v>
      </c>
      <c r="H101" s="4">
        <f t="shared" si="8"/>
        <v>160.90270300694814</v>
      </c>
      <c r="I101" s="4">
        <f t="shared" si="9"/>
        <v>160.88026607342869</v>
      </c>
      <c r="J101" s="15">
        <f t="shared" si="10"/>
        <v>3.8977112553574203E-4</v>
      </c>
      <c r="K101" s="15">
        <f t="shared" si="11"/>
        <v>2.5031729664018102E-4</v>
      </c>
    </row>
    <row r="102" spans="2:11" x14ac:dyDescent="0.3">
      <c r="B102" s="1">
        <v>46170</v>
      </c>
      <c r="C102" s="4">
        <v>31.61</v>
      </c>
      <c r="D102" s="4">
        <v>160.72</v>
      </c>
      <c r="E102" s="12">
        <f t="shared" si="7"/>
        <v>5.084466940841506</v>
      </c>
      <c r="F102" s="13">
        <f t="shared" si="12"/>
        <v>5.0852867612649018</v>
      </c>
      <c r="G102" s="13">
        <f t="shared" si="13"/>
        <v>5.0847113171121583</v>
      </c>
      <c r="H102" s="4">
        <f t="shared" si="8"/>
        <v>160.74591452358354</v>
      </c>
      <c r="I102" s="4">
        <f t="shared" si="9"/>
        <v>160.72772473391532</v>
      </c>
      <c r="J102" s="15">
        <f t="shared" si="10"/>
        <v>1.612271937326604E-4</v>
      </c>
      <c r="K102" s="15">
        <f t="shared" si="11"/>
        <v>4.8062147107882328E-5</v>
      </c>
    </row>
    <row r="103" spans="2:11" x14ac:dyDescent="0.3">
      <c r="B103" s="1">
        <v>46171</v>
      </c>
      <c r="C103" s="4">
        <v>31.28</v>
      </c>
      <c r="D103" s="4">
        <v>159.1</v>
      </c>
      <c r="E103" s="12">
        <f t="shared" si="7"/>
        <v>5.086317135549872</v>
      </c>
      <c r="F103" s="13">
        <f t="shared" si="12"/>
        <v>5.0852071784984396</v>
      </c>
      <c r="G103" s="13">
        <f t="shared" si="13"/>
        <v>5.0847113171121583</v>
      </c>
      <c r="H103" s="4">
        <f t="shared" si="8"/>
        <v>159.06528054343119</v>
      </c>
      <c r="I103" s="4">
        <f t="shared" si="9"/>
        <v>159.04976999926831</v>
      </c>
      <c r="J103" s="15">
        <f t="shared" si="10"/>
        <v>-2.1824792854401097E-4</v>
      </c>
      <c r="K103" s="15">
        <f t="shared" si="11"/>
        <v>-3.1576324037045395E-4</v>
      </c>
    </row>
    <row r="104" spans="2:11" x14ac:dyDescent="0.3">
      <c r="B104" s="1">
        <v>46174</v>
      </c>
      <c r="C104" s="4">
        <v>31.84</v>
      </c>
      <c r="D104" s="4">
        <v>161.83000000000001</v>
      </c>
      <c r="E104" s="12">
        <f t="shared" si="7"/>
        <v>5.0826005025125633</v>
      </c>
      <c r="F104" s="13">
        <f t="shared" si="12"/>
        <v>5.0849022096994023</v>
      </c>
      <c r="G104" s="13">
        <f t="shared" si="13"/>
        <v>5.0847113171121583</v>
      </c>
      <c r="H104" s="4">
        <f t="shared" si="8"/>
        <v>161.90328635682897</v>
      </c>
      <c r="I104" s="4">
        <f t="shared" si="9"/>
        <v>161.89720833685112</v>
      </c>
      <c r="J104" s="15">
        <f t="shared" si="10"/>
        <v>4.5275763209661504E-4</v>
      </c>
      <c r="K104" s="15">
        <f t="shared" si="11"/>
        <v>4.152158736484288E-4</v>
      </c>
    </row>
    <row r="105" spans="2:11" x14ac:dyDescent="0.3">
      <c r="B105" s="1">
        <v>46175</v>
      </c>
      <c r="C105" s="4">
        <v>32.22</v>
      </c>
      <c r="D105" s="4">
        <v>163.72</v>
      </c>
      <c r="E105" s="12">
        <f t="shared" si="7"/>
        <v>5.0813159528243332</v>
      </c>
      <c r="F105" s="13">
        <f t="shared" si="12"/>
        <v>5.0844567291451295</v>
      </c>
      <c r="G105" s="13">
        <f t="shared" si="13"/>
        <v>5.0847113171121583</v>
      </c>
      <c r="H105" s="4">
        <f t="shared" si="8"/>
        <v>163.82119581305608</v>
      </c>
      <c r="I105" s="4">
        <f t="shared" si="9"/>
        <v>163.82939863735373</v>
      </c>
      <c r="J105" s="15">
        <f t="shared" si="10"/>
        <v>6.1791199134349239E-4</v>
      </c>
      <c r="K105" s="15">
        <f t="shared" si="11"/>
        <v>6.6798255088648347E-4</v>
      </c>
    </row>
    <row r="106" spans="2:11" x14ac:dyDescent="0.3">
      <c r="B106" s="1">
        <v>46176</v>
      </c>
      <c r="C106" s="4">
        <v>32.58</v>
      </c>
      <c r="D106" s="4">
        <v>165.57</v>
      </c>
      <c r="E106" s="12">
        <f t="shared" si="7"/>
        <v>5.0819521178637199</v>
      </c>
      <c r="F106" s="13">
        <f t="shared" si="12"/>
        <v>5.084073132030797</v>
      </c>
      <c r="G106" s="13">
        <f t="shared" si="13"/>
        <v>5.0847113171121583</v>
      </c>
      <c r="H106" s="4">
        <f t="shared" si="8"/>
        <v>165.63910264156337</v>
      </c>
      <c r="I106" s="4">
        <f t="shared" si="9"/>
        <v>165.65989471151411</v>
      </c>
      <c r="J106" s="15">
        <f t="shared" si="10"/>
        <v>4.1727502061331584E-4</v>
      </c>
      <c r="K106" s="15">
        <f t="shared" si="11"/>
        <v>5.4279348063987606E-4</v>
      </c>
    </row>
    <row r="107" spans="2:11" x14ac:dyDescent="0.3">
      <c r="B107" s="1">
        <v>46177</v>
      </c>
      <c r="C107" s="4">
        <v>32.64</v>
      </c>
      <c r="D107" s="4">
        <v>165.86</v>
      </c>
      <c r="E107" s="12">
        <f t="shared" si="7"/>
        <v>5.0814950980392162</v>
      </c>
      <c r="F107" s="13">
        <f t="shared" si="12"/>
        <v>5.083874248861374</v>
      </c>
      <c r="G107" s="13">
        <f t="shared" si="13"/>
        <v>5.0847113171121583</v>
      </c>
      <c r="H107" s="4">
        <f t="shared" si="8"/>
        <v>165.93765548283525</v>
      </c>
      <c r="I107" s="4">
        <f t="shared" si="9"/>
        <v>165.96497739054084</v>
      </c>
      <c r="J107" s="15">
        <f t="shared" si="10"/>
        <v>4.6808940913185988E-4</v>
      </c>
      <c r="K107" s="15">
        <f t="shared" si="11"/>
        <v>6.3272749910877788E-4</v>
      </c>
    </row>
    <row r="108" spans="2:11" x14ac:dyDescent="0.3">
      <c r="B108" s="1">
        <v>46178</v>
      </c>
      <c r="C108" s="4">
        <v>31.95</v>
      </c>
      <c r="D108" s="4">
        <v>162.36000000000001</v>
      </c>
      <c r="E108" s="12">
        <f t="shared" si="7"/>
        <v>5.0816901408450708</v>
      </c>
      <c r="F108" s="13">
        <f t="shared" si="12"/>
        <v>5.0836324468359386</v>
      </c>
      <c r="G108" s="13">
        <f t="shared" si="13"/>
        <v>5.0847113171121583</v>
      </c>
      <c r="H108" s="4">
        <f t="shared" si="8"/>
        <v>162.42205667640823</v>
      </c>
      <c r="I108" s="4">
        <f t="shared" si="9"/>
        <v>162.45652658173344</v>
      </c>
      <c r="J108" s="15">
        <f t="shared" si="10"/>
        <v>3.8214350754749762E-4</v>
      </c>
      <c r="K108" s="15">
        <f t="shared" si="11"/>
        <v>5.9434527910708448E-4</v>
      </c>
    </row>
    <row r="109" spans="2:11" x14ac:dyDescent="0.3">
      <c r="B109" s="1">
        <v>46181</v>
      </c>
      <c r="C109" s="4">
        <v>32.340000000000003</v>
      </c>
      <c r="D109" s="4">
        <v>164.43</v>
      </c>
      <c r="E109" s="12">
        <f t="shared" si="7"/>
        <v>5.0844155844155843</v>
      </c>
      <c r="F109" s="13">
        <f t="shared" si="12"/>
        <v>5.0836317172284673</v>
      </c>
      <c r="G109" s="13">
        <f t="shared" si="13"/>
        <v>5.0847113171121583</v>
      </c>
      <c r="H109" s="4">
        <f t="shared" si="8"/>
        <v>164.40464973516865</v>
      </c>
      <c r="I109" s="4">
        <f t="shared" si="9"/>
        <v>164.43956399540721</v>
      </c>
      <c r="J109" s="15">
        <f t="shared" si="10"/>
        <v>-1.5418244337688067E-4</v>
      </c>
      <c r="K109" s="15">
        <f t="shared" si="11"/>
        <v>5.8162849086420162E-5</v>
      </c>
    </row>
    <row r="110" spans="2:11" x14ac:dyDescent="0.3">
      <c r="B110" s="1">
        <v>46182</v>
      </c>
      <c r="C110" s="4">
        <v>31.79</v>
      </c>
      <c r="D110" s="4">
        <v>161.56</v>
      </c>
      <c r="E110" s="12">
        <f t="shared" si="7"/>
        <v>5.082101289713747</v>
      </c>
      <c r="F110" s="13">
        <f t="shared" si="12"/>
        <v>5.0834957801492093</v>
      </c>
      <c r="G110" s="13">
        <f t="shared" si="13"/>
        <v>5.0847113171121583</v>
      </c>
      <c r="H110" s="4">
        <f t="shared" si="8"/>
        <v>161.60433085094337</v>
      </c>
      <c r="I110" s="4">
        <f t="shared" si="9"/>
        <v>161.6429727709955</v>
      </c>
      <c r="J110" s="15">
        <f t="shared" si="10"/>
        <v>2.7435485286819109E-4</v>
      </c>
      <c r="K110" s="15">
        <f t="shared" si="11"/>
        <v>5.1344065375946734E-4</v>
      </c>
    </row>
    <row r="111" spans="2:11" x14ac:dyDescent="0.3">
      <c r="B111" s="1">
        <v>46183</v>
      </c>
      <c r="C111" s="4">
        <v>32.28</v>
      </c>
      <c r="D111" s="4">
        <v>164.08</v>
      </c>
      <c r="E111" s="12">
        <f t="shared" si="7"/>
        <v>5.0830235439900866</v>
      </c>
      <c r="F111" s="13">
        <f t="shared" si="12"/>
        <v>5.0833430418732641</v>
      </c>
      <c r="G111" s="13">
        <f t="shared" si="13"/>
        <v>5.0847113171121583</v>
      </c>
      <c r="H111" s="4">
        <f t="shared" si="8"/>
        <v>164.09031339166899</v>
      </c>
      <c r="I111" s="4">
        <f t="shared" si="9"/>
        <v>164.13448131638049</v>
      </c>
      <c r="J111" s="15">
        <f t="shared" si="10"/>
        <v>6.2853897817835826E-5</v>
      </c>
      <c r="K111" s="15">
        <f t="shared" si="11"/>
        <v>3.3198606388319641E-4</v>
      </c>
    </row>
    <row r="112" spans="2:11" x14ac:dyDescent="0.3">
      <c r="B112" s="1">
        <v>46184</v>
      </c>
      <c r="C112" s="4">
        <v>31.68</v>
      </c>
      <c r="D112" s="4">
        <v>161.1</v>
      </c>
      <c r="E112" s="12">
        <f t="shared" si="7"/>
        <v>5.0852272727272725</v>
      </c>
      <c r="F112" s="13">
        <f t="shared" si="12"/>
        <v>5.0832356244150985</v>
      </c>
      <c r="G112" s="13">
        <f t="shared" si="13"/>
        <v>5.0847113171121583</v>
      </c>
      <c r="H112" s="4">
        <f t="shared" si="8"/>
        <v>161.03690458147031</v>
      </c>
      <c r="I112" s="4">
        <f t="shared" si="9"/>
        <v>161.08365452611318</v>
      </c>
      <c r="J112" s="15">
        <f t="shared" si="10"/>
        <v>-3.9173046266466089E-4</v>
      </c>
      <c r="K112" s="15">
        <f t="shared" si="11"/>
        <v>-1.0146681044310894E-4</v>
      </c>
    </row>
    <row r="113" spans="1:11" x14ac:dyDescent="0.3">
      <c r="B113" s="1">
        <v>46185</v>
      </c>
      <c r="C113" s="4">
        <v>31.93</v>
      </c>
      <c r="D113" s="4">
        <v>162.34</v>
      </c>
      <c r="E113" s="12">
        <f t="shared" si="7"/>
        <v>5.084246789852803</v>
      </c>
      <c r="F113" s="13">
        <f t="shared" si="12"/>
        <v>5.0832838676708487</v>
      </c>
      <c r="G113" s="13">
        <f t="shared" si="13"/>
        <v>5.0847113171121583</v>
      </c>
      <c r="H113" s="4">
        <f t="shared" si="8"/>
        <v>162.3092538947302</v>
      </c>
      <c r="I113" s="4">
        <f t="shared" si="9"/>
        <v>162.35483235539121</v>
      </c>
      <c r="J113" s="15">
        <f t="shared" si="10"/>
        <v>-1.894112183710171E-4</v>
      </c>
      <c r="K113" s="15">
        <f t="shared" si="11"/>
        <v>9.1361819921366514E-5</v>
      </c>
    </row>
    <row r="114" spans="1:11" x14ac:dyDescent="0.3">
      <c r="B114" s="1">
        <v>46188</v>
      </c>
      <c r="C114" s="4">
        <v>30.85</v>
      </c>
      <c r="D114" s="4">
        <v>156.76</v>
      </c>
      <c r="E114" s="12">
        <f t="shared" si="7"/>
        <v>5.0813614262560769</v>
      </c>
      <c r="F114" s="13">
        <f t="shared" si="12"/>
        <v>5.0832318061735107</v>
      </c>
      <c r="G114" s="13">
        <f t="shared" si="13"/>
        <v>5.0847113171121583</v>
      </c>
      <c r="H114" s="4">
        <f t="shared" si="8"/>
        <v>156.81770122045282</v>
      </c>
      <c r="I114" s="4">
        <f t="shared" si="9"/>
        <v>156.8633441329101</v>
      </c>
      <c r="J114" s="15">
        <f t="shared" si="10"/>
        <v>3.6801864979239764E-4</v>
      </c>
      <c r="K114" s="15">
        <f t="shared" si="11"/>
        <v>6.5903344622670354E-4</v>
      </c>
    </row>
    <row r="115" spans="1:11" x14ac:dyDescent="0.3">
      <c r="B115" s="1">
        <v>46189</v>
      </c>
      <c r="C115" s="4">
        <v>30.7</v>
      </c>
      <c r="D115" s="4">
        <v>155.94999999999999</v>
      </c>
      <c r="E115" s="12">
        <f t="shared" si="7"/>
        <v>5.0798045602605857</v>
      </c>
      <c r="F115" s="13">
        <f t="shared" si="12"/>
        <v>5.0829219155625776</v>
      </c>
      <c r="G115" s="13">
        <f t="shared" si="13"/>
        <v>5.0847113171121583</v>
      </c>
      <c r="H115" s="4">
        <f t="shared" si="8"/>
        <v>156.04570280777114</v>
      </c>
      <c r="I115" s="4">
        <f t="shared" si="9"/>
        <v>156.10063743534326</v>
      </c>
      <c r="J115" s="15">
        <f t="shared" si="10"/>
        <v>6.1348800583788967E-4</v>
      </c>
      <c r="K115" s="15">
        <f t="shared" si="11"/>
        <v>9.6546796559974341E-4</v>
      </c>
    </row>
    <row r="116" spans="1:11" x14ac:dyDescent="0.3">
      <c r="B116" s="1">
        <v>46190</v>
      </c>
      <c r="C116" s="4">
        <v>30.36</v>
      </c>
      <c r="D116" s="4">
        <v>154.28</v>
      </c>
      <c r="E116" s="12">
        <f t="shared" si="7"/>
        <v>5.0816864295125166</v>
      </c>
      <c r="F116" s="13">
        <f t="shared" si="12"/>
        <v>5.0827502933927677</v>
      </c>
      <c r="G116" s="13">
        <f t="shared" si="13"/>
        <v>5.0847113171121583</v>
      </c>
      <c r="H116" s="4">
        <f t="shared" si="8"/>
        <v>154.31229890740443</v>
      </c>
      <c r="I116" s="4">
        <f t="shared" si="9"/>
        <v>154.37183558752511</v>
      </c>
      <c r="J116" s="15">
        <f t="shared" si="10"/>
        <v>2.0933061282939644E-4</v>
      </c>
      <c r="K116" s="15">
        <f t="shared" si="11"/>
        <v>5.9507561366250051E-4</v>
      </c>
    </row>
    <row r="117" spans="1:11" x14ac:dyDescent="0.3">
      <c r="A117" s="8" t="s">
        <v>15</v>
      </c>
      <c r="B117" s="1">
        <v>46191</v>
      </c>
      <c r="C117" s="10">
        <f>29.66+0.21</f>
        <v>29.87</v>
      </c>
      <c r="D117" s="4">
        <v>151.82</v>
      </c>
      <c r="E117" s="12">
        <f t="shared" si="7"/>
        <v>5.0826916638767994</v>
      </c>
      <c r="F117" s="13">
        <f t="shared" si="12"/>
        <v>5.0827995656824321</v>
      </c>
      <c r="G117" s="13">
        <f t="shared" si="13"/>
        <v>5.0847113171121583</v>
      </c>
      <c r="H117" s="4">
        <f t="shared" si="8"/>
        <v>151.82322302693424</v>
      </c>
      <c r="I117" s="4">
        <f t="shared" si="9"/>
        <v>151.88032704214018</v>
      </c>
      <c r="J117" s="15">
        <f t="shared" si="10"/>
        <v>2.122903914824299E-5</v>
      </c>
      <c r="K117" s="15">
        <f t="shared" si="11"/>
        <v>3.9728006565670372E-4</v>
      </c>
    </row>
    <row r="118" spans="1:11" x14ac:dyDescent="0.3">
      <c r="B118" s="1">
        <v>46195</v>
      </c>
      <c r="C118" s="10">
        <f>30.03+0.21</f>
        <v>30.240000000000002</v>
      </c>
      <c r="D118" s="4">
        <v>153.75</v>
      </c>
      <c r="E118" s="12">
        <f t="shared" si="7"/>
        <v>5.0843253968253963</v>
      </c>
      <c r="F118" s="13">
        <f t="shared" si="12"/>
        <v>5.0829453616476385</v>
      </c>
      <c r="G118" s="13">
        <f t="shared" si="13"/>
        <v>5.0847113171121583</v>
      </c>
      <c r="H118" s="4">
        <f t="shared" si="8"/>
        <v>153.7082677362246</v>
      </c>
      <c r="I118" s="4">
        <f t="shared" si="9"/>
        <v>153.76167022947169</v>
      </c>
      <c r="J118" s="15">
        <f t="shared" si="10"/>
        <v>-2.714662015040914E-4</v>
      </c>
      <c r="K118" s="15">
        <f t="shared" si="11"/>
        <v>7.5901050965588213E-5</v>
      </c>
    </row>
    <row r="119" spans="1:11" x14ac:dyDescent="0.3">
      <c r="B119" s="1">
        <v>46196</v>
      </c>
      <c r="C119" s="10">
        <f>30.22+0.21</f>
        <v>30.43</v>
      </c>
      <c r="D119" s="4">
        <v>154.68</v>
      </c>
      <c r="E119" s="12">
        <f t="shared" si="7"/>
        <v>5.0831416365428854</v>
      </c>
      <c r="F119" s="13">
        <f t="shared" si="12"/>
        <v>5.0829887108674034</v>
      </c>
      <c r="G119" s="13">
        <f t="shared" si="13"/>
        <v>5.0847113171121583</v>
      </c>
      <c r="H119" s="4">
        <f t="shared" si="8"/>
        <v>154.67534647169509</v>
      </c>
      <c r="I119" s="4">
        <f t="shared" si="9"/>
        <v>154.72776537972297</v>
      </c>
      <c r="J119" s="15">
        <f t="shared" si="10"/>
        <v>-3.0085326523950325E-5</v>
      </c>
      <c r="K119" s="15">
        <f t="shared" si="11"/>
        <v>3.087535960437321E-4</v>
      </c>
    </row>
    <row r="120" spans="1:11" x14ac:dyDescent="0.3">
      <c r="A120" s="8" t="s">
        <v>16</v>
      </c>
      <c r="B120" s="1">
        <v>46197</v>
      </c>
      <c r="C120" s="4">
        <v>29.68</v>
      </c>
      <c r="D120" s="4">
        <v>150.88</v>
      </c>
      <c r="E120" s="12">
        <f t="shared" si="7"/>
        <v>5.0835579514824794</v>
      </c>
      <c r="F120" s="13">
        <f t="shared" si="12"/>
        <v>5.0829430059570555</v>
      </c>
      <c r="G120" s="13">
        <f t="shared" si="13"/>
        <v>5.0847113171121583</v>
      </c>
      <c r="H120" s="4">
        <f t="shared" si="8"/>
        <v>150.8617484168054</v>
      </c>
      <c r="I120" s="4">
        <f t="shared" si="9"/>
        <v>150.91423189188885</v>
      </c>
      <c r="J120" s="15">
        <f t="shared" si="10"/>
        <v>-1.2097486219667609E-4</v>
      </c>
      <c r="K120" s="15">
        <f t="shared" si="11"/>
        <v>2.2685584029267895E-4</v>
      </c>
    </row>
    <row r="121" spans="1:11" x14ac:dyDescent="0.3">
      <c r="B121" s="1">
        <v>46198</v>
      </c>
      <c r="C121" s="4">
        <v>30.02</v>
      </c>
      <c r="D121" s="4">
        <v>152.54</v>
      </c>
      <c r="E121" s="12">
        <f t="shared" si="7"/>
        <v>5.0812791472351764</v>
      </c>
      <c r="F121" s="13">
        <f t="shared" si="12"/>
        <v>5.0828350290583852</v>
      </c>
      <c r="G121" s="13">
        <f t="shared" si="13"/>
        <v>5.0847113171121583</v>
      </c>
      <c r="H121" s="4">
        <f t="shared" si="8"/>
        <v>152.58670757233273</v>
      </c>
      <c r="I121" s="4">
        <f t="shared" si="9"/>
        <v>152.64303373970699</v>
      </c>
      <c r="J121" s="15">
        <f t="shared" si="10"/>
        <v>3.061519790856048E-4</v>
      </c>
      <c r="K121" s="15">
        <f t="shared" si="11"/>
        <v>6.7522589548386924E-4</v>
      </c>
    </row>
    <row r="122" spans="1:11" x14ac:dyDescent="0.3">
      <c r="B122" s="1">
        <v>46199</v>
      </c>
      <c r="C122" s="4">
        <v>29.91</v>
      </c>
      <c r="D122" s="4">
        <v>152.07</v>
      </c>
      <c r="E122" s="12">
        <f t="shared" si="7"/>
        <v>5.0842527582748245</v>
      </c>
      <c r="F122" s="13">
        <f t="shared" si="12"/>
        <v>5.0828243199300509</v>
      </c>
      <c r="G122" s="13">
        <f t="shared" si="13"/>
        <v>5.0847113171121583</v>
      </c>
      <c r="H122" s="4">
        <f t="shared" si="8"/>
        <v>152.02727540910783</v>
      </c>
      <c r="I122" s="4">
        <f t="shared" si="9"/>
        <v>152.08371549482465</v>
      </c>
      <c r="J122" s="15">
        <f t="shared" si="10"/>
        <v>-2.8099292317440192E-4</v>
      </c>
      <c r="K122" s="15">
        <f t="shared" si="11"/>
        <v>9.018791574924058E-5</v>
      </c>
    </row>
    <row r="123" spans="1:11" x14ac:dyDescent="0.3">
      <c r="B123" s="1">
        <v>46202</v>
      </c>
      <c r="C123" s="4">
        <v>29.76</v>
      </c>
      <c r="D123" s="4">
        <v>151.28</v>
      </c>
      <c r="E123" s="12">
        <f t="shared" si="7"/>
        <v>5.083333333333333</v>
      </c>
      <c r="F123" s="13">
        <f t="shared" si="12"/>
        <v>5.0826751298192239</v>
      </c>
      <c r="G123" s="13">
        <f t="shared" si="13"/>
        <v>5.0847113171121583</v>
      </c>
      <c r="H123" s="4">
        <f t="shared" si="8"/>
        <v>151.2604118634201</v>
      </c>
      <c r="I123" s="4">
        <f t="shared" si="9"/>
        <v>151.32100879725783</v>
      </c>
      <c r="J123" s="15">
        <f t="shared" si="10"/>
        <v>-1.2949104211643666E-4</v>
      </c>
      <c r="K123" s="15">
        <f t="shared" si="11"/>
        <v>2.7104204094955721E-4</v>
      </c>
    </row>
    <row r="124" spans="1:11" x14ac:dyDescent="0.3">
      <c r="B124" s="1">
        <v>46203</v>
      </c>
      <c r="C124" s="4">
        <v>29.56</v>
      </c>
      <c r="D124" s="4">
        <v>150.13</v>
      </c>
      <c r="E124" s="12">
        <f t="shared" si="7"/>
        <v>5.0788227334235456</v>
      </c>
      <c r="F124" s="13">
        <f t="shared" si="12"/>
        <v>5.0824862413647729</v>
      </c>
      <c r="G124" s="13">
        <f t="shared" si="13"/>
        <v>5.0847113171121583</v>
      </c>
      <c r="H124" s="4">
        <f t="shared" si="8"/>
        <v>150.23829329474268</v>
      </c>
      <c r="I124" s="4">
        <f t="shared" si="9"/>
        <v>150.3040665338354</v>
      </c>
      <c r="J124" s="15">
        <f t="shared" si="10"/>
        <v>7.210701119415863E-4</v>
      </c>
      <c r="K124" s="15">
        <f t="shared" si="11"/>
        <v>1.1587670820477787E-3</v>
      </c>
    </row>
    <row r="125" spans="1:11" x14ac:dyDescent="0.3">
      <c r="B125" s="1">
        <v>46204</v>
      </c>
      <c r="C125" s="4">
        <v>29.38</v>
      </c>
      <c r="D125" s="4">
        <v>149.33000000000001</v>
      </c>
      <c r="E125" s="12">
        <f t="shared" si="7"/>
        <v>5.0827093260721581</v>
      </c>
      <c r="F125" s="13">
        <f t="shared" si="12"/>
        <v>5.0825559100271649</v>
      </c>
      <c r="G125" s="13">
        <f t="shared" si="13"/>
        <v>5.0847113171121583</v>
      </c>
      <c r="H125" s="4">
        <f t="shared" si="8"/>
        <v>149.32549263659811</v>
      </c>
      <c r="I125" s="4">
        <f t="shared" si="9"/>
        <v>149.38881849675519</v>
      </c>
      <c r="J125" s="15">
        <f t="shared" si="10"/>
        <v>-3.0184366357732573E-5</v>
      </c>
      <c r="K125" s="15">
        <f t="shared" si="11"/>
        <v>3.9380510281414018E-4</v>
      </c>
    </row>
    <row r="126" spans="1:11" x14ac:dyDescent="0.3">
      <c r="B126" s="1">
        <v>46205</v>
      </c>
      <c r="C126" s="4">
        <v>29.62</v>
      </c>
      <c r="D126" s="4">
        <v>150.44</v>
      </c>
      <c r="E126" s="12">
        <f t="shared" si="7"/>
        <v>5.0790006752194463</v>
      </c>
      <c r="F126" s="13">
        <f t="shared" si="12"/>
        <v>5.0824083378949512</v>
      </c>
      <c r="G126" s="13">
        <f t="shared" si="13"/>
        <v>5.0847113171121583</v>
      </c>
      <c r="H126" s="4">
        <f t="shared" si="8"/>
        <v>150.54093496844845</v>
      </c>
      <c r="I126" s="4">
        <f t="shared" si="9"/>
        <v>150.60914921286212</v>
      </c>
      <c r="J126" s="15">
        <f t="shared" si="10"/>
        <v>6.7070674920193299E-4</v>
      </c>
      <c r="K126" s="15">
        <f t="shared" si="11"/>
        <v>1.1237316637774939E-3</v>
      </c>
    </row>
    <row r="127" spans="1:11" x14ac:dyDescent="0.3">
      <c r="B127" s="1">
        <v>46209</v>
      </c>
      <c r="C127" s="4">
        <v>29.54</v>
      </c>
      <c r="D127" s="4">
        <v>150.15</v>
      </c>
      <c r="E127" s="12">
        <f t="shared" si="7"/>
        <v>5.0829383886255926</v>
      </c>
      <c r="F127" s="13">
        <f t="shared" si="12"/>
        <v>5.0824805024242696</v>
      </c>
      <c r="G127" s="13">
        <f t="shared" si="13"/>
        <v>5.0847113171121583</v>
      </c>
      <c r="H127" s="4">
        <f t="shared" si="8"/>
        <v>150.13647404161293</v>
      </c>
      <c r="I127" s="4">
        <f t="shared" si="9"/>
        <v>150.20237230749316</v>
      </c>
      <c r="J127" s="15">
        <f t="shared" si="10"/>
        <v>-9.0087030655581948E-5</v>
      </c>
      <c r="K127" s="15">
        <f t="shared" si="11"/>
        <v>3.4873910015495945E-4</v>
      </c>
    </row>
    <row r="128" spans="1:11" x14ac:dyDescent="0.3">
      <c r="B128" s="1">
        <v>46210</v>
      </c>
      <c r="C128" s="4">
        <v>30.37</v>
      </c>
      <c r="D128" s="4">
        <v>154.33000000000001</v>
      </c>
      <c r="E128" s="12">
        <f t="shared" si="7"/>
        <v>5.0816595324333225</v>
      </c>
      <c r="F128" s="13">
        <f t="shared" si="12"/>
        <v>5.0824789720036829</v>
      </c>
      <c r="G128" s="13">
        <f t="shared" si="13"/>
        <v>5.0847113171121583</v>
      </c>
      <c r="H128" s="4">
        <f t="shared" si="8"/>
        <v>154.35488637975186</v>
      </c>
      <c r="I128" s="4">
        <f t="shared" si="9"/>
        <v>154.42268270069624</v>
      </c>
      <c r="J128" s="15">
        <f t="shared" si="10"/>
        <v>1.6124132345851435E-4</v>
      </c>
      <c r="K128" s="15">
        <f t="shared" si="11"/>
        <v>6.0036857117751945E-4</v>
      </c>
    </row>
    <row r="129" spans="2:11" x14ac:dyDescent="0.3">
      <c r="B129" s="1">
        <v>46211</v>
      </c>
      <c r="C129" s="4">
        <v>30.88</v>
      </c>
      <c r="D129" s="4">
        <v>156.94</v>
      </c>
      <c r="E129" s="12">
        <f t="shared" si="7"/>
        <v>5.0822538860103625</v>
      </c>
      <c r="F129" s="13">
        <f t="shared" si="12"/>
        <v>5.082370887083421</v>
      </c>
      <c r="G129" s="13">
        <f t="shared" si="13"/>
        <v>5.0847113171121583</v>
      </c>
      <c r="H129" s="4">
        <f t="shared" si="8"/>
        <v>156.94361299313604</v>
      </c>
      <c r="I129" s="4">
        <f t="shared" si="9"/>
        <v>157.01588547242343</v>
      </c>
      <c r="J129" s="15">
        <f t="shared" si="10"/>
        <v>2.3021228166409542E-5</v>
      </c>
      <c r="K129" s="15">
        <f t="shared" si="11"/>
        <v>4.8341488350847351E-4</v>
      </c>
    </row>
    <row r="130" spans="2:11" x14ac:dyDescent="0.3">
      <c r="B130" s="1">
        <v>46212</v>
      </c>
      <c r="C130" s="4">
        <v>30.45</v>
      </c>
      <c r="D130" s="4">
        <v>154.81</v>
      </c>
      <c r="E130" s="12">
        <f t="shared" si="7"/>
        <v>5.0840722495894912</v>
      </c>
      <c r="F130" s="13">
        <f t="shared" si="12"/>
        <v>5.0824694350772086</v>
      </c>
      <c r="G130" s="13">
        <f t="shared" si="13"/>
        <v>5.0847113171121583</v>
      </c>
      <c r="H130" s="4">
        <f t="shared" si="8"/>
        <v>154.761194298101</v>
      </c>
      <c r="I130" s="4">
        <f t="shared" si="9"/>
        <v>154.82945960606523</v>
      </c>
      <c r="J130" s="15">
        <f t="shared" si="10"/>
        <v>-3.1531165174468559E-4</v>
      </c>
      <c r="K130" s="15">
        <f t="shared" si="11"/>
        <v>1.2569202979225195E-4</v>
      </c>
    </row>
    <row r="131" spans="2:11" x14ac:dyDescent="0.3">
      <c r="B131" s="1">
        <v>46213</v>
      </c>
      <c r="C131" s="4">
        <v>30.6</v>
      </c>
      <c r="D131" s="4">
        <v>155.5</v>
      </c>
      <c r="E131" s="12">
        <f t="shared" ref="E131:E163" si="14">D131/C131</f>
        <v>5.0816993464052285</v>
      </c>
      <c r="F131" s="13">
        <f t="shared" si="12"/>
        <v>5.0824032251979663</v>
      </c>
      <c r="G131" s="13">
        <f t="shared" si="13"/>
        <v>5.0847113171121583</v>
      </c>
      <c r="H131" s="4">
        <f t="shared" si="8"/>
        <v>155.52153869105777</v>
      </c>
      <c r="I131" s="4">
        <f t="shared" si="9"/>
        <v>155.59216630363204</v>
      </c>
      <c r="J131" s="15">
        <f t="shared" si="10"/>
        <v>1.3850289071850143E-4</v>
      </c>
      <c r="K131" s="15">
        <f t="shared" si="11"/>
        <v>5.9253376530656683E-4</v>
      </c>
    </row>
    <row r="132" spans="2:11" x14ac:dyDescent="0.3">
      <c r="B132" s="1">
        <v>46216</v>
      </c>
      <c r="C132" s="4">
        <v>31.51</v>
      </c>
      <c r="D132" s="4">
        <v>160.15</v>
      </c>
      <c r="E132" s="12">
        <f t="shared" si="14"/>
        <v>5.0825134877816565</v>
      </c>
      <c r="F132" s="13">
        <f t="shared" si="12"/>
        <v>5.0822675359506837</v>
      </c>
      <c r="G132" s="13">
        <f t="shared" si="13"/>
        <v>5.0847113171121583</v>
      </c>
      <c r="H132" s="4">
        <f t="shared" si="8"/>
        <v>160.14225005780605</v>
      </c>
      <c r="I132" s="4">
        <f t="shared" si="9"/>
        <v>160.21925360220411</v>
      </c>
      <c r="J132" s="15">
        <f t="shared" si="10"/>
        <v>-4.8392942346005522E-5</v>
      </c>
      <c r="K132" s="15">
        <f t="shared" si="11"/>
        <v>4.3233614027632616E-4</v>
      </c>
    </row>
    <row r="133" spans="2:11" x14ac:dyDescent="0.3">
      <c r="B133" s="1">
        <v>46217</v>
      </c>
      <c r="C133" s="4">
        <v>31.65</v>
      </c>
      <c r="D133" s="4">
        <v>160.91</v>
      </c>
      <c r="E133" s="12">
        <f t="shared" si="14"/>
        <v>5.0840442338072673</v>
      </c>
      <c r="F133" s="13">
        <f t="shared" si="12"/>
        <v>5.0822574081484069</v>
      </c>
      <c r="G133" s="13">
        <f t="shared" si="13"/>
        <v>5.0847113171121583</v>
      </c>
      <c r="H133" s="4">
        <f t="shared" si="8"/>
        <v>160.85344696789707</v>
      </c>
      <c r="I133" s="4">
        <f t="shared" si="9"/>
        <v>160.93111318659982</v>
      </c>
      <c r="J133" s="15">
        <f t="shared" si="10"/>
        <v>-3.5151931158236571E-4</v>
      </c>
      <c r="K133" s="15">
        <f t="shared" si="11"/>
        <v>1.312025453869415E-4</v>
      </c>
    </row>
    <row r="134" spans="2:11" x14ac:dyDescent="0.3">
      <c r="B134" s="1">
        <v>46218</v>
      </c>
      <c r="C134" s="4">
        <v>31.38</v>
      </c>
      <c r="D134" s="4">
        <v>159.41999999999999</v>
      </c>
      <c r="E134" s="12">
        <f t="shared" si="14"/>
        <v>5.0803059273422564</v>
      </c>
      <c r="F134" s="13">
        <f t="shared" si="12"/>
        <v>5.082204633202716</v>
      </c>
      <c r="G134" s="13">
        <f t="shared" si="13"/>
        <v>5.0847113171121583</v>
      </c>
      <c r="H134" s="4">
        <f t="shared" si="8"/>
        <v>159.47958138990123</v>
      </c>
      <c r="I134" s="4">
        <f t="shared" si="9"/>
        <v>159.55824113097952</v>
      </c>
      <c r="J134" s="15">
        <f t="shared" si="10"/>
        <v>3.7366866607249578E-4</v>
      </c>
      <c r="K134" s="15">
        <f t="shared" si="11"/>
        <v>8.667747313699086E-4</v>
      </c>
    </row>
    <row r="135" spans="2:11" x14ac:dyDescent="0.3">
      <c r="B135" s="1">
        <v>46219</v>
      </c>
      <c r="C135" s="4">
        <v>31.63</v>
      </c>
      <c r="D135" s="4">
        <v>160.76</v>
      </c>
      <c r="E135" s="12">
        <f t="shared" si="14"/>
        <v>5.0825165981662979</v>
      </c>
      <c r="F135" s="13">
        <f t="shared" si="12"/>
        <v>5.0823402350980009</v>
      </c>
      <c r="G135" s="13">
        <f t="shared" si="13"/>
        <v>5.0847113171121583</v>
      </c>
      <c r="H135" s="4">
        <f t="shared" si="8"/>
        <v>160.75442163614977</v>
      </c>
      <c r="I135" s="4">
        <f t="shared" si="9"/>
        <v>160.82941896025756</v>
      </c>
      <c r="J135" s="15">
        <f t="shared" si="10"/>
        <v>-3.4700551361885798E-5</v>
      </c>
      <c r="K135" s="15">
        <f t="shared" si="11"/>
        <v>4.3172416281743529E-4</v>
      </c>
    </row>
    <row r="136" spans="2:11" x14ac:dyDescent="0.3">
      <c r="B136" s="1">
        <v>46220</v>
      </c>
      <c r="C136" s="4">
        <v>32.020000000000003</v>
      </c>
      <c r="D136" s="4">
        <v>162.78</v>
      </c>
      <c r="E136" s="12">
        <f t="shared" si="14"/>
        <v>5.083697688944409</v>
      </c>
      <c r="F136" s="13">
        <f t="shared" si="12"/>
        <v>5.0824407980695963</v>
      </c>
      <c r="G136" s="13">
        <f t="shared" si="13"/>
        <v>5.0847113171121583</v>
      </c>
      <c r="H136" s="4">
        <f t="shared" si="8"/>
        <v>162.73975435418848</v>
      </c>
      <c r="I136" s="4">
        <f t="shared" si="9"/>
        <v>162.81245637393133</v>
      </c>
      <c r="J136" s="15">
        <f t="shared" si="10"/>
        <v>-2.4727006873319438E-4</v>
      </c>
      <c r="K136" s="15">
        <f t="shared" si="11"/>
        <v>1.9936809593368909E-4</v>
      </c>
    </row>
    <row r="137" spans="2:11" x14ac:dyDescent="0.3">
      <c r="B137" s="1">
        <v>46223</v>
      </c>
      <c r="C137" s="4">
        <v>32.159999999999997</v>
      </c>
      <c r="D137" s="4">
        <v>163.47999999999999</v>
      </c>
      <c r="E137" s="12">
        <f t="shared" si="14"/>
        <v>5.0833333333333339</v>
      </c>
      <c r="F137" s="13">
        <f t="shared" si="12"/>
        <v>5.0824728815424223</v>
      </c>
      <c r="G137" s="13">
        <f t="shared" si="13"/>
        <v>5.0847113171121583</v>
      </c>
      <c r="H137" s="4">
        <f t="shared" si="8"/>
        <v>163.45232787040428</v>
      </c>
      <c r="I137" s="4">
        <f t="shared" si="9"/>
        <v>163.52431595832698</v>
      </c>
      <c r="J137" s="15">
        <f t="shared" si="10"/>
        <v>-1.6928353241813532E-4</v>
      </c>
      <c r="K137" s="15">
        <f t="shared" si="11"/>
        <v>2.7104204094933522E-4</v>
      </c>
    </row>
    <row r="138" spans="2:11" x14ac:dyDescent="0.3">
      <c r="B138" s="1">
        <v>46224</v>
      </c>
      <c r="C138" s="4">
        <v>32.56</v>
      </c>
      <c r="D138" s="4">
        <v>165.52</v>
      </c>
      <c r="E138" s="12">
        <f t="shared" si="14"/>
        <v>5.0835380835380839</v>
      </c>
      <c r="F138" s="13">
        <f t="shared" si="12"/>
        <v>5.0824335158780567</v>
      </c>
      <c r="G138" s="13">
        <f t="shared" si="13"/>
        <v>5.0847113171121583</v>
      </c>
      <c r="H138" s="4">
        <f t="shared" si="8"/>
        <v>165.48403527698954</v>
      </c>
      <c r="I138" s="4">
        <f t="shared" si="9"/>
        <v>165.55820048517188</v>
      </c>
      <c r="J138" s="15">
        <f t="shared" si="10"/>
        <v>-2.1730685622550162E-4</v>
      </c>
      <c r="K138" s="15">
        <f t="shared" si="11"/>
        <v>2.3076412331222187E-4</v>
      </c>
    </row>
    <row r="139" spans="2:11" x14ac:dyDescent="0.3">
      <c r="B139" s="1">
        <v>46225</v>
      </c>
      <c r="C139" s="4">
        <v>32.950000000000003</v>
      </c>
      <c r="D139" s="4">
        <v>167.49</v>
      </c>
      <c r="E139" s="12">
        <f t="shared" si="14"/>
        <v>5.0831562974203335</v>
      </c>
      <c r="F139" s="13">
        <f t="shared" si="12"/>
        <v>5.0824342489219294</v>
      </c>
      <c r="G139" s="13">
        <f t="shared" si="13"/>
        <v>5.0847113171121583</v>
      </c>
      <c r="H139" s="4">
        <f t="shared" si="8"/>
        <v>167.46620850197758</v>
      </c>
      <c r="I139" s="4">
        <f t="shared" si="9"/>
        <v>167.54123789884562</v>
      </c>
      <c r="J139" s="15">
        <f t="shared" si="10"/>
        <v>-1.4205736426769558E-4</v>
      </c>
      <c r="K139" s="15">
        <f t="shared" si="11"/>
        <v>3.0586938439780971E-4</v>
      </c>
    </row>
    <row r="140" spans="2:11" x14ac:dyDescent="0.3">
      <c r="B140" s="1">
        <v>46226</v>
      </c>
      <c r="C140" s="4">
        <v>33.07</v>
      </c>
      <c r="D140" s="4">
        <v>168.17</v>
      </c>
      <c r="E140" s="12">
        <f t="shared" si="14"/>
        <v>5.0852736619292402</v>
      </c>
      <c r="F140" s="13">
        <f t="shared" si="12"/>
        <v>5.0825200344442667</v>
      </c>
      <c r="G140" s="13">
        <f t="shared" si="13"/>
        <v>5.0847113171121583</v>
      </c>
      <c r="H140" s="4">
        <f t="shared" ref="H140:H163" si="15">C140*F140</f>
        <v>168.07893753907189</v>
      </c>
      <c r="I140" s="4">
        <f t="shared" ref="I140:I163" si="16">C140*G140</f>
        <v>168.15140325689907</v>
      </c>
      <c r="J140" s="15">
        <f t="shared" ref="J140:J163" si="17">LN(H140/D140)</f>
        <v>-5.416371800060979E-4</v>
      </c>
      <c r="K140" s="15">
        <f t="shared" ref="K140:K163" si="18">LN(I140/D140)</f>
        <v>-1.105891146966639E-4</v>
      </c>
    </row>
    <row r="141" spans="2:11" x14ac:dyDescent="0.3">
      <c r="B141" s="1">
        <v>46227</v>
      </c>
      <c r="C141" s="4">
        <v>33.1</v>
      </c>
      <c r="D141" s="4">
        <v>168.23</v>
      </c>
      <c r="E141" s="12">
        <f t="shared" si="14"/>
        <v>5.082477341389728</v>
      </c>
      <c r="F141" s="13">
        <f t="shared" si="12"/>
        <v>5.0825799441519957</v>
      </c>
      <c r="G141" s="13">
        <f t="shared" si="13"/>
        <v>5.0847113171121583</v>
      </c>
      <c r="H141" s="4">
        <f t="shared" si="15"/>
        <v>168.23339615143107</v>
      </c>
      <c r="I141" s="4">
        <f t="shared" si="16"/>
        <v>168.30394459641244</v>
      </c>
      <c r="J141" s="15">
        <f t="shared" si="17"/>
        <v>2.018734560744144E-5</v>
      </c>
      <c r="K141" s="15">
        <f t="shared" si="18"/>
        <v>4.3944807820853464E-4</v>
      </c>
    </row>
    <row r="142" spans="2:11" x14ac:dyDescent="0.3">
      <c r="B142" s="1">
        <v>46230</v>
      </c>
      <c r="C142" s="4">
        <v>32.380000000000003</v>
      </c>
      <c r="D142" s="4">
        <v>164.52</v>
      </c>
      <c r="E142" s="12">
        <f t="shared" si="14"/>
        <v>5.0809141445336623</v>
      </c>
      <c r="F142" s="13">
        <f t="shared" si="12"/>
        <v>5.0824130134649383</v>
      </c>
      <c r="G142" s="13">
        <f t="shared" si="13"/>
        <v>5.0847113171121583</v>
      </c>
      <c r="H142" s="4">
        <f t="shared" si="15"/>
        <v>164.56853337599472</v>
      </c>
      <c r="I142" s="4">
        <f t="shared" si="16"/>
        <v>164.64295244809171</v>
      </c>
      <c r="J142" s="15">
        <f t="shared" si="17"/>
        <v>2.9495635018746971E-4</v>
      </c>
      <c r="K142" s="15">
        <f t="shared" si="18"/>
        <v>7.4706131352628548E-4</v>
      </c>
    </row>
    <row r="143" spans="2:11" x14ac:dyDescent="0.3">
      <c r="B143" s="1">
        <v>46231</v>
      </c>
      <c r="C143" s="4">
        <v>31.89</v>
      </c>
      <c r="D143" s="4">
        <v>162.02000000000001</v>
      </c>
      <c r="E143" s="12">
        <f t="shared" si="14"/>
        <v>5.0805895264973344</v>
      </c>
      <c r="F143" s="13">
        <f t="shared" si="12"/>
        <v>5.0822758231231377</v>
      </c>
      <c r="G143" s="13">
        <f t="shared" si="13"/>
        <v>5.0847113171121583</v>
      </c>
      <c r="H143" s="4">
        <f t="shared" si="15"/>
        <v>162.07377599939687</v>
      </c>
      <c r="I143" s="4">
        <f t="shared" si="16"/>
        <v>162.15144390270672</v>
      </c>
      <c r="J143" s="15">
        <f t="shared" si="17"/>
        <v>3.3185456724396645E-4</v>
      </c>
      <c r="K143" s="15">
        <f t="shared" si="18"/>
        <v>8.1095304588140447E-4</v>
      </c>
    </row>
    <row r="144" spans="2:11" x14ac:dyDescent="0.3">
      <c r="B144" s="1">
        <v>46232</v>
      </c>
      <c r="C144" s="4">
        <v>32.479999999999997</v>
      </c>
      <c r="D144" s="4">
        <v>165.14</v>
      </c>
      <c r="E144" s="12">
        <f t="shared" si="14"/>
        <v>5.0843596059113301</v>
      </c>
      <c r="F144" s="13">
        <f t="shared" si="12"/>
        <v>5.0825526667475271</v>
      </c>
      <c r="G144" s="13">
        <f t="shared" si="13"/>
        <v>5.0847113171121583</v>
      </c>
      <c r="H144" s="4">
        <f t="shared" si="15"/>
        <v>165.08131061595967</v>
      </c>
      <c r="I144" s="4">
        <f t="shared" si="16"/>
        <v>165.15142357980289</v>
      </c>
      <c r="J144" s="15">
        <f t="shared" si="17"/>
        <v>-3.554548587357244E-4</v>
      </c>
      <c r="K144" s="15">
        <f t="shared" si="18"/>
        <v>6.917273045509266E-5</v>
      </c>
    </row>
    <row r="145" spans="2:11" x14ac:dyDescent="0.3">
      <c r="B145" s="1">
        <v>46233</v>
      </c>
      <c r="C145" s="4">
        <v>32.71</v>
      </c>
      <c r="D145" s="4">
        <v>166.28</v>
      </c>
      <c r="E145" s="12">
        <f t="shared" si="14"/>
        <v>5.0834607153775604</v>
      </c>
      <c r="F145" s="13">
        <f t="shared" si="12"/>
        <v>5.0825902362127966</v>
      </c>
      <c r="G145" s="13">
        <f t="shared" si="13"/>
        <v>5.0847113171121583</v>
      </c>
      <c r="H145" s="4">
        <f t="shared" si="15"/>
        <v>166.25152662652059</v>
      </c>
      <c r="I145" s="4">
        <f t="shared" si="16"/>
        <v>166.32090718273869</v>
      </c>
      <c r="J145" s="15">
        <f t="shared" si="17"/>
        <v>-1.7125217472071369E-4</v>
      </c>
      <c r="K145" s="15">
        <f t="shared" si="18"/>
        <v>2.4598359211610378E-4</v>
      </c>
    </row>
    <row r="146" spans="2:11" x14ac:dyDescent="0.3">
      <c r="B146" s="1">
        <v>46234</v>
      </c>
      <c r="C146" s="4">
        <v>33.049999999999997</v>
      </c>
      <c r="D146" s="4">
        <v>167.97</v>
      </c>
      <c r="E146" s="12">
        <f t="shared" si="14"/>
        <v>5.0822995461422096</v>
      </c>
      <c r="F146" s="13">
        <f t="shared" si="12"/>
        <v>5.0827551797589354</v>
      </c>
      <c r="G146" s="13">
        <f t="shared" si="13"/>
        <v>5.0847113171121583</v>
      </c>
      <c r="H146" s="4">
        <f t="shared" si="15"/>
        <v>167.9850586910328</v>
      </c>
      <c r="I146" s="4">
        <f t="shared" si="16"/>
        <v>168.04970903055681</v>
      </c>
      <c r="J146" s="15">
        <f t="shared" si="17"/>
        <v>8.9647056374426128E-5</v>
      </c>
      <c r="K146" s="15">
        <f t="shared" si="18"/>
        <v>4.7443069504397032E-4</v>
      </c>
    </row>
    <row r="147" spans="2:11" x14ac:dyDescent="0.3">
      <c r="B147" s="1">
        <v>46237</v>
      </c>
      <c r="C147" s="4">
        <v>32.630000000000003</v>
      </c>
      <c r="D147" s="4">
        <v>165.87</v>
      </c>
      <c r="E147" s="12">
        <f t="shared" si="14"/>
        <v>5.083358872203493</v>
      </c>
      <c r="F147" s="13">
        <f t="shared" si="12"/>
        <v>5.0827762039378301</v>
      </c>
      <c r="G147" s="13">
        <f t="shared" si="13"/>
        <v>5.0847113171121583</v>
      </c>
      <c r="H147" s="4">
        <f t="shared" si="15"/>
        <v>165.85098753449142</v>
      </c>
      <c r="I147" s="4">
        <f t="shared" si="16"/>
        <v>165.91413027736974</v>
      </c>
      <c r="J147" s="15">
        <f t="shared" si="17"/>
        <v>-1.1462925918985163E-4</v>
      </c>
      <c r="K147" s="15">
        <f t="shared" si="18"/>
        <v>2.6601801353837726E-4</v>
      </c>
    </row>
    <row r="148" spans="2:11" x14ac:dyDescent="0.3">
      <c r="B148" s="1">
        <v>46238</v>
      </c>
      <c r="C148" s="4">
        <v>32.5</v>
      </c>
      <c r="D148" s="4">
        <v>165.25</v>
      </c>
      <c r="E148" s="12">
        <f t="shared" si="14"/>
        <v>5.0846153846153843</v>
      </c>
      <c r="F148" s="13">
        <f t="shared" si="12"/>
        <v>5.0829239965469331</v>
      </c>
      <c r="G148" s="13">
        <f t="shared" si="13"/>
        <v>5.0847113171121583</v>
      </c>
      <c r="H148" s="4">
        <f t="shared" si="15"/>
        <v>165.19502988777532</v>
      </c>
      <c r="I148" s="4">
        <f t="shared" si="16"/>
        <v>165.25311780614516</v>
      </c>
      <c r="J148" s="15">
        <f t="shared" si="17"/>
        <v>-3.3270352258235874E-4</v>
      </c>
      <c r="K148" s="15">
        <f t="shared" si="18"/>
        <v>1.8867030156505925E-5</v>
      </c>
    </row>
    <row r="149" spans="2:11" x14ac:dyDescent="0.3">
      <c r="B149" s="1">
        <v>46239</v>
      </c>
      <c r="C149" s="4">
        <v>31.79</v>
      </c>
      <c r="D149" s="4">
        <v>161.57</v>
      </c>
      <c r="E149" s="12">
        <f t="shared" si="14"/>
        <v>5.0824158540421518</v>
      </c>
      <c r="F149" s="13">
        <f t="shared" ref="F149:F163" si="19">AVERAGE(E130:E149)</f>
        <v>5.0829320949485233</v>
      </c>
      <c r="G149" s="13">
        <f t="shared" si="13"/>
        <v>5.0847113171121583</v>
      </c>
      <c r="H149" s="4">
        <f t="shared" si="15"/>
        <v>161.58641129841354</v>
      </c>
      <c r="I149" s="4">
        <f t="shared" si="16"/>
        <v>161.6429727709955</v>
      </c>
      <c r="J149" s="15">
        <f t="shared" si="17"/>
        <v>1.0156876270367025E-4</v>
      </c>
      <c r="K149" s="15">
        <f t="shared" si="18"/>
        <v>4.515460602326291E-4</v>
      </c>
    </row>
    <row r="150" spans="2:11" x14ac:dyDescent="0.3">
      <c r="B150" s="1">
        <v>46240</v>
      </c>
      <c r="C150" s="4">
        <v>32.299999999999997</v>
      </c>
      <c r="D150" s="4">
        <v>164.12</v>
      </c>
      <c r="E150" s="12">
        <f t="shared" si="14"/>
        <v>5.0811145510835916</v>
      </c>
      <c r="F150" s="13">
        <f t="shared" si="19"/>
        <v>5.0827842100232274</v>
      </c>
      <c r="G150" s="13">
        <f t="shared" ref="G150:G172" si="20">G149</f>
        <v>5.0847113171121583</v>
      </c>
      <c r="H150" s="4">
        <f t="shared" si="15"/>
        <v>164.17392998375024</v>
      </c>
      <c r="I150" s="4">
        <f t="shared" si="16"/>
        <v>164.23617554272269</v>
      </c>
      <c r="J150" s="15">
        <f t="shared" si="17"/>
        <v>3.2854694717025627E-4</v>
      </c>
      <c r="K150" s="15">
        <f t="shared" si="18"/>
        <v>7.0761908088570595E-4</v>
      </c>
    </row>
    <row r="151" spans="2:11" x14ac:dyDescent="0.3">
      <c r="B151" s="1">
        <v>46241</v>
      </c>
      <c r="C151" s="4">
        <v>31.95</v>
      </c>
      <c r="D151" s="4">
        <v>162.37</v>
      </c>
      <c r="E151" s="12">
        <f t="shared" si="14"/>
        <v>5.0820031298904542</v>
      </c>
      <c r="F151" s="13">
        <f t="shared" si="19"/>
        <v>5.0827993991974889</v>
      </c>
      <c r="G151" s="13">
        <f t="shared" si="20"/>
        <v>5.0847113171121583</v>
      </c>
      <c r="H151" s="4">
        <f t="shared" si="15"/>
        <v>162.39544080435977</v>
      </c>
      <c r="I151" s="4">
        <f t="shared" si="16"/>
        <v>162.45652658173344</v>
      </c>
      <c r="J151" s="15">
        <f t="shared" si="17"/>
        <v>1.5667186969631477E-4</v>
      </c>
      <c r="K151" s="15">
        <f t="shared" si="18"/>
        <v>5.3275565078112397E-4</v>
      </c>
    </row>
    <row r="152" spans="2:11" x14ac:dyDescent="0.3">
      <c r="B152" s="1">
        <v>46244</v>
      </c>
      <c r="C152" s="4">
        <v>33.450000000000003</v>
      </c>
      <c r="D152" s="4">
        <v>170.07</v>
      </c>
      <c r="E152" s="12">
        <f t="shared" si="14"/>
        <v>5.0843049327354253</v>
      </c>
      <c r="F152" s="13">
        <f t="shared" si="19"/>
        <v>5.0828889714451773</v>
      </c>
      <c r="G152" s="13">
        <f t="shared" si="20"/>
        <v>5.0847113171121583</v>
      </c>
      <c r="H152" s="4">
        <f t="shared" si="15"/>
        <v>170.0226360948412</v>
      </c>
      <c r="I152" s="4">
        <f t="shared" si="16"/>
        <v>170.08359355740171</v>
      </c>
      <c r="J152" s="15">
        <f t="shared" si="17"/>
        <v>-2.7853531913462216E-4</v>
      </c>
      <c r="K152" s="15">
        <f t="shared" si="18"/>
        <v>7.9925996175966523E-5</v>
      </c>
    </row>
    <row r="153" spans="2:11" x14ac:dyDescent="0.3">
      <c r="B153" s="1">
        <v>46245</v>
      </c>
      <c r="C153" s="4">
        <v>33.82</v>
      </c>
      <c r="D153" s="4">
        <v>171.96</v>
      </c>
      <c r="E153" s="12">
        <f t="shared" si="14"/>
        <v>5.0845653459491427</v>
      </c>
      <c r="F153" s="13">
        <f t="shared" si="19"/>
        <v>5.0829150270522714</v>
      </c>
      <c r="G153" s="13">
        <f t="shared" si="20"/>
        <v>5.0847113171121583</v>
      </c>
      <c r="H153" s="4">
        <f t="shared" si="15"/>
        <v>171.90418621490781</v>
      </c>
      <c r="I153" s="4">
        <f t="shared" si="16"/>
        <v>171.96493674473319</v>
      </c>
      <c r="J153" s="15">
        <f t="shared" si="17"/>
        <v>-3.2462691853267142E-4</v>
      </c>
      <c r="K153" s="15">
        <f t="shared" si="18"/>
        <v>2.870826861375347E-5</v>
      </c>
    </row>
    <row r="154" spans="2:11" x14ac:dyDescent="0.3">
      <c r="B154" s="1">
        <v>46246</v>
      </c>
      <c r="C154" s="4">
        <v>33.89</v>
      </c>
      <c r="D154" s="4">
        <v>172.29</v>
      </c>
      <c r="E154" s="12">
        <f t="shared" si="14"/>
        <v>5.0838005311301266</v>
      </c>
      <c r="F154" s="13">
        <f t="shared" si="19"/>
        <v>5.0830897572416642</v>
      </c>
      <c r="G154" s="13">
        <f t="shared" si="20"/>
        <v>5.0847113171121583</v>
      </c>
      <c r="H154" s="4">
        <f t="shared" si="15"/>
        <v>172.26591187292001</v>
      </c>
      <c r="I154" s="4">
        <f t="shared" si="16"/>
        <v>172.32086653693105</v>
      </c>
      <c r="J154" s="15">
        <f t="shared" si="17"/>
        <v>-1.3982129627835516E-4</v>
      </c>
      <c r="K154" s="15">
        <f t="shared" si="18"/>
        <v>1.7913850090558802E-4</v>
      </c>
    </row>
    <row r="155" spans="2:11" x14ac:dyDescent="0.3">
      <c r="B155" s="1">
        <v>46247</v>
      </c>
      <c r="C155" s="4">
        <v>33.89</v>
      </c>
      <c r="D155" s="4">
        <v>172.3</v>
      </c>
      <c r="E155" s="12">
        <f t="shared" si="14"/>
        <v>5.0840956034228393</v>
      </c>
      <c r="F155" s="13">
        <f t="shared" si="19"/>
        <v>5.0831687075044911</v>
      </c>
      <c r="G155" s="13">
        <f t="shared" si="20"/>
        <v>5.0847113171121583</v>
      </c>
      <c r="H155" s="4">
        <f t="shared" si="15"/>
        <v>172.26858749732722</v>
      </c>
      <c r="I155" s="4">
        <f t="shared" si="16"/>
        <v>172.32086653693105</v>
      </c>
      <c r="J155" s="15">
        <f t="shared" si="17"/>
        <v>-1.8232946298424844E-4</v>
      </c>
      <c r="K155" s="15">
        <f t="shared" si="18"/>
        <v>1.210985113363974E-4</v>
      </c>
    </row>
    <row r="156" spans="2:11" x14ac:dyDescent="0.3">
      <c r="B156" s="1">
        <v>46248</v>
      </c>
      <c r="C156" s="4">
        <v>34.369999999999997</v>
      </c>
      <c r="D156" s="4">
        <v>174.68</v>
      </c>
      <c r="E156" s="12">
        <f t="shared" si="14"/>
        <v>5.0823392493453596</v>
      </c>
      <c r="F156" s="13">
        <f t="shared" si="19"/>
        <v>5.0831007855245387</v>
      </c>
      <c r="G156" s="13">
        <f t="shared" si="20"/>
        <v>5.0847113171121583</v>
      </c>
      <c r="H156" s="4">
        <f t="shared" si="15"/>
        <v>174.70617399847839</v>
      </c>
      <c r="I156" s="4">
        <f t="shared" si="16"/>
        <v>174.76152796914488</v>
      </c>
      <c r="J156" s="15">
        <f t="shared" si="17"/>
        <v>1.4982847333552606E-4</v>
      </c>
      <c r="K156" s="15">
        <f t="shared" si="18"/>
        <v>4.6661867064259508E-4</v>
      </c>
    </row>
    <row r="157" spans="2:11" x14ac:dyDescent="0.3">
      <c r="B157" s="1">
        <v>46251</v>
      </c>
      <c r="C157" s="4">
        <v>34.74</v>
      </c>
      <c r="D157" s="4">
        <v>176.62</v>
      </c>
      <c r="E157" s="12">
        <f t="shared" si="14"/>
        <v>5.0840529648819803</v>
      </c>
      <c r="F157" s="13">
        <f t="shared" si="19"/>
        <v>5.0831367671019709</v>
      </c>
      <c r="G157" s="13">
        <f t="shared" si="20"/>
        <v>5.0847113171121583</v>
      </c>
      <c r="H157" s="4">
        <f t="shared" si="15"/>
        <v>176.58817128912247</v>
      </c>
      <c r="I157" s="4">
        <f t="shared" si="16"/>
        <v>176.64287115647639</v>
      </c>
      <c r="J157" s="15">
        <f t="shared" si="17"/>
        <v>-1.8022635686781432E-4</v>
      </c>
      <c r="K157" s="15">
        <f t="shared" si="18"/>
        <v>1.2948519856304208E-4</v>
      </c>
    </row>
    <row r="158" spans="2:11" x14ac:dyDescent="0.3">
      <c r="B158" s="1">
        <v>46252</v>
      </c>
      <c r="C158" s="4">
        <v>35.24</v>
      </c>
      <c r="D158" s="4">
        <v>179.21</v>
      </c>
      <c r="E158" s="12">
        <f t="shared" si="14"/>
        <v>5.0854143019296254</v>
      </c>
      <c r="F158" s="13">
        <f t="shared" si="19"/>
        <v>5.0832305780215492</v>
      </c>
      <c r="G158" s="13">
        <f t="shared" si="20"/>
        <v>5.0847113171121583</v>
      </c>
      <c r="H158" s="4">
        <f t="shared" si="15"/>
        <v>179.13304556947941</v>
      </c>
      <c r="I158" s="4">
        <f t="shared" si="16"/>
        <v>179.18522681503248</v>
      </c>
      <c r="J158" s="15">
        <f t="shared" si="17"/>
        <v>-4.2950146601173906E-4</v>
      </c>
      <c r="K158" s="15">
        <f t="shared" si="18"/>
        <v>-1.3824506105807198E-4</v>
      </c>
    </row>
    <row r="159" spans="2:11" x14ac:dyDescent="0.3">
      <c r="B159" s="1">
        <v>46253</v>
      </c>
      <c r="C159" s="4">
        <v>35.22</v>
      </c>
      <c r="D159" s="4">
        <v>179.06</v>
      </c>
      <c r="E159" s="12">
        <f t="shared" si="14"/>
        <v>5.0840431572969909</v>
      </c>
      <c r="F159" s="13">
        <f t="shared" si="19"/>
        <v>5.0832749210153816</v>
      </c>
      <c r="G159" s="13">
        <f t="shared" si="20"/>
        <v>5.0847113171121583</v>
      </c>
      <c r="H159" s="4">
        <f t="shared" si="15"/>
        <v>179.03294271816173</v>
      </c>
      <c r="I159" s="4">
        <f t="shared" si="16"/>
        <v>179.08353258869022</v>
      </c>
      <c r="J159" s="15">
        <f t="shared" si="17"/>
        <v>-1.5111876645421493E-4</v>
      </c>
      <c r="K159" s="15">
        <f t="shared" si="18"/>
        <v>1.3141428831044076E-4</v>
      </c>
    </row>
    <row r="160" spans="2:11" x14ac:dyDescent="0.3">
      <c r="B160" s="1">
        <v>46254</v>
      </c>
      <c r="C160" s="4">
        <v>35.35</v>
      </c>
      <c r="D160" s="4">
        <v>179.72</v>
      </c>
      <c r="E160" s="12">
        <f t="shared" si="14"/>
        <v>5.084016973125884</v>
      </c>
      <c r="F160" s="13">
        <f t="shared" si="19"/>
        <v>5.0832120865752133</v>
      </c>
      <c r="G160" s="13">
        <f t="shared" si="20"/>
        <v>5.0847113171121583</v>
      </c>
      <c r="H160" s="4">
        <f t="shared" si="15"/>
        <v>179.69154726043379</v>
      </c>
      <c r="I160" s="4">
        <f t="shared" si="16"/>
        <v>179.7445450599148</v>
      </c>
      <c r="J160" s="15">
        <f t="shared" si="17"/>
        <v>-1.5832957979517505E-4</v>
      </c>
      <c r="K160" s="15">
        <f t="shared" si="18"/>
        <v>1.3656456688289595E-4</v>
      </c>
    </row>
    <row r="161" spans="2:11" x14ac:dyDescent="0.3">
      <c r="B161" s="1">
        <v>46255</v>
      </c>
      <c r="C161" s="4">
        <v>35.32</v>
      </c>
      <c r="D161" s="4">
        <v>179.58</v>
      </c>
      <c r="E161" s="12">
        <f t="shared" si="14"/>
        <v>5.0843714609286526</v>
      </c>
      <c r="F161" s="13">
        <f t="shared" si="19"/>
        <v>5.0833067925521602</v>
      </c>
      <c r="G161" s="13">
        <f t="shared" si="20"/>
        <v>5.0847113171121583</v>
      </c>
      <c r="H161" s="4">
        <f t="shared" si="15"/>
        <v>179.54239591294231</v>
      </c>
      <c r="I161" s="4">
        <f t="shared" si="16"/>
        <v>179.59200372040144</v>
      </c>
      <c r="J161" s="15">
        <f t="shared" si="17"/>
        <v>-2.0942212250251669E-4</v>
      </c>
      <c r="K161" s="15">
        <f t="shared" si="18"/>
        <v>6.6841069357065019E-5</v>
      </c>
    </row>
    <row r="162" spans="2:11" x14ac:dyDescent="0.3">
      <c r="B162" s="1">
        <v>46258</v>
      </c>
      <c r="C162" s="4">
        <v>35.020000000000003</v>
      </c>
      <c r="D162" s="4">
        <v>177.87</v>
      </c>
      <c r="E162" s="12">
        <f t="shared" si="14"/>
        <v>5.079097658480868</v>
      </c>
      <c r="F162" s="13">
        <f t="shared" si="19"/>
        <v>5.0832159682495206</v>
      </c>
      <c r="G162" s="13">
        <f t="shared" si="20"/>
        <v>5.0847113171121583</v>
      </c>
      <c r="H162" s="4">
        <f t="shared" si="15"/>
        <v>178.01422320809823</v>
      </c>
      <c r="I162" s="4">
        <f t="shared" si="16"/>
        <v>178.06659032526781</v>
      </c>
      <c r="J162" s="15">
        <f t="shared" si="17"/>
        <v>8.1050637588478717E-4</v>
      </c>
      <c r="K162" s="15">
        <f t="shared" si="18"/>
        <v>1.1046368965801977E-3</v>
      </c>
    </row>
    <row r="163" spans="2:11" x14ac:dyDescent="0.3">
      <c r="B163" s="1">
        <v>46259</v>
      </c>
      <c r="C163" s="4">
        <v>34.47</v>
      </c>
      <c r="D163" s="4">
        <v>175.13</v>
      </c>
      <c r="E163" s="12">
        <f t="shared" si="14"/>
        <v>5.0806498404409632</v>
      </c>
      <c r="F163" s="13">
        <f t="shared" si="19"/>
        <v>5.0832189839467024</v>
      </c>
      <c r="G163" s="13">
        <f t="shared" si="20"/>
        <v>5.0847113171121583</v>
      </c>
      <c r="H163" s="4">
        <f t="shared" si="15"/>
        <v>175.21855837664282</v>
      </c>
      <c r="I163" s="4">
        <f t="shared" si="16"/>
        <v>175.2699991008561</v>
      </c>
      <c r="J163" s="15">
        <f t="shared" si="17"/>
        <v>5.0554441519195484E-4</v>
      </c>
      <c r="K163" s="15">
        <f t="shared" si="18"/>
        <v>7.9908167046135049E-4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9446-EBF6-4C2C-AF14-86C76299FD67}">
  <dimension ref="A1:K163"/>
  <sheetViews>
    <sheetView tabSelected="1" workbookViewId="0">
      <selection activeCell="H16" sqref="H16"/>
    </sheetView>
  </sheetViews>
  <sheetFormatPr defaultRowHeight="14.4" x14ac:dyDescent="0.3"/>
  <cols>
    <col min="1" max="1" width="2.109375" bestFit="1" customWidth="1"/>
    <col min="2" max="2" width="10.33203125" style="1" bestFit="1" customWidth="1"/>
    <col min="3" max="4" width="8.88671875" style="4"/>
    <col min="5" max="5" width="10.6640625" style="12" bestFit="1" customWidth="1"/>
    <col min="7" max="7" width="10.33203125" style="1" bestFit="1" customWidth="1"/>
    <col min="8" max="9" width="8.88671875" style="4"/>
    <col min="10" max="11" width="8.88671875" style="15"/>
  </cols>
  <sheetData>
    <row r="1" spans="2:11" s="3" customFormat="1" x14ac:dyDescent="0.3">
      <c r="B1" s="2" t="s">
        <v>0</v>
      </c>
      <c r="C1" s="5" t="s">
        <v>2</v>
      </c>
      <c r="D1" s="5" t="s">
        <v>12</v>
      </c>
      <c r="E1" s="11" t="str">
        <f>_xlfn.CONCAT(D1,"/",C1)</f>
        <v>VHT/FHLC</v>
      </c>
      <c r="F1" s="3" t="s">
        <v>21</v>
      </c>
      <c r="G1" s="1"/>
      <c r="H1" s="14" t="s">
        <v>17</v>
      </c>
      <c r="I1" s="14" t="s">
        <v>18</v>
      </c>
      <c r="J1" s="14" t="s">
        <v>19</v>
      </c>
      <c r="K1" s="14" t="s">
        <v>20</v>
      </c>
    </row>
    <row r="2" spans="2:11" x14ac:dyDescent="0.3">
      <c r="B2" s="1">
        <v>46024</v>
      </c>
      <c r="C2" s="4">
        <v>74.56</v>
      </c>
      <c r="D2" s="4">
        <v>288.75</v>
      </c>
      <c r="E2" s="12">
        <f>D2/C2</f>
        <v>3.8727199570815452</v>
      </c>
    </row>
    <row r="3" spans="2:11" x14ac:dyDescent="0.3">
      <c r="B3" s="1">
        <v>46027</v>
      </c>
      <c r="C3" s="4">
        <v>74.42</v>
      </c>
      <c r="D3" s="4">
        <v>288.32</v>
      </c>
      <c r="E3" s="12">
        <f t="shared" ref="E3:E66" si="0">D3/C3</f>
        <v>3.8742273582370328</v>
      </c>
    </row>
    <row r="4" spans="2:11" x14ac:dyDescent="0.3">
      <c r="B4" s="1">
        <v>46028</v>
      </c>
      <c r="C4" s="4">
        <v>75.92</v>
      </c>
      <c r="D4" s="4">
        <v>293.91000000000003</v>
      </c>
      <c r="E4" s="12">
        <f t="shared" si="0"/>
        <v>3.8713119072708118</v>
      </c>
    </row>
    <row r="5" spans="2:11" x14ac:dyDescent="0.3">
      <c r="B5" s="1">
        <v>46029</v>
      </c>
      <c r="C5" s="4">
        <v>76.72</v>
      </c>
      <c r="D5" s="4">
        <v>297.26</v>
      </c>
      <c r="E5" s="12">
        <f t="shared" si="0"/>
        <v>3.8746089676746611</v>
      </c>
    </row>
    <row r="6" spans="2:11" x14ac:dyDescent="0.3">
      <c r="B6" s="1">
        <v>46030</v>
      </c>
      <c r="C6" s="4">
        <v>75.989999999999995</v>
      </c>
      <c r="D6" s="4">
        <v>294.29000000000002</v>
      </c>
      <c r="E6" s="12">
        <f t="shared" si="0"/>
        <v>3.8727464140018428</v>
      </c>
    </row>
    <row r="7" spans="2:11" x14ac:dyDescent="0.3">
      <c r="B7" s="1">
        <v>46031</v>
      </c>
      <c r="C7" s="4">
        <v>75.599999999999994</v>
      </c>
      <c r="D7" s="4">
        <v>292.97000000000003</v>
      </c>
      <c r="E7" s="12">
        <f t="shared" si="0"/>
        <v>3.8752645502645509</v>
      </c>
    </row>
    <row r="8" spans="2:11" x14ac:dyDescent="0.3">
      <c r="B8" s="1">
        <v>46034</v>
      </c>
      <c r="C8" s="4">
        <v>75.5</v>
      </c>
      <c r="D8" s="4">
        <v>292.57</v>
      </c>
      <c r="E8" s="12">
        <f t="shared" si="0"/>
        <v>3.8750993377483445</v>
      </c>
    </row>
    <row r="9" spans="2:11" x14ac:dyDescent="0.3">
      <c r="B9" s="1">
        <v>46035</v>
      </c>
      <c r="C9" s="4">
        <v>75.209999999999994</v>
      </c>
      <c r="D9" s="4">
        <v>291.37</v>
      </c>
      <c r="E9" s="12">
        <f t="shared" si="0"/>
        <v>3.8740858928334001</v>
      </c>
    </row>
    <row r="10" spans="2:11" x14ac:dyDescent="0.3">
      <c r="B10" s="1">
        <v>46036</v>
      </c>
      <c r="C10" s="4">
        <v>75.69</v>
      </c>
      <c r="D10" s="4">
        <v>293.52</v>
      </c>
      <c r="E10" s="12">
        <f t="shared" si="0"/>
        <v>3.877923107411811</v>
      </c>
    </row>
    <row r="11" spans="2:11" x14ac:dyDescent="0.3">
      <c r="B11" s="1">
        <v>46037</v>
      </c>
      <c r="C11" s="4">
        <v>75.31</v>
      </c>
      <c r="D11" s="4">
        <v>291.95999999999998</v>
      </c>
      <c r="E11" s="12">
        <f t="shared" si="0"/>
        <v>3.8767759925640681</v>
      </c>
      <c r="F11" s="13"/>
      <c r="G11" s="13"/>
    </row>
    <row r="12" spans="2:11" x14ac:dyDescent="0.3">
      <c r="B12" s="1">
        <v>46038</v>
      </c>
      <c r="C12" s="4">
        <v>74.760000000000005</v>
      </c>
      <c r="D12" s="4">
        <v>289.70999999999998</v>
      </c>
      <c r="E12" s="12">
        <f t="shared" si="0"/>
        <v>3.8752006420545739</v>
      </c>
      <c r="F12" s="13"/>
      <c r="G12" s="13"/>
    </row>
    <row r="13" spans="2:11" x14ac:dyDescent="0.3">
      <c r="B13" s="1">
        <v>46042</v>
      </c>
      <c r="C13" s="4">
        <v>74.63</v>
      </c>
      <c r="D13" s="4">
        <v>289.36</v>
      </c>
      <c r="E13" s="12">
        <f t="shared" si="0"/>
        <v>3.8772611550314893</v>
      </c>
      <c r="F13" s="13"/>
      <c r="G13" s="13"/>
    </row>
    <row r="14" spans="2:11" x14ac:dyDescent="0.3">
      <c r="B14" s="1">
        <v>46043</v>
      </c>
      <c r="C14" s="4">
        <v>75.95</v>
      </c>
      <c r="D14" s="4">
        <v>294.37</v>
      </c>
      <c r="E14" s="12">
        <f t="shared" si="0"/>
        <v>3.8758393680052667</v>
      </c>
      <c r="F14" s="13"/>
      <c r="G14" s="13"/>
    </row>
    <row r="15" spans="2:11" x14ac:dyDescent="0.3">
      <c r="B15" s="1">
        <v>46044</v>
      </c>
      <c r="C15" s="4">
        <v>76.08</v>
      </c>
      <c r="D15" s="4">
        <v>294.94</v>
      </c>
      <c r="E15" s="12">
        <f t="shared" si="0"/>
        <v>3.8767087276551</v>
      </c>
      <c r="F15" s="13"/>
      <c r="G15" s="13"/>
    </row>
    <row r="16" spans="2:11" x14ac:dyDescent="0.3">
      <c r="B16" s="1">
        <v>46045</v>
      </c>
      <c r="C16" s="4">
        <v>75.540000000000006</v>
      </c>
      <c r="D16" s="4">
        <v>292.73</v>
      </c>
      <c r="E16" s="12">
        <f t="shared" si="0"/>
        <v>3.8751654752449034</v>
      </c>
      <c r="F16" s="13"/>
      <c r="G16" s="13"/>
    </row>
    <row r="17" spans="2:11" x14ac:dyDescent="0.3">
      <c r="B17" s="1">
        <v>46048</v>
      </c>
      <c r="C17" s="4">
        <v>75.83</v>
      </c>
      <c r="D17" s="4">
        <v>293.87</v>
      </c>
      <c r="E17" s="12">
        <f t="shared" si="0"/>
        <v>3.8753791375445075</v>
      </c>
      <c r="F17" s="13"/>
      <c r="G17" s="13"/>
    </row>
    <row r="18" spans="2:11" x14ac:dyDescent="0.3">
      <c r="B18" s="1">
        <v>46049</v>
      </c>
      <c r="C18" s="4">
        <v>74.7</v>
      </c>
      <c r="D18" s="4">
        <v>289.51</v>
      </c>
      <c r="E18" s="12">
        <f t="shared" si="0"/>
        <v>3.875635876840696</v>
      </c>
      <c r="F18" s="13"/>
      <c r="G18" s="13"/>
    </row>
    <row r="19" spans="2:11" x14ac:dyDescent="0.3">
      <c r="B19" s="1">
        <v>46050</v>
      </c>
      <c r="C19" s="4">
        <v>74.040000000000006</v>
      </c>
      <c r="D19" s="4">
        <v>286.83999999999997</v>
      </c>
      <c r="E19" s="12">
        <f t="shared" si="0"/>
        <v>3.8741220961642351</v>
      </c>
      <c r="F19" s="13"/>
      <c r="G19" s="13"/>
    </row>
    <row r="20" spans="2:11" x14ac:dyDescent="0.3">
      <c r="B20" s="1">
        <v>46051</v>
      </c>
      <c r="C20" s="4">
        <v>73.84</v>
      </c>
      <c r="D20" s="4">
        <v>286.08</v>
      </c>
      <c r="E20" s="12">
        <f t="shared" si="0"/>
        <v>3.8743228602383528</v>
      </c>
      <c r="F20" s="13"/>
      <c r="G20" s="13"/>
    </row>
    <row r="21" spans="2:11" x14ac:dyDescent="0.3">
      <c r="B21" s="1">
        <v>46052</v>
      </c>
      <c r="C21" s="4">
        <v>74.13</v>
      </c>
      <c r="D21" s="4">
        <v>287.27999999999997</v>
      </c>
      <c r="E21" s="12">
        <f t="shared" si="0"/>
        <v>3.8753541076487252</v>
      </c>
      <c r="F21" s="13">
        <f t="shared" ref="F21:F84" si="1">AVERAGE(E2:E21)</f>
        <v>3.8749876465757951</v>
      </c>
      <c r="G21" s="13">
        <f>AVERAGE(E:E)</f>
        <v>3.8711922954472002</v>
      </c>
      <c r="H21" s="4">
        <f t="shared" ref="H12:H75" si="2">C21*F21</f>
        <v>287.25283424066367</v>
      </c>
      <c r="I21" s="4">
        <f t="shared" ref="I12:I75" si="3">C21*G21</f>
        <v>286.97148486150093</v>
      </c>
      <c r="J21" s="15">
        <f t="shared" ref="J12:J75" si="4">LN(H21/D21)</f>
        <v>-9.4566429410229341E-5</v>
      </c>
      <c r="K21" s="15">
        <f t="shared" ref="K12:K75" si="5">LN(I21/D21)</f>
        <v>-1.0744949776009495E-3</v>
      </c>
    </row>
    <row r="22" spans="2:11" x14ac:dyDescent="0.3">
      <c r="B22" s="1">
        <v>46055</v>
      </c>
      <c r="C22" s="4">
        <v>74.58</v>
      </c>
      <c r="D22" s="4">
        <v>289.01</v>
      </c>
      <c r="E22" s="12">
        <f t="shared" si="0"/>
        <v>3.8751676052561006</v>
      </c>
      <c r="F22" s="13">
        <f t="shared" si="1"/>
        <v>3.8751100289845235</v>
      </c>
      <c r="G22" s="13">
        <f t="shared" ref="G13:G76" si="6">G21</f>
        <v>3.8711922954472002</v>
      </c>
      <c r="H22" s="4">
        <f t="shared" si="2"/>
        <v>289.00570596166574</v>
      </c>
      <c r="I22" s="4">
        <f t="shared" si="3"/>
        <v>288.71352139445219</v>
      </c>
      <c r="J22" s="15">
        <f t="shared" si="4"/>
        <v>-1.4857860400872685E-5</v>
      </c>
      <c r="K22" s="15">
        <f t="shared" si="5"/>
        <v>-1.0263685676458552E-3</v>
      </c>
    </row>
    <row r="23" spans="2:11" x14ac:dyDescent="0.3">
      <c r="B23" s="1">
        <v>46056</v>
      </c>
      <c r="C23" s="4">
        <v>73.89</v>
      </c>
      <c r="D23" s="4">
        <v>286.33999999999997</v>
      </c>
      <c r="E23" s="12">
        <f t="shared" si="0"/>
        <v>3.8752199215049394</v>
      </c>
      <c r="F23" s="13">
        <f t="shared" si="1"/>
        <v>3.8751596571479192</v>
      </c>
      <c r="G23" s="13">
        <f t="shared" si="6"/>
        <v>3.8711922954472002</v>
      </c>
      <c r="H23" s="4">
        <f t="shared" si="2"/>
        <v>286.33554706665973</v>
      </c>
      <c r="I23" s="4">
        <f t="shared" si="3"/>
        <v>286.0423987105936</v>
      </c>
      <c r="J23" s="15">
        <f t="shared" si="4"/>
        <v>-1.5551330463310163E-5</v>
      </c>
      <c r="K23" s="15">
        <f t="shared" si="5"/>
        <v>-1.0398688600271764E-3</v>
      </c>
    </row>
    <row r="24" spans="2:11" x14ac:dyDescent="0.3">
      <c r="B24" s="1">
        <v>46057</v>
      </c>
      <c r="C24" s="4">
        <v>74.510000000000005</v>
      </c>
      <c r="D24" s="4">
        <v>288.85000000000002</v>
      </c>
      <c r="E24" s="12">
        <f t="shared" si="0"/>
        <v>3.8766608508924976</v>
      </c>
      <c r="F24" s="13">
        <f t="shared" si="1"/>
        <v>3.8754271043290025</v>
      </c>
      <c r="G24" s="13">
        <f t="shared" si="6"/>
        <v>3.8711922954472002</v>
      </c>
      <c r="H24" s="4">
        <f t="shared" si="2"/>
        <v>288.75807354355402</v>
      </c>
      <c r="I24" s="4">
        <f t="shared" si="3"/>
        <v>288.44253793377089</v>
      </c>
      <c r="J24" s="15">
        <f t="shared" si="4"/>
        <v>-3.1830045815734343E-4</v>
      </c>
      <c r="K24" s="15">
        <f t="shared" si="5"/>
        <v>-1.4116313900404214E-3</v>
      </c>
    </row>
    <row r="25" spans="2:11" x14ac:dyDescent="0.3">
      <c r="B25" s="1">
        <v>46058</v>
      </c>
      <c r="C25" s="4">
        <v>73.81</v>
      </c>
      <c r="D25" s="4">
        <v>285.92</v>
      </c>
      <c r="E25" s="12">
        <f t="shared" si="0"/>
        <v>3.8737298469042134</v>
      </c>
      <c r="F25" s="13">
        <f t="shared" si="1"/>
        <v>3.8753831482904801</v>
      </c>
      <c r="G25" s="13">
        <f t="shared" si="6"/>
        <v>3.8711922954472002</v>
      </c>
      <c r="H25" s="4">
        <f t="shared" si="2"/>
        <v>286.04203017532035</v>
      </c>
      <c r="I25" s="4">
        <f t="shared" si="3"/>
        <v>285.73270332695785</v>
      </c>
      <c r="J25" s="15">
        <f t="shared" si="4"/>
        <v>4.2670726633549095E-4</v>
      </c>
      <c r="K25" s="15">
        <f t="shared" si="5"/>
        <v>-6.5528135755891094E-4</v>
      </c>
    </row>
    <row r="26" spans="2:11" x14ac:dyDescent="0.3">
      <c r="B26" s="1">
        <v>46059</v>
      </c>
      <c r="C26" s="4">
        <v>75.19</v>
      </c>
      <c r="D26" s="4">
        <v>291.2</v>
      </c>
      <c r="E26" s="12">
        <f t="shared" si="0"/>
        <v>3.8728554329033114</v>
      </c>
      <c r="F26" s="13">
        <f t="shared" si="1"/>
        <v>3.8753885992355537</v>
      </c>
      <c r="G26" s="13">
        <f t="shared" si="6"/>
        <v>3.8711922954472002</v>
      </c>
      <c r="H26" s="4">
        <f t="shared" si="2"/>
        <v>291.39046877652129</v>
      </c>
      <c r="I26" s="4">
        <f t="shared" si="3"/>
        <v>291.07494869467496</v>
      </c>
      <c r="J26" s="15">
        <f t="shared" si="4"/>
        <v>6.5386851833478085E-4</v>
      </c>
      <c r="K26" s="15">
        <f t="shared" si="5"/>
        <v>-4.2952666099743502E-4</v>
      </c>
    </row>
    <row r="27" spans="2:11" x14ac:dyDescent="0.3">
      <c r="B27" s="1">
        <v>46062</v>
      </c>
      <c r="C27" s="4">
        <v>74.61</v>
      </c>
      <c r="D27" s="4">
        <v>288.95</v>
      </c>
      <c r="E27" s="12">
        <f t="shared" si="0"/>
        <v>3.8728052539874009</v>
      </c>
      <c r="F27" s="13">
        <f t="shared" si="1"/>
        <v>3.8752656344216958</v>
      </c>
      <c r="G27" s="13">
        <f t="shared" si="6"/>
        <v>3.8711922954472002</v>
      </c>
      <c r="H27" s="4">
        <f t="shared" si="2"/>
        <v>289.13356898420273</v>
      </c>
      <c r="I27" s="4">
        <f t="shared" si="3"/>
        <v>288.82965716331563</v>
      </c>
      <c r="J27" s="15">
        <f t="shared" si="4"/>
        <v>6.3509499394845924E-4</v>
      </c>
      <c r="K27" s="15">
        <f t="shared" si="5"/>
        <v>-4.1657000876587394E-4</v>
      </c>
    </row>
    <row r="28" spans="2:11" x14ac:dyDescent="0.3">
      <c r="B28" s="1">
        <v>46063</v>
      </c>
      <c r="C28" s="4">
        <v>74.23</v>
      </c>
      <c r="D28" s="4">
        <v>287.56</v>
      </c>
      <c r="E28" s="12">
        <f t="shared" si="0"/>
        <v>3.8739054290718036</v>
      </c>
      <c r="F28" s="13">
        <f t="shared" si="1"/>
        <v>3.8752059389878695</v>
      </c>
      <c r="G28" s="13">
        <f t="shared" si="6"/>
        <v>3.8711922954472002</v>
      </c>
      <c r="H28" s="4">
        <f t="shared" si="2"/>
        <v>287.65653685106957</v>
      </c>
      <c r="I28" s="4">
        <f t="shared" si="3"/>
        <v>287.35860409104566</v>
      </c>
      <c r="J28" s="15">
        <f t="shared" si="4"/>
        <v>3.3565395217735654E-4</v>
      </c>
      <c r="K28" s="15">
        <f t="shared" si="5"/>
        <v>-7.0060671461720546E-4</v>
      </c>
    </row>
    <row r="29" spans="2:11" x14ac:dyDescent="0.3">
      <c r="B29" s="1">
        <v>46064</v>
      </c>
      <c r="C29" s="4">
        <v>74.58</v>
      </c>
      <c r="D29" s="4">
        <v>288.77999999999997</v>
      </c>
      <c r="E29" s="12">
        <f t="shared" si="0"/>
        <v>3.8720836685438451</v>
      </c>
      <c r="F29" s="13">
        <f t="shared" si="1"/>
        <v>3.8751058277733916</v>
      </c>
      <c r="G29" s="13">
        <f t="shared" si="6"/>
        <v>3.8711922954472002</v>
      </c>
      <c r="H29" s="4">
        <f t="shared" si="2"/>
        <v>289.00539263533955</v>
      </c>
      <c r="I29" s="4">
        <f t="shared" si="3"/>
        <v>288.71352139445219</v>
      </c>
      <c r="J29" s="15">
        <f t="shared" si="4"/>
        <v>7.801950331235071E-4</v>
      </c>
      <c r="K29" s="15">
        <f t="shared" si="5"/>
        <v>-2.3023152080013339E-4</v>
      </c>
    </row>
    <row r="30" spans="2:11" x14ac:dyDescent="0.3">
      <c r="B30" s="1">
        <v>46065</v>
      </c>
      <c r="C30" s="4">
        <v>74.25</v>
      </c>
      <c r="D30" s="4">
        <v>287.81</v>
      </c>
      <c r="E30" s="12">
        <f t="shared" si="0"/>
        <v>3.8762289562289562</v>
      </c>
      <c r="F30" s="13">
        <f t="shared" si="1"/>
        <v>3.8750211202142486</v>
      </c>
      <c r="G30" s="13">
        <f t="shared" si="6"/>
        <v>3.8711922954472002</v>
      </c>
      <c r="H30" s="4">
        <f t="shared" si="2"/>
        <v>287.72031817590795</v>
      </c>
      <c r="I30" s="4">
        <f t="shared" si="3"/>
        <v>287.43602793695464</v>
      </c>
      <c r="J30" s="15">
        <f t="shared" si="4"/>
        <v>-3.1164935012340574E-4</v>
      </c>
      <c r="K30" s="15">
        <f t="shared" si="5"/>
        <v>-1.3002162468529423E-3</v>
      </c>
    </row>
    <row r="31" spans="2:11" x14ac:dyDescent="0.3">
      <c r="B31" s="1">
        <v>46066</v>
      </c>
      <c r="C31" s="4">
        <v>74.959999999999994</v>
      </c>
      <c r="D31" s="4">
        <v>290.39</v>
      </c>
      <c r="E31" s="12">
        <f t="shared" si="0"/>
        <v>3.8739327641408754</v>
      </c>
      <c r="F31" s="13">
        <f t="shared" si="1"/>
        <v>3.8748789587930901</v>
      </c>
      <c r="G31" s="13">
        <f t="shared" si="6"/>
        <v>3.8711922954472002</v>
      </c>
      <c r="H31" s="4">
        <f t="shared" si="2"/>
        <v>290.46092675112999</v>
      </c>
      <c r="I31" s="4">
        <f t="shared" si="3"/>
        <v>290.1845744667221</v>
      </c>
      <c r="J31" s="15">
        <f t="shared" si="4"/>
        <v>2.4421671109051097E-4</v>
      </c>
      <c r="K31" s="15">
        <f t="shared" si="5"/>
        <v>-7.0766289426104571E-4</v>
      </c>
    </row>
    <row r="32" spans="2:11" x14ac:dyDescent="0.3">
      <c r="B32" s="1">
        <v>46070</v>
      </c>
      <c r="C32" s="4">
        <v>75.010000000000005</v>
      </c>
      <c r="D32" s="4">
        <v>290.60000000000002</v>
      </c>
      <c r="E32" s="12">
        <f t="shared" si="0"/>
        <v>3.8741501133182243</v>
      </c>
      <c r="F32" s="13">
        <f t="shared" si="1"/>
        <v>3.8748264323562731</v>
      </c>
      <c r="G32" s="13">
        <f t="shared" si="6"/>
        <v>3.8711922954472002</v>
      </c>
      <c r="H32" s="4">
        <f t="shared" si="2"/>
        <v>290.65073069104409</v>
      </c>
      <c r="I32" s="4">
        <f t="shared" si="3"/>
        <v>290.37813408149452</v>
      </c>
      <c r="J32" s="15">
        <f t="shared" si="4"/>
        <v>1.7455699750287682E-4</v>
      </c>
      <c r="K32" s="15">
        <f t="shared" si="5"/>
        <v>-7.6376688303947762E-4</v>
      </c>
    </row>
    <row r="33" spans="2:11" x14ac:dyDescent="0.3">
      <c r="B33" s="1">
        <v>46071</v>
      </c>
      <c r="C33" s="4">
        <v>75.2</v>
      </c>
      <c r="D33" s="4">
        <v>291.42</v>
      </c>
      <c r="E33" s="12">
        <f t="shared" si="0"/>
        <v>3.8752659574468087</v>
      </c>
      <c r="F33" s="13">
        <f t="shared" si="1"/>
        <v>3.8747266724770384</v>
      </c>
      <c r="G33" s="13">
        <f t="shared" si="6"/>
        <v>3.8711922954472002</v>
      </c>
      <c r="H33" s="4">
        <f t="shared" si="2"/>
        <v>291.37944577027332</v>
      </c>
      <c r="I33" s="4">
        <f t="shared" si="3"/>
        <v>291.11366061762948</v>
      </c>
      <c r="J33" s="15">
        <f t="shared" si="4"/>
        <v>-1.3917044735190886E-4</v>
      </c>
      <c r="K33" s="15">
        <f t="shared" si="5"/>
        <v>-1.0517483583162371E-3</v>
      </c>
    </row>
    <row r="34" spans="2:11" x14ac:dyDescent="0.3">
      <c r="B34" s="1">
        <v>46072</v>
      </c>
      <c r="C34" s="4">
        <v>75.06</v>
      </c>
      <c r="D34" s="4">
        <v>290.87</v>
      </c>
      <c r="E34" s="12">
        <f t="shared" si="0"/>
        <v>3.8751665334399146</v>
      </c>
      <c r="F34" s="13">
        <f t="shared" si="1"/>
        <v>3.8746930307487708</v>
      </c>
      <c r="G34" s="13">
        <f t="shared" si="6"/>
        <v>3.8711922954472002</v>
      </c>
      <c r="H34" s="4">
        <f t="shared" si="2"/>
        <v>290.83445888800276</v>
      </c>
      <c r="I34" s="4">
        <f t="shared" si="3"/>
        <v>290.57169369626683</v>
      </c>
      <c r="J34" s="15">
        <f t="shared" si="4"/>
        <v>-1.2219645731929041E-4</v>
      </c>
      <c r="K34" s="15">
        <f t="shared" si="5"/>
        <v>-1.0260919818454199E-3</v>
      </c>
    </row>
    <row r="35" spans="2:11" x14ac:dyDescent="0.3">
      <c r="B35" s="1">
        <v>46073</v>
      </c>
      <c r="C35" s="4">
        <v>74.819999999999993</v>
      </c>
      <c r="D35" s="4">
        <v>289.89999999999998</v>
      </c>
      <c r="E35" s="12">
        <f t="shared" si="0"/>
        <v>3.8746324512162524</v>
      </c>
      <c r="F35" s="13">
        <f t="shared" si="1"/>
        <v>3.8745892169268288</v>
      </c>
      <c r="G35" s="13">
        <f t="shared" si="6"/>
        <v>3.8711922954472002</v>
      </c>
      <c r="H35" s="4">
        <f t="shared" si="2"/>
        <v>289.89676521046528</v>
      </c>
      <c r="I35" s="4">
        <f t="shared" si="3"/>
        <v>289.64260754535951</v>
      </c>
      <c r="J35" s="15">
        <f t="shared" si="4"/>
        <v>-1.1158356613277852E-5</v>
      </c>
      <c r="K35" s="15">
        <f t="shared" si="5"/>
        <v>-8.8826073601160234E-4</v>
      </c>
    </row>
    <row r="36" spans="2:11" x14ac:dyDescent="0.3">
      <c r="B36" s="1">
        <v>46076</v>
      </c>
      <c r="C36" s="4">
        <v>75.55</v>
      </c>
      <c r="D36" s="4">
        <v>292.72000000000003</v>
      </c>
      <c r="E36" s="12">
        <f t="shared" si="0"/>
        <v>3.8745201853077438</v>
      </c>
      <c r="F36" s="13">
        <f t="shared" si="1"/>
        <v>3.8745569524299706</v>
      </c>
      <c r="G36" s="13">
        <f t="shared" si="6"/>
        <v>3.8711922954472002</v>
      </c>
      <c r="H36" s="4">
        <f t="shared" si="2"/>
        <v>292.72277775608427</v>
      </c>
      <c r="I36" s="4">
        <f t="shared" si="3"/>
        <v>292.46857792103594</v>
      </c>
      <c r="J36" s="15">
        <f t="shared" si="4"/>
        <v>9.4894195976296894E-6</v>
      </c>
      <c r="K36" s="15">
        <f t="shared" si="5"/>
        <v>-8.5928572060498735E-4</v>
      </c>
    </row>
    <row r="37" spans="2:11" x14ac:dyDescent="0.3">
      <c r="B37" s="1">
        <v>46077</v>
      </c>
      <c r="C37" s="4">
        <v>75.36</v>
      </c>
      <c r="D37" s="4">
        <v>291.93</v>
      </c>
      <c r="E37" s="12">
        <f t="shared" si="0"/>
        <v>3.8738057324840764</v>
      </c>
      <c r="F37" s="13">
        <f t="shared" si="1"/>
        <v>3.8744782821769492</v>
      </c>
      <c r="G37" s="13">
        <f t="shared" si="6"/>
        <v>3.8711922954472002</v>
      </c>
      <c r="H37" s="4">
        <f t="shared" si="2"/>
        <v>291.98068334485487</v>
      </c>
      <c r="I37" s="4">
        <f t="shared" si="3"/>
        <v>291.73305138490099</v>
      </c>
      <c r="J37" s="15">
        <f t="shared" si="4"/>
        <v>1.7359964949359514E-4</v>
      </c>
      <c r="K37" s="15">
        <f t="shared" si="5"/>
        <v>-6.7487096230171818E-4</v>
      </c>
    </row>
    <row r="38" spans="2:11" x14ac:dyDescent="0.3">
      <c r="B38" s="1">
        <v>46078</v>
      </c>
      <c r="C38" s="4">
        <v>75.34</v>
      </c>
      <c r="D38" s="4">
        <v>291.88</v>
      </c>
      <c r="E38" s="12">
        <f t="shared" si="0"/>
        <v>3.8741704273958053</v>
      </c>
      <c r="F38" s="13">
        <f t="shared" si="1"/>
        <v>3.8744050097047045</v>
      </c>
      <c r="G38" s="13">
        <f t="shared" si="6"/>
        <v>3.8711922954472002</v>
      </c>
      <c r="H38" s="4">
        <f t="shared" si="2"/>
        <v>291.89767343115244</v>
      </c>
      <c r="I38" s="4">
        <f t="shared" si="3"/>
        <v>291.65562753899206</v>
      </c>
      <c r="J38" s="15">
        <f t="shared" si="4"/>
        <v>6.0548499753164894E-5</v>
      </c>
      <c r="K38" s="15">
        <f t="shared" si="5"/>
        <v>-7.6901036192634261E-4</v>
      </c>
    </row>
    <row r="39" spans="2:11" x14ac:dyDescent="0.3">
      <c r="B39" s="1">
        <v>46079</v>
      </c>
      <c r="C39" s="4">
        <v>75.19</v>
      </c>
      <c r="D39" s="4">
        <v>291.42</v>
      </c>
      <c r="E39" s="12">
        <f t="shared" si="0"/>
        <v>3.8757813539034451</v>
      </c>
      <c r="F39" s="13">
        <f t="shared" si="1"/>
        <v>3.8744879725916648</v>
      </c>
      <c r="G39" s="13">
        <f t="shared" si="6"/>
        <v>3.8711922954472002</v>
      </c>
      <c r="H39" s="4">
        <f t="shared" si="2"/>
        <v>291.32275065916724</v>
      </c>
      <c r="I39" s="4">
        <f t="shared" si="3"/>
        <v>291.07494869467496</v>
      </c>
      <c r="J39" s="15">
        <f t="shared" si="4"/>
        <v>-3.3376422658385781E-4</v>
      </c>
      <c r="K39" s="15">
        <f t="shared" si="5"/>
        <v>-1.1847359241750728E-3</v>
      </c>
    </row>
    <row r="40" spans="2:11" x14ac:dyDescent="0.3">
      <c r="B40" s="1">
        <v>46080</v>
      </c>
      <c r="C40" s="4">
        <v>76.28</v>
      </c>
      <c r="D40" s="4">
        <v>295.51</v>
      </c>
      <c r="E40" s="12">
        <f t="shared" si="0"/>
        <v>3.8740167802831671</v>
      </c>
      <c r="F40" s="13">
        <f t="shared" si="1"/>
        <v>3.8744726685939055</v>
      </c>
      <c r="G40" s="13">
        <f t="shared" si="6"/>
        <v>3.8711922954472002</v>
      </c>
      <c r="H40" s="4">
        <f t="shared" si="2"/>
        <v>295.54477516034314</v>
      </c>
      <c r="I40" s="4">
        <f t="shared" si="3"/>
        <v>295.29454829671243</v>
      </c>
      <c r="J40" s="15">
        <f t="shared" si="4"/>
        <v>1.1767153179266374E-4</v>
      </c>
      <c r="K40" s="15">
        <f t="shared" si="5"/>
        <v>-7.2935021729110322E-4</v>
      </c>
    </row>
    <row r="41" spans="2:11" x14ac:dyDescent="0.3">
      <c r="B41" s="1">
        <v>46083</v>
      </c>
      <c r="C41" s="4">
        <v>75.56</v>
      </c>
      <c r="D41" s="4">
        <v>292.69</v>
      </c>
      <c r="E41" s="12">
        <f t="shared" si="0"/>
        <v>3.8736103758602431</v>
      </c>
      <c r="F41" s="13">
        <f t="shared" si="1"/>
        <v>3.8743854820044819</v>
      </c>
      <c r="G41" s="13">
        <f t="shared" si="6"/>
        <v>3.8711922954472002</v>
      </c>
      <c r="H41" s="4">
        <f t="shared" si="2"/>
        <v>292.74856702025863</v>
      </c>
      <c r="I41" s="4">
        <f t="shared" si="3"/>
        <v>292.50728984399046</v>
      </c>
      <c r="J41" s="15">
        <f t="shared" si="4"/>
        <v>2.0007913298957471E-4</v>
      </c>
      <c r="K41" s="15">
        <f t="shared" si="5"/>
        <v>-6.2443953558013435E-4</v>
      </c>
    </row>
    <row r="42" spans="2:11" x14ac:dyDescent="0.3">
      <c r="B42" s="1">
        <v>46084</v>
      </c>
      <c r="C42" s="4">
        <v>74.739999999999995</v>
      </c>
      <c r="D42" s="4">
        <v>289.44</v>
      </c>
      <c r="E42" s="12">
        <f t="shared" si="0"/>
        <v>3.8726251003478729</v>
      </c>
      <c r="F42" s="13">
        <f t="shared" si="1"/>
        <v>3.87425835675907</v>
      </c>
      <c r="G42" s="13">
        <f t="shared" si="6"/>
        <v>3.8711922954472002</v>
      </c>
      <c r="H42" s="4">
        <f t="shared" si="2"/>
        <v>289.56206958417289</v>
      </c>
      <c r="I42" s="4">
        <f t="shared" si="3"/>
        <v>289.3329121617237</v>
      </c>
      <c r="J42" s="15">
        <f t="shared" si="4"/>
        <v>4.2165509380353959E-4</v>
      </c>
      <c r="K42" s="15">
        <f t="shared" si="5"/>
        <v>-3.7005131804932086E-4</v>
      </c>
    </row>
    <row r="43" spans="2:11" x14ac:dyDescent="0.3">
      <c r="B43" s="1">
        <v>46085</v>
      </c>
      <c r="C43" s="4">
        <v>74.92</v>
      </c>
      <c r="D43" s="4">
        <v>290.24</v>
      </c>
      <c r="E43" s="12">
        <f t="shared" si="0"/>
        <v>3.8739989321943407</v>
      </c>
      <c r="F43" s="13">
        <f t="shared" si="1"/>
        <v>3.8741973072935401</v>
      </c>
      <c r="G43" s="13">
        <f t="shared" si="6"/>
        <v>3.8711922954472002</v>
      </c>
      <c r="H43" s="4">
        <f t="shared" si="2"/>
        <v>290.25486226243203</v>
      </c>
      <c r="I43" s="4">
        <f t="shared" si="3"/>
        <v>290.02972677490425</v>
      </c>
      <c r="J43" s="15">
        <f t="shared" si="4"/>
        <v>5.1205491732929334E-5</v>
      </c>
      <c r="K43" s="15">
        <f t="shared" si="5"/>
        <v>-7.2474307928603056E-4</v>
      </c>
    </row>
    <row r="44" spans="2:11" x14ac:dyDescent="0.3">
      <c r="B44" s="1">
        <v>46086</v>
      </c>
      <c r="C44" s="4">
        <v>73.430000000000007</v>
      </c>
      <c r="D44" s="4">
        <v>284.57</v>
      </c>
      <c r="E44" s="12">
        <f t="shared" si="0"/>
        <v>3.8753915293476777</v>
      </c>
      <c r="F44" s="13">
        <f t="shared" si="1"/>
        <v>3.8741338412162989</v>
      </c>
      <c r="G44" s="13">
        <f t="shared" si="6"/>
        <v>3.8711922954472002</v>
      </c>
      <c r="H44" s="4">
        <f t="shared" si="2"/>
        <v>284.47764796051285</v>
      </c>
      <c r="I44" s="4">
        <f t="shared" si="3"/>
        <v>284.26165025468794</v>
      </c>
      <c r="J44" s="15">
        <f t="shared" si="4"/>
        <v>-3.245845602874873E-4</v>
      </c>
      <c r="K44" s="15">
        <f t="shared" si="5"/>
        <v>-1.0841512611910779E-3</v>
      </c>
    </row>
    <row r="45" spans="2:11" x14ac:dyDescent="0.3">
      <c r="B45" s="1">
        <v>46087</v>
      </c>
      <c r="C45" s="4">
        <v>72.89</v>
      </c>
      <c r="D45" s="4">
        <v>282.14999999999998</v>
      </c>
      <c r="E45" s="12">
        <f t="shared" si="0"/>
        <v>3.8709013582110026</v>
      </c>
      <c r="F45" s="13">
        <f t="shared" si="1"/>
        <v>3.8739924167816384</v>
      </c>
      <c r="G45" s="13">
        <f t="shared" si="6"/>
        <v>3.8711922954472002</v>
      </c>
      <c r="H45" s="4">
        <f t="shared" si="2"/>
        <v>282.37530725921363</v>
      </c>
      <c r="I45" s="4">
        <f t="shared" si="3"/>
        <v>282.1712064151464</v>
      </c>
      <c r="J45" s="15">
        <f t="shared" si="4"/>
        <v>7.9821849713145412E-4</v>
      </c>
      <c r="K45" s="15">
        <f t="shared" si="5"/>
        <v>7.5157250570430994E-5</v>
      </c>
    </row>
    <row r="46" spans="2:11" x14ac:dyDescent="0.3">
      <c r="B46" s="1">
        <v>46090</v>
      </c>
      <c r="C46" s="4">
        <v>73.709999999999994</v>
      </c>
      <c r="D46" s="4">
        <v>285.32</v>
      </c>
      <c r="E46" s="12">
        <f t="shared" si="0"/>
        <v>3.8708452041785377</v>
      </c>
      <c r="F46" s="13">
        <f t="shared" si="1"/>
        <v>3.8738919053454004</v>
      </c>
      <c r="G46" s="13">
        <f t="shared" si="6"/>
        <v>3.8711922954472002</v>
      </c>
      <c r="H46" s="4">
        <f t="shared" si="2"/>
        <v>285.54457234300946</v>
      </c>
      <c r="I46" s="4">
        <f t="shared" si="3"/>
        <v>285.34558409741311</v>
      </c>
      <c r="J46" s="15">
        <f t="shared" si="4"/>
        <v>7.8677979147433706E-4</v>
      </c>
      <c r="K46" s="15">
        <f t="shared" si="5"/>
        <v>8.966406295810016E-5</v>
      </c>
    </row>
    <row r="47" spans="2:11" x14ac:dyDescent="0.3">
      <c r="B47" s="1">
        <v>46091</v>
      </c>
      <c r="C47" s="4">
        <v>73.17</v>
      </c>
      <c r="D47" s="4">
        <v>283.48</v>
      </c>
      <c r="E47" s="12">
        <f t="shared" si="0"/>
        <v>3.8742654093207602</v>
      </c>
      <c r="F47" s="13">
        <f t="shared" si="1"/>
        <v>3.8739649131120673</v>
      </c>
      <c r="G47" s="13">
        <f t="shared" si="6"/>
        <v>3.8711922954472002</v>
      </c>
      <c r="H47" s="4">
        <f t="shared" si="2"/>
        <v>283.45801269240997</v>
      </c>
      <c r="I47" s="4">
        <f t="shared" si="3"/>
        <v>283.25514025787163</v>
      </c>
      <c r="J47" s="15">
        <f t="shared" si="4"/>
        <v>-7.756512037944405E-5</v>
      </c>
      <c r="K47" s="15">
        <f t="shared" si="5"/>
        <v>-7.9352677451866797E-4</v>
      </c>
    </row>
    <row r="48" spans="2:11" x14ac:dyDescent="0.3">
      <c r="B48" s="1">
        <v>46092</v>
      </c>
      <c r="C48" s="4">
        <v>73.010000000000005</v>
      </c>
      <c r="D48" s="4">
        <v>282.75</v>
      </c>
      <c r="E48" s="12">
        <f t="shared" si="0"/>
        <v>3.8727571565538965</v>
      </c>
      <c r="F48" s="13">
        <f t="shared" si="1"/>
        <v>3.8739074994861733</v>
      </c>
      <c r="G48" s="13">
        <f t="shared" si="6"/>
        <v>3.8711922954472002</v>
      </c>
      <c r="H48" s="4">
        <f t="shared" si="2"/>
        <v>282.83398653748554</v>
      </c>
      <c r="I48" s="4">
        <f t="shared" si="3"/>
        <v>282.63574949060012</v>
      </c>
      <c r="J48" s="15">
        <f t="shared" si="4"/>
        <v>2.9699050928592611E-4</v>
      </c>
      <c r="K48" s="15">
        <f t="shared" si="5"/>
        <v>-4.0415065663734019E-4</v>
      </c>
    </row>
    <row r="49" spans="1:11" x14ac:dyDescent="0.3">
      <c r="B49" s="1">
        <v>46093</v>
      </c>
      <c r="C49" s="4">
        <v>71.59</v>
      </c>
      <c r="D49" s="4">
        <v>277.20999999999998</v>
      </c>
      <c r="E49" s="12">
        <f t="shared" si="0"/>
        <v>3.8721888531917861</v>
      </c>
      <c r="F49" s="13">
        <f t="shared" si="1"/>
        <v>3.87391275871857</v>
      </c>
      <c r="G49" s="13">
        <f t="shared" si="6"/>
        <v>3.8711922954472002</v>
      </c>
      <c r="H49" s="4">
        <f t="shared" si="2"/>
        <v>277.33341439666242</v>
      </c>
      <c r="I49" s="4">
        <f t="shared" si="3"/>
        <v>277.1386564310651</v>
      </c>
      <c r="J49" s="15">
        <f t="shared" si="4"/>
        <v>4.4510274757927497E-4</v>
      </c>
      <c r="K49" s="15">
        <f t="shared" si="5"/>
        <v>-2.573960214427939E-4</v>
      </c>
    </row>
    <row r="50" spans="1:11" x14ac:dyDescent="0.3">
      <c r="B50" s="1">
        <v>46094</v>
      </c>
      <c r="C50" s="4">
        <v>71.400000000000006</v>
      </c>
      <c r="D50" s="4">
        <v>276.67</v>
      </c>
      <c r="E50" s="12">
        <f t="shared" si="0"/>
        <v>3.8749299719887955</v>
      </c>
      <c r="F50" s="13">
        <f t="shared" si="1"/>
        <v>3.8738478095065618</v>
      </c>
      <c r="G50" s="13">
        <f t="shared" si="6"/>
        <v>3.8711922954472002</v>
      </c>
      <c r="H50" s="4">
        <f t="shared" si="2"/>
        <v>276.59273359876852</v>
      </c>
      <c r="I50" s="4">
        <f t="shared" si="3"/>
        <v>276.40312989493015</v>
      </c>
      <c r="J50" s="15">
        <f t="shared" si="4"/>
        <v>-2.79311788203193E-4</v>
      </c>
      <c r="K50" s="15">
        <f t="shared" si="5"/>
        <v>-9.6504462558922742E-4</v>
      </c>
    </row>
    <row r="51" spans="1:11" x14ac:dyDescent="0.3">
      <c r="B51" s="1">
        <v>46097</v>
      </c>
      <c r="C51" s="4">
        <v>72.040000000000006</v>
      </c>
      <c r="D51" s="4">
        <v>278.95999999999998</v>
      </c>
      <c r="E51" s="12">
        <f t="shared" si="0"/>
        <v>3.8722931704608543</v>
      </c>
      <c r="F51" s="13">
        <f t="shared" si="1"/>
        <v>3.8737658298225606</v>
      </c>
      <c r="G51" s="13">
        <f t="shared" si="6"/>
        <v>3.8711922954472002</v>
      </c>
      <c r="H51" s="4">
        <f t="shared" si="2"/>
        <v>279.06609038041728</v>
      </c>
      <c r="I51" s="4">
        <f t="shared" si="3"/>
        <v>278.8806929640163</v>
      </c>
      <c r="J51" s="15">
        <f t="shared" si="4"/>
        <v>3.8023448553524663E-4</v>
      </c>
      <c r="K51" s="15">
        <f t="shared" si="5"/>
        <v>-2.8433578804226944E-4</v>
      </c>
    </row>
    <row r="52" spans="1:11" x14ac:dyDescent="0.3">
      <c r="B52" s="1">
        <v>46098</v>
      </c>
      <c r="C52" s="4">
        <v>71.56</v>
      </c>
      <c r="D52" s="4">
        <v>277.13</v>
      </c>
      <c r="E52" s="12">
        <f t="shared" si="0"/>
        <v>3.8726942425936275</v>
      </c>
      <c r="F52" s="13">
        <f t="shared" si="1"/>
        <v>3.8736930362863298</v>
      </c>
      <c r="G52" s="13">
        <f t="shared" si="6"/>
        <v>3.8711922954472002</v>
      </c>
      <c r="H52" s="4">
        <f t="shared" si="2"/>
        <v>277.20147367664975</v>
      </c>
      <c r="I52" s="4">
        <f t="shared" si="3"/>
        <v>277.02252066220166</v>
      </c>
      <c r="J52" s="15">
        <f t="shared" si="4"/>
        <v>2.5787342209445047E-4</v>
      </c>
      <c r="K52" s="15">
        <f t="shared" si="5"/>
        <v>-3.8790526123603727E-4</v>
      </c>
    </row>
    <row r="53" spans="1:11" x14ac:dyDescent="0.3">
      <c r="B53" s="1">
        <v>46099</v>
      </c>
      <c r="C53" s="4">
        <v>70.36</v>
      </c>
      <c r="D53" s="4">
        <v>272.57</v>
      </c>
      <c r="E53" s="12">
        <f t="shared" si="0"/>
        <v>3.873934053439454</v>
      </c>
      <c r="F53" s="13">
        <f t="shared" si="1"/>
        <v>3.8736264410859627</v>
      </c>
      <c r="G53" s="13">
        <f t="shared" si="6"/>
        <v>3.8711922954472002</v>
      </c>
      <c r="H53" s="4">
        <f t="shared" si="2"/>
        <v>272.54835639480831</v>
      </c>
      <c r="I53" s="4">
        <f t="shared" si="3"/>
        <v>272.37708990766498</v>
      </c>
      <c r="J53" s="15">
        <f t="shared" si="4"/>
        <v>-7.9408829107101452E-5</v>
      </c>
      <c r="K53" s="15">
        <f t="shared" si="5"/>
        <v>-7.0799570808183156E-4</v>
      </c>
    </row>
    <row r="54" spans="1:11" x14ac:dyDescent="0.3">
      <c r="B54" s="1">
        <v>46100</v>
      </c>
      <c r="C54" s="4">
        <v>70.17</v>
      </c>
      <c r="D54" s="4">
        <v>271.89999999999998</v>
      </c>
      <c r="E54" s="12">
        <f t="shared" si="0"/>
        <v>3.8748753028359695</v>
      </c>
      <c r="F54" s="13">
        <f t="shared" si="1"/>
        <v>3.8736118795557659</v>
      </c>
      <c r="G54" s="13">
        <f t="shared" si="6"/>
        <v>3.8711922954472002</v>
      </c>
      <c r="H54" s="4">
        <f t="shared" si="2"/>
        <v>271.81134558842808</v>
      </c>
      <c r="I54" s="4">
        <f t="shared" si="3"/>
        <v>271.64156337153003</v>
      </c>
      <c r="J54" s="15">
        <f t="shared" si="4"/>
        <v>-3.2610837745767165E-4</v>
      </c>
      <c r="K54" s="15">
        <f t="shared" si="5"/>
        <v>-9.5093610262963655E-4</v>
      </c>
    </row>
    <row r="55" spans="1:11" x14ac:dyDescent="0.3">
      <c r="A55" s="8" t="s">
        <v>15</v>
      </c>
      <c r="B55" s="1">
        <v>46101</v>
      </c>
      <c r="C55" s="10">
        <f>69.25+0.229</f>
        <v>69.478999999999999</v>
      </c>
      <c r="D55" s="4">
        <v>269.02999999999997</v>
      </c>
      <c r="E55" s="12">
        <f t="shared" si="0"/>
        <v>3.8721052404323606</v>
      </c>
      <c r="F55" s="13">
        <f t="shared" si="1"/>
        <v>3.8734855190165716</v>
      </c>
      <c r="G55" s="13">
        <f t="shared" si="6"/>
        <v>3.8711922954472002</v>
      </c>
      <c r="H55" s="4">
        <f t="shared" si="2"/>
        <v>269.12590037575239</v>
      </c>
      <c r="I55" s="4">
        <f t="shared" si="3"/>
        <v>268.96656949537601</v>
      </c>
      <c r="J55" s="15">
        <f t="shared" si="4"/>
        <v>3.5640369900463709E-4</v>
      </c>
      <c r="K55" s="15">
        <f t="shared" si="5"/>
        <v>-2.3580263709628373E-4</v>
      </c>
    </row>
    <row r="56" spans="1:11" x14ac:dyDescent="0.3">
      <c r="B56" s="1">
        <v>46104</v>
      </c>
      <c r="C56" s="10">
        <f>69.4+0.229</f>
        <v>69.629000000000005</v>
      </c>
      <c r="D56" s="4">
        <v>269.45</v>
      </c>
      <c r="E56" s="12">
        <f t="shared" si="0"/>
        <v>3.8697956311307067</v>
      </c>
      <c r="F56" s="13">
        <f t="shared" si="1"/>
        <v>3.8732492913077197</v>
      </c>
      <c r="G56" s="13">
        <f t="shared" si="6"/>
        <v>3.8711922954472002</v>
      </c>
      <c r="H56" s="4">
        <f t="shared" si="2"/>
        <v>269.69047490446525</v>
      </c>
      <c r="I56" s="4">
        <f t="shared" si="3"/>
        <v>269.54724833969311</v>
      </c>
      <c r="J56" s="15">
        <f t="shared" si="4"/>
        <v>8.9206776936968826E-4</v>
      </c>
      <c r="K56" s="15">
        <f t="shared" si="5"/>
        <v>3.6084911768253798E-4</v>
      </c>
    </row>
    <row r="57" spans="1:11" x14ac:dyDescent="0.3">
      <c r="A57" s="8" t="s">
        <v>16</v>
      </c>
      <c r="B57" s="1">
        <v>46105</v>
      </c>
      <c r="C57" s="4">
        <v>69.34</v>
      </c>
      <c r="D57" s="4">
        <v>268.25</v>
      </c>
      <c r="E57" s="12">
        <f t="shared" si="0"/>
        <v>3.8686184020767231</v>
      </c>
      <c r="F57" s="13">
        <f t="shared" si="1"/>
        <v>3.872989924787352</v>
      </c>
      <c r="G57" s="13">
        <f t="shared" si="6"/>
        <v>3.8711922954472002</v>
      </c>
      <c r="H57" s="4">
        <f t="shared" si="2"/>
        <v>268.553121384755</v>
      </c>
      <c r="I57" s="4">
        <f t="shared" si="3"/>
        <v>268.42847376630885</v>
      </c>
      <c r="J57" s="15">
        <f t="shared" si="4"/>
        <v>1.1293578777674463E-3</v>
      </c>
      <c r="K57" s="15">
        <f t="shared" si="5"/>
        <v>6.6510501766744122E-4</v>
      </c>
    </row>
    <row r="58" spans="1:11" x14ac:dyDescent="0.3">
      <c r="B58" s="1">
        <v>46106</v>
      </c>
      <c r="C58" s="4">
        <v>70.14</v>
      </c>
      <c r="D58" s="4">
        <v>271.52</v>
      </c>
      <c r="E58" s="12">
        <f t="shared" si="0"/>
        <v>3.8711149130310805</v>
      </c>
      <c r="F58" s="13">
        <f t="shared" si="1"/>
        <v>3.8728371490691145</v>
      </c>
      <c r="G58" s="13">
        <f t="shared" si="6"/>
        <v>3.8711922954472002</v>
      </c>
      <c r="H58" s="4">
        <f t="shared" si="2"/>
        <v>271.64079763570771</v>
      </c>
      <c r="I58" s="4">
        <f t="shared" si="3"/>
        <v>271.52542760266664</v>
      </c>
      <c r="J58" s="15">
        <f t="shared" si="4"/>
        <v>4.4479512595587339E-4</v>
      </c>
      <c r="K58" s="15">
        <f t="shared" si="5"/>
        <v>1.9989497713933128E-5</v>
      </c>
    </row>
    <row r="59" spans="1:11" x14ac:dyDescent="0.3">
      <c r="B59" s="1">
        <v>46107</v>
      </c>
      <c r="C59" s="4">
        <v>69.89</v>
      </c>
      <c r="D59" s="4">
        <v>270.42</v>
      </c>
      <c r="E59" s="12">
        <f t="shared" si="0"/>
        <v>3.8692230648161399</v>
      </c>
      <c r="F59" s="13">
        <f t="shared" si="1"/>
        <v>3.8725092346147498</v>
      </c>
      <c r="G59" s="13">
        <f t="shared" si="6"/>
        <v>3.8711922954472002</v>
      </c>
      <c r="H59" s="4">
        <f t="shared" si="2"/>
        <v>270.64967040722485</v>
      </c>
      <c r="I59" s="4">
        <f t="shared" si="3"/>
        <v>270.55762952880485</v>
      </c>
      <c r="J59" s="15">
        <f t="shared" si="4"/>
        <v>8.4894952934941304E-4</v>
      </c>
      <c r="K59" s="15">
        <f t="shared" si="5"/>
        <v>5.088178300239266E-4</v>
      </c>
    </row>
    <row r="60" spans="1:11" x14ac:dyDescent="0.3">
      <c r="B60" s="1">
        <v>46108</v>
      </c>
      <c r="C60" s="4">
        <v>68.53</v>
      </c>
      <c r="D60" s="4">
        <v>265.36</v>
      </c>
      <c r="E60" s="12">
        <f t="shared" si="0"/>
        <v>3.8721727710491756</v>
      </c>
      <c r="F60" s="13">
        <f t="shared" si="1"/>
        <v>3.8724170341530502</v>
      </c>
      <c r="G60" s="13">
        <f t="shared" si="6"/>
        <v>3.8711922954472002</v>
      </c>
      <c r="H60" s="4">
        <f t="shared" si="2"/>
        <v>265.37673935050856</v>
      </c>
      <c r="I60" s="4">
        <f t="shared" si="3"/>
        <v>265.29280800699661</v>
      </c>
      <c r="J60" s="15">
        <f t="shared" si="4"/>
        <v>6.3079674998947724E-5</v>
      </c>
      <c r="K60" s="15">
        <f t="shared" si="5"/>
        <v>-2.5324276946679739E-4</v>
      </c>
    </row>
    <row r="61" spans="1:11" x14ac:dyDescent="0.3">
      <c r="B61" s="1">
        <v>46111</v>
      </c>
      <c r="C61" s="4">
        <v>68.790000000000006</v>
      </c>
      <c r="D61" s="4">
        <v>266.36</v>
      </c>
      <c r="E61" s="12">
        <f t="shared" si="0"/>
        <v>3.8720744294228813</v>
      </c>
      <c r="F61" s="13">
        <f t="shared" si="1"/>
        <v>3.8723402368311826</v>
      </c>
      <c r="G61" s="13">
        <f t="shared" si="6"/>
        <v>3.8711922954472002</v>
      </c>
      <c r="H61" s="4">
        <f t="shared" si="2"/>
        <v>266.37828489161706</v>
      </c>
      <c r="I61" s="4">
        <f t="shared" si="3"/>
        <v>266.29931800381291</v>
      </c>
      <c r="J61" s="15">
        <f t="shared" si="4"/>
        <v>6.864493182773409E-5</v>
      </c>
      <c r="K61" s="15">
        <f t="shared" si="5"/>
        <v>-2.2784543290084726E-4</v>
      </c>
    </row>
    <row r="62" spans="1:11" x14ac:dyDescent="0.3">
      <c r="B62" s="1">
        <v>46112</v>
      </c>
      <c r="C62" s="4">
        <v>70.36</v>
      </c>
      <c r="D62" s="4">
        <v>272.33</v>
      </c>
      <c r="E62" s="12">
        <f t="shared" si="0"/>
        <v>3.8705230244457076</v>
      </c>
      <c r="F62" s="13">
        <f t="shared" si="1"/>
        <v>3.8722351330360731</v>
      </c>
      <c r="G62" s="13">
        <f t="shared" si="6"/>
        <v>3.8711922954472002</v>
      </c>
      <c r="H62" s="4">
        <f t="shared" si="2"/>
        <v>272.45046396041812</v>
      </c>
      <c r="I62" s="4">
        <f t="shared" si="3"/>
        <v>272.37708990766498</v>
      </c>
      <c r="J62" s="15">
        <f t="shared" si="4"/>
        <v>4.4224773225458693E-4</v>
      </c>
      <c r="K62" s="15">
        <f t="shared" si="5"/>
        <v>1.7289992605127143E-4</v>
      </c>
    </row>
    <row r="63" spans="1:11" x14ac:dyDescent="0.3">
      <c r="B63" s="1">
        <v>46113</v>
      </c>
      <c r="C63" s="4">
        <v>70.91</v>
      </c>
      <c r="D63" s="4">
        <v>274.5</v>
      </c>
      <c r="E63" s="12">
        <f t="shared" si="0"/>
        <v>3.8711042166126077</v>
      </c>
      <c r="F63" s="13">
        <f t="shared" si="1"/>
        <v>3.8720903972569864</v>
      </c>
      <c r="G63" s="13">
        <f t="shared" si="6"/>
        <v>3.8711922954472002</v>
      </c>
      <c r="H63" s="4">
        <f t="shared" si="2"/>
        <v>274.5699300694929</v>
      </c>
      <c r="I63" s="4">
        <f t="shared" si="3"/>
        <v>274.50624567016098</v>
      </c>
      <c r="J63" s="15">
        <f t="shared" si="4"/>
        <v>2.5472190714263945E-4</v>
      </c>
      <c r="K63" s="15">
        <f t="shared" si="5"/>
        <v>2.2752637918117383E-5</v>
      </c>
    </row>
    <row r="64" spans="1:11" x14ac:dyDescent="0.3">
      <c r="B64" s="1">
        <v>46114</v>
      </c>
      <c r="C64" s="4">
        <v>70.540000000000006</v>
      </c>
      <c r="D64" s="4">
        <v>273.07</v>
      </c>
      <c r="E64" s="12">
        <f t="shared" si="0"/>
        <v>3.8711369435781111</v>
      </c>
      <c r="F64" s="13">
        <f t="shared" si="1"/>
        <v>3.8718776679685076</v>
      </c>
      <c r="G64" s="13">
        <f t="shared" si="6"/>
        <v>3.8711922954472002</v>
      </c>
      <c r="H64" s="4">
        <f t="shared" si="2"/>
        <v>273.12225069849853</v>
      </c>
      <c r="I64" s="4">
        <f t="shared" si="3"/>
        <v>273.07390452084553</v>
      </c>
      <c r="J64" s="15">
        <f t="shared" si="4"/>
        <v>1.9132713285888918E-4</v>
      </c>
      <c r="K64" s="15">
        <f t="shared" si="5"/>
        <v>1.4298505625619908E-5</v>
      </c>
    </row>
    <row r="65" spans="2:11" x14ac:dyDescent="0.3">
      <c r="B65" s="1">
        <v>46118</v>
      </c>
      <c r="C65" s="4">
        <v>70.319999999999993</v>
      </c>
      <c r="D65" s="4">
        <v>272.11</v>
      </c>
      <c r="E65" s="12">
        <f t="shared" si="0"/>
        <v>3.8695961319681462</v>
      </c>
      <c r="F65" s="13">
        <f t="shared" si="1"/>
        <v>3.8718124066563653</v>
      </c>
      <c r="G65" s="13">
        <f t="shared" si="6"/>
        <v>3.8711922954472002</v>
      </c>
      <c r="H65" s="4">
        <f t="shared" si="2"/>
        <v>272.2658484360756</v>
      </c>
      <c r="I65" s="4">
        <f t="shared" si="3"/>
        <v>272.22224221584707</v>
      </c>
      <c r="J65" s="15">
        <f t="shared" si="4"/>
        <v>5.7257661514982115E-4</v>
      </c>
      <c r="K65" s="15">
        <f t="shared" si="5"/>
        <v>4.1240334021365552E-4</v>
      </c>
    </row>
    <row r="66" spans="2:11" x14ac:dyDescent="0.3">
      <c r="B66" s="1">
        <v>46119</v>
      </c>
      <c r="C66" s="4">
        <v>70.459999999999994</v>
      </c>
      <c r="D66" s="4">
        <v>272.82</v>
      </c>
      <c r="E66" s="12">
        <f t="shared" si="0"/>
        <v>3.8719841044564296</v>
      </c>
      <c r="F66" s="13">
        <f t="shared" si="1"/>
        <v>3.8718693516702607</v>
      </c>
      <c r="G66" s="13">
        <f t="shared" si="6"/>
        <v>3.8711922954472002</v>
      </c>
      <c r="H66" s="4">
        <f t="shared" si="2"/>
        <v>272.81191451868654</v>
      </c>
      <c r="I66" s="4">
        <f t="shared" si="3"/>
        <v>272.76420913720972</v>
      </c>
      <c r="J66" s="15">
        <f t="shared" si="4"/>
        <v>-2.9637127517319164E-5</v>
      </c>
      <c r="K66" s="15">
        <f t="shared" si="5"/>
        <v>-2.0451788028457259E-4</v>
      </c>
    </row>
    <row r="67" spans="2:11" x14ac:dyDescent="0.3">
      <c r="B67" s="1">
        <v>46120</v>
      </c>
      <c r="C67" s="4">
        <v>71.849999999999994</v>
      </c>
      <c r="D67" s="4">
        <v>278.2</v>
      </c>
      <c r="E67" s="12">
        <f t="shared" ref="E67:E130" si="7">D67/C67</f>
        <v>3.8719554627696593</v>
      </c>
      <c r="F67" s="13">
        <f t="shared" si="1"/>
        <v>3.8717538543427059</v>
      </c>
      <c r="G67" s="13">
        <f t="shared" si="6"/>
        <v>3.8711922954472002</v>
      </c>
      <c r="H67" s="4">
        <f t="shared" si="2"/>
        <v>278.18551443452338</v>
      </c>
      <c r="I67" s="4">
        <f t="shared" si="3"/>
        <v>278.14516642788129</v>
      </c>
      <c r="J67" s="15">
        <f t="shared" si="4"/>
        <v>-5.2070246633162753E-5</v>
      </c>
      <c r="K67" s="15">
        <f t="shared" si="5"/>
        <v>-1.9712069271061907E-4</v>
      </c>
    </row>
    <row r="68" spans="2:11" x14ac:dyDescent="0.3">
      <c r="B68" s="1">
        <v>46121</v>
      </c>
      <c r="C68" s="4">
        <v>71.7</v>
      </c>
      <c r="D68" s="4">
        <v>277.64999999999998</v>
      </c>
      <c r="E68" s="12">
        <f t="shared" si="7"/>
        <v>3.8723849372384933</v>
      </c>
      <c r="F68" s="13">
        <f t="shared" si="1"/>
        <v>3.8717352433769356</v>
      </c>
      <c r="G68" s="13">
        <f t="shared" si="6"/>
        <v>3.8711922954472002</v>
      </c>
      <c r="H68" s="4">
        <f t="shared" si="2"/>
        <v>277.6034169501263</v>
      </c>
      <c r="I68" s="4">
        <f t="shared" si="3"/>
        <v>277.56448758356424</v>
      </c>
      <c r="J68" s="15">
        <f t="shared" si="4"/>
        <v>-1.6779023257105022E-4</v>
      </c>
      <c r="K68" s="15">
        <f t="shared" si="5"/>
        <v>-3.0803381044346709E-4</v>
      </c>
    </row>
    <row r="69" spans="2:11" x14ac:dyDescent="0.3">
      <c r="B69" s="1">
        <v>46122</v>
      </c>
      <c r="C69" s="4">
        <v>70.7</v>
      </c>
      <c r="D69" s="4">
        <v>273.77999999999997</v>
      </c>
      <c r="E69" s="12">
        <f t="shared" si="7"/>
        <v>3.872418670438472</v>
      </c>
      <c r="F69" s="13">
        <f t="shared" si="1"/>
        <v>3.8717467342392702</v>
      </c>
      <c r="G69" s="13">
        <f t="shared" si="6"/>
        <v>3.8711922954472002</v>
      </c>
      <c r="H69" s="4">
        <f t="shared" si="2"/>
        <v>273.7324941107164</v>
      </c>
      <c r="I69" s="4">
        <f t="shared" si="3"/>
        <v>273.69329528811704</v>
      </c>
      <c r="J69" s="15">
        <f t="shared" si="4"/>
        <v>-1.7353353544911695E-4</v>
      </c>
      <c r="K69" s="15">
        <f t="shared" si="5"/>
        <v>-3.1674499324096001E-4</v>
      </c>
    </row>
    <row r="70" spans="2:11" x14ac:dyDescent="0.3">
      <c r="B70" s="1">
        <v>46125</v>
      </c>
      <c r="C70" s="4">
        <v>71.22</v>
      </c>
      <c r="D70" s="4">
        <v>275.89</v>
      </c>
      <c r="E70" s="12">
        <f t="shared" si="7"/>
        <v>3.8737714125245715</v>
      </c>
      <c r="F70" s="13">
        <f t="shared" si="1"/>
        <v>3.8716888062660595</v>
      </c>
      <c r="G70" s="13">
        <f t="shared" si="6"/>
        <v>3.8711922954472002</v>
      </c>
      <c r="H70" s="4">
        <f t="shared" si="2"/>
        <v>275.74167678226877</v>
      </c>
      <c r="I70" s="4">
        <f t="shared" si="3"/>
        <v>275.7063152817496</v>
      </c>
      <c r="J70" s="15">
        <f t="shared" si="4"/>
        <v>-5.3776179849145058E-4</v>
      </c>
      <c r="K70" s="15">
        <f t="shared" si="5"/>
        <v>-6.6601142883396128E-4</v>
      </c>
    </row>
    <row r="71" spans="2:11" x14ac:dyDescent="0.3">
      <c r="B71" s="1">
        <v>46126</v>
      </c>
      <c r="C71" s="4">
        <v>71.8</v>
      </c>
      <c r="D71" s="4">
        <v>277.89999999999998</v>
      </c>
      <c r="E71" s="12">
        <f t="shared" si="7"/>
        <v>3.8704735376044566</v>
      </c>
      <c r="F71" s="13">
        <f t="shared" si="1"/>
        <v>3.871597824623239</v>
      </c>
      <c r="G71" s="13">
        <f t="shared" si="6"/>
        <v>3.8711922954472002</v>
      </c>
      <c r="H71" s="4">
        <f t="shared" si="2"/>
        <v>277.98072380794855</v>
      </c>
      <c r="I71" s="4">
        <f t="shared" si="3"/>
        <v>277.95160681310898</v>
      </c>
      <c r="J71" s="15">
        <f t="shared" si="4"/>
        <v>2.9043571780312441E-4</v>
      </c>
      <c r="K71" s="15">
        <f t="shared" si="5"/>
        <v>1.8568557731869642E-4</v>
      </c>
    </row>
    <row r="72" spans="2:11" x14ac:dyDescent="0.3">
      <c r="B72" s="1">
        <v>46127</v>
      </c>
      <c r="C72" s="4">
        <v>71.41</v>
      </c>
      <c r="D72" s="4">
        <v>276.41000000000003</v>
      </c>
      <c r="E72" s="12">
        <f t="shared" si="7"/>
        <v>3.8707463940624569</v>
      </c>
      <c r="F72" s="13">
        <f t="shared" si="1"/>
        <v>3.8715004321966804</v>
      </c>
      <c r="G72" s="13">
        <f t="shared" si="6"/>
        <v>3.8711922954472002</v>
      </c>
      <c r="H72" s="4">
        <f t="shared" si="2"/>
        <v>276.46384586316492</v>
      </c>
      <c r="I72" s="4">
        <f t="shared" si="3"/>
        <v>276.44184181788455</v>
      </c>
      <c r="J72" s="15">
        <f t="shared" si="4"/>
        <v>1.9478535198594205E-4</v>
      </c>
      <c r="K72" s="15">
        <f t="shared" si="5"/>
        <v>1.1519114348979187E-4</v>
      </c>
    </row>
    <row r="73" spans="2:11" x14ac:dyDescent="0.3">
      <c r="B73" s="1">
        <v>46128</v>
      </c>
      <c r="C73" s="4">
        <v>70.81</v>
      </c>
      <c r="D73" s="4">
        <v>274.29000000000002</v>
      </c>
      <c r="E73" s="12">
        <f t="shared" si="7"/>
        <v>3.8736054229628585</v>
      </c>
      <c r="F73" s="13">
        <f t="shared" si="1"/>
        <v>3.8714840006728495</v>
      </c>
      <c r="G73" s="13">
        <f t="shared" si="6"/>
        <v>3.8711922954472002</v>
      </c>
      <c r="H73" s="4">
        <f t="shared" si="2"/>
        <v>274.13978208764451</v>
      </c>
      <c r="I73" s="4">
        <f t="shared" si="3"/>
        <v>274.11912644061624</v>
      </c>
      <c r="J73" s="15">
        <f t="shared" si="4"/>
        <v>-5.4781093594277351E-4</v>
      </c>
      <c r="K73" s="15">
        <f t="shared" si="5"/>
        <v>-6.2316090916440261E-4</v>
      </c>
    </row>
    <row r="74" spans="2:11" x14ac:dyDescent="0.3">
      <c r="B74" s="1">
        <v>46129</v>
      </c>
      <c r="C74" s="4">
        <v>71.94</v>
      </c>
      <c r="D74" s="4">
        <v>278.45</v>
      </c>
      <c r="E74" s="12">
        <f t="shared" si="7"/>
        <v>3.870586599944398</v>
      </c>
      <c r="F74" s="13">
        <f t="shared" si="1"/>
        <v>3.8712695655282716</v>
      </c>
      <c r="G74" s="13">
        <f t="shared" si="6"/>
        <v>3.8711922954472002</v>
      </c>
      <c r="H74" s="4">
        <f t="shared" si="2"/>
        <v>278.49913254410387</v>
      </c>
      <c r="I74" s="4">
        <f t="shared" si="3"/>
        <v>278.49357373447157</v>
      </c>
      <c r="J74" s="15">
        <f t="shared" si="4"/>
        <v>1.7643458391574808E-4</v>
      </c>
      <c r="K74" s="15">
        <f t="shared" si="5"/>
        <v>1.5647450339819859E-4</v>
      </c>
    </row>
    <row r="75" spans="2:11" x14ac:dyDescent="0.3">
      <c r="B75" s="1">
        <v>46132</v>
      </c>
      <c r="C75" s="4">
        <v>71.36</v>
      </c>
      <c r="D75" s="4">
        <v>276.27999999999997</v>
      </c>
      <c r="E75" s="12">
        <f t="shared" si="7"/>
        <v>3.871636771300448</v>
      </c>
      <c r="F75" s="13">
        <f t="shared" si="1"/>
        <v>3.8712461420716755</v>
      </c>
      <c r="G75" s="13">
        <f t="shared" si="6"/>
        <v>3.8711922954472002</v>
      </c>
      <c r="H75" s="4">
        <f t="shared" si="2"/>
        <v>276.25212469823475</v>
      </c>
      <c r="I75" s="4">
        <f t="shared" si="3"/>
        <v>276.24828220311218</v>
      </c>
      <c r="J75" s="15">
        <f t="shared" si="4"/>
        <v>-1.0090020305726341E-4</v>
      </c>
      <c r="K75" s="15">
        <f t="shared" si="5"/>
        <v>-1.1480967742016993E-4</v>
      </c>
    </row>
    <row r="76" spans="2:11" x14ac:dyDescent="0.3">
      <c r="B76" s="1">
        <v>46133</v>
      </c>
      <c r="C76" s="4">
        <v>70.61</v>
      </c>
      <c r="D76" s="4">
        <v>273.33</v>
      </c>
      <c r="E76" s="12">
        <f t="shared" si="7"/>
        <v>3.8709814473870554</v>
      </c>
      <c r="F76" s="13">
        <f t="shared" si="1"/>
        <v>3.8713054328844931</v>
      </c>
      <c r="G76" s="13">
        <f t="shared" si="6"/>
        <v>3.8711922954472002</v>
      </c>
      <c r="H76" s="4">
        <f t="shared" ref="H76:H139" si="8">C76*F76</f>
        <v>273.35287661597408</v>
      </c>
      <c r="I76" s="4">
        <f t="shared" ref="I76:I139" si="9">C76*G76</f>
        <v>273.34488798152682</v>
      </c>
      <c r="J76" s="15">
        <f t="shared" ref="J76:J139" si="10">LN(H76/D76)</f>
        <v>8.3692454861852378E-5</v>
      </c>
      <c r="K76" s="15">
        <f t="shared" ref="K76:K139" si="11">LN(I76/D76)</f>
        <v>5.4467405976810158E-5</v>
      </c>
    </row>
    <row r="77" spans="2:11" x14ac:dyDescent="0.3">
      <c r="B77" s="1">
        <v>46134</v>
      </c>
      <c r="C77" s="4">
        <v>70.81</v>
      </c>
      <c r="D77" s="4">
        <v>274.07</v>
      </c>
      <c r="E77" s="12">
        <f t="shared" si="7"/>
        <v>3.8704985171585933</v>
      </c>
      <c r="F77" s="13">
        <f t="shared" si="1"/>
        <v>3.871399438638587</v>
      </c>
      <c r="G77" s="13">
        <f t="shared" ref="G77:G140" si="12">G76</f>
        <v>3.8711922954472002</v>
      </c>
      <c r="H77" s="4">
        <f t="shared" si="8"/>
        <v>274.13379424999835</v>
      </c>
      <c r="I77" s="4">
        <f t="shared" si="9"/>
        <v>274.11912644061624</v>
      </c>
      <c r="J77" s="15">
        <f t="shared" si="10"/>
        <v>2.3273917822326775E-4</v>
      </c>
      <c r="K77" s="15">
        <f t="shared" si="11"/>
        <v>1.7923172269661346E-4</v>
      </c>
    </row>
    <row r="78" spans="2:11" x14ac:dyDescent="0.3">
      <c r="B78" s="1">
        <v>46135</v>
      </c>
      <c r="C78" s="4">
        <v>70.56</v>
      </c>
      <c r="D78" s="4">
        <v>273.01</v>
      </c>
      <c r="E78" s="12">
        <f t="shared" si="7"/>
        <v>3.8691893424036277</v>
      </c>
      <c r="F78" s="13">
        <f t="shared" si="1"/>
        <v>3.8713031601072148</v>
      </c>
      <c r="G78" s="13">
        <f t="shared" si="12"/>
        <v>3.8711922954472002</v>
      </c>
      <c r="H78" s="4">
        <f t="shared" si="8"/>
        <v>273.1591509771651</v>
      </c>
      <c r="I78" s="4">
        <f t="shared" si="9"/>
        <v>273.15132836675446</v>
      </c>
      <c r="J78" s="15">
        <f t="shared" si="10"/>
        <v>5.4617138520515675E-4</v>
      </c>
      <c r="K78" s="15">
        <f t="shared" si="11"/>
        <v>5.1753341940760493E-4</v>
      </c>
    </row>
    <row r="79" spans="2:11" x14ac:dyDescent="0.3">
      <c r="B79" s="1">
        <v>46136</v>
      </c>
      <c r="C79" s="4">
        <v>69.73</v>
      </c>
      <c r="D79" s="4">
        <v>269.89</v>
      </c>
      <c r="E79" s="12">
        <f t="shared" si="7"/>
        <v>3.8705005019360388</v>
      </c>
      <c r="F79" s="13">
        <f t="shared" si="1"/>
        <v>3.8713670319632092</v>
      </c>
      <c r="G79" s="13">
        <f t="shared" si="12"/>
        <v>3.8711922954472002</v>
      </c>
      <c r="H79" s="4">
        <f t="shared" si="8"/>
        <v>269.95042313879458</v>
      </c>
      <c r="I79" s="4">
        <f t="shared" si="9"/>
        <v>269.93823876153328</v>
      </c>
      <c r="J79" s="15">
        <f t="shared" si="10"/>
        <v>2.2385555603856021E-4</v>
      </c>
      <c r="K79" s="15">
        <f t="shared" si="11"/>
        <v>1.7871892649550165E-4</v>
      </c>
    </row>
    <row r="80" spans="2:11" x14ac:dyDescent="0.3">
      <c r="B80" s="1">
        <v>46139</v>
      </c>
      <c r="C80" s="4">
        <v>69.44</v>
      </c>
      <c r="D80" s="4">
        <v>268.77999999999997</v>
      </c>
      <c r="E80" s="12">
        <f t="shared" si="7"/>
        <v>3.8706797235023038</v>
      </c>
      <c r="F80" s="13">
        <f t="shared" si="1"/>
        <v>3.8712923795858658</v>
      </c>
      <c r="G80" s="13">
        <f t="shared" si="12"/>
        <v>3.8711922954472002</v>
      </c>
      <c r="H80" s="4">
        <f t="shared" si="8"/>
        <v>268.82254283844253</v>
      </c>
      <c r="I80" s="4">
        <f t="shared" si="9"/>
        <v>268.81559299585359</v>
      </c>
      <c r="J80" s="15">
        <f t="shared" si="10"/>
        <v>1.5826873997571025E-4</v>
      </c>
      <c r="K80" s="15">
        <f t="shared" si="11"/>
        <v>1.3241550477488651E-4</v>
      </c>
    </row>
    <row r="81" spans="2:11" x14ac:dyDescent="0.3">
      <c r="B81" s="1">
        <v>46140</v>
      </c>
      <c r="C81" s="4">
        <v>69.44</v>
      </c>
      <c r="D81" s="4">
        <v>268.82</v>
      </c>
      <c r="E81" s="12">
        <f t="shared" si="7"/>
        <v>3.8712557603686637</v>
      </c>
      <c r="F81" s="13">
        <f t="shared" si="1"/>
        <v>3.8712514461331553</v>
      </c>
      <c r="G81" s="13">
        <f t="shared" si="12"/>
        <v>3.8711922954472002</v>
      </c>
      <c r="H81" s="4">
        <f t="shared" si="8"/>
        <v>268.81970041948631</v>
      </c>
      <c r="I81" s="4">
        <f t="shared" si="9"/>
        <v>268.81559299585359</v>
      </c>
      <c r="J81" s="15">
        <f t="shared" si="10"/>
        <v>-1.1144285418094168E-6</v>
      </c>
      <c r="K81" s="15">
        <f t="shared" si="11"/>
        <v>-1.6394019309445437E-5</v>
      </c>
    </row>
    <row r="82" spans="2:11" x14ac:dyDescent="0.3">
      <c r="B82" s="1">
        <v>46141</v>
      </c>
      <c r="C82" s="4">
        <v>68.94</v>
      </c>
      <c r="D82" s="4">
        <v>266.8</v>
      </c>
      <c r="E82" s="12">
        <f t="shared" si="7"/>
        <v>3.8700319118073692</v>
      </c>
      <c r="F82" s="13">
        <f t="shared" si="1"/>
        <v>3.8712268905012386</v>
      </c>
      <c r="G82" s="13">
        <f t="shared" si="12"/>
        <v>3.8711922954472002</v>
      </c>
      <c r="H82" s="4">
        <f t="shared" si="8"/>
        <v>266.88238183115539</v>
      </c>
      <c r="I82" s="4">
        <f t="shared" si="9"/>
        <v>266.87999684812996</v>
      </c>
      <c r="J82" s="15">
        <f t="shared" si="10"/>
        <v>3.0872981613920878E-4</v>
      </c>
      <c r="K82" s="15">
        <f t="shared" si="11"/>
        <v>2.9979331884854427E-4</v>
      </c>
    </row>
    <row r="83" spans="2:11" x14ac:dyDescent="0.3">
      <c r="B83" s="1">
        <v>46142</v>
      </c>
      <c r="C83" s="4">
        <v>70.400000000000006</v>
      </c>
      <c r="D83" s="4">
        <v>272.45999999999998</v>
      </c>
      <c r="E83" s="12">
        <f t="shared" si="7"/>
        <v>3.8701704545454541</v>
      </c>
      <c r="F83" s="13">
        <f t="shared" si="1"/>
        <v>3.8711802023978814</v>
      </c>
      <c r="G83" s="13">
        <f t="shared" si="12"/>
        <v>3.8711922954472002</v>
      </c>
      <c r="H83" s="4">
        <f t="shared" si="8"/>
        <v>272.53108624881088</v>
      </c>
      <c r="I83" s="4">
        <f t="shared" si="9"/>
        <v>272.53193759948294</v>
      </c>
      <c r="J83" s="15">
        <f t="shared" si="10"/>
        <v>2.6087123627417322E-4</v>
      </c>
      <c r="K83" s="15">
        <f t="shared" si="11"/>
        <v>2.6399509768032666E-4</v>
      </c>
    </row>
    <row r="84" spans="2:11" x14ac:dyDescent="0.3">
      <c r="B84" s="1">
        <v>46143</v>
      </c>
      <c r="C84" s="4">
        <v>70.11</v>
      </c>
      <c r="D84" s="4">
        <v>271.31</v>
      </c>
      <c r="E84" s="12">
        <f t="shared" si="7"/>
        <v>3.8697760661817147</v>
      </c>
      <c r="F84" s="13">
        <f t="shared" si="1"/>
        <v>3.8711121585280615</v>
      </c>
      <c r="G84" s="13">
        <f t="shared" si="12"/>
        <v>3.8711922954472002</v>
      </c>
      <c r="H84" s="4">
        <f t="shared" si="8"/>
        <v>271.40367343440238</v>
      </c>
      <c r="I84" s="4">
        <f t="shared" si="9"/>
        <v>271.4092918338032</v>
      </c>
      <c r="J84" s="15">
        <f t="shared" si="10"/>
        <v>3.4520388896709252E-4</v>
      </c>
      <c r="K84" s="15">
        <f t="shared" si="11"/>
        <v>3.6590493982815845E-4</v>
      </c>
    </row>
    <row r="85" spans="2:11" x14ac:dyDescent="0.3">
      <c r="B85" s="1">
        <v>46146</v>
      </c>
      <c r="C85" s="4">
        <v>70.099999999999994</v>
      </c>
      <c r="D85" s="4">
        <v>271.33999999999997</v>
      </c>
      <c r="E85" s="12">
        <f t="shared" si="7"/>
        <v>3.8707560627674749</v>
      </c>
      <c r="F85" s="13">
        <f t="shared" ref="F85:F148" si="13">AVERAGE(E66:E85)</f>
        <v>3.8711701550680266</v>
      </c>
      <c r="G85" s="13">
        <f t="shared" si="12"/>
        <v>3.8711922954472002</v>
      </c>
      <c r="H85" s="4">
        <f t="shared" si="8"/>
        <v>271.36902787026867</v>
      </c>
      <c r="I85" s="4">
        <f t="shared" si="9"/>
        <v>271.37057991084873</v>
      </c>
      <c r="J85" s="15">
        <f t="shared" si="10"/>
        <v>1.0697397244437513E-4</v>
      </c>
      <c r="K85" s="15">
        <f t="shared" si="11"/>
        <v>1.1269325497989926E-4</v>
      </c>
    </row>
    <row r="86" spans="2:11" x14ac:dyDescent="0.3">
      <c r="B86" s="1">
        <v>46147</v>
      </c>
      <c r="C86" s="4">
        <v>70.33</v>
      </c>
      <c r="D86" s="4">
        <v>272.17</v>
      </c>
      <c r="E86" s="12">
        <f t="shared" si="7"/>
        <v>3.8698990473482158</v>
      </c>
      <c r="F86" s="13">
        <f t="shared" si="13"/>
        <v>3.8710659022126159</v>
      </c>
      <c r="G86" s="13">
        <f t="shared" si="12"/>
        <v>3.8711922954472002</v>
      </c>
      <c r="H86" s="4">
        <f t="shared" si="8"/>
        <v>272.25206490261326</v>
      </c>
      <c r="I86" s="4">
        <f t="shared" si="9"/>
        <v>272.26095413880159</v>
      </c>
      <c r="J86" s="15">
        <f t="shared" si="10"/>
        <v>3.0147530206903775E-4</v>
      </c>
      <c r="K86" s="15">
        <f t="shared" si="11"/>
        <v>3.3412552668553856E-4</v>
      </c>
    </row>
    <row r="87" spans="2:11" x14ac:dyDescent="0.3">
      <c r="B87" s="1">
        <v>46148</v>
      </c>
      <c r="C87" s="4">
        <v>70.569999999999993</v>
      </c>
      <c r="D87" s="4">
        <v>273.10000000000002</v>
      </c>
      <c r="E87" s="12">
        <f t="shared" si="7"/>
        <v>3.869916395068727</v>
      </c>
      <c r="F87" s="13">
        <f t="shared" si="13"/>
        <v>3.8709639488275691</v>
      </c>
      <c r="G87" s="13">
        <f t="shared" si="12"/>
        <v>3.8711922954472002</v>
      </c>
      <c r="H87" s="4">
        <f t="shared" si="8"/>
        <v>273.1739258687615</v>
      </c>
      <c r="I87" s="4">
        <f t="shared" si="9"/>
        <v>273.19004028970892</v>
      </c>
      <c r="J87" s="15">
        <f t="shared" si="10"/>
        <v>2.7065494328764E-4</v>
      </c>
      <c r="K87" s="15">
        <f t="shared" si="11"/>
        <v>3.296428046775801E-4</v>
      </c>
    </row>
    <row r="88" spans="2:11" x14ac:dyDescent="0.3">
      <c r="B88" s="1">
        <v>46149</v>
      </c>
      <c r="C88" s="4">
        <v>70.02</v>
      </c>
      <c r="D88" s="4">
        <v>271.08999999999997</v>
      </c>
      <c r="E88" s="12">
        <f t="shared" si="7"/>
        <v>3.8716081119680088</v>
      </c>
      <c r="F88" s="13">
        <f t="shared" si="13"/>
        <v>3.8709251075640454</v>
      </c>
      <c r="G88" s="13">
        <f t="shared" si="12"/>
        <v>3.8711922954472002</v>
      </c>
      <c r="H88" s="4">
        <f t="shared" si="8"/>
        <v>271.04217603163443</v>
      </c>
      <c r="I88" s="4">
        <f t="shared" si="9"/>
        <v>271.06088452721292</v>
      </c>
      <c r="J88" s="15">
        <f t="shared" si="10"/>
        <v>-1.7642918315482188E-4</v>
      </c>
      <c r="K88" s="15">
        <f t="shared" si="11"/>
        <v>-1.0740726851503384E-4</v>
      </c>
    </row>
    <row r="89" spans="2:11" x14ac:dyDescent="0.3">
      <c r="B89" s="1">
        <v>46150</v>
      </c>
      <c r="C89" s="4">
        <v>69.48</v>
      </c>
      <c r="D89" s="4">
        <v>268.98</v>
      </c>
      <c r="E89" s="12">
        <f t="shared" si="7"/>
        <v>3.8713298791019</v>
      </c>
      <c r="F89" s="13">
        <f t="shared" si="13"/>
        <v>3.8708706679972167</v>
      </c>
      <c r="G89" s="13">
        <f t="shared" si="12"/>
        <v>3.8711922954472002</v>
      </c>
      <c r="H89" s="4">
        <f t="shared" si="8"/>
        <v>268.94809401244663</v>
      </c>
      <c r="I89" s="4">
        <f t="shared" si="9"/>
        <v>268.9704406876715</v>
      </c>
      <c r="J89" s="15">
        <f t="shared" si="10"/>
        <v>-1.1862547409569732E-4</v>
      </c>
      <c r="K89" s="15">
        <f t="shared" si="11"/>
        <v>-3.5539750900840551E-5</v>
      </c>
    </row>
    <row r="90" spans="2:11" x14ac:dyDescent="0.3">
      <c r="B90" s="1">
        <v>46153</v>
      </c>
      <c r="C90" s="4">
        <v>69.25</v>
      </c>
      <c r="D90" s="4">
        <v>267.95</v>
      </c>
      <c r="E90" s="12">
        <f t="shared" si="7"/>
        <v>3.8693140794223826</v>
      </c>
      <c r="F90" s="13">
        <f t="shared" si="13"/>
        <v>3.8706478013421068</v>
      </c>
      <c r="G90" s="13">
        <f t="shared" si="12"/>
        <v>3.8711922954472002</v>
      </c>
      <c r="H90" s="4">
        <f t="shared" si="8"/>
        <v>268.0423602429409</v>
      </c>
      <c r="I90" s="4">
        <f t="shared" si="9"/>
        <v>268.08006645971864</v>
      </c>
      <c r="J90" s="15">
        <f t="shared" si="10"/>
        <v>3.4463268772414916E-4</v>
      </c>
      <c r="K90" s="15">
        <f t="shared" si="11"/>
        <v>4.8529539818677382E-4</v>
      </c>
    </row>
    <row r="91" spans="2:11" x14ac:dyDescent="0.3">
      <c r="B91" s="1">
        <v>46154</v>
      </c>
      <c r="C91" s="4">
        <v>70.52</v>
      </c>
      <c r="D91" s="4">
        <v>272.93</v>
      </c>
      <c r="E91" s="12">
        <f t="shared" si="7"/>
        <v>3.8702495745887693</v>
      </c>
      <c r="F91" s="13">
        <f t="shared" si="13"/>
        <v>3.8706366031913229</v>
      </c>
      <c r="G91" s="13">
        <f t="shared" si="12"/>
        <v>3.8711922954472002</v>
      </c>
      <c r="H91" s="4">
        <f t="shared" si="8"/>
        <v>272.95729325705207</v>
      </c>
      <c r="I91" s="4">
        <f t="shared" si="9"/>
        <v>272.99648067493655</v>
      </c>
      <c r="J91" s="15">
        <f t="shared" si="10"/>
        <v>9.9995942063298078E-5</v>
      </c>
      <c r="K91" s="15">
        <f t="shared" si="11"/>
        <v>2.4355175144829565E-4</v>
      </c>
    </row>
    <row r="92" spans="2:11" x14ac:dyDescent="0.3">
      <c r="B92" s="1">
        <v>46155</v>
      </c>
      <c r="C92" s="4">
        <v>70.94</v>
      </c>
      <c r="D92" s="4">
        <v>274.41000000000003</v>
      </c>
      <c r="E92" s="12">
        <f t="shared" si="7"/>
        <v>3.8681984775866933</v>
      </c>
      <c r="F92" s="13">
        <f t="shared" si="13"/>
        <v>3.8705092073675345</v>
      </c>
      <c r="G92" s="13">
        <f t="shared" si="12"/>
        <v>3.8711922954472002</v>
      </c>
      <c r="H92" s="4">
        <f t="shared" si="8"/>
        <v>274.5739231706529</v>
      </c>
      <c r="I92" s="4">
        <f t="shared" si="9"/>
        <v>274.62238143902437</v>
      </c>
      <c r="J92" s="15">
        <f t="shared" si="10"/>
        <v>5.9718752628611582E-4</v>
      </c>
      <c r="K92" s="15">
        <f t="shared" si="11"/>
        <v>7.736572806908142E-4</v>
      </c>
    </row>
    <row r="93" spans="2:11" x14ac:dyDescent="0.3">
      <c r="B93" s="1">
        <v>46156</v>
      </c>
      <c r="C93" s="4">
        <v>70.88</v>
      </c>
      <c r="D93" s="4">
        <v>274.10000000000002</v>
      </c>
      <c r="E93" s="12">
        <f t="shared" si="7"/>
        <v>3.8670993227990977</v>
      </c>
      <c r="F93" s="13">
        <f t="shared" si="13"/>
        <v>3.8701839023593458</v>
      </c>
      <c r="G93" s="13">
        <f t="shared" si="12"/>
        <v>3.8711922954472002</v>
      </c>
      <c r="H93" s="4">
        <f t="shared" si="8"/>
        <v>274.31863499923043</v>
      </c>
      <c r="I93" s="4">
        <f t="shared" si="9"/>
        <v>274.39010990129754</v>
      </c>
      <c r="J93" s="15">
        <f t="shared" si="10"/>
        <v>7.9732889023183425E-4</v>
      </c>
      <c r="K93" s="15">
        <f t="shared" si="11"/>
        <v>1.0578492596833178E-3</v>
      </c>
    </row>
    <row r="94" spans="2:11" x14ac:dyDescent="0.3">
      <c r="B94" s="1">
        <v>46157</v>
      </c>
      <c r="C94" s="4">
        <v>69.959999999999994</v>
      </c>
      <c r="D94" s="4">
        <v>270.62</v>
      </c>
      <c r="E94" s="12">
        <f t="shared" si="7"/>
        <v>3.8682104059462552</v>
      </c>
      <c r="F94" s="13">
        <f t="shared" si="13"/>
        <v>3.8700650926594391</v>
      </c>
      <c r="G94" s="13">
        <f t="shared" si="12"/>
        <v>3.8711922954472002</v>
      </c>
      <c r="H94" s="4">
        <f t="shared" si="8"/>
        <v>270.74975388245434</v>
      </c>
      <c r="I94" s="4">
        <f t="shared" si="9"/>
        <v>270.82861298948609</v>
      </c>
      <c r="J94" s="15">
        <f t="shared" si="10"/>
        <v>4.7935402378273623E-4</v>
      </c>
      <c r="K94" s="15">
        <f t="shared" si="11"/>
        <v>7.7057358650098947E-4</v>
      </c>
    </row>
    <row r="95" spans="2:11" x14ac:dyDescent="0.3">
      <c r="B95" s="1">
        <v>46160</v>
      </c>
      <c r="C95" s="4">
        <v>70.17</v>
      </c>
      <c r="D95" s="4">
        <v>271.42</v>
      </c>
      <c r="E95" s="12">
        <f t="shared" si="7"/>
        <v>3.8680347726948838</v>
      </c>
      <c r="F95" s="13">
        <f t="shared" si="13"/>
        <v>3.869884992729161</v>
      </c>
      <c r="G95" s="13">
        <f t="shared" si="12"/>
        <v>3.8711922954472002</v>
      </c>
      <c r="H95" s="4">
        <f t="shared" si="8"/>
        <v>271.54982993980525</v>
      </c>
      <c r="I95" s="4">
        <f t="shared" si="9"/>
        <v>271.64156337153003</v>
      </c>
      <c r="J95" s="15">
        <f t="shared" si="10"/>
        <v>4.7822157004174165E-4</v>
      </c>
      <c r="K95" s="15">
        <f t="shared" si="11"/>
        <v>8.1597888257058983E-4</v>
      </c>
    </row>
    <row r="96" spans="2:11" x14ac:dyDescent="0.3">
      <c r="B96" s="1">
        <v>46161</v>
      </c>
      <c r="C96" s="4">
        <v>70.83</v>
      </c>
      <c r="D96" s="4">
        <v>274.04000000000002</v>
      </c>
      <c r="E96" s="12">
        <f t="shared" si="7"/>
        <v>3.868982069744459</v>
      </c>
      <c r="F96" s="13">
        <f t="shared" si="13"/>
        <v>3.8697850238470317</v>
      </c>
      <c r="G96" s="13">
        <f t="shared" si="12"/>
        <v>3.8711922954472002</v>
      </c>
      <c r="H96" s="4">
        <f t="shared" si="8"/>
        <v>274.09687323908526</v>
      </c>
      <c r="I96" s="4">
        <f t="shared" si="9"/>
        <v>274.19655028652517</v>
      </c>
      <c r="J96" s="15">
        <f t="shared" si="10"/>
        <v>2.0751473606677359E-4</v>
      </c>
      <c r="K96" s="15">
        <f t="shared" si="11"/>
        <v>5.7110490243084361E-4</v>
      </c>
    </row>
    <row r="97" spans="2:11" x14ac:dyDescent="0.3">
      <c r="B97" s="1">
        <v>46162</v>
      </c>
      <c r="C97" s="4">
        <v>71.010000000000005</v>
      </c>
      <c r="D97" s="4">
        <v>274.77</v>
      </c>
      <c r="E97" s="12">
        <f t="shared" si="7"/>
        <v>3.8694550063371351</v>
      </c>
      <c r="F97" s="13">
        <f t="shared" si="13"/>
        <v>3.8697328483059588</v>
      </c>
      <c r="G97" s="13">
        <f t="shared" si="12"/>
        <v>3.8711922954472002</v>
      </c>
      <c r="H97" s="4">
        <f t="shared" si="8"/>
        <v>274.78972955820615</v>
      </c>
      <c r="I97" s="4">
        <f t="shared" si="9"/>
        <v>274.89336489970572</v>
      </c>
      <c r="J97" s="15">
        <f t="shared" si="10"/>
        <v>7.1801324418399167E-5</v>
      </c>
      <c r="K97" s="15">
        <f t="shared" si="11"/>
        <v>4.4887438259459325E-4</v>
      </c>
    </row>
    <row r="98" spans="2:11" x14ac:dyDescent="0.3">
      <c r="B98" s="1">
        <v>46163</v>
      </c>
      <c r="C98" s="4">
        <v>71.47</v>
      </c>
      <c r="D98" s="4">
        <v>276.54000000000002</v>
      </c>
      <c r="E98" s="12">
        <f t="shared" si="7"/>
        <v>3.8693157968378342</v>
      </c>
      <c r="F98" s="13">
        <f t="shared" si="13"/>
        <v>3.869739171027669</v>
      </c>
      <c r="G98" s="13">
        <f t="shared" si="12"/>
        <v>3.8711922954472002</v>
      </c>
      <c r="H98" s="4">
        <f t="shared" si="8"/>
        <v>276.57025855334751</v>
      </c>
      <c r="I98" s="4">
        <f t="shared" si="9"/>
        <v>276.67411335561138</v>
      </c>
      <c r="J98" s="15">
        <f t="shared" si="10"/>
        <v>1.0941237451219482E-4</v>
      </c>
      <c r="K98" s="15">
        <f t="shared" si="11"/>
        <v>4.848515430134652E-4</v>
      </c>
    </row>
    <row r="99" spans="2:11" x14ac:dyDescent="0.3">
      <c r="B99" s="1">
        <v>46164</v>
      </c>
      <c r="C99" s="4">
        <v>72.17</v>
      </c>
      <c r="D99" s="4">
        <v>279.27</v>
      </c>
      <c r="E99" s="12">
        <f t="shared" si="7"/>
        <v>3.8696134127753909</v>
      </c>
      <c r="F99" s="13">
        <f t="shared" si="13"/>
        <v>3.8696948165696377</v>
      </c>
      <c r="G99" s="13">
        <f t="shared" si="12"/>
        <v>3.8711922954472002</v>
      </c>
      <c r="H99" s="4">
        <f t="shared" si="8"/>
        <v>279.27587491183078</v>
      </c>
      <c r="I99" s="4">
        <f t="shared" si="9"/>
        <v>279.38394796242443</v>
      </c>
      <c r="J99" s="15">
        <f t="shared" si="10"/>
        <v>2.1036452312728965E-5</v>
      </c>
      <c r="K99" s="15">
        <f t="shared" si="11"/>
        <v>4.079375592716851E-4</v>
      </c>
    </row>
    <row r="100" spans="2:11" x14ac:dyDescent="0.3">
      <c r="B100" s="1">
        <v>46168</v>
      </c>
      <c r="C100" s="4">
        <v>71.680000000000007</v>
      </c>
      <c r="D100" s="4">
        <v>277.31</v>
      </c>
      <c r="E100" s="12">
        <f t="shared" si="7"/>
        <v>3.8687220982142856</v>
      </c>
      <c r="F100" s="13">
        <f t="shared" si="13"/>
        <v>3.8695969353052369</v>
      </c>
      <c r="G100" s="13">
        <f t="shared" si="12"/>
        <v>3.8711922954472002</v>
      </c>
      <c r="H100" s="4">
        <f t="shared" si="8"/>
        <v>277.37270832267939</v>
      </c>
      <c r="I100" s="4">
        <f t="shared" si="9"/>
        <v>277.48706373765532</v>
      </c>
      <c r="J100" s="15">
        <f t="shared" si="10"/>
        <v>2.2610520214765811E-4</v>
      </c>
      <c r="K100" s="15">
        <f t="shared" si="11"/>
        <v>6.3830094007414349E-4</v>
      </c>
    </row>
    <row r="101" spans="2:11" x14ac:dyDescent="0.3">
      <c r="B101" s="1">
        <v>46169</v>
      </c>
      <c r="C101" s="4">
        <v>71.849999999999994</v>
      </c>
      <c r="D101" s="4">
        <v>277.88</v>
      </c>
      <c r="E101" s="12">
        <f t="shared" si="7"/>
        <v>3.8675017397355602</v>
      </c>
      <c r="F101" s="13">
        <f t="shared" si="13"/>
        <v>3.8694092342735815</v>
      </c>
      <c r="G101" s="13">
        <f t="shared" si="12"/>
        <v>3.8711922954472002</v>
      </c>
      <c r="H101" s="4">
        <f t="shared" si="8"/>
        <v>278.01705348255683</v>
      </c>
      <c r="I101" s="4">
        <f t="shared" si="9"/>
        <v>278.14516642788129</v>
      </c>
      <c r="J101" s="15">
        <f t="shared" si="10"/>
        <v>4.9308944695834907E-4</v>
      </c>
      <c r="K101" s="15">
        <f t="shared" si="11"/>
        <v>9.5379297195176752E-4</v>
      </c>
    </row>
    <row r="102" spans="2:11" x14ac:dyDescent="0.3">
      <c r="B102" s="1">
        <v>46170</v>
      </c>
      <c r="C102" s="4">
        <v>72.819999999999993</v>
      </c>
      <c r="D102" s="4">
        <v>281.77</v>
      </c>
      <c r="E102" s="12">
        <f t="shared" si="7"/>
        <v>3.8694040098873939</v>
      </c>
      <c r="F102" s="13">
        <f t="shared" si="13"/>
        <v>3.8693778391775822</v>
      </c>
      <c r="G102" s="13">
        <f t="shared" si="12"/>
        <v>3.8711922954472002</v>
      </c>
      <c r="H102" s="4">
        <f t="shared" si="8"/>
        <v>281.7680942489115</v>
      </c>
      <c r="I102" s="4">
        <f t="shared" si="9"/>
        <v>281.90022295446511</v>
      </c>
      <c r="J102" s="15">
        <f t="shared" si="10"/>
        <v>-6.7635217847164526E-6</v>
      </c>
      <c r="K102" s="15">
        <f t="shared" si="11"/>
        <v>4.6205370260436485E-4</v>
      </c>
    </row>
    <row r="103" spans="2:11" x14ac:dyDescent="0.3">
      <c r="B103" s="1">
        <v>46171</v>
      </c>
      <c r="C103" s="4">
        <v>72.25</v>
      </c>
      <c r="D103" s="4">
        <v>279.61</v>
      </c>
      <c r="E103" s="12">
        <f t="shared" si="7"/>
        <v>3.8700346020761249</v>
      </c>
      <c r="F103" s="13">
        <f t="shared" si="13"/>
        <v>3.8693710465541158</v>
      </c>
      <c r="G103" s="13">
        <f t="shared" si="12"/>
        <v>3.8711922954472002</v>
      </c>
      <c r="H103" s="4">
        <f t="shared" si="8"/>
        <v>279.56205811353487</v>
      </c>
      <c r="I103" s="4">
        <f t="shared" si="9"/>
        <v>279.69364334606024</v>
      </c>
      <c r="J103" s="15">
        <f t="shared" si="10"/>
        <v>-1.714745430747795E-4</v>
      </c>
      <c r="K103" s="15">
        <f t="shared" si="11"/>
        <v>2.9909816493736122E-4</v>
      </c>
    </row>
    <row r="104" spans="2:11" x14ac:dyDescent="0.3">
      <c r="B104" s="1">
        <v>46174</v>
      </c>
      <c r="C104" s="4">
        <v>71.459999999999994</v>
      </c>
      <c r="D104" s="4">
        <v>276.33</v>
      </c>
      <c r="E104" s="12">
        <f t="shared" si="7"/>
        <v>3.8669185558354324</v>
      </c>
      <c r="F104" s="13">
        <f t="shared" si="13"/>
        <v>3.8692281710368013</v>
      </c>
      <c r="G104" s="13">
        <f t="shared" si="12"/>
        <v>3.8711922954472002</v>
      </c>
      <c r="H104" s="4">
        <f t="shared" si="8"/>
        <v>276.49504510228979</v>
      </c>
      <c r="I104" s="4">
        <f t="shared" si="9"/>
        <v>276.63540143265692</v>
      </c>
      <c r="J104" s="15">
        <f t="shared" si="10"/>
        <v>5.970970695180648E-4</v>
      </c>
      <c r="K104" s="15">
        <f t="shared" si="11"/>
        <v>1.1045951986079078E-3</v>
      </c>
    </row>
    <row r="105" spans="2:11" x14ac:dyDescent="0.3">
      <c r="B105" s="1">
        <v>46175</v>
      </c>
      <c r="C105" s="4">
        <v>70.569999999999993</v>
      </c>
      <c r="D105" s="4">
        <v>272.98</v>
      </c>
      <c r="E105" s="12">
        <f t="shared" si="7"/>
        <v>3.8682159557885791</v>
      </c>
      <c r="F105" s="13">
        <f t="shared" si="13"/>
        <v>3.8691011656878564</v>
      </c>
      <c r="G105" s="13">
        <f t="shared" si="12"/>
        <v>3.8711922954472002</v>
      </c>
      <c r="H105" s="4">
        <f t="shared" si="8"/>
        <v>273.04246926259202</v>
      </c>
      <c r="I105" s="4">
        <f t="shared" si="9"/>
        <v>273.19004028970892</v>
      </c>
      <c r="J105" s="15">
        <f t="shared" si="10"/>
        <v>2.2881572235995332E-4</v>
      </c>
      <c r="K105" s="15">
        <f t="shared" si="11"/>
        <v>7.6913885628748986E-4</v>
      </c>
    </row>
    <row r="106" spans="2:11" x14ac:dyDescent="0.3">
      <c r="B106" s="1">
        <v>46176</v>
      </c>
      <c r="C106" s="4">
        <v>71.150000000000006</v>
      </c>
      <c r="D106" s="4">
        <v>275.27</v>
      </c>
      <c r="E106" s="12">
        <f t="shared" si="7"/>
        <v>3.8688685874912152</v>
      </c>
      <c r="F106" s="13">
        <f t="shared" si="13"/>
        <v>3.869049642695007</v>
      </c>
      <c r="G106" s="13">
        <f t="shared" si="12"/>
        <v>3.8711922954472002</v>
      </c>
      <c r="H106" s="4">
        <f t="shared" si="8"/>
        <v>275.28288207774978</v>
      </c>
      <c r="I106" s="4">
        <f t="shared" si="9"/>
        <v>275.4353318210683</v>
      </c>
      <c r="J106" s="15">
        <f t="shared" si="10"/>
        <v>4.6796876999546312E-5</v>
      </c>
      <c r="K106" s="15">
        <f t="shared" si="11"/>
        <v>6.0043662729311836E-4</v>
      </c>
    </row>
    <row r="107" spans="2:11" x14ac:dyDescent="0.3">
      <c r="B107" s="1">
        <v>46177</v>
      </c>
      <c r="C107" s="4">
        <v>73.260000000000005</v>
      </c>
      <c r="D107" s="4">
        <v>283.38</v>
      </c>
      <c r="E107" s="12">
        <f t="shared" si="7"/>
        <v>3.868140868140868</v>
      </c>
      <c r="F107" s="13">
        <f t="shared" si="13"/>
        <v>3.8689608663486141</v>
      </c>
      <c r="G107" s="13">
        <f t="shared" si="12"/>
        <v>3.8711922954472002</v>
      </c>
      <c r="H107" s="4">
        <f t="shared" si="8"/>
        <v>283.44007306869952</v>
      </c>
      <c r="I107" s="4">
        <f t="shared" si="9"/>
        <v>283.60354756446191</v>
      </c>
      <c r="J107" s="15">
        <f t="shared" si="10"/>
        <v>2.1196521357892844E-4</v>
      </c>
      <c r="K107" s="15">
        <f t="shared" si="11"/>
        <v>7.8855048618561786E-4</v>
      </c>
    </row>
    <row r="108" spans="2:11" x14ac:dyDescent="0.3">
      <c r="B108" s="1">
        <v>46178</v>
      </c>
      <c r="C108" s="4">
        <v>73.44</v>
      </c>
      <c r="D108" s="4">
        <v>284.13</v>
      </c>
      <c r="E108" s="12">
        <f t="shared" si="7"/>
        <v>3.8688725490196081</v>
      </c>
      <c r="F108" s="13">
        <f t="shared" si="13"/>
        <v>3.8688240882011939</v>
      </c>
      <c r="G108" s="13">
        <f t="shared" si="12"/>
        <v>3.8711922954472002</v>
      </c>
      <c r="H108" s="4">
        <f t="shared" si="8"/>
        <v>284.12644103749568</v>
      </c>
      <c r="I108" s="4">
        <f t="shared" si="9"/>
        <v>284.3003621776424</v>
      </c>
      <c r="J108" s="15">
        <f t="shared" si="10"/>
        <v>-1.2525902910556407E-5</v>
      </c>
      <c r="K108" s="15">
        <f t="shared" si="11"/>
        <v>5.9941267771353136E-4</v>
      </c>
    </row>
    <row r="109" spans="2:11" x14ac:dyDescent="0.3">
      <c r="B109" s="1">
        <v>46181</v>
      </c>
      <c r="C109" s="4">
        <v>73.27</v>
      </c>
      <c r="D109" s="4">
        <v>283.32</v>
      </c>
      <c r="E109" s="12">
        <f t="shared" si="7"/>
        <v>3.8667940494063058</v>
      </c>
      <c r="F109" s="13">
        <f t="shared" si="13"/>
        <v>3.8685972967164139</v>
      </c>
      <c r="G109" s="13">
        <f t="shared" si="12"/>
        <v>3.8711922954472002</v>
      </c>
      <c r="H109" s="4">
        <f t="shared" si="8"/>
        <v>283.45212393041163</v>
      </c>
      <c r="I109" s="4">
        <f t="shared" si="9"/>
        <v>283.64225948741637</v>
      </c>
      <c r="J109" s="15">
        <f t="shared" si="10"/>
        <v>4.6623299638927357E-4</v>
      </c>
      <c r="K109" s="15">
        <f t="shared" si="11"/>
        <v>1.1367935580487785E-3</v>
      </c>
    </row>
    <row r="110" spans="2:11" x14ac:dyDescent="0.3">
      <c r="B110" s="1">
        <v>46182</v>
      </c>
      <c r="C110" s="4">
        <v>74.33</v>
      </c>
      <c r="D110" s="4">
        <v>287.39</v>
      </c>
      <c r="E110" s="12">
        <f t="shared" si="7"/>
        <v>3.8664065653168302</v>
      </c>
      <c r="F110" s="13">
        <f t="shared" si="13"/>
        <v>3.868451921011137</v>
      </c>
      <c r="G110" s="13">
        <f t="shared" si="12"/>
        <v>3.8711922954472002</v>
      </c>
      <c r="H110" s="4">
        <f t="shared" si="8"/>
        <v>287.54203128875781</v>
      </c>
      <c r="I110" s="4">
        <f t="shared" si="9"/>
        <v>287.7457233205904</v>
      </c>
      <c r="J110" s="15">
        <f t="shared" si="10"/>
        <v>5.288670104556765E-4</v>
      </c>
      <c r="K110" s="15">
        <f t="shared" si="11"/>
        <v>1.2370066804294907E-3</v>
      </c>
    </row>
    <row r="111" spans="2:11" x14ac:dyDescent="0.3">
      <c r="B111" s="1">
        <v>46183</v>
      </c>
      <c r="C111" s="4">
        <v>73.47</v>
      </c>
      <c r="D111" s="4">
        <v>284.14</v>
      </c>
      <c r="E111" s="12">
        <f t="shared" si="7"/>
        <v>3.8674288825370899</v>
      </c>
      <c r="F111" s="13">
        <f t="shared" si="13"/>
        <v>3.8683108864085525</v>
      </c>
      <c r="G111" s="13">
        <f t="shared" si="12"/>
        <v>3.8711922954472002</v>
      </c>
      <c r="H111" s="4">
        <f t="shared" si="8"/>
        <v>284.20480082443635</v>
      </c>
      <c r="I111" s="4">
        <f t="shared" si="9"/>
        <v>284.41649794650579</v>
      </c>
      <c r="J111" s="15">
        <f t="shared" si="10"/>
        <v>2.2803349172243736E-4</v>
      </c>
      <c r="K111" s="15">
        <f t="shared" si="11"/>
        <v>9.7263145985314412E-4</v>
      </c>
    </row>
    <row r="112" spans="2:11" x14ac:dyDescent="0.3">
      <c r="B112" s="1">
        <v>46184</v>
      </c>
      <c r="C112" s="4">
        <v>74.16</v>
      </c>
      <c r="D112" s="4">
        <v>286.8</v>
      </c>
      <c r="E112" s="12">
        <f t="shared" si="7"/>
        <v>3.8673139158576055</v>
      </c>
      <c r="F112" s="13">
        <f t="shared" si="13"/>
        <v>3.8682666583220979</v>
      </c>
      <c r="G112" s="13">
        <f t="shared" si="12"/>
        <v>3.8711922954472002</v>
      </c>
      <c r="H112" s="4">
        <f t="shared" si="8"/>
        <v>286.87065538116678</v>
      </c>
      <c r="I112" s="4">
        <f t="shared" si="9"/>
        <v>287.08762063036437</v>
      </c>
      <c r="J112" s="15">
        <f t="shared" si="10"/>
        <v>2.463273338500565E-4</v>
      </c>
      <c r="K112" s="15">
        <f t="shared" si="11"/>
        <v>1.0023588037325162E-3</v>
      </c>
    </row>
    <row r="113" spans="1:11" x14ac:dyDescent="0.3">
      <c r="B113" s="1">
        <v>46185</v>
      </c>
      <c r="C113" s="4">
        <v>74.06</v>
      </c>
      <c r="D113" s="4">
        <v>286.45999999999998</v>
      </c>
      <c r="E113" s="12">
        <f t="shared" si="7"/>
        <v>3.8679449095328109</v>
      </c>
      <c r="F113" s="13">
        <f t="shared" si="13"/>
        <v>3.8683089376587829</v>
      </c>
      <c r="G113" s="13">
        <f t="shared" si="12"/>
        <v>3.8711922954472002</v>
      </c>
      <c r="H113" s="4">
        <f t="shared" si="8"/>
        <v>286.48695992300947</v>
      </c>
      <c r="I113" s="4">
        <f t="shared" si="9"/>
        <v>286.70050140081963</v>
      </c>
      <c r="J113" s="15">
        <f t="shared" si="10"/>
        <v>9.4109664297686971E-5</v>
      </c>
      <c r="K113" s="15">
        <f t="shared" si="11"/>
        <v>8.3921140534559463E-4</v>
      </c>
    </row>
    <row r="114" spans="1:11" x14ac:dyDescent="0.3">
      <c r="B114" s="1">
        <v>46188</v>
      </c>
      <c r="C114" s="4">
        <v>73.819999999999993</v>
      </c>
      <c r="D114" s="4">
        <v>285.62</v>
      </c>
      <c r="E114" s="12">
        <f t="shared" si="7"/>
        <v>3.8691411541587648</v>
      </c>
      <c r="F114" s="13">
        <f t="shared" si="13"/>
        <v>3.8683554750694085</v>
      </c>
      <c r="G114" s="13">
        <f t="shared" si="12"/>
        <v>3.8711922954472002</v>
      </c>
      <c r="H114" s="4">
        <f t="shared" si="8"/>
        <v>285.56200116962373</v>
      </c>
      <c r="I114" s="4">
        <f t="shared" si="9"/>
        <v>285.77141524991231</v>
      </c>
      <c r="J114" s="15">
        <f t="shared" si="10"/>
        <v>-2.0308353714525135E-4</v>
      </c>
      <c r="K114" s="15">
        <f t="shared" si="11"/>
        <v>5.2998784866330163E-4</v>
      </c>
    </row>
    <row r="115" spans="1:11" x14ac:dyDescent="0.3">
      <c r="B115" s="1">
        <v>46189</v>
      </c>
      <c r="C115" s="4">
        <v>73.77</v>
      </c>
      <c r="D115" s="4">
        <v>285.22000000000003</v>
      </c>
      <c r="E115" s="12">
        <f t="shared" si="7"/>
        <v>3.8663413311644304</v>
      </c>
      <c r="F115" s="13">
        <f t="shared" si="13"/>
        <v>3.8682708029928863</v>
      </c>
      <c r="G115" s="13">
        <f t="shared" si="12"/>
        <v>3.8711922954472002</v>
      </c>
      <c r="H115" s="4">
        <f t="shared" si="8"/>
        <v>285.36233713678519</v>
      </c>
      <c r="I115" s="4">
        <f t="shared" si="9"/>
        <v>285.57785563513994</v>
      </c>
      <c r="J115" s="15">
        <f t="shared" si="10"/>
        <v>4.9891884299098127E-4</v>
      </c>
      <c r="K115" s="15">
        <f t="shared" si="11"/>
        <v>1.2538788591878588E-3</v>
      </c>
    </row>
    <row r="116" spans="1:11" x14ac:dyDescent="0.3">
      <c r="B116" s="1">
        <v>46190</v>
      </c>
      <c r="C116" s="4">
        <v>72.87</v>
      </c>
      <c r="D116" s="4">
        <v>281.99</v>
      </c>
      <c r="E116" s="12">
        <f t="shared" si="7"/>
        <v>3.8697680801427197</v>
      </c>
      <c r="F116" s="13">
        <f t="shared" si="13"/>
        <v>3.8683101035127998</v>
      </c>
      <c r="G116" s="13">
        <f t="shared" si="12"/>
        <v>3.8711922954472002</v>
      </c>
      <c r="H116" s="4">
        <f t="shared" si="8"/>
        <v>281.88375724297777</v>
      </c>
      <c r="I116" s="4">
        <f t="shared" si="9"/>
        <v>282.09378256923748</v>
      </c>
      <c r="J116" s="15">
        <f t="shared" si="10"/>
        <v>-3.7683171779064821E-4</v>
      </c>
      <c r="K116" s="15">
        <f t="shared" si="11"/>
        <v>3.6796863733881772E-4</v>
      </c>
    </row>
    <row r="117" spans="1:11" x14ac:dyDescent="0.3">
      <c r="A117" s="8" t="s">
        <v>15</v>
      </c>
      <c r="B117" s="1">
        <v>46191</v>
      </c>
      <c r="C117" s="10">
        <f>72.22+0.263</f>
        <v>72.483000000000004</v>
      </c>
      <c r="D117" s="4">
        <v>280.41000000000003</v>
      </c>
      <c r="E117" s="12">
        <f t="shared" si="7"/>
        <v>3.8686312652621995</v>
      </c>
      <c r="F117" s="13">
        <f t="shared" si="13"/>
        <v>3.8682689164590527</v>
      </c>
      <c r="G117" s="13">
        <f t="shared" si="12"/>
        <v>3.8711922954472002</v>
      </c>
      <c r="H117" s="4">
        <f t="shared" si="8"/>
        <v>280.3837358717015</v>
      </c>
      <c r="I117" s="4">
        <f t="shared" si="9"/>
        <v>280.59563115089941</v>
      </c>
      <c r="J117" s="15">
        <f t="shared" si="10"/>
        <v>-9.3667695046160813E-5</v>
      </c>
      <c r="K117" s="15">
        <f t="shared" si="11"/>
        <v>6.6178001562432903E-4</v>
      </c>
    </row>
    <row r="118" spans="1:11" x14ac:dyDescent="0.3">
      <c r="B118" s="1">
        <v>46195</v>
      </c>
      <c r="C118" s="10">
        <f>72.87+0.263</f>
        <v>73.13300000000001</v>
      </c>
      <c r="D118" s="4">
        <v>283.02</v>
      </c>
      <c r="E118" s="12">
        <f t="shared" si="7"/>
        <v>3.8699355967894102</v>
      </c>
      <c r="F118" s="13">
        <f t="shared" si="13"/>
        <v>3.868299906456631</v>
      </c>
      <c r="G118" s="13">
        <f t="shared" si="12"/>
        <v>3.8711922954472002</v>
      </c>
      <c r="H118" s="4">
        <f t="shared" si="8"/>
        <v>282.90037705889284</v>
      </c>
      <c r="I118" s="4">
        <f t="shared" si="9"/>
        <v>283.11190614294014</v>
      </c>
      <c r="J118" s="15">
        <f t="shared" si="10"/>
        <v>-4.2275538304673189E-4</v>
      </c>
      <c r="K118" s="15">
        <f t="shared" si="11"/>
        <v>3.2468102486468947E-4</v>
      </c>
    </row>
    <row r="119" spans="1:11" x14ac:dyDescent="0.3">
      <c r="B119" s="1">
        <v>46196</v>
      </c>
      <c r="C119" s="10">
        <f>73.85+0.263</f>
        <v>74.113</v>
      </c>
      <c r="D119" s="4">
        <v>286.69</v>
      </c>
      <c r="E119" s="12">
        <f t="shared" si="7"/>
        <v>3.8682822176946017</v>
      </c>
      <c r="F119" s="13">
        <f t="shared" si="13"/>
        <v>3.8682333467025907</v>
      </c>
      <c r="G119" s="13">
        <f t="shared" si="12"/>
        <v>3.8711922954472002</v>
      </c>
      <c r="H119" s="4">
        <f t="shared" si="8"/>
        <v>286.68637802416907</v>
      </c>
      <c r="I119" s="4">
        <f t="shared" si="9"/>
        <v>286.90567459247836</v>
      </c>
      <c r="J119" s="15">
        <f t="shared" si="10"/>
        <v>-1.2633850886719799E-5</v>
      </c>
      <c r="K119" s="15">
        <f t="shared" si="11"/>
        <v>7.5200916672033501E-4</v>
      </c>
    </row>
    <row r="120" spans="1:11" x14ac:dyDescent="0.3">
      <c r="A120" s="8" t="s">
        <v>16</v>
      </c>
      <c r="B120" s="1">
        <v>46197</v>
      </c>
      <c r="C120" s="4">
        <v>74.58</v>
      </c>
      <c r="D120" s="4">
        <v>288.73</v>
      </c>
      <c r="E120" s="12">
        <f t="shared" si="7"/>
        <v>3.8714132475194427</v>
      </c>
      <c r="F120" s="13">
        <f t="shared" si="13"/>
        <v>3.8683679041678496</v>
      </c>
      <c r="G120" s="13">
        <f t="shared" si="12"/>
        <v>3.8711922954472002</v>
      </c>
      <c r="H120" s="4">
        <f t="shared" si="8"/>
        <v>288.5028782928382</v>
      </c>
      <c r="I120" s="4">
        <f t="shared" si="9"/>
        <v>288.71352139445219</v>
      </c>
      <c r="J120" s="15">
        <f t="shared" si="10"/>
        <v>-7.8693271788056365E-4</v>
      </c>
      <c r="K120" s="15">
        <f t="shared" si="11"/>
        <v>-5.7074345600070639E-5</v>
      </c>
    </row>
    <row r="121" spans="1:11" x14ac:dyDescent="0.3">
      <c r="B121" s="1">
        <v>46198</v>
      </c>
      <c r="C121" s="4">
        <v>75.69</v>
      </c>
      <c r="D121" s="4">
        <v>293.02999999999997</v>
      </c>
      <c r="E121" s="12">
        <f t="shared" si="7"/>
        <v>3.8714493328048616</v>
      </c>
      <c r="F121" s="13">
        <f t="shared" si="13"/>
        <v>3.8685652838213138</v>
      </c>
      <c r="G121" s="13">
        <f t="shared" si="12"/>
        <v>3.8711922954472002</v>
      </c>
      <c r="H121" s="4">
        <f t="shared" si="8"/>
        <v>292.81170633243522</v>
      </c>
      <c r="I121" s="4">
        <f t="shared" si="9"/>
        <v>293.01054484239859</v>
      </c>
      <c r="J121" s="15">
        <f t="shared" si="10"/>
        <v>-7.4523092264677663E-4</v>
      </c>
      <c r="K121" s="15">
        <f t="shared" si="11"/>
        <v>-6.6395261487476505E-5</v>
      </c>
    </row>
    <row r="122" spans="1:11" x14ac:dyDescent="0.3">
      <c r="B122" s="1">
        <v>46199</v>
      </c>
      <c r="C122" s="4">
        <v>77.87</v>
      </c>
      <c r="D122" s="4">
        <v>301.43</v>
      </c>
      <c r="E122" s="12">
        <f t="shared" si="7"/>
        <v>3.8709387440606138</v>
      </c>
      <c r="F122" s="13">
        <f t="shared" si="13"/>
        <v>3.8686420205299754</v>
      </c>
      <c r="G122" s="13">
        <f t="shared" si="12"/>
        <v>3.8711922954472002</v>
      </c>
      <c r="H122" s="4">
        <f t="shared" si="8"/>
        <v>301.25115413866922</v>
      </c>
      <c r="I122" s="4">
        <f t="shared" si="9"/>
        <v>301.44974404647348</v>
      </c>
      <c r="J122" s="15">
        <f t="shared" si="10"/>
        <v>-5.9350077682833935E-4</v>
      </c>
      <c r="K122" s="15">
        <f t="shared" si="11"/>
        <v>6.5499120431497136E-5</v>
      </c>
    </row>
    <row r="123" spans="1:11" x14ac:dyDescent="0.3">
      <c r="B123" s="1">
        <v>46202</v>
      </c>
      <c r="C123" s="4">
        <v>78.12</v>
      </c>
      <c r="D123" s="4">
        <v>302.43</v>
      </c>
      <c r="E123" s="12">
        <f t="shared" si="7"/>
        <v>3.8713517665130568</v>
      </c>
      <c r="F123" s="13">
        <f t="shared" si="13"/>
        <v>3.8687078787518216</v>
      </c>
      <c r="G123" s="13">
        <f t="shared" si="12"/>
        <v>3.8711922954472002</v>
      </c>
      <c r="H123" s="4">
        <f t="shared" si="8"/>
        <v>302.22345948809232</v>
      </c>
      <c r="I123" s="4">
        <f t="shared" si="9"/>
        <v>302.41754212033533</v>
      </c>
      <c r="J123" s="15">
        <f t="shared" si="10"/>
        <v>-6.831698940931595E-4</v>
      </c>
      <c r="K123" s="15">
        <f t="shared" si="11"/>
        <v>-4.1193453883555472E-5</v>
      </c>
    </row>
    <row r="124" spans="1:11" x14ac:dyDescent="0.3">
      <c r="B124" s="1">
        <v>46203</v>
      </c>
      <c r="C124" s="4">
        <v>77.25</v>
      </c>
      <c r="D124" s="4">
        <v>299.01</v>
      </c>
      <c r="E124" s="12">
        <f t="shared" si="7"/>
        <v>3.8706796116504854</v>
      </c>
      <c r="F124" s="13">
        <f t="shared" si="13"/>
        <v>3.8688959315425748</v>
      </c>
      <c r="G124" s="13">
        <f t="shared" si="12"/>
        <v>3.8711922954472002</v>
      </c>
      <c r="H124" s="4">
        <f t="shared" si="8"/>
        <v>298.87221071166391</v>
      </c>
      <c r="I124" s="4">
        <f t="shared" si="9"/>
        <v>299.04960482329619</v>
      </c>
      <c r="J124" s="15">
        <f t="shared" si="10"/>
        <v>-4.6092453766618618E-4</v>
      </c>
      <c r="K124" s="15">
        <f t="shared" si="11"/>
        <v>1.3244440197823554E-4</v>
      </c>
    </row>
    <row r="125" spans="1:11" x14ac:dyDescent="0.3">
      <c r="B125" s="1">
        <v>46204</v>
      </c>
      <c r="C125" s="4">
        <v>77.7</v>
      </c>
      <c r="D125" s="4">
        <v>300.83999999999997</v>
      </c>
      <c r="E125" s="12">
        <f t="shared" si="7"/>
        <v>3.8718146718146715</v>
      </c>
      <c r="F125" s="13">
        <f t="shared" si="13"/>
        <v>3.8690758673438799</v>
      </c>
      <c r="G125" s="13">
        <f t="shared" si="12"/>
        <v>3.8711922954472002</v>
      </c>
      <c r="H125" s="4">
        <f t="shared" si="8"/>
        <v>300.62719489261946</v>
      </c>
      <c r="I125" s="4">
        <f t="shared" si="9"/>
        <v>300.79164135624745</v>
      </c>
      <c r="J125" s="15">
        <f t="shared" si="10"/>
        <v>-7.0762002671904219E-4</v>
      </c>
      <c r="K125" s="15">
        <f t="shared" si="11"/>
        <v>-1.6075831300243009E-4</v>
      </c>
    </row>
    <row r="126" spans="1:11" x14ac:dyDescent="0.3">
      <c r="B126" s="1">
        <v>46205</v>
      </c>
      <c r="C126" s="4">
        <v>79.67</v>
      </c>
      <c r="D126" s="4">
        <v>308.41000000000003</v>
      </c>
      <c r="E126" s="12">
        <f t="shared" si="7"/>
        <v>3.8710932596962473</v>
      </c>
      <c r="F126" s="13">
        <f t="shared" si="13"/>
        <v>3.8691871009541314</v>
      </c>
      <c r="G126" s="13">
        <f t="shared" si="12"/>
        <v>3.8711922954472002</v>
      </c>
      <c r="H126" s="4">
        <f t="shared" si="8"/>
        <v>308.25813633301567</v>
      </c>
      <c r="I126" s="4">
        <f t="shared" si="9"/>
        <v>308.41789017827847</v>
      </c>
      <c r="J126" s="15">
        <f t="shared" si="10"/>
        <v>-4.9252964798016628E-4</v>
      </c>
      <c r="K126" s="15">
        <f t="shared" si="11"/>
        <v>2.5583078860499557E-5</v>
      </c>
    </row>
    <row r="127" spans="1:11" x14ac:dyDescent="0.3">
      <c r="B127" s="1">
        <v>46209</v>
      </c>
      <c r="C127" s="4">
        <v>79.03</v>
      </c>
      <c r="D127" s="4">
        <v>305.8</v>
      </c>
      <c r="E127" s="12">
        <f t="shared" si="7"/>
        <v>3.8694166772111855</v>
      </c>
      <c r="F127" s="13">
        <f t="shared" si="13"/>
        <v>3.8692508914076482</v>
      </c>
      <c r="G127" s="13">
        <f t="shared" si="12"/>
        <v>3.8711922954472002</v>
      </c>
      <c r="H127" s="4">
        <f t="shared" si="8"/>
        <v>305.78689794794644</v>
      </c>
      <c r="I127" s="4">
        <f t="shared" si="9"/>
        <v>305.94032710919225</v>
      </c>
      <c r="J127" s="15">
        <f t="shared" si="10"/>
        <v>-4.2846084831239048E-5</v>
      </c>
      <c r="K127" s="15">
        <f t="shared" si="11"/>
        <v>4.5877999352015409E-4</v>
      </c>
    </row>
    <row r="128" spans="1:11" x14ac:dyDescent="0.3">
      <c r="B128" s="1">
        <v>46210</v>
      </c>
      <c r="C128" s="4">
        <v>80.150000000000006</v>
      </c>
      <c r="D128" s="4">
        <v>310.29000000000002</v>
      </c>
      <c r="E128" s="12">
        <f t="shared" si="7"/>
        <v>3.8713661883967561</v>
      </c>
      <c r="F128" s="13">
        <f t="shared" si="13"/>
        <v>3.8693755733765061</v>
      </c>
      <c r="G128" s="13">
        <f t="shared" si="12"/>
        <v>3.8711922954472002</v>
      </c>
      <c r="H128" s="4">
        <f t="shared" si="8"/>
        <v>310.13045220612696</v>
      </c>
      <c r="I128" s="4">
        <f t="shared" si="9"/>
        <v>310.27606248009312</v>
      </c>
      <c r="J128" s="15">
        <f t="shared" si="10"/>
        <v>-5.143215276762705E-4</v>
      </c>
      <c r="K128" s="15">
        <f t="shared" si="11"/>
        <v>-4.4918730661982983E-5</v>
      </c>
    </row>
    <row r="129" spans="2:11" x14ac:dyDescent="0.3">
      <c r="B129" s="1">
        <v>46211</v>
      </c>
      <c r="C129" s="4">
        <v>79.17</v>
      </c>
      <c r="D129" s="4">
        <v>306.41000000000003</v>
      </c>
      <c r="E129" s="12">
        <f t="shared" si="7"/>
        <v>3.8702791461412152</v>
      </c>
      <c r="F129" s="13">
        <f t="shared" si="13"/>
        <v>3.8695498282132497</v>
      </c>
      <c r="G129" s="13">
        <f t="shared" si="12"/>
        <v>3.8711922954472002</v>
      </c>
      <c r="H129" s="4">
        <f t="shared" si="8"/>
        <v>306.352259899643</v>
      </c>
      <c r="I129" s="4">
        <f t="shared" si="9"/>
        <v>306.48229403055484</v>
      </c>
      <c r="J129" s="15">
        <f t="shared" si="10"/>
        <v>-1.8845840975053576E-4</v>
      </c>
      <c r="K129" s="15">
        <f t="shared" si="11"/>
        <v>2.3591104536394421E-4</v>
      </c>
    </row>
    <row r="130" spans="2:11" x14ac:dyDescent="0.3">
      <c r="B130" s="1">
        <v>46212</v>
      </c>
      <c r="C130" s="4">
        <v>79.209999999999994</v>
      </c>
      <c r="D130" s="4">
        <v>306.54000000000002</v>
      </c>
      <c r="E130" s="12">
        <f t="shared" si="7"/>
        <v>3.8699659133947741</v>
      </c>
      <c r="F130" s="13">
        <f t="shared" si="13"/>
        <v>3.8697277956171474</v>
      </c>
      <c r="G130" s="13">
        <f t="shared" si="12"/>
        <v>3.8711922954472002</v>
      </c>
      <c r="H130" s="4">
        <f t="shared" si="8"/>
        <v>306.52113869083422</v>
      </c>
      <c r="I130" s="4">
        <f t="shared" si="9"/>
        <v>306.63714172237269</v>
      </c>
      <c r="J130" s="15">
        <f t="shared" si="10"/>
        <v>-6.1531576482034558E-5</v>
      </c>
      <c r="K130" s="15">
        <f t="shared" si="11"/>
        <v>3.1684717702464661E-4</v>
      </c>
    </row>
    <row r="131" spans="2:11" x14ac:dyDescent="0.3">
      <c r="B131" s="1">
        <v>46213</v>
      </c>
      <c r="C131" s="4">
        <v>78.41</v>
      </c>
      <c r="D131" s="4">
        <v>303.45999999999998</v>
      </c>
      <c r="E131" s="12">
        <f t="shared" ref="E131:E163" si="14">D131/C131</f>
        <v>3.8701696212217827</v>
      </c>
      <c r="F131" s="13">
        <f t="shared" si="13"/>
        <v>3.8698648325513814</v>
      </c>
      <c r="G131" s="13">
        <f t="shared" si="12"/>
        <v>3.8711922954472002</v>
      </c>
      <c r="H131" s="4">
        <f t="shared" si="8"/>
        <v>303.43610152035382</v>
      </c>
      <c r="I131" s="4">
        <f t="shared" si="9"/>
        <v>303.54018788601496</v>
      </c>
      <c r="J131" s="15">
        <f t="shared" si="10"/>
        <v>-7.8756411842680635E-5</v>
      </c>
      <c r="K131" s="15">
        <f t="shared" si="11"/>
        <v>2.6421041733358199E-4</v>
      </c>
    </row>
    <row r="132" spans="2:11" x14ac:dyDescent="0.3">
      <c r="B132" s="1">
        <v>46216</v>
      </c>
      <c r="C132" s="4">
        <v>78.45</v>
      </c>
      <c r="D132" s="4">
        <v>303.58999999999997</v>
      </c>
      <c r="E132" s="12">
        <f t="shared" si="14"/>
        <v>3.8698534098151685</v>
      </c>
      <c r="F132" s="13">
        <f t="shared" si="13"/>
        <v>3.8699918072492601</v>
      </c>
      <c r="G132" s="13">
        <f t="shared" si="12"/>
        <v>3.8711922954472002</v>
      </c>
      <c r="H132" s="4">
        <f t="shared" si="8"/>
        <v>303.60085727870444</v>
      </c>
      <c r="I132" s="4">
        <f t="shared" si="9"/>
        <v>303.69503557783287</v>
      </c>
      <c r="J132" s="15">
        <f t="shared" si="10"/>
        <v>3.5762326047825275E-5</v>
      </c>
      <c r="K132" s="15">
        <f t="shared" si="11"/>
        <v>3.4591854805161761E-4</v>
      </c>
    </row>
    <row r="133" spans="2:11" x14ac:dyDescent="0.3">
      <c r="B133" s="1">
        <v>46217</v>
      </c>
      <c r="C133" s="4">
        <v>77.16</v>
      </c>
      <c r="D133" s="4">
        <v>298.58999999999997</v>
      </c>
      <c r="E133" s="12">
        <f t="shared" si="14"/>
        <v>3.8697511664074646</v>
      </c>
      <c r="F133" s="13">
        <f t="shared" si="13"/>
        <v>3.8700821200929925</v>
      </c>
      <c r="G133" s="13">
        <f t="shared" si="12"/>
        <v>3.8711922954472002</v>
      </c>
      <c r="H133" s="4">
        <f t="shared" si="8"/>
        <v>298.61553638637531</v>
      </c>
      <c r="I133" s="4">
        <f t="shared" si="9"/>
        <v>298.70119751670597</v>
      </c>
      <c r="J133" s="15">
        <f t="shared" si="10"/>
        <v>8.5519590275070026E-5</v>
      </c>
      <c r="K133" s="15">
        <f t="shared" si="11"/>
        <v>3.7233938304461037E-4</v>
      </c>
    </row>
    <row r="134" spans="2:11" x14ac:dyDescent="0.3">
      <c r="B134" s="1">
        <v>46218</v>
      </c>
      <c r="C134" s="4">
        <v>77.22</v>
      </c>
      <c r="D134" s="4">
        <v>299.01</v>
      </c>
      <c r="E134" s="12">
        <f t="shared" si="14"/>
        <v>3.8721833721833723</v>
      </c>
      <c r="F134" s="13">
        <f t="shared" si="13"/>
        <v>3.8702342309942224</v>
      </c>
      <c r="G134" s="13">
        <f t="shared" si="12"/>
        <v>3.8711922954472002</v>
      </c>
      <c r="H134" s="4">
        <f t="shared" si="8"/>
        <v>298.85948731737386</v>
      </c>
      <c r="I134" s="4">
        <f t="shared" si="9"/>
        <v>298.93346905443281</v>
      </c>
      <c r="J134" s="15">
        <f t="shared" si="10"/>
        <v>-5.0349679653716921E-4</v>
      </c>
      <c r="K134" s="15">
        <f t="shared" si="11"/>
        <v>-2.5598053978615886E-4</v>
      </c>
    </row>
    <row r="135" spans="2:11" x14ac:dyDescent="0.3">
      <c r="B135" s="1">
        <v>46219</v>
      </c>
      <c r="C135" s="4">
        <v>78.61</v>
      </c>
      <c r="D135" s="4">
        <v>304.14999999999998</v>
      </c>
      <c r="E135" s="12">
        <f t="shared" si="14"/>
        <v>3.8691006233303646</v>
      </c>
      <c r="F135" s="13">
        <f t="shared" si="13"/>
        <v>3.8703721956025197</v>
      </c>
      <c r="G135" s="13">
        <f t="shared" si="12"/>
        <v>3.8711922954472002</v>
      </c>
      <c r="H135" s="4">
        <f t="shared" si="8"/>
        <v>304.24995829631405</v>
      </c>
      <c r="I135" s="4">
        <f t="shared" si="9"/>
        <v>304.31442634510438</v>
      </c>
      <c r="J135" s="15">
        <f t="shared" si="10"/>
        <v>3.2859403045776091E-4</v>
      </c>
      <c r="K135" s="15">
        <f t="shared" si="11"/>
        <v>5.4046331054875244E-4</v>
      </c>
    </row>
    <row r="136" spans="2:11" x14ac:dyDescent="0.3">
      <c r="B136" s="1">
        <v>46220</v>
      </c>
      <c r="C136" s="4">
        <v>78.39</v>
      </c>
      <c r="D136" s="4">
        <v>303.25</v>
      </c>
      <c r="E136" s="12">
        <f t="shared" si="14"/>
        <v>3.8684781222094653</v>
      </c>
      <c r="F136" s="13">
        <f t="shared" si="13"/>
        <v>3.870307697705857</v>
      </c>
      <c r="G136" s="13">
        <f t="shared" si="12"/>
        <v>3.8711922954472002</v>
      </c>
      <c r="H136" s="4">
        <f t="shared" si="8"/>
        <v>303.39342042316213</v>
      </c>
      <c r="I136" s="4">
        <f t="shared" si="9"/>
        <v>303.46276404010604</v>
      </c>
      <c r="J136" s="15">
        <f t="shared" si="10"/>
        <v>4.7283270865815279E-4</v>
      </c>
      <c r="K136" s="15">
        <f t="shared" si="11"/>
        <v>7.013666480694033E-4</v>
      </c>
    </row>
    <row r="137" spans="2:11" x14ac:dyDescent="0.3">
      <c r="B137" s="1">
        <v>46223</v>
      </c>
      <c r="C137" s="4">
        <v>77.430000000000007</v>
      </c>
      <c r="D137" s="4">
        <v>299.49</v>
      </c>
      <c r="E137" s="12">
        <f t="shared" si="14"/>
        <v>3.8678806664083685</v>
      </c>
      <c r="F137" s="13">
        <f t="shared" si="13"/>
        <v>3.8702701677631657</v>
      </c>
      <c r="G137" s="13">
        <f t="shared" si="12"/>
        <v>3.8711922954472002</v>
      </c>
      <c r="H137" s="4">
        <f t="shared" si="8"/>
        <v>299.67501908990192</v>
      </c>
      <c r="I137" s="4">
        <f t="shared" si="9"/>
        <v>299.74641943647674</v>
      </c>
      <c r="J137" s="15">
        <f t="shared" si="10"/>
        <v>6.1758977873478617E-4</v>
      </c>
      <c r="K137" s="15">
        <f t="shared" si="11"/>
        <v>8.5582065378672872E-4</v>
      </c>
    </row>
    <row r="138" spans="2:11" x14ac:dyDescent="0.3">
      <c r="B138" s="1">
        <v>46224</v>
      </c>
      <c r="C138" s="4">
        <v>78.03</v>
      </c>
      <c r="D138" s="4">
        <v>301.92</v>
      </c>
      <c r="E138" s="12">
        <f t="shared" si="14"/>
        <v>3.869281045751634</v>
      </c>
      <c r="F138" s="13">
        <f t="shared" si="13"/>
        <v>3.8702374402112767</v>
      </c>
      <c r="G138" s="13">
        <f t="shared" si="12"/>
        <v>3.8711922954472002</v>
      </c>
      <c r="H138" s="4">
        <f t="shared" si="8"/>
        <v>301.99462745968594</v>
      </c>
      <c r="I138" s="4">
        <f t="shared" si="9"/>
        <v>302.06913481374505</v>
      </c>
      <c r="J138" s="15">
        <f t="shared" si="10"/>
        <v>2.4714572779830154E-4</v>
      </c>
      <c r="K138" s="15">
        <f t="shared" si="11"/>
        <v>4.9383278002792261E-4</v>
      </c>
    </row>
    <row r="139" spans="2:11" x14ac:dyDescent="0.3">
      <c r="B139" s="1">
        <v>46225</v>
      </c>
      <c r="C139" s="4">
        <v>77.5</v>
      </c>
      <c r="D139" s="4">
        <v>299.8</v>
      </c>
      <c r="E139" s="12">
        <f t="shared" si="14"/>
        <v>3.8683870967741938</v>
      </c>
      <c r="F139" s="13">
        <f t="shared" si="13"/>
        <v>3.8702426841652566</v>
      </c>
      <c r="G139" s="13">
        <f t="shared" si="12"/>
        <v>3.8711922954472002</v>
      </c>
      <c r="H139" s="4">
        <f t="shared" si="8"/>
        <v>299.94380802280739</v>
      </c>
      <c r="I139" s="4">
        <f t="shared" si="9"/>
        <v>300.01740289715804</v>
      </c>
      <c r="J139" s="15">
        <f t="shared" si="10"/>
        <v>4.7956485299143609E-4</v>
      </c>
      <c r="K139" s="15">
        <f t="shared" si="11"/>
        <v>7.2489696240207453E-4</v>
      </c>
    </row>
    <row r="140" spans="2:11" x14ac:dyDescent="0.3">
      <c r="B140" s="1">
        <v>46226</v>
      </c>
      <c r="C140" s="4">
        <v>78.400000000000006</v>
      </c>
      <c r="D140" s="4">
        <v>303.31</v>
      </c>
      <c r="E140" s="12">
        <f t="shared" si="14"/>
        <v>3.8687499999999999</v>
      </c>
      <c r="F140" s="13">
        <f t="shared" si="13"/>
        <v>3.8701095217892849</v>
      </c>
      <c r="G140" s="13">
        <f t="shared" si="12"/>
        <v>3.8711922954472002</v>
      </c>
      <c r="H140" s="4">
        <f t="shared" ref="H140:H163" si="15">C140*F140</f>
        <v>303.41658650827998</v>
      </c>
      <c r="I140" s="4">
        <f t="shared" ref="I140:I163" si="16">C140*G140</f>
        <v>303.5014759630605</v>
      </c>
      <c r="J140" s="15">
        <f t="shared" ref="J140:J163" si="17">LN(H140/D140)</f>
        <v>3.5134939442778485E-4</v>
      </c>
      <c r="K140" s="15">
        <f t="shared" ref="K140:K163" si="18">LN(I140/D140)</f>
        <v>6.3108882082880545E-4</v>
      </c>
    </row>
    <row r="141" spans="2:11" x14ac:dyDescent="0.3">
      <c r="B141" s="1">
        <v>46227</v>
      </c>
      <c r="C141" s="4">
        <v>78.84</v>
      </c>
      <c r="D141" s="4">
        <v>305.07</v>
      </c>
      <c r="E141" s="12">
        <f t="shared" si="14"/>
        <v>3.8694824961948249</v>
      </c>
      <c r="F141" s="13">
        <f t="shared" si="13"/>
        <v>3.8700111799587829</v>
      </c>
      <c r="G141" s="13">
        <f t="shared" ref="G141:G163" si="19">G140</f>
        <v>3.8711922954472002</v>
      </c>
      <c r="H141" s="4">
        <f t="shared" si="15"/>
        <v>305.11168142795043</v>
      </c>
      <c r="I141" s="4">
        <f t="shared" si="16"/>
        <v>305.2048005730573</v>
      </c>
      <c r="J141" s="15">
        <f t="shared" si="17"/>
        <v>1.3661972911973699E-4</v>
      </c>
      <c r="K141" s="15">
        <f t="shared" si="18"/>
        <v>4.4177008496192402E-4</v>
      </c>
    </row>
    <row r="142" spans="2:11" x14ac:dyDescent="0.3">
      <c r="B142" s="1">
        <v>46230</v>
      </c>
      <c r="C142" s="4">
        <v>79.260000000000005</v>
      </c>
      <c r="D142" s="4">
        <v>306.67</v>
      </c>
      <c r="E142" s="12">
        <f t="shared" si="14"/>
        <v>3.8691647741609891</v>
      </c>
      <c r="F142" s="13">
        <f t="shared" si="13"/>
        <v>3.869922481463802</v>
      </c>
      <c r="G142" s="13">
        <f t="shared" si="19"/>
        <v>3.8711922954472002</v>
      </c>
      <c r="H142" s="4">
        <f t="shared" si="15"/>
        <v>306.73005588082094</v>
      </c>
      <c r="I142" s="4">
        <f t="shared" si="16"/>
        <v>306.83070133714511</v>
      </c>
      <c r="J142" s="15">
        <f t="shared" si="17"/>
        <v>1.9581309273463719E-4</v>
      </c>
      <c r="K142" s="15">
        <f t="shared" si="18"/>
        <v>5.2388315276656768E-4</v>
      </c>
    </row>
    <row r="143" spans="2:11" x14ac:dyDescent="0.3">
      <c r="B143" s="1">
        <v>46231</v>
      </c>
      <c r="C143" s="4">
        <v>81</v>
      </c>
      <c r="D143" s="4">
        <v>313.23</v>
      </c>
      <c r="E143" s="12">
        <f t="shared" si="14"/>
        <v>3.8670370370370373</v>
      </c>
      <c r="F143" s="13">
        <f t="shared" si="13"/>
        <v>3.8697067449900002</v>
      </c>
      <c r="G143" s="13">
        <f t="shared" si="19"/>
        <v>3.8711922954472002</v>
      </c>
      <c r="H143" s="4">
        <f t="shared" si="15"/>
        <v>313.44624634419</v>
      </c>
      <c r="I143" s="4">
        <f t="shared" si="16"/>
        <v>313.56657593122321</v>
      </c>
      <c r="J143" s="15">
        <f t="shared" si="17"/>
        <v>6.901373844453542E-4</v>
      </c>
      <c r="K143" s="15">
        <f t="shared" si="18"/>
        <v>1.0739559739080422E-3</v>
      </c>
    </row>
    <row r="144" spans="2:11" x14ac:dyDescent="0.3">
      <c r="B144" s="1">
        <v>46232</v>
      </c>
      <c r="C144" s="4">
        <v>80.5</v>
      </c>
      <c r="D144" s="4">
        <v>311.32</v>
      </c>
      <c r="E144" s="12">
        <f t="shared" si="14"/>
        <v>3.8673291925465838</v>
      </c>
      <c r="F144" s="13">
        <f t="shared" si="13"/>
        <v>3.869539224034805</v>
      </c>
      <c r="G144" s="13">
        <f t="shared" si="19"/>
        <v>3.8711922954472002</v>
      </c>
      <c r="H144" s="4">
        <f t="shared" si="15"/>
        <v>311.49790753480181</v>
      </c>
      <c r="I144" s="4">
        <f t="shared" si="16"/>
        <v>311.63097978349964</v>
      </c>
      <c r="J144" s="15">
        <f t="shared" si="17"/>
        <v>5.7129872949488001E-4</v>
      </c>
      <c r="K144" s="15">
        <f t="shared" si="18"/>
        <v>9.9840860492842842E-4</v>
      </c>
    </row>
    <row r="145" spans="2:11" x14ac:dyDescent="0.3">
      <c r="B145" s="1">
        <v>46233</v>
      </c>
      <c r="C145" s="4">
        <v>79.44</v>
      </c>
      <c r="D145" s="4">
        <v>307.14999999999998</v>
      </c>
      <c r="E145" s="12">
        <f t="shared" si="14"/>
        <v>3.8664400805639474</v>
      </c>
      <c r="F145" s="13">
        <f t="shared" si="13"/>
        <v>3.8692704944722687</v>
      </c>
      <c r="G145" s="13">
        <f t="shared" si="19"/>
        <v>3.8711922954472002</v>
      </c>
      <c r="H145" s="4">
        <f t="shared" si="15"/>
        <v>307.37484808087703</v>
      </c>
      <c r="I145" s="4">
        <f t="shared" si="16"/>
        <v>307.52751595032555</v>
      </c>
      <c r="J145" s="15">
        <f t="shared" si="17"/>
        <v>7.3177867945646742E-4</v>
      </c>
      <c r="K145" s="15">
        <f t="shared" si="18"/>
        <v>1.2283383985788494E-3</v>
      </c>
    </row>
    <row r="146" spans="2:11" x14ac:dyDescent="0.3">
      <c r="B146" s="1">
        <v>46234</v>
      </c>
      <c r="C146" s="4">
        <v>78.75</v>
      </c>
      <c r="D146" s="4">
        <v>304.81</v>
      </c>
      <c r="E146" s="12">
        <f t="shared" si="14"/>
        <v>3.8706031746031746</v>
      </c>
      <c r="F146" s="13">
        <f t="shared" si="13"/>
        <v>3.8692459902176148</v>
      </c>
      <c r="G146" s="13">
        <f t="shared" si="19"/>
        <v>3.8711922954472002</v>
      </c>
      <c r="H146" s="4">
        <f t="shared" si="15"/>
        <v>304.70312172963719</v>
      </c>
      <c r="I146" s="4">
        <f t="shared" si="16"/>
        <v>304.85639326646702</v>
      </c>
      <c r="J146" s="15">
        <f t="shared" si="17"/>
        <v>-3.5070047763676913E-4</v>
      </c>
      <c r="K146" s="15">
        <f t="shared" si="18"/>
        <v>1.5219230408292973E-4</v>
      </c>
    </row>
    <row r="147" spans="2:11" x14ac:dyDescent="0.3">
      <c r="B147" s="1">
        <v>46237</v>
      </c>
      <c r="C147" s="4">
        <v>78.72</v>
      </c>
      <c r="D147" s="4">
        <v>304.52</v>
      </c>
      <c r="E147" s="12">
        <f t="shared" si="14"/>
        <v>3.8683943089430892</v>
      </c>
      <c r="F147" s="13">
        <f t="shared" si="13"/>
        <v>3.86919487180421</v>
      </c>
      <c r="G147" s="13">
        <f t="shared" si="19"/>
        <v>3.8711922954472002</v>
      </c>
      <c r="H147" s="4">
        <f t="shared" si="15"/>
        <v>304.58302030842742</v>
      </c>
      <c r="I147" s="4">
        <f t="shared" si="16"/>
        <v>304.74025749760358</v>
      </c>
      <c r="J147" s="15">
        <f t="shared" si="17"/>
        <v>2.0692824218926514E-4</v>
      </c>
      <c r="K147" s="15">
        <f t="shared" si="18"/>
        <v>7.2303257758414227E-4</v>
      </c>
    </row>
    <row r="148" spans="2:11" x14ac:dyDescent="0.3">
      <c r="B148" s="1">
        <v>46238</v>
      </c>
      <c r="C148" s="4">
        <v>78.86</v>
      </c>
      <c r="D148" s="4">
        <v>304.99</v>
      </c>
      <c r="E148" s="12">
        <f t="shared" si="14"/>
        <v>3.8674866852650269</v>
      </c>
      <c r="F148" s="13">
        <f t="shared" si="13"/>
        <v>3.8690008966476235</v>
      </c>
      <c r="G148" s="13">
        <f t="shared" si="19"/>
        <v>3.8711922954472002</v>
      </c>
      <c r="H148" s="4">
        <f t="shared" si="15"/>
        <v>305.10941070963156</v>
      </c>
      <c r="I148" s="4">
        <f t="shared" si="16"/>
        <v>305.28222441896622</v>
      </c>
      <c r="J148" s="15">
        <f t="shared" si="17"/>
        <v>3.9144673494258161E-4</v>
      </c>
      <c r="K148" s="15">
        <f t="shared" si="18"/>
        <v>9.5768553641504672E-4</v>
      </c>
    </row>
    <row r="149" spans="2:11" x14ac:dyDescent="0.3">
      <c r="B149" s="1">
        <v>46239</v>
      </c>
      <c r="C149" s="4">
        <v>79.72</v>
      </c>
      <c r="D149" s="4">
        <v>308.54000000000002</v>
      </c>
      <c r="E149" s="12">
        <f t="shared" si="14"/>
        <v>3.8702960361264429</v>
      </c>
      <c r="F149" s="13">
        <f t="shared" ref="F149:F163" si="20">AVERAGE(E130:E149)</f>
        <v>3.8690017411468851</v>
      </c>
      <c r="G149" s="13">
        <f t="shared" si="19"/>
        <v>3.8711922954472002</v>
      </c>
      <c r="H149" s="4">
        <f t="shared" si="15"/>
        <v>308.43681880422969</v>
      </c>
      <c r="I149" s="4">
        <f t="shared" si="16"/>
        <v>308.61144979305078</v>
      </c>
      <c r="J149" s="15">
        <f t="shared" si="17"/>
        <v>-3.3447349588345963E-4</v>
      </c>
      <c r="K149" s="15">
        <f t="shared" si="18"/>
        <v>2.3154703239850385E-4</v>
      </c>
    </row>
    <row r="150" spans="2:11" x14ac:dyDescent="0.3">
      <c r="B150" s="1">
        <v>46240</v>
      </c>
      <c r="C150" s="4">
        <v>79.84</v>
      </c>
      <c r="D150" s="4">
        <v>309.02</v>
      </c>
      <c r="E150" s="12">
        <f t="shared" si="14"/>
        <v>3.8704909819639273</v>
      </c>
      <c r="F150" s="13">
        <f t="shared" si="20"/>
        <v>3.8690279945753425</v>
      </c>
      <c r="G150" s="13">
        <f t="shared" si="19"/>
        <v>3.8711922954472002</v>
      </c>
      <c r="H150" s="4">
        <f t="shared" si="15"/>
        <v>308.90319508689538</v>
      </c>
      <c r="I150" s="4">
        <f t="shared" si="16"/>
        <v>309.0759928685045</v>
      </c>
      <c r="J150" s="15">
        <f t="shared" si="17"/>
        <v>-3.7805641679914331E-4</v>
      </c>
      <c r="K150" s="15">
        <f t="shared" si="18"/>
        <v>1.8117855253472015E-4</v>
      </c>
    </row>
    <row r="151" spans="2:11" x14ac:dyDescent="0.3">
      <c r="B151" s="1">
        <v>46241</v>
      </c>
      <c r="C151" s="4">
        <v>80.67</v>
      </c>
      <c r="D151" s="4">
        <v>312.12</v>
      </c>
      <c r="E151" s="12">
        <f t="shared" si="14"/>
        <v>3.8690963183339533</v>
      </c>
      <c r="F151" s="13">
        <f t="shared" si="20"/>
        <v>3.8689743294309515</v>
      </c>
      <c r="G151" s="13">
        <f t="shared" si="19"/>
        <v>3.8711922954472002</v>
      </c>
      <c r="H151" s="4">
        <f t="shared" si="15"/>
        <v>312.11015915519488</v>
      </c>
      <c r="I151" s="4">
        <f t="shared" si="16"/>
        <v>312.28908247372567</v>
      </c>
      <c r="J151" s="15">
        <f t="shared" si="17"/>
        <v>-3.1529539743038521E-5</v>
      </c>
      <c r="K151" s="15">
        <f t="shared" si="18"/>
        <v>5.4157597192071891E-4</v>
      </c>
    </row>
    <row r="152" spans="2:11" x14ac:dyDescent="0.3">
      <c r="B152" s="1">
        <v>46244</v>
      </c>
      <c r="C152" s="4">
        <v>81.900000000000006</v>
      </c>
      <c r="D152" s="4">
        <v>316.72000000000003</v>
      </c>
      <c r="E152" s="12">
        <f t="shared" si="14"/>
        <v>3.8671550671550672</v>
      </c>
      <c r="F152" s="13">
        <f t="shared" si="20"/>
        <v>3.8688394122979468</v>
      </c>
      <c r="G152" s="13">
        <f t="shared" si="19"/>
        <v>3.8711922954472002</v>
      </c>
      <c r="H152" s="4">
        <f t="shared" si="15"/>
        <v>316.85794786720186</v>
      </c>
      <c r="I152" s="4">
        <f t="shared" si="16"/>
        <v>317.05064899712573</v>
      </c>
      <c r="J152" s="15">
        <f t="shared" si="17"/>
        <v>4.3545666273907946E-4</v>
      </c>
      <c r="K152" s="15">
        <f t="shared" si="18"/>
        <v>1.0434343327465222E-3</v>
      </c>
    </row>
    <row r="153" spans="2:11" x14ac:dyDescent="0.3">
      <c r="B153" s="1">
        <v>46245</v>
      </c>
      <c r="C153" s="4">
        <v>81.61</v>
      </c>
      <c r="D153" s="4">
        <v>315.70999999999998</v>
      </c>
      <c r="E153" s="12">
        <f t="shared" si="14"/>
        <v>3.8685210145815461</v>
      </c>
      <c r="F153" s="13">
        <f t="shared" si="20"/>
        <v>3.8687779047066506</v>
      </c>
      <c r="G153" s="13">
        <f t="shared" si="19"/>
        <v>3.8711922954472002</v>
      </c>
      <c r="H153" s="4">
        <f t="shared" si="15"/>
        <v>315.73096480310977</v>
      </c>
      <c r="I153" s="4">
        <f t="shared" si="16"/>
        <v>315.92800323144598</v>
      </c>
      <c r="J153" s="15">
        <f t="shared" si="17"/>
        <v>6.6403050438856075E-5</v>
      </c>
      <c r="K153" s="15">
        <f t="shared" si="18"/>
        <v>6.9027904903424674E-4</v>
      </c>
    </row>
    <row r="154" spans="2:11" x14ac:dyDescent="0.3">
      <c r="B154" s="1">
        <v>46246</v>
      </c>
      <c r="C154" s="4">
        <v>81.89</v>
      </c>
      <c r="D154" s="4">
        <v>316.68</v>
      </c>
      <c r="E154" s="12">
        <f t="shared" si="14"/>
        <v>3.867138844791794</v>
      </c>
      <c r="F154" s="13">
        <f t="shared" si="20"/>
        <v>3.8685256783370718</v>
      </c>
      <c r="G154" s="13">
        <f t="shared" si="19"/>
        <v>3.8711922954472002</v>
      </c>
      <c r="H154" s="4">
        <f t="shared" si="15"/>
        <v>316.79356779902281</v>
      </c>
      <c r="I154" s="4">
        <f t="shared" si="16"/>
        <v>317.01193707417121</v>
      </c>
      <c r="J154" s="15">
        <f t="shared" si="17"/>
        <v>3.5855576621474691E-4</v>
      </c>
      <c r="K154" s="15">
        <f t="shared" si="18"/>
        <v>1.0476292504618407E-3</v>
      </c>
    </row>
    <row r="155" spans="2:11" x14ac:dyDescent="0.3">
      <c r="B155" s="1">
        <v>46247</v>
      </c>
      <c r="C155" s="4">
        <v>81.73</v>
      </c>
      <c r="D155" s="4">
        <v>316.22000000000003</v>
      </c>
      <c r="E155" s="12">
        <f t="shared" si="14"/>
        <v>3.8690811207634899</v>
      </c>
      <c r="F155" s="13">
        <f t="shared" si="20"/>
        <v>3.8685247032087275</v>
      </c>
      <c r="G155" s="13">
        <f t="shared" si="19"/>
        <v>3.8711922954472002</v>
      </c>
      <c r="H155" s="4">
        <f t="shared" si="15"/>
        <v>316.1745239932493</v>
      </c>
      <c r="I155" s="4">
        <f t="shared" si="16"/>
        <v>316.3925463068997</v>
      </c>
      <c r="J155" s="15">
        <f t="shared" si="17"/>
        <v>-1.4382163381797632E-4</v>
      </c>
      <c r="K155" s="15">
        <f t="shared" si="18"/>
        <v>5.455039176373883E-4</v>
      </c>
    </row>
    <row r="156" spans="2:11" x14ac:dyDescent="0.3">
      <c r="B156" s="1">
        <v>46248</v>
      </c>
      <c r="C156" s="4">
        <v>81.34</v>
      </c>
      <c r="D156" s="4">
        <v>314.7</v>
      </c>
      <c r="E156" s="12">
        <f t="shared" si="14"/>
        <v>3.8689451684288172</v>
      </c>
      <c r="F156" s="13">
        <f t="shared" si="20"/>
        <v>3.868548055519696</v>
      </c>
      <c r="G156" s="13">
        <f t="shared" si="19"/>
        <v>3.8711922954472002</v>
      </c>
      <c r="H156" s="4">
        <f t="shared" si="15"/>
        <v>314.66769883597209</v>
      </c>
      <c r="I156" s="4">
        <f t="shared" si="16"/>
        <v>314.88278131167527</v>
      </c>
      <c r="J156" s="15">
        <f t="shared" si="17"/>
        <v>-1.0264639928613919E-4</v>
      </c>
      <c r="K156" s="15">
        <f t="shared" si="18"/>
        <v>5.8064268031530997E-4</v>
      </c>
    </row>
    <row r="157" spans="2:11" x14ac:dyDescent="0.3">
      <c r="B157" s="1">
        <v>46251</v>
      </c>
      <c r="C157" s="4">
        <v>81.290000000000006</v>
      </c>
      <c r="D157" s="4">
        <v>314.33999999999997</v>
      </c>
      <c r="E157" s="12">
        <f t="shared" si="14"/>
        <v>3.866896297207528</v>
      </c>
      <c r="F157" s="13">
        <f t="shared" si="20"/>
        <v>3.8684988370596534</v>
      </c>
      <c r="G157" s="13">
        <f t="shared" si="19"/>
        <v>3.8711922954472002</v>
      </c>
      <c r="H157" s="4">
        <f t="shared" si="15"/>
        <v>314.47027046457924</v>
      </c>
      <c r="I157" s="4">
        <f t="shared" si="16"/>
        <v>314.68922169690291</v>
      </c>
      <c r="J157" s="15">
        <f t="shared" si="17"/>
        <v>4.143394997244631E-4</v>
      </c>
      <c r="K157" s="15">
        <f t="shared" si="18"/>
        <v>1.1103513818956918E-3</v>
      </c>
    </row>
    <row r="158" spans="2:11" x14ac:dyDescent="0.3">
      <c r="B158" s="1">
        <v>46252</v>
      </c>
      <c r="C158" s="4">
        <v>82.37</v>
      </c>
      <c r="D158" s="4">
        <v>318.83999999999997</v>
      </c>
      <c r="E158" s="12">
        <f t="shared" si="14"/>
        <v>3.8708267573145556</v>
      </c>
      <c r="F158" s="13">
        <f t="shared" si="20"/>
        <v>3.8685761226378004</v>
      </c>
      <c r="G158" s="13">
        <f t="shared" si="19"/>
        <v>3.8711922954472002</v>
      </c>
      <c r="H158" s="4">
        <f t="shared" si="15"/>
        <v>318.65461522167561</v>
      </c>
      <c r="I158" s="4">
        <f t="shared" si="16"/>
        <v>318.87010937598592</v>
      </c>
      <c r="J158" s="15">
        <f t="shared" si="17"/>
        <v>-5.8160423358438957E-4</v>
      </c>
      <c r="K158" s="15">
        <f t="shared" si="18"/>
        <v>9.4429665033236556E-5</v>
      </c>
    </row>
    <row r="159" spans="2:11" x14ac:dyDescent="0.3">
      <c r="B159" s="1">
        <v>46253</v>
      </c>
      <c r="C159" s="4">
        <v>85.19</v>
      </c>
      <c r="D159" s="4">
        <v>329.48</v>
      </c>
      <c r="E159" s="12">
        <f t="shared" si="14"/>
        <v>3.8675900927338893</v>
      </c>
      <c r="F159" s="13">
        <f t="shared" si="20"/>
        <v>3.8685362724357844</v>
      </c>
      <c r="G159" s="13">
        <f t="shared" si="19"/>
        <v>3.8711922954472002</v>
      </c>
      <c r="H159" s="4">
        <f t="shared" si="15"/>
        <v>329.56060504880446</v>
      </c>
      <c r="I159" s="4">
        <f t="shared" si="16"/>
        <v>329.78687164914697</v>
      </c>
      <c r="J159" s="15">
        <f t="shared" si="17"/>
        <v>2.4461330178712629E-4</v>
      </c>
      <c r="K159" s="15">
        <f t="shared" si="18"/>
        <v>9.3094825329907097E-4</v>
      </c>
    </row>
    <row r="160" spans="2:11" x14ac:dyDescent="0.3">
      <c r="B160" s="1">
        <v>46254</v>
      </c>
      <c r="C160" s="4">
        <v>83.64</v>
      </c>
      <c r="D160" s="4">
        <v>323.69</v>
      </c>
      <c r="E160" s="12">
        <f t="shared" si="14"/>
        <v>3.8700382592061215</v>
      </c>
      <c r="F160" s="13">
        <f t="shared" si="20"/>
        <v>3.8686006853960913</v>
      </c>
      <c r="G160" s="13">
        <f t="shared" si="19"/>
        <v>3.8711922954472002</v>
      </c>
      <c r="H160" s="4">
        <f t="shared" si="15"/>
        <v>323.56976132652909</v>
      </c>
      <c r="I160" s="4">
        <f t="shared" si="16"/>
        <v>323.78652359120383</v>
      </c>
      <c r="J160" s="15">
        <f t="shared" si="17"/>
        <v>-3.7153143772628071E-4</v>
      </c>
      <c r="K160" s="15">
        <f t="shared" si="18"/>
        <v>2.9815317900171553E-4</v>
      </c>
    </row>
    <row r="161" spans="2:11" x14ac:dyDescent="0.3">
      <c r="B161" s="1">
        <v>46255</v>
      </c>
      <c r="C161" s="4">
        <v>84.66</v>
      </c>
      <c r="D161" s="4">
        <v>327.7</v>
      </c>
      <c r="E161" s="12">
        <f t="shared" si="14"/>
        <v>3.8707772265532721</v>
      </c>
      <c r="F161" s="13">
        <f t="shared" si="20"/>
        <v>3.8686654219140131</v>
      </c>
      <c r="G161" s="13">
        <f t="shared" si="19"/>
        <v>3.8711922954472002</v>
      </c>
      <c r="H161" s="4">
        <f t="shared" si="15"/>
        <v>327.52121461924031</v>
      </c>
      <c r="I161" s="4">
        <f t="shared" si="16"/>
        <v>327.73513973255996</v>
      </c>
      <c r="J161" s="15">
        <f t="shared" si="17"/>
        <v>-5.4572526410234367E-4</v>
      </c>
      <c r="K161" s="15">
        <f t="shared" si="18"/>
        <v>1.0722565960683076E-4</v>
      </c>
    </row>
    <row r="162" spans="2:11" x14ac:dyDescent="0.3">
      <c r="B162" s="1">
        <v>46258</v>
      </c>
      <c r="C162" s="4">
        <v>84.61</v>
      </c>
      <c r="D162" s="4">
        <v>327.49</v>
      </c>
      <c r="E162" s="12">
        <f t="shared" si="14"/>
        <v>3.8705826734428554</v>
      </c>
      <c r="F162" s="13">
        <f t="shared" si="20"/>
        <v>3.8687363168781062</v>
      </c>
      <c r="G162" s="13">
        <f t="shared" si="19"/>
        <v>3.8711922954472002</v>
      </c>
      <c r="H162" s="4">
        <f t="shared" si="15"/>
        <v>327.33377977105658</v>
      </c>
      <c r="I162" s="4">
        <f t="shared" si="16"/>
        <v>327.54158011778759</v>
      </c>
      <c r="J162" s="15">
        <f t="shared" si="17"/>
        <v>-4.7713670985435978E-4</v>
      </c>
      <c r="K162" s="15">
        <f t="shared" si="18"/>
        <v>1.5748895002874977E-4</v>
      </c>
    </row>
    <row r="163" spans="2:11" x14ac:dyDescent="0.3">
      <c r="B163" s="1">
        <v>46259</v>
      </c>
      <c r="C163" s="4">
        <v>85.01</v>
      </c>
      <c r="D163" s="4">
        <v>329.01</v>
      </c>
      <c r="E163" s="12">
        <f t="shared" si="14"/>
        <v>3.8702505587577929</v>
      </c>
      <c r="F163" s="13">
        <f t="shared" si="20"/>
        <v>3.8688969929641437</v>
      </c>
      <c r="G163" s="13">
        <f t="shared" si="19"/>
        <v>3.8711922954472002</v>
      </c>
      <c r="H163" s="4">
        <f t="shared" si="15"/>
        <v>328.89493337188185</v>
      </c>
      <c r="I163" s="4">
        <f t="shared" si="16"/>
        <v>329.09005703596654</v>
      </c>
      <c r="J163" s="15">
        <f t="shared" si="17"/>
        <v>-3.4979713163626574E-4</v>
      </c>
      <c r="K163" s="15">
        <f t="shared" si="18"/>
        <v>2.4329746063847174E-4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Consumer Staples</vt:lpstr>
      <vt:lpstr>Utilities</vt:lpstr>
      <vt:lpstr>Tech</vt:lpstr>
      <vt:lpstr>RE</vt:lpstr>
      <vt:lpstr>Energy</vt:lpstr>
      <vt:lpstr>Healthcare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2026-08-30T00:57:32Z</dcterms:created>
  <dcterms:modified xsi:type="dcterms:W3CDTF">2026-08-30T02:50:30Z</dcterms:modified>
</cp:coreProperties>
</file>