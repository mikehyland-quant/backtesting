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04830FFC-A42E-44B9-88C4-AC8D23B5BBC9}" xr6:coauthVersionLast="47" xr6:coauthVersionMax="47" xr10:uidLastSave="{00000000-0000-0000-0000-000000000000}"/>
  <bookViews>
    <workbookView xWindow="2685" yWindow="2160" windowWidth="24930" windowHeight="9690" xr2:uid="{E38A9841-0A09-4605-A62C-EA58B1A2570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M152" i="1"/>
  <c r="AK152" i="1"/>
  <c r="AJ152" i="1"/>
  <c r="AN153" i="1" s="1"/>
  <c r="AX151" i="1"/>
  <c r="AV151" i="1"/>
  <c r="AU151" i="1"/>
  <c r="AM151" i="1"/>
  <c r="AK151" i="1"/>
  <c r="AJ151" i="1"/>
  <c r="AN152" i="1" s="1"/>
  <c r="AX150" i="1"/>
  <c r="AV150" i="1"/>
  <c r="AU150" i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N129" i="1" s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Y76" i="1" s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Y66" i="1" s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Y63" i="1" s="1"/>
  <c r="AM62" i="1"/>
  <c r="AK62" i="1"/>
  <c r="AJ62" i="1"/>
  <c r="AX61" i="1"/>
  <c r="AV61" i="1"/>
  <c r="AU61" i="1"/>
  <c r="AY62" i="1" s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N49" i="1" s="1"/>
  <c r="AX47" i="1"/>
  <c r="AV47" i="1"/>
  <c r="AU47" i="1"/>
  <c r="AM47" i="1"/>
  <c r="AK47" i="1"/>
  <c r="AJ47" i="1"/>
  <c r="AN48" i="1" s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N46" i="1" s="1"/>
  <c r="AX44" i="1"/>
  <c r="AV44" i="1"/>
  <c r="AU44" i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M42" i="1"/>
  <c r="AK42" i="1"/>
  <c r="AJ42" i="1"/>
  <c r="AN43" i="1" s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58" i="1" l="1"/>
  <c r="AY39" i="1"/>
  <c r="AN166" i="1"/>
  <c r="AY149" i="1"/>
  <c r="AN135" i="1"/>
  <c r="AY128" i="1"/>
  <c r="AY122" i="1"/>
  <c r="AY38" i="1"/>
  <c r="AY31" i="1"/>
  <c r="AY141" i="1"/>
  <c r="AY30" i="1"/>
  <c r="AY29" i="1"/>
  <c r="AY28" i="1"/>
  <c r="AN161" i="1"/>
  <c r="AN142" i="1"/>
  <c r="AN144" i="1"/>
  <c r="AN38" i="1"/>
  <c r="AN143" i="1"/>
  <c r="AN34" i="1"/>
  <c r="AN138" i="1"/>
  <c r="AN132" i="1"/>
  <c r="AN128" i="1"/>
  <c r="AN130" i="1"/>
  <c r="AN147" i="1"/>
  <c r="AY155" i="1"/>
  <c r="AN39" i="1"/>
  <c r="AY34" i="1"/>
  <c r="AN42" i="1"/>
  <c r="AN63" i="1"/>
  <c r="AO63" i="1" s="1"/>
  <c r="BA176" i="1"/>
  <c r="AZ176" i="1"/>
  <c r="AW176" i="1"/>
  <c r="BA175" i="1"/>
  <c r="AW175" i="1"/>
  <c r="AZ175" i="1"/>
  <c r="BB175" i="1" s="1"/>
  <c r="AO175" i="1"/>
  <c r="AP175" i="1"/>
  <c r="AL175" i="1"/>
  <c r="AN176" i="1" s="1"/>
  <c r="BA174" i="1"/>
  <c r="AZ174" i="1"/>
  <c r="BB174" i="1" s="1"/>
  <c r="AW174" i="1"/>
  <c r="AL174" i="1"/>
  <c r="AP174" i="1"/>
  <c r="AO174" i="1"/>
  <c r="AZ173" i="1"/>
  <c r="AW173" i="1"/>
  <c r="BA173" i="1"/>
  <c r="AO173" i="1"/>
  <c r="AL173" i="1"/>
  <c r="AP173" i="1"/>
  <c r="AP172" i="1"/>
  <c r="AO172" i="1"/>
  <c r="AL172" i="1"/>
  <c r="AL171" i="1"/>
  <c r="AO171" i="1"/>
  <c r="AP171" i="1"/>
  <c r="AO170" i="1"/>
  <c r="AL170" i="1"/>
  <c r="AP170" i="1"/>
  <c r="AP169" i="1"/>
  <c r="AL169" i="1"/>
  <c r="AO169" i="1"/>
  <c r="AP168" i="1"/>
  <c r="AO168" i="1"/>
  <c r="AQ168" i="1" s="1"/>
  <c r="AL168" i="1"/>
  <c r="AL167" i="1"/>
  <c r="AO167" i="1"/>
  <c r="AP167" i="1"/>
  <c r="AP166" i="1"/>
  <c r="AL166" i="1"/>
  <c r="AO166" i="1"/>
  <c r="AQ166" i="1" s="1"/>
  <c r="AZ165" i="1"/>
  <c r="AW165" i="1"/>
  <c r="AY166" i="1" s="1"/>
  <c r="BA165" i="1"/>
  <c r="AL165" i="1"/>
  <c r="AP165" i="1"/>
  <c r="AO165" i="1"/>
  <c r="AQ165" i="1" s="1"/>
  <c r="AL164" i="1"/>
  <c r="AO164" i="1"/>
  <c r="AP164" i="1"/>
  <c r="AO163" i="1"/>
  <c r="AL163" i="1"/>
  <c r="AP163" i="1"/>
  <c r="AO162" i="1"/>
  <c r="AP162" i="1"/>
  <c r="AL162" i="1"/>
  <c r="AO161" i="1"/>
  <c r="AL161" i="1"/>
  <c r="AP161" i="1"/>
  <c r="AP160" i="1"/>
  <c r="AL160" i="1"/>
  <c r="AO160" i="1"/>
  <c r="AQ160" i="1" s="1"/>
  <c r="AZ159" i="1"/>
  <c r="BA159" i="1"/>
  <c r="AW159" i="1"/>
  <c r="AY160" i="1" s="1"/>
  <c r="AP159" i="1"/>
  <c r="AO159" i="1"/>
  <c r="AL159" i="1"/>
  <c r="AZ158" i="1"/>
  <c r="BA158" i="1"/>
  <c r="AW158" i="1"/>
  <c r="AW157" i="1"/>
  <c r="BA157" i="1"/>
  <c r="AZ157" i="1"/>
  <c r="BB157" i="1" s="1"/>
  <c r="AL157" i="1"/>
  <c r="AN158" i="1" s="1"/>
  <c r="AO157" i="1"/>
  <c r="AP157" i="1"/>
  <c r="BA156" i="1"/>
  <c r="AW156" i="1"/>
  <c r="AZ156" i="1"/>
  <c r="BB156" i="1" s="1"/>
  <c r="AP156" i="1"/>
  <c r="AO156" i="1"/>
  <c r="AL156" i="1"/>
  <c r="AW155" i="1"/>
  <c r="AZ155" i="1"/>
  <c r="BA155" i="1"/>
  <c r="AP155" i="1"/>
  <c r="AL155" i="1"/>
  <c r="AO155" i="1"/>
  <c r="AQ155" i="1" s="1"/>
  <c r="AZ154" i="1"/>
  <c r="AW154" i="1"/>
  <c r="BA154" i="1"/>
  <c r="AP154" i="1"/>
  <c r="AO154" i="1"/>
  <c r="AL154" i="1"/>
  <c r="AO153" i="1"/>
  <c r="AL153" i="1"/>
  <c r="AP153" i="1"/>
  <c r="AO152" i="1"/>
  <c r="AL152" i="1"/>
  <c r="AP152" i="1"/>
  <c r="AO151" i="1"/>
  <c r="AL151" i="1"/>
  <c r="AP151" i="1"/>
  <c r="AO150" i="1"/>
  <c r="AL150" i="1"/>
  <c r="AP150" i="1"/>
  <c r="AW149" i="1"/>
  <c r="AY150" i="1" s="1"/>
  <c r="BA149" i="1"/>
  <c r="AZ149" i="1"/>
  <c r="BB149" i="1" s="1"/>
  <c r="AO149" i="1"/>
  <c r="AP149" i="1"/>
  <c r="AL149" i="1"/>
  <c r="AO148" i="1"/>
  <c r="AL148" i="1"/>
  <c r="AP148" i="1"/>
  <c r="AL147" i="1"/>
  <c r="AP147" i="1"/>
  <c r="AO147" i="1"/>
  <c r="AQ147" i="1" s="1"/>
  <c r="AL146" i="1"/>
  <c r="AO146" i="1"/>
  <c r="AP146" i="1"/>
  <c r="AW145" i="1"/>
  <c r="AY146" i="1" s="1"/>
  <c r="AZ145" i="1"/>
  <c r="BA145" i="1"/>
  <c r="AO145" i="1"/>
  <c r="AP145" i="1"/>
  <c r="AL145" i="1"/>
  <c r="AO144" i="1"/>
  <c r="AL144" i="1"/>
  <c r="AP144" i="1"/>
  <c r="AL143" i="1"/>
  <c r="AP143" i="1"/>
  <c r="AO143" i="1"/>
  <c r="AQ143" i="1" s="1"/>
  <c r="AO142" i="1"/>
  <c r="AP142" i="1"/>
  <c r="AL142" i="1"/>
  <c r="BA141" i="1"/>
  <c r="AZ141" i="1"/>
  <c r="AW141" i="1"/>
  <c r="AY142" i="1" s="1"/>
  <c r="AO141" i="1"/>
  <c r="AL141" i="1"/>
  <c r="AP141" i="1"/>
  <c r="AL140" i="1"/>
  <c r="AO140" i="1"/>
  <c r="AP140" i="1"/>
  <c r="AP139" i="1"/>
  <c r="AO139" i="1"/>
  <c r="AQ139" i="1" s="1"/>
  <c r="AL139" i="1"/>
  <c r="AP138" i="1"/>
  <c r="AL138" i="1"/>
  <c r="AO138" i="1"/>
  <c r="AQ138" i="1" s="1"/>
  <c r="AP137" i="1"/>
  <c r="AL137" i="1"/>
  <c r="AO137" i="1"/>
  <c r="AQ137" i="1" s="1"/>
  <c r="BA136" i="1"/>
  <c r="AZ136" i="1"/>
  <c r="BB136" i="1" s="1"/>
  <c r="AW136" i="1"/>
  <c r="AY137" i="1" s="1"/>
  <c r="AL136" i="1"/>
  <c r="AP136" i="1"/>
  <c r="AO136" i="1"/>
  <c r="AQ136" i="1" s="1"/>
  <c r="BE136" i="1" s="1"/>
  <c r="AP135" i="1"/>
  <c r="AL135" i="1"/>
  <c r="AO135" i="1"/>
  <c r="AQ135" i="1" s="1"/>
  <c r="AL134" i="1"/>
  <c r="AO134" i="1"/>
  <c r="AP134" i="1"/>
  <c r="AL133" i="1"/>
  <c r="AO133" i="1"/>
  <c r="AP133" i="1"/>
  <c r="AP132" i="1"/>
  <c r="AL132" i="1"/>
  <c r="AO132" i="1"/>
  <c r="AQ132" i="1" s="1"/>
  <c r="AL131" i="1"/>
  <c r="AO131" i="1"/>
  <c r="AP131" i="1"/>
  <c r="AL130" i="1"/>
  <c r="AO130" i="1"/>
  <c r="AP130" i="1"/>
  <c r="AP129" i="1"/>
  <c r="AL129" i="1"/>
  <c r="AO129" i="1"/>
  <c r="AQ129" i="1" s="1"/>
  <c r="BA128" i="1"/>
  <c r="AW128" i="1"/>
  <c r="AY129" i="1" s="1"/>
  <c r="AZ128" i="1"/>
  <c r="AP128" i="1"/>
  <c r="AO128" i="1"/>
  <c r="AQ128" i="1" s="1"/>
  <c r="AL128" i="1"/>
  <c r="AL127" i="1"/>
  <c r="AP127" i="1"/>
  <c r="AO127" i="1"/>
  <c r="AW126" i="1"/>
  <c r="AY127" i="1" s="1"/>
  <c r="AZ126" i="1"/>
  <c r="BA126" i="1"/>
  <c r="AL126" i="1"/>
  <c r="AP126" i="1"/>
  <c r="AO126" i="1"/>
  <c r="AQ126" i="1" s="1"/>
  <c r="BA125" i="1"/>
  <c r="AW125" i="1"/>
  <c r="AZ125" i="1"/>
  <c r="BB125" i="1" s="1"/>
  <c r="AW124" i="1"/>
  <c r="BA124" i="1"/>
  <c r="AZ124" i="1"/>
  <c r="BB124" i="1" s="1"/>
  <c r="AW123" i="1"/>
  <c r="BA123" i="1"/>
  <c r="AZ123" i="1"/>
  <c r="BB123" i="1" s="1"/>
  <c r="AW122" i="1"/>
  <c r="AZ122" i="1"/>
  <c r="BA122" i="1"/>
  <c r="AW121" i="1"/>
  <c r="BA121" i="1"/>
  <c r="AZ121" i="1"/>
  <c r="BB121" i="1" s="1"/>
  <c r="AW120" i="1"/>
  <c r="AZ120" i="1"/>
  <c r="BA120" i="1"/>
  <c r="AW119" i="1"/>
  <c r="BA119" i="1"/>
  <c r="AZ119" i="1"/>
  <c r="BB119" i="1" s="1"/>
  <c r="BA118" i="1"/>
  <c r="AW118" i="1"/>
  <c r="AZ118" i="1"/>
  <c r="BB118" i="1" s="1"/>
  <c r="AZ117" i="1"/>
  <c r="AW117" i="1"/>
  <c r="BA117" i="1"/>
  <c r="AZ116" i="1"/>
  <c r="AW116" i="1"/>
  <c r="BA116" i="1"/>
  <c r="AW115" i="1"/>
  <c r="AZ115" i="1"/>
  <c r="BA115" i="1"/>
  <c r="AW114" i="1"/>
  <c r="AZ114" i="1"/>
  <c r="BA114" i="1"/>
  <c r="AW113" i="1"/>
  <c r="AZ113" i="1"/>
  <c r="BA113" i="1"/>
  <c r="AW112" i="1"/>
  <c r="BA112" i="1"/>
  <c r="AZ112" i="1"/>
  <c r="BB112" i="1" s="1"/>
  <c r="BA111" i="1"/>
  <c r="AZ111" i="1"/>
  <c r="BB111" i="1" s="1"/>
  <c r="AW111" i="1"/>
  <c r="BA110" i="1"/>
  <c r="AW110" i="1"/>
  <c r="AZ110" i="1"/>
  <c r="BB110" i="1" s="1"/>
  <c r="AW109" i="1"/>
  <c r="AZ109" i="1"/>
  <c r="BA109" i="1"/>
  <c r="AW108" i="1"/>
  <c r="BA108" i="1"/>
  <c r="AZ108" i="1"/>
  <c r="BB108" i="1" s="1"/>
  <c r="AZ107" i="1"/>
  <c r="BA107" i="1"/>
  <c r="AW107" i="1"/>
  <c r="AL107" i="1"/>
  <c r="AN108" i="1" s="1"/>
  <c r="AO107" i="1"/>
  <c r="AP107" i="1"/>
  <c r="BA106" i="1"/>
  <c r="AW106" i="1"/>
  <c r="AZ106" i="1"/>
  <c r="BB106" i="1" s="1"/>
  <c r="AW105" i="1"/>
  <c r="AZ105" i="1"/>
  <c r="BA105" i="1"/>
  <c r="BA104" i="1"/>
  <c r="AZ104" i="1"/>
  <c r="AW104" i="1"/>
  <c r="BA103" i="1"/>
  <c r="AZ103" i="1"/>
  <c r="AW103" i="1"/>
  <c r="AW102" i="1"/>
  <c r="AZ102" i="1"/>
  <c r="BA102" i="1"/>
  <c r="AZ101" i="1"/>
  <c r="AW101" i="1"/>
  <c r="BA101" i="1"/>
  <c r="BA100" i="1"/>
  <c r="AW100" i="1"/>
  <c r="AZ100" i="1"/>
  <c r="BB100" i="1" s="1"/>
  <c r="BA99" i="1"/>
  <c r="AZ99" i="1"/>
  <c r="AW99" i="1"/>
  <c r="BA98" i="1"/>
  <c r="AW98" i="1"/>
  <c r="AZ98" i="1"/>
  <c r="BB98" i="1" s="1"/>
  <c r="AZ97" i="1"/>
  <c r="BA97" i="1"/>
  <c r="AW97" i="1"/>
  <c r="AO97" i="1"/>
  <c r="AL97" i="1"/>
  <c r="AN98" i="1" s="1"/>
  <c r="AP97" i="1"/>
  <c r="BA96" i="1"/>
  <c r="AW96" i="1"/>
  <c r="AZ96" i="1"/>
  <c r="BB96" i="1" s="1"/>
  <c r="AL96" i="1"/>
  <c r="AP96" i="1"/>
  <c r="AO96" i="1"/>
  <c r="AQ96" i="1" s="1"/>
  <c r="AW95" i="1"/>
  <c r="AZ95" i="1"/>
  <c r="BA95" i="1"/>
  <c r="BA94" i="1"/>
  <c r="AW94" i="1"/>
  <c r="AZ94" i="1"/>
  <c r="BB94" i="1" s="1"/>
  <c r="BA93" i="1"/>
  <c r="AW93" i="1"/>
  <c r="AZ93" i="1"/>
  <c r="BB93" i="1" s="1"/>
  <c r="AW92" i="1"/>
  <c r="BA92" i="1"/>
  <c r="AZ92" i="1"/>
  <c r="BB92" i="1" s="1"/>
  <c r="AW91" i="1"/>
  <c r="BA91" i="1"/>
  <c r="AZ91" i="1"/>
  <c r="BB91" i="1" s="1"/>
  <c r="AZ90" i="1"/>
  <c r="BA90" i="1"/>
  <c r="AW90" i="1"/>
  <c r="BA89" i="1"/>
  <c r="AW89" i="1"/>
  <c r="AZ89" i="1"/>
  <c r="BB89" i="1" s="1"/>
  <c r="AW88" i="1"/>
  <c r="AZ88" i="1"/>
  <c r="BA88" i="1"/>
  <c r="BA87" i="1"/>
  <c r="AZ87" i="1"/>
  <c r="BB87" i="1" s="1"/>
  <c r="AW87" i="1"/>
  <c r="BA86" i="1"/>
  <c r="AZ86" i="1"/>
  <c r="BB86" i="1" s="1"/>
  <c r="AW86" i="1"/>
  <c r="AW85" i="1"/>
  <c r="AZ85" i="1"/>
  <c r="BA85" i="1"/>
  <c r="AZ84" i="1"/>
  <c r="AW84" i="1"/>
  <c r="BA84" i="1"/>
  <c r="BA83" i="1"/>
  <c r="AW83" i="1"/>
  <c r="AZ83" i="1"/>
  <c r="BB83" i="1" s="1"/>
  <c r="AW82" i="1"/>
  <c r="AZ82" i="1"/>
  <c r="BA82" i="1"/>
  <c r="AW81" i="1"/>
  <c r="BA81" i="1"/>
  <c r="AZ81" i="1"/>
  <c r="BB81" i="1" s="1"/>
  <c r="BA80" i="1"/>
  <c r="AW80" i="1"/>
  <c r="AZ80" i="1"/>
  <c r="BB80" i="1" s="1"/>
  <c r="AZ79" i="1"/>
  <c r="BA79" i="1"/>
  <c r="AW79" i="1"/>
  <c r="AP79" i="1"/>
  <c r="AL79" i="1"/>
  <c r="AN80" i="1" s="1"/>
  <c r="AO79" i="1"/>
  <c r="AQ79" i="1" s="1"/>
  <c r="BA78" i="1"/>
  <c r="AZ78" i="1"/>
  <c r="BB78" i="1" s="1"/>
  <c r="AW78" i="1"/>
  <c r="BA77" i="1"/>
  <c r="AW77" i="1"/>
  <c r="AZ77" i="1"/>
  <c r="BB77" i="1" s="1"/>
  <c r="AZ76" i="1"/>
  <c r="BA76" i="1"/>
  <c r="AW76" i="1"/>
  <c r="AW75" i="1"/>
  <c r="AZ75" i="1"/>
  <c r="BA75" i="1"/>
  <c r="BA74" i="1"/>
  <c r="AZ74" i="1"/>
  <c r="BB74" i="1" s="1"/>
  <c r="AW74" i="1"/>
  <c r="BA73" i="1"/>
  <c r="AW73" i="1"/>
  <c r="AZ73" i="1"/>
  <c r="BB73" i="1" s="1"/>
  <c r="BA72" i="1"/>
  <c r="AZ72" i="1"/>
  <c r="BB72" i="1" s="1"/>
  <c r="AW72" i="1"/>
  <c r="BA71" i="1"/>
  <c r="AZ71" i="1"/>
  <c r="BB71" i="1" s="1"/>
  <c r="AW71" i="1"/>
  <c r="BA70" i="1"/>
  <c r="AW70" i="1"/>
  <c r="AZ70" i="1"/>
  <c r="BB70" i="1" s="1"/>
  <c r="AZ69" i="1"/>
  <c r="AW69" i="1"/>
  <c r="BA69" i="1"/>
  <c r="AW68" i="1"/>
  <c r="BA68" i="1"/>
  <c r="AZ68" i="1"/>
  <c r="BB68" i="1" s="1"/>
  <c r="AZ67" i="1"/>
  <c r="BA67" i="1"/>
  <c r="AW67" i="1"/>
  <c r="AW66" i="1"/>
  <c r="AZ66" i="1"/>
  <c r="BA66" i="1"/>
  <c r="AW65" i="1"/>
  <c r="BA65" i="1"/>
  <c r="AZ65" i="1"/>
  <c r="BB65" i="1" s="1"/>
  <c r="BA64" i="1"/>
  <c r="AW64" i="1"/>
  <c r="AZ64" i="1"/>
  <c r="BB64" i="1" s="1"/>
  <c r="BA63" i="1"/>
  <c r="AZ63" i="1"/>
  <c r="BB63" i="1" s="1"/>
  <c r="AW63" i="1"/>
  <c r="AW62" i="1"/>
  <c r="BA62" i="1"/>
  <c r="AZ62" i="1"/>
  <c r="BB62" i="1" s="1"/>
  <c r="AL62" i="1"/>
  <c r="AO62" i="1"/>
  <c r="AP62" i="1"/>
  <c r="AZ61" i="1"/>
  <c r="AW61" i="1"/>
  <c r="BA61" i="1"/>
  <c r="BA60" i="1"/>
  <c r="AW60" i="1"/>
  <c r="AZ60" i="1"/>
  <c r="BB60" i="1" s="1"/>
  <c r="AW59" i="1"/>
  <c r="AZ59" i="1"/>
  <c r="BA59" i="1"/>
  <c r="BA58" i="1"/>
  <c r="AW58" i="1"/>
  <c r="AZ58" i="1"/>
  <c r="BB58" i="1" s="1"/>
  <c r="BA57" i="1"/>
  <c r="AW57" i="1"/>
  <c r="AZ57" i="1"/>
  <c r="BB57" i="1" s="1"/>
  <c r="AO57" i="1"/>
  <c r="AP57" i="1"/>
  <c r="AL57" i="1"/>
  <c r="AN58" i="1" s="1"/>
  <c r="AW56" i="1"/>
  <c r="BA56" i="1"/>
  <c r="AZ56" i="1"/>
  <c r="BB56" i="1" s="1"/>
  <c r="AZ55" i="1"/>
  <c r="AW55" i="1"/>
  <c r="BA55" i="1"/>
  <c r="AW54" i="1"/>
  <c r="AZ54" i="1"/>
  <c r="BA54" i="1"/>
  <c r="AP54" i="1"/>
  <c r="AL54" i="1"/>
  <c r="AN55" i="1" s="1"/>
  <c r="AO54" i="1"/>
  <c r="AQ54" i="1" s="1"/>
  <c r="BA53" i="1"/>
  <c r="AW53" i="1"/>
  <c r="AZ53" i="1"/>
  <c r="BB53" i="1" s="1"/>
  <c r="AO53" i="1"/>
  <c r="AL53" i="1"/>
  <c r="AP53" i="1"/>
  <c r="AW52" i="1"/>
  <c r="AZ52" i="1"/>
  <c r="BA52" i="1"/>
  <c r="AO52" i="1"/>
  <c r="AP52" i="1"/>
  <c r="AL52" i="1"/>
  <c r="AL51" i="1"/>
  <c r="AP51" i="1"/>
  <c r="AO51" i="1"/>
  <c r="AQ51" i="1" s="1"/>
  <c r="AO50" i="1"/>
  <c r="AL50" i="1"/>
  <c r="AP50" i="1"/>
  <c r="AL49" i="1"/>
  <c r="AO49" i="1"/>
  <c r="AP49" i="1"/>
  <c r="AL48" i="1"/>
  <c r="AO48" i="1"/>
  <c r="AP48" i="1"/>
  <c r="AP47" i="1"/>
  <c r="AL47" i="1"/>
  <c r="AO47" i="1"/>
  <c r="AQ47" i="1" s="1"/>
  <c r="AO46" i="1"/>
  <c r="AL46" i="1"/>
  <c r="AP46" i="1"/>
  <c r="AL45" i="1"/>
  <c r="AO45" i="1"/>
  <c r="AP45" i="1"/>
  <c r="AL44" i="1"/>
  <c r="AO44" i="1"/>
  <c r="AP44" i="1"/>
  <c r="AO43" i="1"/>
  <c r="AL43" i="1"/>
  <c r="AP43" i="1"/>
  <c r="AW42" i="1"/>
  <c r="AY43" i="1" s="1"/>
  <c r="AZ42" i="1"/>
  <c r="BA42" i="1"/>
  <c r="BA41" i="1"/>
  <c r="AZ41" i="1"/>
  <c r="BB41" i="1" s="1"/>
  <c r="AW41" i="1"/>
  <c r="AP41" i="1"/>
  <c r="AO41" i="1"/>
  <c r="AQ41" i="1" s="1"/>
  <c r="BE41" i="1" s="1"/>
  <c r="AL41" i="1"/>
  <c r="BA40" i="1"/>
  <c r="AW40" i="1"/>
  <c r="AZ40" i="1"/>
  <c r="BB40" i="1" s="1"/>
  <c r="AP40" i="1"/>
  <c r="AO40" i="1"/>
  <c r="AQ40" i="1" s="1"/>
  <c r="BE40" i="1" s="1"/>
  <c r="AL40" i="1"/>
  <c r="AZ39" i="1"/>
  <c r="BA39" i="1"/>
  <c r="AW39" i="1"/>
  <c r="AZ38" i="1"/>
  <c r="AW38" i="1"/>
  <c r="BA38" i="1"/>
  <c r="BA37" i="1"/>
  <c r="AW37" i="1"/>
  <c r="AZ37" i="1"/>
  <c r="BB37" i="1" s="1"/>
  <c r="AP37" i="1"/>
  <c r="AO37" i="1"/>
  <c r="AQ37" i="1" s="1"/>
  <c r="BE37" i="1" s="1"/>
  <c r="AL37" i="1"/>
  <c r="AZ36" i="1"/>
  <c r="BA36" i="1"/>
  <c r="AW36" i="1"/>
  <c r="AO36" i="1"/>
  <c r="AP36" i="1"/>
  <c r="AL36" i="1"/>
  <c r="AW35" i="1"/>
  <c r="AZ35" i="1"/>
  <c r="BA35" i="1"/>
  <c r="AO35" i="1"/>
  <c r="AL35" i="1"/>
  <c r="AP35" i="1"/>
  <c r="AW33" i="1"/>
  <c r="AZ33" i="1"/>
  <c r="BA33" i="1"/>
  <c r="AZ32" i="1"/>
  <c r="AW32" i="1"/>
  <c r="BA32" i="1"/>
  <c r="AW27" i="1"/>
  <c r="BA27" i="1"/>
  <c r="AZ27" i="1"/>
  <c r="AW26" i="1"/>
  <c r="AZ26" i="1"/>
  <c r="BA26" i="1"/>
  <c r="AW25" i="1"/>
  <c r="AZ25" i="1"/>
  <c r="BA25" i="1"/>
  <c r="AW24" i="1"/>
  <c r="AZ24" i="1"/>
  <c r="BA24" i="1"/>
  <c r="AW23" i="1"/>
  <c r="AZ23" i="1"/>
  <c r="BA23" i="1"/>
  <c r="AP23" i="1"/>
  <c r="AO23" i="1"/>
  <c r="AQ23" i="1" s="1"/>
  <c r="AL23" i="1"/>
  <c r="AN24" i="1" s="1"/>
  <c r="BA22" i="1"/>
  <c r="AZ22" i="1"/>
  <c r="BB22" i="1" s="1"/>
  <c r="AP22" i="1"/>
  <c r="AO22" i="1"/>
  <c r="AQ22" i="1" s="1"/>
  <c r="BB99" i="1" l="1"/>
  <c r="BB27" i="1"/>
  <c r="AQ156" i="1"/>
  <c r="BB128" i="1"/>
  <c r="BB141" i="1"/>
  <c r="AZ166" i="1"/>
  <c r="BA166" i="1"/>
  <c r="AW166" i="1"/>
  <c r="AY167" i="1" s="1"/>
  <c r="BA142" i="1"/>
  <c r="AZ142" i="1"/>
  <c r="BB142" i="1" s="1"/>
  <c r="AW142" i="1"/>
  <c r="AY143" i="1" s="1"/>
  <c r="AZ137" i="1"/>
  <c r="AW137" i="1"/>
  <c r="AY138" i="1" s="1"/>
  <c r="BA137" i="1"/>
  <c r="AZ129" i="1"/>
  <c r="BA129" i="1"/>
  <c r="AW129" i="1"/>
  <c r="AY130" i="1" s="1"/>
  <c r="BB103" i="1"/>
  <c r="BE96" i="1"/>
  <c r="BB176" i="1"/>
  <c r="BE128" i="1"/>
  <c r="BB114" i="1"/>
  <c r="BB115" i="1"/>
  <c r="BB113" i="1"/>
  <c r="BB104" i="1"/>
  <c r="BA31" i="1"/>
  <c r="AZ31" i="1"/>
  <c r="BB31" i="1" s="1"/>
  <c r="AW31" i="1"/>
  <c r="AW30" i="1"/>
  <c r="BA30" i="1"/>
  <c r="AZ30" i="1"/>
  <c r="BB30" i="1" s="1"/>
  <c r="BA29" i="1"/>
  <c r="AZ29" i="1"/>
  <c r="BB29" i="1" s="1"/>
  <c r="AW29" i="1"/>
  <c r="BA28" i="1"/>
  <c r="AW28" i="1"/>
  <c r="AZ28" i="1"/>
  <c r="BB28" i="1" s="1"/>
  <c r="AW34" i="1"/>
  <c r="AZ34" i="1"/>
  <c r="BA34" i="1"/>
  <c r="AQ174" i="1"/>
  <c r="BE174" i="1" s="1"/>
  <c r="AQ159" i="1"/>
  <c r="AP38" i="1"/>
  <c r="AO38" i="1"/>
  <c r="AL38" i="1"/>
  <c r="AO34" i="1"/>
  <c r="AL34" i="1"/>
  <c r="AP34" i="1"/>
  <c r="AL39" i="1"/>
  <c r="AO39" i="1"/>
  <c r="AP39" i="1"/>
  <c r="AL42" i="1"/>
  <c r="AO42" i="1"/>
  <c r="AP42" i="1"/>
  <c r="AO108" i="1"/>
  <c r="AL108" i="1"/>
  <c r="AN109" i="1" s="1"/>
  <c r="AP108" i="1"/>
  <c r="AO80" i="1"/>
  <c r="AP80" i="1"/>
  <c r="AL80" i="1"/>
  <c r="AN81" i="1" s="1"/>
  <c r="AL24" i="1"/>
  <c r="AN25" i="1" s="1"/>
  <c r="AP24" i="1"/>
  <c r="AO24" i="1"/>
  <c r="AQ172" i="1"/>
  <c r="AQ154" i="1"/>
  <c r="AL63" i="1"/>
  <c r="AN64" i="1" s="1"/>
  <c r="AP63" i="1"/>
  <c r="AQ127" i="1"/>
  <c r="AQ169" i="1"/>
  <c r="AQ167" i="1"/>
  <c r="AQ63" i="1"/>
  <c r="BE63" i="1" s="1"/>
  <c r="AQ161" i="1"/>
  <c r="AQ53" i="1"/>
  <c r="BE53" i="1" s="1"/>
  <c r="BB52" i="1"/>
  <c r="AQ52" i="1"/>
  <c r="AQ46" i="1"/>
  <c r="AQ164" i="1"/>
  <c r="BB158" i="1"/>
  <c r="AQ131" i="1"/>
  <c r="AP176" i="1"/>
  <c r="AO176" i="1"/>
  <c r="AL176" i="1"/>
  <c r="AZ167" i="1"/>
  <c r="BA167" i="1"/>
  <c r="AW167" i="1"/>
  <c r="AY168" i="1" s="1"/>
  <c r="AZ160" i="1"/>
  <c r="BA160" i="1"/>
  <c r="AW160" i="1"/>
  <c r="AY161" i="1" s="1"/>
  <c r="AP158" i="1"/>
  <c r="AO158" i="1"/>
  <c r="AL158" i="1"/>
  <c r="BA150" i="1"/>
  <c r="AW150" i="1"/>
  <c r="AY151" i="1" s="1"/>
  <c r="AZ150" i="1"/>
  <c r="BB150" i="1" s="1"/>
  <c r="BA146" i="1"/>
  <c r="AZ146" i="1"/>
  <c r="BB146" i="1" s="1"/>
  <c r="AW146" i="1"/>
  <c r="AY147" i="1" s="1"/>
  <c r="AZ143" i="1"/>
  <c r="AW143" i="1"/>
  <c r="AY144" i="1" s="1"/>
  <c r="BA143" i="1"/>
  <c r="BA127" i="1"/>
  <c r="AZ127" i="1"/>
  <c r="BB127" i="1" s="1"/>
  <c r="BE127" i="1" s="1"/>
  <c r="AW127" i="1"/>
  <c r="AL98" i="1"/>
  <c r="AN99" i="1" s="1"/>
  <c r="AO98" i="1"/>
  <c r="AP98" i="1"/>
  <c r="AO64" i="1"/>
  <c r="AL64" i="1"/>
  <c r="AN65" i="1" s="1"/>
  <c r="AP64" i="1"/>
  <c r="AP58" i="1"/>
  <c r="AL58" i="1"/>
  <c r="AN59" i="1" s="1"/>
  <c r="AO58" i="1"/>
  <c r="AQ58" i="1" s="1"/>
  <c r="BE58" i="1" s="1"/>
  <c r="AO55" i="1"/>
  <c r="AL55" i="1"/>
  <c r="AN56" i="1" s="1"/>
  <c r="AP55" i="1"/>
  <c r="BA43" i="1"/>
  <c r="AZ43" i="1"/>
  <c r="AW43" i="1"/>
  <c r="AY44" i="1" s="1"/>
  <c r="AP25" i="1"/>
  <c r="AL25" i="1"/>
  <c r="AN26" i="1" s="1"/>
  <c r="AO25" i="1"/>
  <c r="AQ25" i="1" s="1"/>
  <c r="BC22" i="1"/>
  <c r="BE22" i="1"/>
  <c r="AR22" i="1"/>
  <c r="AR23" i="1" s="1"/>
  <c r="BB109" i="1"/>
  <c r="BB107" i="1"/>
  <c r="AQ107" i="1"/>
  <c r="BE107" i="1" s="1"/>
  <c r="BB105" i="1"/>
  <c r="BB102" i="1"/>
  <c r="BB101" i="1"/>
  <c r="BB97" i="1"/>
  <c r="AQ97" i="1"/>
  <c r="BE97" i="1" s="1"/>
  <c r="BB95" i="1"/>
  <c r="BB90" i="1"/>
  <c r="BB88" i="1"/>
  <c r="BB85" i="1"/>
  <c r="BB84" i="1"/>
  <c r="BB82" i="1"/>
  <c r="BB79" i="1"/>
  <c r="BE79" i="1" s="1"/>
  <c r="BB76" i="1"/>
  <c r="BB75" i="1"/>
  <c r="BB69" i="1"/>
  <c r="BB67" i="1"/>
  <c r="BB66" i="1"/>
  <c r="AQ62" i="1"/>
  <c r="BE62" i="1" s="1"/>
  <c r="BB61" i="1"/>
  <c r="BB59" i="1"/>
  <c r="AQ57" i="1"/>
  <c r="BE57" i="1" s="1"/>
  <c r="BB55" i="1"/>
  <c r="BB54" i="1"/>
  <c r="BE54" i="1" s="1"/>
  <c r="AQ45" i="1"/>
  <c r="AQ44" i="1"/>
  <c r="AQ43" i="1"/>
  <c r="BB42" i="1"/>
  <c r="AQ42" i="1"/>
  <c r="BB39" i="1"/>
  <c r="AQ39" i="1"/>
  <c r="BB38" i="1"/>
  <c r="BB36" i="1"/>
  <c r="AQ36" i="1"/>
  <c r="BB35" i="1"/>
  <c r="AQ35" i="1"/>
  <c r="BB34" i="1"/>
  <c r="AQ34" i="1"/>
  <c r="BB33" i="1"/>
  <c r="BB32" i="1"/>
  <c r="BB26" i="1"/>
  <c r="BB25" i="1"/>
  <c r="BB24" i="1"/>
  <c r="AQ24" i="1"/>
  <c r="BB23" i="1"/>
  <c r="BB122" i="1"/>
  <c r="BB117" i="1"/>
  <c r="BB116" i="1"/>
  <c r="AQ157" i="1"/>
  <c r="BE157" i="1" s="1"/>
  <c r="AQ175" i="1"/>
  <c r="BE175" i="1" s="1"/>
  <c r="BB173" i="1"/>
  <c r="AQ173" i="1"/>
  <c r="AQ171" i="1"/>
  <c r="AQ170" i="1"/>
  <c r="BB165" i="1"/>
  <c r="BE165" i="1" s="1"/>
  <c r="AQ163" i="1"/>
  <c r="AQ162" i="1"/>
  <c r="BB159" i="1"/>
  <c r="BE159" i="1" s="1"/>
  <c r="BE156" i="1"/>
  <c r="BB155" i="1"/>
  <c r="BE155" i="1" s="1"/>
  <c r="BB154" i="1"/>
  <c r="BE154" i="1" s="1"/>
  <c r="AQ153" i="1"/>
  <c r="AQ152" i="1"/>
  <c r="AQ151" i="1"/>
  <c r="AQ150" i="1"/>
  <c r="BE150" i="1" s="1"/>
  <c r="AQ149" i="1"/>
  <c r="BE149" i="1" s="1"/>
  <c r="AQ148" i="1"/>
  <c r="AQ146" i="1"/>
  <c r="BE146" i="1" s="1"/>
  <c r="BB145" i="1"/>
  <c r="AQ145" i="1"/>
  <c r="AQ144" i="1"/>
  <c r="AQ142" i="1"/>
  <c r="BE142" i="1" s="1"/>
  <c r="AQ141" i="1"/>
  <c r="BE141" i="1" s="1"/>
  <c r="AQ140" i="1"/>
  <c r="AQ134" i="1"/>
  <c r="AQ133" i="1"/>
  <c r="AQ130" i="1"/>
  <c r="BB126" i="1"/>
  <c r="BE126" i="1" s="1"/>
  <c r="BB120" i="1"/>
  <c r="AQ50" i="1"/>
  <c r="AQ49" i="1"/>
  <c r="AQ48" i="1"/>
  <c r="BB129" i="1" l="1"/>
  <c r="BE129" i="1" s="1"/>
  <c r="BE39" i="1"/>
  <c r="BE36" i="1"/>
  <c r="BB166" i="1"/>
  <c r="BE166" i="1" s="1"/>
  <c r="BE42" i="1"/>
  <c r="BB137" i="1"/>
  <c r="BE137" i="1" s="1"/>
  <c r="BE145" i="1"/>
  <c r="BA138" i="1"/>
  <c r="AW138" i="1"/>
  <c r="AY139" i="1" s="1"/>
  <c r="AZ138" i="1"/>
  <c r="BB138" i="1" s="1"/>
  <c r="BE138" i="1" s="1"/>
  <c r="AZ130" i="1"/>
  <c r="AW130" i="1"/>
  <c r="AY131" i="1" s="1"/>
  <c r="BA130" i="1"/>
  <c r="BE34" i="1"/>
  <c r="BB43" i="1"/>
  <c r="BE43" i="1" s="1"/>
  <c r="AZ168" i="1"/>
  <c r="AW168" i="1"/>
  <c r="AY169" i="1" s="1"/>
  <c r="BA168" i="1"/>
  <c r="BA144" i="1"/>
  <c r="AZ144" i="1"/>
  <c r="BB144" i="1" s="1"/>
  <c r="BE144" i="1" s="1"/>
  <c r="AW144" i="1"/>
  <c r="BE35" i="1"/>
  <c r="BE173" i="1"/>
  <c r="AQ38" i="1"/>
  <c r="BE38" i="1" s="1"/>
  <c r="AP109" i="1"/>
  <c r="AL109" i="1"/>
  <c r="AN110" i="1" s="1"/>
  <c r="AO109" i="1"/>
  <c r="AQ109" i="1" s="1"/>
  <c r="BE109" i="1" s="1"/>
  <c r="AO81" i="1"/>
  <c r="AL81" i="1"/>
  <c r="AN82" i="1" s="1"/>
  <c r="AP81" i="1"/>
  <c r="AQ108" i="1"/>
  <c r="BE108" i="1" s="1"/>
  <c r="AQ80" i="1"/>
  <c r="BE80" i="1" s="1"/>
  <c r="AQ176" i="1"/>
  <c r="BE176" i="1" s="1"/>
  <c r="BE52" i="1"/>
  <c r="AQ158" i="1"/>
  <c r="BE158" i="1" s="1"/>
  <c r="AZ161" i="1"/>
  <c r="AW161" i="1"/>
  <c r="AY162" i="1" s="1"/>
  <c r="BA161" i="1"/>
  <c r="AZ151" i="1"/>
  <c r="AW151" i="1"/>
  <c r="AY152" i="1" s="1"/>
  <c r="BA151" i="1"/>
  <c r="AZ147" i="1"/>
  <c r="AW147" i="1"/>
  <c r="AY148" i="1" s="1"/>
  <c r="BA147" i="1"/>
  <c r="AP99" i="1"/>
  <c r="AO99" i="1"/>
  <c r="AQ99" i="1" s="1"/>
  <c r="BE99" i="1" s="1"/>
  <c r="AL99" i="1"/>
  <c r="AN100" i="1" s="1"/>
  <c r="AP65" i="1"/>
  <c r="AL65" i="1"/>
  <c r="AN66" i="1" s="1"/>
  <c r="AO65" i="1"/>
  <c r="AQ65" i="1" s="1"/>
  <c r="BE65" i="1" s="1"/>
  <c r="AP59" i="1"/>
  <c r="AO59" i="1"/>
  <c r="AQ59" i="1" s="1"/>
  <c r="BE59" i="1" s="1"/>
  <c r="AL59" i="1"/>
  <c r="AN60" i="1" s="1"/>
  <c r="AL56" i="1"/>
  <c r="AO56" i="1"/>
  <c r="AP56" i="1"/>
  <c r="BA44" i="1"/>
  <c r="AZ44" i="1"/>
  <c r="BB44" i="1" s="1"/>
  <c r="BE44" i="1" s="1"/>
  <c r="AW44" i="1"/>
  <c r="AY45" i="1" s="1"/>
  <c r="AL26" i="1"/>
  <c r="AN27" i="1" s="1"/>
  <c r="AO26" i="1"/>
  <c r="AP26" i="1"/>
  <c r="BF22" i="1"/>
  <c r="AQ64" i="1"/>
  <c r="BE64" i="1" s="1"/>
  <c r="AR24" i="1"/>
  <c r="AR25" i="1" s="1"/>
  <c r="BB167" i="1"/>
  <c r="BE167" i="1" s="1"/>
  <c r="BB160" i="1"/>
  <c r="BE160" i="1" s="1"/>
  <c r="BB143" i="1"/>
  <c r="BE143" i="1" s="1"/>
  <c r="AQ98" i="1"/>
  <c r="BE98" i="1" s="1"/>
  <c r="AQ55" i="1"/>
  <c r="BE55" i="1" s="1"/>
  <c r="BE25" i="1"/>
  <c r="BC23" i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E24" i="1"/>
  <c r="BE23" i="1"/>
  <c r="BB168" i="1" l="1"/>
  <c r="BE168" i="1" s="1"/>
  <c r="AW139" i="1"/>
  <c r="AY140" i="1" s="1"/>
  <c r="AZ139" i="1"/>
  <c r="BA139" i="1"/>
  <c r="BA131" i="1"/>
  <c r="AW131" i="1"/>
  <c r="AY132" i="1" s="1"/>
  <c r="AZ131" i="1"/>
  <c r="BB131" i="1" s="1"/>
  <c r="BE131" i="1" s="1"/>
  <c r="BA169" i="1"/>
  <c r="AW169" i="1"/>
  <c r="AY170" i="1" s="1"/>
  <c r="AZ169" i="1"/>
  <c r="BB169" i="1" s="1"/>
  <c r="BE169" i="1" s="1"/>
  <c r="BC43" i="1"/>
  <c r="BB130" i="1"/>
  <c r="BE130" i="1" s="1"/>
  <c r="AZ148" i="1"/>
  <c r="AW148" i="1"/>
  <c r="BA148" i="1"/>
  <c r="AW45" i="1"/>
  <c r="AY46" i="1" s="1"/>
  <c r="BA45" i="1"/>
  <c r="AZ45" i="1"/>
  <c r="BB45" i="1" s="1"/>
  <c r="BE45" i="1" s="1"/>
  <c r="AP110" i="1"/>
  <c r="AL110" i="1"/>
  <c r="AN111" i="1" s="1"/>
  <c r="AO110" i="1"/>
  <c r="AQ110" i="1" s="1"/>
  <c r="BE110" i="1" s="1"/>
  <c r="AP82" i="1"/>
  <c r="AO82" i="1"/>
  <c r="AL82" i="1"/>
  <c r="AN83" i="1" s="1"/>
  <c r="AQ81" i="1"/>
  <c r="BE81" i="1" s="1"/>
  <c r="AO100" i="1"/>
  <c r="AP100" i="1"/>
  <c r="AL100" i="1"/>
  <c r="AN101" i="1" s="1"/>
  <c r="BF23" i="1"/>
  <c r="BF24" i="1" s="1"/>
  <c r="BF25" i="1" s="1"/>
  <c r="AW162" i="1"/>
  <c r="AY163" i="1" s="1"/>
  <c r="BA162" i="1"/>
  <c r="AZ162" i="1"/>
  <c r="BB162" i="1" s="1"/>
  <c r="BE162" i="1" s="1"/>
  <c r="BA152" i="1"/>
  <c r="AZ152" i="1"/>
  <c r="BB152" i="1" s="1"/>
  <c r="BE152" i="1" s="1"/>
  <c r="AW152" i="1"/>
  <c r="AY153" i="1" s="1"/>
  <c r="AP66" i="1"/>
  <c r="AL66" i="1"/>
  <c r="AN67" i="1" s="1"/>
  <c r="AO66" i="1"/>
  <c r="AQ66" i="1" s="1"/>
  <c r="BE66" i="1" s="1"/>
  <c r="AL60" i="1"/>
  <c r="AN61" i="1" s="1"/>
  <c r="AP60" i="1"/>
  <c r="AO60" i="1"/>
  <c r="AP27" i="1"/>
  <c r="AO27" i="1"/>
  <c r="AQ27" i="1" s="1"/>
  <c r="BE27" i="1" s="1"/>
  <c r="AL27" i="1"/>
  <c r="AN28" i="1" s="1"/>
  <c r="BC44" i="1"/>
  <c r="BC45" i="1" s="1"/>
  <c r="BB161" i="1"/>
  <c r="BE161" i="1" s="1"/>
  <c r="BB151" i="1"/>
  <c r="BE151" i="1" s="1"/>
  <c r="BB147" i="1"/>
  <c r="AQ56" i="1"/>
  <c r="BE56" i="1" s="1"/>
  <c r="AQ26" i="1"/>
  <c r="AZ140" i="1" l="1"/>
  <c r="AW140" i="1"/>
  <c r="BA140" i="1"/>
  <c r="AZ132" i="1"/>
  <c r="AW132" i="1"/>
  <c r="AY133" i="1" s="1"/>
  <c r="BA132" i="1"/>
  <c r="BA170" i="1"/>
  <c r="AW170" i="1"/>
  <c r="AY171" i="1" s="1"/>
  <c r="AZ170" i="1"/>
  <c r="BB170" i="1" s="1"/>
  <c r="BE170" i="1" s="1"/>
  <c r="AW46" i="1"/>
  <c r="AY47" i="1" s="1"/>
  <c r="AZ46" i="1"/>
  <c r="BA46" i="1"/>
  <c r="BB139" i="1"/>
  <c r="BE139" i="1" s="1"/>
  <c r="BB148" i="1"/>
  <c r="BE148" i="1" s="1"/>
  <c r="AO111" i="1"/>
  <c r="AL111" i="1"/>
  <c r="AN112" i="1" s="1"/>
  <c r="AP111" i="1"/>
  <c r="AP83" i="1"/>
  <c r="AO83" i="1"/>
  <c r="AQ83" i="1" s="1"/>
  <c r="BE83" i="1" s="1"/>
  <c r="AL83" i="1"/>
  <c r="AN84" i="1" s="1"/>
  <c r="AO101" i="1"/>
  <c r="AP101" i="1"/>
  <c r="AL101" i="1"/>
  <c r="AN102" i="1" s="1"/>
  <c r="AQ82" i="1"/>
  <c r="BE82" i="1" s="1"/>
  <c r="AQ100" i="1"/>
  <c r="BE100" i="1" s="1"/>
  <c r="AQ60" i="1"/>
  <c r="BE60" i="1" s="1"/>
  <c r="BA163" i="1"/>
  <c r="AZ163" i="1"/>
  <c r="AW163" i="1"/>
  <c r="AY164" i="1" s="1"/>
  <c r="AZ153" i="1"/>
  <c r="BA153" i="1"/>
  <c r="AW153" i="1"/>
  <c r="AO67" i="1"/>
  <c r="AL67" i="1"/>
  <c r="AN68" i="1" s="1"/>
  <c r="AP67" i="1"/>
  <c r="AP61" i="1"/>
  <c r="AL61" i="1"/>
  <c r="AO61" i="1"/>
  <c r="AQ61" i="1" s="1"/>
  <c r="BE61" i="1" s="1"/>
  <c r="AP28" i="1"/>
  <c r="AO28" i="1"/>
  <c r="AL28" i="1"/>
  <c r="AN29" i="1" s="1"/>
  <c r="BE147" i="1"/>
  <c r="AR26" i="1"/>
  <c r="AR27" i="1" s="1"/>
  <c r="BE26" i="1"/>
  <c r="BB163" i="1" l="1"/>
  <c r="BE163" i="1" s="1"/>
  <c r="AZ133" i="1"/>
  <c r="AW133" i="1"/>
  <c r="AY134" i="1" s="1"/>
  <c r="BA133" i="1"/>
  <c r="BA171" i="1"/>
  <c r="AZ171" i="1"/>
  <c r="AW171" i="1"/>
  <c r="AY172" i="1" s="1"/>
  <c r="AW47" i="1"/>
  <c r="AY48" i="1" s="1"/>
  <c r="BA47" i="1"/>
  <c r="AZ47" i="1"/>
  <c r="BB47" i="1" s="1"/>
  <c r="BE47" i="1" s="1"/>
  <c r="BB140" i="1"/>
  <c r="BE140" i="1" s="1"/>
  <c r="BB132" i="1"/>
  <c r="BE132" i="1" s="1"/>
  <c r="BB46" i="1"/>
  <c r="AO112" i="1"/>
  <c r="AL112" i="1"/>
  <c r="AN113" i="1" s="1"/>
  <c r="AP112" i="1"/>
  <c r="AO84" i="1"/>
  <c r="AP84" i="1"/>
  <c r="AL84" i="1"/>
  <c r="AN85" i="1" s="1"/>
  <c r="AP102" i="1"/>
  <c r="AL102" i="1"/>
  <c r="AN103" i="1" s="1"/>
  <c r="AO102" i="1"/>
  <c r="AQ102" i="1" s="1"/>
  <c r="BE102" i="1" s="1"/>
  <c r="AQ111" i="1"/>
  <c r="BE111" i="1" s="1"/>
  <c r="AQ101" i="1"/>
  <c r="BE101" i="1" s="1"/>
  <c r="AO68" i="1"/>
  <c r="AL68" i="1"/>
  <c r="AN69" i="1" s="1"/>
  <c r="AP68" i="1"/>
  <c r="AQ28" i="1"/>
  <c r="BA164" i="1"/>
  <c r="AW164" i="1"/>
  <c r="AZ164" i="1"/>
  <c r="BB164" i="1" s="1"/>
  <c r="BE164" i="1" s="1"/>
  <c r="AO29" i="1"/>
  <c r="AL29" i="1"/>
  <c r="AN30" i="1" s="1"/>
  <c r="AP29" i="1"/>
  <c r="BF26" i="1"/>
  <c r="BF27" i="1" s="1"/>
  <c r="BB153" i="1"/>
  <c r="AQ67" i="1"/>
  <c r="BE67" i="1" s="1"/>
  <c r="BB171" i="1" l="1"/>
  <c r="BE171" i="1" s="1"/>
  <c r="AW134" i="1"/>
  <c r="AY135" i="1" s="1"/>
  <c r="BA134" i="1"/>
  <c r="AZ134" i="1"/>
  <c r="BB134" i="1" s="1"/>
  <c r="BE134" i="1" s="1"/>
  <c r="BA172" i="1"/>
  <c r="AZ172" i="1"/>
  <c r="BB172" i="1" s="1"/>
  <c r="BE172" i="1" s="1"/>
  <c r="AW172" i="1"/>
  <c r="AZ48" i="1"/>
  <c r="AW48" i="1"/>
  <c r="AY49" i="1" s="1"/>
  <c r="BA48" i="1"/>
  <c r="BE46" i="1"/>
  <c r="BC46" i="1"/>
  <c r="BC47" i="1" s="1"/>
  <c r="BB133" i="1"/>
  <c r="BE133" i="1" s="1"/>
  <c r="AP113" i="1"/>
  <c r="AL113" i="1"/>
  <c r="AN114" i="1" s="1"/>
  <c r="AO113" i="1"/>
  <c r="AQ113" i="1" s="1"/>
  <c r="BE113" i="1" s="1"/>
  <c r="AO85" i="1"/>
  <c r="AL85" i="1"/>
  <c r="AN86" i="1" s="1"/>
  <c r="AP85" i="1"/>
  <c r="AL103" i="1"/>
  <c r="AN104" i="1" s="1"/>
  <c r="AO103" i="1"/>
  <c r="AQ103" i="1" s="1"/>
  <c r="BE103" i="1" s="1"/>
  <c r="AP103" i="1"/>
  <c r="AO69" i="1"/>
  <c r="AP69" i="1"/>
  <c r="AL69" i="1"/>
  <c r="AN70" i="1" s="1"/>
  <c r="AQ112" i="1"/>
  <c r="BE112" i="1" s="1"/>
  <c r="AQ84" i="1"/>
  <c r="BE84" i="1" s="1"/>
  <c r="AQ68" i="1"/>
  <c r="BE68" i="1" s="1"/>
  <c r="AR28" i="1"/>
  <c r="BE28" i="1"/>
  <c r="BF28" i="1" s="1"/>
  <c r="AL30" i="1"/>
  <c r="AN31" i="1" s="1"/>
  <c r="AP30" i="1"/>
  <c r="AO30" i="1"/>
  <c r="BE153" i="1"/>
  <c r="AQ29" i="1"/>
  <c r="AZ135" i="1" l="1"/>
  <c r="BA135" i="1"/>
  <c r="AW135" i="1"/>
  <c r="BA49" i="1"/>
  <c r="AW49" i="1"/>
  <c r="AY50" i="1" s="1"/>
  <c r="AZ49" i="1"/>
  <c r="BB49" i="1" s="1"/>
  <c r="BE49" i="1" s="1"/>
  <c r="BB48" i="1"/>
  <c r="AL114" i="1"/>
  <c r="AN115" i="1" s="1"/>
  <c r="AO114" i="1"/>
  <c r="AP114" i="1"/>
  <c r="AO86" i="1"/>
  <c r="AL86" i="1"/>
  <c r="AN87" i="1" s="1"/>
  <c r="AP86" i="1"/>
  <c r="AP104" i="1"/>
  <c r="AL104" i="1"/>
  <c r="AN105" i="1" s="1"/>
  <c r="AO104" i="1"/>
  <c r="AQ104" i="1" s="1"/>
  <c r="BE104" i="1" s="1"/>
  <c r="AO70" i="1"/>
  <c r="AP70" i="1"/>
  <c r="AL70" i="1"/>
  <c r="AN71" i="1" s="1"/>
  <c r="AQ85" i="1"/>
  <c r="BE85" i="1" s="1"/>
  <c r="AQ69" i="1"/>
  <c r="BE69" i="1" s="1"/>
  <c r="AQ30" i="1"/>
  <c r="BE30" i="1" s="1"/>
  <c r="AP31" i="1"/>
  <c r="AO31" i="1"/>
  <c r="AL31" i="1"/>
  <c r="AN32" i="1" s="1"/>
  <c r="BE29" i="1"/>
  <c r="AR29" i="1"/>
  <c r="AR30" i="1" l="1"/>
  <c r="AW50" i="1"/>
  <c r="AY51" i="1" s="1"/>
  <c r="BA50" i="1"/>
  <c r="AZ50" i="1"/>
  <c r="BC48" i="1"/>
  <c r="BC49" i="1" s="1"/>
  <c r="BE48" i="1"/>
  <c r="BB135" i="1"/>
  <c r="BE135" i="1" s="1"/>
  <c r="AL115" i="1"/>
  <c r="AN116" i="1" s="1"/>
  <c r="AP115" i="1"/>
  <c r="AO115" i="1"/>
  <c r="AQ115" i="1" s="1"/>
  <c r="BE115" i="1" s="1"/>
  <c r="AP87" i="1"/>
  <c r="AO87" i="1"/>
  <c r="AQ87" i="1" s="1"/>
  <c r="BE87" i="1" s="1"/>
  <c r="AL87" i="1"/>
  <c r="AN88" i="1" s="1"/>
  <c r="AP105" i="1"/>
  <c r="AL105" i="1"/>
  <c r="AN106" i="1" s="1"/>
  <c r="AO105" i="1"/>
  <c r="AQ105" i="1" s="1"/>
  <c r="BE105" i="1" s="1"/>
  <c r="AL71" i="1"/>
  <c r="AN72" i="1" s="1"/>
  <c r="AP71" i="1"/>
  <c r="AO71" i="1"/>
  <c r="AQ114" i="1"/>
  <c r="BE114" i="1" s="1"/>
  <c r="AQ86" i="1"/>
  <c r="BE86" i="1" s="1"/>
  <c r="AQ70" i="1"/>
  <c r="BE70" i="1" s="1"/>
  <c r="AQ31" i="1"/>
  <c r="BE31" i="1" s="1"/>
  <c r="AR31" i="1"/>
  <c r="AO32" i="1"/>
  <c r="AP32" i="1"/>
  <c r="AL32" i="1"/>
  <c r="AN33" i="1" s="1"/>
  <c r="BF29" i="1"/>
  <c r="BF30" i="1" s="1"/>
  <c r="BF31" i="1" l="1"/>
  <c r="BA51" i="1"/>
  <c r="AZ51" i="1"/>
  <c r="AW51" i="1"/>
  <c r="BB50" i="1"/>
  <c r="AO116" i="1"/>
  <c r="AL116" i="1"/>
  <c r="AN117" i="1" s="1"/>
  <c r="AP116" i="1"/>
  <c r="AL88" i="1"/>
  <c r="AN89" i="1" s="1"/>
  <c r="AP88" i="1"/>
  <c r="AO88" i="1"/>
  <c r="AQ88" i="1" s="1"/>
  <c r="BE88" i="1" s="1"/>
  <c r="AO106" i="1"/>
  <c r="AP106" i="1"/>
  <c r="AL106" i="1"/>
  <c r="AP72" i="1"/>
  <c r="AO72" i="1"/>
  <c r="AQ72" i="1" s="1"/>
  <c r="BE72" i="1" s="1"/>
  <c r="AL72" i="1"/>
  <c r="AN73" i="1" s="1"/>
  <c r="AQ71" i="1"/>
  <c r="BE71" i="1" s="1"/>
  <c r="AO33" i="1"/>
  <c r="AP33" i="1"/>
  <c r="AL33" i="1"/>
  <c r="AQ32" i="1"/>
  <c r="BB51" i="1" l="1"/>
  <c r="BE51" i="1" s="1"/>
  <c r="BB15" i="1"/>
  <c r="BB19" i="1"/>
  <c r="BC50" i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4" i="1"/>
  <c r="BE50" i="1"/>
  <c r="AP117" i="1"/>
  <c r="AL117" i="1"/>
  <c r="AN118" i="1" s="1"/>
  <c r="AO117" i="1"/>
  <c r="AQ117" i="1" s="1"/>
  <c r="BE117" i="1" s="1"/>
  <c r="AP89" i="1"/>
  <c r="AO89" i="1"/>
  <c r="AQ89" i="1" s="1"/>
  <c r="BE89" i="1" s="1"/>
  <c r="AL89" i="1"/>
  <c r="AN90" i="1" s="1"/>
  <c r="AP73" i="1"/>
  <c r="AO73" i="1"/>
  <c r="AQ73" i="1" s="1"/>
  <c r="BE73" i="1" s="1"/>
  <c r="AL73" i="1"/>
  <c r="AN74" i="1" s="1"/>
  <c r="AQ116" i="1"/>
  <c r="BE116" i="1" s="1"/>
  <c r="AQ106" i="1"/>
  <c r="BE106" i="1" s="1"/>
  <c r="BE32" i="1"/>
  <c r="AR32" i="1"/>
  <c r="AQ33" i="1"/>
  <c r="BB16" i="1" l="1"/>
  <c r="AT1" i="1" s="1"/>
  <c r="AP118" i="1"/>
  <c r="AL118" i="1"/>
  <c r="AN119" i="1" s="1"/>
  <c r="AO118" i="1"/>
  <c r="AQ118" i="1" s="1"/>
  <c r="BE118" i="1" s="1"/>
  <c r="AO90" i="1"/>
  <c r="AL90" i="1"/>
  <c r="AN91" i="1" s="1"/>
  <c r="AP90" i="1"/>
  <c r="AP74" i="1"/>
  <c r="AO74" i="1"/>
  <c r="AQ74" i="1" s="1"/>
  <c r="BE74" i="1" s="1"/>
  <c r="AL74" i="1"/>
  <c r="AN75" i="1" s="1"/>
  <c r="AR33" i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BF32" i="1"/>
  <c r="BE33" i="1"/>
  <c r="AP119" i="1" l="1"/>
  <c r="AL119" i="1"/>
  <c r="AN120" i="1" s="1"/>
  <c r="AO119" i="1"/>
  <c r="AQ119" i="1" s="1"/>
  <c r="BE119" i="1" s="1"/>
  <c r="AP91" i="1"/>
  <c r="AO91" i="1"/>
  <c r="AQ91" i="1" s="1"/>
  <c r="BE91" i="1" s="1"/>
  <c r="AL91" i="1"/>
  <c r="AN92" i="1" s="1"/>
  <c r="AP75" i="1"/>
  <c r="AO75" i="1"/>
  <c r="AQ75" i="1" s="1"/>
  <c r="AL75" i="1"/>
  <c r="AN76" i="1" s="1"/>
  <c r="AQ90" i="1"/>
  <c r="BE90" i="1" s="1"/>
  <c r="BF33" i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AO120" i="1" l="1"/>
  <c r="AL120" i="1"/>
  <c r="AN121" i="1" s="1"/>
  <c r="AP120" i="1"/>
  <c r="AL92" i="1"/>
  <c r="AN93" i="1" s="1"/>
  <c r="AO92" i="1"/>
  <c r="AP92" i="1"/>
  <c r="AR75" i="1"/>
  <c r="BE75" i="1"/>
  <c r="AL76" i="1"/>
  <c r="AN77" i="1" s="1"/>
  <c r="AP76" i="1"/>
  <c r="AO76" i="1"/>
  <c r="AQ76" i="1" s="1"/>
  <c r="AL121" i="1" l="1"/>
  <c r="AN122" i="1" s="1"/>
  <c r="AO121" i="1"/>
  <c r="AP121" i="1"/>
  <c r="AP93" i="1"/>
  <c r="AL93" i="1"/>
  <c r="AN94" i="1" s="1"/>
  <c r="AO93" i="1"/>
  <c r="AQ93" i="1" s="1"/>
  <c r="BE93" i="1" s="1"/>
  <c r="BF75" i="1"/>
  <c r="AL77" i="1"/>
  <c r="AN78" i="1" s="1"/>
  <c r="AO77" i="1"/>
  <c r="AP77" i="1"/>
  <c r="AQ92" i="1"/>
  <c r="BE92" i="1" s="1"/>
  <c r="AR76" i="1"/>
  <c r="AQ120" i="1"/>
  <c r="BE120" i="1" s="1"/>
  <c r="BE76" i="1"/>
  <c r="BF76" i="1" l="1"/>
  <c r="AO122" i="1"/>
  <c r="AP122" i="1"/>
  <c r="AL122" i="1"/>
  <c r="AN123" i="1" s="1"/>
  <c r="AO94" i="1"/>
  <c r="AP94" i="1"/>
  <c r="AL94" i="1"/>
  <c r="AN95" i="1" s="1"/>
  <c r="AL78" i="1"/>
  <c r="AP78" i="1"/>
  <c r="AO78" i="1"/>
  <c r="AQ78" i="1" s="1"/>
  <c r="BE78" i="1" s="1"/>
  <c r="AQ121" i="1"/>
  <c r="BE121" i="1" s="1"/>
  <c r="AQ77" i="1"/>
  <c r="AL123" i="1" l="1"/>
  <c r="AN124" i="1" s="1"/>
  <c r="AP123" i="1"/>
  <c r="AO123" i="1"/>
  <c r="AQ123" i="1" s="1"/>
  <c r="BE123" i="1" s="1"/>
  <c r="AO95" i="1"/>
  <c r="AL95" i="1"/>
  <c r="AP95" i="1"/>
  <c r="BE77" i="1"/>
  <c r="AR77" i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Q122" i="1"/>
  <c r="BE122" i="1" s="1"/>
  <c r="AQ94" i="1"/>
  <c r="BE94" i="1" s="1"/>
  <c r="AO124" i="1" l="1"/>
  <c r="AL124" i="1"/>
  <c r="AN125" i="1" s="1"/>
  <c r="AP124" i="1"/>
  <c r="BF77" i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AQ95" i="1"/>
  <c r="AL125" i="1" l="1"/>
  <c r="AO125" i="1"/>
  <c r="AP125" i="1"/>
  <c r="AR95" i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BE95" i="1"/>
  <c r="AQ124" i="1"/>
  <c r="AR124" i="1" l="1"/>
  <c r="BF95" i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AQ125" i="1"/>
  <c r="BE124" i="1"/>
  <c r="AQ14" i="1"/>
  <c r="BF124" i="1" l="1"/>
  <c r="AR125" i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6" i="1" s="1"/>
  <c r="AI1" i="1" s="1"/>
  <c r="AQ19" i="1"/>
  <c r="BE125" i="1"/>
  <c r="BF125" i="1" l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8" i="1"/>
  <c r="BE15" i="1"/>
  <c r="BE16" i="1" s="1"/>
</calcChain>
</file>

<file path=xl/sharedStrings.xml><?xml version="1.0" encoding="utf-8"?>
<sst xmlns="http://schemas.openxmlformats.org/spreadsheetml/2006/main" count="74" uniqueCount="53">
  <si>
    <t>date</t>
  </si>
  <si>
    <t>SMH</t>
  </si>
  <si>
    <t>SOXX</t>
  </si>
  <si>
    <t>SMH log rtn</t>
  </si>
  <si>
    <t>SOXX log rtn</t>
  </si>
  <si>
    <t>SMH div</t>
  </si>
  <si>
    <t>SMH div cumsum</t>
  </si>
  <si>
    <t>SOXX div</t>
  </si>
  <si>
    <t>SOXX div cumsum</t>
  </si>
  <si>
    <t>SMH div adjustment</t>
  </si>
  <si>
    <t>SOXX div adjustment</t>
  </si>
  <si>
    <t>SMH*</t>
  </si>
  <si>
    <t>SOXX*</t>
  </si>
  <si>
    <t>SOXX/SMH</t>
  </si>
  <si>
    <t>SOXX/SMH avg</t>
  </si>
  <si>
    <t>SOXX/SMH 10 dma</t>
  </si>
  <si>
    <t>SOXX/SMH 20 dma</t>
  </si>
  <si>
    <t>SMH x avg</t>
  </si>
  <si>
    <t>SMH x 10 dma</t>
  </si>
  <si>
    <t>SMH x 20 dma</t>
  </si>
  <si>
    <t>log diff SMH x avg / SOXX</t>
  </si>
  <si>
    <t>log diff SMH x 10 dma / SOXX</t>
  </si>
  <si>
    <t>log diff SMH x 20 dma / SOXX</t>
  </si>
  <si>
    <t>SOXX*/SMH*</t>
  </si>
  <si>
    <t>SOXX*/SMH* avg</t>
  </si>
  <si>
    <t>SOXX*/SMH* 10 dma</t>
  </si>
  <si>
    <t>SOXX*/SMH* 20 dma</t>
  </si>
  <si>
    <t>SMH* x avg</t>
  </si>
  <si>
    <t>SMH* x 10 dma</t>
  </si>
  <si>
    <t>SMH* x 20 dma</t>
  </si>
  <si>
    <t>log diff SMH* x avg / SOXX*</t>
  </si>
  <si>
    <t>log diff SMH* x 10 dma / SOXX*</t>
  </si>
  <si>
    <t>log diff SMH* x 20 dma / SOXX*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</si>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</sst>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  <xf numFmtId="166" fontId="16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SOXX/SMH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0.90525826694812095</c:v>
                </c:pt>
                <c:pt idx="1">
                  <c:v>0.90525826694812095</c:v>
                </c:pt>
                <c:pt idx="2">
                  <c:v>0.90525826694812095</c:v>
                </c:pt>
                <c:pt idx="3">
                  <c:v>0.90525826694812095</c:v>
                </c:pt>
                <c:pt idx="4">
                  <c:v>0.90525826694812095</c:v>
                </c:pt>
                <c:pt idx="5">
                  <c:v>0.90525826694812095</c:v>
                </c:pt>
                <c:pt idx="6">
                  <c:v>0.90525826694812095</c:v>
                </c:pt>
                <c:pt idx="7">
                  <c:v>0.90525826694812095</c:v>
                </c:pt>
                <c:pt idx="8">
                  <c:v>0.90525826694812095</c:v>
                </c:pt>
                <c:pt idx="9">
                  <c:v>0.90525826694812095</c:v>
                </c:pt>
                <c:pt idx="10">
                  <c:v>0.90525826694812095</c:v>
                </c:pt>
                <c:pt idx="11">
                  <c:v>0.90525826694812095</c:v>
                </c:pt>
                <c:pt idx="12">
                  <c:v>0.90525826694812095</c:v>
                </c:pt>
                <c:pt idx="13">
                  <c:v>0.90525826694812095</c:v>
                </c:pt>
                <c:pt idx="14">
                  <c:v>0.90525826694812095</c:v>
                </c:pt>
                <c:pt idx="15">
                  <c:v>0.90525826694812095</c:v>
                </c:pt>
                <c:pt idx="16">
                  <c:v>0.90525826694812095</c:v>
                </c:pt>
                <c:pt idx="17">
                  <c:v>0.90525826694812095</c:v>
                </c:pt>
                <c:pt idx="18">
                  <c:v>0.90525826694812095</c:v>
                </c:pt>
                <c:pt idx="19">
                  <c:v>0.90525826694812095</c:v>
                </c:pt>
                <c:pt idx="20">
                  <c:v>0.90525826694812095</c:v>
                </c:pt>
                <c:pt idx="21">
                  <c:v>0.90525826694812095</c:v>
                </c:pt>
                <c:pt idx="22">
                  <c:v>0.90525826694812095</c:v>
                </c:pt>
                <c:pt idx="23">
                  <c:v>0.90525826694812095</c:v>
                </c:pt>
                <c:pt idx="24">
                  <c:v>0.90525826694812095</c:v>
                </c:pt>
                <c:pt idx="25">
                  <c:v>0.90525826694812095</c:v>
                </c:pt>
                <c:pt idx="26">
                  <c:v>0.90525826694812095</c:v>
                </c:pt>
                <c:pt idx="27">
                  <c:v>0.90525826694812095</c:v>
                </c:pt>
                <c:pt idx="28">
                  <c:v>0.90525826694812095</c:v>
                </c:pt>
                <c:pt idx="29">
                  <c:v>0.90525826694812095</c:v>
                </c:pt>
                <c:pt idx="30">
                  <c:v>0.90525826694812095</c:v>
                </c:pt>
                <c:pt idx="31">
                  <c:v>0.90525826694812095</c:v>
                </c:pt>
                <c:pt idx="32">
                  <c:v>0.90525826694812095</c:v>
                </c:pt>
                <c:pt idx="33">
                  <c:v>0.90525826694812095</c:v>
                </c:pt>
                <c:pt idx="34">
                  <c:v>0.90525826694812095</c:v>
                </c:pt>
                <c:pt idx="35">
                  <c:v>0.90525826694812095</c:v>
                </c:pt>
                <c:pt idx="36">
                  <c:v>0.90525826694812095</c:v>
                </c:pt>
                <c:pt idx="37">
                  <c:v>0.90525826694812095</c:v>
                </c:pt>
                <c:pt idx="38">
                  <c:v>0.90525826694812095</c:v>
                </c:pt>
                <c:pt idx="39">
                  <c:v>0.90525826694812095</c:v>
                </c:pt>
                <c:pt idx="40">
                  <c:v>0.90525826694812095</c:v>
                </c:pt>
                <c:pt idx="41">
                  <c:v>0.90525826694812095</c:v>
                </c:pt>
                <c:pt idx="42">
                  <c:v>0.90525826694812095</c:v>
                </c:pt>
                <c:pt idx="43">
                  <c:v>0.90525826694812095</c:v>
                </c:pt>
                <c:pt idx="44">
                  <c:v>0.90525826694812095</c:v>
                </c:pt>
                <c:pt idx="45">
                  <c:v>0.90525826694812095</c:v>
                </c:pt>
                <c:pt idx="46">
                  <c:v>0.90525826694812095</c:v>
                </c:pt>
                <c:pt idx="47">
                  <c:v>0.90525826694812095</c:v>
                </c:pt>
                <c:pt idx="48">
                  <c:v>0.90525826694812095</c:v>
                </c:pt>
                <c:pt idx="49">
                  <c:v>0.90525826694812095</c:v>
                </c:pt>
                <c:pt idx="50">
                  <c:v>0.90525826694812095</c:v>
                </c:pt>
                <c:pt idx="51">
                  <c:v>0.90525826694812095</c:v>
                </c:pt>
                <c:pt idx="52">
                  <c:v>0.90525826694812095</c:v>
                </c:pt>
                <c:pt idx="53">
                  <c:v>0.90525826694812095</c:v>
                </c:pt>
                <c:pt idx="54">
                  <c:v>0.90525826694812095</c:v>
                </c:pt>
                <c:pt idx="55">
                  <c:v>0.90525826694812095</c:v>
                </c:pt>
                <c:pt idx="56">
                  <c:v>0.90525826694812095</c:v>
                </c:pt>
                <c:pt idx="57">
                  <c:v>0.90525826694812095</c:v>
                </c:pt>
                <c:pt idx="58">
                  <c:v>0.90525826694812095</c:v>
                </c:pt>
                <c:pt idx="59">
                  <c:v>0.90525826694812095</c:v>
                </c:pt>
                <c:pt idx="60">
                  <c:v>0.90525826694812095</c:v>
                </c:pt>
                <c:pt idx="61">
                  <c:v>0.90525826694812095</c:v>
                </c:pt>
                <c:pt idx="62">
                  <c:v>0.90525826694812095</c:v>
                </c:pt>
                <c:pt idx="63">
                  <c:v>0.90525826694812095</c:v>
                </c:pt>
                <c:pt idx="64">
                  <c:v>0.90525826694812095</c:v>
                </c:pt>
                <c:pt idx="65">
                  <c:v>0.90525826694812095</c:v>
                </c:pt>
                <c:pt idx="66">
                  <c:v>0.90525826694812095</c:v>
                </c:pt>
                <c:pt idx="67">
                  <c:v>0.90525826694812095</c:v>
                </c:pt>
                <c:pt idx="68">
                  <c:v>0.90525826694812095</c:v>
                </c:pt>
                <c:pt idx="69">
                  <c:v>0.90525826694812095</c:v>
                </c:pt>
                <c:pt idx="70">
                  <c:v>0.90525826694812095</c:v>
                </c:pt>
                <c:pt idx="71">
                  <c:v>0.90525826694812095</c:v>
                </c:pt>
                <c:pt idx="72">
                  <c:v>0.90525826694812095</c:v>
                </c:pt>
                <c:pt idx="73">
                  <c:v>0.90525826694812095</c:v>
                </c:pt>
                <c:pt idx="74">
                  <c:v>0.90525826694812095</c:v>
                </c:pt>
                <c:pt idx="75">
                  <c:v>0.90525826694812095</c:v>
                </c:pt>
                <c:pt idx="76">
                  <c:v>0.90525826694812095</c:v>
                </c:pt>
                <c:pt idx="77">
                  <c:v>0.90525826694812095</c:v>
                </c:pt>
                <c:pt idx="78">
                  <c:v>0.90525826694812095</c:v>
                </c:pt>
                <c:pt idx="79">
                  <c:v>0.90525826694812095</c:v>
                </c:pt>
                <c:pt idx="80">
                  <c:v>0.90525826694812095</c:v>
                </c:pt>
                <c:pt idx="81">
                  <c:v>0.90525826694812095</c:v>
                </c:pt>
                <c:pt idx="82">
                  <c:v>0.90525826694812095</c:v>
                </c:pt>
                <c:pt idx="83">
                  <c:v>0.90525826694812095</c:v>
                </c:pt>
                <c:pt idx="84">
                  <c:v>0.90525826694812095</c:v>
                </c:pt>
                <c:pt idx="85">
                  <c:v>0.90525826694812095</c:v>
                </c:pt>
                <c:pt idx="86">
                  <c:v>0.90525826694812095</c:v>
                </c:pt>
                <c:pt idx="87">
                  <c:v>0.90525826694812095</c:v>
                </c:pt>
                <c:pt idx="88">
                  <c:v>0.90525826694812095</c:v>
                </c:pt>
                <c:pt idx="89">
                  <c:v>0.90525826694812095</c:v>
                </c:pt>
                <c:pt idx="90">
                  <c:v>0.90525826694812095</c:v>
                </c:pt>
                <c:pt idx="91">
                  <c:v>0.90525826694812095</c:v>
                </c:pt>
                <c:pt idx="92">
                  <c:v>0.90525826694812095</c:v>
                </c:pt>
                <c:pt idx="93">
                  <c:v>0.90525826694812095</c:v>
                </c:pt>
                <c:pt idx="94">
                  <c:v>0.90525826694812095</c:v>
                </c:pt>
                <c:pt idx="95">
                  <c:v>0.90525826694812095</c:v>
                </c:pt>
                <c:pt idx="96">
                  <c:v>0.90525826694812095</c:v>
                </c:pt>
                <c:pt idx="97">
                  <c:v>0.90525826694812095</c:v>
                </c:pt>
                <c:pt idx="98">
                  <c:v>0.90525826694812095</c:v>
                </c:pt>
                <c:pt idx="99">
                  <c:v>0.90525826694812095</c:v>
                </c:pt>
                <c:pt idx="100">
                  <c:v>0.90525826694812095</c:v>
                </c:pt>
                <c:pt idx="101">
                  <c:v>0.90525826694812095</c:v>
                </c:pt>
                <c:pt idx="102">
                  <c:v>0.90525826694812095</c:v>
                </c:pt>
                <c:pt idx="103">
                  <c:v>0.90525826694812095</c:v>
                </c:pt>
                <c:pt idx="104">
                  <c:v>0.90525826694812095</c:v>
                </c:pt>
                <c:pt idx="105">
                  <c:v>0.90525826694812095</c:v>
                </c:pt>
                <c:pt idx="106">
                  <c:v>0.90525826694812095</c:v>
                </c:pt>
                <c:pt idx="107">
                  <c:v>0.90525826694812095</c:v>
                </c:pt>
                <c:pt idx="108">
                  <c:v>0.90525826694812095</c:v>
                </c:pt>
                <c:pt idx="109">
                  <c:v>0.90525826694812095</c:v>
                </c:pt>
                <c:pt idx="110">
                  <c:v>0.90525826694812095</c:v>
                </c:pt>
                <c:pt idx="111">
                  <c:v>0.90525826694812095</c:v>
                </c:pt>
                <c:pt idx="112">
                  <c:v>0.90525826694812095</c:v>
                </c:pt>
                <c:pt idx="113">
                  <c:v>0.90525826694812095</c:v>
                </c:pt>
                <c:pt idx="114">
                  <c:v>0.90525826694812095</c:v>
                </c:pt>
                <c:pt idx="115">
                  <c:v>0.90525826694812095</c:v>
                </c:pt>
                <c:pt idx="116">
                  <c:v>0.90525826694812095</c:v>
                </c:pt>
                <c:pt idx="117">
                  <c:v>0.90525826694812095</c:v>
                </c:pt>
                <c:pt idx="118">
                  <c:v>0.90525826694812095</c:v>
                </c:pt>
                <c:pt idx="119">
                  <c:v>0.90525826694812095</c:v>
                </c:pt>
                <c:pt idx="120">
                  <c:v>0.90525826694812095</c:v>
                </c:pt>
                <c:pt idx="121">
                  <c:v>0.90525826694812095</c:v>
                </c:pt>
                <c:pt idx="122">
                  <c:v>0.90525826694812095</c:v>
                </c:pt>
                <c:pt idx="123">
                  <c:v>0.90525826694812095</c:v>
                </c:pt>
                <c:pt idx="124">
                  <c:v>0.90525826694812095</c:v>
                </c:pt>
                <c:pt idx="125">
                  <c:v>0.90525826694812095</c:v>
                </c:pt>
                <c:pt idx="126">
                  <c:v>0.90525826694812095</c:v>
                </c:pt>
                <c:pt idx="127">
                  <c:v>0.90525826694812095</c:v>
                </c:pt>
                <c:pt idx="128">
                  <c:v>0.90525826694812095</c:v>
                </c:pt>
                <c:pt idx="129">
                  <c:v>0.90525826694812095</c:v>
                </c:pt>
                <c:pt idx="130">
                  <c:v>0.90525826694812095</c:v>
                </c:pt>
                <c:pt idx="131">
                  <c:v>0.90525826694812095</c:v>
                </c:pt>
                <c:pt idx="132">
                  <c:v>0.90525826694812095</c:v>
                </c:pt>
                <c:pt idx="133">
                  <c:v>0.90525826694812095</c:v>
                </c:pt>
                <c:pt idx="134">
                  <c:v>0.90525826694812095</c:v>
                </c:pt>
                <c:pt idx="135">
                  <c:v>0.90525826694812095</c:v>
                </c:pt>
                <c:pt idx="136">
                  <c:v>0.90525826694812095</c:v>
                </c:pt>
                <c:pt idx="137">
                  <c:v>0.90525826694812095</c:v>
                </c:pt>
                <c:pt idx="138">
                  <c:v>0.90525826694812095</c:v>
                </c:pt>
                <c:pt idx="139">
                  <c:v>0.90525826694812095</c:v>
                </c:pt>
                <c:pt idx="140">
                  <c:v>0.90525826694812095</c:v>
                </c:pt>
                <c:pt idx="141">
                  <c:v>0.90525826694812095</c:v>
                </c:pt>
                <c:pt idx="142">
                  <c:v>0.90525826694812095</c:v>
                </c:pt>
                <c:pt idx="143">
                  <c:v>0.90525826694812095</c:v>
                </c:pt>
                <c:pt idx="144">
                  <c:v>0.90525826694812095</c:v>
                </c:pt>
                <c:pt idx="145">
                  <c:v>0.90525826694812095</c:v>
                </c:pt>
                <c:pt idx="146">
                  <c:v>0.90525826694812095</c:v>
                </c:pt>
                <c:pt idx="147">
                  <c:v>0.90525826694812095</c:v>
                </c:pt>
                <c:pt idx="148">
                  <c:v>0.90525826694812095</c:v>
                </c:pt>
                <c:pt idx="149">
                  <c:v>0.90525826694812095</c:v>
                </c:pt>
                <c:pt idx="150">
                  <c:v>0.90525826694812095</c:v>
                </c:pt>
                <c:pt idx="151">
                  <c:v>0.90525826694812095</c:v>
                </c:pt>
                <c:pt idx="152">
                  <c:v>0.90525826694812095</c:v>
                </c:pt>
                <c:pt idx="153">
                  <c:v>0.90525826694812095</c:v>
                </c:pt>
                <c:pt idx="154">
                  <c:v>0.90525826694812095</c:v>
                </c:pt>
                <c:pt idx="155">
                  <c:v>0.90525826694812095</c:v>
                </c:pt>
                <c:pt idx="156">
                  <c:v>0.90525826694812095</c:v>
                </c:pt>
                <c:pt idx="157">
                  <c:v>0.90525826694812095</c:v>
                </c:pt>
                <c:pt idx="158">
                  <c:v>0.90525826694812095</c:v>
                </c:pt>
                <c:pt idx="159">
                  <c:v>0.90525826694812095</c:v>
                </c:pt>
                <c:pt idx="160">
                  <c:v>0.90525826694812095</c:v>
                </c:pt>
                <c:pt idx="161">
                  <c:v>0.90525826694812095</c:v>
                </c:pt>
                <c:pt idx="162">
                  <c:v>0.90525826694812095</c:v>
                </c:pt>
                <c:pt idx="163">
                  <c:v>0.90525826694812095</c:v>
                </c:pt>
                <c:pt idx="164">
                  <c:v>0.90525826694812095</c:v>
                </c:pt>
                <c:pt idx="165">
                  <c:v>0.90525826694812095</c:v>
                </c:pt>
                <c:pt idx="166">
                  <c:v>0.90525826694812095</c:v>
                </c:pt>
                <c:pt idx="167">
                  <c:v>0.90525826694812095</c:v>
                </c:pt>
                <c:pt idx="168">
                  <c:v>0.90525826694812095</c:v>
                </c:pt>
                <c:pt idx="169">
                  <c:v>0.90525826694812095</c:v>
                </c:pt>
                <c:pt idx="170">
                  <c:v>0.90525826694812095</c:v>
                </c:pt>
                <c:pt idx="171">
                  <c:v>0.90525826694812095</c:v>
                </c:pt>
                <c:pt idx="172">
                  <c:v>0.90525826694812095</c:v>
                </c:pt>
                <c:pt idx="173">
                  <c:v>0.90525826694812095</c:v>
                </c:pt>
                <c:pt idx="174">
                  <c:v>0.90525826694812095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6B-4737-95F1-CAE0AFE64066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SOXX/SMH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0.84637780240292404</c:v>
                </c:pt>
                <c:pt idx="10">
                  <c:v>0.84788029668610598</c:v>
                </c:pt>
                <c:pt idx="11">
                  <c:v>0.850059660795077</c:v>
                </c:pt>
                <c:pt idx="12">
                  <c:v>0.85196748209104201</c:v>
                </c:pt>
                <c:pt idx="13">
                  <c:v>0.85414212385502197</c:v>
                </c:pt>
                <c:pt idx="14">
                  <c:v>0.85597388860383194</c:v>
                </c:pt>
                <c:pt idx="15">
                  <c:v>0.85752364421207306</c:v>
                </c:pt>
                <c:pt idx="16">
                  <c:v>0.85916911022656905</c:v>
                </c:pt>
                <c:pt idx="17">
                  <c:v>0.86055954738083995</c:v>
                </c:pt>
                <c:pt idx="18">
                  <c:v>0.86158946437580097</c:v>
                </c:pt>
                <c:pt idx="19">
                  <c:v>0.86235352313664504</c:v>
                </c:pt>
                <c:pt idx="20">
                  <c:v>0.86326940295574295</c:v>
                </c:pt>
                <c:pt idx="21">
                  <c:v>0.86376991833254102</c:v>
                </c:pt>
                <c:pt idx="22">
                  <c:v>0.86363522882925703</c:v>
                </c:pt>
                <c:pt idx="23">
                  <c:v>0.86389402812970495</c:v>
                </c:pt>
                <c:pt idx="24">
                  <c:v>0.86450548920650805</c:v>
                </c:pt>
                <c:pt idx="25">
                  <c:v>0.865234503132152</c:v>
                </c:pt>
                <c:pt idx="26">
                  <c:v>0.86585130481277905</c:v>
                </c:pt>
                <c:pt idx="27">
                  <c:v>0.866174508258298</c:v>
                </c:pt>
                <c:pt idx="28">
                  <c:v>0.866233352479027</c:v>
                </c:pt>
                <c:pt idx="29">
                  <c:v>0.86738697100050799</c:v>
                </c:pt>
                <c:pt idx="30">
                  <c:v>0.86783056009689996</c:v>
                </c:pt>
                <c:pt idx="31">
                  <c:v>0.86767442703757902</c:v>
                </c:pt>
                <c:pt idx="32">
                  <c:v>0.86793997175635496</c:v>
                </c:pt>
                <c:pt idx="33">
                  <c:v>0.86772727928718896</c:v>
                </c:pt>
                <c:pt idx="34">
                  <c:v>0.86737990878516202</c:v>
                </c:pt>
                <c:pt idx="35">
                  <c:v>0.86700237762546095</c:v>
                </c:pt>
                <c:pt idx="36">
                  <c:v>0.86653063033320099</c:v>
                </c:pt>
                <c:pt idx="37">
                  <c:v>0.86628925311219895</c:v>
                </c:pt>
                <c:pt idx="38">
                  <c:v>0.86642827972553105</c:v>
                </c:pt>
                <c:pt idx="39">
                  <c:v>0.86607072073559499</c:v>
                </c:pt>
                <c:pt idx="40">
                  <c:v>0.86478549411703298</c:v>
                </c:pt>
                <c:pt idx="41">
                  <c:v>0.86360507487231497</c:v>
                </c:pt>
                <c:pt idx="42">
                  <c:v>0.862290307522941</c:v>
                </c:pt>
                <c:pt idx="43">
                  <c:v>0.86069586365611395</c:v>
                </c:pt>
                <c:pt idx="44">
                  <c:v>0.85956665761744999</c:v>
                </c:pt>
                <c:pt idx="45">
                  <c:v>0.85846560064734501</c:v>
                </c:pt>
                <c:pt idx="46">
                  <c:v>0.85741590217544394</c:v>
                </c:pt>
                <c:pt idx="47">
                  <c:v>0.85588807432048797</c:v>
                </c:pt>
                <c:pt idx="48">
                  <c:v>0.85473560579550401</c:v>
                </c:pt>
                <c:pt idx="49">
                  <c:v>0.85386806604530796</c:v>
                </c:pt>
                <c:pt idx="50">
                  <c:v>0.85399092288643497</c:v>
                </c:pt>
                <c:pt idx="51">
                  <c:v>0.85434575331219997</c:v>
                </c:pt>
                <c:pt idx="52">
                  <c:v>0.85505662199195998</c:v>
                </c:pt>
                <c:pt idx="53">
                  <c:v>0.85647228621984095</c:v>
                </c:pt>
                <c:pt idx="54">
                  <c:v>0.85718449985145995</c:v>
                </c:pt>
                <c:pt idx="55">
                  <c:v>0.85833669434839899</c:v>
                </c:pt>
                <c:pt idx="56">
                  <c:v>0.85955833416294303</c:v>
                </c:pt>
                <c:pt idx="57">
                  <c:v>0.86083492004454698</c:v>
                </c:pt>
                <c:pt idx="58">
                  <c:v>0.86172965930749401</c:v>
                </c:pt>
                <c:pt idx="59">
                  <c:v>0.86142082950572896</c:v>
                </c:pt>
                <c:pt idx="60">
                  <c:v>0.86141210916574196</c:v>
                </c:pt>
                <c:pt idx="61">
                  <c:v>0.86184858401292497</c:v>
                </c:pt>
                <c:pt idx="62">
                  <c:v>0.86226909399417295</c:v>
                </c:pt>
                <c:pt idx="63">
                  <c:v>0.86274282376245803</c:v>
                </c:pt>
                <c:pt idx="64">
                  <c:v>0.86369935160557998</c:v>
                </c:pt>
                <c:pt idx="65">
                  <c:v>0.86485704429948296</c:v>
                </c:pt>
                <c:pt idx="66">
                  <c:v>0.866322612993491</c:v>
                </c:pt>
                <c:pt idx="67">
                  <c:v>0.86846513399983205</c:v>
                </c:pt>
                <c:pt idx="68">
                  <c:v>0.87075290636867697</c:v>
                </c:pt>
                <c:pt idx="69">
                  <c:v>0.87407057943766198</c:v>
                </c:pt>
                <c:pt idx="70">
                  <c:v>0.877058913168278</c:v>
                </c:pt>
                <c:pt idx="71">
                  <c:v>0.87994907336061201</c:v>
                </c:pt>
                <c:pt idx="72">
                  <c:v>0.88294632324716205</c:v>
                </c:pt>
                <c:pt idx="73">
                  <c:v>0.88604497754725897</c:v>
                </c:pt>
                <c:pt idx="74">
                  <c:v>0.88962255618415997</c:v>
                </c:pt>
                <c:pt idx="75">
                  <c:v>0.89259107169992302</c:v>
                </c:pt>
                <c:pt idx="76">
                  <c:v>0.89612327598178998</c:v>
                </c:pt>
                <c:pt idx="77">
                  <c:v>0.89877819615654297</c:v>
                </c:pt>
                <c:pt idx="78">
                  <c:v>0.900011976011306</c:v>
                </c:pt>
                <c:pt idx="79">
                  <c:v>0.90055417134509697</c:v>
                </c:pt>
                <c:pt idx="80">
                  <c:v>0.90191701644403099</c:v>
                </c:pt>
                <c:pt idx="81">
                  <c:v>0.90372210000834896</c:v>
                </c:pt>
                <c:pt idx="82">
                  <c:v>0.905516083595719</c:v>
                </c:pt>
                <c:pt idx="83">
                  <c:v>0.906692960092078</c:v>
                </c:pt>
                <c:pt idx="84">
                  <c:v>0.90850857415443098</c:v>
                </c:pt>
                <c:pt idx="85">
                  <c:v>0.91015689678026701</c:v>
                </c:pt>
                <c:pt idx="86">
                  <c:v>0.90979553494651699</c:v>
                </c:pt>
                <c:pt idx="87">
                  <c:v>0.91048767152125298</c:v>
                </c:pt>
                <c:pt idx="88">
                  <c:v>0.91297522064424697</c:v>
                </c:pt>
                <c:pt idx="89">
                  <c:v>0.91559897126705603</c:v>
                </c:pt>
                <c:pt idx="90">
                  <c:v>0.91780948645148597</c:v>
                </c:pt>
                <c:pt idx="91">
                  <c:v>0.91839217010519802</c:v>
                </c:pt>
                <c:pt idx="92">
                  <c:v>0.91844093427361295</c:v>
                </c:pt>
                <c:pt idx="93">
                  <c:v>0.91805915086100998</c:v>
                </c:pt>
                <c:pt idx="94">
                  <c:v>0.91702343237478301</c:v>
                </c:pt>
                <c:pt idx="95">
                  <c:v>0.91697073452755695</c:v>
                </c:pt>
                <c:pt idx="96">
                  <c:v>0.91820788023703603</c:v>
                </c:pt>
                <c:pt idx="97">
                  <c:v>0.91960436594412298</c:v>
                </c:pt>
                <c:pt idx="98">
                  <c:v>0.92183838042805599</c:v>
                </c:pt>
                <c:pt idx="99">
                  <c:v>0.92460949190070096</c:v>
                </c:pt>
                <c:pt idx="100">
                  <c:v>0.92726388076730804</c:v>
                </c:pt>
                <c:pt idx="101">
                  <c:v>0.93063321066416804</c:v>
                </c:pt>
                <c:pt idx="102">
                  <c:v>0.93332551334298297</c:v>
                </c:pt>
                <c:pt idx="103">
                  <c:v>0.93823265162954606</c:v>
                </c:pt>
                <c:pt idx="104">
                  <c:v>0.94343013238821305</c:v>
                </c:pt>
                <c:pt idx="105">
                  <c:v>0.94733082053809803</c:v>
                </c:pt>
                <c:pt idx="106">
                  <c:v>0.94968079955171902</c:v>
                </c:pt>
                <c:pt idx="107">
                  <c:v>0.951980777813762</c:v>
                </c:pt>
                <c:pt idx="108">
                  <c:v>0.95241860212219098</c:v>
                </c:pt>
                <c:pt idx="109">
                  <c:v>0.95256195985997605</c:v>
                </c:pt>
                <c:pt idx="110">
                  <c:v>0.95392825897521505</c:v>
                </c:pt>
                <c:pt idx="111">
                  <c:v>0.95508770662222597</c:v>
                </c:pt>
                <c:pt idx="112">
                  <c:v>0.95810877782777604</c:v>
                </c:pt>
                <c:pt idx="113">
                  <c:v>0.95839008343948595</c:v>
                </c:pt>
                <c:pt idx="114">
                  <c:v>0.95798858587873303</c:v>
                </c:pt>
                <c:pt idx="115">
                  <c:v>0.95884616426503599</c:v>
                </c:pt>
                <c:pt idx="116">
                  <c:v>0.96202013590684299</c:v>
                </c:pt>
                <c:pt idx="117">
                  <c:v>0.96348573748369404</c:v>
                </c:pt>
                <c:pt idx="118">
                  <c:v>0.96555601537138103</c:v>
                </c:pt>
                <c:pt idx="119">
                  <c:v>0.96887174824018596</c:v>
                </c:pt>
                <c:pt idx="120">
                  <c:v>0.96902377566208597</c:v>
                </c:pt>
                <c:pt idx="121">
                  <c:v>0.97005857070661805</c:v>
                </c:pt>
                <c:pt idx="122">
                  <c:v>0.97063387078000996</c:v>
                </c:pt>
                <c:pt idx="123">
                  <c:v>0.97130744664810298</c:v>
                </c:pt>
                <c:pt idx="124">
                  <c:v>0.97080757237665305</c:v>
                </c:pt>
                <c:pt idx="125">
                  <c:v>0.97013228419148001</c:v>
                </c:pt>
                <c:pt idx="126">
                  <c:v>0.967092052810681</c:v>
                </c:pt>
                <c:pt idx="127">
                  <c:v>0.96486921470792297</c:v>
                </c:pt>
                <c:pt idx="128">
                  <c:v>0.96340064288680605</c:v>
                </c:pt>
                <c:pt idx="129">
                  <c:v>0.96037557478723001</c:v>
                </c:pt>
                <c:pt idx="130">
                  <c:v>0.95845268047887799</c:v>
                </c:pt>
                <c:pt idx="131">
                  <c:v>0.95584678008606105</c:v>
                </c:pt>
                <c:pt idx="132">
                  <c:v>0.95214446257528296</c:v>
                </c:pt>
                <c:pt idx="133">
                  <c:v>0.94873722091435897</c:v>
                </c:pt>
                <c:pt idx="134">
                  <c:v>0.94688323994483004</c:v>
                </c:pt>
                <c:pt idx="135">
                  <c:v>0.94444693325481199</c:v>
                </c:pt>
                <c:pt idx="136">
                  <c:v>0.94419090834087804</c:v>
                </c:pt>
                <c:pt idx="137">
                  <c:v>0.94406515547329295</c:v>
                </c:pt>
                <c:pt idx="138">
                  <c:v>0.943361838047867</c:v>
                </c:pt>
                <c:pt idx="139">
                  <c:v>0.94213021776490302</c:v>
                </c:pt>
                <c:pt idx="140">
                  <c:v>0.94170432279021699</c:v>
                </c:pt>
                <c:pt idx="141">
                  <c:v>0.93989820679355196</c:v>
                </c:pt>
                <c:pt idx="142">
                  <c:v>0.93812896283260405</c:v>
                </c:pt>
                <c:pt idx="143">
                  <c:v>0.93850430250175298</c:v>
                </c:pt>
                <c:pt idx="144">
                  <c:v>0.93814943132287498</c:v>
                </c:pt>
                <c:pt idx="145">
                  <c:v>0.93743077958509202</c:v>
                </c:pt>
                <c:pt idx="146">
                  <c:v>0.93698614150688997</c:v>
                </c:pt>
                <c:pt idx="147">
                  <c:v>0.93548878307155303</c:v>
                </c:pt>
                <c:pt idx="148">
                  <c:v>0.93365786611941504</c:v>
                </c:pt>
                <c:pt idx="149">
                  <c:v>0.93298171960559595</c:v>
                </c:pt>
                <c:pt idx="150">
                  <c:v>0.93184528885735096</c:v>
                </c:pt>
                <c:pt idx="151">
                  <c:v>0.93228696235758501</c:v>
                </c:pt>
                <c:pt idx="152">
                  <c:v>0.93353008061679399</c:v>
                </c:pt>
                <c:pt idx="153">
                  <c:v>0.93339308552177003</c:v>
                </c:pt>
                <c:pt idx="154">
                  <c:v>0.93362412217628299</c:v>
                </c:pt>
                <c:pt idx="155">
                  <c:v>0.93466724116306199</c:v>
                </c:pt>
                <c:pt idx="156">
                  <c:v>0.93375009165158696</c:v>
                </c:pt>
                <c:pt idx="157">
                  <c:v>0.93324181004531703</c:v>
                </c:pt>
                <c:pt idx="158">
                  <c:v>0.93289666204527599</c:v>
                </c:pt>
                <c:pt idx="159">
                  <c:v>0.932459911474394</c:v>
                </c:pt>
                <c:pt idx="160">
                  <c:v>0.93205956310882598</c:v>
                </c:pt>
                <c:pt idx="161">
                  <c:v>0.93130632753449505</c:v>
                </c:pt>
                <c:pt idx="162">
                  <c:v>0.93057776382053303</c:v>
                </c:pt>
                <c:pt idx="163">
                  <c:v>0.92879064583795101</c:v>
                </c:pt>
                <c:pt idx="164">
                  <c:v>0.92710952979499595</c:v>
                </c:pt>
                <c:pt idx="165">
                  <c:v>0.924802315034847</c:v>
                </c:pt>
                <c:pt idx="166">
                  <c:v>0.92330132449597502</c:v>
                </c:pt>
                <c:pt idx="167">
                  <c:v>0.92174672550185699</c:v>
                </c:pt>
                <c:pt idx="168">
                  <c:v>0.91978873876447997</c:v>
                </c:pt>
                <c:pt idx="169">
                  <c:v>0.91867671470116397</c:v>
                </c:pt>
                <c:pt idx="170">
                  <c:v>0.918204461625444</c:v>
                </c:pt>
                <c:pt idx="171">
                  <c:v>0.918353809936996</c:v>
                </c:pt>
                <c:pt idx="172">
                  <c:v>0.91796964437825301</c:v>
                </c:pt>
                <c:pt idx="173">
                  <c:v>0.91897907293760495</c:v>
                </c:pt>
                <c:pt idx="174">
                  <c:v>0.91887863657852498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6B-4737-95F1-CAE0AFE64066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SOXX/SMH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0.85436566276978498</c:v>
                </c:pt>
                <c:pt idx="20">
                  <c:v>0.85557484982092502</c:v>
                </c:pt>
                <c:pt idx="21">
                  <c:v>0.85691478956380895</c:v>
                </c:pt>
                <c:pt idx="22">
                  <c:v>0.85780135546015002</c:v>
                </c:pt>
                <c:pt idx="23">
                  <c:v>0.85901807599236402</c:v>
                </c:pt>
                <c:pt idx="24">
                  <c:v>0.86023968890517</c:v>
                </c:pt>
                <c:pt idx="25">
                  <c:v>0.86137907367211297</c:v>
                </c:pt>
                <c:pt idx="26">
                  <c:v>0.862510207519674</c:v>
                </c:pt>
                <c:pt idx="27">
                  <c:v>0.86336702781956898</c:v>
                </c:pt>
                <c:pt idx="28">
                  <c:v>0.86391140842741398</c:v>
                </c:pt>
                <c:pt idx="29">
                  <c:v>0.86487024706857696</c:v>
                </c:pt>
                <c:pt idx="30">
                  <c:v>0.86554998152632201</c:v>
                </c:pt>
                <c:pt idx="31">
                  <c:v>0.86572217268506002</c:v>
                </c:pt>
                <c:pt idx="32">
                  <c:v>0.86578760029280599</c:v>
                </c:pt>
                <c:pt idx="33">
                  <c:v>0.86581065370844701</c:v>
                </c:pt>
                <c:pt idx="34">
                  <c:v>0.86594269899583498</c:v>
                </c:pt>
                <c:pt idx="35">
                  <c:v>0.86611844037880703</c:v>
                </c:pt>
                <c:pt idx="36">
                  <c:v>0.86619096757298997</c:v>
                </c:pt>
                <c:pt idx="37">
                  <c:v>0.86623188068524803</c:v>
                </c:pt>
                <c:pt idx="38">
                  <c:v>0.86633081610227902</c:v>
                </c:pt>
                <c:pt idx="39">
                  <c:v>0.86672884586805099</c:v>
                </c:pt>
                <c:pt idx="40">
                  <c:v>0.86630802710696697</c:v>
                </c:pt>
                <c:pt idx="41">
                  <c:v>0.86563975095494705</c:v>
                </c:pt>
                <c:pt idx="42">
                  <c:v>0.86511513963964803</c:v>
                </c:pt>
                <c:pt idx="43">
                  <c:v>0.86421157147165095</c:v>
                </c:pt>
                <c:pt idx="44">
                  <c:v>0.86347328320130601</c:v>
                </c:pt>
                <c:pt idx="45">
                  <c:v>0.86273398913640298</c:v>
                </c:pt>
                <c:pt idx="46">
                  <c:v>0.86197326625432202</c:v>
                </c:pt>
                <c:pt idx="47">
                  <c:v>0.86108866371634296</c:v>
                </c:pt>
                <c:pt idx="48">
                  <c:v>0.86058194276051703</c:v>
                </c:pt>
                <c:pt idx="49">
                  <c:v>0.85996939339045098</c:v>
                </c:pt>
                <c:pt idx="50">
                  <c:v>0.85938820850173403</c:v>
                </c:pt>
                <c:pt idx="51">
                  <c:v>0.85897541409225697</c:v>
                </c:pt>
                <c:pt idx="52">
                  <c:v>0.85867346475745099</c:v>
                </c:pt>
                <c:pt idx="53">
                  <c:v>0.85858407493797695</c:v>
                </c:pt>
                <c:pt idx="54">
                  <c:v>0.85837557873445502</c:v>
                </c:pt>
                <c:pt idx="55">
                  <c:v>0.858401147497872</c:v>
                </c:pt>
                <c:pt idx="56">
                  <c:v>0.85848711816919299</c:v>
                </c:pt>
                <c:pt idx="57">
                  <c:v>0.85836149718251697</c:v>
                </c:pt>
                <c:pt idx="58">
                  <c:v>0.85823263255149895</c:v>
                </c:pt>
                <c:pt idx="59">
                  <c:v>0.85764444777551796</c:v>
                </c:pt>
                <c:pt idx="60">
                  <c:v>0.85770151602608802</c:v>
                </c:pt>
                <c:pt idx="61">
                  <c:v>0.85809716866256203</c:v>
                </c:pt>
                <c:pt idx="62">
                  <c:v>0.85866285799306696</c:v>
                </c:pt>
                <c:pt idx="63">
                  <c:v>0.85960755499114905</c:v>
                </c:pt>
                <c:pt idx="64">
                  <c:v>0.86044192572851996</c:v>
                </c:pt>
                <c:pt idx="65">
                  <c:v>0.86159686932394097</c:v>
                </c:pt>
                <c:pt idx="66">
                  <c:v>0.86294047357821702</c:v>
                </c:pt>
                <c:pt idx="67">
                  <c:v>0.86465002702218996</c:v>
                </c:pt>
                <c:pt idx="68">
                  <c:v>0.86624128283808599</c:v>
                </c:pt>
                <c:pt idx="69">
                  <c:v>0.86774570447169597</c:v>
                </c:pt>
                <c:pt idx="70">
                  <c:v>0.86923551116701003</c:v>
                </c:pt>
                <c:pt idx="71">
                  <c:v>0.87089882868676904</c:v>
                </c:pt>
                <c:pt idx="72">
                  <c:v>0.87260770862066706</c:v>
                </c:pt>
                <c:pt idx="73">
                  <c:v>0.874393900654859</c:v>
                </c:pt>
                <c:pt idx="74">
                  <c:v>0.87666095389486998</c:v>
                </c:pt>
                <c:pt idx="75">
                  <c:v>0.87872405799970299</c:v>
                </c:pt>
                <c:pt idx="76">
                  <c:v>0.88122294448764105</c:v>
                </c:pt>
                <c:pt idx="77">
                  <c:v>0.88362166507818696</c:v>
                </c:pt>
                <c:pt idx="78">
                  <c:v>0.88538244118999199</c:v>
                </c:pt>
                <c:pt idx="79">
                  <c:v>0.88731237539137997</c:v>
                </c:pt>
                <c:pt idx="80">
                  <c:v>0.889487964806154</c:v>
                </c:pt>
                <c:pt idx="81">
                  <c:v>0.89183558668448104</c:v>
                </c:pt>
                <c:pt idx="82">
                  <c:v>0.89423120342144002</c:v>
                </c:pt>
                <c:pt idx="83">
                  <c:v>0.89636896881966899</c:v>
                </c:pt>
                <c:pt idx="84">
                  <c:v>0.89906556516929503</c:v>
                </c:pt>
                <c:pt idx="85">
                  <c:v>0.90137398424009496</c:v>
                </c:pt>
                <c:pt idx="86">
                  <c:v>0.90295940546415399</c:v>
                </c:pt>
                <c:pt idx="87">
                  <c:v>0.90463293383889798</c:v>
                </c:pt>
                <c:pt idx="88">
                  <c:v>0.90649359832777698</c:v>
                </c:pt>
                <c:pt idx="89">
                  <c:v>0.908076571306076</c:v>
                </c:pt>
                <c:pt idx="90">
                  <c:v>0.90986325144775804</c:v>
                </c:pt>
                <c:pt idx="91">
                  <c:v>0.91105713505677399</c:v>
                </c:pt>
                <c:pt idx="92">
                  <c:v>0.91197850893466603</c:v>
                </c:pt>
                <c:pt idx="93">
                  <c:v>0.91237605547654399</c:v>
                </c:pt>
                <c:pt idx="94">
                  <c:v>0.912766003264607</c:v>
                </c:pt>
                <c:pt idx="95">
                  <c:v>0.91356381565391198</c:v>
                </c:pt>
                <c:pt idx="96">
                  <c:v>0.91400170759177701</c:v>
                </c:pt>
                <c:pt idx="97">
                  <c:v>0.91504601873268798</c:v>
                </c:pt>
                <c:pt idx="98">
                  <c:v>0.91740680053615198</c:v>
                </c:pt>
                <c:pt idx="99">
                  <c:v>0.920104231583878</c:v>
                </c:pt>
                <c:pt idx="100">
                  <c:v>0.922536683609397</c:v>
                </c:pt>
                <c:pt idx="101">
                  <c:v>0.92451269038468298</c:v>
                </c:pt>
                <c:pt idx="102">
                  <c:v>0.92588322380829802</c:v>
                </c:pt>
                <c:pt idx="103">
                  <c:v>0.92814590124527796</c:v>
                </c:pt>
                <c:pt idx="104">
                  <c:v>0.93022678238149803</c:v>
                </c:pt>
                <c:pt idx="105">
                  <c:v>0.93215077753282805</c:v>
                </c:pt>
                <c:pt idx="106">
                  <c:v>0.93394433989437797</c:v>
                </c:pt>
                <c:pt idx="107">
                  <c:v>0.93579257187894305</c:v>
                </c:pt>
                <c:pt idx="108">
                  <c:v>0.93712849127512399</c:v>
                </c:pt>
                <c:pt idx="109">
                  <c:v>0.93858572588033895</c:v>
                </c:pt>
                <c:pt idx="110">
                  <c:v>0.94059606987126099</c:v>
                </c:pt>
                <c:pt idx="111">
                  <c:v>0.94286045864319701</c:v>
                </c:pt>
                <c:pt idx="112">
                  <c:v>0.94571714558538</c:v>
                </c:pt>
                <c:pt idx="113">
                  <c:v>0.94831136753451595</c:v>
                </c:pt>
                <c:pt idx="114">
                  <c:v>0.95070935913347299</c:v>
                </c:pt>
                <c:pt idx="115">
                  <c:v>0.95308849240156701</c:v>
                </c:pt>
                <c:pt idx="116">
                  <c:v>0.95585046772928095</c:v>
                </c:pt>
                <c:pt idx="117">
                  <c:v>0.95773325764872796</c:v>
                </c:pt>
                <c:pt idx="118">
                  <c:v>0.95898730874678595</c:v>
                </c:pt>
                <c:pt idx="119">
                  <c:v>0.960716854050081</c:v>
                </c:pt>
                <c:pt idx="120">
                  <c:v>0.96147601731865096</c:v>
                </c:pt>
                <c:pt idx="121">
                  <c:v>0.96257313866442196</c:v>
                </c:pt>
                <c:pt idx="122">
                  <c:v>0.96437132430389305</c:v>
                </c:pt>
                <c:pt idx="123">
                  <c:v>0.96484876504379402</c:v>
                </c:pt>
                <c:pt idx="124">
                  <c:v>0.96439807912769304</c:v>
                </c:pt>
                <c:pt idx="125">
                  <c:v>0.964489224228258</c:v>
                </c:pt>
                <c:pt idx="126">
                  <c:v>0.964556094358762</c:v>
                </c:pt>
                <c:pt idx="127">
                  <c:v>0.96417747609580795</c:v>
                </c:pt>
                <c:pt idx="128">
                  <c:v>0.96447832912909404</c:v>
                </c:pt>
                <c:pt idx="129">
                  <c:v>0.96462366151370804</c:v>
                </c:pt>
                <c:pt idx="130">
                  <c:v>0.96373822807048204</c:v>
                </c:pt>
                <c:pt idx="131">
                  <c:v>0.96295267539634</c:v>
                </c:pt>
                <c:pt idx="132">
                  <c:v>0.96138916667764596</c:v>
                </c:pt>
                <c:pt idx="133">
                  <c:v>0.96002233378123103</c:v>
                </c:pt>
                <c:pt idx="134">
                  <c:v>0.95884540616074099</c:v>
                </c:pt>
                <c:pt idx="135">
                  <c:v>0.95728960872314595</c:v>
                </c:pt>
                <c:pt idx="136">
                  <c:v>0.95564148057578002</c:v>
                </c:pt>
                <c:pt idx="137">
                  <c:v>0.95446718509060802</c:v>
                </c:pt>
                <c:pt idx="138">
                  <c:v>0.95338124046733697</c:v>
                </c:pt>
                <c:pt idx="139">
                  <c:v>0.95125289627606702</c:v>
                </c:pt>
                <c:pt idx="140">
                  <c:v>0.95007850163454799</c:v>
                </c:pt>
                <c:pt idx="141">
                  <c:v>0.94787249343980695</c:v>
                </c:pt>
                <c:pt idx="142">
                  <c:v>0.94513671270394295</c:v>
                </c:pt>
                <c:pt idx="143">
                  <c:v>0.94362076170805598</c:v>
                </c:pt>
                <c:pt idx="144">
                  <c:v>0.94251633563385195</c:v>
                </c:pt>
                <c:pt idx="145">
                  <c:v>0.94093885641995201</c:v>
                </c:pt>
                <c:pt idx="146">
                  <c:v>0.94058852492388401</c:v>
                </c:pt>
                <c:pt idx="147">
                  <c:v>0.93977696927242305</c:v>
                </c:pt>
                <c:pt idx="148">
                  <c:v>0.93850985208364102</c:v>
                </c:pt>
                <c:pt idx="149">
                  <c:v>0.93755596868524904</c:v>
                </c:pt>
                <c:pt idx="150">
                  <c:v>0.93677480582378403</c:v>
                </c:pt>
                <c:pt idx="151">
                  <c:v>0.93609258457556899</c:v>
                </c:pt>
                <c:pt idx="152">
                  <c:v>0.93582952172469902</c:v>
                </c:pt>
                <c:pt idx="153">
                  <c:v>0.93594869401176195</c:v>
                </c:pt>
                <c:pt idx="154">
                  <c:v>0.93588677674957899</c:v>
                </c:pt>
                <c:pt idx="155">
                  <c:v>0.93604901037407695</c:v>
                </c:pt>
                <c:pt idx="156">
                  <c:v>0.93536811657923902</c:v>
                </c:pt>
                <c:pt idx="157">
                  <c:v>0.93436529655843503</c:v>
                </c:pt>
                <c:pt idx="158">
                  <c:v>0.93327726408234501</c:v>
                </c:pt>
                <c:pt idx="159">
                  <c:v>0.93272081553999497</c:v>
                </c:pt>
                <c:pt idx="160">
                  <c:v>0.93195242598308803</c:v>
                </c:pt>
                <c:pt idx="161">
                  <c:v>0.93179664494603998</c:v>
                </c:pt>
                <c:pt idx="162">
                  <c:v>0.93205392221866401</c:v>
                </c:pt>
                <c:pt idx="163">
                  <c:v>0.93109186567986102</c:v>
                </c:pt>
                <c:pt idx="164">
                  <c:v>0.93036682598563902</c:v>
                </c:pt>
                <c:pt idx="165">
                  <c:v>0.92973477809895499</c:v>
                </c:pt>
                <c:pt idx="166">
                  <c:v>0.92852570807378099</c:v>
                </c:pt>
                <c:pt idx="167">
                  <c:v>0.92749426777358701</c:v>
                </c:pt>
                <c:pt idx="168">
                  <c:v>0.92634270040487798</c:v>
                </c:pt>
                <c:pt idx="169">
                  <c:v>0.92556831308777898</c:v>
                </c:pt>
                <c:pt idx="170">
                  <c:v>0.92513201236713505</c:v>
                </c:pt>
                <c:pt idx="171">
                  <c:v>0.92483006873574503</c:v>
                </c:pt>
                <c:pt idx="172">
                  <c:v>0.92427370409939302</c:v>
                </c:pt>
                <c:pt idx="173">
                  <c:v>0.92388485938777798</c:v>
                </c:pt>
                <c:pt idx="174">
                  <c:v>0.92299408318676102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6B-4737-95F1-CAE0AFE6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SMH* x 10 dma / SOXX*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-1.0534434637330401E-2</c:v>
                </c:pt>
                <c:pt idx="11">
                  <c:v>-1.89905403391127E-2</c:v>
                </c:pt>
                <c:pt idx="12">
                  <c:v>-1.8775496411292499E-2</c:v>
                </c:pt>
                <c:pt idx="13">
                  <c:v>-1.5843023536762299E-2</c:v>
                </c:pt>
                <c:pt idx="14">
                  <c:v>-8.6716397008733005E-3</c:v>
                </c:pt>
                <c:pt idx="15">
                  <c:v>-4.9397279683597601E-3</c:v>
                </c:pt>
                <c:pt idx="16">
                  <c:v>-5.2933971387853999E-3</c:v>
                </c:pt>
                <c:pt idx="17">
                  <c:v>-6.9719634671859803E-3</c:v>
                </c:pt>
                <c:pt idx="18">
                  <c:v>-5.0780217941034803E-3</c:v>
                </c:pt>
                <c:pt idx="19">
                  <c:v>3.7955176070186298E-3</c:v>
                </c:pt>
                <c:pt idx="20">
                  <c:v>-2.4858145898390598E-3</c:v>
                </c:pt>
                <c:pt idx="21">
                  <c:v>-6.7785755157406102E-3</c:v>
                </c:pt>
                <c:pt idx="22">
                  <c:v>-1.21938773798101E-3</c:v>
                </c:pt>
                <c:pt idx="23">
                  <c:v>-5.2263511705632698E-3</c:v>
                </c:pt>
                <c:pt idx="24">
                  <c:v>-4.3910319018575896E-3</c:v>
                </c:pt>
                <c:pt idx="25">
                  <c:v>-3.46104619584794E-3</c:v>
                </c:pt>
                <c:pt idx="26">
                  <c:v>-3.47095294677661E-3</c:v>
                </c:pt>
                <c:pt idx="27">
                  <c:v>-2.9532621685004201E-3</c:v>
                </c:pt>
                <c:pt idx="28">
                  <c:v>7.4546758570727303E-4</c:v>
                </c:pt>
                <c:pt idx="29">
                  <c:v>-4.1798663442401997E-3</c:v>
                </c:pt>
                <c:pt idx="30">
                  <c:v>-1.7839553055077899E-3</c:v>
                </c:pt>
                <c:pt idx="31">
                  <c:v>2.8912216969332699E-4</c:v>
                </c:pt>
                <c:pt idx="32">
                  <c:v>2.2493527462218599E-4</c:v>
                </c:pt>
                <c:pt idx="33">
                  <c:v>2.1986397787076102E-3</c:v>
                </c:pt>
                <c:pt idx="34">
                  <c:v>4.04773283313733E-3</c:v>
                </c:pt>
                <c:pt idx="35">
                  <c:v>4.2197952267754701E-3</c:v>
                </c:pt>
                <c:pt idx="36">
                  <c:v>4.0183645936979302E-3</c:v>
                </c:pt>
                <c:pt idx="37">
                  <c:v>6.1439923265481095E-4</c:v>
                </c:pt>
                <c:pt idx="38">
                  <c:v>-7.2704106984257605E-4</c:v>
                </c:pt>
                <c:pt idx="39">
                  <c:v>1.64135364897244E-4</c:v>
                </c:pt>
                <c:pt idx="40">
                  <c:v>1.15986911366263E-2</c:v>
                </c:pt>
                <c:pt idx="41">
                  <c:v>1.0473423112570501E-2</c:v>
                </c:pt>
                <c:pt idx="42">
                  <c:v>1.07961604735465E-2</c:v>
                </c:pt>
                <c:pt idx="43">
                  <c:v>1.42505454117234E-2</c:v>
                </c:pt>
                <c:pt idx="44">
                  <c:v>9.0637372240140492E-3</c:v>
                </c:pt>
                <c:pt idx="45">
                  <c:v>8.0007881599506309E-3</c:v>
                </c:pt>
                <c:pt idx="46">
                  <c:v>6.3537085557274497E-3</c:v>
                </c:pt>
                <c:pt idx="47">
                  <c:v>7.8399106846191204E-3</c:v>
                </c:pt>
                <c:pt idx="48">
                  <c:v>5.7670143669475305E-4</c:v>
                </c:pt>
                <c:pt idx="49">
                  <c:v>-3.3580582364257702E-3</c:v>
                </c:pt>
                <c:pt idx="50">
                  <c:v>-4.0252600753709396E-3</c:v>
                </c:pt>
                <c:pt idx="51">
                  <c:v>-6.2252350819946099E-3</c:v>
                </c:pt>
                <c:pt idx="52">
                  <c:v>-8.2697709839046896E-3</c:v>
                </c:pt>
                <c:pt idx="53">
                  <c:v>-1.06897410397188E-2</c:v>
                </c:pt>
                <c:pt idx="54">
                  <c:v>-4.1710387160820497E-3</c:v>
                </c:pt>
                <c:pt idx="55">
                  <c:v>-8.1959732885529997E-3</c:v>
                </c:pt>
                <c:pt idx="56">
                  <c:v>-8.0160901568545901E-3</c:v>
                </c:pt>
                <c:pt idx="57">
                  <c:v>-4.5589669108986102E-3</c:v>
                </c:pt>
                <c:pt idx="58">
                  <c:v>-4.0657883590685196E-3</c:v>
                </c:pt>
                <c:pt idx="59">
                  <c:v>8.3989031184236104E-3</c:v>
                </c:pt>
                <c:pt idx="60">
                  <c:v>4.8829231950127897E-3</c:v>
                </c:pt>
                <c:pt idx="61">
                  <c:v>-2.6391964313708699E-3</c:v>
                </c:pt>
                <c:pt idx="62">
                  <c:v>-4.3957474488068599E-3</c:v>
                </c:pt>
                <c:pt idx="63">
                  <c:v>-7.7564909023314001E-3</c:v>
                </c:pt>
                <c:pt idx="64">
                  <c:v>-7.9367057308167704E-3</c:v>
                </c:pt>
                <c:pt idx="65">
                  <c:v>-1.3931010321047E-2</c:v>
                </c:pt>
                <c:pt idx="66">
                  <c:v>-1.7244648177955599E-2</c:v>
                </c:pt>
                <c:pt idx="67">
                  <c:v>-2.1229916397924601E-2</c:v>
                </c:pt>
                <c:pt idx="68">
                  <c:v>-2.1365246956622602E-2</c:v>
                </c:pt>
                <c:pt idx="69">
                  <c:v>-1.92746041483907E-2</c:v>
                </c:pt>
                <c:pt idx="70">
                  <c:v>-1.48057958551091E-2</c:v>
                </c:pt>
                <c:pt idx="71">
                  <c:v>-1.7553350507709901E-2</c:v>
                </c:pt>
                <c:pt idx="72">
                  <c:v>-1.76498257712479E-2</c:v>
                </c:pt>
                <c:pt idx="73">
                  <c:v>-1.90968252860323E-2</c:v>
                </c:pt>
                <c:pt idx="74">
                  <c:v>-2.1601600188847901E-2</c:v>
                </c:pt>
                <c:pt idx="75">
                  <c:v>-1.76910062070933E-2</c:v>
                </c:pt>
                <c:pt idx="76">
                  <c:v>-2.50387425633713E-2</c:v>
                </c:pt>
                <c:pt idx="77">
                  <c:v>-1.6970149211858802E-2</c:v>
                </c:pt>
                <c:pt idx="78">
                  <c:v>-8.6673859714212799E-4</c:v>
                </c:pt>
                <c:pt idx="79">
                  <c:v>7.6859233319195404E-3</c:v>
                </c:pt>
                <c:pt idx="80">
                  <c:v>-2.0257408330405101E-4</c:v>
                </c:pt>
                <c:pt idx="81">
                  <c:v>-9.6262145256533291E-3</c:v>
                </c:pt>
                <c:pt idx="82">
                  <c:v>-1.08246645839412E-2</c:v>
                </c:pt>
                <c:pt idx="83">
                  <c:v>-6.8482758772320899E-3</c:v>
                </c:pt>
                <c:pt idx="84">
                  <c:v>-1.8420345715386099E-2</c:v>
                </c:pt>
                <c:pt idx="85">
                  <c:v>-1.47236945862706E-2</c:v>
                </c:pt>
                <c:pt idx="86">
                  <c:v>-1.5941289318337701E-3</c:v>
                </c:pt>
                <c:pt idx="87">
                  <c:v>-9.3932729073246193E-3</c:v>
                </c:pt>
                <c:pt idx="88">
                  <c:v>-1.52002512124235E-2</c:v>
                </c:pt>
                <c:pt idx="89">
                  <c:v>-6.967485734631E-3</c:v>
                </c:pt>
                <c:pt idx="90">
                  <c:v>-7.8793258261748399E-3</c:v>
                </c:pt>
                <c:pt idx="91">
                  <c:v>1.4628813083091901E-3</c:v>
                </c:pt>
                <c:pt idx="92">
                  <c:v>4.7442930279961298E-3</c:v>
                </c:pt>
                <c:pt idx="93">
                  <c:v>1.1520494393502299E-2</c:v>
                </c:pt>
                <c:pt idx="94">
                  <c:v>5.3155084136474002E-3</c:v>
                </c:pt>
                <c:pt idx="95">
                  <c:v>-4.8232614473516797E-3</c:v>
                </c:pt>
                <c:pt idx="96">
                  <c:v>-7.6153218249664697E-3</c:v>
                </c:pt>
                <c:pt idx="97">
                  <c:v>-1.52808338550974E-2</c:v>
                </c:pt>
                <c:pt idx="98">
                  <c:v>-2.9116005139216101E-2</c:v>
                </c:pt>
                <c:pt idx="99">
                  <c:v>-2.7002764249466699E-2</c:v>
                </c:pt>
                <c:pt idx="100">
                  <c:v>-2.6443623502942999E-2</c:v>
                </c:pt>
                <c:pt idx="101">
                  <c:v>-2.4393384834708699E-2</c:v>
                </c:pt>
                <c:pt idx="102">
                  <c:v>-1.10443259816975E-2</c:v>
                </c:pt>
                <c:pt idx="103">
                  <c:v>-2.50411479832214E-2</c:v>
                </c:pt>
                <c:pt idx="104">
                  <c:v>-2.8303148063704001E-2</c:v>
                </c:pt>
                <c:pt idx="105">
                  <c:v>-1.78942337539616E-2</c:v>
                </c:pt>
                <c:pt idx="106">
                  <c:v>-1.5768115594137099E-4</c:v>
                </c:pt>
                <c:pt idx="107">
                  <c:v>-5.9480649721777301E-3</c:v>
                </c:pt>
                <c:pt idx="108">
                  <c:v>8.7157277885178497E-4</c:v>
                </c:pt>
                <c:pt idx="109">
                  <c:v>4.1194128055736098E-3</c:v>
                </c:pt>
                <c:pt idx="110">
                  <c:v>-1.0948775564621101E-2</c:v>
                </c:pt>
                <c:pt idx="111">
                  <c:v>-8.1718929708544403E-3</c:v>
                </c:pt>
                <c:pt idx="112">
                  <c:v>-1.6707731631010098E-2</c:v>
                </c:pt>
                <c:pt idx="113">
                  <c:v>-1.7690234744920301E-3</c:v>
                </c:pt>
                <c:pt idx="114">
                  <c:v>-2.8776623151526301E-3</c:v>
                </c:pt>
                <c:pt idx="115">
                  <c:v>-1.14698471854543E-2</c:v>
                </c:pt>
                <c:pt idx="116">
                  <c:v>-2.1025610383845698E-2</c:v>
                </c:pt>
                <c:pt idx="117">
                  <c:v>-8.2631757121310202E-3</c:v>
                </c:pt>
                <c:pt idx="118">
                  <c:v>-8.6481058497469704E-3</c:v>
                </c:pt>
                <c:pt idx="119">
                  <c:v>-1.6541505607108702E-2</c:v>
                </c:pt>
                <c:pt idx="120">
                  <c:v>4.4509570556001297E-3</c:v>
                </c:pt>
                <c:pt idx="121">
                  <c:v>-3.1731813424720002E-3</c:v>
                </c:pt>
                <c:pt idx="122">
                  <c:v>-7.0607070122431703E-3</c:v>
                </c:pt>
                <c:pt idx="123">
                  <c:v>4.2256623748687799E-3</c:v>
                </c:pt>
                <c:pt idx="124">
                  <c:v>1.5724858416945101E-2</c:v>
                </c:pt>
                <c:pt idx="125">
                  <c:v>8.8155896327532599E-3</c:v>
                </c:pt>
                <c:pt idx="126">
                  <c:v>2.22158480900836E-2</c:v>
                </c:pt>
                <c:pt idx="127">
                  <c:v>2.01775759062345E-2</c:v>
                </c:pt>
                <c:pt idx="128">
                  <c:v>8.0131378417368903E-3</c:v>
                </c:pt>
                <c:pt idx="129">
                  <c:v>1.2524356701730599E-2</c:v>
                </c:pt>
                <c:pt idx="130">
                  <c:v>1.5779800053626E-2</c:v>
                </c:pt>
                <c:pt idx="131">
                  <c:v>1.3030538704511299E-2</c:v>
                </c:pt>
                <c:pt idx="132">
                  <c:v>1.6814638173781701E-2</c:v>
                </c:pt>
                <c:pt idx="133">
                  <c:v>2.0881359347505402E-2</c:v>
                </c:pt>
                <c:pt idx="134">
                  <c:v>1.17941209135928E-2</c:v>
                </c:pt>
                <c:pt idx="135">
                  <c:v>9.5070001339235492E-3</c:v>
                </c:pt>
                <c:pt idx="136">
                  <c:v>-1.9150845621394299E-3</c:v>
                </c:pt>
                <c:pt idx="137">
                  <c:v>-2.46002580610887E-3</c:v>
                </c:pt>
                <c:pt idx="138">
                  <c:v>-6.4092165545890098E-3</c:v>
                </c:pt>
                <c:pt idx="139">
                  <c:v>4.5346449591582598E-3</c:v>
                </c:pt>
                <c:pt idx="140">
                  <c:v>1.11425211861251E-3</c:v>
                </c:pt>
                <c:pt idx="141">
                  <c:v>1.46775158017669E-2</c:v>
                </c:pt>
                <c:pt idx="142">
                  <c:v>1.8991574951546401E-2</c:v>
                </c:pt>
                <c:pt idx="143">
                  <c:v>2.0348696990744801E-3</c:v>
                </c:pt>
                <c:pt idx="144">
                  <c:v>4.7417174142511198E-3</c:v>
                </c:pt>
                <c:pt idx="145">
                  <c:v>7.93211330934342E-3</c:v>
                </c:pt>
                <c:pt idx="146">
                  <c:v>-4.6616775570937604E-3</c:v>
                </c:pt>
                <c:pt idx="147">
                  <c:v>5.82622951860883E-3</c:v>
                </c:pt>
                <c:pt idx="148">
                  <c:v>3.9229077903746197E-3</c:v>
                </c:pt>
                <c:pt idx="149">
                  <c:v>1.42082200169124E-3</c:v>
                </c:pt>
                <c:pt idx="150">
                  <c:v>3.50566526895534E-3</c:v>
                </c:pt>
                <c:pt idx="151">
                  <c:v>-5.9523262863532404E-4</c:v>
                </c:pt>
                <c:pt idx="152">
                  <c:v>-2.52897369380922E-3</c:v>
                </c:pt>
                <c:pt idx="153">
                  <c:v>-1.4150234557793E-3</c:v>
                </c:pt>
                <c:pt idx="154">
                  <c:v>-3.1896979179097799E-3</c:v>
                </c:pt>
                <c:pt idx="155">
                  <c:v>-8.0483221685110004E-3</c:v>
                </c:pt>
                <c:pt idx="156">
                  <c:v>2.17185085030139E-3</c:v>
                </c:pt>
                <c:pt idx="157">
                  <c:v>7.8378537403658993E-3</c:v>
                </c:pt>
                <c:pt idx="158">
                  <c:v>5.2289669515450899E-3</c:v>
                </c:pt>
                <c:pt idx="159">
                  <c:v>5.3006987576817901E-3</c:v>
                </c:pt>
                <c:pt idx="160">
                  <c:v>7.2616488301196196E-3</c:v>
                </c:pt>
                <c:pt idx="161">
                  <c:v>7.7459532442899302E-3</c:v>
                </c:pt>
                <c:pt idx="162">
                  <c:v>4.2442162084319699E-3</c:v>
                </c:pt>
                <c:pt idx="163">
                  <c:v>1.47191074288495E-2</c:v>
                </c:pt>
                <c:pt idx="164">
                  <c:v>9.9838010189668407E-3</c:v>
                </c:pt>
                <c:pt idx="165">
                  <c:v>9.7693160057716506E-3</c:v>
                </c:pt>
                <c:pt idx="166">
                  <c:v>7.7861988481821697E-3</c:v>
                </c:pt>
                <c:pt idx="167">
                  <c:v>1.35070300459485E-2</c:v>
                </c:pt>
                <c:pt idx="168">
                  <c:v>1.4151171411961001E-2</c:v>
                </c:pt>
                <c:pt idx="169">
                  <c:v>3.2061286131954501E-3</c:v>
                </c:pt>
                <c:pt idx="170">
                  <c:v>-2.51566821703285E-3</c:v>
                </c:pt>
                <c:pt idx="171">
                  <c:v>-8.8441822041810201E-3</c:v>
                </c:pt>
                <c:pt idx="172">
                  <c:v>-5.6101402587377201E-3</c:v>
                </c:pt>
                <c:pt idx="173">
                  <c:v>-9.8702408327054503E-3</c:v>
                </c:pt>
                <c:pt idx="174">
                  <c:v>4.5660662737048399E-4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7-4ABA-B9D1-D272BD515CE7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SMH* x 20 dma / SOXX*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-1.179184213297E-2</c:v>
                </c:pt>
                <c:pt idx="21">
                  <c:v>-1.5731806178905499E-2</c:v>
                </c:pt>
                <c:pt idx="22">
                  <c:v>-9.1873379447421008E-3</c:v>
                </c:pt>
                <c:pt idx="23">
                  <c:v>-1.20042897325343E-2</c:v>
                </c:pt>
                <c:pt idx="24">
                  <c:v>-1.00511757285038E-2</c:v>
                </c:pt>
                <c:pt idx="25">
                  <c:v>-8.4076424278327795E-3</c:v>
                </c:pt>
                <c:pt idx="26">
                  <c:v>-7.9368460911612704E-3</c:v>
                </c:pt>
                <c:pt idx="27">
                  <c:v>-6.8194688978604496E-3</c:v>
                </c:pt>
                <c:pt idx="28">
                  <c:v>-2.5010377407293999E-3</c:v>
                </c:pt>
                <c:pt idx="29">
                  <c:v>-6.8639717417773201E-3</c:v>
                </c:pt>
                <c:pt idx="30">
                  <c:v>-4.6896735515576998E-3</c:v>
                </c:pt>
                <c:pt idx="31">
                  <c:v>-2.3422444941479902E-3</c:v>
                </c:pt>
                <c:pt idx="32">
                  <c:v>-2.0275846371908901E-3</c:v>
                </c:pt>
                <c:pt idx="33">
                  <c:v>-2.8430229827116E-4</c:v>
                </c:pt>
                <c:pt idx="34">
                  <c:v>1.8365018895125801E-3</c:v>
                </c:pt>
                <c:pt idx="35">
                  <c:v>2.56146559760873E-3</c:v>
                </c:pt>
                <c:pt idx="36">
                  <c:v>2.9983118494032401E-3</c:v>
                </c:pt>
                <c:pt idx="37">
                  <c:v>2.22342291744962E-4</c:v>
                </c:pt>
                <c:pt idx="38">
                  <c:v>-7.9327105786640201E-4</c:v>
                </c:pt>
                <c:pt idx="39">
                  <c:v>5.1640069285680302E-5</c:v>
                </c:pt>
                <c:pt idx="40">
                  <c:v>1.23583002417829E-2</c:v>
                </c:pt>
                <c:pt idx="41">
                  <c:v>1.2232465433341401E-2</c:v>
                </c:pt>
                <c:pt idx="42">
                  <c:v>1.31494154796783E-2</c:v>
                </c:pt>
                <c:pt idx="43">
                  <c:v>1.7521155261220701E-2</c:v>
                </c:pt>
                <c:pt idx="44">
                  <c:v>1.31401445863374E-2</c:v>
                </c:pt>
                <c:pt idx="45">
                  <c:v>1.2535369379395599E-2</c:v>
                </c:pt>
                <c:pt idx="46">
                  <c:v>1.1313502021199301E-2</c:v>
                </c:pt>
                <c:pt idx="47">
                  <c:v>1.3141066275494001E-2</c:v>
                </c:pt>
                <c:pt idx="48">
                  <c:v>6.6345648716242796E-3</c:v>
                </c:pt>
                <c:pt idx="49">
                  <c:v>3.4585916698934901E-3</c:v>
                </c:pt>
                <c:pt idx="50">
                  <c:v>3.0948470124579699E-3</c:v>
                </c:pt>
                <c:pt idx="51">
                  <c:v>7.4950754271501803E-5</c:v>
                </c:pt>
                <c:pt idx="52">
                  <c:v>-2.8654461716822199E-3</c:v>
                </c:pt>
                <c:pt idx="53">
                  <c:v>-6.46871677974299E-3</c:v>
                </c:pt>
                <c:pt idx="54">
                  <c:v>-1.7083910349533101E-3</c:v>
                </c:pt>
                <c:pt idx="55">
                  <c:v>-6.8074132617270003E-3</c:v>
                </c:pt>
                <c:pt idx="56">
                  <c:v>-7.9410022221309308E-3</c:v>
                </c:pt>
                <c:pt idx="57">
                  <c:v>-5.8059841316734501E-3</c:v>
                </c:pt>
                <c:pt idx="58">
                  <c:v>-6.9432077671272097E-3</c:v>
                </c:pt>
                <c:pt idx="59">
                  <c:v>4.3324981846097699E-3</c:v>
                </c:pt>
                <c:pt idx="60">
                  <c:v>4.8938694622508003E-4</c:v>
                </c:pt>
                <c:pt idx="61">
                  <c:v>-6.95607095047668E-3</c:v>
                </c:pt>
                <c:pt idx="62">
                  <c:v>-8.7580028204278203E-3</c:v>
                </c:pt>
                <c:pt idx="63">
                  <c:v>-1.1947523877801999E-2</c:v>
                </c:pt>
                <c:pt idx="64">
                  <c:v>-1.15773961188493E-2</c:v>
                </c:pt>
                <c:pt idx="65">
                  <c:v>-1.77096215005937E-2</c:v>
                </c:pt>
                <c:pt idx="66">
                  <c:v>-2.10213824712959E-2</c:v>
                </c:pt>
                <c:pt idx="67">
                  <c:v>-2.51415753630264E-2</c:v>
                </c:pt>
                <c:pt idx="68">
                  <c:v>-2.57678547299314E-2</c:v>
                </c:pt>
                <c:pt idx="69">
                  <c:v>-2.4469363813487001E-2</c:v>
                </c:pt>
                <c:pt idx="70">
                  <c:v>-2.2068218216940001E-2</c:v>
                </c:pt>
                <c:pt idx="71">
                  <c:v>-2.6513413865317598E-2</c:v>
                </c:pt>
                <c:pt idx="72">
                  <c:v>-2.79880456357109E-2</c:v>
                </c:pt>
                <c:pt idx="73">
                  <c:v>-3.0875140234391901E-2</c:v>
                </c:pt>
                <c:pt idx="74">
                  <c:v>-3.48383528568059E-2</c:v>
                </c:pt>
                <c:pt idx="75">
                  <c:v>-3.2367964792071401E-2</c:v>
                </c:pt>
                <c:pt idx="76">
                  <c:v>-4.0696370922291197E-2</c:v>
                </c:pt>
                <c:pt idx="77">
                  <c:v>-3.3737485159410302E-2</c:v>
                </c:pt>
                <c:pt idx="78">
                  <c:v>-1.7874029429229402E-2</c:v>
                </c:pt>
                <c:pt idx="79">
                  <c:v>-8.7024579815892806E-3</c:v>
                </c:pt>
                <c:pt idx="80">
                  <c:v>-1.50158028628289E-2</c:v>
                </c:pt>
                <c:pt idx="81">
                  <c:v>-2.3502754124983202E-2</c:v>
                </c:pt>
                <c:pt idx="82">
                  <c:v>-2.40647704897607E-2</c:v>
                </c:pt>
                <c:pt idx="83">
                  <c:v>-1.9388956618144298E-2</c:v>
                </c:pt>
                <c:pt idx="84">
                  <c:v>-2.9872092250306102E-2</c:v>
                </c:pt>
                <c:pt idx="85">
                  <c:v>-2.5172057047277499E-2</c:v>
                </c:pt>
                <c:pt idx="86">
                  <c:v>-1.12908792895606E-2</c:v>
                </c:pt>
                <c:pt idx="87">
                  <c:v>-1.6935563083111699E-2</c:v>
                </c:pt>
                <c:pt idx="88">
                  <c:v>-2.16513464945652E-2</c:v>
                </c:pt>
                <c:pt idx="89">
                  <c:v>-1.40922571705614E-2</c:v>
                </c:pt>
                <c:pt idx="90">
                  <c:v>-1.61290856644246E-2</c:v>
                </c:pt>
                <c:pt idx="91">
                  <c:v>-7.2326415915984097E-3</c:v>
                </c:pt>
                <c:pt idx="92">
                  <c:v>-3.27459476825398E-3</c:v>
                </c:pt>
                <c:pt idx="93">
                  <c:v>4.4593235625737899E-3</c:v>
                </c:pt>
                <c:pt idx="94">
                  <c:v>-8.9406800392522205E-4</c:v>
                </c:pt>
                <c:pt idx="95">
                  <c:v>-9.4767332731965203E-3</c:v>
                </c:pt>
                <c:pt idx="96">
                  <c:v>-1.13376474233322E-2</c:v>
                </c:pt>
                <c:pt idx="97">
                  <c:v>-1.98722081850797E-2</c:v>
                </c:pt>
                <c:pt idx="98">
                  <c:v>-3.40851879648464E-2</c:v>
                </c:pt>
                <c:pt idx="99">
                  <c:v>-3.1821685091138197E-2</c:v>
                </c:pt>
                <c:pt idx="100">
                  <c:v>-3.1328142132438903E-2</c:v>
                </c:pt>
                <c:pt idx="101">
                  <c:v>-2.9504430359910301E-2</c:v>
                </c:pt>
                <c:pt idx="102">
                  <c:v>-1.7642774635308799E-2</c:v>
                </c:pt>
                <c:pt idx="103">
                  <c:v>-3.3047058386727703E-2</c:v>
                </c:pt>
                <c:pt idx="104">
                  <c:v>-3.9112154173785801E-2</c:v>
                </c:pt>
                <c:pt idx="105">
                  <c:v>-3.1988135854445002E-2</c:v>
                </c:pt>
                <c:pt idx="106">
                  <c:v>-1.6311468578583298E-2</c:v>
                </c:pt>
                <c:pt idx="107">
                  <c:v>-2.2657149441827201E-2</c:v>
                </c:pt>
                <c:pt idx="108">
                  <c:v>-1.6279429758819599E-2</c:v>
                </c:pt>
                <c:pt idx="109">
                  <c:v>-1.20648301207621E-2</c:v>
                </c:pt>
                <c:pt idx="110">
                  <c:v>-2.5729734810641201E-2</c:v>
                </c:pt>
                <c:pt idx="111">
                  <c:v>-2.2246570174625401E-2</c:v>
                </c:pt>
                <c:pt idx="112">
                  <c:v>-2.9592611593957801E-2</c:v>
                </c:pt>
                <c:pt idx="113">
                  <c:v>-1.4786817888441999E-2</c:v>
                </c:pt>
                <c:pt idx="114">
                  <c:v>-1.34496475327219E-2</c:v>
                </c:pt>
                <c:pt idx="115">
                  <c:v>-1.9097310771585101E-2</c:v>
                </c:pt>
                <c:pt idx="116">
                  <c:v>-2.70485037379277E-2</c:v>
                </c:pt>
                <c:pt idx="117">
                  <c:v>-1.46970711466197E-2</c:v>
                </c:pt>
                <c:pt idx="118">
                  <c:v>-1.46364882675812E-2</c:v>
                </c:pt>
                <c:pt idx="119">
                  <c:v>-2.33677817939471E-2</c:v>
                </c:pt>
                <c:pt idx="120">
                  <c:v>-4.0015625463794696E-3</c:v>
                </c:pt>
                <c:pt idx="121">
                  <c:v>-1.09927074877812E-2</c:v>
                </c:pt>
                <c:pt idx="122">
                  <c:v>-1.4807107360756201E-2</c:v>
                </c:pt>
                <c:pt idx="123">
                  <c:v>-2.2472591015857001E-3</c:v>
                </c:pt>
                <c:pt idx="124">
                  <c:v>9.0531802514035292E-3</c:v>
                </c:pt>
                <c:pt idx="125">
                  <c:v>2.19147019533413E-3</c:v>
                </c:pt>
                <c:pt idx="126">
                  <c:v>1.6382070327535001E-2</c:v>
                </c:pt>
                <c:pt idx="127">
                  <c:v>1.7551880421679902E-2</c:v>
                </c:pt>
                <c:pt idx="128">
                  <c:v>7.2959559870295499E-3</c:v>
                </c:pt>
                <c:pt idx="129">
                  <c:v>1.36423587860764E-2</c:v>
                </c:pt>
                <c:pt idx="130">
                  <c:v>2.0193405568264301E-2</c:v>
                </c:pt>
                <c:pt idx="131">
                  <c:v>1.8530055833359999E-2</c:v>
                </c:pt>
                <c:pt idx="132">
                  <c:v>2.42212775437564E-2</c:v>
                </c:pt>
                <c:pt idx="133">
                  <c:v>3.05438767843456E-2</c:v>
                </c:pt>
                <c:pt idx="134">
                  <c:v>2.36188102331658E-2</c:v>
                </c:pt>
                <c:pt idx="135">
                  <c:v>2.20610679417035E-2</c:v>
                </c:pt>
                <c:pt idx="136">
                  <c:v>1.1591382205781001E-2</c:v>
                </c:pt>
                <c:pt idx="137">
                  <c:v>9.5944174783371E-3</c:v>
                </c:pt>
                <c:pt idx="138">
                  <c:v>4.5488624668333696E-3</c:v>
                </c:pt>
                <c:pt idx="139">
                  <c:v>1.50995925562882E-2</c:v>
                </c:pt>
                <c:pt idx="140">
                  <c:v>1.07507055533846E-2</c:v>
                </c:pt>
                <c:pt idx="141">
                  <c:v>2.3530787365263501E-2</c:v>
                </c:pt>
                <c:pt idx="142">
                  <c:v>2.7439988814594099E-2</c:v>
                </c:pt>
                <c:pt idx="143">
                  <c:v>9.4770296730610007E-3</c:v>
                </c:pt>
                <c:pt idx="144">
                  <c:v>1.01786269024981E-2</c:v>
                </c:pt>
                <c:pt idx="145">
                  <c:v>1.2576119954273201E-2</c:v>
                </c:pt>
                <c:pt idx="146">
                  <c:v>-9.2643732924387598E-4</c:v>
                </c:pt>
                <c:pt idx="147">
                  <c:v>9.6635073661797306E-3</c:v>
                </c:pt>
                <c:pt idx="148">
                  <c:v>8.4963328314845692E-3</c:v>
                </c:pt>
                <c:pt idx="149">
                  <c:v>6.6041149086738899E-3</c:v>
                </c:pt>
                <c:pt idx="150">
                  <c:v>8.3965137414982096E-3</c:v>
                </c:pt>
                <c:pt idx="151">
                  <c:v>4.68088359838286E-3</c:v>
                </c:pt>
                <c:pt idx="152">
                  <c:v>1.5447462172748E-3</c:v>
                </c:pt>
                <c:pt idx="153">
                  <c:v>1.04511558302711E-3</c:v>
                </c:pt>
                <c:pt idx="154">
                  <c:v>-4.5546268053965199E-4</c:v>
                </c:pt>
                <c:pt idx="155">
                  <c:v>-5.62773646410911E-3</c:v>
                </c:pt>
                <c:pt idx="156">
                  <c:v>3.6491133278856599E-3</c:v>
                </c:pt>
                <c:pt idx="157">
                  <c:v>9.56917851660939E-3</c:v>
                </c:pt>
                <c:pt idx="158">
                  <c:v>6.4320965012966301E-3</c:v>
                </c:pt>
                <c:pt idx="159">
                  <c:v>5.7085943316339304E-3</c:v>
                </c:pt>
                <c:pt idx="160">
                  <c:v>7.5414116043361996E-3</c:v>
                </c:pt>
                <c:pt idx="161">
                  <c:v>7.6309999859604698E-3</c:v>
                </c:pt>
                <c:pt idx="162">
                  <c:v>4.77056116102697E-3</c:v>
                </c:pt>
                <c:pt idx="163">
                  <c:v>1.6304132228160101E-2</c:v>
                </c:pt>
                <c:pt idx="164">
                  <c:v>1.24583885286274E-2</c:v>
                </c:pt>
                <c:pt idx="165">
                  <c:v>1.32765472223801E-2</c:v>
                </c:pt>
                <c:pt idx="166">
                  <c:v>1.31055582861153E-2</c:v>
                </c:pt>
                <c:pt idx="167">
                  <c:v>1.9149454901638701E-2</c:v>
                </c:pt>
                <c:pt idx="168">
                  <c:v>2.03673009481679E-2</c:v>
                </c:pt>
                <c:pt idx="169">
                  <c:v>1.0306369728524001E-2</c:v>
                </c:pt>
                <c:pt idx="170">
                  <c:v>4.9579921270167604E-3</c:v>
                </c:pt>
                <c:pt idx="171">
                  <c:v>-1.32782970527238E-3</c:v>
                </c:pt>
                <c:pt idx="172">
                  <c:v>1.4171406598010501E-3</c:v>
                </c:pt>
                <c:pt idx="173">
                  <c:v>-3.0263194443744998E-3</c:v>
                </c:pt>
                <c:pt idx="174">
                  <c:v>5.78070891449809E-3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7-4ABA-B9D1-D272BD51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SOXX*/SMH*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0.90525826694812095</c:v>
                </c:pt>
                <c:pt idx="1">
                  <c:v>0.90525826694812095</c:v>
                </c:pt>
                <c:pt idx="2">
                  <c:v>0.90525826694812095</c:v>
                </c:pt>
                <c:pt idx="3">
                  <c:v>0.90525826694812095</c:v>
                </c:pt>
                <c:pt idx="4">
                  <c:v>0.90525826694812095</c:v>
                </c:pt>
                <c:pt idx="5">
                  <c:v>0.90525826694812095</c:v>
                </c:pt>
                <c:pt idx="6">
                  <c:v>0.90525826694812095</c:v>
                </c:pt>
                <c:pt idx="7">
                  <c:v>0.90525826694812095</c:v>
                </c:pt>
                <c:pt idx="8">
                  <c:v>0.90525826694812095</c:v>
                </c:pt>
                <c:pt idx="9">
                  <c:v>0.90525826694812095</c:v>
                </c:pt>
                <c:pt idx="10">
                  <c:v>0.90525826694812095</c:v>
                </c:pt>
                <c:pt idx="11">
                  <c:v>0.90525826694812095</c:v>
                </c:pt>
                <c:pt idx="12">
                  <c:v>0.90525826694812095</c:v>
                </c:pt>
                <c:pt idx="13">
                  <c:v>0.90525826694812095</c:v>
                </c:pt>
                <c:pt idx="14">
                  <c:v>0.90525826694812095</c:v>
                </c:pt>
                <c:pt idx="15">
                  <c:v>0.90525826694812095</c:v>
                </c:pt>
                <c:pt idx="16">
                  <c:v>0.90525826694812095</c:v>
                </c:pt>
                <c:pt idx="17">
                  <c:v>0.90525826694812095</c:v>
                </c:pt>
                <c:pt idx="18">
                  <c:v>0.90525826694812095</c:v>
                </c:pt>
                <c:pt idx="19">
                  <c:v>0.90525826694812095</c:v>
                </c:pt>
                <c:pt idx="20">
                  <c:v>0.90525826694812095</c:v>
                </c:pt>
                <c:pt idx="21">
                  <c:v>0.90525826694812095</c:v>
                </c:pt>
                <c:pt idx="22">
                  <c:v>0.90525826694812095</c:v>
                </c:pt>
                <c:pt idx="23">
                  <c:v>0.90525826694812095</c:v>
                </c:pt>
                <c:pt idx="24">
                  <c:v>0.90525826694812095</c:v>
                </c:pt>
                <c:pt idx="25">
                  <c:v>0.90525826694812095</c:v>
                </c:pt>
                <c:pt idx="26">
                  <c:v>0.90525826694812095</c:v>
                </c:pt>
                <c:pt idx="27">
                  <c:v>0.90525826694812095</c:v>
                </c:pt>
                <c:pt idx="28">
                  <c:v>0.90525826694812095</c:v>
                </c:pt>
                <c:pt idx="29">
                  <c:v>0.90525826694812095</c:v>
                </c:pt>
                <c:pt idx="30">
                  <c:v>0.90525826694812095</c:v>
                </c:pt>
                <c:pt idx="31">
                  <c:v>0.90525826694812095</c:v>
                </c:pt>
                <c:pt idx="32">
                  <c:v>0.90525826694812095</c:v>
                </c:pt>
                <c:pt idx="33">
                  <c:v>0.90525826694812095</c:v>
                </c:pt>
                <c:pt idx="34">
                  <c:v>0.90525826694812095</c:v>
                </c:pt>
                <c:pt idx="35">
                  <c:v>0.90525826694812095</c:v>
                </c:pt>
                <c:pt idx="36">
                  <c:v>0.90525826694812095</c:v>
                </c:pt>
                <c:pt idx="37">
                  <c:v>0.90525826694812095</c:v>
                </c:pt>
                <c:pt idx="38">
                  <c:v>0.90525826694812095</c:v>
                </c:pt>
                <c:pt idx="39">
                  <c:v>0.90525826694812095</c:v>
                </c:pt>
                <c:pt idx="40">
                  <c:v>0.90525826694812095</c:v>
                </c:pt>
                <c:pt idx="41">
                  <c:v>0.90525826694812095</c:v>
                </c:pt>
                <c:pt idx="42">
                  <c:v>0.90525826694812095</c:v>
                </c:pt>
                <c:pt idx="43">
                  <c:v>0.90525826694812095</c:v>
                </c:pt>
                <c:pt idx="44">
                  <c:v>0.90525826694812095</c:v>
                </c:pt>
                <c:pt idx="45">
                  <c:v>0.90525826694812095</c:v>
                </c:pt>
                <c:pt idx="46">
                  <c:v>0.90525826694812095</c:v>
                </c:pt>
                <c:pt idx="47">
                  <c:v>0.90525826694812095</c:v>
                </c:pt>
                <c:pt idx="48">
                  <c:v>0.90525826694812095</c:v>
                </c:pt>
                <c:pt idx="49">
                  <c:v>0.90525826694812095</c:v>
                </c:pt>
                <c:pt idx="50">
                  <c:v>0.90525826694812095</c:v>
                </c:pt>
                <c:pt idx="51">
                  <c:v>0.90525826694812095</c:v>
                </c:pt>
                <c:pt idx="52">
                  <c:v>0.90525826694812095</c:v>
                </c:pt>
                <c:pt idx="53">
                  <c:v>0.90525826694812095</c:v>
                </c:pt>
                <c:pt idx="54">
                  <c:v>0.90525826694812095</c:v>
                </c:pt>
                <c:pt idx="55">
                  <c:v>0.90525826694812095</c:v>
                </c:pt>
                <c:pt idx="56">
                  <c:v>0.90525826694812095</c:v>
                </c:pt>
                <c:pt idx="57">
                  <c:v>0.90525826694812095</c:v>
                </c:pt>
                <c:pt idx="58">
                  <c:v>0.90525826694812095</c:v>
                </c:pt>
                <c:pt idx="59">
                  <c:v>0.90525826694812095</c:v>
                </c:pt>
                <c:pt idx="60">
                  <c:v>0.90525826694812095</c:v>
                </c:pt>
                <c:pt idx="61">
                  <c:v>0.90525826694812095</c:v>
                </c:pt>
                <c:pt idx="62">
                  <c:v>0.90525826694812095</c:v>
                </c:pt>
                <c:pt idx="63">
                  <c:v>0.90525826694812095</c:v>
                </c:pt>
                <c:pt idx="64">
                  <c:v>0.90525826694812095</c:v>
                </c:pt>
                <c:pt idx="65">
                  <c:v>0.90525826694812095</c:v>
                </c:pt>
                <c:pt idx="66">
                  <c:v>0.90525826694812095</c:v>
                </c:pt>
                <c:pt idx="67">
                  <c:v>0.90525826694812095</c:v>
                </c:pt>
                <c:pt idx="68">
                  <c:v>0.90525826694812095</c:v>
                </c:pt>
                <c:pt idx="69">
                  <c:v>0.90525826694812095</c:v>
                </c:pt>
                <c:pt idx="70">
                  <c:v>0.90525826694812095</c:v>
                </c:pt>
                <c:pt idx="71">
                  <c:v>0.90525826694812095</c:v>
                </c:pt>
                <c:pt idx="72">
                  <c:v>0.90525826694812095</c:v>
                </c:pt>
                <c:pt idx="73">
                  <c:v>0.90525826694812095</c:v>
                </c:pt>
                <c:pt idx="74">
                  <c:v>0.90525826694812095</c:v>
                </c:pt>
                <c:pt idx="75">
                  <c:v>0.90525826694812095</c:v>
                </c:pt>
                <c:pt idx="76">
                  <c:v>0.90525826694812095</c:v>
                </c:pt>
                <c:pt idx="77">
                  <c:v>0.90525826694812095</c:v>
                </c:pt>
                <c:pt idx="78">
                  <c:v>0.90525826694812095</c:v>
                </c:pt>
                <c:pt idx="79">
                  <c:v>0.90525826694812095</c:v>
                </c:pt>
                <c:pt idx="80">
                  <c:v>0.90525826694812095</c:v>
                </c:pt>
                <c:pt idx="81">
                  <c:v>0.90525826694812095</c:v>
                </c:pt>
                <c:pt idx="82">
                  <c:v>0.90525826694812095</c:v>
                </c:pt>
                <c:pt idx="83">
                  <c:v>0.90525826694812095</c:v>
                </c:pt>
                <c:pt idx="84">
                  <c:v>0.90525826694812095</c:v>
                </c:pt>
                <c:pt idx="85">
                  <c:v>0.90525826694812095</c:v>
                </c:pt>
                <c:pt idx="86">
                  <c:v>0.90525826694812095</c:v>
                </c:pt>
                <c:pt idx="87">
                  <c:v>0.90525826694812095</c:v>
                </c:pt>
                <c:pt idx="88">
                  <c:v>0.90525826694812095</c:v>
                </c:pt>
                <c:pt idx="89">
                  <c:v>0.90525826694812095</c:v>
                </c:pt>
                <c:pt idx="90">
                  <c:v>0.90525826694812095</c:v>
                </c:pt>
                <c:pt idx="91">
                  <c:v>0.90525826694812095</c:v>
                </c:pt>
                <c:pt idx="92">
                  <c:v>0.90525826694812095</c:v>
                </c:pt>
                <c:pt idx="93">
                  <c:v>0.90525826694812095</c:v>
                </c:pt>
                <c:pt idx="94">
                  <c:v>0.90525826694812095</c:v>
                </c:pt>
                <c:pt idx="95">
                  <c:v>0.90525826694812095</c:v>
                </c:pt>
                <c:pt idx="96">
                  <c:v>0.90525826694812095</c:v>
                </c:pt>
                <c:pt idx="97">
                  <c:v>0.90525826694812095</c:v>
                </c:pt>
                <c:pt idx="98">
                  <c:v>0.90525826694812095</c:v>
                </c:pt>
                <c:pt idx="99">
                  <c:v>0.90525826694812095</c:v>
                </c:pt>
                <c:pt idx="100">
                  <c:v>0.90525826694812095</c:v>
                </c:pt>
                <c:pt idx="101">
                  <c:v>0.90525826694812095</c:v>
                </c:pt>
                <c:pt idx="102">
                  <c:v>0.90525826694812095</c:v>
                </c:pt>
                <c:pt idx="103">
                  <c:v>0.90525826694812095</c:v>
                </c:pt>
                <c:pt idx="104">
                  <c:v>0.90525826694812095</c:v>
                </c:pt>
                <c:pt idx="105">
                  <c:v>0.90525826694812095</c:v>
                </c:pt>
                <c:pt idx="106">
                  <c:v>0.90525826694812095</c:v>
                </c:pt>
                <c:pt idx="107">
                  <c:v>0.90525826694812095</c:v>
                </c:pt>
                <c:pt idx="108">
                  <c:v>0.90525826694812095</c:v>
                </c:pt>
                <c:pt idx="109">
                  <c:v>0.90525826694812095</c:v>
                </c:pt>
                <c:pt idx="110">
                  <c:v>0.90525826694812095</c:v>
                </c:pt>
                <c:pt idx="111">
                  <c:v>0.90525826694812095</c:v>
                </c:pt>
                <c:pt idx="112">
                  <c:v>0.90525826694812095</c:v>
                </c:pt>
                <c:pt idx="113">
                  <c:v>0.90525826694812095</c:v>
                </c:pt>
                <c:pt idx="114">
                  <c:v>0.90525826694812095</c:v>
                </c:pt>
                <c:pt idx="115">
                  <c:v>0.90525826694812095</c:v>
                </c:pt>
                <c:pt idx="116">
                  <c:v>0.90525826694812095</c:v>
                </c:pt>
                <c:pt idx="117">
                  <c:v>0.90525826694812095</c:v>
                </c:pt>
                <c:pt idx="118">
                  <c:v>0.90525826694812095</c:v>
                </c:pt>
                <c:pt idx="119">
                  <c:v>0.90525826694812095</c:v>
                </c:pt>
                <c:pt idx="120">
                  <c:v>0.90525826694812095</c:v>
                </c:pt>
                <c:pt idx="121">
                  <c:v>0.90525826694812095</c:v>
                </c:pt>
                <c:pt idx="122">
                  <c:v>0.90525826694812095</c:v>
                </c:pt>
                <c:pt idx="123">
                  <c:v>0.90525826694812095</c:v>
                </c:pt>
                <c:pt idx="124">
                  <c:v>0.90525826694812095</c:v>
                </c:pt>
                <c:pt idx="125">
                  <c:v>0.90525826694812095</c:v>
                </c:pt>
                <c:pt idx="126">
                  <c:v>0.90525826694812095</c:v>
                </c:pt>
                <c:pt idx="127">
                  <c:v>0.90525826694812095</c:v>
                </c:pt>
                <c:pt idx="128">
                  <c:v>0.90525826694812095</c:v>
                </c:pt>
                <c:pt idx="129">
                  <c:v>0.90525826694812095</c:v>
                </c:pt>
                <c:pt idx="130">
                  <c:v>0.90525826694812095</c:v>
                </c:pt>
                <c:pt idx="131">
                  <c:v>0.90525826694812095</c:v>
                </c:pt>
                <c:pt idx="132">
                  <c:v>0.90525826694812095</c:v>
                </c:pt>
                <c:pt idx="133">
                  <c:v>0.90525826694812095</c:v>
                </c:pt>
                <c:pt idx="134">
                  <c:v>0.90525826694812095</c:v>
                </c:pt>
                <c:pt idx="135">
                  <c:v>0.90525826694812095</c:v>
                </c:pt>
                <c:pt idx="136">
                  <c:v>0.90525826694812095</c:v>
                </c:pt>
                <c:pt idx="137">
                  <c:v>0.90525826694812095</c:v>
                </c:pt>
                <c:pt idx="138">
                  <c:v>0.90525826694812095</c:v>
                </c:pt>
                <c:pt idx="139">
                  <c:v>0.90525826694812095</c:v>
                </c:pt>
                <c:pt idx="140">
                  <c:v>0.90525826694812095</c:v>
                </c:pt>
                <c:pt idx="141">
                  <c:v>0.90525826694812095</c:v>
                </c:pt>
                <c:pt idx="142">
                  <c:v>0.90525826694812095</c:v>
                </c:pt>
                <c:pt idx="143">
                  <c:v>0.90525826694812095</c:v>
                </c:pt>
                <c:pt idx="144">
                  <c:v>0.90525826694812095</c:v>
                </c:pt>
                <c:pt idx="145">
                  <c:v>0.90525826694812095</c:v>
                </c:pt>
                <c:pt idx="146">
                  <c:v>0.90525826694812095</c:v>
                </c:pt>
                <c:pt idx="147">
                  <c:v>0.90525826694812095</c:v>
                </c:pt>
                <c:pt idx="148">
                  <c:v>0.90525826694812095</c:v>
                </c:pt>
                <c:pt idx="149">
                  <c:v>0.90525826694812095</c:v>
                </c:pt>
                <c:pt idx="150">
                  <c:v>0.90525826694812095</c:v>
                </c:pt>
                <c:pt idx="151">
                  <c:v>0.90525826694812095</c:v>
                </c:pt>
                <c:pt idx="152">
                  <c:v>0.90525826694812095</c:v>
                </c:pt>
                <c:pt idx="153">
                  <c:v>0.90525826694812095</c:v>
                </c:pt>
                <c:pt idx="154">
                  <c:v>0.90525826694812095</c:v>
                </c:pt>
                <c:pt idx="155">
                  <c:v>0.90525826694812095</c:v>
                </c:pt>
                <c:pt idx="156">
                  <c:v>0.90525826694812095</c:v>
                </c:pt>
                <c:pt idx="157">
                  <c:v>0.90525826694812095</c:v>
                </c:pt>
                <c:pt idx="158">
                  <c:v>0.90525826694812095</c:v>
                </c:pt>
                <c:pt idx="159">
                  <c:v>0.90525826694812095</c:v>
                </c:pt>
                <c:pt idx="160">
                  <c:v>0.90525826694812095</c:v>
                </c:pt>
                <c:pt idx="161">
                  <c:v>0.90525826694812095</c:v>
                </c:pt>
                <c:pt idx="162">
                  <c:v>0.90525826694812095</c:v>
                </c:pt>
                <c:pt idx="163">
                  <c:v>0.90525826694812095</c:v>
                </c:pt>
                <c:pt idx="164">
                  <c:v>0.90525826694812095</c:v>
                </c:pt>
                <c:pt idx="165">
                  <c:v>0.90525826694812095</c:v>
                </c:pt>
                <c:pt idx="166">
                  <c:v>0.90525826694812095</c:v>
                </c:pt>
                <c:pt idx="167">
                  <c:v>0.90525826694812095</c:v>
                </c:pt>
                <c:pt idx="168">
                  <c:v>0.90525826694812095</c:v>
                </c:pt>
                <c:pt idx="169">
                  <c:v>0.90525826694812095</c:v>
                </c:pt>
                <c:pt idx="170">
                  <c:v>0.90525826694812095</c:v>
                </c:pt>
                <c:pt idx="171">
                  <c:v>0.90525826694812095</c:v>
                </c:pt>
                <c:pt idx="172">
                  <c:v>0.90525826694812095</c:v>
                </c:pt>
                <c:pt idx="173">
                  <c:v>0.90525826694812095</c:v>
                </c:pt>
                <c:pt idx="174">
                  <c:v>0.90525826694812095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2-428E-9C46-68726DA2F1D3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SOXX*/SMH*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0.84637780240292404</c:v>
                </c:pt>
                <c:pt idx="10">
                  <c:v>0.84788029668610598</c:v>
                </c:pt>
                <c:pt idx="11">
                  <c:v>0.850059660795077</c:v>
                </c:pt>
                <c:pt idx="12">
                  <c:v>0.85196748209104201</c:v>
                </c:pt>
                <c:pt idx="13">
                  <c:v>0.85414212385502197</c:v>
                </c:pt>
                <c:pt idx="14">
                  <c:v>0.85597388860383194</c:v>
                </c:pt>
                <c:pt idx="15">
                  <c:v>0.85752364421207306</c:v>
                </c:pt>
                <c:pt idx="16">
                  <c:v>0.85916911022656905</c:v>
                </c:pt>
                <c:pt idx="17">
                  <c:v>0.86055954738083995</c:v>
                </c:pt>
                <c:pt idx="18">
                  <c:v>0.86158946437580097</c:v>
                </c:pt>
                <c:pt idx="19">
                  <c:v>0.86235352313664504</c:v>
                </c:pt>
                <c:pt idx="20">
                  <c:v>0.86326940295574295</c:v>
                </c:pt>
                <c:pt idx="21">
                  <c:v>0.86376991833254102</c:v>
                </c:pt>
                <c:pt idx="22">
                  <c:v>0.86363522882925703</c:v>
                </c:pt>
                <c:pt idx="23">
                  <c:v>0.86389402812970495</c:v>
                </c:pt>
                <c:pt idx="24">
                  <c:v>0.86450548920650805</c:v>
                </c:pt>
                <c:pt idx="25">
                  <c:v>0.865234503132152</c:v>
                </c:pt>
                <c:pt idx="26">
                  <c:v>0.86585130481277905</c:v>
                </c:pt>
                <c:pt idx="27">
                  <c:v>0.866174508258298</c:v>
                </c:pt>
                <c:pt idx="28">
                  <c:v>0.866233352479027</c:v>
                </c:pt>
                <c:pt idx="29">
                  <c:v>0.86738697100050799</c:v>
                </c:pt>
                <c:pt idx="30">
                  <c:v>0.86783056009689996</c:v>
                </c:pt>
                <c:pt idx="31">
                  <c:v>0.86767442703757902</c:v>
                </c:pt>
                <c:pt idx="32">
                  <c:v>0.86793997175635496</c:v>
                </c:pt>
                <c:pt idx="33">
                  <c:v>0.86772727928718896</c:v>
                </c:pt>
                <c:pt idx="34">
                  <c:v>0.86737990878516202</c:v>
                </c:pt>
                <c:pt idx="35">
                  <c:v>0.86700237762546095</c:v>
                </c:pt>
                <c:pt idx="36">
                  <c:v>0.86653063033320099</c:v>
                </c:pt>
                <c:pt idx="37">
                  <c:v>0.86628925311219895</c:v>
                </c:pt>
                <c:pt idx="38">
                  <c:v>0.86642827972553105</c:v>
                </c:pt>
                <c:pt idx="39">
                  <c:v>0.86607072073559499</c:v>
                </c:pt>
                <c:pt idx="40">
                  <c:v>0.86478549411703298</c:v>
                </c:pt>
                <c:pt idx="41">
                  <c:v>0.86360507487231497</c:v>
                </c:pt>
                <c:pt idx="42">
                  <c:v>0.862290307522941</c:v>
                </c:pt>
                <c:pt idx="43">
                  <c:v>0.86069586365611395</c:v>
                </c:pt>
                <c:pt idx="44">
                  <c:v>0.85956665761744999</c:v>
                </c:pt>
                <c:pt idx="45">
                  <c:v>0.85846560064734501</c:v>
                </c:pt>
                <c:pt idx="46">
                  <c:v>0.85741590217544394</c:v>
                </c:pt>
                <c:pt idx="47">
                  <c:v>0.85588807432048797</c:v>
                </c:pt>
                <c:pt idx="48">
                  <c:v>0.85473560579550401</c:v>
                </c:pt>
                <c:pt idx="49">
                  <c:v>0.85386806604530796</c:v>
                </c:pt>
                <c:pt idx="50">
                  <c:v>0.85399092288643497</c:v>
                </c:pt>
                <c:pt idx="51">
                  <c:v>0.85434575331219997</c:v>
                </c:pt>
                <c:pt idx="52">
                  <c:v>0.85505662199195998</c:v>
                </c:pt>
                <c:pt idx="53">
                  <c:v>0.85647228621984095</c:v>
                </c:pt>
                <c:pt idx="54">
                  <c:v>0.85718449985145995</c:v>
                </c:pt>
                <c:pt idx="55">
                  <c:v>0.85833669434839899</c:v>
                </c:pt>
                <c:pt idx="56">
                  <c:v>0.85955833416294303</c:v>
                </c:pt>
                <c:pt idx="57">
                  <c:v>0.86083492004454698</c:v>
                </c:pt>
                <c:pt idx="58">
                  <c:v>0.86172965930749401</c:v>
                </c:pt>
                <c:pt idx="59">
                  <c:v>0.86142082950572896</c:v>
                </c:pt>
                <c:pt idx="60">
                  <c:v>0.86141210916574196</c:v>
                </c:pt>
                <c:pt idx="61">
                  <c:v>0.86184858401292497</c:v>
                </c:pt>
                <c:pt idx="62">
                  <c:v>0.86226909399417295</c:v>
                </c:pt>
                <c:pt idx="63">
                  <c:v>0.86274282376245803</c:v>
                </c:pt>
                <c:pt idx="64">
                  <c:v>0.86369935160557998</c:v>
                </c:pt>
                <c:pt idx="65">
                  <c:v>0.86485704429948296</c:v>
                </c:pt>
                <c:pt idx="66">
                  <c:v>0.866322612993491</c:v>
                </c:pt>
                <c:pt idx="67">
                  <c:v>0.86846513399983205</c:v>
                </c:pt>
                <c:pt idx="68">
                  <c:v>0.87075290636867697</c:v>
                </c:pt>
                <c:pt idx="69">
                  <c:v>0.87407057943766198</c:v>
                </c:pt>
                <c:pt idx="70">
                  <c:v>0.877058913168278</c:v>
                </c:pt>
                <c:pt idx="71">
                  <c:v>0.87994907336061201</c:v>
                </c:pt>
                <c:pt idx="72">
                  <c:v>0.88294632324716205</c:v>
                </c:pt>
                <c:pt idx="73">
                  <c:v>0.88604497754725897</c:v>
                </c:pt>
                <c:pt idx="74">
                  <c:v>0.88962255618415997</c:v>
                </c:pt>
                <c:pt idx="75">
                  <c:v>0.89259107169992302</c:v>
                </c:pt>
                <c:pt idx="76">
                  <c:v>0.89612327598178998</c:v>
                </c:pt>
                <c:pt idx="77">
                  <c:v>0.89877819615654297</c:v>
                </c:pt>
                <c:pt idx="78">
                  <c:v>0.900011976011306</c:v>
                </c:pt>
                <c:pt idx="79">
                  <c:v>0.90055417134509697</c:v>
                </c:pt>
                <c:pt idx="80">
                  <c:v>0.90191701644403099</c:v>
                </c:pt>
                <c:pt idx="81">
                  <c:v>0.90372210000834896</c:v>
                </c:pt>
                <c:pt idx="82">
                  <c:v>0.905516083595719</c:v>
                </c:pt>
                <c:pt idx="83">
                  <c:v>0.906692960092078</c:v>
                </c:pt>
                <c:pt idx="84">
                  <c:v>0.90850857415443098</c:v>
                </c:pt>
                <c:pt idx="85">
                  <c:v>0.91015689678026701</c:v>
                </c:pt>
                <c:pt idx="86">
                  <c:v>0.90979553494651699</c:v>
                </c:pt>
                <c:pt idx="87">
                  <c:v>0.91048767152125298</c:v>
                </c:pt>
                <c:pt idx="88">
                  <c:v>0.91297522064424697</c:v>
                </c:pt>
                <c:pt idx="89">
                  <c:v>0.91559897126705603</c:v>
                </c:pt>
                <c:pt idx="90">
                  <c:v>0.91780948645148597</c:v>
                </c:pt>
                <c:pt idx="91">
                  <c:v>0.91839217010519802</c:v>
                </c:pt>
                <c:pt idx="92">
                  <c:v>0.91844093427361295</c:v>
                </c:pt>
                <c:pt idx="93">
                  <c:v>0.91805915086100998</c:v>
                </c:pt>
                <c:pt idx="94">
                  <c:v>0.91702343237478301</c:v>
                </c:pt>
                <c:pt idx="95">
                  <c:v>0.91697073452755695</c:v>
                </c:pt>
                <c:pt idx="96">
                  <c:v>0.91820788023703603</c:v>
                </c:pt>
                <c:pt idx="97">
                  <c:v>0.91960436594412298</c:v>
                </c:pt>
                <c:pt idx="98">
                  <c:v>0.92183838042805599</c:v>
                </c:pt>
                <c:pt idx="99">
                  <c:v>0.92460949190070096</c:v>
                </c:pt>
                <c:pt idx="100">
                  <c:v>0.92726388076730804</c:v>
                </c:pt>
                <c:pt idx="101">
                  <c:v>0.93063321066416804</c:v>
                </c:pt>
                <c:pt idx="102">
                  <c:v>0.93332551334298297</c:v>
                </c:pt>
                <c:pt idx="103">
                  <c:v>0.93823265162954606</c:v>
                </c:pt>
                <c:pt idx="104">
                  <c:v>0.94343013238821305</c:v>
                </c:pt>
                <c:pt idx="105">
                  <c:v>0.94733082053809803</c:v>
                </c:pt>
                <c:pt idx="106">
                  <c:v>0.94968079955171902</c:v>
                </c:pt>
                <c:pt idx="107">
                  <c:v>0.951980777813762</c:v>
                </c:pt>
                <c:pt idx="108">
                  <c:v>0.95241860212219098</c:v>
                </c:pt>
                <c:pt idx="109">
                  <c:v>0.95256195985997605</c:v>
                </c:pt>
                <c:pt idx="110">
                  <c:v>0.95392825897521505</c:v>
                </c:pt>
                <c:pt idx="111">
                  <c:v>0.95508770662222597</c:v>
                </c:pt>
                <c:pt idx="112">
                  <c:v>0.95810877782777604</c:v>
                </c:pt>
                <c:pt idx="113">
                  <c:v>0.95839008343948595</c:v>
                </c:pt>
                <c:pt idx="114">
                  <c:v>0.95798858587873303</c:v>
                </c:pt>
                <c:pt idx="115">
                  <c:v>0.95884616426503599</c:v>
                </c:pt>
                <c:pt idx="116">
                  <c:v>0.96202013590684299</c:v>
                </c:pt>
                <c:pt idx="117">
                  <c:v>0.96348573748369404</c:v>
                </c:pt>
                <c:pt idx="118">
                  <c:v>0.96555601537138103</c:v>
                </c:pt>
                <c:pt idx="119">
                  <c:v>0.96887174824018596</c:v>
                </c:pt>
                <c:pt idx="120">
                  <c:v>0.96902377566208597</c:v>
                </c:pt>
                <c:pt idx="121">
                  <c:v>0.97005857070661805</c:v>
                </c:pt>
                <c:pt idx="122">
                  <c:v>0.97063387078000996</c:v>
                </c:pt>
                <c:pt idx="123">
                  <c:v>0.97130744664810298</c:v>
                </c:pt>
                <c:pt idx="124">
                  <c:v>0.97080757237665305</c:v>
                </c:pt>
                <c:pt idx="125">
                  <c:v>0.97013228419148001</c:v>
                </c:pt>
                <c:pt idx="126">
                  <c:v>0.967092052810681</c:v>
                </c:pt>
                <c:pt idx="127">
                  <c:v>0.96486921470792297</c:v>
                </c:pt>
                <c:pt idx="128">
                  <c:v>0.96340064288680605</c:v>
                </c:pt>
                <c:pt idx="129">
                  <c:v>0.96037557478723001</c:v>
                </c:pt>
                <c:pt idx="130">
                  <c:v>0.95845268047887799</c:v>
                </c:pt>
                <c:pt idx="131">
                  <c:v>0.95584678008606105</c:v>
                </c:pt>
                <c:pt idx="132">
                  <c:v>0.95214446257528296</c:v>
                </c:pt>
                <c:pt idx="133">
                  <c:v>0.94873722091435897</c:v>
                </c:pt>
                <c:pt idx="134">
                  <c:v>0.94688323994483004</c:v>
                </c:pt>
                <c:pt idx="135">
                  <c:v>0.94444693325481199</c:v>
                </c:pt>
                <c:pt idx="136">
                  <c:v>0.94419090834087804</c:v>
                </c:pt>
                <c:pt idx="137">
                  <c:v>0.94406515547329295</c:v>
                </c:pt>
                <c:pt idx="138">
                  <c:v>0.943361838047867</c:v>
                </c:pt>
                <c:pt idx="139">
                  <c:v>0.94213021776490302</c:v>
                </c:pt>
                <c:pt idx="140">
                  <c:v>0.94170432279021699</c:v>
                </c:pt>
                <c:pt idx="141">
                  <c:v>0.93989820679355196</c:v>
                </c:pt>
                <c:pt idx="142">
                  <c:v>0.93812896283260405</c:v>
                </c:pt>
                <c:pt idx="143">
                  <c:v>0.93850430250175298</c:v>
                </c:pt>
                <c:pt idx="144">
                  <c:v>0.93814943132287498</c:v>
                </c:pt>
                <c:pt idx="145">
                  <c:v>0.93743077958509202</c:v>
                </c:pt>
                <c:pt idx="146">
                  <c:v>0.93698614150688997</c:v>
                </c:pt>
                <c:pt idx="147">
                  <c:v>0.93548878307155303</c:v>
                </c:pt>
                <c:pt idx="148">
                  <c:v>0.93365786611941504</c:v>
                </c:pt>
                <c:pt idx="149">
                  <c:v>0.93298171960559595</c:v>
                </c:pt>
                <c:pt idx="150">
                  <c:v>0.93184528885735096</c:v>
                </c:pt>
                <c:pt idx="151">
                  <c:v>0.93228696235758501</c:v>
                </c:pt>
                <c:pt idx="152">
                  <c:v>0.93353008061679399</c:v>
                </c:pt>
                <c:pt idx="153">
                  <c:v>0.93339308552177003</c:v>
                </c:pt>
                <c:pt idx="154">
                  <c:v>0.93362412217628299</c:v>
                </c:pt>
                <c:pt idx="155">
                  <c:v>0.93466724116306199</c:v>
                </c:pt>
                <c:pt idx="156">
                  <c:v>0.93375009165158696</c:v>
                </c:pt>
                <c:pt idx="157">
                  <c:v>0.93324181004531703</c:v>
                </c:pt>
                <c:pt idx="158">
                  <c:v>0.93289666204527599</c:v>
                </c:pt>
                <c:pt idx="159">
                  <c:v>0.932459911474394</c:v>
                </c:pt>
                <c:pt idx="160">
                  <c:v>0.93205956310882598</c:v>
                </c:pt>
                <c:pt idx="161">
                  <c:v>0.93130632753449505</c:v>
                </c:pt>
                <c:pt idx="162">
                  <c:v>0.93057776382053303</c:v>
                </c:pt>
                <c:pt idx="163">
                  <c:v>0.92879064583795101</c:v>
                </c:pt>
                <c:pt idx="164">
                  <c:v>0.92710952979499595</c:v>
                </c:pt>
                <c:pt idx="165">
                  <c:v>0.924802315034847</c:v>
                </c:pt>
                <c:pt idx="166">
                  <c:v>0.92330132449597502</c:v>
                </c:pt>
                <c:pt idx="167">
                  <c:v>0.92174672550185699</c:v>
                </c:pt>
                <c:pt idx="168">
                  <c:v>0.91978873876447997</c:v>
                </c:pt>
                <c:pt idx="169">
                  <c:v>0.91867671470116397</c:v>
                </c:pt>
                <c:pt idx="170">
                  <c:v>0.918204461625444</c:v>
                </c:pt>
                <c:pt idx="171">
                  <c:v>0.918353809936996</c:v>
                </c:pt>
                <c:pt idx="172">
                  <c:v>0.91796964437825301</c:v>
                </c:pt>
                <c:pt idx="173">
                  <c:v>0.91897907293760495</c:v>
                </c:pt>
                <c:pt idx="174">
                  <c:v>0.91887863657852498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2-428E-9C46-68726DA2F1D3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SOXX*/SMH*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0.85436566276978498</c:v>
                </c:pt>
                <c:pt idx="20">
                  <c:v>0.85557484982092502</c:v>
                </c:pt>
                <c:pt idx="21">
                  <c:v>0.85691478956380895</c:v>
                </c:pt>
                <c:pt idx="22">
                  <c:v>0.85780135546015002</c:v>
                </c:pt>
                <c:pt idx="23">
                  <c:v>0.85901807599236402</c:v>
                </c:pt>
                <c:pt idx="24">
                  <c:v>0.86023968890517</c:v>
                </c:pt>
                <c:pt idx="25">
                  <c:v>0.86137907367211297</c:v>
                </c:pt>
                <c:pt idx="26">
                  <c:v>0.862510207519674</c:v>
                </c:pt>
                <c:pt idx="27">
                  <c:v>0.86336702781956898</c:v>
                </c:pt>
                <c:pt idx="28">
                  <c:v>0.86391140842741398</c:v>
                </c:pt>
                <c:pt idx="29">
                  <c:v>0.86487024706857696</c:v>
                </c:pt>
                <c:pt idx="30">
                  <c:v>0.86554998152632201</c:v>
                </c:pt>
                <c:pt idx="31">
                  <c:v>0.86572217268506002</c:v>
                </c:pt>
                <c:pt idx="32">
                  <c:v>0.86578760029280599</c:v>
                </c:pt>
                <c:pt idx="33">
                  <c:v>0.86581065370844701</c:v>
                </c:pt>
                <c:pt idx="34">
                  <c:v>0.86594269899583498</c:v>
                </c:pt>
                <c:pt idx="35">
                  <c:v>0.86611844037880703</c:v>
                </c:pt>
                <c:pt idx="36">
                  <c:v>0.86619096757298997</c:v>
                </c:pt>
                <c:pt idx="37">
                  <c:v>0.86623188068524803</c:v>
                </c:pt>
                <c:pt idx="38">
                  <c:v>0.86633081610227902</c:v>
                </c:pt>
                <c:pt idx="39">
                  <c:v>0.86672884586805099</c:v>
                </c:pt>
                <c:pt idx="40">
                  <c:v>0.86630802710696697</c:v>
                </c:pt>
                <c:pt idx="41">
                  <c:v>0.86563975095494705</c:v>
                </c:pt>
                <c:pt idx="42">
                  <c:v>0.86511513963964803</c:v>
                </c:pt>
                <c:pt idx="43">
                  <c:v>0.86421157147165095</c:v>
                </c:pt>
                <c:pt idx="44">
                  <c:v>0.86347328320130601</c:v>
                </c:pt>
                <c:pt idx="45">
                  <c:v>0.86273398913640298</c:v>
                </c:pt>
                <c:pt idx="46">
                  <c:v>0.86197326625432202</c:v>
                </c:pt>
                <c:pt idx="47">
                  <c:v>0.86108866371634296</c:v>
                </c:pt>
                <c:pt idx="48">
                  <c:v>0.86058194276051703</c:v>
                </c:pt>
                <c:pt idx="49">
                  <c:v>0.85996939339045098</c:v>
                </c:pt>
                <c:pt idx="50">
                  <c:v>0.85938820850173403</c:v>
                </c:pt>
                <c:pt idx="51">
                  <c:v>0.85897541409225697</c:v>
                </c:pt>
                <c:pt idx="52">
                  <c:v>0.85867346475745099</c:v>
                </c:pt>
                <c:pt idx="53">
                  <c:v>0.85858407493797695</c:v>
                </c:pt>
                <c:pt idx="54">
                  <c:v>0.85837557873445502</c:v>
                </c:pt>
                <c:pt idx="55">
                  <c:v>0.858401147497872</c:v>
                </c:pt>
                <c:pt idx="56">
                  <c:v>0.85848711816919299</c:v>
                </c:pt>
                <c:pt idx="57">
                  <c:v>0.85836149718251697</c:v>
                </c:pt>
                <c:pt idx="58">
                  <c:v>0.85823263255149895</c:v>
                </c:pt>
                <c:pt idx="59">
                  <c:v>0.85764444777551796</c:v>
                </c:pt>
                <c:pt idx="60">
                  <c:v>0.85770151602608802</c:v>
                </c:pt>
                <c:pt idx="61">
                  <c:v>0.85809716866256203</c:v>
                </c:pt>
                <c:pt idx="62">
                  <c:v>0.85866285799306696</c:v>
                </c:pt>
                <c:pt idx="63">
                  <c:v>0.85960755499114905</c:v>
                </c:pt>
                <c:pt idx="64">
                  <c:v>0.86044192572851996</c:v>
                </c:pt>
                <c:pt idx="65">
                  <c:v>0.86159686932394097</c:v>
                </c:pt>
                <c:pt idx="66">
                  <c:v>0.86294047357821702</c:v>
                </c:pt>
                <c:pt idx="67">
                  <c:v>0.86465002702218996</c:v>
                </c:pt>
                <c:pt idx="68">
                  <c:v>0.86624128283808599</c:v>
                </c:pt>
                <c:pt idx="69">
                  <c:v>0.86774570447169597</c:v>
                </c:pt>
                <c:pt idx="70">
                  <c:v>0.86923551116701003</c:v>
                </c:pt>
                <c:pt idx="71">
                  <c:v>0.87089882868676904</c:v>
                </c:pt>
                <c:pt idx="72">
                  <c:v>0.87260770862066706</c:v>
                </c:pt>
                <c:pt idx="73">
                  <c:v>0.874393900654859</c:v>
                </c:pt>
                <c:pt idx="74">
                  <c:v>0.87666095389486998</c:v>
                </c:pt>
                <c:pt idx="75">
                  <c:v>0.87872405799970299</c:v>
                </c:pt>
                <c:pt idx="76">
                  <c:v>0.88122294448764105</c:v>
                </c:pt>
                <c:pt idx="77">
                  <c:v>0.88362166507818696</c:v>
                </c:pt>
                <c:pt idx="78">
                  <c:v>0.88538244118999199</c:v>
                </c:pt>
                <c:pt idx="79">
                  <c:v>0.88731237539137997</c:v>
                </c:pt>
                <c:pt idx="80">
                  <c:v>0.889487964806154</c:v>
                </c:pt>
                <c:pt idx="81">
                  <c:v>0.89183558668448104</c:v>
                </c:pt>
                <c:pt idx="82">
                  <c:v>0.89423120342144002</c:v>
                </c:pt>
                <c:pt idx="83">
                  <c:v>0.89636896881966899</c:v>
                </c:pt>
                <c:pt idx="84">
                  <c:v>0.89906556516929503</c:v>
                </c:pt>
                <c:pt idx="85">
                  <c:v>0.90137398424009496</c:v>
                </c:pt>
                <c:pt idx="86">
                  <c:v>0.90295940546415399</c:v>
                </c:pt>
                <c:pt idx="87">
                  <c:v>0.90463293383889798</c:v>
                </c:pt>
                <c:pt idx="88">
                  <c:v>0.90649359832777698</c:v>
                </c:pt>
                <c:pt idx="89">
                  <c:v>0.908076571306076</c:v>
                </c:pt>
                <c:pt idx="90">
                  <c:v>0.90986325144775804</c:v>
                </c:pt>
                <c:pt idx="91">
                  <c:v>0.91105713505677399</c:v>
                </c:pt>
                <c:pt idx="92">
                  <c:v>0.91197850893466603</c:v>
                </c:pt>
                <c:pt idx="93">
                  <c:v>0.91237605547654399</c:v>
                </c:pt>
                <c:pt idx="94">
                  <c:v>0.912766003264607</c:v>
                </c:pt>
                <c:pt idx="95">
                  <c:v>0.91356381565391198</c:v>
                </c:pt>
                <c:pt idx="96">
                  <c:v>0.91400170759177701</c:v>
                </c:pt>
                <c:pt idx="97">
                  <c:v>0.91504601873268798</c:v>
                </c:pt>
                <c:pt idx="98">
                  <c:v>0.91740680053615198</c:v>
                </c:pt>
                <c:pt idx="99">
                  <c:v>0.920104231583878</c:v>
                </c:pt>
                <c:pt idx="100">
                  <c:v>0.922536683609397</c:v>
                </c:pt>
                <c:pt idx="101">
                  <c:v>0.92451269038468298</c:v>
                </c:pt>
                <c:pt idx="102">
                  <c:v>0.92588322380829802</c:v>
                </c:pt>
                <c:pt idx="103">
                  <c:v>0.92814590124527796</c:v>
                </c:pt>
                <c:pt idx="104">
                  <c:v>0.93022678238149803</c:v>
                </c:pt>
                <c:pt idx="105">
                  <c:v>0.93215077753282805</c:v>
                </c:pt>
                <c:pt idx="106">
                  <c:v>0.93394433989437797</c:v>
                </c:pt>
                <c:pt idx="107">
                  <c:v>0.93579257187894305</c:v>
                </c:pt>
                <c:pt idx="108">
                  <c:v>0.93712849127512399</c:v>
                </c:pt>
                <c:pt idx="109">
                  <c:v>0.93858572588033895</c:v>
                </c:pt>
                <c:pt idx="110">
                  <c:v>0.94059606987126099</c:v>
                </c:pt>
                <c:pt idx="111">
                  <c:v>0.94286045864319701</c:v>
                </c:pt>
                <c:pt idx="112">
                  <c:v>0.94571714558538</c:v>
                </c:pt>
                <c:pt idx="113">
                  <c:v>0.94831136753451595</c:v>
                </c:pt>
                <c:pt idx="114">
                  <c:v>0.95070935913347299</c:v>
                </c:pt>
                <c:pt idx="115">
                  <c:v>0.95308849240156701</c:v>
                </c:pt>
                <c:pt idx="116">
                  <c:v>0.95585046772928095</c:v>
                </c:pt>
                <c:pt idx="117">
                  <c:v>0.95773325764872796</c:v>
                </c:pt>
                <c:pt idx="118">
                  <c:v>0.95898730874678595</c:v>
                </c:pt>
                <c:pt idx="119">
                  <c:v>0.960716854050081</c:v>
                </c:pt>
                <c:pt idx="120">
                  <c:v>0.96147601731865096</c:v>
                </c:pt>
                <c:pt idx="121">
                  <c:v>0.96257313866442196</c:v>
                </c:pt>
                <c:pt idx="122">
                  <c:v>0.96437132430389305</c:v>
                </c:pt>
                <c:pt idx="123">
                  <c:v>0.96484876504379402</c:v>
                </c:pt>
                <c:pt idx="124">
                  <c:v>0.96439807912769304</c:v>
                </c:pt>
                <c:pt idx="125">
                  <c:v>0.964489224228258</c:v>
                </c:pt>
                <c:pt idx="126">
                  <c:v>0.964556094358762</c:v>
                </c:pt>
                <c:pt idx="127">
                  <c:v>0.96417747609580795</c:v>
                </c:pt>
                <c:pt idx="128">
                  <c:v>0.96447832912909404</c:v>
                </c:pt>
                <c:pt idx="129">
                  <c:v>0.96462366151370804</c:v>
                </c:pt>
                <c:pt idx="130">
                  <c:v>0.96373822807048204</c:v>
                </c:pt>
                <c:pt idx="131">
                  <c:v>0.96295267539634</c:v>
                </c:pt>
                <c:pt idx="132">
                  <c:v>0.96138916667764596</c:v>
                </c:pt>
                <c:pt idx="133">
                  <c:v>0.96002233378123103</c:v>
                </c:pt>
                <c:pt idx="134">
                  <c:v>0.95884540616074099</c:v>
                </c:pt>
                <c:pt idx="135">
                  <c:v>0.95728960872314595</c:v>
                </c:pt>
                <c:pt idx="136">
                  <c:v>0.95564148057578002</c:v>
                </c:pt>
                <c:pt idx="137">
                  <c:v>0.95446718509060802</c:v>
                </c:pt>
                <c:pt idx="138">
                  <c:v>0.95338124046733697</c:v>
                </c:pt>
                <c:pt idx="139">
                  <c:v>0.95125289627606702</c:v>
                </c:pt>
                <c:pt idx="140">
                  <c:v>0.95007850163454799</c:v>
                </c:pt>
                <c:pt idx="141">
                  <c:v>0.94787249343980695</c:v>
                </c:pt>
                <c:pt idx="142">
                  <c:v>0.94513671270394295</c:v>
                </c:pt>
                <c:pt idx="143">
                  <c:v>0.94362076170805598</c:v>
                </c:pt>
                <c:pt idx="144">
                  <c:v>0.94251633563385195</c:v>
                </c:pt>
                <c:pt idx="145">
                  <c:v>0.94093885641995201</c:v>
                </c:pt>
                <c:pt idx="146">
                  <c:v>0.94058852492388401</c:v>
                </c:pt>
                <c:pt idx="147">
                  <c:v>0.93977696927242305</c:v>
                </c:pt>
                <c:pt idx="148">
                  <c:v>0.93850985208364102</c:v>
                </c:pt>
                <c:pt idx="149">
                  <c:v>0.93755596868524904</c:v>
                </c:pt>
                <c:pt idx="150">
                  <c:v>0.93677480582378403</c:v>
                </c:pt>
                <c:pt idx="151">
                  <c:v>0.93609258457556899</c:v>
                </c:pt>
                <c:pt idx="152">
                  <c:v>0.93582952172469902</c:v>
                </c:pt>
                <c:pt idx="153">
                  <c:v>0.93594869401176195</c:v>
                </c:pt>
                <c:pt idx="154">
                  <c:v>0.93588677674957899</c:v>
                </c:pt>
                <c:pt idx="155">
                  <c:v>0.93604901037407695</c:v>
                </c:pt>
                <c:pt idx="156">
                  <c:v>0.93536811657923902</c:v>
                </c:pt>
                <c:pt idx="157">
                  <c:v>0.93436529655843503</c:v>
                </c:pt>
                <c:pt idx="158">
                  <c:v>0.93327726408234501</c:v>
                </c:pt>
                <c:pt idx="159">
                  <c:v>0.93272081553999497</c:v>
                </c:pt>
                <c:pt idx="160">
                  <c:v>0.93195242598308803</c:v>
                </c:pt>
                <c:pt idx="161">
                  <c:v>0.93179664494603998</c:v>
                </c:pt>
                <c:pt idx="162">
                  <c:v>0.93205392221866401</c:v>
                </c:pt>
                <c:pt idx="163">
                  <c:v>0.93109186567986102</c:v>
                </c:pt>
                <c:pt idx="164">
                  <c:v>0.93036682598563902</c:v>
                </c:pt>
                <c:pt idx="165">
                  <c:v>0.92973477809895499</c:v>
                </c:pt>
                <c:pt idx="166">
                  <c:v>0.92852570807378099</c:v>
                </c:pt>
                <c:pt idx="167">
                  <c:v>0.92749426777358701</c:v>
                </c:pt>
                <c:pt idx="168">
                  <c:v>0.92634270040487798</c:v>
                </c:pt>
                <c:pt idx="169">
                  <c:v>0.92556831308777898</c:v>
                </c:pt>
                <c:pt idx="170">
                  <c:v>0.92513201236713505</c:v>
                </c:pt>
                <c:pt idx="171">
                  <c:v>0.92483006873574503</c:v>
                </c:pt>
                <c:pt idx="172">
                  <c:v>0.92427370409939302</c:v>
                </c:pt>
                <c:pt idx="173">
                  <c:v>0.92388485938777798</c:v>
                </c:pt>
                <c:pt idx="174">
                  <c:v>0.92299408318676102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2-428E-9C46-68726DA2F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SMH x avg / SOXX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7.2033908490552301E-2</c:v>
                </c:pt>
                <c:pt idx="2">
                  <c:v>6.6410367484126001E-2</c:v>
                </c:pt>
                <c:pt idx="3">
                  <c:v>7.0273619338743307E-2</c:v>
                </c:pt>
                <c:pt idx="4">
                  <c:v>7.0940801378732293E-2</c:v>
                </c:pt>
                <c:pt idx="5">
                  <c:v>6.9220904220161097E-2</c:v>
                </c:pt>
                <c:pt idx="6">
                  <c:v>6.8149919849437204E-2</c:v>
                </c:pt>
                <c:pt idx="7">
                  <c:v>6.1484157382357997E-2</c:v>
                </c:pt>
                <c:pt idx="8">
                  <c:v>5.7538277988233702E-2</c:v>
                </c:pt>
                <c:pt idx="9">
                  <c:v>6.21784946796985E-2</c:v>
                </c:pt>
                <c:pt idx="10">
                  <c:v>5.6720011327648097E-2</c:v>
                </c:pt>
                <c:pt idx="11">
                  <c:v>4.6490274231847303E-2</c:v>
                </c:pt>
                <c:pt idx="12">
                  <c:v>4.4138248227454303E-2</c:v>
                </c:pt>
                <c:pt idx="13">
                  <c:v>4.4828897752735998E-2</c:v>
                </c:pt>
                <c:pt idx="14">
                  <c:v>4.94510398117965E-2</c:v>
                </c:pt>
                <c:pt idx="15">
                  <c:v>5.1040681153282197E-2</c:v>
                </c:pt>
                <c:pt idx="16">
                  <c:v>4.8878131606743903E-2</c:v>
                </c:pt>
                <c:pt idx="17">
                  <c:v>4.5282546039857E-2</c:v>
                </c:pt>
                <c:pt idx="18">
                  <c:v>4.5559444871791997E-2</c:v>
                </c:pt>
                <c:pt idx="19">
                  <c:v>5.3236900646334497E-2</c:v>
                </c:pt>
                <c:pt idx="20">
                  <c:v>4.6069160005106503E-2</c:v>
                </c:pt>
                <c:pt idx="21">
                  <c:v>4.0714892661724997E-2</c:v>
                </c:pt>
                <c:pt idx="22">
                  <c:v>4.5694457978500601E-2</c:v>
                </c:pt>
                <c:pt idx="23">
                  <c:v>4.1843438857857199E-2</c:v>
                </c:pt>
                <c:pt idx="24">
                  <c:v>4.2379140274834498E-2</c:v>
                </c:pt>
                <c:pt idx="25">
                  <c:v>4.2601579957856302E-2</c:v>
                </c:pt>
                <c:pt idx="26">
                  <c:v>4.1748755806582098E-2</c:v>
                </c:pt>
                <c:pt idx="27">
                  <c:v>4.1553828291879001E-2</c:v>
                </c:pt>
                <c:pt idx="28">
                  <c:v>4.4879349463591199E-2</c:v>
                </c:pt>
                <c:pt idx="29">
                  <c:v>3.9886082084385002E-2</c:v>
                </c:pt>
                <c:pt idx="30">
                  <c:v>4.0951114987768197E-2</c:v>
                </c:pt>
                <c:pt idx="31">
                  <c:v>4.2512914657038901E-2</c:v>
                </c:pt>
                <c:pt idx="32">
                  <c:v>4.2628655864623499E-2</c:v>
                </c:pt>
                <c:pt idx="33">
                  <c:v>4.4296365303178403E-2</c:v>
                </c:pt>
                <c:pt idx="34">
                  <c:v>4.6390542742420597E-2</c:v>
                </c:pt>
                <c:pt idx="35">
                  <c:v>4.6963007496277201E-2</c:v>
                </c:pt>
                <c:pt idx="36">
                  <c:v>4.7196926288318897E-2</c:v>
                </c:pt>
                <c:pt idx="37">
                  <c:v>4.4337222042281903E-2</c:v>
                </c:pt>
                <c:pt idx="38">
                  <c:v>4.3274376445292001E-2</c:v>
                </c:pt>
                <c:pt idx="39">
                  <c:v>4.40050805456835E-2</c:v>
                </c:pt>
                <c:pt idx="40">
                  <c:v>5.5852403072161202E-2</c:v>
                </c:pt>
                <c:pt idx="41">
                  <c:v>5.62122114441014E-2</c:v>
                </c:pt>
                <c:pt idx="42">
                  <c:v>5.7900866265431901E-2</c:v>
                </c:pt>
                <c:pt idx="43">
                  <c:v>6.2878828608257997E-2</c:v>
                </c:pt>
                <c:pt idx="44">
                  <c:v>5.9542812201278897E-2</c:v>
                </c:pt>
                <c:pt idx="45">
                  <c:v>5.9792693227837097E-2</c:v>
                </c:pt>
                <c:pt idx="46">
                  <c:v>5.9427378986929201E-2</c:v>
                </c:pt>
                <c:pt idx="47">
                  <c:v>6.2137090549452802E-2</c:v>
                </c:pt>
                <c:pt idx="48">
                  <c:v>5.66573689731798E-2</c:v>
                </c:pt>
                <c:pt idx="49">
                  <c:v>5.4070034467551098E-2</c:v>
                </c:pt>
                <c:pt idx="50">
                  <c:v>5.44183283097242E-2</c:v>
                </c:pt>
                <c:pt idx="51">
                  <c:v>5.2074480955166702E-2</c:v>
                </c:pt>
                <c:pt idx="52">
                  <c:v>4.9614534629993698E-2</c:v>
                </c:pt>
                <c:pt idx="53">
                  <c:v>4.63628484949122E-2</c:v>
                </c:pt>
                <c:pt idx="54">
                  <c:v>5.1227281885163199E-2</c:v>
                </c:pt>
                <c:pt idx="55">
                  <c:v>4.6371126407297403E-2</c:v>
                </c:pt>
                <c:pt idx="56">
                  <c:v>4.5207750506019703E-2</c:v>
                </c:pt>
                <c:pt idx="57">
                  <c:v>4.7242621518636597E-2</c:v>
                </c:pt>
                <c:pt idx="58">
                  <c:v>4.6251736920622601E-2</c:v>
                </c:pt>
                <c:pt idx="59">
                  <c:v>5.7677582767432102E-2</c:v>
                </c:pt>
                <c:pt idx="60">
                  <c:v>5.4520050706906298E-2</c:v>
                </c:pt>
                <c:pt idx="61">
                  <c:v>4.7008054337155901E-2</c:v>
                </c:pt>
                <c:pt idx="62">
                  <c:v>4.4744934745104499E-2</c:v>
                </c:pt>
                <c:pt idx="63">
                  <c:v>4.0896393973623997E-2</c:v>
                </c:pt>
                <c:pt idx="64">
                  <c:v>4.0166931020742203E-2</c:v>
                </c:pt>
                <c:pt idx="65">
                  <c:v>3.3064534940807702E-2</c:v>
                </c:pt>
                <c:pt idx="66">
                  <c:v>2.8411406084654801E-2</c:v>
                </c:pt>
                <c:pt idx="67">
                  <c:v>2.2732992918173801E-2</c:v>
                </c:pt>
                <c:pt idx="68">
                  <c:v>2.0127594076609599E-2</c:v>
                </c:pt>
                <c:pt idx="69">
                  <c:v>1.9587429665452901E-2</c:v>
                </c:pt>
                <c:pt idx="70">
                  <c:v>2.02533580751331E-2</c:v>
                </c:pt>
                <c:pt idx="71">
                  <c:v>1.4092764416431799E-2</c:v>
                </c:pt>
                <c:pt idx="72">
                  <c:v>1.0706420442866699E-2</c:v>
                </c:pt>
                <c:pt idx="73">
                  <c:v>5.8590458629432397E-3</c:v>
                </c:pt>
                <c:pt idx="74">
                  <c:v>-1.49033400827019E-4</c:v>
                </c:pt>
                <c:pt idx="75">
                  <c:v>-2.68003974166971E-4</c:v>
                </c:pt>
                <c:pt idx="76">
                  <c:v>-1.09470113010432E-2</c:v>
                </c:pt>
                <c:pt idx="77">
                  <c:v>-6.8278566933311002E-3</c:v>
                </c:pt>
                <c:pt idx="78">
                  <c:v>6.3172610544241104E-3</c:v>
                </c:pt>
                <c:pt idx="79">
                  <c:v>1.3498134247555801E-2</c:v>
                </c:pt>
                <c:pt idx="80">
                  <c:v>5.0073869777793904E-3</c:v>
                </c:pt>
                <c:pt idx="81">
                  <c:v>-5.92845001769362E-3</c:v>
                </c:pt>
                <c:pt idx="82">
                  <c:v>-9.1262853896866298E-3</c:v>
                </c:pt>
                <c:pt idx="83">
                  <c:v>-7.1330343279609196E-3</c:v>
                </c:pt>
                <c:pt idx="84">
                  <c:v>-2.0003935187738599E-2</c:v>
                </c:pt>
                <c:pt idx="85">
                  <c:v>-1.8307739251700601E-2</c:v>
                </c:pt>
                <c:pt idx="86">
                  <c:v>-6.9908467947432896E-3</c:v>
                </c:pt>
                <c:pt idx="87">
                  <c:v>-1.43928794697409E-2</c:v>
                </c:pt>
                <c:pt idx="88">
                  <c:v>-2.09603291186756E-2</c:v>
                </c:pt>
                <c:pt idx="89">
                  <c:v>-1.5455944543839599E-2</c:v>
                </c:pt>
                <c:pt idx="90">
                  <c:v>-1.9237509511774501E-2</c:v>
                </c:pt>
                <c:pt idx="91">
                  <c:v>-1.2306675845381299E-2</c:v>
                </c:pt>
                <c:pt idx="92">
                  <c:v>-9.6599260880010796E-3</c:v>
                </c:pt>
                <c:pt idx="93">
                  <c:v>-2.93682063884055E-3</c:v>
                </c:pt>
                <c:pt idx="94">
                  <c:v>-8.7260337895050302E-3</c:v>
                </c:pt>
                <c:pt idx="95">
                  <c:v>-1.77360058452577E-2</c:v>
                </c:pt>
                <c:pt idx="96">
                  <c:v>-2.0470598376800101E-2</c:v>
                </c:pt>
                <c:pt idx="97">
                  <c:v>-2.9484367069179299E-2</c:v>
                </c:pt>
                <c:pt idx="98">
                  <c:v>-4.4839264841966202E-2</c:v>
                </c:pt>
                <c:pt idx="99">
                  <c:v>-4.5152399232534203E-2</c:v>
                </c:pt>
                <c:pt idx="100">
                  <c:v>-4.7594820127333397E-2</c:v>
                </c:pt>
                <c:pt idx="101">
                  <c:v>-4.8411290083566497E-2</c:v>
                </c:pt>
                <c:pt idx="102">
                  <c:v>-3.86892712922947E-2</c:v>
                </c:pt>
                <c:pt idx="103">
                  <c:v>-5.5574896051574597E-2</c:v>
                </c:pt>
                <c:pt idx="104">
                  <c:v>-6.4080814940871006E-2</c:v>
                </c:pt>
                <c:pt idx="105">
                  <c:v>-5.9196263467148201E-2</c:v>
                </c:pt>
                <c:pt idx="106">
                  <c:v>-4.5585767817505403E-2</c:v>
                </c:pt>
                <c:pt idx="107">
                  <c:v>-5.3853711803440597E-2</c:v>
                </c:pt>
                <c:pt idx="108">
                  <c:v>-4.9452989605923703E-2</c:v>
                </c:pt>
                <c:pt idx="109">
                  <c:v>-4.6664952623411499E-2</c:v>
                </c:pt>
                <c:pt idx="110">
                  <c:v>-6.1883649340952897E-2</c:v>
                </c:pt>
                <c:pt idx="111">
                  <c:v>-6.0540080525194599E-2</c:v>
                </c:pt>
                <c:pt idx="112">
                  <c:v>-7.0290626459119807E-2</c:v>
                </c:pt>
                <c:pt idx="113">
                  <c:v>-5.8510060961846001E-2</c:v>
                </c:pt>
                <c:pt idx="114">
                  <c:v>-5.99122617966363E-2</c:v>
                </c:pt>
                <c:pt idx="115">
                  <c:v>-6.8085429723099194E-2</c:v>
                </c:pt>
                <c:pt idx="116">
                  <c:v>-7.8535978915387106E-2</c:v>
                </c:pt>
                <c:pt idx="117">
                  <c:v>-6.9078276624233201E-2</c:v>
                </c:pt>
                <c:pt idx="118">
                  <c:v>-7.0985509944755595E-2</c:v>
                </c:pt>
                <c:pt idx="119">
                  <c:v>-8.1025341918492602E-2</c:v>
                </c:pt>
                <c:pt idx="120">
                  <c:v>-6.34610104875689E-2</c:v>
                </c:pt>
                <c:pt idx="121">
                  <c:v>-7.1242048388568402E-2</c:v>
                </c:pt>
                <c:pt idx="122">
                  <c:v>-7.6196878027870493E-2</c:v>
                </c:pt>
                <c:pt idx="123">
                  <c:v>-6.5503389901019199E-2</c:v>
                </c:pt>
                <c:pt idx="124">
                  <c:v>-5.4697907813180499E-2</c:v>
                </c:pt>
                <c:pt idx="125">
                  <c:v>-6.1092403499392198E-2</c:v>
                </c:pt>
                <c:pt idx="126">
                  <c:v>-4.6996308733549E-2</c:v>
                </c:pt>
                <c:pt idx="127">
                  <c:v>-4.5895828405674098E-2</c:v>
                </c:pt>
                <c:pt idx="128">
                  <c:v>-5.5759144681668101E-2</c:v>
                </c:pt>
                <c:pt idx="129">
                  <c:v>-4.9724723973889898E-2</c:v>
                </c:pt>
                <c:pt idx="130">
                  <c:v>-4.3324350806258398E-2</c:v>
                </c:pt>
                <c:pt idx="131">
                  <c:v>-4.4069373426077502E-2</c:v>
                </c:pt>
                <c:pt idx="132">
                  <c:v>-3.7562709325562001E-2</c:v>
                </c:pt>
                <c:pt idx="133">
                  <c:v>-2.9615129503504398E-2</c:v>
                </c:pt>
                <c:pt idx="134">
                  <c:v>-3.5117457482911299E-2</c:v>
                </c:pt>
                <c:pt idx="135">
                  <c:v>-3.5448509947268503E-2</c:v>
                </c:pt>
                <c:pt idx="136">
                  <c:v>-4.4294304081190602E-2</c:v>
                </c:pt>
                <c:pt idx="137">
                  <c:v>-4.4568124086493598E-2</c:v>
                </c:pt>
                <c:pt idx="138">
                  <c:v>-4.8384120116121102E-2</c:v>
                </c:pt>
                <c:pt idx="139">
                  <c:v>-3.6694992734721397E-2</c:v>
                </c:pt>
                <c:pt idx="140">
                  <c:v>-3.8808967492690798E-2</c:v>
                </c:pt>
                <c:pt idx="141">
                  <c:v>-2.4793546284260799E-2</c:v>
                </c:pt>
                <c:pt idx="142">
                  <c:v>-1.85597229728478E-2</c:v>
                </c:pt>
                <c:pt idx="143">
                  <c:v>-3.3632276054394401E-2</c:v>
                </c:pt>
                <c:pt idx="144">
                  <c:v>-3.1325442216289301E-2</c:v>
                </c:pt>
                <c:pt idx="145">
                  <c:v>-2.7756850624557201E-2</c:v>
                </c:pt>
                <c:pt idx="146">
                  <c:v>-3.9584316735835998E-2</c:v>
                </c:pt>
                <c:pt idx="147">
                  <c:v>-2.8621981498993001E-2</c:v>
                </c:pt>
                <c:pt idx="148">
                  <c:v>-2.8925966718252601E-2</c:v>
                </c:pt>
                <c:pt idx="149">
                  <c:v>-2.9468957923825801E-2</c:v>
                </c:pt>
                <c:pt idx="150">
                  <c:v>-2.66596614213876E-2</c:v>
                </c:pt>
                <c:pt idx="151">
                  <c:v>-2.95417536241156E-2</c:v>
                </c:pt>
                <c:pt idx="152">
                  <c:v>-3.1949359682732097E-2</c:v>
                </c:pt>
                <c:pt idx="153">
                  <c:v>-3.2167928565835197E-2</c:v>
                </c:pt>
                <c:pt idx="154">
                  <c:v>-3.3795842735143501E-2</c:v>
                </c:pt>
                <c:pt idx="155">
                  <c:v>-3.89019597830675E-2</c:v>
                </c:pt>
                <c:pt idx="156">
                  <c:v>-2.97984424590137E-2</c:v>
                </c:pt>
                <c:pt idx="157">
                  <c:v>-2.3150700030323199E-2</c:v>
                </c:pt>
                <c:pt idx="158">
                  <c:v>-2.5215094239004799E-2</c:v>
                </c:pt>
                <c:pt idx="159">
                  <c:v>-2.4773456330894901E-2</c:v>
                </c:pt>
                <c:pt idx="160">
                  <c:v>-2.2344230557110201E-2</c:v>
                </c:pt>
                <c:pt idx="161">
                  <c:v>-2.1430487483619601E-2</c:v>
                </c:pt>
                <c:pt idx="162">
                  <c:v>-2.4123756768574998E-2</c:v>
                </c:pt>
                <c:pt idx="163">
                  <c:v>-1.2866256410961599E-2</c:v>
                </c:pt>
                <c:pt idx="164">
                  <c:v>-1.56792772494538E-2</c:v>
                </c:pt>
                <c:pt idx="165">
                  <c:v>-1.40821168683327E-2</c:v>
                </c:pt>
                <c:pt idx="166">
                  <c:v>-1.3573521517780599E-2</c:v>
                </c:pt>
                <c:pt idx="167">
                  <c:v>-6.2283324249253202E-3</c:v>
                </c:pt>
                <c:pt idx="168">
                  <c:v>-3.89903238566214E-3</c:v>
                </c:pt>
                <c:pt idx="169">
                  <c:v>-1.27176024520953E-2</c:v>
                </c:pt>
                <c:pt idx="170">
                  <c:v>-1.72296684202763E-2</c:v>
                </c:pt>
                <c:pt idx="171">
                  <c:v>-2.3043992276663199E-2</c:v>
                </c:pt>
                <c:pt idx="172">
                  <c:v>-1.9972589670458799E-2</c:v>
                </c:pt>
                <c:pt idx="173">
                  <c:v>-2.3814282949737999E-2</c:v>
                </c:pt>
                <c:pt idx="174">
                  <c:v>-1.45864630797527E-2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7-438D-816A-5C29A47BB932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SMH x 10 dma / SOXX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-1.0534434637330401E-2</c:v>
                </c:pt>
                <c:pt idx="11">
                  <c:v>-1.89905403391127E-2</c:v>
                </c:pt>
                <c:pt idx="12">
                  <c:v>-1.8775496411292499E-2</c:v>
                </c:pt>
                <c:pt idx="13">
                  <c:v>-1.5843023536762299E-2</c:v>
                </c:pt>
                <c:pt idx="14">
                  <c:v>-8.6716397008733005E-3</c:v>
                </c:pt>
                <c:pt idx="15">
                  <c:v>-4.9397279683597601E-3</c:v>
                </c:pt>
                <c:pt idx="16">
                  <c:v>-5.2933971387853999E-3</c:v>
                </c:pt>
                <c:pt idx="17">
                  <c:v>-6.9719634671859803E-3</c:v>
                </c:pt>
                <c:pt idx="18">
                  <c:v>-5.0780217941034803E-3</c:v>
                </c:pt>
                <c:pt idx="19">
                  <c:v>3.7955176070186298E-3</c:v>
                </c:pt>
                <c:pt idx="20">
                  <c:v>-2.4858145898390598E-3</c:v>
                </c:pt>
                <c:pt idx="21">
                  <c:v>-6.7785755157406102E-3</c:v>
                </c:pt>
                <c:pt idx="22">
                  <c:v>-1.21938773798101E-3</c:v>
                </c:pt>
                <c:pt idx="23">
                  <c:v>-5.2263511705632698E-3</c:v>
                </c:pt>
                <c:pt idx="24">
                  <c:v>-4.3910319018575896E-3</c:v>
                </c:pt>
                <c:pt idx="25">
                  <c:v>-3.46104619584794E-3</c:v>
                </c:pt>
                <c:pt idx="26">
                  <c:v>-3.47095294677661E-3</c:v>
                </c:pt>
                <c:pt idx="27">
                  <c:v>-2.9532621685004201E-3</c:v>
                </c:pt>
                <c:pt idx="28">
                  <c:v>7.4546758570727303E-4</c:v>
                </c:pt>
                <c:pt idx="29">
                  <c:v>-4.1798663442401997E-3</c:v>
                </c:pt>
                <c:pt idx="30">
                  <c:v>-1.7839553055077899E-3</c:v>
                </c:pt>
                <c:pt idx="31">
                  <c:v>2.8912216969332699E-4</c:v>
                </c:pt>
                <c:pt idx="32">
                  <c:v>2.2493527462218599E-4</c:v>
                </c:pt>
                <c:pt idx="33">
                  <c:v>2.1986397787076102E-3</c:v>
                </c:pt>
                <c:pt idx="34">
                  <c:v>4.04773283313733E-3</c:v>
                </c:pt>
                <c:pt idx="35">
                  <c:v>4.2197952267754701E-3</c:v>
                </c:pt>
                <c:pt idx="36">
                  <c:v>4.0183645936979302E-3</c:v>
                </c:pt>
                <c:pt idx="37">
                  <c:v>6.1439923265481095E-4</c:v>
                </c:pt>
                <c:pt idx="38">
                  <c:v>-7.2704106984257605E-4</c:v>
                </c:pt>
                <c:pt idx="39">
                  <c:v>1.64135364897244E-4</c:v>
                </c:pt>
                <c:pt idx="40">
                  <c:v>1.15986911366263E-2</c:v>
                </c:pt>
                <c:pt idx="41">
                  <c:v>1.0473423112570501E-2</c:v>
                </c:pt>
                <c:pt idx="42">
                  <c:v>1.07961604735465E-2</c:v>
                </c:pt>
                <c:pt idx="43">
                  <c:v>1.42505454117234E-2</c:v>
                </c:pt>
                <c:pt idx="44">
                  <c:v>9.0637372240140492E-3</c:v>
                </c:pt>
                <c:pt idx="45">
                  <c:v>8.0007881599506309E-3</c:v>
                </c:pt>
                <c:pt idx="46">
                  <c:v>6.3537085557274497E-3</c:v>
                </c:pt>
                <c:pt idx="47">
                  <c:v>7.8399106846191204E-3</c:v>
                </c:pt>
                <c:pt idx="48">
                  <c:v>5.7670143669475305E-4</c:v>
                </c:pt>
                <c:pt idx="49">
                  <c:v>-3.3580582364257702E-3</c:v>
                </c:pt>
                <c:pt idx="50">
                  <c:v>-4.0252600753709396E-3</c:v>
                </c:pt>
                <c:pt idx="51">
                  <c:v>-6.2252350819946099E-3</c:v>
                </c:pt>
                <c:pt idx="52">
                  <c:v>-8.2697709839046896E-3</c:v>
                </c:pt>
                <c:pt idx="53">
                  <c:v>-1.06897410397188E-2</c:v>
                </c:pt>
                <c:pt idx="54">
                  <c:v>-4.1710387160820497E-3</c:v>
                </c:pt>
                <c:pt idx="55">
                  <c:v>-8.1959732885529997E-3</c:v>
                </c:pt>
                <c:pt idx="56">
                  <c:v>-8.0160901568545901E-3</c:v>
                </c:pt>
                <c:pt idx="57">
                  <c:v>-4.5589669108986102E-3</c:v>
                </c:pt>
                <c:pt idx="58">
                  <c:v>-4.0657883590685196E-3</c:v>
                </c:pt>
                <c:pt idx="59">
                  <c:v>8.3989031184236104E-3</c:v>
                </c:pt>
                <c:pt idx="60">
                  <c:v>4.8829231950127897E-3</c:v>
                </c:pt>
                <c:pt idx="61">
                  <c:v>-2.6391964313708699E-3</c:v>
                </c:pt>
                <c:pt idx="62">
                  <c:v>-4.3957474488068599E-3</c:v>
                </c:pt>
                <c:pt idx="63">
                  <c:v>-7.7564909023314001E-3</c:v>
                </c:pt>
                <c:pt idx="64">
                  <c:v>-7.9367057308167704E-3</c:v>
                </c:pt>
                <c:pt idx="65">
                  <c:v>-1.3931010321047E-2</c:v>
                </c:pt>
                <c:pt idx="66">
                  <c:v>-1.7244648177955599E-2</c:v>
                </c:pt>
                <c:pt idx="67">
                  <c:v>-2.1229916397924601E-2</c:v>
                </c:pt>
                <c:pt idx="68">
                  <c:v>-2.1365246956622602E-2</c:v>
                </c:pt>
                <c:pt idx="69">
                  <c:v>-1.92746041483907E-2</c:v>
                </c:pt>
                <c:pt idx="70">
                  <c:v>-1.48057958551091E-2</c:v>
                </c:pt>
                <c:pt idx="71">
                  <c:v>-1.7553350507709901E-2</c:v>
                </c:pt>
                <c:pt idx="72">
                  <c:v>-1.76498257712479E-2</c:v>
                </c:pt>
                <c:pt idx="73">
                  <c:v>-1.90968252860323E-2</c:v>
                </c:pt>
                <c:pt idx="74">
                  <c:v>-2.1601600188847901E-2</c:v>
                </c:pt>
                <c:pt idx="75">
                  <c:v>-1.76910062070933E-2</c:v>
                </c:pt>
                <c:pt idx="76">
                  <c:v>-2.50387425633713E-2</c:v>
                </c:pt>
                <c:pt idx="77">
                  <c:v>-1.6970149211858802E-2</c:v>
                </c:pt>
                <c:pt idx="78">
                  <c:v>-8.6673859714212799E-4</c:v>
                </c:pt>
                <c:pt idx="79">
                  <c:v>7.6859233319195404E-3</c:v>
                </c:pt>
                <c:pt idx="80">
                  <c:v>-2.0257408330405101E-4</c:v>
                </c:pt>
                <c:pt idx="81">
                  <c:v>-9.6262145256533291E-3</c:v>
                </c:pt>
                <c:pt idx="82">
                  <c:v>-1.08246645839412E-2</c:v>
                </c:pt>
                <c:pt idx="83">
                  <c:v>-6.8482758772320899E-3</c:v>
                </c:pt>
                <c:pt idx="84">
                  <c:v>-1.8420345715386099E-2</c:v>
                </c:pt>
                <c:pt idx="85">
                  <c:v>-1.47236945862706E-2</c:v>
                </c:pt>
                <c:pt idx="86">
                  <c:v>-1.5941289318337701E-3</c:v>
                </c:pt>
                <c:pt idx="87">
                  <c:v>-9.3932729073246193E-3</c:v>
                </c:pt>
                <c:pt idx="88">
                  <c:v>-1.52002512124235E-2</c:v>
                </c:pt>
                <c:pt idx="89">
                  <c:v>-6.967485734631E-3</c:v>
                </c:pt>
                <c:pt idx="90">
                  <c:v>-7.8793258261748399E-3</c:v>
                </c:pt>
                <c:pt idx="91">
                  <c:v>1.4628813083091901E-3</c:v>
                </c:pt>
                <c:pt idx="92">
                  <c:v>4.7442930279961298E-3</c:v>
                </c:pt>
                <c:pt idx="93">
                  <c:v>1.1520494393502299E-2</c:v>
                </c:pt>
                <c:pt idx="94">
                  <c:v>5.3155084136474002E-3</c:v>
                </c:pt>
                <c:pt idx="95">
                  <c:v>-4.8232614473516797E-3</c:v>
                </c:pt>
                <c:pt idx="96">
                  <c:v>-7.6153218249664697E-3</c:v>
                </c:pt>
                <c:pt idx="97">
                  <c:v>-1.52808338550974E-2</c:v>
                </c:pt>
                <c:pt idx="98">
                  <c:v>-2.9116005139216101E-2</c:v>
                </c:pt>
                <c:pt idx="99">
                  <c:v>-2.7002764249466699E-2</c:v>
                </c:pt>
                <c:pt idx="100">
                  <c:v>-2.6443623502942999E-2</c:v>
                </c:pt>
                <c:pt idx="101">
                  <c:v>-2.4393384834708699E-2</c:v>
                </c:pt>
                <c:pt idx="102">
                  <c:v>-1.10443259816975E-2</c:v>
                </c:pt>
                <c:pt idx="103">
                  <c:v>-2.50411479832214E-2</c:v>
                </c:pt>
                <c:pt idx="104">
                  <c:v>-2.8303148063704001E-2</c:v>
                </c:pt>
                <c:pt idx="105">
                  <c:v>-1.78942337539616E-2</c:v>
                </c:pt>
                <c:pt idx="106">
                  <c:v>-1.5768115594137099E-4</c:v>
                </c:pt>
                <c:pt idx="107">
                  <c:v>-5.9480649721777301E-3</c:v>
                </c:pt>
                <c:pt idx="108">
                  <c:v>8.7157277885178497E-4</c:v>
                </c:pt>
                <c:pt idx="109">
                  <c:v>4.1194128055736098E-3</c:v>
                </c:pt>
                <c:pt idx="110">
                  <c:v>-1.0948775564621101E-2</c:v>
                </c:pt>
                <c:pt idx="111">
                  <c:v>-8.1718929708544403E-3</c:v>
                </c:pt>
                <c:pt idx="112">
                  <c:v>-1.6707731631010098E-2</c:v>
                </c:pt>
                <c:pt idx="113">
                  <c:v>-1.7690234744920301E-3</c:v>
                </c:pt>
                <c:pt idx="114">
                  <c:v>-2.8776623151526301E-3</c:v>
                </c:pt>
                <c:pt idx="115">
                  <c:v>-1.14698471854543E-2</c:v>
                </c:pt>
                <c:pt idx="116">
                  <c:v>-2.1025610383845698E-2</c:v>
                </c:pt>
                <c:pt idx="117">
                  <c:v>-8.2631757121310202E-3</c:v>
                </c:pt>
                <c:pt idx="118">
                  <c:v>-8.6481058497469704E-3</c:v>
                </c:pt>
                <c:pt idx="119">
                  <c:v>-1.6541505607108702E-2</c:v>
                </c:pt>
                <c:pt idx="120">
                  <c:v>4.4509570556001297E-3</c:v>
                </c:pt>
                <c:pt idx="121">
                  <c:v>-3.1731813424720002E-3</c:v>
                </c:pt>
                <c:pt idx="122">
                  <c:v>-7.0607070122431703E-3</c:v>
                </c:pt>
                <c:pt idx="123">
                  <c:v>4.2256623748687799E-3</c:v>
                </c:pt>
                <c:pt idx="124">
                  <c:v>1.5724858416945101E-2</c:v>
                </c:pt>
                <c:pt idx="125">
                  <c:v>8.8155896327532599E-3</c:v>
                </c:pt>
                <c:pt idx="126">
                  <c:v>2.22158480900836E-2</c:v>
                </c:pt>
                <c:pt idx="127">
                  <c:v>2.01775759062345E-2</c:v>
                </c:pt>
                <c:pt idx="128">
                  <c:v>8.0131378417368903E-3</c:v>
                </c:pt>
                <c:pt idx="129">
                  <c:v>1.2524356701730599E-2</c:v>
                </c:pt>
                <c:pt idx="130">
                  <c:v>1.5779800053626E-2</c:v>
                </c:pt>
                <c:pt idx="131">
                  <c:v>1.3030538704511299E-2</c:v>
                </c:pt>
                <c:pt idx="132">
                  <c:v>1.6814638173781701E-2</c:v>
                </c:pt>
                <c:pt idx="133">
                  <c:v>2.0881359347505402E-2</c:v>
                </c:pt>
                <c:pt idx="134">
                  <c:v>1.17941209135928E-2</c:v>
                </c:pt>
                <c:pt idx="135">
                  <c:v>9.5070001339235492E-3</c:v>
                </c:pt>
                <c:pt idx="136">
                  <c:v>-1.9150845621394299E-3</c:v>
                </c:pt>
                <c:pt idx="137">
                  <c:v>-2.46002580610887E-3</c:v>
                </c:pt>
                <c:pt idx="138">
                  <c:v>-6.4092165545890098E-3</c:v>
                </c:pt>
                <c:pt idx="139">
                  <c:v>4.5346449591582598E-3</c:v>
                </c:pt>
                <c:pt idx="140">
                  <c:v>1.11425211861251E-3</c:v>
                </c:pt>
                <c:pt idx="141">
                  <c:v>1.46775158017669E-2</c:v>
                </c:pt>
                <c:pt idx="142">
                  <c:v>1.8991574951546401E-2</c:v>
                </c:pt>
                <c:pt idx="143">
                  <c:v>2.0348696990744801E-3</c:v>
                </c:pt>
                <c:pt idx="144">
                  <c:v>4.7417174142511198E-3</c:v>
                </c:pt>
                <c:pt idx="145">
                  <c:v>7.93211330934342E-3</c:v>
                </c:pt>
                <c:pt idx="146">
                  <c:v>-4.6616775570937604E-3</c:v>
                </c:pt>
                <c:pt idx="147">
                  <c:v>5.82622951860883E-3</c:v>
                </c:pt>
                <c:pt idx="148">
                  <c:v>3.9229077903746197E-3</c:v>
                </c:pt>
                <c:pt idx="149">
                  <c:v>1.42082200169124E-3</c:v>
                </c:pt>
                <c:pt idx="150">
                  <c:v>3.50566526895534E-3</c:v>
                </c:pt>
                <c:pt idx="151">
                  <c:v>-5.9523262863532404E-4</c:v>
                </c:pt>
                <c:pt idx="152">
                  <c:v>-2.52897369380922E-3</c:v>
                </c:pt>
                <c:pt idx="153">
                  <c:v>-1.4150234557793E-3</c:v>
                </c:pt>
                <c:pt idx="154">
                  <c:v>-3.1896979179097799E-3</c:v>
                </c:pt>
                <c:pt idx="155">
                  <c:v>-8.0483221685110004E-3</c:v>
                </c:pt>
                <c:pt idx="156">
                  <c:v>2.17185085030139E-3</c:v>
                </c:pt>
                <c:pt idx="157">
                  <c:v>7.8378537403658993E-3</c:v>
                </c:pt>
                <c:pt idx="158">
                  <c:v>5.2289669515450899E-3</c:v>
                </c:pt>
                <c:pt idx="159">
                  <c:v>5.3006987576817901E-3</c:v>
                </c:pt>
                <c:pt idx="160">
                  <c:v>7.2616488301196196E-3</c:v>
                </c:pt>
                <c:pt idx="161">
                  <c:v>7.7459532442899302E-3</c:v>
                </c:pt>
                <c:pt idx="162">
                  <c:v>4.2442162084319699E-3</c:v>
                </c:pt>
                <c:pt idx="163">
                  <c:v>1.47191074288495E-2</c:v>
                </c:pt>
                <c:pt idx="164">
                  <c:v>9.9838010189668407E-3</c:v>
                </c:pt>
                <c:pt idx="165">
                  <c:v>9.7693160057716506E-3</c:v>
                </c:pt>
                <c:pt idx="166">
                  <c:v>7.7861988481821697E-3</c:v>
                </c:pt>
                <c:pt idx="167">
                  <c:v>1.35070300459485E-2</c:v>
                </c:pt>
                <c:pt idx="168">
                  <c:v>1.4151171411961001E-2</c:v>
                </c:pt>
                <c:pt idx="169">
                  <c:v>3.2061286131954501E-3</c:v>
                </c:pt>
                <c:pt idx="170">
                  <c:v>-2.51566821703285E-3</c:v>
                </c:pt>
                <c:pt idx="171">
                  <c:v>-8.8441822041810201E-3</c:v>
                </c:pt>
                <c:pt idx="172">
                  <c:v>-5.6101402587377201E-3</c:v>
                </c:pt>
                <c:pt idx="173">
                  <c:v>-9.8702408327054503E-3</c:v>
                </c:pt>
                <c:pt idx="174">
                  <c:v>4.5660662737048399E-4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7-438D-816A-5C29A47BB932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SMH x 20 dma / SOXX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-1.179184213297E-2</c:v>
                </c:pt>
                <c:pt idx="21">
                  <c:v>-1.5731806178905499E-2</c:v>
                </c:pt>
                <c:pt idx="22">
                  <c:v>-9.1873379447421008E-3</c:v>
                </c:pt>
                <c:pt idx="23">
                  <c:v>-1.20042897325343E-2</c:v>
                </c:pt>
                <c:pt idx="24">
                  <c:v>-1.00511757285038E-2</c:v>
                </c:pt>
                <c:pt idx="25">
                  <c:v>-8.4076424278327795E-3</c:v>
                </c:pt>
                <c:pt idx="26">
                  <c:v>-7.9368460911612704E-3</c:v>
                </c:pt>
                <c:pt idx="27">
                  <c:v>-6.8194688978604496E-3</c:v>
                </c:pt>
                <c:pt idx="28">
                  <c:v>-2.5010377407293999E-3</c:v>
                </c:pt>
                <c:pt idx="29">
                  <c:v>-6.8639717417773201E-3</c:v>
                </c:pt>
                <c:pt idx="30">
                  <c:v>-4.6896735515576998E-3</c:v>
                </c:pt>
                <c:pt idx="31">
                  <c:v>-2.3422444941479902E-3</c:v>
                </c:pt>
                <c:pt idx="32">
                  <c:v>-2.0275846371908901E-3</c:v>
                </c:pt>
                <c:pt idx="33">
                  <c:v>-2.8430229827116E-4</c:v>
                </c:pt>
                <c:pt idx="34">
                  <c:v>1.8365018895125801E-3</c:v>
                </c:pt>
                <c:pt idx="35">
                  <c:v>2.56146559760873E-3</c:v>
                </c:pt>
                <c:pt idx="36">
                  <c:v>2.9983118494032401E-3</c:v>
                </c:pt>
                <c:pt idx="37">
                  <c:v>2.22342291744962E-4</c:v>
                </c:pt>
                <c:pt idx="38">
                  <c:v>-7.9327105786640201E-4</c:v>
                </c:pt>
                <c:pt idx="39">
                  <c:v>5.1640069285680302E-5</c:v>
                </c:pt>
                <c:pt idx="40">
                  <c:v>1.23583002417829E-2</c:v>
                </c:pt>
                <c:pt idx="41">
                  <c:v>1.2232465433341401E-2</c:v>
                </c:pt>
                <c:pt idx="42">
                  <c:v>1.31494154796783E-2</c:v>
                </c:pt>
                <c:pt idx="43">
                  <c:v>1.7521155261220701E-2</c:v>
                </c:pt>
                <c:pt idx="44">
                  <c:v>1.31401445863374E-2</c:v>
                </c:pt>
                <c:pt idx="45">
                  <c:v>1.2535369379395599E-2</c:v>
                </c:pt>
                <c:pt idx="46">
                  <c:v>1.1313502021199301E-2</c:v>
                </c:pt>
                <c:pt idx="47">
                  <c:v>1.3141066275494001E-2</c:v>
                </c:pt>
                <c:pt idx="48">
                  <c:v>6.6345648716242796E-3</c:v>
                </c:pt>
                <c:pt idx="49">
                  <c:v>3.4585916698934901E-3</c:v>
                </c:pt>
                <c:pt idx="50">
                  <c:v>3.0948470124579699E-3</c:v>
                </c:pt>
                <c:pt idx="51">
                  <c:v>7.4950754271501803E-5</c:v>
                </c:pt>
                <c:pt idx="52">
                  <c:v>-2.8654461716822199E-3</c:v>
                </c:pt>
                <c:pt idx="53">
                  <c:v>-6.46871677974299E-3</c:v>
                </c:pt>
                <c:pt idx="54">
                  <c:v>-1.7083910349533101E-3</c:v>
                </c:pt>
                <c:pt idx="55">
                  <c:v>-6.8074132617270003E-3</c:v>
                </c:pt>
                <c:pt idx="56">
                  <c:v>-7.9410022221309308E-3</c:v>
                </c:pt>
                <c:pt idx="57">
                  <c:v>-5.8059841316734501E-3</c:v>
                </c:pt>
                <c:pt idx="58">
                  <c:v>-6.9432077671272097E-3</c:v>
                </c:pt>
                <c:pt idx="59">
                  <c:v>4.3324981846097699E-3</c:v>
                </c:pt>
                <c:pt idx="60">
                  <c:v>4.8938694622508003E-4</c:v>
                </c:pt>
                <c:pt idx="61">
                  <c:v>-6.95607095047668E-3</c:v>
                </c:pt>
                <c:pt idx="62">
                  <c:v>-8.7580028204278203E-3</c:v>
                </c:pt>
                <c:pt idx="63">
                  <c:v>-1.1947523877801999E-2</c:v>
                </c:pt>
                <c:pt idx="64">
                  <c:v>-1.15773961188493E-2</c:v>
                </c:pt>
                <c:pt idx="65">
                  <c:v>-1.77096215005937E-2</c:v>
                </c:pt>
                <c:pt idx="66">
                  <c:v>-2.10213824712959E-2</c:v>
                </c:pt>
                <c:pt idx="67">
                  <c:v>-2.51415753630264E-2</c:v>
                </c:pt>
                <c:pt idx="68">
                  <c:v>-2.57678547299314E-2</c:v>
                </c:pt>
                <c:pt idx="69">
                  <c:v>-2.4469363813487001E-2</c:v>
                </c:pt>
                <c:pt idx="70">
                  <c:v>-2.2068218216940001E-2</c:v>
                </c:pt>
                <c:pt idx="71">
                  <c:v>-2.6513413865317598E-2</c:v>
                </c:pt>
                <c:pt idx="72">
                  <c:v>-2.79880456357109E-2</c:v>
                </c:pt>
                <c:pt idx="73">
                  <c:v>-3.0875140234391901E-2</c:v>
                </c:pt>
                <c:pt idx="74">
                  <c:v>-3.48383528568059E-2</c:v>
                </c:pt>
                <c:pt idx="75">
                  <c:v>-3.2367964792071401E-2</c:v>
                </c:pt>
                <c:pt idx="76">
                  <c:v>-4.0696370922291197E-2</c:v>
                </c:pt>
                <c:pt idx="77">
                  <c:v>-3.3737485159410302E-2</c:v>
                </c:pt>
                <c:pt idx="78">
                  <c:v>-1.7874029429229402E-2</c:v>
                </c:pt>
                <c:pt idx="79">
                  <c:v>-8.7024579815892806E-3</c:v>
                </c:pt>
                <c:pt idx="80">
                  <c:v>-1.50158028628289E-2</c:v>
                </c:pt>
                <c:pt idx="81">
                  <c:v>-2.3502754124983202E-2</c:v>
                </c:pt>
                <c:pt idx="82">
                  <c:v>-2.40647704897607E-2</c:v>
                </c:pt>
                <c:pt idx="83">
                  <c:v>-1.9388956618144298E-2</c:v>
                </c:pt>
                <c:pt idx="84">
                  <c:v>-2.9872092250306102E-2</c:v>
                </c:pt>
                <c:pt idx="85">
                  <c:v>-2.5172057047277499E-2</c:v>
                </c:pt>
                <c:pt idx="86">
                  <c:v>-1.12908792895606E-2</c:v>
                </c:pt>
                <c:pt idx="87">
                  <c:v>-1.6935563083111699E-2</c:v>
                </c:pt>
                <c:pt idx="88">
                  <c:v>-2.16513464945652E-2</c:v>
                </c:pt>
                <c:pt idx="89">
                  <c:v>-1.40922571705614E-2</c:v>
                </c:pt>
                <c:pt idx="90">
                  <c:v>-1.61290856644246E-2</c:v>
                </c:pt>
                <c:pt idx="91">
                  <c:v>-7.2326415915984097E-3</c:v>
                </c:pt>
                <c:pt idx="92">
                  <c:v>-3.27459476825398E-3</c:v>
                </c:pt>
                <c:pt idx="93">
                  <c:v>4.4593235625737899E-3</c:v>
                </c:pt>
                <c:pt idx="94">
                  <c:v>-8.9406800392522205E-4</c:v>
                </c:pt>
                <c:pt idx="95">
                  <c:v>-9.4767332731965203E-3</c:v>
                </c:pt>
                <c:pt idx="96">
                  <c:v>-1.13376474233322E-2</c:v>
                </c:pt>
                <c:pt idx="97">
                  <c:v>-1.98722081850797E-2</c:v>
                </c:pt>
                <c:pt idx="98">
                  <c:v>-3.40851879648464E-2</c:v>
                </c:pt>
                <c:pt idx="99">
                  <c:v>-3.1821685091138197E-2</c:v>
                </c:pt>
                <c:pt idx="100">
                  <c:v>-3.1328142132438903E-2</c:v>
                </c:pt>
                <c:pt idx="101">
                  <c:v>-2.9504430359910301E-2</c:v>
                </c:pt>
                <c:pt idx="102">
                  <c:v>-1.7642774635308799E-2</c:v>
                </c:pt>
                <c:pt idx="103">
                  <c:v>-3.3047058386727703E-2</c:v>
                </c:pt>
                <c:pt idx="104">
                  <c:v>-3.9112154173785801E-2</c:v>
                </c:pt>
                <c:pt idx="105">
                  <c:v>-3.1988135854445002E-2</c:v>
                </c:pt>
                <c:pt idx="106">
                  <c:v>-1.6311468578583298E-2</c:v>
                </c:pt>
                <c:pt idx="107">
                  <c:v>-2.2657149441827201E-2</c:v>
                </c:pt>
                <c:pt idx="108">
                  <c:v>-1.6279429758819599E-2</c:v>
                </c:pt>
                <c:pt idx="109">
                  <c:v>-1.20648301207621E-2</c:v>
                </c:pt>
                <c:pt idx="110">
                  <c:v>-2.5729734810641201E-2</c:v>
                </c:pt>
                <c:pt idx="111">
                  <c:v>-2.2246570174625401E-2</c:v>
                </c:pt>
                <c:pt idx="112">
                  <c:v>-2.9592611593957801E-2</c:v>
                </c:pt>
                <c:pt idx="113">
                  <c:v>-1.4786817888441999E-2</c:v>
                </c:pt>
                <c:pt idx="114">
                  <c:v>-1.34496475327219E-2</c:v>
                </c:pt>
                <c:pt idx="115">
                  <c:v>-1.9097310771585101E-2</c:v>
                </c:pt>
                <c:pt idx="116">
                  <c:v>-2.70485037379277E-2</c:v>
                </c:pt>
                <c:pt idx="117">
                  <c:v>-1.46970711466197E-2</c:v>
                </c:pt>
                <c:pt idx="118">
                  <c:v>-1.46364882675812E-2</c:v>
                </c:pt>
                <c:pt idx="119">
                  <c:v>-2.33677817939471E-2</c:v>
                </c:pt>
                <c:pt idx="120">
                  <c:v>-4.0015625463794696E-3</c:v>
                </c:pt>
                <c:pt idx="121">
                  <c:v>-1.09927074877812E-2</c:v>
                </c:pt>
                <c:pt idx="122">
                  <c:v>-1.4807107360756201E-2</c:v>
                </c:pt>
                <c:pt idx="123">
                  <c:v>-2.2472591015857001E-3</c:v>
                </c:pt>
                <c:pt idx="124">
                  <c:v>9.0531802514035292E-3</c:v>
                </c:pt>
                <c:pt idx="125">
                  <c:v>2.19147019533413E-3</c:v>
                </c:pt>
                <c:pt idx="126">
                  <c:v>1.6382070327535001E-2</c:v>
                </c:pt>
                <c:pt idx="127">
                  <c:v>1.7551880421679902E-2</c:v>
                </c:pt>
                <c:pt idx="128">
                  <c:v>7.2959559870295499E-3</c:v>
                </c:pt>
                <c:pt idx="129">
                  <c:v>1.36423587860764E-2</c:v>
                </c:pt>
                <c:pt idx="130">
                  <c:v>2.0193405568264301E-2</c:v>
                </c:pt>
                <c:pt idx="131">
                  <c:v>1.8530055833359999E-2</c:v>
                </c:pt>
                <c:pt idx="132">
                  <c:v>2.42212775437564E-2</c:v>
                </c:pt>
                <c:pt idx="133">
                  <c:v>3.05438767843456E-2</c:v>
                </c:pt>
                <c:pt idx="134">
                  <c:v>2.36188102331658E-2</c:v>
                </c:pt>
                <c:pt idx="135">
                  <c:v>2.20610679417035E-2</c:v>
                </c:pt>
                <c:pt idx="136">
                  <c:v>1.1591382205781001E-2</c:v>
                </c:pt>
                <c:pt idx="137">
                  <c:v>9.5944174783371E-3</c:v>
                </c:pt>
                <c:pt idx="138">
                  <c:v>4.5488624668333696E-3</c:v>
                </c:pt>
                <c:pt idx="139">
                  <c:v>1.50995925562882E-2</c:v>
                </c:pt>
                <c:pt idx="140">
                  <c:v>1.07507055533846E-2</c:v>
                </c:pt>
                <c:pt idx="141">
                  <c:v>2.3530787365263501E-2</c:v>
                </c:pt>
                <c:pt idx="142">
                  <c:v>2.7439988814594099E-2</c:v>
                </c:pt>
                <c:pt idx="143">
                  <c:v>9.4770296730610007E-3</c:v>
                </c:pt>
                <c:pt idx="144">
                  <c:v>1.01786269024981E-2</c:v>
                </c:pt>
                <c:pt idx="145">
                  <c:v>1.2576119954273201E-2</c:v>
                </c:pt>
                <c:pt idx="146">
                  <c:v>-9.2643732924387598E-4</c:v>
                </c:pt>
                <c:pt idx="147">
                  <c:v>9.6635073661797306E-3</c:v>
                </c:pt>
                <c:pt idx="148">
                  <c:v>8.4963328314845692E-3</c:v>
                </c:pt>
                <c:pt idx="149">
                  <c:v>6.6041149086738899E-3</c:v>
                </c:pt>
                <c:pt idx="150">
                  <c:v>8.3965137414982096E-3</c:v>
                </c:pt>
                <c:pt idx="151">
                  <c:v>4.68088359838286E-3</c:v>
                </c:pt>
                <c:pt idx="152">
                  <c:v>1.5447462172748E-3</c:v>
                </c:pt>
                <c:pt idx="153">
                  <c:v>1.04511558302711E-3</c:v>
                </c:pt>
                <c:pt idx="154">
                  <c:v>-4.5546268053965199E-4</c:v>
                </c:pt>
                <c:pt idx="155">
                  <c:v>-5.62773646410911E-3</c:v>
                </c:pt>
                <c:pt idx="156">
                  <c:v>3.6491133278856599E-3</c:v>
                </c:pt>
                <c:pt idx="157">
                  <c:v>9.56917851660939E-3</c:v>
                </c:pt>
                <c:pt idx="158">
                  <c:v>6.4320965012966301E-3</c:v>
                </c:pt>
                <c:pt idx="159">
                  <c:v>5.7085943316339304E-3</c:v>
                </c:pt>
                <c:pt idx="160">
                  <c:v>7.5414116043361996E-3</c:v>
                </c:pt>
                <c:pt idx="161">
                  <c:v>7.6309999859604698E-3</c:v>
                </c:pt>
                <c:pt idx="162">
                  <c:v>4.77056116102697E-3</c:v>
                </c:pt>
                <c:pt idx="163">
                  <c:v>1.6304132228160101E-2</c:v>
                </c:pt>
                <c:pt idx="164">
                  <c:v>1.24583885286274E-2</c:v>
                </c:pt>
                <c:pt idx="165">
                  <c:v>1.32765472223801E-2</c:v>
                </c:pt>
                <c:pt idx="166">
                  <c:v>1.31055582861153E-2</c:v>
                </c:pt>
                <c:pt idx="167">
                  <c:v>1.9149454901638701E-2</c:v>
                </c:pt>
                <c:pt idx="168">
                  <c:v>2.03673009481679E-2</c:v>
                </c:pt>
                <c:pt idx="169">
                  <c:v>1.0306369728524001E-2</c:v>
                </c:pt>
                <c:pt idx="170">
                  <c:v>4.9579921270167604E-3</c:v>
                </c:pt>
                <c:pt idx="171">
                  <c:v>-1.32782970527238E-3</c:v>
                </c:pt>
                <c:pt idx="172">
                  <c:v>1.4171406598010501E-3</c:v>
                </c:pt>
                <c:pt idx="173">
                  <c:v>-3.0263194443744998E-3</c:v>
                </c:pt>
                <c:pt idx="174">
                  <c:v>5.78070891449809E-3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7-438D-816A-5C29A47B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4.1191546077121999E-3</c:v>
                </c:pt>
                <c:pt idx="58">
                  <c:v>1.7264272355467399E-2</c:v>
                </c:pt>
                <c:pt idx="59">
                  <c:v>2.4445145548599102E-2</c:v>
                </c:pt>
                <c:pt idx="60">
                  <c:v>2.4445145548599102E-2</c:v>
                </c:pt>
                <c:pt idx="61">
                  <c:v>2.4445145548599102E-2</c:v>
                </c:pt>
                <c:pt idx="62">
                  <c:v>2.4445145548599102E-2</c:v>
                </c:pt>
                <c:pt idx="63">
                  <c:v>2.4445145548599102E-2</c:v>
                </c:pt>
                <c:pt idx="64">
                  <c:v>2.4445145548599102E-2</c:v>
                </c:pt>
                <c:pt idx="65">
                  <c:v>2.4445145548599102E-2</c:v>
                </c:pt>
                <c:pt idx="66">
                  <c:v>2.4445145548599102E-2</c:v>
                </c:pt>
                <c:pt idx="67">
                  <c:v>2.4445145548599102E-2</c:v>
                </c:pt>
                <c:pt idx="68">
                  <c:v>2.4445145548599102E-2</c:v>
                </c:pt>
                <c:pt idx="69">
                  <c:v>2.4445145548599102E-2</c:v>
                </c:pt>
                <c:pt idx="70">
                  <c:v>2.4445145548599102E-2</c:v>
                </c:pt>
                <c:pt idx="71">
                  <c:v>2.4445145548599102E-2</c:v>
                </c:pt>
                <c:pt idx="72">
                  <c:v>2.4445145548599102E-2</c:v>
                </c:pt>
                <c:pt idx="73">
                  <c:v>2.4445145548599102E-2</c:v>
                </c:pt>
                <c:pt idx="74">
                  <c:v>2.4445145548599102E-2</c:v>
                </c:pt>
                <c:pt idx="75">
                  <c:v>2.4445145548599102E-2</c:v>
                </c:pt>
                <c:pt idx="76">
                  <c:v>2.4445145548599102E-2</c:v>
                </c:pt>
                <c:pt idx="77">
                  <c:v>2.4445145548599102E-2</c:v>
                </c:pt>
                <c:pt idx="78">
                  <c:v>2.4445145548599102E-2</c:v>
                </c:pt>
                <c:pt idx="79">
                  <c:v>2.4445145548599102E-2</c:v>
                </c:pt>
                <c:pt idx="80">
                  <c:v>2.4445145548599102E-2</c:v>
                </c:pt>
                <c:pt idx="81">
                  <c:v>2.4445145548599102E-2</c:v>
                </c:pt>
                <c:pt idx="82">
                  <c:v>2.4445145548599102E-2</c:v>
                </c:pt>
                <c:pt idx="83">
                  <c:v>2.4445145548599102E-2</c:v>
                </c:pt>
                <c:pt idx="84">
                  <c:v>2.4445145548599102E-2</c:v>
                </c:pt>
                <c:pt idx="85">
                  <c:v>2.9329697022322004E-2</c:v>
                </c:pt>
                <c:pt idx="86">
                  <c:v>4.2940192671964209E-2</c:v>
                </c:pt>
                <c:pt idx="87">
                  <c:v>3.4672248686029104E-2</c:v>
                </c:pt>
                <c:pt idx="88">
                  <c:v>3.9072970883546103E-2</c:v>
                </c:pt>
                <c:pt idx="89">
                  <c:v>4.1861007866058404E-2</c:v>
                </c:pt>
                <c:pt idx="90">
                  <c:v>4.1861007866058404E-2</c:v>
                </c:pt>
                <c:pt idx="91">
                  <c:v>4.1861007866058404E-2</c:v>
                </c:pt>
                <c:pt idx="92">
                  <c:v>4.1861007866058404E-2</c:v>
                </c:pt>
                <c:pt idx="93">
                  <c:v>4.1861007866058404E-2</c:v>
                </c:pt>
                <c:pt idx="94">
                  <c:v>4.1861007866058404E-2</c:v>
                </c:pt>
                <c:pt idx="95">
                  <c:v>4.1861007866058404E-2</c:v>
                </c:pt>
                <c:pt idx="96">
                  <c:v>4.1861007866058404E-2</c:v>
                </c:pt>
                <c:pt idx="97">
                  <c:v>4.1861007866058404E-2</c:v>
                </c:pt>
                <c:pt idx="98">
                  <c:v>4.1861007866058404E-2</c:v>
                </c:pt>
                <c:pt idx="99">
                  <c:v>4.1861007866058404E-2</c:v>
                </c:pt>
                <c:pt idx="100">
                  <c:v>4.1861007866058404E-2</c:v>
                </c:pt>
                <c:pt idx="101">
                  <c:v>4.1861007866058404E-2</c:v>
                </c:pt>
                <c:pt idx="102">
                  <c:v>4.1861007866058404E-2</c:v>
                </c:pt>
                <c:pt idx="103">
                  <c:v>4.1861007866058404E-2</c:v>
                </c:pt>
                <c:pt idx="104">
                  <c:v>4.1861007866058404E-2</c:v>
                </c:pt>
                <c:pt idx="105">
                  <c:v>4.1861007866058404E-2</c:v>
                </c:pt>
                <c:pt idx="106">
                  <c:v>4.1861007866058404E-2</c:v>
                </c:pt>
                <c:pt idx="107">
                  <c:v>4.1861007866058404E-2</c:v>
                </c:pt>
                <c:pt idx="108">
                  <c:v>4.1861007866058404E-2</c:v>
                </c:pt>
                <c:pt idx="109">
                  <c:v>4.1861007866058404E-2</c:v>
                </c:pt>
                <c:pt idx="110">
                  <c:v>4.1861007866058404E-2</c:v>
                </c:pt>
                <c:pt idx="111">
                  <c:v>4.1861007866058404E-2</c:v>
                </c:pt>
                <c:pt idx="112">
                  <c:v>4.1861007866058404E-2</c:v>
                </c:pt>
                <c:pt idx="113">
                  <c:v>4.1861007866058404E-2</c:v>
                </c:pt>
                <c:pt idx="114">
                  <c:v>4.1861007866058404E-2</c:v>
                </c:pt>
                <c:pt idx="115">
                  <c:v>4.1861007866058404E-2</c:v>
                </c:pt>
                <c:pt idx="116">
                  <c:v>4.1861007866058404E-2</c:v>
                </c:pt>
                <c:pt idx="117">
                  <c:v>4.1861007866058404E-2</c:v>
                </c:pt>
                <c:pt idx="118">
                  <c:v>4.1861007866058404E-2</c:v>
                </c:pt>
                <c:pt idx="119">
                  <c:v>4.1861007866058404E-2</c:v>
                </c:pt>
                <c:pt idx="120">
                  <c:v>4.1861007866058404E-2</c:v>
                </c:pt>
                <c:pt idx="121">
                  <c:v>4.1861007866058404E-2</c:v>
                </c:pt>
                <c:pt idx="122">
                  <c:v>4.1861007866058404E-2</c:v>
                </c:pt>
                <c:pt idx="123">
                  <c:v>4.1861007866058404E-2</c:v>
                </c:pt>
                <c:pt idx="124">
                  <c:v>4.1861007866058404E-2</c:v>
                </c:pt>
                <c:pt idx="125">
                  <c:v>4.1861007866058404E-2</c:v>
                </c:pt>
                <c:pt idx="126">
                  <c:v>4.1861007866058404E-2</c:v>
                </c:pt>
                <c:pt idx="127">
                  <c:v>4.1861007866058404E-2</c:v>
                </c:pt>
                <c:pt idx="128">
                  <c:v>4.1861007866058404E-2</c:v>
                </c:pt>
                <c:pt idx="129">
                  <c:v>4.1861007866058404E-2</c:v>
                </c:pt>
                <c:pt idx="130">
                  <c:v>4.1861007866058404E-2</c:v>
                </c:pt>
                <c:pt idx="131">
                  <c:v>4.1861007866058404E-2</c:v>
                </c:pt>
                <c:pt idx="132">
                  <c:v>4.1861007866058404E-2</c:v>
                </c:pt>
                <c:pt idx="133">
                  <c:v>4.1861007866058404E-2</c:v>
                </c:pt>
                <c:pt idx="134">
                  <c:v>4.1861007866058404E-2</c:v>
                </c:pt>
                <c:pt idx="135">
                  <c:v>4.1861007866058404E-2</c:v>
                </c:pt>
                <c:pt idx="136">
                  <c:v>4.1861007866058404E-2</c:v>
                </c:pt>
                <c:pt idx="137">
                  <c:v>4.1861007866058404E-2</c:v>
                </c:pt>
                <c:pt idx="138">
                  <c:v>4.1861007866058404E-2</c:v>
                </c:pt>
                <c:pt idx="139">
                  <c:v>4.1861007866058404E-2</c:v>
                </c:pt>
                <c:pt idx="140">
                  <c:v>4.1861007866058404E-2</c:v>
                </c:pt>
                <c:pt idx="141">
                  <c:v>4.1861007866058404E-2</c:v>
                </c:pt>
                <c:pt idx="142">
                  <c:v>4.1861007866058404E-2</c:v>
                </c:pt>
                <c:pt idx="143">
                  <c:v>4.1861007866058404E-2</c:v>
                </c:pt>
                <c:pt idx="144">
                  <c:v>4.1861007866058404E-2</c:v>
                </c:pt>
                <c:pt idx="145">
                  <c:v>4.1861007866058404E-2</c:v>
                </c:pt>
                <c:pt idx="146">
                  <c:v>4.1861007866058404E-2</c:v>
                </c:pt>
                <c:pt idx="147">
                  <c:v>4.1861007866058404E-2</c:v>
                </c:pt>
                <c:pt idx="148">
                  <c:v>4.1861007866058404E-2</c:v>
                </c:pt>
                <c:pt idx="149">
                  <c:v>4.1861007866058404E-2</c:v>
                </c:pt>
                <c:pt idx="150">
                  <c:v>4.1861007866058404E-2</c:v>
                </c:pt>
                <c:pt idx="151">
                  <c:v>4.1861007866058404E-2</c:v>
                </c:pt>
                <c:pt idx="152">
                  <c:v>4.1861007866058404E-2</c:v>
                </c:pt>
                <c:pt idx="153">
                  <c:v>4.1861007866058404E-2</c:v>
                </c:pt>
                <c:pt idx="154">
                  <c:v>4.1861007866058404E-2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8-4E1A-90BF-D0B3156C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5.5023279794069006E-3</c:v>
                </c:pt>
                <c:pt idx="115">
                  <c:v>5.8333804437642909E-3</c:v>
                </c:pt>
                <c:pt idx="116">
                  <c:v>1.4679174577686391E-2</c:v>
                </c:pt>
                <c:pt idx="117">
                  <c:v>1.4952994582989222E-2</c:v>
                </c:pt>
                <c:pt idx="118">
                  <c:v>1.8768990612616571E-2</c:v>
                </c:pt>
                <c:pt idx="119">
                  <c:v>1.8768990612616571E-2</c:v>
                </c:pt>
                <c:pt idx="120">
                  <c:v>1.8768990612616571E-2</c:v>
                </c:pt>
                <c:pt idx="121">
                  <c:v>1.8768990612616571E-2</c:v>
                </c:pt>
                <c:pt idx="122">
                  <c:v>1.8768990612616571E-2</c:v>
                </c:pt>
                <c:pt idx="123">
                  <c:v>3.3841543694163159E-2</c:v>
                </c:pt>
                <c:pt idx="124">
                  <c:v>3.1534709856058156E-2</c:v>
                </c:pt>
                <c:pt idx="125">
                  <c:v>2.7966118264326056E-2</c:v>
                </c:pt>
                <c:pt idx="126">
                  <c:v>3.9793584375604846E-2</c:v>
                </c:pt>
                <c:pt idx="127">
                  <c:v>3.9793584375604846E-2</c:v>
                </c:pt>
                <c:pt idx="128">
                  <c:v>3.9793584375604846E-2</c:v>
                </c:pt>
                <c:pt idx="129">
                  <c:v>3.9793584375604846E-2</c:v>
                </c:pt>
                <c:pt idx="130">
                  <c:v>3.9793584375604846E-2</c:v>
                </c:pt>
                <c:pt idx="131">
                  <c:v>3.9793584375604846E-2</c:v>
                </c:pt>
                <c:pt idx="132">
                  <c:v>3.9793584375604846E-2</c:v>
                </c:pt>
                <c:pt idx="133">
                  <c:v>3.9793584375604846E-2</c:v>
                </c:pt>
                <c:pt idx="134">
                  <c:v>3.9793584375604846E-2</c:v>
                </c:pt>
                <c:pt idx="135">
                  <c:v>3.9793584375604846E-2</c:v>
                </c:pt>
                <c:pt idx="136">
                  <c:v>3.9793584375604846E-2</c:v>
                </c:pt>
                <c:pt idx="137">
                  <c:v>3.9793584375604846E-2</c:v>
                </c:pt>
                <c:pt idx="138">
                  <c:v>3.9793584375604846E-2</c:v>
                </c:pt>
                <c:pt idx="139">
                  <c:v>3.9793584375604846E-2</c:v>
                </c:pt>
                <c:pt idx="140">
                  <c:v>3.9793584375604846E-2</c:v>
                </c:pt>
                <c:pt idx="141">
                  <c:v>3.9793584375604846E-2</c:v>
                </c:pt>
                <c:pt idx="142">
                  <c:v>3.9793584375604846E-2</c:v>
                </c:pt>
                <c:pt idx="143">
                  <c:v>3.9793584375604846E-2</c:v>
                </c:pt>
                <c:pt idx="144">
                  <c:v>3.9793584375604846E-2</c:v>
                </c:pt>
                <c:pt idx="145">
                  <c:v>3.9793584375604846E-2</c:v>
                </c:pt>
                <c:pt idx="146">
                  <c:v>3.9793584375604846E-2</c:v>
                </c:pt>
                <c:pt idx="147">
                  <c:v>3.9793584375604846E-2</c:v>
                </c:pt>
                <c:pt idx="148">
                  <c:v>3.9793584375604846E-2</c:v>
                </c:pt>
                <c:pt idx="149">
                  <c:v>3.9793584375604846E-2</c:v>
                </c:pt>
                <c:pt idx="150">
                  <c:v>3.9793584375604846E-2</c:v>
                </c:pt>
                <c:pt idx="151">
                  <c:v>3.9793584375604846E-2</c:v>
                </c:pt>
                <c:pt idx="152">
                  <c:v>3.9793584375604846E-2</c:v>
                </c:pt>
                <c:pt idx="153">
                  <c:v>3.9793584375604846E-2</c:v>
                </c:pt>
                <c:pt idx="154">
                  <c:v>3.9793584375604846E-2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B-4187-AEEA-184D67BC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4.1191546077121999E-3</c:v>
                </c:pt>
                <c:pt idx="58">
                  <c:v>1.7264272355467399E-2</c:v>
                </c:pt>
                <c:pt idx="59">
                  <c:v>2.4445145548599102E-2</c:v>
                </c:pt>
                <c:pt idx="60">
                  <c:v>2.4445145548599102E-2</c:v>
                </c:pt>
                <c:pt idx="61">
                  <c:v>2.4445145548599102E-2</c:v>
                </c:pt>
                <c:pt idx="62">
                  <c:v>2.4445145548599102E-2</c:v>
                </c:pt>
                <c:pt idx="63">
                  <c:v>2.4445145548599102E-2</c:v>
                </c:pt>
                <c:pt idx="64">
                  <c:v>2.4445145548599102E-2</c:v>
                </c:pt>
                <c:pt idx="65">
                  <c:v>2.4445145548599102E-2</c:v>
                </c:pt>
                <c:pt idx="66">
                  <c:v>2.4445145548599102E-2</c:v>
                </c:pt>
                <c:pt idx="67">
                  <c:v>2.4445145548599102E-2</c:v>
                </c:pt>
                <c:pt idx="68">
                  <c:v>2.4445145548599102E-2</c:v>
                </c:pt>
                <c:pt idx="69">
                  <c:v>2.4445145548599102E-2</c:v>
                </c:pt>
                <c:pt idx="70">
                  <c:v>2.4445145548599102E-2</c:v>
                </c:pt>
                <c:pt idx="71">
                  <c:v>2.4445145548599102E-2</c:v>
                </c:pt>
                <c:pt idx="72">
                  <c:v>2.4445145548599102E-2</c:v>
                </c:pt>
                <c:pt idx="73">
                  <c:v>2.4445145548599102E-2</c:v>
                </c:pt>
                <c:pt idx="74">
                  <c:v>2.4445145548599102E-2</c:v>
                </c:pt>
                <c:pt idx="75">
                  <c:v>2.4445145548599102E-2</c:v>
                </c:pt>
                <c:pt idx="76">
                  <c:v>2.4445145548599102E-2</c:v>
                </c:pt>
                <c:pt idx="77">
                  <c:v>2.4445145548599102E-2</c:v>
                </c:pt>
                <c:pt idx="78">
                  <c:v>2.4445145548599102E-2</c:v>
                </c:pt>
                <c:pt idx="79">
                  <c:v>2.4445145548599102E-2</c:v>
                </c:pt>
                <c:pt idx="80">
                  <c:v>2.4445145548599102E-2</c:v>
                </c:pt>
                <c:pt idx="81">
                  <c:v>2.4445145548599102E-2</c:v>
                </c:pt>
                <c:pt idx="82">
                  <c:v>2.4445145548599102E-2</c:v>
                </c:pt>
                <c:pt idx="83">
                  <c:v>2.4445145548599102E-2</c:v>
                </c:pt>
                <c:pt idx="84">
                  <c:v>2.4445145548599102E-2</c:v>
                </c:pt>
                <c:pt idx="85">
                  <c:v>2.9329697022322004E-2</c:v>
                </c:pt>
                <c:pt idx="86">
                  <c:v>4.2940192671964209E-2</c:v>
                </c:pt>
                <c:pt idx="87">
                  <c:v>3.4672248686029104E-2</c:v>
                </c:pt>
                <c:pt idx="88">
                  <c:v>3.9072970883546103E-2</c:v>
                </c:pt>
                <c:pt idx="89">
                  <c:v>4.1861007866058404E-2</c:v>
                </c:pt>
                <c:pt idx="90">
                  <c:v>4.1861007866058404E-2</c:v>
                </c:pt>
                <c:pt idx="91">
                  <c:v>4.1861007866058404E-2</c:v>
                </c:pt>
                <c:pt idx="92">
                  <c:v>4.1861007866058404E-2</c:v>
                </c:pt>
                <c:pt idx="93">
                  <c:v>4.1861007866058404E-2</c:v>
                </c:pt>
                <c:pt idx="94">
                  <c:v>4.1861007866058404E-2</c:v>
                </c:pt>
                <c:pt idx="95">
                  <c:v>4.1861007866058404E-2</c:v>
                </c:pt>
                <c:pt idx="96">
                  <c:v>4.1861007866058404E-2</c:v>
                </c:pt>
                <c:pt idx="97">
                  <c:v>4.1861007866058404E-2</c:v>
                </c:pt>
                <c:pt idx="98">
                  <c:v>4.1861007866058404E-2</c:v>
                </c:pt>
                <c:pt idx="99">
                  <c:v>4.1861007866058404E-2</c:v>
                </c:pt>
                <c:pt idx="100">
                  <c:v>4.1861007866058404E-2</c:v>
                </c:pt>
                <c:pt idx="101">
                  <c:v>4.1861007866058404E-2</c:v>
                </c:pt>
                <c:pt idx="102">
                  <c:v>4.1861007866058404E-2</c:v>
                </c:pt>
                <c:pt idx="103">
                  <c:v>4.1861007866058404E-2</c:v>
                </c:pt>
                <c:pt idx="104">
                  <c:v>4.1861007866058404E-2</c:v>
                </c:pt>
                <c:pt idx="105">
                  <c:v>4.1861007866058404E-2</c:v>
                </c:pt>
                <c:pt idx="106">
                  <c:v>4.1861007866058404E-2</c:v>
                </c:pt>
                <c:pt idx="107">
                  <c:v>4.1861007866058404E-2</c:v>
                </c:pt>
                <c:pt idx="108">
                  <c:v>4.1861007866058404E-2</c:v>
                </c:pt>
                <c:pt idx="109">
                  <c:v>4.1861007866058404E-2</c:v>
                </c:pt>
                <c:pt idx="110">
                  <c:v>4.1861007866058404E-2</c:v>
                </c:pt>
                <c:pt idx="111">
                  <c:v>4.1861007866058404E-2</c:v>
                </c:pt>
                <c:pt idx="112">
                  <c:v>4.1861007866058404E-2</c:v>
                </c:pt>
                <c:pt idx="113">
                  <c:v>4.1861007866058404E-2</c:v>
                </c:pt>
                <c:pt idx="114">
                  <c:v>4.7363335845465301E-2</c:v>
                </c:pt>
                <c:pt idx="115">
                  <c:v>4.7694388309822693E-2</c:v>
                </c:pt>
                <c:pt idx="116">
                  <c:v>5.6540182443744792E-2</c:v>
                </c:pt>
                <c:pt idx="117">
                  <c:v>5.6814002449047621E-2</c:v>
                </c:pt>
                <c:pt idx="118">
                  <c:v>6.0629998478674972E-2</c:v>
                </c:pt>
                <c:pt idx="119">
                  <c:v>6.0629998478674972E-2</c:v>
                </c:pt>
                <c:pt idx="120">
                  <c:v>6.0629998478674972E-2</c:v>
                </c:pt>
                <c:pt idx="121">
                  <c:v>6.0629998478674972E-2</c:v>
                </c:pt>
                <c:pt idx="122">
                  <c:v>6.0629998478674972E-2</c:v>
                </c:pt>
                <c:pt idx="123">
                  <c:v>7.570255156022157E-2</c:v>
                </c:pt>
                <c:pt idx="124">
                  <c:v>7.339571772211656E-2</c:v>
                </c:pt>
                <c:pt idx="125">
                  <c:v>6.9827126130384456E-2</c:v>
                </c:pt>
                <c:pt idx="126">
                  <c:v>8.1654592241663243E-2</c:v>
                </c:pt>
                <c:pt idx="127">
                  <c:v>8.1654592241663243E-2</c:v>
                </c:pt>
                <c:pt idx="128">
                  <c:v>8.1654592241663243E-2</c:v>
                </c:pt>
                <c:pt idx="129">
                  <c:v>8.1654592241663243E-2</c:v>
                </c:pt>
                <c:pt idx="130">
                  <c:v>8.1654592241663243E-2</c:v>
                </c:pt>
                <c:pt idx="131">
                  <c:v>8.1654592241663243E-2</c:v>
                </c:pt>
                <c:pt idx="132">
                  <c:v>8.1654592241663243E-2</c:v>
                </c:pt>
                <c:pt idx="133">
                  <c:v>8.1654592241663243E-2</c:v>
                </c:pt>
                <c:pt idx="134">
                  <c:v>8.1654592241663243E-2</c:v>
                </c:pt>
                <c:pt idx="135">
                  <c:v>8.1654592241663243E-2</c:v>
                </c:pt>
                <c:pt idx="136">
                  <c:v>8.1654592241663243E-2</c:v>
                </c:pt>
                <c:pt idx="137">
                  <c:v>8.1654592241663243E-2</c:v>
                </c:pt>
                <c:pt idx="138">
                  <c:v>8.1654592241663243E-2</c:v>
                </c:pt>
                <c:pt idx="139">
                  <c:v>8.1654592241663243E-2</c:v>
                </c:pt>
                <c:pt idx="140">
                  <c:v>8.1654592241663243E-2</c:v>
                </c:pt>
                <c:pt idx="141">
                  <c:v>8.1654592241663243E-2</c:v>
                </c:pt>
                <c:pt idx="142">
                  <c:v>8.1654592241663243E-2</c:v>
                </c:pt>
                <c:pt idx="143">
                  <c:v>8.1654592241663243E-2</c:v>
                </c:pt>
                <c:pt idx="144">
                  <c:v>8.1654592241663243E-2</c:v>
                </c:pt>
                <c:pt idx="145">
                  <c:v>8.1654592241663243E-2</c:v>
                </c:pt>
                <c:pt idx="146">
                  <c:v>8.1654592241663243E-2</c:v>
                </c:pt>
                <c:pt idx="147">
                  <c:v>8.1654592241663243E-2</c:v>
                </c:pt>
                <c:pt idx="148">
                  <c:v>8.1654592241663243E-2</c:v>
                </c:pt>
                <c:pt idx="149">
                  <c:v>8.1654592241663243E-2</c:v>
                </c:pt>
                <c:pt idx="150">
                  <c:v>8.1654592241663243E-2</c:v>
                </c:pt>
                <c:pt idx="151">
                  <c:v>8.1654592241663243E-2</c:v>
                </c:pt>
                <c:pt idx="152">
                  <c:v>8.1654592241663243E-2</c:v>
                </c:pt>
                <c:pt idx="153">
                  <c:v>8.1654592241663243E-2</c:v>
                </c:pt>
                <c:pt idx="154">
                  <c:v>8.1654592241663243E-2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8-4DB3-B8BE-CB338DE3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B9532-C2F8-48A2-8811-BAAB1532F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29CC3-05FB-4441-9ADC-EA76A3856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49ADBB-C7E6-4426-9E2D-731B35F7A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7D0BF8-5E08-4F6A-8D7C-5B348A66A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4F0990-B3D7-4914-A482-18FCC5185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86CAA7-B3C9-4F07-B61E-AE15DBDE1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3C5DF2-A95D-491F-AE89-A681415B1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42FD-ECB5-4261-B320-8C590D2C584D}">
  <dimension ref="A1:DZ179"/>
  <sheetViews>
    <sheetView tabSelected="1" topLeftCell="CJ1" workbookViewId="0">
      <selection activeCell="CJ1" sqref="A1:XFD1048576"/>
    </sheetView>
  </sheetViews>
  <sheetFormatPr defaultRowHeight="15" x14ac:dyDescent="0.25"/>
  <cols>
    <col min="1" max="1" width="9.42578125" bestFit="1" customWidth="1"/>
    <col min="2" max="3" width="11" style="32" bestFit="1" customWidth="1"/>
    <col min="4" max="4" width="11.28515625" style="15" bestFit="1" customWidth="1"/>
    <col min="5" max="5" width="12" style="15" bestFit="1" customWidth="1"/>
    <col min="6" max="6" width="9.7109375" style="32" bestFit="1" customWidth="1"/>
    <col min="7" max="7" width="18.140625" style="32" bestFit="1" customWidth="1"/>
    <col min="8" max="8" width="10.42578125" style="32" bestFit="1" customWidth="1"/>
    <col min="9" max="9" width="18.85546875" style="32" bestFit="1" customWidth="1"/>
    <col min="10" max="10" width="20.7109375" style="32" bestFit="1" customWidth="1"/>
    <col min="11" max="11" width="21.5703125" style="32" bestFit="1" customWidth="1"/>
    <col min="12" max="13" width="11" style="32" bestFit="1" customWidth="1"/>
    <col min="14" max="14" width="12.140625" style="33" bestFit="1" customWidth="1"/>
    <col min="15" max="15" width="15.7109375" style="33" bestFit="1" customWidth="1"/>
    <col min="16" max="17" width="19.140625" style="33" bestFit="1" customWidth="1"/>
    <col min="18" max="18" width="11.42578125" style="32" bestFit="1" customWidth="1"/>
    <col min="19" max="20" width="14.85546875" style="32" bestFit="1" customWidth="1"/>
    <col min="21" max="21" width="23.5703125" style="15" bestFit="1" customWidth="1"/>
    <col min="22" max="23" width="27" style="15" bestFit="1" customWidth="1"/>
    <col min="24" max="24" width="14.28515625" style="33" bestFit="1" customWidth="1"/>
    <col min="25" max="25" width="17.85546875" style="33" bestFit="1" customWidth="1"/>
    <col min="26" max="27" width="21.140625" style="33" bestFit="1" customWidth="1"/>
    <col min="28" max="28" width="12.42578125" style="32" bestFit="1" customWidth="1"/>
    <col min="29" max="30" width="15.85546875" style="32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29" t="s">
        <v>17</v>
      </c>
      <c r="S1" s="29" t="s">
        <v>18</v>
      </c>
      <c r="T1" s="29" t="s">
        <v>19</v>
      </c>
      <c r="U1" s="30" t="s">
        <v>20</v>
      </c>
      <c r="V1" s="30" t="s">
        <v>21</v>
      </c>
      <c r="W1" s="30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29" t="s">
        <v>27</v>
      </c>
      <c r="AC1" s="29" t="s">
        <v>28</v>
      </c>
      <c r="AD1" s="29" t="s">
        <v>29</v>
      </c>
      <c r="AE1" s="30" t="s">
        <v>30</v>
      </c>
      <c r="AF1" s="30" t="s">
        <v>31</v>
      </c>
      <c r="AG1" s="30" t="s">
        <v>32</v>
      </c>
      <c r="AH1" s="2"/>
      <c r="AI1" s="3">
        <f>AQ16</f>
        <v>2.300988418449387</v>
      </c>
      <c r="AJ1" s="4">
        <v>0</v>
      </c>
      <c r="AK1" s="4">
        <f t="shared" ref="AK1:AQ1" si="0">AJ1-$AK12</f>
        <v>-5.0000000000000001E-3</v>
      </c>
      <c r="AL1" s="4">
        <f t="shared" si="0"/>
        <v>-0.01</v>
      </c>
      <c r="AM1" s="4">
        <f t="shared" si="0"/>
        <v>-1.4999999999999999E-2</v>
      </c>
      <c r="AN1" s="4">
        <f t="shared" si="0"/>
        <v>-0.02</v>
      </c>
      <c r="AO1" s="4">
        <f t="shared" si="0"/>
        <v>-2.5000000000000001E-2</v>
      </c>
      <c r="AP1" s="4">
        <f t="shared" si="0"/>
        <v>-3.0000000000000002E-2</v>
      </c>
      <c r="AQ1" s="4">
        <f t="shared" si="0"/>
        <v>-3.5000000000000003E-2</v>
      </c>
      <c r="AR1" s="5" t="s">
        <v>33</v>
      </c>
      <c r="AS1" s="2"/>
      <c r="AT1" s="3">
        <f>BB16</f>
        <v>2.2659402448244035</v>
      </c>
      <c r="AU1" s="4">
        <v>0</v>
      </c>
      <c r="AV1" s="6">
        <f>AU1+$AV12</f>
        <v>5.0000000000000001E-3</v>
      </c>
      <c r="AW1" s="6">
        <f t="shared" ref="AW1:BB1" si="1">AV1+$AV12</f>
        <v>0.01</v>
      </c>
      <c r="AX1" s="6">
        <f t="shared" si="1"/>
        <v>1.4999999999999999E-2</v>
      </c>
      <c r="AY1" s="6">
        <f t="shared" si="1"/>
        <v>0.02</v>
      </c>
      <c r="AZ1" s="6">
        <f t="shared" si="1"/>
        <v>2.5000000000000001E-2</v>
      </c>
      <c r="BA1" s="6">
        <f t="shared" si="1"/>
        <v>3.0000000000000002E-2</v>
      </c>
      <c r="BB1" s="6">
        <f t="shared" si="1"/>
        <v>3.5000000000000003E-2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2">
        <v>373.3</v>
      </c>
      <c r="C2" s="32">
        <v>313.69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>
        <v>373.3</v>
      </c>
      <c r="M2" s="32">
        <v>313.69</v>
      </c>
      <c r="N2" s="33">
        <v>0.84031609965175402</v>
      </c>
      <c r="O2" s="33">
        <v>0.90525826694812095</v>
      </c>
      <c r="X2" s="33">
        <v>0.84031609965175402</v>
      </c>
      <c r="Y2" s="33">
        <v>0.90525826694812095</v>
      </c>
      <c r="AI2" s="4">
        <v>0</v>
      </c>
      <c r="AJ2" s="10">
        <f t="dataTable" ref="AJ2:AQ9" dt2D="1" dtr="1" r1="AI21" r2="AI22"/>
        <v>-0.94347891829177921</v>
      </c>
      <c r="AK2" s="10">
        <v>-1.1115266589841042</v>
      </c>
      <c r="AL2" s="10">
        <v>-1.3912749496701815</v>
      </c>
      <c r="AM2" s="10">
        <v>-0.9550616152412309</v>
      </c>
      <c r="AN2" s="10">
        <v>-0.68816339128522164</v>
      </c>
      <c r="AO2" s="10">
        <v>-0.56647356257244819</v>
      </c>
      <c r="AP2" s="10">
        <v>-0.67466306761643824</v>
      </c>
      <c r="AQ2" s="10">
        <v>0.37608892516085346</v>
      </c>
      <c r="AR2"/>
      <c r="AT2" s="4">
        <v>0</v>
      </c>
      <c r="AU2" s="10">
        <f t="dataTable" ref="AU2:BB9" dt2D="1" dtr="1" r1="AT21" r2="AT22"/>
        <v>3.9756599954856059E-2</v>
      </c>
      <c r="AV2" s="11">
        <v>-0.24345177629165651</v>
      </c>
      <c r="AW2" s="11">
        <v>0.15170872665412624</v>
      </c>
      <c r="AX2" s="11">
        <v>0.38993036767703382</v>
      </c>
      <c r="AY2" s="11">
        <v>0.58470532061367386</v>
      </c>
      <c r="AZ2" s="11">
        <v>0.42611313547321544</v>
      </c>
      <c r="BA2" s="11">
        <v>0.42611313547321544</v>
      </c>
      <c r="BB2" s="11" t="e">
        <v>#DIV/0!</v>
      </c>
      <c r="BC2"/>
    </row>
    <row r="3" spans="1:130" x14ac:dyDescent="0.25">
      <c r="A3" s="1">
        <v>46027</v>
      </c>
      <c r="B3" s="32">
        <v>377.59</v>
      </c>
      <c r="C3" s="32">
        <v>318.06</v>
      </c>
      <c r="D3" s="15">
        <v>1.14265649492777E-2</v>
      </c>
      <c r="E3" s="15">
        <v>1.38348071292926E-2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377.59</v>
      </c>
      <c r="M3" s="32">
        <v>318.06</v>
      </c>
      <c r="N3" s="33">
        <v>0.84234222304616102</v>
      </c>
      <c r="O3" s="33">
        <v>0.90525826694812095</v>
      </c>
      <c r="R3" s="32">
        <v>341.81646901694103</v>
      </c>
      <c r="U3" s="15">
        <v>7.2033908490552301E-2</v>
      </c>
      <c r="X3" s="33">
        <v>0.84234222304616102</v>
      </c>
      <c r="Y3" s="33">
        <v>0.90525826694812095</v>
      </c>
      <c r="AB3" s="32">
        <v>341.81646901694103</v>
      </c>
      <c r="AE3" s="15">
        <v>7.2033908490552301E-2</v>
      </c>
      <c r="AI3" s="4">
        <f t="shared" ref="AI3:AI9" si="2">AI2-AK$12</f>
        <v>-5.0000000000000001E-3</v>
      </c>
      <c r="AJ3" s="10">
        <v>-0.94347891829177921</v>
      </c>
      <c r="AK3" s="10">
        <v>-1.2605743153556088</v>
      </c>
      <c r="AL3" s="10">
        <v>-1.6813229730660553</v>
      </c>
      <c r="AM3" s="10">
        <v>-1.388288325199829</v>
      </c>
      <c r="AN3" s="10">
        <v>-1.088199692583308</v>
      </c>
      <c r="AO3" s="11">
        <v>-0.96121547002947372</v>
      </c>
      <c r="AP3" s="10">
        <v>-0.86960098072872416</v>
      </c>
      <c r="AQ3" s="10">
        <v>0.15953626733527582</v>
      </c>
      <c r="AR3"/>
      <c r="AT3" s="4">
        <f>AT2+AV$12</f>
        <v>5.0000000000000001E-3</v>
      </c>
      <c r="AU3" s="10">
        <v>3.9756599954856059E-2</v>
      </c>
      <c r="AV3" s="11">
        <v>0.6459783333317507</v>
      </c>
      <c r="AW3" s="11">
        <v>0.37015486530229913</v>
      </c>
      <c r="AX3" s="11">
        <v>0.62683157265223721</v>
      </c>
      <c r="AY3" s="11">
        <v>1.5457387932022446</v>
      </c>
      <c r="AZ3" s="11">
        <v>2.2659402448244035</v>
      </c>
      <c r="BA3" s="11">
        <v>2.1686123729700184</v>
      </c>
      <c r="BB3" s="11" t="e">
        <v>#DIV/0!</v>
      </c>
      <c r="BC3"/>
    </row>
    <row r="4" spans="1:130" x14ac:dyDescent="0.25">
      <c r="A4" s="1">
        <v>46028</v>
      </c>
      <c r="B4" s="32">
        <v>387.62</v>
      </c>
      <c r="C4" s="32">
        <v>328.35</v>
      </c>
      <c r="D4" s="15">
        <v>2.62165274027856E-2</v>
      </c>
      <c r="E4" s="15">
        <v>3.1840068409211997E-2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>
        <v>387.62</v>
      </c>
      <c r="M4" s="32">
        <v>328.35</v>
      </c>
      <c r="N4" s="33">
        <v>0.84709251328620805</v>
      </c>
      <c r="O4" s="33">
        <v>0.90525826694812095</v>
      </c>
      <c r="R4" s="32">
        <v>350.89620943442998</v>
      </c>
      <c r="U4" s="15">
        <v>6.6410367484126001E-2</v>
      </c>
      <c r="X4" s="33">
        <v>0.84709251328620805</v>
      </c>
      <c r="Y4" s="33">
        <v>0.90525826694812095</v>
      </c>
      <c r="AB4" s="32">
        <v>350.89620943442998</v>
      </c>
      <c r="AE4" s="15">
        <v>6.6410367484126001E-2</v>
      </c>
      <c r="AG4"/>
      <c r="AI4" s="4">
        <f t="shared" si="2"/>
        <v>-0.01</v>
      </c>
      <c r="AJ4" s="10">
        <v>-0.94347891829177921</v>
      </c>
      <c r="AK4" s="11">
        <v>-1.2605743153556088</v>
      </c>
      <c r="AL4" s="11">
        <v>-1.5453182065248423</v>
      </c>
      <c r="AM4" s="11">
        <v>-1.2604580810891937</v>
      </c>
      <c r="AN4" s="10">
        <v>-0.7224660259327107</v>
      </c>
      <c r="AO4" s="11">
        <v>-0.25901465542500246</v>
      </c>
      <c r="AP4" s="11">
        <v>-0.27503866129854837</v>
      </c>
      <c r="AQ4" s="11">
        <v>1.2782505756459324</v>
      </c>
      <c r="AR4"/>
      <c r="AT4" s="4">
        <f t="shared" ref="AT4:AT9" si="3">AT3+AV$12</f>
        <v>0.01</v>
      </c>
      <c r="AU4" s="10">
        <v>3.9756599954856059E-2</v>
      </c>
      <c r="AV4" s="11">
        <v>0.6459783333317507</v>
      </c>
      <c r="AW4" s="11">
        <v>0.45024047915411641</v>
      </c>
      <c r="AX4" s="11">
        <v>0.70621626924836312</v>
      </c>
      <c r="AY4" s="11">
        <v>1.2405242502917984</v>
      </c>
      <c r="AZ4" s="11">
        <v>2.100459744324398</v>
      </c>
      <c r="BA4" s="11">
        <v>1.8349600379197213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2">
        <v>385.02</v>
      </c>
      <c r="C5" s="32">
        <v>324.89</v>
      </c>
      <c r="D5" s="15">
        <v>-6.7301972821226796E-3</v>
      </c>
      <c r="E5" s="15">
        <v>-1.05934491367398E-2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385.02</v>
      </c>
      <c r="M5" s="32">
        <v>324.89</v>
      </c>
      <c r="N5" s="33">
        <v>0.84382629473793502</v>
      </c>
      <c r="O5" s="33">
        <v>0.90525826694812095</v>
      </c>
      <c r="R5" s="32">
        <v>348.54253794036498</v>
      </c>
      <c r="U5" s="15">
        <v>7.0273619338743307E-2</v>
      </c>
      <c r="X5" s="33">
        <v>0.84382629473793502</v>
      </c>
      <c r="Y5" s="33">
        <v>0.90525826694812095</v>
      </c>
      <c r="AB5" s="32">
        <v>348.54253794036498</v>
      </c>
      <c r="AE5" s="15">
        <v>7.0273619338743307E-2</v>
      </c>
      <c r="AG5" s="28"/>
      <c r="AI5" s="4">
        <f t="shared" si="2"/>
        <v>-1.4999999999999999E-2</v>
      </c>
      <c r="AJ5" s="10">
        <v>-0.94347891829177921</v>
      </c>
      <c r="AK5" s="11">
        <v>-1.2605743153556088</v>
      </c>
      <c r="AL5" s="11">
        <v>-1.5453182065248423</v>
      </c>
      <c r="AM5" s="11">
        <v>-0.19883075258861782</v>
      </c>
      <c r="AN5" s="11">
        <v>0.76474803063378427</v>
      </c>
      <c r="AO5" s="11">
        <v>0.78142141039206514</v>
      </c>
      <c r="AP5" s="10">
        <v>0.21744326820300267</v>
      </c>
      <c r="AQ5" s="11">
        <v>2.300988418449387</v>
      </c>
      <c r="AR5"/>
      <c r="AT5" s="4">
        <f t="shared" si="3"/>
        <v>1.4999999999999999E-2</v>
      </c>
      <c r="AU5" s="10">
        <v>3.9756599954856059E-2</v>
      </c>
      <c r="AV5" s="11">
        <v>0.6459783333317507</v>
      </c>
      <c r="AW5" s="11">
        <v>0.45024047915411641</v>
      </c>
      <c r="AX5" s="11">
        <v>1.6256352922890931</v>
      </c>
      <c r="AY5" s="11">
        <v>1.00378060304619</v>
      </c>
      <c r="AZ5" s="11">
        <v>2.0812079159634651</v>
      </c>
      <c r="BA5" s="11">
        <v>1.8015482011178858</v>
      </c>
      <c r="BB5" s="11" t="e">
        <v>#DIV/0!</v>
      </c>
      <c r="BC5"/>
    </row>
    <row r="6" spans="1:130" x14ac:dyDescent="0.25">
      <c r="A6" s="1">
        <v>46030</v>
      </c>
      <c r="B6" s="32">
        <v>378.98</v>
      </c>
      <c r="C6" s="32">
        <v>319.58</v>
      </c>
      <c r="D6" s="15">
        <v>-1.5811847749010399E-2</v>
      </c>
      <c r="E6" s="15">
        <v>-1.64790297889994E-2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378.98</v>
      </c>
      <c r="M6" s="32">
        <v>319.58</v>
      </c>
      <c r="N6" s="33">
        <v>0.84326349675444601</v>
      </c>
      <c r="O6" s="33">
        <v>0.90525826694812095</v>
      </c>
      <c r="R6" s="32">
        <v>343.07477800799899</v>
      </c>
      <c r="U6" s="15">
        <v>7.0940801378732293E-2</v>
      </c>
      <c r="X6" s="33">
        <v>0.84326349675444601</v>
      </c>
      <c r="Y6" s="33">
        <v>0.90525826694812095</v>
      </c>
      <c r="AB6" s="32">
        <v>343.07477800799899</v>
      </c>
      <c r="AE6" s="15">
        <v>7.0940801378732293E-2</v>
      </c>
      <c r="AG6" s="28"/>
      <c r="AI6" s="4">
        <f t="shared" si="2"/>
        <v>-0.02</v>
      </c>
      <c r="AJ6" s="10">
        <v>-0.94347891829177921</v>
      </c>
      <c r="AK6" s="11">
        <v>-1.2605743153556088</v>
      </c>
      <c r="AL6" s="11">
        <v>-1.5453182065248423</v>
      </c>
      <c r="AM6" s="11">
        <v>-0.19883075258861782</v>
      </c>
      <c r="AN6" s="11">
        <v>1.8056069034501165</v>
      </c>
      <c r="AO6" s="11">
        <v>1.320234669557341</v>
      </c>
      <c r="AP6" s="11">
        <v>0.78568425251925955</v>
      </c>
      <c r="AQ6" s="11">
        <v>2.2995512526227113</v>
      </c>
      <c r="AR6"/>
      <c r="AT6" s="4">
        <f t="shared" si="3"/>
        <v>0.02</v>
      </c>
      <c r="AU6" s="10">
        <v>3.9756599954856059E-2</v>
      </c>
      <c r="AV6" s="11">
        <v>0.6459783333317507</v>
      </c>
      <c r="AW6" s="11">
        <v>0.45024047915411641</v>
      </c>
      <c r="AX6" s="11">
        <v>1.6256352922890931</v>
      </c>
      <c r="AY6" s="11">
        <v>1.4116190151689192</v>
      </c>
      <c r="AZ6" s="11">
        <v>2.0812079159634651</v>
      </c>
      <c r="BA6" s="11">
        <v>1.8015482011178858</v>
      </c>
      <c r="BB6" s="11" t="e">
        <v>#DIV/0!</v>
      </c>
      <c r="BC6"/>
    </row>
    <row r="7" spans="1:130" x14ac:dyDescent="0.25">
      <c r="A7" s="1">
        <v>46031</v>
      </c>
      <c r="B7" s="32">
        <v>389.22</v>
      </c>
      <c r="C7" s="32">
        <v>328.78</v>
      </c>
      <c r="D7" s="15">
        <v>2.66613032115505E-2</v>
      </c>
      <c r="E7" s="15">
        <v>2.8381200370121699E-2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>
        <v>389.22</v>
      </c>
      <c r="M7" s="32">
        <v>328.78</v>
      </c>
      <c r="N7" s="33">
        <v>0.84471507116797595</v>
      </c>
      <c r="O7" s="33">
        <v>0.90525826694812095</v>
      </c>
      <c r="R7" s="32">
        <v>352.34462266154799</v>
      </c>
      <c r="U7" s="15">
        <v>6.9220904220161097E-2</v>
      </c>
      <c r="X7" s="33">
        <v>0.84471507116797595</v>
      </c>
      <c r="Y7" s="33">
        <v>0.90525826694812095</v>
      </c>
      <c r="AB7" s="32">
        <v>352.34462266154799</v>
      </c>
      <c r="AE7" s="15">
        <v>6.9220904220161097E-2</v>
      </c>
      <c r="AG7"/>
      <c r="AI7" s="4">
        <f t="shared" si="2"/>
        <v>-2.5000000000000001E-2</v>
      </c>
      <c r="AJ7" s="10">
        <v>-0.94347891829177921</v>
      </c>
      <c r="AK7" s="11">
        <v>-1.2605743153556088</v>
      </c>
      <c r="AL7" s="11">
        <v>-1.5453182065248423</v>
      </c>
      <c r="AM7" s="11">
        <v>-0.19883075258861782</v>
      </c>
      <c r="AN7" s="11">
        <v>1.8056069034501165</v>
      </c>
      <c r="AO7" s="11">
        <v>1.5534938233455293</v>
      </c>
      <c r="AP7" s="11">
        <v>0.78568425251925955</v>
      </c>
      <c r="AQ7" s="11">
        <v>2.2995512526227113</v>
      </c>
      <c r="AR7"/>
      <c r="AT7" s="4">
        <f t="shared" si="3"/>
        <v>2.5000000000000001E-2</v>
      </c>
      <c r="AU7" s="10">
        <v>3.9756599954856059E-2</v>
      </c>
      <c r="AV7" s="11">
        <v>0.6459783333317507</v>
      </c>
      <c r="AW7" s="11">
        <v>0.45024047915411641</v>
      </c>
      <c r="AX7" s="11">
        <v>1.6256352922890931</v>
      </c>
      <c r="AY7" s="11">
        <v>1.4116190151689192</v>
      </c>
      <c r="AZ7" s="11">
        <v>1.6384354716137195</v>
      </c>
      <c r="BA7" s="11">
        <v>1.2750711555097243</v>
      </c>
      <c r="BB7" s="11" t="e">
        <v>#DIV/0!</v>
      </c>
      <c r="BC7"/>
    </row>
    <row r="8" spans="1:130" x14ac:dyDescent="0.25">
      <c r="A8" s="1">
        <v>46034</v>
      </c>
      <c r="B8" s="32">
        <v>390.66</v>
      </c>
      <c r="C8" s="32">
        <v>330.35</v>
      </c>
      <c r="D8" s="15">
        <v>3.69288002380672E-3</v>
      </c>
      <c r="E8" s="15">
        <v>4.7638643945304201E-3</v>
      </c>
      <c r="F8" s="32">
        <v>0</v>
      </c>
      <c r="G8" s="32">
        <v>0</v>
      </c>
      <c r="H8" s="32">
        <v>0</v>
      </c>
      <c r="I8" s="32">
        <v>0</v>
      </c>
      <c r="J8" s="32">
        <v>0</v>
      </c>
      <c r="K8" s="32">
        <v>0</v>
      </c>
      <c r="L8" s="32">
        <v>390.66</v>
      </c>
      <c r="M8" s="32">
        <v>330.35</v>
      </c>
      <c r="N8" s="33">
        <v>0.84562023242717399</v>
      </c>
      <c r="O8" s="33">
        <v>0.90525826694812095</v>
      </c>
      <c r="R8" s="32">
        <v>353.64819456595302</v>
      </c>
      <c r="U8" s="15">
        <v>6.8149919849437204E-2</v>
      </c>
      <c r="X8" s="33">
        <v>0.84562023242717399</v>
      </c>
      <c r="Y8" s="33">
        <v>0.90525826694812095</v>
      </c>
      <c r="AB8" s="32">
        <v>353.64819456595302</v>
      </c>
      <c r="AE8" s="15">
        <v>6.8149919849437204E-2</v>
      </c>
      <c r="AG8"/>
      <c r="AI8" s="4">
        <f t="shared" si="2"/>
        <v>-3.0000000000000002E-2</v>
      </c>
      <c r="AJ8" s="10">
        <v>-0.94347891829177921</v>
      </c>
      <c r="AK8" s="11">
        <v>-1.2605743153556088</v>
      </c>
      <c r="AL8" s="11">
        <v>-1.5453182065248423</v>
      </c>
      <c r="AM8" s="11">
        <v>-0.19883075258861782</v>
      </c>
      <c r="AN8" s="11">
        <v>1.8056069034501165</v>
      </c>
      <c r="AO8" s="11">
        <v>1.5534938233455293</v>
      </c>
      <c r="AP8" s="11">
        <v>0.34874910734925296</v>
      </c>
      <c r="AQ8" s="11">
        <v>2.2995512526227113</v>
      </c>
      <c r="AR8"/>
      <c r="AT8" s="4">
        <f t="shared" si="3"/>
        <v>3.0000000000000002E-2</v>
      </c>
      <c r="AU8" s="10">
        <v>3.9756599954856059E-2</v>
      </c>
      <c r="AV8" s="11">
        <v>0.6459783333317507</v>
      </c>
      <c r="AW8" s="11">
        <v>0.45024047915411641</v>
      </c>
      <c r="AX8" s="11">
        <v>1.6256352922890931</v>
      </c>
      <c r="AY8" s="11">
        <v>1.4116190151689192</v>
      </c>
      <c r="AZ8" s="11">
        <v>1.6384354716137195</v>
      </c>
      <c r="BA8" s="11">
        <v>1.2750711555097243</v>
      </c>
      <c r="BB8" s="11" t="e">
        <v>#DIV/0!</v>
      </c>
      <c r="BC8"/>
    </row>
    <row r="9" spans="1:130" x14ac:dyDescent="0.25">
      <c r="A9" s="1">
        <v>46035</v>
      </c>
      <c r="B9" s="32">
        <v>391.53</v>
      </c>
      <c r="C9" s="32">
        <v>333.3</v>
      </c>
      <c r="D9" s="15">
        <v>2.2245243707200899E-3</v>
      </c>
      <c r="E9" s="15">
        <v>8.8902868377992092E-3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v>0</v>
      </c>
      <c r="L9" s="32">
        <v>391.53</v>
      </c>
      <c r="M9" s="32">
        <v>333.3</v>
      </c>
      <c r="N9" s="33">
        <v>0.85127576430924801</v>
      </c>
      <c r="O9" s="33">
        <v>0.90525826694812095</v>
      </c>
      <c r="R9" s="32">
        <v>354.43576925819798</v>
      </c>
      <c r="U9" s="15">
        <v>6.1484157382357997E-2</v>
      </c>
      <c r="X9" s="33">
        <v>0.85127576430924801</v>
      </c>
      <c r="Y9" s="33">
        <v>0.90525826694812095</v>
      </c>
      <c r="AB9" s="32">
        <v>354.43576925819798</v>
      </c>
      <c r="AE9" s="15">
        <v>6.1484157382357997E-2</v>
      </c>
      <c r="AF9"/>
      <c r="AI9" s="4">
        <f t="shared" si="2"/>
        <v>-3.5000000000000003E-2</v>
      </c>
      <c r="AJ9" s="10">
        <v>-0.94347891829177921</v>
      </c>
      <c r="AK9" s="11">
        <v>-1.2605743153556088</v>
      </c>
      <c r="AL9" s="11">
        <v>-1.5453182065248423</v>
      </c>
      <c r="AM9" s="11">
        <v>-0.19883075258861782</v>
      </c>
      <c r="AN9" s="11">
        <v>1.8056069034501165</v>
      </c>
      <c r="AO9" s="11">
        <v>1.5534938233455293</v>
      </c>
      <c r="AP9" s="11">
        <v>0.34874910734925296</v>
      </c>
      <c r="AQ9" s="11">
        <v>1.8025201071811483</v>
      </c>
      <c r="AR9"/>
      <c r="AT9" s="4">
        <f t="shared" si="3"/>
        <v>3.5000000000000003E-2</v>
      </c>
      <c r="AU9" s="10">
        <v>3.9756599954856059E-2</v>
      </c>
      <c r="AV9" s="10">
        <v>0.6459783333317507</v>
      </c>
      <c r="AW9" s="10">
        <v>0.45024047915411641</v>
      </c>
      <c r="AX9" s="10">
        <v>1.6256352922890931</v>
      </c>
      <c r="AY9" s="10">
        <v>1.4116190151689192</v>
      </c>
      <c r="AZ9" s="10">
        <v>1.6384354716137195</v>
      </c>
      <c r="BA9" s="10">
        <v>1.2750711555097243</v>
      </c>
      <c r="BB9" s="10" t="e">
        <v>#DIV/0!</v>
      </c>
      <c r="BC9"/>
    </row>
    <row r="10" spans="1:130" x14ac:dyDescent="0.25">
      <c r="A10" s="1">
        <v>46036</v>
      </c>
      <c r="B10" s="32">
        <v>388.35</v>
      </c>
      <c r="C10" s="32">
        <v>331.9</v>
      </c>
      <c r="D10" s="15">
        <v>-8.1551459818894802E-3</v>
      </c>
      <c r="E10" s="15">
        <v>-4.2092665877651401E-3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388.35</v>
      </c>
      <c r="M10" s="32">
        <v>331.9</v>
      </c>
      <c r="N10" s="33">
        <v>0.85464143169821005</v>
      </c>
      <c r="O10" s="33">
        <v>0.90525826694812095</v>
      </c>
      <c r="R10" s="32">
        <v>351.55704796930303</v>
      </c>
      <c r="U10" s="15">
        <v>5.7538277988233702E-2</v>
      </c>
      <c r="X10" s="33">
        <v>0.85464143169821005</v>
      </c>
      <c r="Y10" s="33">
        <v>0.90525826694812095</v>
      </c>
      <c r="AB10" s="32">
        <v>351.55704796930303</v>
      </c>
      <c r="AE10" s="15">
        <v>5.7538277988233702E-2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2">
        <v>396.41</v>
      </c>
      <c r="C11" s="32">
        <v>337.22</v>
      </c>
      <c r="D11" s="15">
        <v>2.0542034315370598E-2</v>
      </c>
      <c r="E11" s="15">
        <v>1.5901817623905599E-2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396.41</v>
      </c>
      <c r="M11" s="32">
        <v>337.22</v>
      </c>
      <c r="N11" s="33">
        <v>0.85068489695012695</v>
      </c>
      <c r="O11" s="33">
        <v>0.90525826694812095</v>
      </c>
      <c r="P11" s="33">
        <v>0.84637780240292404</v>
      </c>
      <c r="R11" s="32">
        <v>358.85342960090497</v>
      </c>
      <c r="U11" s="15">
        <v>6.21784946796985E-2</v>
      </c>
      <c r="X11" s="33">
        <v>0.85068489695012695</v>
      </c>
      <c r="Y11" s="33">
        <v>0.90525826694812095</v>
      </c>
      <c r="Z11" s="33">
        <v>0.84637780240292404</v>
      </c>
      <c r="AB11" s="32">
        <v>358.85342960090497</v>
      </c>
      <c r="AE11" s="15">
        <v>6.21784946796985E-2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2">
        <v>400.39</v>
      </c>
      <c r="C12" s="32">
        <v>342.47</v>
      </c>
      <c r="D12" s="15">
        <v>9.99004292318224E-3</v>
      </c>
      <c r="E12" s="15">
        <v>1.5448526275232801E-2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400.39</v>
      </c>
      <c r="M12" s="32">
        <v>342.47</v>
      </c>
      <c r="N12" s="33">
        <v>0.85534104248357801</v>
      </c>
      <c r="O12" s="33">
        <v>0.90525826694812095</v>
      </c>
      <c r="P12" s="33">
        <v>0.84788029668610598</v>
      </c>
      <c r="R12" s="32">
        <v>362.45635750335799</v>
      </c>
      <c r="S12" s="32">
        <v>338.881208304106</v>
      </c>
      <c r="U12" s="15">
        <v>5.6720011327648097E-2</v>
      </c>
      <c r="V12" s="15">
        <v>-1.0534434637330401E-2</v>
      </c>
      <c r="X12" s="33">
        <v>0.85534104248357801</v>
      </c>
      <c r="Y12" s="33">
        <v>0.90525826694812095</v>
      </c>
      <c r="Z12" s="33">
        <v>0.84788029668610598</v>
      </c>
      <c r="AB12" s="32">
        <v>362.45635750335799</v>
      </c>
      <c r="AC12" s="32">
        <v>338.881208304106</v>
      </c>
      <c r="AE12" s="15">
        <v>5.6720011327648097E-2</v>
      </c>
      <c r="AF12" s="15">
        <v>-1.0534434637330401E-2</v>
      </c>
      <c r="AK12" s="17">
        <v>5.0000000000000001E-3</v>
      </c>
      <c r="AL12" s="18" t="s">
        <v>37</v>
      </c>
      <c r="AM12" s="19" t="s">
        <v>38</v>
      </c>
      <c r="AV12" s="17">
        <v>5.0000000000000001E-3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2">
        <v>390.39</v>
      </c>
      <c r="C13" s="32">
        <v>337.35</v>
      </c>
      <c r="D13" s="15">
        <v>-2.5292832647433601E-2</v>
      </c>
      <c r="E13" s="15">
        <v>-1.5063095551632899E-2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390.39</v>
      </c>
      <c r="M13" s="32">
        <v>337.35</v>
      </c>
      <c r="N13" s="33">
        <v>0.86413586413586396</v>
      </c>
      <c r="O13" s="33">
        <v>0.90525826694812095</v>
      </c>
      <c r="P13" s="33">
        <v>0.850059660795077</v>
      </c>
      <c r="R13" s="32">
        <v>353.40377483387698</v>
      </c>
      <c r="S13" s="32">
        <v>331.00398902328902</v>
      </c>
      <c r="U13" s="15">
        <v>4.6490274231847303E-2</v>
      </c>
      <c r="V13" s="15">
        <v>-1.89905403391127E-2</v>
      </c>
      <c r="X13" s="33">
        <v>0.86413586413586396</v>
      </c>
      <c r="Y13" s="33">
        <v>0.90525826694812095</v>
      </c>
      <c r="Z13" s="33">
        <v>0.850059660795077</v>
      </c>
      <c r="AB13" s="32">
        <v>353.40377483387698</v>
      </c>
      <c r="AC13" s="32">
        <v>331.00398902328902</v>
      </c>
      <c r="AE13" s="15">
        <v>4.6490274231847303E-2</v>
      </c>
      <c r="AF13" s="15">
        <v>-1.89905403391127E-2</v>
      </c>
    </row>
    <row r="14" spans="1:130" x14ac:dyDescent="0.25">
      <c r="A14" s="1">
        <v>46043</v>
      </c>
      <c r="B14" s="32">
        <v>401.93</v>
      </c>
      <c r="C14" s="32">
        <v>348.14</v>
      </c>
      <c r="D14" s="15">
        <v>2.91317046467356E-2</v>
      </c>
      <c r="E14" s="15">
        <v>3.1483730651128701E-2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401.93</v>
      </c>
      <c r="M14" s="32">
        <v>348.14</v>
      </c>
      <c r="N14" s="33">
        <v>0.866170726245863</v>
      </c>
      <c r="O14" s="33">
        <v>0.90525826694812095</v>
      </c>
      <c r="P14" s="33">
        <v>0.85196748209104201</v>
      </c>
      <c r="R14" s="32">
        <v>363.85045523445802</v>
      </c>
      <c r="S14" s="32">
        <v>341.66447946336501</v>
      </c>
      <c r="U14" s="15">
        <v>4.4138248227454303E-2</v>
      </c>
      <c r="V14" s="15">
        <v>-1.8775496411292499E-2</v>
      </c>
      <c r="X14" s="33">
        <v>0.866170726245863</v>
      </c>
      <c r="Y14" s="33">
        <v>0.90525826694812095</v>
      </c>
      <c r="Z14" s="33">
        <v>0.85196748209104201</v>
      </c>
      <c r="AB14" s="32">
        <v>363.85045523445802</v>
      </c>
      <c r="AC14" s="32">
        <v>341.66447946336501</v>
      </c>
      <c r="AE14" s="15">
        <v>4.4138248227454303E-2</v>
      </c>
      <c r="AF14" s="15">
        <v>-1.8775496411292499E-2</v>
      </c>
      <c r="AQ14" s="20">
        <f>AVERAGE(AQ22:AQ176)</f>
        <v>2.7007101849069941E-4</v>
      </c>
      <c r="AR14" s="21" t="s">
        <v>41</v>
      </c>
      <c r="BB14" s="20">
        <f>AVERAGE(BB22:BB176)</f>
        <v>2.5673280242325709E-4</v>
      </c>
      <c r="BC14" s="21" t="s">
        <v>41</v>
      </c>
      <c r="BD14" s="22"/>
      <c r="BE14" s="20">
        <f>AVERAGE(BE22:BE176)</f>
        <v>5.2680382091395645E-4</v>
      </c>
      <c r="BF14" s="21" t="s">
        <v>41</v>
      </c>
    </row>
    <row r="15" spans="1:130" x14ac:dyDescent="0.25">
      <c r="A15" s="1">
        <v>46044</v>
      </c>
      <c r="B15" s="32">
        <v>402.82</v>
      </c>
      <c r="C15" s="32">
        <v>348.67</v>
      </c>
      <c r="D15" s="15">
        <v>2.2118679412239301E-3</v>
      </c>
      <c r="E15" s="15">
        <v>1.5212184159421099E-3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402.82</v>
      </c>
      <c r="M15" s="32">
        <v>348.67</v>
      </c>
      <c r="N15" s="33">
        <v>0.86557271237773703</v>
      </c>
      <c r="O15" s="33">
        <v>0.90525826694812095</v>
      </c>
      <c r="P15" s="33">
        <v>0.85414212385502197</v>
      </c>
      <c r="R15" s="32">
        <v>364.65613509204201</v>
      </c>
      <c r="S15" s="32">
        <v>343.18954113591298</v>
      </c>
      <c r="U15" s="15">
        <v>4.4828897752735998E-2</v>
      </c>
      <c r="V15" s="15">
        <v>-1.5843023536762299E-2</v>
      </c>
      <c r="X15" s="33">
        <v>0.86557271237773703</v>
      </c>
      <c r="Y15" s="33">
        <v>0.90525826694812095</v>
      </c>
      <c r="Z15" s="33">
        <v>0.85414212385502197</v>
      </c>
      <c r="AB15" s="32">
        <v>364.65613509204201</v>
      </c>
      <c r="AC15" s="32">
        <v>343.18954113591298</v>
      </c>
      <c r="AE15" s="15">
        <v>4.4828897752735998E-2</v>
      </c>
      <c r="AF15" s="15">
        <v>-1.5843023536762299E-2</v>
      </c>
      <c r="AQ15" s="20">
        <f>STDEV(AQ22:AQ176)</f>
        <v>1.8632186381898584E-3</v>
      </c>
      <c r="AR15" s="21" t="s">
        <v>42</v>
      </c>
      <c r="BB15" s="20">
        <f>STDEV(BB22:BB176)</f>
        <v>1.7985941601666292E-3</v>
      </c>
      <c r="BC15" s="21" t="s">
        <v>42</v>
      </c>
      <c r="BD15" s="22"/>
      <c r="BE15" s="20">
        <f>STDEV(BE22:BE176)</f>
        <v>2.5626064854223779E-3</v>
      </c>
      <c r="BF15" s="21" t="s">
        <v>42</v>
      </c>
    </row>
    <row r="16" spans="1:130" x14ac:dyDescent="0.25">
      <c r="A16" s="1">
        <v>46045</v>
      </c>
      <c r="B16" s="32">
        <v>400.09</v>
      </c>
      <c r="C16" s="32">
        <v>344.71</v>
      </c>
      <c r="D16" s="15">
        <v>-6.8002902454570302E-3</v>
      </c>
      <c r="E16" s="15">
        <v>-1.1422432304517401E-2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400.09</v>
      </c>
      <c r="M16" s="32">
        <v>344.71</v>
      </c>
      <c r="N16" s="33">
        <v>0.86158114424254495</v>
      </c>
      <c r="O16" s="33">
        <v>0.90525826694812095</v>
      </c>
      <c r="P16" s="33">
        <v>0.85597388860383194</v>
      </c>
      <c r="R16" s="32">
        <v>362.18478002327402</v>
      </c>
      <c r="S16" s="32">
        <v>341.73372233315598</v>
      </c>
      <c r="U16" s="15">
        <v>4.94510398117965E-2</v>
      </c>
      <c r="V16" s="15">
        <v>-8.6716397008733005E-3</v>
      </c>
      <c r="X16" s="33">
        <v>0.86158114424254495</v>
      </c>
      <c r="Y16" s="33">
        <v>0.90525826694812095</v>
      </c>
      <c r="Z16" s="33">
        <v>0.85597388860383194</v>
      </c>
      <c r="AB16" s="32">
        <v>362.18478002327402</v>
      </c>
      <c r="AC16" s="32">
        <v>341.73372233315598</v>
      </c>
      <c r="AE16" s="15">
        <v>4.94510398117965E-2</v>
      </c>
      <c r="AF16" s="15">
        <v>-8.6716397008733005E-3</v>
      </c>
      <c r="AQ16" s="34">
        <f>SQRT(252)*AQ14/AQ15</f>
        <v>2.300988418449387</v>
      </c>
      <c r="AR16" s="21" t="s">
        <v>43</v>
      </c>
      <c r="BB16" s="34">
        <f>SQRT(252)*BB14/BB15</f>
        <v>2.2659402448244035</v>
      </c>
      <c r="BC16" s="21" t="s">
        <v>43</v>
      </c>
      <c r="BD16" s="22"/>
      <c r="BE16" s="34">
        <f>SQRT(252)*BE14/BE15</f>
        <v>3.2633771305558992</v>
      </c>
      <c r="BF16" s="21" t="s">
        <v>43</v>
      </c>
    </row>
    <row r="17" spans="1:124" x14ac:dyDescent="0.25">
      <c r="A17" s="1">
        <v>46048</v>
      </c>
      <c r="B17" s="32">
        <v>398.82</v>
      </c>
      <c r="C17" s="32">
        <v>343.07</v>
      </c>
      <c r="D17" s="15">
        <v>-3.1793345177327402E-3</v>
      </c>
      <c r="E17" s="15">
        <v>-4.7689758592185903E-3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398.82</v>
      </c>
      <c r="M17" s="32">
        <v>343.07</v>
      </c>
      <c r="N17" s="33">
        <v>0.86021262725038805</v>
      </c>
      <c r="O17" s="33">
        <v>0.90525826694812095</v>
      </c>
      <c r="P17" s="33">
        <v>0.85752364421207306</v>
      </c>
      <c r="R17" s="32">
        <v>361.035102024249</v>
      </c>
      <c r="S17" s="32">
        <v>341.37950625297998</v>
      </c>
      <c r="U17" s="15">
        <v>5.1040681153282197E-2</v>
      </c>
      <c r="V17" s="15">
        <v>-4.9397279683597601E-3</v>
      </c>
      <c r="X17" s="33">
        <v>0.86021262725038805</v>
      </c>
      <c r="Y17" s="33">
        <v>0.90525826694812095</v>
      </c>
      <c r="Z17" s="33">
        <v>0.85752364421207306</v>
      </c>
      <c r="AB17" s="32">
        <v>361.035102024249</v>
      </c>
      <c r="AC17" s="32">
        <v>341.37950625297998</v>
      </c>
      <c r="AE17" s="15">
        <v>5.1040681153282197E-2</v>
      </c>
      <c r="AF17" s="15">
        <v>-4.9397279683597601E-3</v>
      </c>
    </row>
    <row r="18" spans="1:124" x14ac:dyDescent="0.25">
      <c r="A18" s="1">
        <v>46049</v>
      </c>
      <c r="B18" s="32">
        <v>407.25</v>
      </c>
      <c r="C18" s="32">
        <v>351.08</v>
      </c>
      <c r="D18" s="15">
        <v>2.0917060200608899E-2</v>
      </c>
      <c r="E18" s="15">
        <v>2.30796097471474E-2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407.25</v>
      </c>
      <c r="M18" s="32">
        <v>351.08</v>
      </c>
      <c r="N18" s="33">
        <v>0.86207489257212999</v>
      </c>
      <c r="O18" s="33">
        <v>0.90525826694812095</v>
      </c>
      <c r="P18" s="33">
        <v>0.85916911022656905</v>
      </c>
      <c r="R18" s="32">
        <v>368.66642921462199</v>
      </c>
      <c r="S18" s="32">
        <v>349.22650410536698</v>
      </c>
      <c r="U18" s="15">
        <v>4.8878131606743903E-2</v>
      </c>
      <c r="V18" s="15">
        <v>-5.2933971387853999E-3</v>
      </c>
      <c r="X18" s="33">
        <v>0.86207489257212999</v>
      </c>
      <c r="Y18" s="33">
        <v>0.90525826694812095</v>
      </c>
      <c r="Z18" s="33">
        <v>0.85916911022656905</v>
      </c>
      <c r="AB18" s="32">
        <v>368.66642921462199</v>
      </c>
      <c r="AC18" s="32">
        <v>349.22650410536698</v>
      </c>
      <c r="AE18" s="15">
        <v>4.8878131606743903E-2</v>
      </c>
      <c r="AF18" s="15">
        <v>-5.2933971387853999E-3</v>
      </c>
      <c r="BE18" s="23">
        <f>SUM(BE22:BE176)</f>
        <v>8.1654592241663243E-2</v>
      </c>
      <c r="BF18" s="20">
        <f>BF176</f>
        <v>8.1654592241663243E-2</v>
      </c>
    </row>
    <row r="19" spans="1:124" x14ac:dyDescent="0.25">
      <c r="A19" s="1">
        <v>46050</v>
      </c>
      <c r="B19" s="32">
        <v>416.63</v>
      </c>
      <c r="C19" s="32">
        <v>360.46</v>
      </c>
      <c r="D19" s="15">
        <v>2.27712902738555E-2</v>
      </c>
      <c r="E19" s="15">
        <v>2.6366875840742099E-2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416.63</v>
      </c>
      <c r="M19" s="32">
        <v>360.46</v>
      </c>
      <c r="N19" s="33">
        <v>0.86518013585195497</v>
      </c>
      <c r="O19" s="33">
        <v>0.90525826694812095</v>
      </c>
      <c r="P19" s="33">
        <v>0.86055954738083995</v>
      </c>
      <c r="R19" s="32">
        <v>377.157751758595</v>
      </c>
      <c r="S19" s="32">
        <v>357.95562639369501</v>
      </c>
      <c r="U19" s="15">
        <v>4.5282546039857E-2</v>
      </c>
      <c r="V19" s="15">
        <v>-6.9719634671859803E-3</v>
      </c>
      <c r="X19" s="33">
        <v>0.86518013585195497</v>
      </c>
      <c r="Y19" s="33">
        <v>0.90525826694812095</v>
      </c>
      <c r="Z19" s="33">
        <v>0.86055954738083995</v>
      </c>
      <c r="AB19" s="32">
        <v>377.157751758595</v>
      </c>
      <c r="AC19" s="32">
        <v>357.95562639369501</v>
      </c>
      <c r="AE19" s="15">
        <v>4.5282546039857E-2</v>
      </c>
      <c r="AF19" s="15">
        <v>-6.9719634671859803E-3</v>
      </c>
      <c r="AI19" s="12"/>
      <c r="AJ19"/>
      <c r="AK19"/>
      <c r="AL19"/>
      <c r="AM19"/>
      <c r="AN19"/>
      <c r="AO19"/>
      <c r="AP19"/>
      <c r="AQ19" s="23">
        <f>SUM(AQ22:AQ176)</f>
        <v>4.1861007866058404E-2</v>
      </c>
      <c r="AR19" s="23">
        <f>AR176</f>
        <v>4.1861007866058404E-2</v>
      </c>
      <c r="AU19"/>
      <c r="AV19"/>
      <c r="AW19"/>
      <c r="AX19"/>
      <c r="AY19"/>
      <c r="AZ19"/>
      <c r="BA19"/>
      <c r="BB19" s="23">
        <f>SUM(BB22:BB176)</f>
        <v>3.9793584375604846E-2</v>
      </c>
      <c r="BC19" s="23">
        <f>BC176</f>
        <v>3.9793584375604846E-2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2">
        <v>417.52</v>
      </c>
      <c r="C20" s="32">
        <v>361.13</v>
      </c>
      <c r="D20" s="15">
        <v>2.13390957914772E-3</v>
      </c>
      <c r="E20" s="15">
        <v>1.8570107472126801E-3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417.52</v>
      </c>
      <c r="M20" s="32">
        <v>361.13</v>
      </c>
      <c r="N20" s="33">
        <v>0.86494060164782505</v>
      </c>
      <c r="O20" s="33">
        <v>0.90525826694812095</v>
      </c>
      <c r="P20" s="33">
        <v>0.86158946437580097</v>
      </c>
      <c r="R20" s="32">
        <v>377.96343161617898</v>
      </c>
      <c r="S20" s="32">
        <v>359.30082222244801</v>
      </c>
      <c r="U20" s="15">
        <v>4.5559444871791997E-2</v>
      </c>
      <c r="V20" s="15">
        <v>-5.0780217941034803E-3</v>
      </c>
      <c r="X20" s="33">
        <v>0.86494060164782505</v>
      </c>
      <c r="Y20" s="33">
        <v>0.90525826694812095</v>
      </c>
      <c r="Z20" s="33">
        <v>0.86158946437580097</v>
      </c>
      <c r="AB20" s="32">
        <v>377.96343161617898</v>
      </c>
      <c r="AC20" s="32">
        <v>359.30082222244801</v>
      </c>
      <c r="AE20" s="15">
        <v>4.5559444871791997E-2</v>
      </c>
      <c r="AF20" s="15">
        <v>-5.0780217941034803E-3</v>
      </c>
      <c r="AI20" s="24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SMH log rtn</v>
      </c>
      <c r="AP20" s="7" t="str">
        <f>E1</f>
        <v>SOXX log rtn</v>
      </c>
      <c r="AQ20" s="7" t="s">
        <v>51</v>
      </c>
      <c r="AR20" s="7" t="s">
        <v>52</v>
      </c>
      <c r="AT20" s="24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3" t="str">
        <f>D1</f>
        <v>SMH log rtn</v>
      </c>
      <c r="BA20" s="23" t="str">
        <f>E1</f>
        <v>SOXX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2">
        <v>403.46</v>
      </c>
      <c r="C21" s="32">
        <v>346.3</v>
      </c>
      <c r="D21" s="15">
        <v>-3.4255097128953103E-2</v>
      </c>
      <c r="E21" s="15">
        <v>-4.1932552903495499E-2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403.46</v>
      </c>
      <c r="M21" s="32">
        <v>346.3</v>
      </c>
      <c r="N21" s="33">
        <v>0.85832548455856805</v>
      </c>
      <c r="O21" s="33">
        <v>0.90525826694812095</v>
      </c>
      <c r="P21" s="33">
        <v>0.86235352313664504</v>
      </c>
      <c r="Q21" s="33">
        <v>0.85436566276978498</v>
      </c>
      <c r="R21" s="32">
        <v>365.23550038288897</v>
      </c>
      <c r="S21" s="32">
        <v>347.61688529705998</v>
      </c>
      <c r="U21" s="15">
        <v>5.3236900646334497E-2</v>
      </c>
      <c r="V21" s="15">
        <v>3.7955176070186298E-3</v>
      </c>
      <c r="X21" s="33">
        <v>0.85832548455856805</v>
      </c>
      <c r="Y21" s="33">
        <v>0.90525826694812095</v>
      </c>
      <c r="Z21" s="33">
        <v>0.86235352313664504</v>
      </c>
      <c r="AA21" s="33">
        <v>0.85436566276978498</v>
      </c>
      <c r="AB21" s="32">
        <v>365.23550038288897</v>
      </c>
      <c r="AC21" s="32">
        <v>347.61688529705998</v>
      </c>
      <c r="AE21" s="15">
        <v>5.3236900646334497E-2</v>
      </c>
      <c r="AF21" s="15">
        <v>3.7955176070186298E-3</v>
      </c>
      <c r="AI21" s="25">
        <v>-3.5000000000000003E-2</v>
      </c>
      <c r="AJ21"/>
      <c r="AK21"/>
      <c r="AL21"/>
      <c r="AM21">
        <f t="shared" ref="AM21:AM84" si="4">IF(F22+H22&gt;0,0,1)</f>
        <v>1</v>
      </c>
      <c r="AN21" s="26">
        <v>0</v>
      </c>
      <c r="AO21"/>
      <c r="AP21"/>
      <c r="AQ21"/>
      <c r="AR21"/>
      <c r="AT21" s="25">
        <v>2.5000000000000001E-2</v>
      </c>
      <c r="AU21"/>
      <c r="AV21"/>
      <c r="AW21"/>
      <c r="AX21">
        <f t="shared" ref="AX21:AX84" si="5">IF(F22+H22&gt;0,0,1)</f>
        <v>1</v>
      </c>
      <c r="AY21" s="26">
        <v>0</v>
      </c>
      <c r="AZ21"/>
      <c r="BA21"/>
      <c r="BB21"/>
      <c r="BC21"/>
    </row>
    <row r="22" spans="1:124" x14ac:dyDescent="0.25">
      <c r="A22" s="1">
        <v>46055</v>
      </c>
      <c r="B22" s="32">
        <v>407.97</v>
      </c>
      <c r="C22" s="32">
        <v>352.69</v>
      </c>
      <c r="D22" s="15">
        <v>1.1116292082772599E-2</v>
      </c>
      <c r="E22" s="15">
        <v>1.8284032724000799E-2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407.97</v>
      </c>
      <c r="M22" s="32">
        <v>352.69</v>
      </c>
      <c r="N22" s="33">
        <v>0.86449984067455898</v>
      </c>
      <c r="O22" s="33">
        <v>0.90525826694812095</v>
      </c>
      <c r="P22" s="33">
        <v>0.86326940295574295</v>
      </c>
      <c r="Q22" s="33">
        <v>0.85557484982092502</v>
      </c>
      <c r="R22" s="32">
        <v>369.31821516682498</v>
      </c>
      <c r="S22" s="32">
        <v>351.81436683405701</v>
      </c>
      <c r="T22" s="32">
        <v>348.55555944018897</v>
      </c>
      <c r="U22" s="15">
        <v>4.6069160005106503E-2</v>
      </c>
      <c r="V22" s="15">
        <v>-2.4858145898390598E-3</v>
      </c>
      <c r="W22" s="15">
        <v>-1.179184213297E-2</v>
      </c>
      <c r="X22" s="33">
        <v>0.86449984067455898</v>
      </c>
      <c r="Y22" s="33">
        <v>0.90525826694812095</v>
      </c>
      <c r="Z22" s="33">
        <v>0.86326940295574295</v>
      </c>
      <c r="AA22" s="33">
        <v>0.85557484982092502</v>
      </c>
      <c r="AB22" s="32">
        <v>369.31821516682498</v>
      </c>
      <c r="AC22" s="32">
        <v>351.81436683405701</v>
      </c>
      <c r="AD22" s="32">
        <v>348.55555944018897</v>
      </c>
      <c r="AE22" s="15">
        <v>4.6069160005106503E-2</v>
      </c>
      <c r="AF22" s="15">
        <v>-2.4858145898390598E-3</v>
      </c>
      <c r="AG22" s="15">
        <v>-1.179184213297E-2</v>
      </c>
      <c r="AI22" s="25">
        <v>-1.4999999999999999E-2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7">
        <f t="shared" ref="AO22:AO85" si="8">AN22*D22</f>
        <v>0</v>
      </c>
      <c r="AP22" s="27">
        <f t="shared" ref="AP22:AP85" si="9">-AN22*$E22</f>
        <v>0</v>
      </c>
      <c r="AQ22" s="27">
        <f>AO22+AP22</f>
        <v>0</v>
      </c>
      <c r="AR22" s="28">
        <f>AR21+AQ22</f>
        <v>0</v>
      </c>
      <c r="AT22" s="25">
        <v>5.0000000000000001E-3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7">
        <f t="shared" ref="AZ22:AZ85" si="12">-AY22*D22</f>
        <v>0</v>
      </c>
      <c r="BA22" s="27">
        <f t="shared" ref="BA22:BA85" si="13">AY22*$E22</f>
        <v>0</v>
      </c>
      <c r="BB22" s="27">
        <f>AZ22+BA22</f>
        <v>0</v>
      </c>
      <c r="BC22" s="28">
        <f>BC21+BB22</f>
        <v>0</v>
      </c>
      <c r="BE22" s="28">
        <f>AQ22+BB22</f>
        <v>0</v>
      </c>
      <c r="BF22" s="28">
        <f>BF21+BE22</f>
        <v>0</v>
      </c>
      <c r="BH22" s="28"/>
    </row>
    <row r="23" spans="1:124" x14ac:dyDescent="0.25">
      <c r="A23" s="1">
        <v>46056</v>
      </c>
      <c r="B23" s="32">
        <v>397.68</v>
      </c>
      <c r="C23" s="32">
        <v>345.64</v>
      </c>
      <c r="D23" s="15">
        <v>-2.5545980502560101E-2</v>
      </c>
      <c r="E23" s="15">
        <v>-2.01917131591785E-2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397.68</v>
      </c>
      <c r="M23" s="32">
        <v>345.64</v>
      </c>
      <c r="N23" s="33">
        <v>0.86914101790384202</v>
      </c>
      <c r="O23" s="33">
        <v>0.90525826694812095</v>
      </c>
      <c r="P23" s="33">
        <v>0.86376991833254102</v>
      </c>
      <c r="Q23" s="33">
        <v>0.85691478956380895</v>
      </c>
      <c r="R23" s="32">
        <v>360.00310759992902</v>
      </c>
      <c r="S23" s="32">
        <v>343.30497616743997</v>
      </c>
      <c r="T23" s="32">
        <v>340.24500627678498</v>
      </c>
      <c r="U23" s="15">
        <v>4.0714892661724997E-2</v>
      </c>
      <c r="V23" s="15">
        <v>-6.7785755157406102E-3</v>
      </c>
      <c r="W23" s="15">
        <v>-1.5731806178905499E-2</v>
      </c>
      <c r="X23" s="33">
        <v>0.86914101790384202</v>
      </c>
      <c r="Y23" s="33">
        <v>0.90525826694812095</v>
      </c>
      <c r="Z23" s="33">
        <v>0.86376991833254102</v>
      </c>
      <c r="AA23" s="33">
        <v>0.85691478956380895</v>
      </c>
      <c r="AB23" s="32">
        <v>360.00310759992902</v>
      </c>
      <c r="AC23" s="32">
        <v>343.30497616743997</v>
      </c>
      <c r="AD23" s="32">
        <v>340.24500627678498</v>
      </c>
      <c r="AE23" s="15">
        <v>4.0714892661724997E-2</v>
      </c>
      <c r="AF23" s="15">
        <v>-6.7785755157406102E-3</v>
      </c>
      <c r="AG23" s="15">
        <v>-1.5731806178905499E-2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7">
        <f t="shared" si="8"/>
        <v>0</v>
      </c>
      <c r="AP23" s="27">
        <f t="shared" si="9"/>
        <v>0</v>
      </c>
      <c r="AQ23" s="27">
        <f t="shared" ref="AQ23:AQ86" si="16">AO23+AP23</f>
        <v>0</v>
      </c>
      <c r="AR23" s="28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7">
        <f t="shared" si="12"/>
        <v>0</v>
      </c>
      <c r="BA23" s="27">
        <f t="shared" si="13"/>
        <v>0</v>
      </c>
      <c r="BB23" s="27">
        <f t="shared" ref="BB23:BB86" si="20">AZ23+BA23</f>
        <v>0</v>
      </c>
      <c r="BC23" s="28">
        <f t="shared" ref="BC23:BC86" si="21">BC22+BB23</f>
        <v>0</v>
      </c>
      <c r="BE23" s="28">
        <f t="shared" ref="BE23:BE86" si="22">AQ23+BB23</f>
        <v>0</v>
      </c>
      <c r="BF23" s="28">
        <f t="shared" ref="BF23:BF86" si="23">BF22+BE23</f>
        <v>0</v>
      </c>
      <c r="BH23" s="28"/>
    </row>
    <row r="24" spans="1:124" x14ac:dyDescent="0.25">
      <c r="A24" s="1">
        <v>46057</v>
      </c>
      <c r="B24" s="32">
        <v>382.02</v>
      </c>
      <c r="C24" s="32">
        <v>330.38</v>
      </c>
      <c r="D24" s="15">
        <v>-4.0174698529428302E-2</v>
      </c>
      <c r="E24" s="15">
        <v>-4.5154263846203802E-2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382.02</v>
      </c>
      <c r="M24" s="32">
        <v>330.38</v>
      </c>
      <c r="N24" s="33">
        <v>0.86482383121302497</v>
      </c>
      <c r="O24" s="33">
        <v>0.90525826694812095</v>
      </c>
      <c r="P24" s="33">
        <v>0.86363522882925703</v>
      </c>
      <c r="Q24" s="33">
        <v>0.85780135546015002</v>
      </c>
      <c r="R24" s="32">
        <v>345.82676313952101</v>
      </c>
      <c r="S24" s="32">
        <v>329.977384201397</v>
      </c>
      <c r="T24" s="32">
        <v>327.35858790916598</v>
      </c>
      <c r="U24" s="15">
        <v>4.5694457978500601E-2</v>
      </c>
      <c r="V24" s="15">
        <v>-1.21938773798101E-3</v>
      </c>
      <c r="W24" s="15">
        <v>-9.1873379447421008E-3</v>
      </c>
      <c r="X24" s="33">
        <v>0.86482383121302497</v>
      </c>
      <c r="Y24" s="33">
        <v>0.90525826694812095</v>
      </c>
      <c r="Z24" s="33">
        <v>0.86363522882925703</v>
      </c>
      <c r="AA24" s="33">
        <v>0.85780135546015002</v>
      </c>
      <c r="AB24" s="32">
        <v>345.82676313952101</v>
      </c>
      <c r="AC24" s="32">
        <v>329.977384201397</v>
      </c>
      <c r="AD24" s="32">
        <v>327.35858790916598</v>
      </c>
      <c r="AE24" s="15">
        <v>4.5694457978500601E-2</v>
      </c>
      <c r="AF24" s="15">
        <v>-1.21938773798101E-3</v>
      </c>
      <c r="AG24" s="15">
        <v>-9.1873379447421008E-3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7">
        <f t="shared" si="8"/>
        <v>0</v>
      </c>
      <c r="AP24" s="27">
        <f t="shared" si="9"/>
        <v>0</v>
      </c>
      <c r="AQ24" s="27">
        <f t="shared" si="16"/>
        <v>0</v>
      </c>
      <c r="AR24" s="28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7">
        <f t="shared" si="12"/>
        <v>0</v>
      </c>
      <c r="BA24" s="27">
        <f t="shared" si="13"/>
        <v>0</v>
      </c>
      <c r="BB24" s="27">
        <f t="shared" si="20"/>
        <v>0</v>
      </c>
      <c r="BC24" s="28">
        <f t="shared" si="21"/>
        <v>0</v>
      </c>
      <c r="BE24" s="28">
        <f t="shared" si="22"/>
        <v>0</v>
      </c>
      <c r="BF24" s="28">
        <f t="shared" si="23"/>
        <v>0</v>
      </c>
      <c r="BH24" s="28"/>
    </row>
    <row r="25" spans="1:124" x14ac:dyDescent="0.25">
      <c r="A25" s="1">
        <v>46058</v>
      </c>
      <c r="B25" s="32">
        <v>381.07</v>
      </c>
      <c r="C25" s="32">
        <v>330.83</v>
      </c>
      <c r="D25" s="15">
        <v>-2.48987797191174E-3</v>
      </c>
      <c r="E25" s="15">
        <v>1.3611411487316101E-3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381.07</v>
      </c>
      <c r="M25" s="32">
        <v>330.83</v>
      </c>
      <c r="N25" s="33">
        <v>0.86816070538221302</v>
      </c>
      <c r="O25" s="33">
        <v>0.90525826694812095</v>
      </c>
      <c r="P25" s="33">
        <v>0.86389402812970495</v>
      </c>
      <c r="Q25" s="33">
        <v>0.85901807599236402</v>
      </c>
      <c r="R25" s="32">
        <v>344.96676778592001</v>
      </c>
      <c r="S25" s="32">
        <v>329.105476649965</v>
      </c>
      <c r="T25" s="32">
        <v>326.88236252519903</v>
      </c>
      <c r="U25" s="15">
        <v>4.1843438857857199E-2</v>
      </c>
      <c r="V25" s="15">
        <v>-5.2263511705632698E-3</v>
      </c>
      <c r="W25" s="15">
        <v>-1.20042897325343E-2</v>
      </c>
      <c r="X25" s="33">
        <v>0.86816070538221302</v>
      </c>
      <c r="Y25" s="33">
        <v>0.90525826694812095</v>
      </c>
      <c r="Z25" s="33">
        <v>0.86389402812970495</v>
      </c>
      <c r="AA25" s="33">
        <v>0.85901807599236402</v>
      </c>
      <c r="AB25" s="32">
        <v>344.96676778592001</v>
      </c>
      <c r="AC25" s="32">
        <v>329.105476649965</v>
      </c>
      <c r="AD25" s="32">
        <v>326.88236252519903</v>
      </c>
      <c r="AE25" s="15">
        <v>4.1843438857857199E-2</v>
      </c>
      <c r="AF25" s="15">
        <v>-5.2263511705632698E-3</v>
      </c>
      <c r="AG25" s="15">
        <v>-1.20042897325343E-2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7">
        <f t="shared" si="8"/>
        <v>0</v>
      </c>
      <c r="AP25" s="27">
        <f t="shared" si="9"/>
        <v>0</v>
      </c>
      <c r="AQ25" s="27">
        <f t="shared" si="16"/>
        <v>0</v>
      </c>
      <c r="AR25" s="28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7">
        <f t="shared" si="12"/>
        <v>0</v>
      </c>
      <c r="BA25" s="27">
        <f t="shared" si="13"/>
        <v>0</v>
      </c>
      <c r="BB25" s="27">
        <f t="shared" si="20"/>
        <v>0</v>
      </c>
      <c r="BC25" s="28">
        <f t="shared" si="21"/>
        <v>0</v>
      </c>
      <c r="BE25" s="28">
        <f t="shared" si="22"/>
        <v>0</v>
      </c>
      <c r="BF25" s="28">
        <f t="shared" si="23"/>
        <v>0</v>
      </c>
      <c r="BH25" s="28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2">
        <v>401.65</v>
      </c>
      <c r="C26" s="32">
        <v>348.51</v>
      </c>
      <c r="D26" s="15">
        <v>5.2597977334744299E-2</v>
      </c>
      <c r="E26" s="15">
        <v>5.2062275917766798E-2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401.65</v>
      </c>
      <c r="M26" s="32">
        <v>348.51</v>
      </c>
      <c r="N26" s="33">
        <v>0.86769575501058105</v>
      </c>
      <c r="O26" s="33">
        <v>0.90525826694812095</v>
      </c>
      <c r="P26" s="33">
        <v>0.86450548920650805</v>
      </c>
      <c r="Q26" s="33">
        <v>0.86023968890517</v>
      </c>
      <c r="R26" s="32">
        <v>363.59698291971301</v>
      </c>
      <c r="S26" s="32">
        <v>346.98303639829601</v>
      </c>
      <c r="T26" s="32">
        <v>345.024610222332</v>
      </c>
      <c r="U26" s="15">
        <v>4.2379140274834498E-2</v>
      </c>
      <c r="V26" s="15">
        <v>-4.3910319018575896E-3</v>
      </c>
      <c r="W26" s="15">
        <v>-1.00511757285038E-2</v>
      </c>
      <c r="X26" s="33">
        <v>0.86769575501058105</v>
      </c>
      <c r="Y26" s="33">
        <v>0.90525826694812095</v>
      </c>
      <c r="Z26" s="33">
        <v>0.86450548920650805</v>
      </c>
      <c r="AA26" s="33">
        <v>0.86023968890517</v>
      </c>
      <c r="AB26" s="32">
        <v>363.59698291971301</v>
      </c>
      <c r="AC26" s="32">
        <v>346.98303639829601</v>
      </c>
      <c r="AD26" s="32">
        <v>345.024610222332</v>
      </c>
      <c r="AE26" s="15">
        <v>4.2379140274834498E-2</v>
      </c>
      <c r="AF26" s="15">
        <v>-4.3910319018575896E-3</v>
      </c>
      <c r="AG26" s="15">
        <v>-1.00511757285038E-2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7">
        <f t="shared" si="8"/>
        <v>0</v>
      </c>
      <c r="AP26" s="27">
        <f t="shared" si="9"/>
        <v>0</v>
      </c>
      <c r="AQ26" s="27">
        <f t="shared" si="16"/>
        <v>0</v>
      </c>
      <c r="AR26" s="28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7">
        <f t="shared" si="12"/>
        <v>0</v>
      </c>
      <c r="BA26" s="27">
        <f t="shared" si="13"/>
        <v>0</v>
      </c>
      <c r="BB26" s="27">
        <f t="shared" si="20"/>
        <v>0</v>
      </c>
      <c r="BC26" s="28">
        <f t="shared" si="21"/>
        <v>0</v>
      </c>
      <c r="BE26" s="28">
        <f t="shared" si="22"/>
        <v>0</v>
      </c>
      <c r="BF26" s="28">
        <f t="shared" si="23"/>
        <v>0</v>
      </c>
      <c r="BH26" s="28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2">
        <v>406.65</v>
      </c>
      <c r="C27" s="32">
        <v>352.77</v>
      </c>
      <c r="D27" s="15">
        <v>1.2371801992962599E-2</v>
      </c>
      <c r="E27" s="15">
        <v>1.2149362309941E-2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406.65</v>
      </c>
      <c r="M27" s="32">
        <v>352.77</v>
      </c>
      <c r="N27" s="33">
        <v>0.86750276650682401</v>
      </c>
      <c r="O27" s="33">
        <v>0.90525826694812095</v>
      </c>
      <c r="P27" s="33">
        <v>0.865234503132152</v>
      </c>
      <c r="Q27" s="33">
        <v>0.86137907367211297</v>
      </c>
      <c r="R27" s="32">
        <v>368.12327425445301</v>
      </c>
      <c r="S27" s="32">
        <v>351.55115718582601</v>
      </c>
      <c r="T27" s="32">
        <v>349.816469493287</v>
      </c>
      <c r="U27" s="15">
        <v>4.2601579957856302E-2</v>
      </c>
      <c r="V27" s="15">
        <v>-3.46104619584794E-3</v>
      </c>
      <c r="W27" s="15">
        <v>-8.4076424278327795E-3</v>
      </c>
      <c r="X27" s="33">
        <v>0.86750276650682401</v>
      </c>
      <c r="Y27" s="33">
        <v>0.90525826694812095</v>
      </c>
      <c r="Z27" s="33">
        <v>0.865234503132152</v>
      </c>
      <c r="AA27" s="33">
        <v>0.86137907367211297</v>
      </c>
      <c r="AB27" s="32">
        <v>368.12327425445301</v>
      </c>
      <c r="AC27" s="32">
        <v>351.55115718582601</v>
      </c>
      <c r="AD27" s="32">
        <v>349.816469493287</v>
      </c>
      <c r="AE27" s="15">
        <v>4.2601579957856302E-2</v>
      </c>
      <c r="AF27" s="15">
        <v>-3.46104619584794E-3</v>
      </c>
      <c r="AG27" s="15">
        <v>-8.4076424278327795E-3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7">
        <f t="shared" si="8"/>
        <v>0</v>
      </c>
      <c r="AP27" s="27">
        <f t="shared" si="9"/>
        <v>0</v>
      </c>
      <c r="AQ27" s="27">
        <f t="shared" si="16"/>
        <v>0</v>
      </c>
      <c r="AR27" s="28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7">
        <f t="shared" si="12"/>
        <v>0</v>
      </c>
      <c r="BA27" s="27">
        <f t="shared" si="13"/>
        <v>0</v>
      </c>
      <c r="BB27" s="27">
        <f t="shared" si="20"/>
        <v>0</v>
      </c>
      <c r="BC27" s="28">
        <f t="shared" si="21"/>
        <v>0</v>
      </c>
      <c r="BE27" s="28">
        <f t="shared" si="22"/>
        <v>0</v>
      </c>
      <c r="BF27" s="28">
        <f t="shared" si="23"/>
        <v>0</v>
      </c>
      <c r="BH27" s="28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2">
        <v>404.76</v>
      </c>
      <c r="C28" s="32">
        <v>351.43</v>
      </c>
      <c r="D28" s="15">
        <v>-4.6585657512249797E-3</v>
      </c>
      <c r="E28" s="15">
        <v>-3.8057415999506799E-3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404.76</v>
      </c>
      <c r="M28" s="32">
        <v>351.43</v>
      </c>
      <c r="N28" s="33">
        <v>0.86824290937839699</v>
      </c>
      <c r="O28" s="33">
        <v>0.90525826694812095</v>
      </c>
      <c r="P28" s="33">
        <v>0.86585130481277905</v>
      </c>
      <c r="Q28" s="33">
        <v>0.862510207519674</v>
      </c>
      <c r="R28" s="32">
        <v>366.41233612992102</v>
      </c>
      <c r="S28" s="32">
        <v>350.21231748777001</v>
      </c>
      <c r="T28" s="32">
        <v>348.65179385952399</v>
      </c>
      <c r="U28" s="15">
        <v>4.1748755806582098E-2</v>
      </c>
      <c r="V28" s="15">
        <v>-3.47095294677661E-3</v>
      </c>
      <c r="W28" s="15">
        <v>-7.9368460911612704E-3</v>
      </c>
      <c r="X28" s="33">
        <v>0.86824290937839699</v>
      </c>
      <c r="Y28" s="33">
        <v>0.90525826694812095</v>
      </c>
      <c r="Z28" s="33">
        <v>0.86585130481277905</v>
      </c>
      <c r="AA28" s="33">
        <v>0.862510207519674</v>
      </c>
      <c r="AB28" s="32">
        <v>366.41233612992102</v>
      </c>
      <c r="AC28" s="32">
        <v>350.21231748777001</v>
      </c>
      <c r="AD28" s="32">
        <v>348.65179385952399</v>
      </c>
      <c r="AE28" s="15">
        <v>4.1748755806582098E-2</v>
      </c>
      <c r="AF28" s="15">
        <v>-3.47095294677661E-3</v>
      </c>
      <c r="AG28" s="15">
        <v>-7.9368460911612704E-3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7">
        <f t="shared" si="8"/>
        <v>0</v>
      </c>
      <c r="AP28" s="27">
        <f t="shared" si="9"/>
        <v>0</v>
      </c>
      <c r="AQ28" s="27">
        <f t="shared" si="16"/>
        <v>0</v>
      </c>
      <c r="AR28" s="28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7">
        <f t="shared" si="12"/>
        <v>0</v>
      </c>
      <c r="BA28" s="27">
        <f t="shared" si="13"/>
        <v>0</v>
      </c>
      <c r="BB28" s="27">
        <f t="shared" si="20"/>
        <v>0</v>
      </c>
      <c r="BC28" s="28">
        <f t="shared" si="21"/>
        <v>0</v>
      </c>
      <c r="BE28" s="28">
        <f t="shared" si="22"/>
        <v>0</v>
      </c>
      <c r="BF28" s="28">
        <f t="shared" si="23"/>
        <v>0</v>
      </c>
      <c r="BH28" s="28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2">
        <v>414.78</v>
      </c>
      <c r="C29" s="32">
        <v>360.2</v>
      </c>
      <c r="D29" s="15">
        <v>2.44539603236693E-2</v>
      </c>
      <c r="E29" s="15">
        <v>2.4648887838372401E-2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  <c r="L29" s="32">
        <v>414.78</v>
      </c>
      <c r="M29" s="32">
        <v>360.2</v>
      </c>
      <c r="N29" s="33">
        <v>0.86841217030715001</v>
      </c>
      <c r="O29" s="33">
        <v>0.90525826694812095</v>
      </c>
      <c r="P29" s="33">
        <v>0.866174508258298</v>
      </c>
      <c r="Q29" s="33">
        <v>0.86336702781956898</v>
      </c>
      <c r="R29" s="32">
        <v>375.48302396474099</v>
      </c>
      <c r="S29" s="32">
        <v>359.13780421024398</v>
      </c>
      <c r="T29" s="32">
        <v>357.75198387501001</v>
      </c>
      <c r="U29" s="15">
        <v>4.1553828291879001E-2</v>
      </c>
      <c r="V29" s="15">
        <v>-2.9532621685004201E-3</v>
      </c>
      <c r="W29" s="15">
        <v>-6.8194688978604496E-3</v>
      </c>
      <c r="X29" s="33">
        <v>0.86841217030715001</v>
      </c>
      <c r="Y29" s="33">
        <v>0.90525826694812095</v>
      </c>
      <c r="Z29" s="33">
        <v>0.866174508258298</v>
      </c>
      <c r="AA29" s="33">
        <v>0.86336702781956898</v>
      </c>
      <c r="AB29" s="32">
        <v>375.48302396474099</v>
      </c>
      <c r="AC29" s="32">
        <v>359.13780421024398</v>
      </c>
      <c r="AD29" s="32">
        <v>357.75198387501001</v>
      </c>
      <c r="AE29" s="15">
        <v>4.1553828291879001E-2</v>
      </c>
      <c r="AF29" s="15">
        <v>-2.9532621685004201E-3</v>
      </c>
      <c r="AG29" s="15">
        <v>-6.8194688978604496E-3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7">
        <f t="shared" si="8"/>
        <v>0</v>
      </c>
      <c r="AP29" s="27">
        <f t="shared" si="9"/>
        <v>0</v>
      </c>
      <c r="AQ29" s="27">
        <f t="shared" si="16"/>
        <v>0</v>
      </c>
      <c r="AR29" s="28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7">
        <f t="shared" si="12"/>
        <v>0</v>
      </c>
      <c r="BA29" s="27">
        <f t="shared" si="13"/>
        <v>0</v>
      </c>
      <c r="BB29" s="27">
        <f t="shared" si="20"/>
        <v>0</v>
      </c>
      <c r="BC29" s="28">
        <f t="shared" si="21"/>
        <v>0</v>
      </c>
      <c r="BE29" s="28">
        <f t="shared" si="22"/>
        <v>0</v>
      </c>
      <c r="BF29" s="28">
        <f t="shared" si="23"/>
        <v>0</v>
      </c>
      <c r="BH29" s="28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2">
        <v>406.11</v>
      </c>
      <c r="C30" s="32">
        <v>351.5</v>
      </c>
      <c r="D30" s="15">
        <v>-2.11242003194239E-2</v>
      </c>
      <c r="E30" s="15">
        <v>-2.4449721491136001E-2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406.11</v>
      </c>
      <c r="M30" s="32">
        <v>351.5</v>
      </c>
      <c r="N30" s="33">
        <v>0.86552904385511298</v>
      </c>
      <c r="O30" s="33">
        <v>0.90525826694812095</v>
      </c>
      <c r="P30" s="33">
        <v>0.866233352479027</v>
      </c>
      <c r="Q30" s="33">
        <v>0.86391140842741398</v>
      </c>
      <c r="R30" s="32">
        <v>367.63443479030099</v>
      </c>
      <c r="S30" s="32">
        <v>351.76212954877701</v>
      </c>
      <c r="T30" s="32">
        <v>350.62198366780501</v>
      </c>
      <c r="U30" s="15">
        <v>4.4879349463591199E-2</v>
      </c>
      <c r="V30" s="15">
        <v>7.4546758570727303E-4</v>
      </c>
      <c r="W30" s="15">
        <v>-2.5010377407293999E-3</v>
      </c>
      <c r="X30" s="33">
        <v>0.86552904385511298</v>
      </c>
      <c r="Y30" s="33">
        <v>0.90525826694812095</v>
      </c>
      <c r="Z30" s="33">
        <v>0.866233352479027</v>
      </c>
      <c r="AA30" s="33">
        <v>0.86391140842741398</v>
      </c>
      <c r="AB30" s="32">
        <v>367.63443479030099</v>
      </c>
      <c r="AC30" s="32">
        <v>351.76212954877701</v>
      </c>
      <c r="AD30" s="32">
        <v>350.62198366780501</v>
      </c>
      <c r="AE30" s="15">
        <v>4.4879349463591199E-2</v>
      </c>
      <c r="AF30" s="15">
        <v>7.4546758570727303E-4</v>
      </c>
      <c r="AG30" s="15">
        <v>-2.5010377407293999E-3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7">
        <f t="shared" si="8"/>
        <v>0</v>
      </c>
      <c r="AP30" s="27">
        <f t="shared" si="9"/>
        <v>0</v>
      </c>
      <c r="AQ30" s="27">
        <f t="shared" si="16"/>
        <v>0</v>
      </c>
      <c r="AR30" s="28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7">
        <f t="shared" si="12"/>
        <v>0</v>
      </c>
      <c r="BA30" s="27">
        <f t="shared" si="13"/>
        <v>0</v>
      </c>
      <c r="BB30" s="27">
        <f t="shared" si="20"/>
        <v>0</v>
      </c>
      <c r="BC30" s="28">
        <f t="shared" si="21"/>
        <v>0</v>
      </c>
      <c r="BE30" s="28">
        <f t="shared" si="22"/>
        <v>0</v>
      </c>
      <c r="BF30" s="28">
        <f t="shared" si="23"/>
        <v>0</v>
      </c>
      <c r="BH30" s="28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2">
        <v>407.72</v>
      </c>
      <c r="C31" s="32">
        <v>354.66</v>
      </c>
      <c r="D31" s="15">
        <v>3.9566054344075396E-3</v>
      </c>
      <c r="E31" s="15">
        <v>8.9498728136136203E-3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407.72</v>
      </c>
      <c r="M31" s="32">
        <v>354.66</v>
      </c>
      <c r="N31" s="33">
        <v>0.86986166977337298</v>
      </c>
      <c r="O31" s="33">
        <v>0.90525826694812095</v>
      </c>
      <c r="P31" s="33">
        <v>0.86738697100050799</v>
      </c>
      <c r="Q31" s="33">
        <v>0.86487024706857696</v>
      </c>
      <c r="R31" s="32">
        <v>369.09190060008802</v>
      </c>
      <c r="S31" s="32">
        <v>353.18066247274902</v>
      </c>
      <c r="T31" s="32">
        <v>352.233959444025</v>
      </c>
      <c r="U31" s="15">
        <v>3.9886082084385002E-2</v>
      </c>
      <c r="V31" s="15">
        <v>-4.1798663442401997E-3</v>
      </c>
      <c r="W31" s="15">
        <v>-6.8639717417773201E-3</v>
      </c>
      <c r="X31" s="33">
        <v>0.86986166977337298</v>
      </c>
      <c r="Y31" s="33">
        <v>0.90525826694812095</v>
      </c>
      <c r="Z31" s="33">
        <v>0.86738697100050799</v>
      </c>
      <c r="AA31" s="33">
        <v>0.86487024706857696</v>
      </c>
      <c r="AB31" s="32">
        <v>369.09190060008802</v>
      </c>
      <c r="AC31" s="32">
        <v>353.18066247274902</v>
      </c>
      <c r="AD31" s="32">
        <v>352.233959444025</v>
      </c>
      <c r="AE31" s="15">
        <v>3.9886082084385002E-2</v>
      </c>
      <c r="AF31" s="15">
        <v>-4.1798663442401997E-3</v>
      </c>
      <c r="AG31" s="15">
        <v>-6.8639717417773201E-3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7">
        <f t="shared" si="8"/>
        <v>0</v>
      </c>
      <c r="AP31" s="27">
        <f t="shared" si="9"/>
        <v>0</v>
      </c>
      <c r="AQ31" s="27">
        <f t="shared" si="16"/>
        <v>0</v>
      </c>
      <c r="AR31" s="28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7">
        <f t="shared" si="12"/>
        <v>0</v>
      </c>
      <c r="BA31" s="27">
        <f t="shared" si="13"/>
        <v>0</v>
      </c>
      <c r="BB31" s="27">
        <f t="shared" si="20"/>
        <v>0</v>
      </c>
      <c r="BC31" s="28">
        <f t="shared" si="21"/>
        <v>0</v>
      </c>
      <c r="BE31" s="28">
        <f t="shared" si="22"/>
        <v>0</v>
      </c>
      <c r="BF31" s="28">
        <f t="shared" si="23"/>
        <v>0</v>
      </c>
      <c r="BH31" s="28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2">
        <v>407.51</v>
      </c>
      <c r="C32" s="32">
        <v>354.1</v>
      </c>
      <c r="D32" s="15">
        <v>-5.1519204309200201E-4</v>
      </c>
      <c r="E32" s="15">
        <v>-1.5802249464751E-3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407.51</v>
      </c>
      <c r="M32" s="32">
        <v>354.1</v>
      </c>
      <c r="N32" s="33">
        <v>0.86893573163848703</v>
      </c>
      <c r="O32" s="33">
        <v>0.90525826694812095</v>
      </c>
      <c r="P32" s="33">
        <v>0.86783056009689996</v>
      </c>
      <c r="Q32" s="33">
        <v>0.86554998152632201</v>
      </c>
      <c r="R32" s="32">
        <v>368.901796364029</v>
      </c>
      <c r="S32" s="32">
        <v>353.46886455241702</v>
      </c>
      <c r="T32" s="32">
        <v>352.44327438291498</v>
      </c>
      <c r="U32" s="15">
        <v>4.0951114987768197E-2</v>
      </c>
      <c r="V32" s="15">
        <v>-1.7839553055077899E-3</v>
      </c>
      <c r="W32" s="15">
        <v>-4.6896735515576998E-3</v>
      </c>
      <c r="X32" s="33">
        <v>0.86893573163848703</v>
      </c>
      <c r="Y32" s="33">
        <v>0.90525826694812095</v>
      </c>
      <c r="Z32" s="33">
        <v>0.86783056009689996</v>
      </c>
      <c r="AA32" s="33">
        <v>0.86554998152632201</v>
      </c>
      <c r="AB32" s="32">
        <v>368.901796364029</v>
      </c>
      <c r="AC32" s="32">
        <v>353.46886455241702</v>
      </c>
      <c r="AD32" s="32">
        <v>352.44327438291498</v>
      </c>
      <c r="AE32" s="15">
        <v>4.0951114987768197E-2</v>
      </c>
      <c r="AF32" s="15">
        <v>-1.7839553055077899E-3</v>
      </c>
      <c r="AG32" s="15">
        <v>-4.6896735515576998E-3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7">
        <f t="shared" si="8"/>
        <v>0</v>
      </c>
      <c r="AP32" s="27">
        <f t="shared" si="9"/>
        <v>0</v>
      </c>
      <c r="AQ32" s="27">
        <f t="shared" si="16"/>
        <v>0</v>
      </c>
      <c r="AR32" s="28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7">
        <f t="shared" si="12"/>
        <v>0</v>
      </c>
      <c r="BA32" s="27">
        <f t="shared" si="13"/>
        <v>0</v>
      </c>
      <c r="BB32" s="27">
        <f t="shared" si="20"/>
        <v>0</v>
      </c>
      <c r="BC32" s="28">
        <f t="shared" si="21"/>
        <v>0</v>
      </c>
      <c r="BE32" s="28">
        <f t="shared" si="22"/>
        <v>0</v>
      </c>
      <c r="BF32" s="28">
        <f t="shared" si="23"/>
        <v>0</v>
      </c>
      <c r="BH32" s="28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2">
        <v>412.55</v>
      </c>
      <c r="C33" s="32">
        <v>357.92</v>
      </c>
      <c r="D33" s="15">
        <v>1.2291938293232101E-2</v>
      </c>
      <c r="E33" s="15">
        <v>1.07301386239614E-2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412.55</v>
      </c>
      <c r="M33" s="32">
        <v>357.92</v>
      </c>
      <c r="N33" s="33">
        <v>0.86757968731062896</v>
      </c>
      <c r="O33" s="33">
        <v>0.90525826694812095</v>
      </c>
      <c r="P33" s="33">
        <v>0.86767442703757902</v>
      </c>
      <c r="Q33" s="33">
        <v>0.86572217268506002</v>
      </c>
      <c r="R33" s="32">
        <v>373.46429802944698</v>
      </c>
      <c r="S33" s="32">
        <v>358.02349756797599</v>
      </c>
      <c r="T33" s="32">
        <v>357.08264487868399</v>
      </c>
      <c r="U33" s="15">
        <v>4.2512914657038901E-2</v>
      </c>
      <c r="V33" s="15">
        <v>2.8912216969332699E-4</v>
      </c>
      <c r="W33" s="15">
        <v>-2.3422444941479902E-3</v>
      </c>
      <c r="X33" s="33">
        <v>0.86757968731062896</v>
      </c>
      <c r="Y33" s="33">
        <v>0.90525826694812095</v>
      </c>
      <c r="Z33" s="33">
        <v>0.86767442703757902</v>
      </c>
      <c r="AA33" s="33">
        <v>0.86572217268506002</v>
      </c>
      <c r="AB33" s="32">
        <v>373.46429802944698</v>
      </c>
      <c r="AC33" s="32">
        <v>358.02349756797599</v>
      </c>
      <c r="AD33" s="32">
        <v>357.08264487868399</v>
      </c>
      <c r="AE33" s="15">
        <v>4.2512914657038901E-2</v>
      </c>
      <c r="AF33" s="15">
        <v>2.8912216969332699E-4</v>
      </c>
      <c r="AG33" s="15">
        <v>-2.3422444941479902E-3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7">
        <f t="shared" si="8"/>
        <v>0</v>
      </c>
      <c r="AP33" s="27">
        <f t="shared" si="9"/>
        <v>0</v>
      </c>
      <c r="AQ33" s="27">
        <f t="shared" si="16"/>
        <v>0</v>
      </c>
      <c r="AR33" s="28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7">
        <f t="shared" si="12"/>
        <v>0</v>
      </c>
      <c r="BA33" s="27">
        <f t="shared" si="13"/>
        <v>0</v>
      </c>
      <c r="BB33" s="27">
        <f t="shared" si="20"/>
        <v>0</v>
      </c>
      <c r="BC33" s="28">
        <f t="shared" si="21"/>
        <v>0</v>
      </c>
      <c r="BE33" s="28">
        <f t="shared" si="22"/>
        <v>0</v>
      </c>
      <c r="BF33" s="28">
        <f t="shared" si="23"/>
        <v>0</v>
      </c>
      <c r="BH33" s="28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2">
        <v>410.2</v>
      </c>
      <c r="C34" s="32">
        <v>355.84</v>
      </c>
      <c r="D34" s="15">
        <v>-5.7125649120720002E-3</v>
      </c>
      <c r="E34" s="15">
        <v>-5.82830611965671E-3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410.2</v>
      </c>
      <c r="M34" s="32">
        <v>355.84</v>
      </c>
      <c r="N34" s="33">
        <v>0.86747927840077999</v>
      </c>
      <c r="O34" s="33">
        <v>0.90525826694812095</v>
      </c>
      <c r="P34" s="33">
        <v>0.86793997175635496</v>
      </c>
      <c r="Q34" s="33">
        <v>0.86578760029280599</v>
      </c>
      <c r="R34" s="32">
        <v>371.336941102119</v>
      </c>
      <c r="S34" s="32">
        <v>355.920049970815</v>
      </c>
      <c r="T34" s="32">
        <v>355.119235235411</v>
      </c>
      <c r="U34" s="15">
        <v>4.2628655864623499E-2</v>
      </c>
      <c r="V34" s="15">
        <v>2.2493527462218599E-4</v>
      </c>
      <c r="W34" s="15">
        <v>-2.0275846371908901E-3</v>
      </c>
      <c r="X34" s="33">
        <v>0.86747927840077999</v>
      </c>
      <c r="Y34" s="33">
        <v>0.90525826694812095</v>
      </c>
      <c r="Z34" s="33">
        <v>0.86793997175635496</v>
      </c>
      <c r="AA34" s="33">
        <v>0.86578760029280599</v>
      </c>
      <c r="AB34" s="32">
        <v>371.336941102119</v>
      </c>
      <c r="AC34" s="32">
        <v>355.920049970815</v>
      </c>
      <c r="AD34" s="32">
        <v>355.119235235411</v>
      </c>
      <c r="AE34" s="15">
        <v>4.2628655864623499E-2</v>
      </c>
      <c r="AF34" s="15">
        <v>2.2493527462218599E-4</v>
      </c>
      <c r="AG34" s="15">
        <v>-2.0275846371908901E-3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7">
        <f t="shared" si="8"/>
        <v>0</v>
      </c>
      <c r="AP34" s="27">
        <f t="shared" si="9"/>
        <v>0</v>
      </c>
      <c r="AQ34" s="27">
        <f t="shared" si="16"/>
        <v>0</v>
      </c>
      <c r="AR34" s="28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7">
        <f t="shared" si="12"/>
        <v>0</v>
      </c>
      <c r="BA34" s="27">
        <f t="shared" si="13"/>
        <v>0</v>
      </c>
      <c r="BB34" s="27">
        <f t="shared" si="20"/>
        <v>0</v>
      </c>
      <c r="BC34" s="28">
        <f t="shared" si="21"/>
        <v>0</v>
      </c>
      <c r="BE34" s="28">
        <f t="shared" si="22"/>
        <v>0</v>
      </c>
      <c r="BF34" s="28">
        <f t="shared" si="23"/>
        <v>0</v>
      </c>
      <c r="BH34" s="28"/>
    </row>
    <row r="35" spans="1:124" x14ac:dyDescent="0.25">
      <c r="A35" s="1">
        <v>46073</v>
      </c>
      <c r="B35" s="32">
        <v>415.03</v>
      </c>
      <c r="C35" s="32">
        <v>359.43</v>
      </c>
      <c r="D35" s="15">
        <v>1.17059611363093E-2</v>
      </c>
      <c r="E35" s="15">
        <v>1.00382516977545E-2</v>
      </c>
      <c r="F35" s="32">
        <v>0</v>
      </c>
      <c r="G35" s="32">
        <v>0</v>
      </c>
      <c r="H35" s="32">
        <v>0</v>
      </c>
      <c r="I35" s="32">
        <v>0</v>
      </c>
      <c r="J35" s="32">
        <v>0</v>
      </c>
      <c r="K35" s="32">
        <v>0</v>
      </c>
      <c r="L35" s="32">
        <v>415.03</v>
      </c>
      <c r="M35" s="32">
        <v>359.43</v>
      </c>
      <c r="N35" s="33">
        <v>0.86603378069055204</v>
      </c>
      <c r="O35" s="33">
        <v>0.90525826694812095</v>
      </c>
      <c r="P35" s="33">
        <v>0.86772727928718896</v>
      </c>
      <c r="Q35" s="33">
        <v>0.86581065370844701</v>
      </c>
      <c r="R35" s="32">
        <v>375.70933853147801</v>
      </c>
      <c r="S35" s="32">
        <v>360.22112647803999</v>
      </c>
      <c r="T35" s="32">
        <v>359.32782774952301</v>
      </c>
      <c r="U35" s="15">
        <v>4.4296365303178403E-2</v>
      </c>
      <c r="V35" s="15">
        <v>2.1986397787076102E-3</v>
      </c>
      <c r="W35" s="15">
        <v>-2.8430229827116E-4</v>
      </c>
      <c r="X35" s="33">
        <v>0.86603378069055204</v>
      </c>
      <c r="Y35" s="33">
        <v>0.90525826694812095</v>
      </c>
      <c r="Z35" s="33">
        <v>0.86772727928718896</v>
      </c>
      <c r="AA35" s="33">
        <v>0.86581065370844701</v>
      </c>
      <c r="AB35" s="32">
        <v>375.70933853147801</v>
      </c>
      <c r="AC35" s="32">
        <v>360.22112647803999</v>
      </c>
      <c r="AD35" s="32">
        <v>359.32782774952301</v>
      </c>
      <c r="AE35" s="15">
        <v>4.4296365303178403E-2</v>
      </c>
      <c r="AF35" s="15">
        <v>2.1986397787076102E-3</v>
      </c>
      <c r="AG35" s="15">
        <v>-2.8430229827116E-4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7">
        <f t="shared" si="8"/>
        <v>0</v>
      </c>
      <c r="AP35" s="27">
        <f t="shared" si="9"/>
        <v>0</v>
      </c>
      <c r="AQ35" s="27">
        <f t="shared" si="16"/>
        <v>0</v>
      </c>
      <c r="AR35" s="28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7">
        <f t="shared" si="12"/>
        <v>0</v>
      </c>
      <c r="BA35" s="27">
        <f t="shared" si="13"/>
        <v>0</v>
      </c>
      <c r="BB35" s="27">
        <f t="shared" si="20"/>
        <v>0</v>
      </c>
      <c r="BC35" s="28">
        <f t="shared" si="21"/>
        <v>0</v>
      </c>
      <c r="BE35" s="28">
        <f t="shared" si="22"/>
        <v>0</v>
      </c>
      <c r="BF35" s="28">
        <f t="shared" si="23"/>
        <v>0</v>
      </c>
      <c r="BH35" s="28"/>
    </row>
    <row r="36" spans="1:124" x14ac:dyDescent="0.25">
      <c r="A36" s="1">
        <v>46076</v>
      </c>
      <c r="B36" s="32">
        <v>412.88</v>
      </c>
      <c r="C36" s="32">
        <v>356.82</v>
      </c>
      <c r="D36" s="15">
        <v>-5.1938129341178897E-3</v>
      </c>
      <c r="E36" s="15">
        <v>-7.2879903733600497E-3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412.88</v>
      </c>
      <c r="M36" s="32">
        <v>356.82</v>
      </c>
      <c r="N36" s="33">
        <v>0.86422204999031105</v>
      </c>
      <c r="O36" s="33">
        <v>0.90525826694812095</v>
      </c>
      <c r="P36" s="33">
        <v>0.86737990878516202</v>
      </c>
      <c r="Q36" s="33">
        <v>0.86594269899583498</v>
      </c>
      <c r="R36" s="32">
        <v>373.76303325753997</v>
      </c>
      <c r="S36" s="32">
        <v>358.26723907209401</v>
      </c>
      <c r="T36" s="32">
        <v>357.47590270314299</v>
      </c>
      <c r="U36" s="15">
        <v>4.6390542742420597E-2</v>
      </c>
      <c r="V36" s="15">
        <v>4.04773283313733E-3</v>
      </c>
      <c r="W36" s="15">
        <v>1.8365018895125801E-3</v>
      </c>
      <c r="X36" s="33">
        <v>0.86422204999031105</v>
      </c>
      <c r="Y36" s="33">
        <v>0.90525826694812095</v>
      </c>
      <c r="Z36" s="33">
        <v>0.86737990878516202</v>
      </c>
      <c r="AA36" s="33">
        <v>0.86594269899583498</v>
      </c>
      <c r="AB36" s="32">
        <v>373.76303325753997</v>
      </c>
      <c r="AC36" s="32">
        <v>358.26723907209401</v>
      </c>
      <c r="AD36" s="32">
        <v>357.47590270314299</v>
      </c>
      <c r="AE36" s="15">
        <v>4.6390542742420597E-2</v>
      </c>
      <c r="AF36" s="15">
        <v>4.04773283313733E-3</v>
      </c>
      <c r="AG36" s="15">
        <v>1.8365018895125801E-3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7">
        <f t="shared" si="8"/>
        <v>0</v>
      </c>
      <c r="AP36" s="27">
        <f t="shared" si="9"/>
        <v>0</v>
      </c>
      <c r="AQ36" s="27">
        <f t="shared" si="16"/>
        <v>0</v>
      </c>
      <c r="AR36" s="28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7">
        <f t="shared" si="12"/>
        <v>0</v>
      </c>
      <c r="BA36" s="27">
        <f t="shared" si="13"/>
        <v>0</v>
      </c>
      <c r="BB36" s="27">
        <f t="shared" si="20"/>
        <v>0</v>
      </c>
      <c r="BC36" s="28">
        <f t="shared" si="21"/>
        <v>0</v>
      </c>
      <c r="BE36" s="28">
        <f t="shared" si="22"/>
        <v>0</v>
      </c>
      <c r="BF36" s="28">
        <f t="shared" si="23"/>
        <v>0</v>
      </c>
      <c r="BH36" s="28"/>
    </row>
    <row r="37" spans="1:124" x14ac:dyDescent="0.25">
      <c r="A37" s="1">
        <v>46077</v>
      </c>
      <c r="B37" s="32">
        <v>419.16</v>
      </c>
      <c r="C37" s="32">
        <v>362.04</v>
      </c>
      <c r="D37" s="15">
        <v>1.5095714766269299E-2</v>
      </c>
      <c r="E37" s="15">
        <v>1.45232500124126E-2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419.16</v>
      </c>
      <c r="M37" s="32">
        <v>362.04</v>
      </c>
      <c r="N37" s="33">
        <v>0.86372745490981895</v>
      </c>
      <c r="O37" s="33">
        <v>0.90525826694812095</v>
      </c>
      <c r="P37" s="33">
        <v>0.86700237762546095</v>
      </c>
      <c r="Q37" s="33">
        <v>0.86611844037880703</v>
      </c>
      <c r="R37" s="32">
        <v>379.44805517397401</v>
      </c>
      <c r="S37" s="32">
        <v>363.570962566388</v>
      </c>
      <c r="T37" s="32">
        <v>362.96854171109402</v>
      </c>
      <c r="U37" s="15">
        <v>4.6963007496277201E-2</v>
      </c>
      <c r="V37" s="15">
        <v>4.2197952267754701E-3</v>
      </c>
      <c r="W37" s="15">
        <v>2.56146559760873E-3</v>
      </c>
      <c r="X37" s="33">
        <v>0.86372745490981895</v>
      </c>
      <c r="Y37" s="33">
        <v>0.90525826694812095</v>
      </c>
      <c r="Z37" s="33">
        <v>0.86700237762546095</v>
      </c>
      <c r="AA37" s="33">
        <v>0.86611844037880703</v>
      </c>
      <c r="AB37" s="32">
        <v>379.44805517397401</v>
      </c>
      <c r="AC37" s="32">
        <v>363.570962566388</v>
      </c>
      <c r="AD37" s="32">
        <v>362.96854171109402</v>
      </c>
      <c r="AE37" s="15">
        <v>4.6963007496277201E-2</v>
      </c>
      <c r="AF37" s="15">
        <v>4.2197952267754701E-3</v>
      </c>
      <c r="AG37" s="15">
        <v>2.56146559760873E-3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7">
        <f t="shared" si="8"/>
        <v>0</v>
      </c>
      <c r="AP37" s="27">
        <f t="shared" si="9"/>
        <v>0</v>
      </c>
      <c r="AQ37" s="27">
        <f t="shared" si="16"/>
        <v>0</v>
      </c>
      <c r="AR37" s="28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7">
        <f t="shared" si="12"/>
        <v>0</v>
      </c>
      <c r="BA37" s="27">
        <f t="shared" si="13"/>
        <v>0</v>
      </c>
      <c r="BB37" s="27">
        <f t="shared" si="20"/>
        <v>0</v>
      </c>
      <c r="BC37" s="28">
        <f t="shared" si="21"/>
        <v>0</v>
      </c>
      <c r="BE37" s="28">
        <f t="shared" si="22"/>
        <v>0</v>
      </c>
      <c r="BF37" s="28">
        <f t="shared" si="23"/>
        <v>0</v>
      </c>
      <c r="BH37" s="28"/>
    </row>
    <row r="38" spans="1:124" x14ac:dyDescent="0.25">
      <c r="A38" s="1">
        <v>46078</v>
      </c>
      <c r="B38" s="32">
        <v>426.16</v>
      </c>
      <c r="C38" s="32">
        <v>368</v>
      </c>
      <c r="D38" s="15">
        <v>1.65621540020028E-2</v>
      </c>
      <c r="E38" s="15">
        <v>1.6328235209960899E-2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426.16</v>
      </c>
      <c r="M38" s="32">
        <v>368</v>
      </c>
      <c r="N38" s="33">
        <v>0.86352543645579105</v>
      </c>
      <c r="O38" s="33">
        <v>0.90525826694812095</v>
      </c>
      <c r="P38" s="33">
        <v>0.86653063033320099</v>
      </c>
      <c r="Q38" s="33">
        <v>0.86619096757298997</v>
      </c>
      <c r="R38" s="32">
        <v>385.78486304261099</v>
      </c>
      <c r="S38" s="32">
        <v>369.48173324886602</v>
      </c>
      <c r="T38" s="32">
        <v>369.10503455183198</v>
      </c>
      <c r="U38" s="15">
        <v>4.7196926288318897E-2</v>
      </c>
      <c r="V38" s="15">
        <v>4.0183645936979302E-3</v>
      </c>
      <c r="W38" s="15">
        <v>2.9983118494032401E-3</v>
      </c>
      <c r="X38" s="33">
        <v>0.86352543645579105</v>
      </c>
      <c r="Y38" s="33">
        <v>0.90525826694812095</v>
      </c>
      <c r="Z38" s="33">
        <v>0.86653063033320099</v>
      </c>
      <c r="AA38" s="33">
        <v>0.86619096757298997</v>
      </c>
      <c r="AB38" s="32">
        <v>385.78486304261099</v>
      </c>
      <c r="AC38" s="32">
        <v>369.48173324886602</v>
      </c>
      <c r="AD38" s="32">
        <v>369.10503455183198</v>
      </c>
      <c r="AE38" s="15">
        <v>4.7196926288318897E-2</v>
      </c>
      <c r="AF38" s="15">
        <v>4.0183645936979302E-3</v>
      </c>
      <c r="AG38" s="15">
        <v>2.9983118494032401E-3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7">
        <f t="shared" si="8"/>
        <v>0</v>
      </c>
      <c r="AP38" s="27">
        <f t="shared" si="9"/>
        <v>0</v>
      </c>
      <c r="AQ38" s="27">
        <f t="shared" si="16"/>
        <v>0</v>
      </c>
      <c r="AR38" s="28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7">
        <f t="shared" si="12"/>
        <v>0</v>
      </c>
      <c r="BA38" s="27">
        <f t="shared" si="13"/>
        <v>0</v>
      </c>
      <c r="BB38" s="27">
        <f t="shared" si="20"/>
        <v>0</v>
      </c>
      <c r="BC38" s="28">
        <f t="shared" si="21"/>
        <v>0</v>
      </c>
      <c r="BE38" s="28">
        <f t="shared" si="22"/>
        <v>0</v>
      </c>
      <c r="BF38" s="28">
        <f t="shared" si="23"/>
        <v>0</v>
      </c>
      <c r="BH38" s="28"/>
    </row>
    <row r="39" spans="1:124" x14ac:dyDescent="0.25">
      <c r="A39" s="1">
        <v>46079</v>
      </c>
      <c r="B39" s="32">
        <v>412.01</v>
      </c>
      <c r="C39" s="32">
        <v>356.8</v>
      </c>
      <c r="D39" s="15">
        <v>-3.3767241709113598E-2</v>
      </c>
      <c r="E39" s="15">
        <v>-3.09075374630765E-2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412.01</v>
      </c>
      <c r="M39" s="32">
        <v>356.8</v>
      </c>
      <c r="N39" s="33">
        <v>0.86599839809713297</v>
      </c>
      <c r="O39" s="33">
        <v>0.90525826694812095</v>
      </c>
      <c r="P39" s="33">
        <v>0.86628925311219895</v>
      </c>
      <c r="Q39" s="33">
        <v>0.86623188068524803</v>
      </c>
      <c r="R39" s="32">
        <v>372.97545856529501</v>
      </c>
      <c r="S39" s="32">
        <v>357.01928500358201</v>
      </c>
      <c r="T39" s="32">
        <v>356.87934054974698</v>
      </c>
      <c r="U39" s="15">
        <v>4.4337222042281903E-2</v>
      </c>
      <c r="V39" s="15">
        <v>6.1439923265481095E-4</v>
      </c>
      <c r="W39" s="15">
        <v>2.22342291744962E-4</v>
      </c>
      <c r="X39" s="33">
        <v>0.86599839809713297</v>
      </c>
      <c r="Y39" s="33">
        <v>0.90525826694812095</v>
      </c>
      <c r="Z39" s="33">
        <v>0.86628925311219895</v>
      </c>
      <c r="AA39" s="33">
        <v>0.86623188068524803</v>
      </c>
      <c r="AB39" s="32">
        <v>372.97545856529501</v>
      </c>
      <c r="AC39" s="32">
        <v>357.01928500358201</v>
      </c>
      <c r="AD39" s="32">
        <v>356.87934054974698</v>
      </c>
      <c r="AE39" s="15">
        <v>4.4337222042281903E-2</v>
      </c>
      <c r="AF39" s="15">
        <v>6.1439923265481095E-4</v>
      </c>
      <c r="AG39" s="15">
        <v>2.22342291744962E-4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7">
        <f t="shared" si="8"/>
        <v>0</v>
      </c>
      <c r="AP39" s="27">
        <f t="shared" si="9"/>
        <v>0</v>
      </c>
      <c r="AQ39" s="27">
        <f t="shared" si="16"/>
        <v>0</v>
      </c>
      <c r="AR39" s="28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7">
        <f t="shared" si="12"/>
        <v>0</v>
      </c>
      <c r="BA39" s="27">
        <f t="shared" si="13"/>
        <v>0</v>
      </c>
      <c r="BB39" s="27">
        <f t="shared" si="20"/>
        <v>0</v>
      </c>
      <c r="BC39" s="28">
        <f t="shared" si="21"/>
        <v>0</v>
      </c>
      <c r="BE39" s="28">
        <f t="shared" si="22"/>
        <v>0</v>
      </c>
      <c r="BF39" s="28">
        <f t="shared" si="23"/>
        <v>0</v>
      </c>
      <c r="BH39" s="28"/>
    </row>
    <row r="40" spans="1:124" x14ac:dyDescent="0.25">
      <c r="A40" s="1">
        <v>46080</v>
      </c>
      <c r="B40" s="32">
        <v>406.37</v>
      </c>
      <c r="C40" s="32">
        <v>352.29</v>
      </c>
      <c r="D40" s="15">
        <v>-1.3783546257744601E-2</v>
      </c>
      <c r="E40" s="15">
        <v>-1.2720700660754701E-2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406.37</v>
      </c>
      <c r="M40" s="32">
        <v>352.29</v>
      </c>
      <c r="N40" s="33">
        <v>0.86691930998843403</v>
      </c>
      <c r="O40" s="33">
        <v>0.90525826694812095</v>
      </c>
      <c r="P40" s="33">
        <v>0.86642827972553105</v>
      </c>
      <c r="Q40" s="33">
        <v>0.86633081610227902</v>
      </c>
      <c r="R40" s="32">
        <v>367.869801939708</v>
      </c>
      <c r="S40" s="32">
        <v>352.03396378720402</v>
      </c>
      <c r="T40" s="32">
        <v>352.01064935406401</v>
      </c>
      <c r="U40" s="15">
        <v>4.3274376445292001E-2</v>
      </c>
      <c r="V40" s="15">
        <v>-7.2704106984257605E-4</v>
      </c>
      <c r="W40" s="15">
        <v>-7.9327105786640201E-4</v>
      </c>
      <c r="X40" s="33">
        <v>0.86691930998843403</v>
      </c>
      <c r="Y40" s="33">
        <v>0.90525826694812095</v>
      </c>
      <c r="Z40" s="33">
        <v>0.86642827972553105</v>
      </c>
      <c r="AA40" s="33">
        <v>0.86633081610227902</v>
      </c>
      <c r="AB40" s="32">
        <v>367.869801939708</v>
      </c>
      <c r="AC40" s="32">
        <v>352.03396378720402</v>
      </c>
      <c r="AD40" s="32">
        <v>352.01064935406401</v>
      </c>
      <c r="AE40" s="15">
        <v>4.3274376445292001E-2</v>
      </c>
      <c r="AF40" s="15">
        <v>-7.2704106984257605E-4</v>
      </c>
      <c r="AG40" s="15">
        <v>-7.9327105786640201E-4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7">
        <f t="shared" si="8"/>
        <v>0</v>
      </c>
      <c r="AP40" s="27">
        <f t="shared" si="9"/>
        <v>0</v>
      </c>
      <c r="AQ40" s="27">
        <f t="shared" si="16"/>
        <v>0</v>
      </c>
      <c r="AR40" s="28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7">
        <f t="shared" si="12"/>
        <v>0</v>
      </c>
      <c r="BA40" s="27">
        <f t="shared" si="13"/>
        <v>0</v>
      </c>
      <c r="BB40" s="27">
        <f t="shared" si="20"/>
        <v>0</v>
      </c>
      <c r="BC40" s="28">
        <f t="shared" si="21"/>
        <v>0</v>
      </c>
      <c r="BE40" s="28">
        <f t="shared" si="22"/>
        <v>0</v>
      </c>
      <c r="BF40" s="28">
        <f t="shared" si="23"/>
        <v>0</v>
      </c>
      <c r="BH40" s="28"/>
    </row>
    <row r="41" spans="1:124" x14ac:dyDescent="0.25">
      <c r="A41" s="1">
        <v>46083</v>
      </c>
      <c r="B41" s="32">
        <v>406.39</v>
      </c>
      <c r="C41" s="32">
        <v>352.05</v>
      </c>
      <c r="D41" s="15">
        <v>4.9215020434119202E-5</v>
      </c>
      <c r="E41" s="15">
        <v>-6.8148907995733304E-4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406.39</v>
      </c>
      <c r="M41" s="32">
        <v>352.05</v>
      </c>
      <c r="N41" s="33">
        <v>0.86628607987401196</v>
      </c>
      <c r="O41" s="33">
        <v>0.90525826694812095</v>
      </c>
      <c r="P41" s="33">
        <v>0.86607072073559499</v>
      </c>
      <c r="Q41" s="33">
        <v>0.86672884586805099</v>
      </c>
      <c r="R41" s="32">
        <v>367.88790710504702</v>
      </c>
      <c r="S41" s="32">
        <v>352.10778859765799</v>
      </c>
      <c r="T41" s="32">
        <v>352.068180355805</v>
      </c>
      <c r="U41" s="15">
        <v>4.40050805456835E-2</v>
      </c>
      <c r="V41" s="15">
        <v>1.64135364897244E-4</v>
      </c>
      <c r="W41" s="15">
        <v>5.1640069285680302E-5</v>
      </c>
      <c r="X41" s="33">
        <v>0.86628607987401196</v>
      </c>
      <c r="Y41" s="33">
        <v>0.90525826694812095</v>
      </c>
      <c r="Z41" s="33">
        <v>0.86607072073559499</v>
      </c>
      <c r="AA41" s="33">
        <v>0.86672884586805099</v>
      </c>
      <c r="AB41" s="32">
        <v>367.88790710504702</v>
      </c>
      <c r="AC41" s="32">
        <v>352.10778859765799</v>
      </c>
      <c r="AD41" s="32">
        <v>352.068180355805</v>
      </c>
      <c r="AE41" s="15">
        <v>4.40050805456835E-2</v>
      </c>
      <c r="AF41" s="15">
        <v>1.64135364897244E-4</v>
      </c>
      <c r="AG41" s="15">
        <v>5.1640069285680302E-5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7">
        <f t="shared" si="8"/>
        <v>0</v>
      </c>
      <c r="AP41" s="27">
        <f t="shared" si="9"/>
        <v>0</v>
      </c>
      <c r="AQ41" s="27">
        <f t="shared" si="16"/>
        <v>0</v>
      </c>
      <c r="AR41" s="28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7">
        <f t="shared" si="12"/>
        <v>0</v>
      </c>
      <c r="BA41" s="27">
        <f t="shared" si="13"/>
        <v>0</v>
      </c>
      <c r="BB41" s="27">
        <f t="shared" si="20"/>
        <v>0</v>
      </c>
      <c r="BC41" s="28">
        <f t="shared" si="21"/>
        <v>0</v>
      </c>
      <c r="BE41" s="28">
        <f t="shared" si="22"/>
        <v>0</v>
      </c>
      <c r="BF41" s="28">
        <f t="shared" si="23"/>
        <v>0</v>
      </c>
      <c r="BH41" s="28"/>
    </row>
    <row r="42" spans="1:124" x14ac:dyDescent="0.25">
      <c r="A42" s="1">
        <v>46084</v>
      </c>
      <c r="B42" s="32">
        <v>391.06</v>
      </c>
      <c r="C42" s="32">
        <v>334.78</v>
      </c>
      <c r="D42" s="15">
        <v>-3.8452288764190802E-2</v>
      </c>
      <c r="E42" s="15">
        <v>-5.02996112906684E-2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391.06</v>
      </c>
      <c r="M42" s="32">
        <v>334.78</v>
      </c>
      <c r="N42" s="33">
        <v>0.85608346545287095</v>
      </c>
      <c r="O42" s="33">
        <v>0.90525826694812095</v>
      </c>
      <c r="P42" s="33">
        <v>0.86478549411703298</v>
      </c>
      <c r="Q42" s="33">
        <v>0.86630802710696697</v>
      </c>
      <c r="R42" s="32">
        <v>354.010297872732</v>
      </c>
      <c r="S42" s="32">
        <v>338.68561605086097</v>
      </c>
      <c r="T42" s="32">
        <v>338.94298246516001</v>
      </c>
      <c r="U42" s="15">
        <v>5.5852403072161202E-2</v>
      </c>
      <c r="V42" s="15">
        <v>1.15986911366263E-2</v>
      </c>
      <c r="W42" s="15">
        <v>1.23583002417829E-2</v>
      </c>
      <c r="X42" s="33">
        <v>0.85608346545287095</v>
      </c>
      <c r="Y42" s="33">
        <v>0.90525826694812095</v>
      </c>
      <c r="Z42" s="33">
        <v>0.86478549411703298</v>
      </c>
      <c r="AA42" s="33">
        <v>0.86630802710696697</v>
      </c>
      <c r="AB42" s="32">
        <v>354.010297872732</v>
      </c>
      <c r="AC42" s="32">
        <v>338.68561605086097</v>
      </c>
      <c r="AD42" s="32">
        <v>338.94298246516001</v>
      </c>
      <c r="AE42" s="15">
        <v>5.5852403072161202E-2</v>
      </c>
      <c r="AF42" s="15">
        <v>1.15986911366263E-2</v>
      </c>
      <c r="AG42" s="15">
        <v>1.23583002417829E-2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7">
        <f t="shared" si="8"/>
        <v>0</v>
      </c>
      <c r="AP42" s="27">
        <f t="shared" si="9"/>
        <v>0</v>
      </c>
      <c r="AQ42" s="27">
        <f t="shared" si="16"/>
        <v>0</v>
      </c>
      <c r="AR42" s="28">
        <f t="shared" si="17"/>
        <v>0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7">
        <f t="shared" si="12"/>
        <v>0</v>
      </c>
      <c r="BA42" s="27">
        <f t="shared" si="13"/>
        <v>0</v>
      </c>
      <c r="BB42" s="27">
        <f t="shared" si="20"/>
        <v>0</v>
      </c>
      <c r="BC42" s="28">
        <f t="shared" si="21"/>
        <v>0</v>
      </c>
      <c r="BE42" s="28">
        <f t="shared" si="22"/>
        <v>0</v>
      </c>
      <c r="BF42" s="28">
        <f t="shared" si="23"/>
        <v>0</v>
      </c>
      <c r="BH42" s="28"/>
    </row>
    <row r="43" spans="1:124" x14ac:dyDescent="0.25">
      <c r="A43" s="1">
        <v>46085</v>
      </c>
      <c r="B43" s="32">
        <v>399.1</v>
      </c>
      <c r="C43" s="32">
        <v>341.54</v>
      </c>
      <c r="D43" s="15">
        <v>2.0351011156559299E-2</v>
      </c>
      <c r="E43" s="15">
        <v>1.9991202784619098E-2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399.1</v>
      </c>
      <c r="M43" s="32">
        <v>341.54</v>
      </c>
      <c r="N43" s="33">
        <v>0.85577549486344195</v>
      </c>
      <c r="O43" s="33">
        <v>0.90525826694812095</v>
      </c>
      <c r="P43" s="33">
        <v>0.86360507487231497</v>
      </c>
      <c r="Q43" s="33">
        <v>0.86563975095494705</v>
      </c>
      <c r="R43" s="32">
        <v>361.28857433899498</v>
      </c>
      <c r="S43" s="32">
        <v>345.13589070210799</v>
      </c>
      <c r="T43" s="32">
        <v>345.74353361839002</v>
      </c>
      <c r="U43" s="15">
        <v>5.62122114441014E-2</v>
      </c>
      <c r="V43" s="15">
        <v>1.0473423112570501E-2</v>
      </c>
      <c r="W43" s="15">
        <v>1.2232465433341401E-2</v>
      </c>
      <c r="X43" s="33">
        <v>0.85577549486344195</v>
      </c>
      <c r="Y43" s="33">
        <v>0.90525826694812095</v>
      </c>
      <c r="Z43" s="33">
        <v>0.86360507487231497</v>
      </c>
      <c r="AA43" s="33">
        <v>0.86563975095494705</v>
      </c>
      <c r="AB43" s="32">
        <v>361.28857433899498</v>
      </c>
      <c r="AC43" s="32">
        <v>345.13589070210799</v>
      </c>
      <c r="AD43" s="32">
        <v>345.74353361839002</v>
      </c>
      <c r="AE43" s="15">
        <v>5.62122114441014E-2</v>
      </c>
      <c r="AF43" s="15">
        <v>1.0473423112570501E-2</v>
      </c>
      <c r="AG43" s="15">
        <v>1.2232465433341401E-2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7">
        <f t="shared" si="8"/>
        <v>0</v>
      </c>
      <c r="AP43" s="27">
        <f t="shared" si="9"/>
        <v>0</v>
      </c>
      <c r="AQ43" s="27">
        <f t="shared" si="16"/>
        <v>0</v>
      </c>
      <c r="AR43" s="28">
        <f t="shared" si="17"/>
        <v>0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7">
        <f t="shared" si="12"/>
        <v>0</v>
      </c>
      <c r="BA43" s="27">
        <f t="shared" si="13"/>
        <v>0</v>
      </c>
      <c r="BB43" s="27">
        <f t="shared" si="20"/>
        <v>0</v>
      </c>
      <c r="BC43" s="28">
        <f t="shared" si="21"/>
        <v>0</v>
      </c>
      <c r="BE43" s="28">
        <f t="shared" si="22"/>
        <v>0</v>
      </c>
      <c r="BF43" s="28">
        <f t="shared" si="23"/>
        <v>0</v>
      </c>
      <c r="BH43" s="28"/>
    </row>
    <row r="44" spans="1:124" x14ac:dyDescent="0.25">
      <c r="A44" s="1">
        <v>46086</v>
      </c>
      <c r="B44" s="32">
        <v>395.35</v>
      </c>
      <c r="C44" s="32">
        <v>337.76</v>
      </c>
      <c r="D44" s="15">
        <v>-9.4405635377521301E-3</v>
      </c>
      <c r="E44" s="15">
        <v>-1.11292183590825E-2</v>
      </c>
      <c r="F44" s="32">
        <v>0</v>
      </c>
      <c r="G44" s="32">
        <v>0</v>
      </c>
      <c r="H44" s="32">
        <v>0</v>
      </c>
      <c r="I44" s="32">
        <v>0</v>
      </c>
      <c r="J44" s="32">
        <v>0</v>
      </c>
      <c r="K44" s="32">
        <v>0</v>
      </c>
      <c r="L44" s="32">
        <v>395.35</v>
      </c>
      <c r="M44" s="32">
        <v>337.76</v>
      </c>
      <c r="N44" s="33">
        <v>0.85433160490704396</v>
      </c>
      <c r="O44" s="33">
        <v>0.90525826694812095</v>
      </c>
      <c r="P44" s="33">
        <v>0.862290307522941</v>
      </c>
      <c r="Q44" s="33">
        <v>0.86511513963964803</v>
      </c>
      <c r="R44" s="32">
        <v>357.89385583793899</v>
      </c>
      <c r="S44" s="32">
        <v>341.42626635076903</v>
      </c>
      <c r="T44" s="32">
        <v>342.23067554003802</v>
      </c>
      <c r="U44" s="15">
        <v>5.7900866265431901E-2</v>
      </c>
      <c r="V44" s="15">
        <v>1.07961604735465E-2</v>
      </c>
      <c r="W44" s="15">
        <v>1.31494154796783E-2</v>
      </c>
      <c r="X44" s="33">
        <v>0.85433160490704396</v>
      </c>
      <c r="Y44" s="33">
        <v>0.90525826694812095</v>
      </c>
      <c r="Z44" s="33">
        <v>0.862290307522941</v>
      </c>
      <c r="AA44" s="33">
        <v>0.86511513963964803</v>
      </c>
      <c r="AB44" s="32">
        <v>357.89385583793899</v>
      </c>
      <c r="AC44" s="32">
        <v>341.42626635076903</v>
      </c>
      <c r="AD44" s="32">
        <v>342.23067554003802</v>
      </c>
      <c r="AE44" s="15">
        <v>5.7900866265431901E-2</v>
      </c>
      <c r="AF44" s="15">
        <v>1.07961604735465E-2</v>
      </c>
      <c r="AG44" s="15">
        <v>1.31494154796783E-2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7">
        <f t="shared" si="8"/>
        <v>0</v>
      </c>
      <c r="AP44" s="27">
        <f t="shared" si="9"/>
        <v>0</v>
      </c>
      <c r="AQ44" s="27">
        <f t="shared" si="16"/>
        <v>0</v>
      </c>
      <c r="AR44" s="28">
        <f t="shared" si="17"/>
        <v>0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7">
        <f t="shared" si="12"/>
        <v>0</v>
      </c>
      <c r="BA44" s="27">
        <f t="shared" si="13"/>
        <v>0</v>
      </c>
      <c r="BB44" s="27">
        <f t="shared" si="20"/>
        <v>0</v>
      </c>
      <c r="BC44" s="28">
        <f t="shared" si="21"/>
        <v>0</v>
      </c>
      <c r="BE44" s="28">
        <f t="shared" si="22"/>
        <v>0</v>
      </c>
      <c r="BF44" s="28">
        <f t="shared" si="23"/>
        <v>0</v>
      </c>
      <c r="BH44" s="28"/>
    </row>
    <row r="45" spans="1:124" x14ac:dyDescent="0.25">
      <c r="A45" s="1">
        <v>46087</v>
      </c>
      <c r="B45" s="32">
        <v>380.56</v>
      </c>
      <c r="C45" s="32">
        <v>323.51</v>
      </c>
      <c r="D45" s="15">
        <v>-3.8127596392910003E-2</v>
      </c>
      <c r="E45" s="15">
        <v>-4.3105558735736203E-2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380.56</v>
      </c>
      <c r="M45" s="32">
        <v>323.51</v>
      </c>
      <c r="N45" s="33">
        <v>0.85008934202228204</v>
      </c>
      <c r="O45" s="33">
        <v>0.90525826694812095</v>
      </c>
      <c r="P45" s="33">
        <v>0.86069586365611395</v>
      </c>
      <c r="Q45" s="33">
        <v>0.86421157147165095</v>
      </c>
      <c r="R45" s="32">
        <v>344.50508606977701</v>
      </c>
      <c r="S45" s="32">
        <v>328.15319943092999</v>
      </c>
      <c r="T45" s="32">
        <v>329.22821754126397</v>
      </c>
      <c r="U45" s="15">
        <v>6.2878828608257997E-2</v>
      </c>
      <c r="V45" s="15">
        <v>1.42505454117234E-2</v>
      </c>
      <c r="W45" s="15">
        <v>1.7521155261220701E-2</v>
      </c>
      <c r="X45" s="33">
        <v>0.85008934202228204</v>
      </c>
      <c r="Y45" s="33">
        <v>0.90525826694812095</v>
      </c>
      <c r="Z45" s="33">
        <v>0.86069586365611395</v>
      </c>
      <c r="AA45" s="33">
        <v>0.86421157147165095</v>
      </c>
      <c r="AB45" s="32">
        <v>344.50508606977701</v>
      </c>
      <c r="AC45" s="32">
        <v>328.15319943092999</v>
      </c>
      <c r="AD45" s="32">
        <v>329.22821754126397</v>
      </c>
      <c r="AE45" s="15">
        <v>6.2878828608257997E-2</v>
      </c>
      <c r="AF45" s="15">
        <v>1.42505454117234E-2</v>
      </c>
      <c r="AG45" s="15">
        <v>1.7521155261220701E-2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7">
        <f t="shared" si="8"/>
        <v>0</v>
      </c>
      <c r="AP45" s="27">
        <f t="shared" si="9"/>
        <v>0</v>
      </c>
      <c r="AQ45" s="27">
        <f t="shared" si="16"/>
        <v>0</v>
      </c>
      <c r="AR45" s="28">
        <f t="shared" si="17"/>
        <v>0</v>
      </c>
      <c r="AT45" s="12"/>
      <c r="AU45">
        <f t="shared" si="10"/>
        <v>0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7">
        <f t="shared" si="12"/>
        <v>0</v>
      </c>
      <c r="BA45" s="27">
        <f t="shared" si="13"/>
        <v>0</v>
      </c>
      <c r="BB45" s="27">
        <f t="shared" si="20"/>
        <v>0</v>
      </c>
      <c r="BC45" s="28">
        <f t="shared" si="21"/>
        <v>0</v>
      </c>
      <c r="BE45" s="28">
        <f t="shared" si="22"/>
        <v>0</v>
      </c>
      <c r="BF45" s="28">
        <f t="shared" si="23"/>
        <v>0</v>
      </c>
      <c r="BH45" s="28"/>
    </row>
    <row r="46" spans="1:124" x14ac:dyDescent="0.25">
      <c r="A46" s="1">
        <v>46090</v>
      </c>
      <c r="B46" s="32">
        <v>394.37</v>
      </c>
      <c r="C46" s="32">
        <v>336.37</v>
      </c>
      <c r="D46" s="15">
        <v>3.5645702802650302E-2</v>
      </c>
      <c r="E46" s="15">
        <v>3.8981719209629402E-2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394.37</v>
      </c>
      <c r="M46" s="32">
        <v>336.37</v>
      </c>
      <c r="N46" s="33">
        <v>0.85292998960367095</v>
      </c>
      <c r="O46" s="33">
        <v>0.90525826694812095</v>
      </c>
      <c r="P46" s="33">
        <v>0.85956665761744999</v>
      </c>
      <c r="Q46" s="33">
        <v>0.86347328320130601</v>
      </c>
      <c r="R46" s="32">
        <v>357.00670273633</v>
      </c>
      <c r="S46" s="32">
        <v>339.43262775006099</v>
      </c>
      <c r="T46" s="32">
        <v>340.81911744127501</v>
      </c>
      <c r="U46" s="15">
        <v>5.9542812201278897E-2</v>
      </c>
      <c r="V46" s="15">
        <v>9.0637372240140492E-3</v>
      </c>
      <c r="W46" s="15">
        <v>1.31401445863374E-2</v>
      </c>
      <c r="X46" s="33">
        <v>0.85292998960367095</v>
      </c>
      <c r="Y46" s="33">
        <v>0.90525826694812095</v>
      </c>
      <c r="Z46" s="33">
        <v>0.85956665761744999</v>
      </c>
      <c r="AA46" s="33">
        <v>0.86347328320130601</v>
      </c>
      <c r="AB46" s="32">
        <v>357.00670273633</v>
      </c>
      <c r="AC46" s="32">
        <v>339.43262775006099</v>
      </c>
      <c r="AD46" s="32">
        <v>340.81911744127501</v>
      </c>
      <c r="AE46" s="15">
        <v>5.9542812201278897E-2</v>
      </c>
      <c r="AF46" s="15">
        <v>9.0637372240140492E-3</v>
      </c>
      <c r="AG46" s="15">
        <v>1.31401445863374E-2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7">
        <f t="shared" si="8"/>
        <v>0</v>
      </c>
      <c r="AP46" s="27">
        <f t="shared" si="9"/>
        <v>0</v>
      </c>
      <c r="AQ46" s="27">
        <f t="shared" si="16"/>
        <v>0</v>
      </c>
      <c r="AR46" s="28">
        <f t="shared" si="17"/>
        <v>0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7">
        <f t="shared" si="12"/>
        <v>0</v>
      </c>
      <c r="BA46" s="27">
        <f t="shared" si="13"/>
        <v>0</v>
      </c>
      <c r="BB46" s="27">
        <f t="shared" si="20"/>
        <v>0</v>
      </c>
      <c r="BC46" s="28">
        <f t="shared" si="21"/>
        <v>0</v>
      </c>
      <c r="BE46" s="28">
        <f t="shared" si="22"/>
        <v>0</v>
      </c>
      <c r="BF46" s="28">
        <f t="shared" si="23"/>
        <v>0</v>
      </c>
      <c r="BH46" s="28"/>
    </row>
    <row r="47" spans="1:124" x14ac:dyDescent="0.25">
      <c r="A47" s="1">
        <v>46091</v>
      </c>
      <c r="B47" s="32">
        <v>397.33</v>
      </c>
      <c r="C47" s="32">
        <v>338.81</v>
      </c>
      <c r="D47" s="15">
        <v>7.4776147335739703E-3</v>
      </c>
      <c r="E47" s="15">
        <v>7.2277337070156596E-3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397.33</v>
      </c>
      <c r="M47" s="32">
        <v>338.81</v>
      </c>
      <c r="N47" s="33">
        <v>0.85271688520876798</v>
      </c>
      <c r="O47" s="33">
        <v>0.90525826694812095</v>
      </c>
      <c r="P47" s="33">
        <v>0.85846560064734501</v>
      </c>
      <c r="Q47" s="33">
        <v>0.86273398913640298</v>
      </c>
      <c r="R47" s="32">
        <v>359.68626720649701</v>
      </c>
      <c r="S47" s="32">
        <v>341.53162007114099</v>
      </c>
      <c r="T47" s="32">
        <v>343.08383961437403</v>
      </c>
      <c r="U47" s="15">
        <v>5.9792693227837097E-2</v>
      </c>
      <c r="V47" s="15">
        <v>8.0007881599506309E-3</v>
      </c>
      <c r="W47" s="15">
        <v>1.2535369379395599E-2</v>
      </c>
      <c r="X47" s="33">
        <v>0.85271688520876798</v>
      </c>
      <c r="Y47" s="33">
        <v>0.90525826694812095</v>
      </c>
      <c r="Z47" s="33">
        <v>0.85846560064734501</v>
      </c>
      <c r="AA47" s="33">
        <v>0.86273398913640298</v>
      </c>
      <c r="AB47" s="32">
        <v>359.68626720649701</v>
      </c>
      <c r="AC47" s="32">
        <v>341.53162007114099</v>
      </c>
      <c r="AD47" s="32">
        <v>343.08383961437403</v>
      </c>
      <c r="AE47" s="15">
        <v>5.9792693227837097E-2</v>
      </c>
      <c r="AF47" s="15">
        <v>8.0007881599506309E-3</v>
      </c>
      <c r="AG47" s="15">
        <v>1.2535369379395599E-2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7">
        <f t="shared" si="8"/>
        <v>0</v>
      </c>
      <c r="AP47" s="27">
        <f t="shared" si="9"/>
        <v>0</v>
      </c>
      <c r="AQ47" s="27">
        <f t="shared" si="16"/>
        <v>0</v>
      </c>
      <c r="AR47" s="28">
        <f t="shared" si="17"/>
        <v>0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7">
        <f t="shared" si="12"/>
        <v>0</v>
      </c>
      <c r="BA47" s="27">
        <f t="shared" si="13"/>
        <v>0</v>
      </c>
      <c r="BB47" s="27">
        <f t="shared" si="20"/>
        <v>0</v>
      </c>
      <c r="BC47" s="28">
        <f t="shared" si="21"/>
        <v>0</v>
      </c>
      <c r="BE47" s="28">
        <f t="shared" si="22"/>
        <v>0</v>
      </c>
      <c r="BF47" s="28">
        <f t="shared" si="23"/>
        <v>0</v>
      </c>
      <c r="BH47" s="28"/>
    </row>
    <row r="48" spans="1:124" x14ac:dyDescent="0.25">
      <c r="A48" s="1">
        <v>46092</v>
      </c>
      <c r="B48" s="32">
        <v>401.03</v>
      </c>
      <c r="C48" s="32">
        <v>342.09</v>
      </c>
      <c r="D48" s="15">
        <v>9.2690678155494394E-3</v>
      </c>
      <c r="E48" s="15">
        <v>9.6343820564572993E-3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401.03</v>
      </c>
      <c r="M48" s="32">
        <v>342.09</v>
      </c>
      <c r="N48" s="33">
        <v>0.85302845173677699</v>
      </c>
      <c r="O48" s="33">
        <v>0.90525826694812095</v>
      </c>
      <c r="P48" s="33">
        <v>0.85741590217544394</v>
      </c>
      <c r="Q48" s="33">
        <v>0.86197326625432202</v>
      </c>
      <c r="R48" s="32">
        <v>363.03572279420501</v>
      </c>
      <c r="S48" s="32">
        <v>344.27045982760399</v>
      </c>
      <c r="T48" s="32">
        <v>345.982211663371</v>
      </c>
      <c r="U48" s="15">
        <v>5.9427378986929201E-2</v>
      </c>
      <c r="V48" s="15">
        <v>6.3537085557274497E-3</v>
      </c>
      <c r="W48" s="15">
        <v>1.1313502021199301E-2</v>
      </c>
      <c r="X48" s="33">
        <v>0.85302845173677699</v>
      </c>
      <c r="Y48" s="33">
        <v>0.90525826694812095</v>
      </c>
      <c r="Z48" s="33">
        <v>0.85741590217544394</v>
      </c>
      <c r="AA48" s="33">
        <v>0.86197326625432202</v>
      </c>
      <c r="AB48" s="32">
        <v>363.03572279420501</v>
      </c>
      <c r="AC48" s="32">
        <v>344.27045982760399</v>
      </c>
      <c r="AD48" s="32">
        <v>345.982211663371</v>
      </c>
      <c r="AE48" s="15">
        <v>5.9427378986929201E-2</v>
      </c>
      <c r="AF48" s="15">
        <v>6.3537085557274497E-3</v>
      </c>
      <c r="AG48" s="15">
        <v>1.1313502021199301E-2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7">
        <f t="shared" si="8"/>
        <v>0</v>
      </c>
      <c r="AP48" s="27">
        <f t="shared" si="9"/>
        <v>0</v>
      </c>
      <c r="AQ48" s="27">
        <f t="shared" si="16"/>
        <v>0</v>
      </c>
      <c r="AR48" s="28">
        <f t="shared" si="17"/>
        <v>0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7">
        <f t="shared" si="12"/>
        <v>0</v>
      </c>
      <c r="BA48" s="27">
        <f t="shared" si="13"/>
        <v>0</v>
      </c>
      <c r="BB48" s="27">
        <f t="shared" si="20"/>
        <v>0</v>
      </c>
      <c r="BC48" s="28">
        <f t="shared" si="21"/>
        <v>0</v>
      </c>
      <c r="BE48" s="28">
        <f t="shared" si="22"/>
        <v>0</v>
      </c>
      <c r="BF48" s="28">
        <f t="shared" si="23"/>
        <v>0</v>
      </c>
      <c r="BH48" s="28"/>
    </row>
    <row r="49" spans="1:60" x14ac:dyDescent="0.25">
      <c r="A49" s="1">
        <v>46093</v>
      </c>
      <c r="B49" s="32">
        <v>388.13</v>
      </c>
      <c r="C49" s="32">
        <v>330.19</v>
      </c>
      <c r="D49" s="15">
        <v>-3.2695902423369401E-2</v>
      </c>
      <c r="E49" s="15">
        <v>-3.5405613985893099E-2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388.13</v>
      </c>
      <c r="M49" s="32">
        <v>330.19</v>
      </c>
      <c r="N49" s="33">
        <v>0.85072011954757398</v>
      </c>
      <c r="O49" s="33">
        <v>0.90525826694812095</v>
      </c>
      <c r="P49" s="33">
        <v>0.85588807432048797</v>
      </c>
      <c r="Q49" s="33">
        <v>0.86108866371634296</v>
      </c>
      <c r="R49" s="32">
        <v>351.35789115057401</v>
      </c>
      <c r="S49" s="32">
        <v>332.78883411135502</v>
      </c>
      <c r="T49" s="32">
        <v>334.55768383128998</v>
      </c>
      <c r="U49" s="15">
        <v>6.2137090549452802E-2</v>
      </c>
      <c r="V49" s="15">
        <v>7.8399106846191204E-3</v>
      </c>
      <c r="W49" s="15">
        <v>1.3141066275494001E-2</v>
      </c>
      <c r="X49" s="33">
        <v>0.85072011954757398</v>
      </c>
      <c r="Y49" s="33">
        <v>0.90525826694812095</v>
      </c>
      <c r="Z49" s="33">
        <v>0.85588807432048797</v>
      </c>
      <c r="AA49" s="33">
        <v>0.86108866371634296</v>
      </c>
      <c r="AB49" s="32">
        <v>351.35789115057401</v>
      </c>
      <c r="AC49" s="32">
        <v>332.78883411135502</v>
      </c>
      <c r="AD49" s="32">
        <v>334.55768383128998</v>
      </c>
      <c r="AE49" s="15">
        <v>6.2137090549452802E-2</v>
      </c>
      <c r="AF49" s="15">
        <v>7.8399106846191204E-3</v>
      </c>
      <c r="AG49" s="15">
        <v>1.3141066275494001E-2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7">
        <f t="shared" si="8"/>
        <v>0</v>
      </c>
      <c r="AP49" s="27">
        <f t="shared" si="9"/>
        <v>0</v>
      </c>
      <c r="AQ49" s="27">
        <f t="shared" si="16"/>
        <v>0</v>
      </c>
      <c r="AR49" s="28">
        <f t="shared" si="17"/>
        <v>0</v>
      </c>
      <c r="AT49" s="12"/>
      <c r="AU49">
        <f t="shared" si="10"/>
        <v>0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7">
        <f t="shared" si="12"/>
        <v>0</v>
      </c>
      <c r="BA49" s="27">
        <f t="shared" si="13"/>
        <v>0</v>
      </c>
      <c r="BB49" s="27">
        <f t="shared" si="20"/>
        <v>0</v>
      </c>
      <c r="BC49" s="28">
        <f t="shared" si="21"/>
        <v>0</v>
      </c>
      <c r="BE49" s="28">
        <f t="shared" si="22"/>
        <v>0</v>
      </c>
      <c r="BF49" s="28">
        <f t="shared" si="23"/>
        <v>0</v>
      </c>
      <c r="BH49" s="28"/>
    </row>
    <row r="50" spans="1:60" x14ac:dyDescent="0.25">
      <c r="A50" s="1">
        <v>46094</v>
      </c>
      <c r="B50" s="32">
        <v>387.33</v>
      </c>
      <c r="C50" s="32">
        <v>331.32</v>
      </c>
      <c r="D50" s="15">
        <v>-2.0632921976932801E-3</v>
      </c>
      <c r="E50" s="15">
        <v>3.4164293785796601E-3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387.33</v>
      </c>
      <c r="M50" s="32">
        <v>331.32</v>
      </c>
      <c r="N50" s="33">
        <v>0.85539462473859496</v>
      </c>
      <c r="O50" s="33">
        <v>0.90525826694812095</v>
      </c>
      <c r="P50" s="33">
        <v>0.85473560579550401</v>
      </c>
      <c r="Q50" s="33">
        <v>0.86058194276051703</v>
      </c>
      <c r="R50" s="32">
        <v>350.63368453701599</v>
      </c>
      <c r="S50" s="32">
        <v>331.511127826554</v>
      </c>
      <c r="T50" s="32">
        <v>333.52547211725101</v>
      </c>
      <c r="U50" s="15">
        <v>5.66573689731798E-2</v>
      </c>
      <c r="V50" s="15">
        <v>5.7670143669475305E-4</v>
      </c>
      <c r="W50" s="15">
        <v>6.6345648716242796E-3</v>
      </c>
      <c r="X50" s="33">
        <v>0.85539462473859496</v>
      </c>
      <c r="Y50" s="33">
        <v>0.90525826694812095</v>
      </c>
      <c r="Z50" s="33">
        <v>0.85473560579550401</v>
      </c>
      <c r="AA50" s="33">
        <v>0.86058194276051703</v>
      </c>
      <c r="AB50" s="32">
        <v>350.63368453701599</v>
      </c>
      <c r="AC50" s="32">
        <v>331.511127826554</v>
      </c>
      <c r="AD50" s="32">
        <v>333.52547211725101</v>
      </c>
      <c r="AE50" s="15">
        <v>5.66573689731798E-2</v>
      </c>
      <c r="AF50" s="15">
        <v>5.7670143669475305E-4</v>
      </c>
      <c r="AG50" s="15">
        <v>6.6345648716242796E-3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7">
        <f t="shared" si="8"/>
        <v>0</v>
      </c>
      <c r="AP50" s="27">
        <f t="shared" si="9"/>
        <v>0</v>
      </c>
      <c r="AQ50" s="27">
        <f t="shared" si="16"/>
        <v>0</v>
      </c>
      <c r="AR50" s="28">
        <f t="shared" si="17"/>
        <v>0</v>
      </c>
      <c r="AT50" s="12"/>
      <c r="AU50">
        <f t="shared" si="10"/>
        <v>0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7">
        <f t="shared" si="12"/>
        <v>0</v>
      </c>
      <c r="BA50" s="27">
        <f t="shared" si="13"/>
        <v>0</v>
      </c>
      <c r="BB50" s="27">
        <f t="shared" si="20"/>
        <v>0</v>
      </c>
      <c r="BC50" s="28">
        <f t="shared" si="21"/>
        <v>0</v>
      </c>
      <c r="BE50" s="28">
        <f t="shared" si="22"/>
        <v>0</v>
      </c>
      <c r="BF50" s="28">
        <f t="shared" si="23"/>
        <v>0</v>
      </c>
      <c r="BH50" s="28"/>
    </row>
    <row r="51" spans="1:60" x14ac:dyDescent="0.25">
      <c r="A51" s="1">
        <v>46097</v>
      </c>
      <c r="B51" s="32">
        <v>393.92</v>
      </c>
      <c r="C51" s="32">
        <v>337.83</v>
      </c>
      <c r="D51" s="15">
        <v>1.68708001413518E-2</v>
      </c>
      <c r="E51" s="15">
        <v>1.9458134646980398E-2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393.92</v>
      </c>
      <c r="M51" s="32">
        <v>337.83</v>
      </c>
      <c r="N51" s="33">
        <v>0.85761068237205496</v>
      </c>
      <c r="O51" s="33">
        <v>0.90525826694812095</v>
      </c>
      <c r="P51" s="33">
        <v>0.85386806604530796</v>
      </c>
      <c r="Q51" s="33">
        <v>0.85996939339045098</v>
      </c>
      <c r="R51" s="32">
        <v>356.599336516204</v>
      </c>
      <c r="S51" s="32">
        <v>336.69744983496503</v>
      </c>
      <c r="T51" s="32">
        <v>339.00043889222297</v>
      </c>
      <c r="U51" s="15">
        <v>5.4070034467551098E-2</v>
      </c>
      <c r="V51" s="15">
        <v>-3.3580582364257702E-3</v>
      </c>
      <c r="W51" s="15">
        <v>3.4585916698934901E-3</v>
      </c>
      <c r="X51" s="33">
        <v>0.85761068237205496</v>
      </c>
      <c r="Y51" s="33">
        <v>0.90525826694812095</v>
      </c>
      <c r="Z51" s="33">
        <v>0.85386806604530796</v>
      </c>
      <c r="AA51" s="33">
        <v>0.85996939339045098</v>
      </c>
      <c r="AB51" s="32">
        <v>356.599336516204</v>
      </c>
      <c r="AC51" s="32">
        <v>336.69744983496503</v>
      </c>
      <c r="AD51" s="32">
        <v>339.00043889222297</v>
      </c>
      <c r="AE51" s="15">
        <v>5.4070034467551098E-2</v>
      </c>
      <c r="AF51" s="15">
        <v>-3.3580582364257702E-3</v>
      </c>
      <c r="AG51" s="15">
        <v>3.4585916698934901E-3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7">
        <f t="shared" si="8"/>
        <v>0</v>
      </c>
      <c r="AP51" s="27">
        <f t="shared" si="9"/>
        <v>0</v>
      </c>
      <c r="AQ51" s="27">
        <f t="shared" si="16"/>
        <v>0</v>
      </c>
      <c r="AR51" s="28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7">
        <f t="shared" si="12"/>
        <v>0</v>
      </c>
      <c r="BA51" s="27">
        <f t="shared" si="13"/>
        <v>0</v>
      </c>
      <c r="BB51" s="27">
        <f t="shared" si="20"/>
        <v>0</v>
      </c>
      <c r="BC51" s="28">
        <f t="shared" si="21"/>
        <v>0</v>
      </c>
      <c r="BE51" s="28">
        <f t="shared" si="22"/>
        <v>0</v>
      </c>
      <c r="BF51" s="28">
        <f t="shared" si="23"/>
        <v>0</v>
      </c>
      <c r="BH51" s="28"/>
    </row>
    <row r="52" spans="1:60" x14ac:dyDescent="0.25">
      <c r="A52" s="1">
        <v>46098</v>
      </c>
      <c r="B52" s="32">
        <v>396.88</v>
      </c>
      <c r="C52" s="32">
        <v>340.25</v>
      </c>
      <c r="D52" s="15">
        <v>7.4861249967046999E-3</v>
      </c>
      <c r="E52" s="15">
        <v>7.1378311545315602E-3</v>
      </c>
      <c r="F52" s="32">
        <v>0</v>
      </c>
      <c r="G52" s="32">
        <v>0</v>
      </c>
      <c r="H52" s="32">
        <v>0.20794399999999999</v>
      </c>
      <c r="I52" s="32">
        <v>0.20794399999999999</v>
      </c>
      <c r="J52" s="32">
        <v>0</v>
      </c>
      <c r="K52" s="32">
        <v>0</v>
      </c>
      <c r="L52" s="32">
        <v>396.88</v>
      </c>
      <c r="M52" s="32">
        <v>340.25</v>
      </c>
      <c r="N52" s="33">
        <v>0.85731203386414001</v>
      </c>
      <c r="O52" s="33">
        <v>0.90525826694812095</v>
      </c>
      <c r="P52" s="33">
        <v>0.85399092288643497</v>
      </c>
      <c r="Q52" s="33">
        <v>0.85938820850173403</v>
      </c>
      <c r="R52" s="32">
        <v>359.27890098636999</v>
      </c>
      <c r="S52" s="32">
        <v>338.88315805206202</v>
      </c>
      <c r="T52" s="32">
        <v>341.30465284880199</v>
      </c>
      <c r="U52" s="15">
        <v>5.44183283097242E-2</v>
      </c>
      <c r="V52" s="15">
        <v>-4.0252600753709396E-3</v>
      </c>
      <c r="W52" s="15">
        <v>3.0948470124579699E-3</v>
      </c>
      <c r="X52" s="33">
        <v>0.85731203386414001</v>
      </c>
      <c r="Y52" s="33">
        <v>0.90525826694812095</v>
      </c>
      <c r="Z52" s="33">
        <v>0.85399092288643497</v>
      </c>
      <c r="AA52" s="33">
        <v>0.85938820850173403</v>
      </c>
      <c r="AB52" s="32">
        <v>359.27890098636999</v>
      </c>
      <c r="AC52" s="32">
        <v>338.88315805206202</v>
      </c>
      <c r="AD52" s="32">
        <v>341.30465284880199</v>
      </c>
      <c r="AE52" s="15">
        <v>5.44183283097242E-2</v>
      </c>
      <c r="AF52" s="15">
        <v>-4.0252600753709396E-3</v>
      </c>
      <c r="AG52" s="15">
        <v>3.0948470124579699E-3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7">
        <f t="shared" si="8"/>
        <v>0</v>
      </c>
      <c r="AP52" s="27">
        <f t="shared" si="9"/>
        <v>0</v>
      </c>
      <c r="AQ52" s="27">
        <f t="shared" si="16"/>
        <v>0</v>
      </c>
      <c r="AR52" s="28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7">
        <f t="shared" si="12"/>
        <v>0</v>
      </c>
      <c r="BA52" s="27">
        <f t="shared" si="13"/>
        <v>0</v>
      </c>
      <c r="BB52" s="27">
        <f t="shared" si="20"/>
        <v>0</v>
      </c>
      <c r="BC52" s="28">
        <f t="shared" si="21"/>
        <v>0</v>
      </c>
      <c r="BE52" s="28">
        <f t="shared" si="22"/>
        <v>0</v>
      </c>
      <c r="BF52" s="28">
        <f t="shared" si="23"/>
        <v>0</v>
      </c>
      <c r="BH52" s="28"/>
    </row>
    <row r="53" spans="1:60" x14ac:dyDescent="0.25">
      <c r="A53" s="1">
        <v>46099</v>
      </c>
      <c r="B53" s="32">
        <v>393.67</v>
      </c>
      <c r="C53" s="32">
        <v>338.29</v>
      </c>
      <c r="D53" s="15">
        <v>-8.12097309888094E-3</v>
      </c>
      <c r="E53" s="15">
        <v>-5.7771257443235699E-3</v>
      </c>
      <c r="F53" s="32">
        <v>0</v>
      </c>
      <c r="G53" s="32">
        <v>0</v>
      </c>
      <c r="H53" s="32">
        <v>0</v>
      </c>
      <c r="I53" s="32">
        <v>0.20794399999999999</v>
      </c>
      <c r="J53" s="32">
        <v>0</v>
      </c>
      <c r="K53" s="32">
        <v>0</v>
      </c>
      <c r="L53" s="32">
        <v>393.67</v>
      </c>
      <c r="M53" s="32">
        <v>338.29</v>
      </c>
      <c r="N53" s="33">
        <v>0.85932379912109103</v>
      </c>
      <c r="O53" s="33">
        <v>0.90525826694812095</v>
      </c>
      <c r="P53" s="33">
        <v>0.85434575331219997</v>
      </c>
      <c r="Q53" s="33">
        <v>0.85897541409225697</v>
      </c>
      <c r="R53" s="32">
        <v>356.37302194946699</v>
      </c>
      <c r="S53" s="32">
        <v>336.19060661270299</v>
      </c>
      <c r="T53" s="32">
        <v>338.31535604087702</v>
      </c>
      <c r="U53" s="15">
        <v>5.2074480955166702E-2</v>
      </c>
      <c r="V53" s="15">
        <v>-6.2252350819946099E-3</v>
      </c>
      <c r="W53" s="15">
        <v>7.4950754271501803E-5</v>
      </c>
      <c r="X53" s="33">
        <v>0.85932379912109103</v>
      </c>
      <c r="Y53" s="33">
        <v>0.90525826694812095</v>
      </c>
      <c r="Z53" s="33">
        <v>0.85434575331219997</v>
      </c>
      <c r="AA53" s="33">
        <v>0.85897541409225697</v>
      </c>
      <c r="AB53" s="32">
        <v>356.37302194946699</v>
      </c>
      <c r="AC53" s="32">
        <v>336.19060661270299</v>
      </c>
      <c r="AD53" s="32">
        <v>338.31535604087702</v>
      </c>
      <c r="AE53" s="15">
        <v>5.2074480955166702E-2</v>
      </c>
      <c r="AF53" s="15">
        <v>-6.2252350819946099E-3</v>
      </c>
      <c r="AG53" s="15">
        <v>7.4950754271501803E-5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7">
        <f t="shared" si="8"/>
        <v>0</v>
      </c>
      <c r="AP53" s="27">
        <f t="shared" si="9"/>
        <v>0</v>
      </c>
      <c r="AQ53" s="27">
        <f t="shared" si="16"/>
        <v>0</v>
      </c>
      <c r="AR53" s="28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7">
        <f t="shared" si="12"/>
        <v>0</v>
      </c>
      <c r="BA53" s="27">
        <f t="shared" si="13"/>
        <v>0</v>
      </c>
      <c r="BB53" s="27">
        <f t="shared" si="20"/>
        <v>0</v>
      </c>
      <c r="BC53" s="28">
        <f t="shared" si="21"/>
        <v>0</v>
      </c>
      <c r="BE53" s="28">
        <f t="shared" si="22"/>
        <v>0</v>
      </c>
      <c r="BF53" s="28">
        <f t="shared" si="23"/>
        <v>0</v>
      </c>
      <c r="BH53" s="28"/>
    </row>
    <row r="54" spans="1:60" x14ac:dyDescent="0.25">
      <c r="A54" s="1">
        <v>46100</v>
      </c>
      <c r="B54" s="32">
        <v>394.92</v>
      </c>
      <c r="C54" s="32">
        <v>340.2</v>
      </c>
      <c r="D54" s="15">
        <v>3.1702178493364401E-3</v>
      </c>
      <c r="E54" s="15">
        <v>5.6301641745094997E-3</v>
      </c>
      <c r="F54" s="32">
        <v>0</v>
      </c>
      <c r="G54" s="32">
        <v>0</v>
      </c>
      <c r="H54" s="32">
        <v>0</v>
      </c>
      <c r="I54" s="32">
        <v>0.20794399999999999</v>
      </c>
      <c r="J54" s="32">
        <v>0</v>
      </c>
      <c r="K54" s="32">
        <v>0</v>
      </c>
      <c r="L54" s="32">
        <v>394.92</v>
      </c>
      <c r="M54" s="32">
        <v>340.2</v>
      </c>
      <c r="N54" s="33">
        <v>0.86144029170464897</v>
      </c>
      <c r="O54" s="33">
        <v>0.90525826694812095</v>
      </c>
      <c r="P54" s="33">
        <v>0.85505662199195998</v>
      </c>
      <c r="Q54" s="33">
        <v>0.85867346475745099</v>
      </c>
      <c r="R54" s="32">
        <v>357.50459478315202</v>
      </c>
      <c r="S54" s="32">
        <v>337.39822489805402</v>
      </c>
      <c r="T54" s="32">
        <v>339.22657053331397</v>
      </c>
      <c r="U54" s="15">
        <v>4.9614534629993698E-2</v>
      </c>
      <c r="V54" s="15">
        <v>-8.2697709839046896E-3</v>
      </c>
      <c r="W54" s="15">
        <v>-2.8654461716822199E-3</v>
      </c>
      <c r="X54" s="33">
        <v>0.86144029170464897</v>
      </c>
      <c r="Y54" s="33">
        <v>0.90525826694812095</v>
      </c>
      <c r="Z54" s="33">
        <v>0.85505662199195998</v>
      </c>
      <c r="AA54" s="33">
        <v>0.85867346475745099</v>
      </c>
      <c r="AB54" s="32">
        <v>357.50459478315202</v>
      </c>
      <c r="AC54" s="32">
        <v>337.39822489805402</v>
      </c>
      <c r="AD54" s="32">
        <v>339.22657053331397</v>
      </c>
      <c r="AE54" s="15">
        <v>4.9614534629993698E-2</v>
      </c>
      <c r="AF54" s="15">
        <v>-8.2697709839046896E-3</v>
      </c>
      <c r="AG54" s="15">
        <v>-2.8654461716822199E-3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7">
        <f t="shared" si="8"/>
        <v>0</v>
      </c>
      <c r="AP54" s="27">
        <f t="shared" si="9"/>
        <v>0</v>
      </c>
      <c r="AQ54" s="27">
        <f t="shared" si="16"/>
        <v>0</v>
      </c>
      <c r="AR54" s="28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7">
        <f t="shared" si="12"/>
        <v>0</v>
      </c>
      <c r="BA54" s="27">
        <f t="shared" si="13"/>
        <v>0</v>
      </c>
      <c r="BB54" s="27">
        <f t="shared" si="20"/>
        <v>0</v>
      </c>
      <c r="BC54" s="28">
        <f t="shared" si="21"/>
        <v>0</v>
      </c>
      <c r="BE54" s="28">
        <f t="shared" si="22"/>
        <v>0</v>
      </c>
      <c r="BF54" s="28">
        <f t="shared" si="23"/>
        <v>0</v>
      </c>
      <c r="BH54" s="28"/>
    </row>
    <row r="55" spans="1:60" x14ac:dyDescent="0.25">
      <c r="A55" s="1">
        <v>46101</v>
      </c>
      <c r="B55" s="32">
        <v>384.74</v>
      </c>
      <c r="C55" s="32">
        <v>332.51</v>
      </c>
      <c r="D55" s="15">
        <v>-2.6115431265213498E-2</v>
      </c>
      <c r="E55" s="15">
        <v>-2.2863745130132E-2</v>
      </c>
      <c r="F55" s="32">
        <v>0</v>
      </c>
      <c r="G55" s="32">
        <v>0</v>
      </c>
      <c r="H55" s="32">
        <v>0</v>
      </c>
      <c r="I55" s="32">
        <v>0.20794399999999999</v>
      </c>
      <c r="J55" s="32">
        <v>0</v>
      </c>
      <c r="K55" s="32">
        <v>0</v>
      </c>
      <c r="L55" s="32">
        <v>384.74</v>
      </c>
      <c r="M55" s="32">
        <v>332.51</v>
      </c>
      <c r="N55" s="33">
        <v>0.86424598430108601</v>
      </c>
      <c r="O55" s="33">
        <v>0.90525826694812095</v>
      </c>
      <c r="P55" s="33">
        <v>0.85647228621984095</v>
      </c>
      <c r="Q55" s="33">
        <v>0.85858407493797695</v>
      </c>
      <c r="R55" s="32">
        <v>348.28906562562003</v>
      </c>
      <c r="S55" s="32">
        <v>328.97448474518598</v>
      </c>
      <c r="T55" s="32">
        <v>330.36602883078098</v>
      </c>
      <c r="U55" s="15">
        <v>4.63628484949122E-2</v>
      </c>
      <c r="V55" s="15">
        <v>-1.06897410397188E-2</v>
      </c>
      <c r="W55" s="15">
        <v>-6.46871677974299E-3</v>
      </c>
      <c r="X55" s="33">
        <v>0.86424598430108601</v>
      </c>
      <c r="Y55" s="33">
        <v>0.90525826694812095</v>
      </c>
      <c r="Z55" s="33">
        <v>0.85647228621984095</v>
      </c>
      <c r="AA55" s="33">
        <v>0.85858407493797695</v>
      </c>
      <c r="AB55" s="32">
        <v>348.28906562562003</v>
      </c>
      <c r="AC55" s="32">
        <v>328.97448474518598</v>
      </c>
      <c r="AD55" s="32">
        <v>330.36602883078098</v>
      </c>
      <c r="AE55" s="15">
        <v>4.63628484949122E-2</v>
      </c>
      <c r="AF55" s="15">
        <v>-1.06897410397188E-2</v>
      </c>
      <c r="AG55" s="15">
        <v>-6.46871677974299E-3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7">
        <f t="shared" si="8"/>
        <v>0</v>
      </c>
      <c r="AP55" s="27">
        <f t="shared" si="9"/>
        <v>0</v>
      </c>
      <c r="AQ55" s="27">
        <f t="shared" si="16"/>
        <v>0</v>
      </c>
      <c r="AR55" s="28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7">
        <f t="shared" si="12"/>
        <v>0</v>
      </c>
      <c r="BA55" s="27">
        <f t="shared" si="13"/>
        <v>0</v>
      </c>
      <c r="BB55" s="27">
        <f t="shared" si="20"/>
        <v>0</v>
      </c>
      <c r="BC55" s="28">
        <f t="shared" si="21"/>
        <v>0</v>
      </c>
      <c r="BE55" s="28">
        <f t="shared" si="22"/>
        <v>0</v>
      </c>
      <c r="BF55" s="28">
        <f t="shared" si="23"/>
        <v>0</v>
      </c>
      <c r="BH55" s="28"/>
    </row>
    <row r="56" spans="1:60" x14ac:dyDescent="0.25">
      <c r="A56" s="1">
        <v>46104</v>
      </c>
      <c r="B56" s="32">
        <v>391.36</v>
      </c>
      <c r="C56" s="32">
        <v>336.59</v>
      </c>
      <c r="D56" s="15">
        <v>1.70600710207722E-2</v>
      </c>
      <c r="E56" s="15">
        <v>1.21956376305212E-2</v>
      </c>
      <c r="F56" s="32">
        <v>0</v>
      </c>
      <c r="G56" s="32">
        <v>0</v>
      </c>
      <c r="H56" s="32">
        <v>0</v>
      </c>
      <c r="I56" s="32">
        <v>0.20794399999999999</v>
      </c>
      <c r="J56" s="32">
        <v>0</v>
      </c>
      <c r="K56" s="32">
        <v>0</v>
      </c>
      <c r="L56" s="32">
        <v>391.36</v>
      </c>
      <c r="M56" s="32">
        <v>336.59</v>
      </c>
      <c r="N56" s="33">
        <v>0.86005212591986901</v>
      </c>
      <c r="O56" s="33">
        <v>0.90525826694812095</v>
      </c>
      <c r="P56" s="33">
        <v>0.85718449985145995</v>
      </c>
      <c r="Q56" s="33">
        <v>0.85837557873445502</v>
      </c>
      <c r="R56" s="32">
        <v>354.28187535281597</v>
      </c>
      <c r="S56" s="32">
        <v>335.18899393499697</v>
      </c>
      <c r="T56" s="32">
        <v>336.01546356772599</v>
      </c>
      <c r="U56" s="15">
        <v>5.1227281885163199E-2</v>
      </c>
      <c r="V56" s="15">
        <v>-4.1710387160820497E-3</v>
      </c>
      <c r="W56" s="15">
        <v>-1.7083910349533101E-3</v>
      </c>
      <c r="X56" s="33">
        <v>0.86005212591986901</v>
      </c>
      <c r="Y56" s="33">
        <v>0.90525826694812095</v>
      </c>
      <c r="Z56" s="33">
        <v>0.85718449985145995</v>
      </c>
      <c r="AA56" s="33">
        <v>0.85837557873445502</v>
      </c>
      <c r="AB56" s="32">
        <v>354.28187535281597</v>
      </c>
      <c r="AC56" s="32">
        <v>335.18899393499697</v>
      </c>
      <c r="AD56" s="32">
        <v>336.01546356772599</v>
      </c>
      <c r="AE56" s="15">
        <v>5.1227281885163199E-2</v>
      </c>
      <c r="AF56" s="15">
        <v>-4.1710387160820497E-3</v>
      </c>
      <c r="AG56" s="15">
        <v>-1.7083910349533101E-3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7">
        <f t="shared" si="8"/>
        <v>0</v>
      </c>
      <c r="AP56" s="27">
        <f t="shared" si="9"/>
        <v>0</v>
      </c>
      <c r="AQ56" s="27">
        <f t="shared" si="16"/>
        <v>0</v>
      </c>
      <c r="AR56" s="28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7">
        <f t="shared" si="12"/>
        <v>0</v>
      </c>
      <c r="BA56" s="27">
        <f t="shared" si="13"/>
        <v>0</v>
      </c>
      <c r="BB56" s="27">
        <f t="shared" si="20"/>
        <v>0</v>
      </c>
      <c r="BC56" s="28">
        <f t="shared" si="21"/>
        <v>0</v>
      </c>
      <c r="BE56" s="28">
        <f t="shared" si="22"/>
        <v>0</v>
      </c>
      <c r="BF56" s="28">
        <f t="shared" si="23"/>
        <v>0</v>
      </c>
      <c r="BH56" s="28"/>
    </row>
    <row r="57" spans="1:60" x14ac:dyDescent="0.25">
      <c r="A57" s="1">
        <v>46105</v>
      </c>
      <c r="B57" s="32">
        <v>394.59</v>
      </c>
      <c r="C57" s="32">
        <v>341.02</v>
      </c>
      <c r="D57" s="15">
        <v>8.2193986499892093E-3</v>
      </c>
      <c r="E57" s="15">
        <v>1.3075554127855001E-2</v>
      </c>
      <c r="F57" s="32">
        <v>0</v>
      </c>
      <c r="G57" s="32">
        <v>0</v>
      </c>
      <c r="H57" s="32">
        <v>0</v>
      </c>
      <c r="I57" s="32">
        <v>0.20794399999999999</v>
      </c>
      <c r="J57" s="32">
        <v>0</v>
      </c>
      <c r="K57" s="32">
        <v>0</v>
      </c>
      <c r="L57" s="32">
        <v>394.59</v>
      </c>
      <c r="M57" s="32">
        <v>341.02</v>
      </c>
      <c r="N57" s="33">
        <v>0.86423883017815895</v>
      </c>
      <c r="O57" s="33">
        <v>0.90525826694812095</v>
      </c>
      <c r="P57" s="33">
        <v>0.85833669434839899</v>
      </c>
      <c r="Q57" s="33">
        <v>0.858401147497872</v>
      </c>
      <c r="R57" s="32">
        <v>357.20585955505902</v>
      </c>
      <c r="S57" s="32">
        <v>338.23643179638702</v>
      </c>
      <c r="T57" s="32">
        <v>338.70641961282797</v>
      </c>
      <c r="U57" s="15">
        <v>4.6371126407297403E-2</v>
      </c>
      <c r="V57" s="15">
        <v>-8.1959732885529997E-3</v>
      </c>
      <c r="W57" s="15">
        <v>-6.8074132617270003E-3</v>
      </c>
      <c r="X57" s="33">
        <v>0.86423883017815895</v>
      </c>
      <c r="Y57" s="33">
        <v>0.90525826694812095</v>
      </c>
      <c r="Z57" s="33">
        <v>0.85833669434839899</v>
      </c>
      <c r="AA57" s="33">
        <v>0.858401147497872</v>
      </c>
      <c r="AB57" s="32">
        <v>357.20585955505902</v>
      </c>
      <c r="AC57" s="32">
        <v>338.23643179638702</v>
      </c>
      <c r="AD57" s="32">
        <v>338.70641961282797</v>
      </c>
      <c r="AE57" s="15">
        <v>4.6371126407297403E-2</v>
      </c>
      <c r="AF57" s="15">
        <v>-8.1959732885529997E-3</v>
      </c>
      <c r="AG57" s="15">
        <v>-6.8074132617270003E-3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7">
        <f t="shared" si="8"/>
        <v>0</v>
      </c>
      <c r="AP57" s="27">
        <f t="shared" si="9"/>
        <v>0</v>
      </c>
      <c r="AQ57" s="27">
        <f t="shared" si="16"/>
        <v>0</v>
      </c>
      <c r="AR57" s="28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7">
        <f t="shared" si="12"/>
        <v>0</v>
      </c>
      <c r="BA57" s="27">
        <f t="shared" si="13"/>
        <v>0</v>
      </c>
      <c r="BB57" s="27">
        <f t="shared" si="20"/>
        <v>0</v>
      </c>
      <c r="BC57" s="28">
        <f t="shared" si="21"/>
        <v>0</v>
      </c>
      <c r="BE57" s="28">
        <f t="shared" si="22"/>
        <v>0</v>
      </c>
      <c r="BF57" s="28">
        <f t="shared" si="23"/>
        <v>0</v>
      </c>
      <c r="BH57" s="28"/>
    </row>
    <row r="58" spans="1:60" x14ac:dyDescent="0.25">
      <c r="A58" s="1">
        <v>46106</v>
      </c>
      <c r="B58" s="32">
        <v>399.02</v>
      </c>
      <c r="C58" s="32">
        <v>345.25</v>
      </c>
      <c r="D58" s="15">
        <v>1.1164289798118201E-2</v>
      </c>
      <c r="E58" s="15">
        <v>1.23276656993959E-2</v>
      </c>
      <c r="F58" s="32">
        <v>0</v>
      </c>
      <c r="G58" s="32">
        <v>0</v>
      </c>
      <c r="H58" s="32">
        <v>0</v>
      </c>
      <c r="I58" s="32">
        <v>0.20794399999999999</v>
      </c>
      <c r="J58" s="32">
        <v>0</v>
      </c>
      <c r="K58" s="32">
        <v>0</v>
      </c>
      <c r="L58" s="32">
        <v>399.02</v>
      </c>
      <c r="M58" s="32">
        <v>345.25</v>
      </c>
      <c r="N58" s="33">
        <v>0.86524484988221095</v>
      </c>
      <c r="O58" s="33">
        <v>0.90525826694812095</v>
      </c>
      <c r="P58" s="33">
        <v>0.85955833416294303</v>
      </c>
      <c r="Q58" s="33">
        <v>0.85848711816919299</v>
      </c>
      <c r="R58" s="32">
        <v>361.216153677639</v>
      </c>
      <c r="S58" s="32">
        <v>342.49350777889799</v>
      </c>
      <c r="T58" s="32">
        <v>342.51922587460098</v>
      </c>
      <c r="U58" s="15">
        <v>4.5207750506019703E-2</v>
      </c>
      <c r="V58" s="15">
        <v>-8.0160901568545901E-3</v>
      </c>
      <c r="W58" s="15">
        <v>-7.9410022221309308E-3</v>
      </c>
      <c r="X58" s="33">
        <v>0.86524484988221095</v>
      </c>
      <c r="Y58" s="33">
        <v>0.90525826694812095</v>
      </c>
      <c r="Z58" s="33">
        <v>0.85955833416294303</v>
      </c>
      <c r="AA58" s="33">
        <v>0.85848711816919299</v>
      </c>
      <c r="AB58" s="32">
        <v>361.216153677639</v>
      </c>
      <c r="AC58" s="32">
        <v>342.49350777889799</v>
      </c>
      <c r="AD58" s="32">
        <v>342.51922587460098</v>
      </c>
      <c r="AE58" s="15">
        <v>4.5207750506019703E-2</v>
      </c>
      <c r="AF58" s="15">
        <v>-8.0160901568545901E-3</v>
      </c>
      <c r="AG58" s="15">
        <v>-7.9410022221309308E-3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7">
        <f t="shared" si="8"/>
        <v>0</v>
      </c>
      <c r="AP58" s="27">
        <f t="shared" si="9"/>
        <v>0</v>
      </c>
      <c r="AQ58" s="27">
        <f t="shared" si="16"/>
        <v>0</v>
      </c>
      <c r="AR58" s="28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7">
        <f t="shared" si="12"/>
        <v>0</v>
      </c>
      <c r="BA58" s="27">
        <f t="shared" si="13"/>
        <v>0</v>
      </c>
      <c r="BB58" s="27">
        <f t="shared" si="20"/>
        <v>0</v>
      </c>
      <c r="BC58" s="28">
        <f t="shared" si="21"/>
        <v>0</v>
      </c>
      <c r="BE58" s="28">
        <f t="shared" si="22"/>
        <v>0</v>
      </c>
      <c r="BF58" s="28">
        <f t="shared" si="23"/>
        <v>0</v>
      </c>
      <c r="BH58" s="28"/>
    </row>
    <row r="59" spans="1:60" x14ac:dyDescent="0.25">
      <c r="A59" s="1">
        <v>46107</v>
      </c>
      <c r="B59" s="32">
        <v>380.84</v>
      </c>
      <c r="C59" s="32">
        <v>328.85</v>
      </c>
      <c r="D59" s="15">
        <v>-4.6632201529424502E-2</v>
      </c>
      <c r="E59" s="15">
        <v>-4.8667072542041299E-2</v>
      </c>
      <c r="F59" s="32">
        <v>0</v>
      </c>
      <c r="G59" s="32">
        <v>0</v>
      </c>
      <c r="H59" s="32">
        <v>0</v>
      </c>
      <c r="I59" s="32">
        <v>0.20794399999999999</v>
      </c>
      <c r="J59" s="32">
        <v>0</v>
      </c>
      <c r="K59" s="32">
        <v>0</v>
      </c>
      <c r="L59" s="32">
        <v>380.84</v>
      </c>
      <c r="M59" s="32">
        <v>328.85</v>
      </c>
      <c r="N59" s="33">
        <v>0.86348597836361696</v>
      </c>
      <c r="O59" s="33">
        <v>0.90525826694812095</v>
      </c>
      <c r="P59" s="33">
        <v>0.86083492004454698</v>
      </c>
      <c r="Q59" s="33">
        <v>0.85836149718251697</v>
      </c>
      <c r="R59" s="32">
        <v>344.75855838452202</v>
      </c>
      <c r="S59" s="32">
        <v>327.35419598261501</v>
      </c>
      <c r="T59" s="32">
        <v>326.946234083555</v>
      </c>
      <c r="U59" s="15">
        <v>4.7242621518636597E-2</v>
      </c>
      <c r="V59" s="15">
        <v>-4.5589669108986102E-3</v>
      </c>
      <c r="W59" s="15">
        <v>-5.8059841316734501E-3</v>
      </c>
      <c r="X59" s="33">
        <v>0.86348597836361696</v>
      </c>
      <c r="Y59" s="33">
        <v>0.90525826694812095</v>
      </c>
      <c r="Z59" s="33">
        <v>0.86083492004454698</v>
      </c>
      <c r="AA59" s="33">
        <v>0.85836149718251697</v>
      </c>
      <c r="AB59" s="32">
        <v>344.75855838452202</v>
      </c>
      <c r="AC59" s="32">
        <v>327.35419598261501</v>
      </c>
      <c r="AD59" s="32">
        <v>326.946234083555</v>
      </c>
      <c r="AE59" s="15">
        <v>4.7242621518636597E-2</v>
      </c>
      <c r="AF59" s="15">
        <v>-4.5589669108986102E-3</v>
      </c>
      <c r="AG59" s="15">
        <v>-5.8059841316734501E-3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7">
        <f t="shared" si="8"/>
        <v>0</v>
      </c>
      <c r="AP59" s="27">
        <f t="shared" si="9"/>
        <v>0</v>
      </c>
      <c r="AQ59" s="27">
        <f t="shared" si="16"/>
        <v>0</v>
      </c>
      <c r="AR59" s="28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7">
        <f t="shared" si="12"/>
        <v>0</v>
      </c>
      <c r="BA59" s="27">
        <f t="shared" si="13"/>
        <v>0</v>
      </c>
      <c r="BB59" s="27">
        <f t="shared" si="20"/>
        <v>0</v>
      </c>
      <c r="BC59" s="28">
        <f t="shared" si="21"/>
        <v>0</v>
      </c>
      <c r="BE59" s="28">
        <f t="shared" si="22"/>
        <v>0</v>
      </c>
      <c r="BF59" s="28">
        <f t="shared" si="23"/>
        <v>0</v>
      </c>
      <c r="BH59" s="28"/>
    </row>
    <row r="60" spans="1:60" x14ac:dyDescent="0.25">
      <c r="A60" s="1">
        <v>46108</v>
      </c>
      <c r="B60" s="32">
        <v>374.25</v>
      </c>
      <c r="C60" s="32">
        <v>323.48</v>
      </c>
      <c r="D60" s="15">
        <v>-1.7455316117752799E-2</v>
      </c>
      <c r="E60" s="15">
        <v>-1.6464431519738601E-2</v>
      </c>
      <c r="F60" s="32">
        <v>0</v>
      </c>
      <c r="G60" s="32">
        <v>0</v>
      </c>
      <c r="H60" s="32">
        <v>0</v>
      </c>
      <c r="I60" s="32">
        <v>0.20794399999999999</v>
      </c>
      <c r="J60" s="32">
        <v>0</v>
      </c>
      <c r="K60" s="32">
        <v>0</v>
      </c>
      <c r="L60" s="32">
        <v>374.25</v>
      </c>
      <c r="M60" s="32">
        <v>323.48</v>
      </c>
      <c r="N60" s="33">
        <v>0.86434201736806904</v>
      </c>
      <c r="O60" s="33">
        <v>0.90525826694812095</v>
      </c>
      <c r="P60" s="33">
        <v>0.86172965930749401</v>
      </c>
      <c r="Q60" s="33">
        <v>0.85823263255149895</v>
      </c>
      <c r="R60" s="32">
        <v>338.79290640533401</v>
      </c>
      <c r="S60" s="32">
        <v>322.16746882667098</v>
      </c>
      <c r="T60" s="32">
        <v>321.24179032055702</v>
      </c>
      <c r="U60" s="15">
        <v>4.6251736920622601E-2</v>
      </c>
      <c r="V60" s="15">
        <v>-4.0657883590685196E-3</v>
      </c>
      <c r="W60" s="15">
        <v>-6.9432077671272097E-3</v>
      </c>
      <c r="X60" s="33">
        <v>0.86434201736806904</v>
      </c>
      <c r="Y60" s="33">
        <v>0.90525826694812095</v>
      </c>
      <c r="Z60" s="33">
        <v>0.86172965930749401</v>
      </c>
      <c r="AA60" s="33">
        <v>0.85823263255149895</v>
      </c>
      <c r="AB60" s="32">
        <v>338.79290640533401</v>
      </c>
      <c r="AC60" s="32">
        <v>322.16746882667098</v>
      </c>
      <c r="AD60" s="32">
        <v>321.24179032055702</v>
      </c>
      <c r="AE60" s="15">
        <v>4.6251736920622601E-2</v>
      </c>
      <c r="AF60" s="15">
        <v>-4.0657883590685196E-3</v>
      </c>
      <c r="AG60" s="15">
        <v>-6.9432077671272097E-3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7">
        <f t="shared" si="8"/>
        <v>0</v>
      </c>
      <c r="AP60" s="27">
        <f t="shared" si="9"/>
        <v>0</v>
      </c>
      <c r="AQ60" s="27">
        <f t="shared" si="16"/>
        <v>0</v>
      </c>
      <c r="AR60" s="28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7">
        <f t="shared" si="12"/>
        <v>0</v>
      </c>
      <c r="BA60" s="27">
        <f t="shared" si="13"/>
        <v>0</v>
      </c>
      <c r="BB60" s="27">
        <f t="shared" si="20"/>
        <v>0</v>
      </c>
      <c r="BC60" s="28">
        <f t="shared" si="21"/>
        <v>0</v>
      </c>
      <c r="BE60" s="28">
        <f t="shared" si="22"/>
        <v>0</v>
      </c>
      <c r="BF60" s="28">
        <f t="shared" si="23"/>
        <v>0</v>
      </c>
      <c r="BH60" s="28"/>
    </row>
    <row r="61" spans="1:60" x14ac:dyDescent="0.25">
      <c r="A61" s="1">
        <v>46111</v>
      </c>
      <c r="B61" s="32">
        <v>362.53</v>
      </c>
      <c r="C61" s="32">
        <v>309.79000000000002</v>
      </c>
      <c r="D61" s="15">
        <v>-3.18167938086244E-2</v>
      </c>
      <c r="E61" s="15">
        <v>-4.3242639655433901E-2</v>
      </c>
      <c r="F61" s="32">
        <v>0</v>
      </c>
      <c r="G61" s="32">
        <v>0</v>
      </c>
      <c r="H61" s="32">
        <v>0</v>
      </c>
      <c r="I61" s="32">
        <v>0.20794399999999999</v>
      </c>
      <c r="J61" s="32">
        <v>0</v>
      </c>
      <c r="K61" s="32">
        <v>0</v>
      </c>
      <c r="L61" s="32">
        <v>362.53</v>
      </c>
      <c r="M61" s="32">
        <v>309.79000000000002</v>
      </c>
      <c r="N61" s="33">
        <v>0.85452238435439798</v>
      </c>
      <c r="O61" s="33">
        <v>0.90525826694812095</v>
      </c>
      <c r="P61" s="33">
        <v>0.86142082950572896</v>
      </c>
      <c r="Q61" s="33">
        <v>0.85764444777551796</v>
      </c>
      <c r="R61" s="32">
        <v>328.18327951670199</v>
      </c>
      <c r="S61" s="32">
        <v>312.402853388746</v>
      </c>
      <c r="T61" s="32">
        <v>311.13507627889499</v>
      </c>
      <c r="U61" s="15">
        <v>5.7677582767432102E-2</v>
      </c>
      <c r="V61" s="15">
        <v>8.3989031184236104E-3</v>
      </c>
      <c r="W61" s="15">
        <v>4.3324981846097699E-3</v>
      </c>
      <c r="X61" s="33">
        <v>0.85452238435439798</v>
      </c>
      <c r="Y61" s="33">
        <v>0.90525826694812095</v>
      </c>
      <c r="Z61" s="33">
        <v>0.86142082950572896</v>
      </c>
      <c r="AA61" s="33">
        <v>0.85764444777551796</v>
      </c>
      <c r="AB61" s="32">
        <v>328.18327951670199</v>
      </c>
      <c r="AC61" s="32">
        <v>312.402853388746</v>
      </c>
      <c r="AD61" s="32">
        <v>311.13507627889499</v>
      </c>
      <c r="AE61" s="15">
        <v>5.7677582767432102E-2</v>
      </c>
      <c r="AF61" s="15">
        <v>8.3989031184236104E-3</v>
      </c>
      <c r="AG61" s="15">
        <v>4.3324981846097699E-3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7">
        <f t="shared" si="8"/>
        <v>0</v>
      </c>
      <c r="AP61" s="27">
        <f t="shared" si="9"/>
        <v>0</v>
      </c>
      <c r="AQ61" s="27">
        <f t="shared" si="16"/>
        <v>0</v>
      </c>
      <c r="AR61" s="28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7">
        <f t="shared" si="12"/>
        <v>0</v>
      </c>
      <c r="BA61" s="27">
        <f t="shared" si="13"/>
        <v>0</v>
      </c>
      <c r="BB61" s="27">
        <f t="shared" si="20"/>
        <v>0</v>
      </c>
      <c r="BC61" s="28">
        <f t="shared" si="21"/>
        <v>0</v>
      </c>
      <c r="BE61" s="28">
        <f t="shared" si="22"/>
        <v>0</v>
      </c>
      <c r="BF61" s="28">
        <f t="shared" si="23"/>
        <v>0</v>
      </c>
      <c r="BH61" s="28"/>
    </row>
    <row r="62" spans="1:60" x14ac:dyDescent="0.25">
      <c r="A62" s="1">
        <v>46112</v>
      </c>
      <c r="B62" s="32">
        <v>383.4</v>
      </c>
      <c r="C62" s="32">
        <v>328.66</v>
      </c>
      <c r="D62" s="15">
        <v>5.5971601120430703E-2</v>
      </c>
      <c r="E62" s="15">
        <v>5.9129133180956299E-2</v>
      </c>
      <c r="F62" s="32">
        <v>0</v>
      </c>
      <c r="G62" s="32">
        <v>0</v>
      </c>
      <c r="H62" s="32">
        <v>0</v>
      </c>
      <c r="I62" s="32">
        <v>0.20794399999999999</v>
      </c>
      <c r="J62" s="32">
        <v>0</v>
      </c>
      <c r="K62" s="32">
        <v>0</v>
      </c>
      <c r="L62" s="32">
        <v>383.4</v>
      </c>
      <c r="M62" s="32">
        <v>328.66</v>
      </c>
      <c r="N62" s="33">
        <v>0.85722483046426701</v>
      </c>
      <c r="O62" s="33">
        <v>0.90525826694812095</v>
      </c>
      <c r="P62" s="33">
        <v>0.86141210916574196</v>
      </c>
      <c r="Q62" s="33">
        <v>0.85770151602608802</v>
      </c>
      <c r="R62" s="32">
        <v>347.07601954790903</v>
      </c>
      <c r="S62" s="32">
        <v>330.26874603249598</v>
      </c>
      <c r="T62" s="32">
        <v>328.82088127713303</v>
      </c>
      <c r="U62" s="15">
        <v>5.4520050706906298E-2</v>
      </c>
      <c r="V62" s="15">
        <v>4.8829231950127897E-3</v>
      </c>
      <c r="W62" s="15">
        <v>4.8938694622508003E-4</v>
      </c>
      <c r="X62" s="33">
        <v>0.85722483046426701</v>
      </c>
      <c r="Y62" s="33">
        <v>0.90525826694812095</v>
      </c>
      <c r="Z62" s="33">
        <v>0.86141210916574196</v>
      </c>
      <c r="AA62" s="33">
        <v>0.85770151602608802</v>
      </c>
      <c r="AB62" s="32">
        <v>347.07601954790903</v>
      </c>
      <c r="AC62" s="32">
        <v>330.26874603249598</v>
      </c>
      <c r="AD62" s="32">
        <v>328.82088127713303</v>
      </c>
      <c r="AE62" s="15">
        <v>5.4520050706906298E-2</v>
      </c>
      <c r="AF62" s="15">
        <v>4.8829231950127897E-3</v>
      </c>
      <c r="AG62" s="15">
        <v>4.8938694622508003E-4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7">
        <f t="shared" si="8"/>
        <v>0</v>
      </c>
      <c r="AP62" s="27">
        <f t="shared" si="9"/>
        <v>0</v>
      </c>
      <c r="AQ62" s="27">
        <f t="shared" si="16"/>
        <v>0</v>
      </c>
      <c r="AR62" s="28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7">
        <f t="shared" si="12"/>
        <v>0</v>
      </c>
      <c r="BA62" s="27">
        <f t="shared" si="13"/>
        <v>0</v>
      </c>
      <c r="BB62" s="27">
        <f t="shared" si="20"/>
        <v>0</v>
      </c>
      <c r="BC62" s="28">
        <f t="shared" si="21"/>
        <v>0</v>
      </c>
      <c r="BE62" s="28">
        <f t="shared" si="22"/>
        <v>0</v>
      </c>
      <c r="BF62" s="28">
        <f t="shared" si="23"/>
        <v>0</v>
      </c>
      <c r="BH62" s="28"/>
    </row>
    <row r="63" spans="1:60" x14ac:dyDescent="0.25">
      <c r="A63" s="1">
        <v>46113</v>
      </c>
      <c r="B63" s="32">
        <v>391.97</v>
      </c>
      <c r="C63" s="32">
        <v>338.54</v>
      </c>
      <c r="D63" s="15">
        <v>2.2106475638057E-2</v>
      </c>
      <c r="E63" s="15">
        <v>2.9618472007807199E-2</v>
      </c>
      <c r="F63" s="32">
        <v>0</v>
      </c>
      <c r="G63" s="32">
        <v>0</v>
      </c>
      <c r="H63" s="32">
        <v>0</v>
      </c>
      <c r="I63" s="32">
        <v>0.20794399999999999</v>
      </c>
      <c r="J63" s="32">
        <v>0</v>
      </c>
      <c r="K63" s="32">
        <v>0</v>
      </c>
      <c r="L63" s="32">
        <v>391.97</v>
      </c>
      <c r="M63" s="32">
        <v>338.54</v>
      </c>
      <c r="N63" s="33">
        <v>0.86368854759292801</v>
      </c>
      <c r="O63" s="33">
        <v>0.90525826694812095</v>
      </c>
      <c r="P63" s="33">
        <v>0.86184858401292497</v>
      </c>
      <c r="Q63" s="33">
        <v>0.85809716866256203</v>
      </c>
      <c r="R63" s="32">
        <v>354.834082895655</v>
      </c>
      <c r="S63" s="32">
        <v>337.64770442969501</v>
      </c>
      <c r="T63" s="32">
        <v>336.193263236745</v>
      </c>
      <c r="U63" s="15">
        <v>4.7008054337155901E-2</v>
      </c>
      <c r="V63" s="15">
        <v>-2.6391964313708699E-3</v>
      </c>
      <c r="W63" s="15">
        <v>-6.95607095047668E-3</v>
      </c>
      <c r="X63" s="33">
        <v>0.86368854759292801</v>
      </c>
      <c r="Y63" s="33">
        <v>0.90525826694812095</v>
      </c>
      <c r="Z63" s="33">
        <v>0.86184858401292497</v>
      </c>
      <c r="AA63" s="33">
        <v>0.85809716866256203</v>
      </c>
      <c r="AB63" s="32">
        <v>354.834082895655</v>
      </c>
      <c r="AC63" s="32">
        <v>337.64770442969501</v>
      </c>
      <c r="AD63" s="32">
        <v>336.193263236745</v>
      </c>
      <c r="AE63" s="15">
        <v>4.7008054337155901E-2</v>
      </c>
      <c r="AF63" s="15">
        <v>-2.6391964313708699E-3</v>
      </c>
      <c r="AG63" s="15">
        <v>-6.95607095047668E-3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7">
        <f t="shared" si="8"/>
        <v>0</v>
      </c>
      <c r="AP63" s="27">
        <f t="shared" si="9"/>
        <v>0</v>
      </c>
      <c r="AQ63" s="27">
        <f t="shared" si="16"/>
        <v>0</v>
      </c>
      <c r="AR63" s="28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7">
        <f t="shared" si="12"/>
        <v>0</v>
      </c>
      <c r="BA63" s="27">
        <f t="shared" si="13"/>
        <v>0</v>
      </c>
      <c r="BB63" s="27">
        <f t="shared" si="20"/>
        <v>0</v>
      </c>
      <c r="BC63" s="28">
        <f t="shared" si="21"/>
        <v>0</v>
      </c>
      <c r="BE63" s="28">
        <f t="shared" si="22"/>
        <v>0</v>
      </c>
      <c r="BF63" s="28">
        <f t="shared" si="23"/>
        <v>0</v>
      </c>
      <c r="BH63" s="28"/>
    </row>
    <row r="64" spans="1:60" x14ac:dyDescent="0.25">
      <c r="A64" s="1">
        <v>46114</v>
      </c>
      <c r="B64" s="32">
        <v>392.32</v>
      </c>
      <c r="C64" s="32">
        <v>339.61</v>
      </c>
      <c r="D64" s="15">
        <v>8.92527058190903E-4</v>
      </c>
      <c r="E64" s="15">
        <v>3.1556466502423602E-3</v>
      </c>
      <c r="F64" s="32">
        <v>0</v>
      </c>
      <c r="G64" s="32">
        <v>0</v>
      </c>
      <c r="H64" s="32">
        <v>0</v>
      </c>
      <c r="I64" s="32">
        <v>0.20794399999999999</v>
      </c>
      <c r="J64" s="32">
        <v>0</v>
      </c>
      <c r="K64" s="32">
        <v>0</v>
      </c>
      <c r="L64" s="32">
        <v>392.32</v>
      </c>
      <c r="M64" s="32">
        <v>339.61</v>
      </c>
      <c r="N64" s="33">
        <v>0.86564539151712805</v>
      </c>
      <c r="O64" s="33">
        <v>0.90525826694812095</v>
      </c>
      <c r="P64" s="33">
        <v>0.86226909399417295</v>
      </c>
      <c r="Q64" s="33">
        <v>0.85866285799306696</v>
      </c>
      <c r="R64" s="32">
        <v>355.15092328908702</v>
      </c>
      <c r="S64" s="32">
        <v>338.12043647995</v>
      </c>
      <c r="T64" s="32">
        <v>336.64868120969601</v>
      </c>
      <c r="U64" s="15">
        <v>4.4744934745104499E-2</v>
      </c>
      <c r="V64" s="15">
        <v>-4.3957474488068599E-3</v>
      </c>
      <c r="W64" s="15">
        <v>-8.7580028204278203E-3</v>
      </c>
      <c r="X64" s="33">
        <v>0.86564539151712805</v>
      </c>
      <c r="Y64" s="33">
        <v>0.90525826694812095</v>
      </c>
      <c r="Z64" s="33">
        <v>0.86226909399417295</v>
      </c>
      <c r="AA64" s="33">
        <v>0.85866285799306696</v>
      </c>
      <c r="AB64" s="32">
        <v>355.15092328908702</v>
      </c>
      <c r="AC64" s="32">
        <v>338.12043647995</v>
      </c>
      <c r="AD64" s="32">
        <v>336.64868120969601</v>
      </c>
      <c r="AE64" s="15">
        <v>4.4744934745104499E-2</v>
      </c>
      <c r="AF64" s="15">
        <v>-4.3957474488068599E-3</v>
      </c>
      <c r="AG64" s="15">
        <v>-8.7580028204278203E-3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7">
        <f t="shared" si="8"/>
        <v>0</v>
      </c>
      <c r="AP64" s="27">
        <f t="shared" si="9"/>
        <v>0</v>
      </c>
      <c r="AQ64" s="27">
        <f t="shared" si="16"/>
        <v>0</v>
      </c>
      <c r="AR64" s="28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7">
        <f t="shared" si="12"/>
        <v>0</v>
      </c>
      <c r="BA64" s="27">
        <f t="shared" si="13"/>
        <v>0</v>
      </c>
      <c r="BB64" s="27">
        <f t="shared" si="20"/>
        <v>0</v>
      </c>
      <c r="BC64" s="28">
        <f t="shared" si="21"/>
        <v>0</v>
      </c>
      <c r="BE64" s="28">
        <f t="shared" si="22"/>
        <v>0</v>
      </c>
      <c r="BF64" s="28">
        <f t="shared" si="23"/>
        <v>0</v>
      </c>
      <c r="BH64" s="28"/>
    </row>
    <row r="65" spans="1:60" x14ac:dyDescent="0.25">
      <c r="A65" s="1">
        <v>46118</v>
      </c>
      <c r="B65" s="32">
        <v>395.98</v>
      </c>
      <c r="C65" s="32">
        <v>344.1</v>
      </c>
      <c r="D65" s="15">
        <v>9.2858716207607304E-3</v>
      </c>
      <c r="E65" s="15">
        <v>1.3134412392241E-2</v>
      </c>
      <c r="F65" s="32">
        <v>0</v>
      </c>
      <c r="G65" s="32">
        <v>0</v>
      </c>
      <c r="H65" s="32">
        <v>0</v>
      </c>
      <c r="I65" s="32">
        <v>0.20794399999999999</v>
      </c>
      <c r="J65" s="32">
        <v>0</v>
      </c>
      <c r="K65" s="32">
        <v>0</v>
      </c>
      <c r="L65" s="32">
        <v>395.98</v>
      </c>
      <c r="M65" s="32">
        <v>344.1</v>
      </c>
      <c r="N65" s="33">
        <v>0.86898328198393804</v>
      </c>
      <c r="O65" s="33">
        <v>0.90525826694812095</v>
      </c>
      <c r="P65" s="33">
        <v>0.86274282376245803</v>
      </c>
      <c r="Q65" s="33">
        <v>0.85960755499114905</v>
      </c>
      <c r="R65" s="32">
        <v>358.46416854611698</v>
      </c>
      <c r="S65" s="32">
        <v>341.44131583981198</v>
      </c>
      <c r="T65" s="32">
        <v>340.01331850809402</v>
      </c>
      <c r="U65" s="15">
        <v>4.0896393973623997E-2</v>
      </c>
      <c r="V65" s="15">
        <v>-7.7564909023314001E-3</v>
      </c>
      <c r="W65" s="15">
        <v>-1.1947523877801999E-2</v>
      </c>
      <c r="X65" s="33">
        <v>0.86898328198393804</v>
      </c>
      <c r="Y65" s="33">
        <v>0.90525826694812095</v>
      </c>
      <c r="Z65" s="33">
        <v>0.86274282376245803</v>
      </c>
      <c r="AA65" s="33">
        <v>0.85960755499114905</v>
      </c>
      <c r="AB65" s="32">
        <v>358.46416854611698</v>
      </c>
      <c r="AC65" s="32">
        <v>341.44131583981198</v>
      </c>
      <c r="AD65" s="32">
        <v>340.01331850809402</v>
      </c>
      <c r="AE65" s="15">
        <v>4.0896393973623997E-2</v>
      </c>
      <c r="AF65" s="15">
        <v>-7.7564909023314001E-3</v>
      </c>
      <c r="AG65" s="15">
        <v>-1.1947523877801999E-2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7">
        <f t="shared" si="8"/>
        <v>0</v>
      </c>
      <c r="AP65" s="27">
        <f t="shared" si="9"/>
        <v>0</v>
      </c>
      <c r="AQ65" s="27">
        <f t="shared" si="16"/>
        <v>0</v>
      </c>
      <c r="AR65" s="28">
        <f t="shared" si="17"/>
        <v>0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7">
        <f t="shared" si="12"/>
        <v>0</v>
      </c>
      <c r="BA65" s="27">
        <f t="shared" si="13"/>
        <v>0</v>
      </c>
      <c r="BB65" s="27">
        <f t="shared" si="20"/>
        <v>0</v>
      </c>
      <c r="BC65" s="28">
        <f t="shared" si="21"/>
        <v>0</v>
      </c>
      <c r="BE65" s="28">
        <f t="shared" si="22"/>
        <v>0</v>
      </c>
      <c r="BF65" s="28">
        <f t="shared" si="23"/>
        <v>0</v>
      </c>
      <c r="BH65" s="28"/>
    </row>
    <row r="66" spans="1:60" x14ac:dyDescent="0.25">
      <c r="A66" s="1">
        <v>46119</v>
      </c>
      <c r="B66" s="32">
        <v>399.9</v>
      </c>
      <c r="C66" s="32">
        <v>347.76</v>
      </c>
      <c r="D66" s="15">
        <v>9.8508109242201308E-3</v>
      </c>
      <c r="E66" s="15">
        <v>1.0580273877101899E-2</v>
      </c>
      <c r="F66" s="32">
        <v>0</v>
      </c>
      <c r="G66" s="32">
        <v>0</v>
      </c>
      <c r="H66" s="32">
        <v>0</v>
      </c>
      <c r="I66" s="32">
        <v>0.20794399999999999</v>
      </c>
      <c r="J66" s="32">
        <v>0</v>
      </c>
      <c r="K66" s="32">
        <v>0</v>
      </c>
      <c r="L66" s="32">
        <v>399.9</v>
      </c>
      <c r="M66" s="32">
        <v>347.76</v>
      </c>
      <c r="N66" s="33">
        <v>0.86961740435108703</v>
      </c>
      <c r="O66" s="33">
        <v>0.90525826694812095</v>
      </c>
      <c r="P66" s="33">
        <v>0.86369935160557998</v>
      </c>
      <c r="Q66" s="33">
        <v>0.86044192572851996</v>
      </c>
      <c r="R66" s="32">
        <v>362.01278095255299</v>
      </c>
      <c r="S66" s="32">
        <v>345.01085522260701</v>
      </c>
      <c r="T66" s="32">
        <v>343.75706124096001</v>
      </c>
      <c r="U66" s="15">
        <v>4.0166931020742203E-2</v>
      </c>
      <c r="V66" s="15">
        <v>-7.9367057308167704E-3</v>
      </c>
      <c r="W66" s="15">
        <v>-1.15773961188493E-2</v>
      </c>
      <c r="X66" s="33">
        <v>0.86961740435108703</v>
      </c>
      <c r="Y66" s="33">
        <v>0.90525826694812095</v>
      </c>
      <c r="Z66" s="33">
        <v>0.86369935160557998</v>
      </c>
      <c r="AA66" s="33">
        <v>0.86044192572851996</v>
      </c>
      <c r="AB66" s="32">
        <v>362.01278095255299</v>
      </c>
      <c r="AC66" s="32">
        <v>345.01085522260701</v>
      </c>
      <c r="AD66" s="32">
        <v>343.75706124096001</v>
      </c>
      <c r="AE66" s="15">
        <v>4.0166931020742203E-2</v>
      </c>
      <c r="AF66" s="15">
        <v>-7.9367057308167704E-3</v>
      </c>
      <c r="AG66" s="15">
        <v>-1.15773961188493E-2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7">
        <f t="shared" si="8"/>
        <v>0</v>
      </c>
      <c r="AP66" s="27">
        <f t="shared" si="9"/>
        <v>0</v>
      </c>
      <c r="AQ66" s="27">
        <f t="shared" si="16"/>
        <v>0</v>
      </c>
      <c r="AR66" s="28">
        <f t="shared" si="17"/>
        <v>0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7">
        <f t="shared" si="12"/>
        <v>0</v>
      </c>
      <c r="BA66" s="27">
        <f t="shared" si="13"/>
        <v>0</v>
      </c>
      <c r="BB66" s="27">
        <f t="shared" si="20"/>
        <v>0</v>
      </c>
      <c r="BC66" s="28">
        <f t="shared" si="21"/>
        <v>0</v>
      </c>
      <c r="BE66" s="28">
        <f t="shared" si="22"/>
        <v>0</v>
      </c>
      <c r="BF66" s="28">
        <f t="shared" si="23"/>
        <v>0</v>
      </c>
      <c r="BH66" s="28"/>
    </row>
    <row r="67" spans="1:60" x14ac:dyDescent="0.25">
      <c r="A67" s="1">
        <v>46120</v>
      </c>
      <c r="B67" s="32">
        <v>422.92</v>
      </c>
      <c r="C67" s="32">
        <v>370.4</v>
      </c>
      <c r="D67" s="15">
        <v>5.5968520011553197E-2</v>
      </c>
      <c r="E67" s="15">
        <v>6.3070916091487697E-2</v>
      </c>
      <c r="F67" s="32">
        <v>0</v>
      </c>
      <c r="G67" s="32">
        <v>0</v>
      </c>
      <c r="H67" s="32">
        <v>0</v>
      </c>
      <c r="I67" s="32">
        <v>0.20794399999999999</v>
      </c>
      <c r="J67" s="32">
        <v>0</v>
      </c>
      <c r="K67" s="32">
        <v>0</v>
      </c>
      <c r="L67" s="32">
        <v>422.92</v>
      </c>
      <c r="M67" s="32">
        <v>370.4</v>
      </c>
      <c r="N67" s="33">
        <v>0.87581575711718496</v>
      </c>
      <c r="O67" s="33">
        <v>0.90525826694812095</v>
      </c>
      <c r="P67" s="33">
        <v>0.86485704429948296</v>
      </c>
      <c r="Q67" s="33">
        <v>0.86159686932394097</v>
      </c>
      <c r="R67" s="32">
        <v>382.85182625769897</v>
      </c>
      <c r="S67" s="32">
        <v>365.275729781032</v>
      </c>
      <c r="T67" s="32">
        <v>363.89809922910598</v>
      </c>
      <c r="U67" s="15">
        <v>3.3064534940807702E-2</v>
      </c>
      <c r="V67" s="15">
        <v>-1.3931010321047E-2</v>
      </c>
      <c r="W67" s="15">
        <v>-1.77096215005937E-2</v>
      </c>
      <c r="X67" s="33">
        <v>0.87581575711718496</v>
      </c>
      <c r="Y67" s="33">
        <v>0.90525826694812095</v>
      </c>
      <c r="Z67" s="33">
        <v>0.86485704429948296</v>
      </c>
      <c r="AA67" s="33">
        <v>0.86159686932394097</v>
      </c>
      <c r="AB67" s="32">
        <v>382.85182625769897</v>
      </c>
      <c r="AC67" s="32">
        <v>365.275729781032</v>
      </c>
      <c r="AD67" s="32">
        <v>363.89809922910598</v>
      </c>
      <c r="AE67" s="15">
        <v>3.3064534940807702E-2</v>
      </c>
      <c r="AF67" s="15">
        <v>-1.3931010321047E-2</v>
      </c>
      <c r="AG67" s="15">
        <v>-1.77096215005937E-2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7">
        <f t="shared" si="8"/>
        <v>0</v>
      </c>
      <c r="AP67" s="27">
        <f t="shared" si="9"/>
        <v>0</v>
      </c>
      <c r="AQ67" s="27">
        <f t="shared" si="16"/>
        <v>0</v>
      </c>
      <c r="AR67" s="28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7">
        <f t="shared" si="12"/>
        <v>0</v>
      </c>
      <c r="BA67" s="27">
        <f t="shared" si="13"/>
        <v>0</v>
      </c>
      <c r="BB67" s="27">
        <f t="shared" si="20"/>
        <v>0</v>
      </c>
      <c r="BC67" s="28">
        <f t="shared" si="21"/>
        <v>0</v>
      </c>
      <c r="BE67" s="28">
        <f t="shared" si="22"/>
        <v>0</v>
      </c>
      <c r="BF67" s="28">
        <f t="shared" si="23"/>
        <v>0</v>
      </c>
      <c r="BH67" s="28"/>
    </row>
    <row r="68" spans="1:60" x14ac:dyDescent="0.25">
      <c r="A68" s="1">
        <v>46121</v>
      </c>
      <c r="B68" s="32">
        <v>430.31</v>
      </c>
      <c r="C68" s="32">
        <v>378.63</v>
      </c>
      <c r="D68" s="15">
        <v>1.7322843310471701E-2</v>
      </c>
      <c r="E68" s="15">
        <v>2.1975972166624599E-2</v>
      </c>
      <c r="F68" s="32">
        <v>0</v>
      </c>
      <c r="G68" s="32">
        <v>0</v>
      </c>
      <c r="H68" s="32">
        <v>0</v>
      </c>
      <c r="I68" s="32">
        <v>0.20794399999999999</v>
      </c>
      <c r="J68" s="32">
        <v>0</v>
      </c>
      <c r="K68" s="32">
        <v>0</v>
      </c>
      <c r="L68" s="32">
        <v>430.31</v>
      </c>
      <c r="M68" s="32">
        <v>378.63</v>
      </c>
      <c r="N68" s="33">
        <v>0.87990053682228997</v>
      </c>
      <c r="O68" s="33">
        <v>0.90525826694812095</v>
      </c>
      <c r="P68" s="33">
        <v>0.866322612993491</v>
      </c>
      <c r="Q68" s="33">
        <v>0.86294047357821702</v>
      </c>
      <c r="R68" s="32">
        <v>389.54168485044602</v>
      </c>
      <c r="S68" s="32">
        <v>372.15663473250999</v>
      </c>
      <c r="T68" s="32">
        <v>370.75374883878499</v>
      </c>
      <c r="U68" s="15">
        <v>2.8411406084654801E-2</v>
      </c>
      <c r="V68" s="15">
        <v>-1.7244648177955599E-2</v>
      </c>
      <c r="W68" s="15">
        <v>-2.10213824712959E-2</v>
      </c>
      <c r="X68" s="33">
        <v>0.87990053682228997</v>
      </c>
      <c r="Y68" s="33">
        <v>0.90525826694812095</v>
      </c>
      <c r="Z68" s="33">
        <v>0.866322612993491</v>
      </c>
      <c r="AA68" s="33">
        <v>0.86294047357821702</v>
      </c>
      <c r="AB68" s="32">
        <v>389.54168485044602</v>
      </c>
      <c r="AC68" s="32">
        <v>372.15663473250999</v>
      </c>
      <c r="AD68" s="32">
        <v>370.75374883878499</v>
      </c>
      <c r="AE68" s="15">
        <v>2.8411406084654801E-2</v>
      </c>
      <c r="AF68" s="15">
        <v>-1.7244648177955599E-2</v>
      </c>
      <c r="AG68" s="15">
        <v>-2.10213824712959E-2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7">
        <f t="shared" si="8"/>
        <v>0</v>
      </c>
      <c r="AP68" s="27">
        <f t="shared" si="9"/>
        <v>0</v>
      </c>
      <c r="AQ68" s="27">
        <f t="shared" si="16"/>
        <v>0</v>
      </c>
      <c r="AR68" s="28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7">
        <f t="shared" si="12"/>
        <v>0</v>
      </c>
      <c r="BA68" s="27">
        <f t="shared" si="13"/>
        <v>0</v>
      </c>
      <c r="BB68" s="27">
        <f t="shared" si="20"/>
        <v>0</v>
      </c>
      <c r="BC68" s="28">
        <f t="shared" si="21"/>
        <v>0</v>
      </c>
      <c r="BE68" s="28">
        <f t="shared" si="22"/>
        <v>0</v>
      </c>
      <c r="BF68" s="28">
        <f t="shared" si="23"/>
        <v>0</v>
      </c>
      <c r="BH68" s="28"/>
    </row>
    <row r="69" spans="1:60" x14ac:dyDescent="0.25">
      <c r="A69" s="1">
        <v>46122</v>
      </c>
      <c r="B69" s="32">
        <v>436.88</v>
      </c>
      <c r="C69" s="32">
        <v>386.6</v>
      </c>
      <c r="D69" s="15">
        <v>1.5152678669100699E-2</v>
      </c>
      <c r="E69" s="15">
        <v>2.0831091835581701E-2</v>
      </c>
      <c r="F69" s="32">
        <v>0</v>
      </c>
      <c r="G69" s="32">
        <v>0</v>
      </c>
      <c r="H69" s="32">
        <v>0</v>
      </c>
      <c r="I69" s="32">
        <v>0.20794399999999999</v>
      </c>
      <c r="J69" s="32">
        <v>0</v>
      </c>
      <c r="K69" s="32">
        <v>0</v>
      </c>
      <c r="L69" s="32">
        <v>436.88</v>
      </c>
      <c r="M69" s="32">
        <v>386.6</v>
      </c>
      <c r="N69" s="33">
        <v>0.88491118842702798</v>
      </c>
      <c r="O69" s="33">
        <v>0.90525826694812095</v>
      </c>
      <c r="P69" s="33">
        <v>0.86846513399983205</v>
      </c>
      <c r="Q69" s="33">
        <v>0.86465002702218996</v>
      </c>
      <c r="R69" s="32">
        <v>395.489231664295</v>
      </c>
      <c r="S69" s="32">
        <v>378.47902316459601</v>
      </c>
      <c r="T69" s="32">
        <v>377.00143409685103</v>
      </c>
      <c r="U69" s="15">
        <v>2.2732992918173801E-2</v>
      </c>
      <c r="V69" s="15">
        <v>-2.1229916397924601E-2</v>
      </c>
      <c r="W69" s="15">
        <v>-2.51415753630264E-2</v>
      </c>
      <c r="X69" s="33">
        <v>0.88491118842702798</v>
      </c>
      <c r="Y69" s="33">
        <v>0.90525826694812095</v>
      </c>
      <c r="Z69" s="33">
        <v>0.86846513399983205</v>
      </c>
      <c r="AA69" s="33">
        <v>0.86465002702218996</v>
      </c>
      <c r="AB69" s="32">
        <v>395.489231664295</v>
      </c>
      <c r="AC69" s="32">
        <v>378.47902316459601</v>
      </c>
      <c r="AD69" s="32">
        <v>377.00143409685103</v>
      </c>
      <c r="AE69" s="15">
        <v>2.2732992918173801E-2</v>
      </c>
      <c r="AF69" s="15">
        <v>-2.1229916397924601E-2</v>
      </c>
      <c r="AG69" s="15">
        <v>-2.51415753630264E-2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7">
        <f t="shared" si="8"/>
        <v>0</v>
      </c>
      <c r="AP69" s="27">
        <f t="shared" si="9"/>
        <v>0</v>
      </c>
      <c r="AQ69" s="27">
        <f t="shared" si="16"/>
        <v>0</v>
      </c>
      <c r="AR69" s="28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7">
        <f t="shared" si="12"/>
        <v>0</v>
      </c>
      <c r="BA69" s="27">
        <f t="shared" si="13"/>
        <v>0</v>
      </c>
      <c r="BB69" s="27">
        <f t="shared" si="20"/>
        <v>0</v>
      </c>
      <c r="BC69" s="28">
        <f t="shared" si="21"/>
        <v>0</v>
      </c>
      <c r="BE69" s="28">
        <f t="shared" si="22"/>
        <v>0</v>
      </c>
      <c r="BF69" s="28">
        <f t="shared" si="23"/>
        <v>0</v>
      </c>
      <c r="BH69" s="28"/>
    </row>
    <row r="70" spans="1:60" x14ac:dyDescent="0.25">
      <c r="A70" s="1">
        <v>46125</v>
      </c>
      <c r="B70" s="32">
        <v>443.34</v>
      </c>
      <c r="C70" s="32">
        <v>393.34</v>
      </c>
      <c r="D70" s="15">
        <v>1.46784121847129E-2</v>
      </c>
      <c r="E70" s="15">
        <v>1.7283811026277299E-2</v>
      </c>
      <c r="F70" s="32">
        <v>0</v>
      </c>
      <c r="G70" s="32">
        <v>0</v>
      </c>
      <c r="H70" s="32">
        <v>0</v>
      </c>
      <c r="I70" s="32">
        <v>0.20794399999999999</v>
      </c>
      <c r="J70" s="32">
        <v>0</v>
      </c>
      <c r="K70" s="32">
        <v>0</v>
      </c>
      <c r="L70" s="32">
        <v>443.34</v>
      </c>
      <c r="M70" s="32">
        <v>393.34</v>
      </c>
      <c r="N70" s="33">
        <v>0.88721974105652501</v>
      </c>
      <c r="O70" s="33">
        <v>0.90525826694812095</v>
      </c>
      <c r="P70" s="33">
        <v>0.87075290636867697</v>
      </c>
      <c r="Q70" s="33">
        <v>0.86624128283808599</v>
      </c>
      <c r="R70" s="32">
        <v>401.33720006878002</v>
      </c>
      <c r="S70" s="32">
        <v>385.02533250748502</v>
      </c>
      <c r="T70" s="32">
        <v>383.33394298001701</v>
      </c>
      <c r="U70" s="15">
        <v>2.0127594076609599E-2</v>
      </c>
      <c r="V70" s="15">
        <v>-2.1365246956622602E-2</v>
      </c>
      <c r="W70" s="15">
        <v>-2.57678547299314E-2</v>
      </c>
      <c r="X70" s="33">
        <v>0.88721974105652501</v>
      </c>
      <c r="Y70" s="33">
        <v>0.90525826694812095</v>
      </c>
      <c r="Z70" s="33">
        <v>0.87075290636867697</v>
      </c>
      <c r="AA70" s="33">
        <v>0.86624128283808599</v>
      </c>
      <c r="AB70" s="32">
        <v>401.33720006878002</v>
      </c>
      <c r="AC70" s="32">
        <v>385.02533250748502</v>
      </c>
      <c r="AD70" s="32">
        <v>383.33394298001701</v>
      </c>
      <c r="AE70" s="15">
        <v>2.0127594076609599E-2</v>
      </c>
      <c r="AF70" s="15">
        <v>-2.1365246956622602E-2</v>
      </c>
      <c r="AG70" s="15">
        <v>-2.57678547299314E-2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7">
        <f t="shared" si="8"/>
        <v>0</v>
      </c>
      <c r="AP70" s="27">
        <f t="shared" si="9"/>
        <v>0</v>
      </c>
      <c r="AQ70" s="27">
        <f t="shared" si="16"/>
        <v>0</v>
      </c>
      <c r="AR70" s="28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7">
        <f t="shared" si="12"/>
        <v>0</v>
      </c>
      <c r="BA70" s="27">
        <f t="shared" si="13"/>
        <v>0</v>
      </c>
      <c r="BB70" s="27">
        <f t="shared" si="20"/>
        <v>0</v>
      </c>
      <c r="BC70" s="28">
        <f t="shared" si="21"/>
        <v>0</v>
      </c>
      <c r="BE70" s="28">
        <f t="shared" si="22"/>
        <v>0</v>
      </c>
      <c r="BF70" s="28">
        <f t="shared" si="23"/>
        <v>0</v>
      </c>
      <c r="BH70" s="28"/>
    </row>
    <row r="71" spans="1:60" x14ac:dyDescent="0.25">
      <c r="A71" s="1">
        <v>46126</v>
      </c>
      <c r="B71" s="32">
        <v>452</v>
      </c>
      <c r="C71" s="32">
        <v>401.24</v>
      </c>
      <c r="D71" s="15">
        <v>1.9345209803619898E-2</v>
      </c>
      <c r="E71" s="15">
        <v>1.9885374214776499E-2</v>
      </c>
      <c r="F71" s="32">
        <v>0</v>
      </c>
      <c r="G71" s="32">
        <v>0</v>
      </c>
      <c r="H71" s="32">
        <v>0</v>
      </c>
      <c r="I71" s="32">
        <v>0.20794399999999999</v>
      </c>
      <c r="J71" s="32">
        <v>0</v>
      </c>
      <c r="K71" s="32">
        <v>0</v>
      </c>
      <c r="L71" s="32">
        <v>452</v>
      </c>
      <c r="M71" s="32">
        <v>401.24</v>
      </c>
      <c r="N71" s="33">
        <v>0.88769911504424703</v>
      </c>
      <c r="O71" s="33">
        <v>0.90525826694812095</v>
      </c>
      <c r="P71" s="33">
        <v>0.87407057943766198</v>
      </c>
      <c r="Q71" s="33">
        <v>0.86774570447169597</v>
      </c>
      <c r="R71" s="32">
        <v>409.176736660551</v>
      </c>
      <c r="S71" s="32">
        <v>393.58031367864203</v>
      </c>
      <c r="T71" s="32">
        <v>391.54105984281398</v>
      </c>
      <c r="U71" s="15">
        <v>1.9587429665452901E-2</v>
      </c>
      <c r="V71" s="15">
        <v>-1.92746041483907E-2</v>
      </c>
      <c r="W71" s="15">
        <v>-2.4469363813487001E-2</v>
      </c>
      <c r="X71" s="33">
        <v>0.88769911504424703</v>
      </c>
      <c r="Y71" s="33">
        <v>0.90525826694812095</v>
      </c>
      <c r="Z71" s="33">
        <v>0.87407057943766198</v>
      </c>
      <c r="AA71" s="33">
        <v>0.86774570447169597</v>
      </c>
      <c r="AB71" s="32">
        <v>409.176736660551</v>
      </c>
      <c r="AC71" s="32">
        <v>393.58031367864203</v>
      </c>
      <c r="AD71" s="32">
        <v>391.54105984281398</v>
      </c>
      <c r="AE71" s="15">
        <v>1.9587429665452901E-2</v>
      </c>
      <c r="AF71" s="15">
        <v>-1.92746041483907E-2</v>
      </c>
      <c r="AG71" s="15">
        <v>-2.4469363813487001E-2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7">
        <f t="shared" si="8"/>
        <v>0</v>
      </c>
      <c r="AP71" s="27">
        <f t="shared" si="9"/>
        <v>0</v>
      </c>
      <c r="AQ71" s="27">
        <f t="shared" si="16"/>
        <v>0</v>
      </c>
      <c r="AR71" s="28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7">
        <f t="shared" si="12"/>
        <v>0</v>
      </c>
      <c r="BA71" s="27">
        <f t="shared" si="13"/>
        <v>0</v>
      </c>
      <c r="BB71" s="27">
        <f t="shared" si="20"/>
        <v>0</v>
      </c>
      <c r="BC71" s="28">
        <f t="shared" si="21"/>
        <v>0</v>
      </c>
      <c r="BE71" s="28">
        <f t="shared" si="22"/>
        <v>0</v>
      </c>
      <c r="BF71" s="28">
        <f t="shared" si="23"/>
        <v>0</v>
      </c>
      <c r="BH71" s="28"/>
    </row>
    <row r="72" spans="1:60" x14ac:dyDescent="0.25">
      <c r="A72" s="1">
        <v>46127</v>
      </c>
      <c r="B72" s="32">
        <v>453</v>
      </c>
      <c r="C72" s="32">
        <v>401.86</v>
      </c>
      <c r="D72" s="15">
        <v>2.2099456508028899E-3</v>
      </c>
      <c r="E72" s="15">
        <v>1.5440172411225199E-3</v>
      </c>
      <c r="F72" s="32">
        <v>0</v>
      </c>
      <c r="G72" s="32">
        <v>0</v>
      </c>
      <c r="H72" s="32">
        <v>0</v>
      </c>
      <c r="I72" s="32">
        <v>0.20794399999999999</v>
      </c>
      <c r="J72" s="32">
        <v>0</v>
      </c>
      <c r="K72" s="32">
        <v>0</v>
      </c>
      <c r="L72" s="32">
        <v>453</v>
      </c>
      <c r="M72" s="32">
        <v>401.86</v>
      </c>
      <c r="N72" s="33">
        <v>0.88710816777041901</v>
      </c>
      <c r="O72" s="33">
        <v>0.90525826694812095</v>
      </c>
      <c r="P72" s="33">
        <v>0.877058913168278</v>
      </c>
      <c r="Q72" s="33">
        <v>0.86923551116701003</v>
      </c>
      <c r="R72" s="32">
        <v>410.08199492749901</v>
      </c>
      <c r="S72" s="32">
        <v>395.95397248526098</v>
      </c>
      <c r="T72" s="32">
        <v>393.088804125678</v>
      </c>
      <c r="U72" s="15">
        <v>2.02533580751331E-2</v>
      </c>
      <c r="V72" s="15">
        <v>-1.48057958551091E-2</v>
      </c>
      <c r="W72" s="15">
        <v>-2.2068218216940001E-2</v>
      </c>
      <c r="X72" s="33">
        <v>0.88710816777041901</v>
      </c>
      <c r="Y72" s="33">
        <v>0.90525826694812095</v>
      </c>
      <c r="Z72" s="33">
        <v>0.877058913168278</v>
      </c>
      <c r="AA72" s="33">
        <v>0.86923551116701003</v>
      </c>
      <c r="AB72" s="32">
        <v>410.08199492749901</v>
      </c>
      <c r="AC72" s="32">
        <v>395.95397248526098</v>
      </c>
      <c r="AD72" s="32">
        <v>393.088804125678</v>
      </c>
      <c r="AE72" s="15">
        <v>2.02533580751331E-2</v>
      </c>
      <c r="AF72" s="15">
        <v>-1.48057958551091E-2</v>
      </c>
      <c r="AG72" s="15">
        <v>-2.2068218216940001E-2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7">
        <f t="shared" si="8"/>
        <v>0</v>
      </c>
      <c r="AP72" s="27">
        <f t="shared" si="9"/>
        <v>0</v>
      </c>
      <c r="AQ72" s="27">
        <f t="shared" si="16"/>
        <v>0</v>
      </c>
      <c r="AR72" s="28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7">
        <f t="shared" si="12"/>
        <v>0</v>
      </c>
      <c r="BA72" s="27">
        <f t="shared" si="13"/>
        <v>0</v>
      </c>
      <c r="BB72" s="27">
        <f t="shared" si="20"/>
        <v>0</v>
      </c>
      <c r="BC72" s="28">
        <f t="shared" si="21"/>
        <v>0</v>
      </c>
      <c r="BE72" s="28">
        <f t="shared" si="22"/>
        <v>0</v>
      </c>
      <c r="BF72" s="28">
        <f t="shared" si="23"/>
        <v>0</v>
      </c>
      <c r="BH72" s="28"/>
    </row>
    <row r="73" spans="1:60" x14ac:dyDescent="0.25">
      <c r="A73" s="1">
        <v>46128</v>
      </c>
      <c r="B73" s="32">
        <v>454.8</v>
      </c>
      <c r="C73" s="32">
        <v>405.95</v>
      </c>
      <c r="D73" s="15">
        <v>3.9656363933468801E-3</v>
      </c>
      <c r="E73" s="15">
        <v>1.01262300520484E-2</v>
      </c>
      <c r="F73" s="32">
        <v>0</v>
      </c>
      <c r="G73" s="32">
        <v>0</v>
      </c>
      <c r="H73" s="32">
        <v>0</v>
      </c>
      <c r="I73" s="32">
        <v>0.20794399999999999</v>
      </c>
      <c r="J73" s="32">
        <v>0</v>
      </c>
      <c r="K73" s="32">
        <v>0</v>
      </c>
      <c r="L73" s="32">
        <v>454.8</v>
      </c>
      <c r="M73" s="32">
        <v>405.95</v>
      </c>
      <c r="N73" s="33">
        <v>0.89259014951627003</v>
      </c>
      <c r="O73" s="33">
        <v>0.90525826694812095</v>
      </c>
      <c r="P73" s="33">
        <v>0.87994907336061201</v>
      </c>
      <c r="Q73" s="33">
        <v>0.87089882868676904</v>
      </c>
      <c r="R73" s="32">
        <v>411.71145980800497</v>
      </c>
      <c r="S73" s="32">
        <v>398.88639370893202</v>
      </c>
      <c r="T73" s="32">
        <v>395.32831047875601</v>
      </c>
      <c r="U73" s="15">
        <v>1.4092764416431799E-2</v>
      </c>
      <c r="V73" s="15">
        <v>-1.7553350507709901E-2</v>
      </c>
      <c r="W73" s="15">
        <v>-2.6513413865317598E-2</v>
      </c>
      <c r="X73" s="33">
        <v>0.89259014951627003</v>
      </c>
      <c r="Y73" s="33">
        <v>0.90525826694812095</v>
      </c>
      <c r="Z73" s="33">
        <v>0.87994907336061201</v>
      </c>
      <c r="AA73" s="33">
        <v>0.87089882868676904</v>
      </c>
      <c r="AB73" s="32">
        <v>411.71145980800497</v>
      </c>
      <c r="AC73" s="32">
        <v>398.88639370893202</v>
      </c>
      <c r="AD73" s="32">
        <v>395.32831047875601</v>
      </c>
      <c r="AE73" s="15">
        <v>1.4092764416431799E-2</v>
      </c>
      <c r="AF73" s="15">
        <v>-1.7553350507709901E-2</v>
      </c>
      <c r="AG73" s="15">
        <v>-2.6513413865317598E-2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7">
        <f t="shared" si="8"/>
        <v>0</v>
      </c>
      <c r="AP73" s="27">
        <f t="shared" si="9"/>
        <v>0</v>
      </c>
      <c r="AQ73" s="27">
        <f t="shared" si="16"/>
        <v>0</v>
      </c>
      <c r="AR73" s="28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7">
        <f t="shared" si="12"/>
        <v>0</v>
      </c>
      <c r="BA73" s="27">
        <f t="shared" si="13"/>
        <v>0</v>
      </c>
      <c r="BB73" s="27">
        <f t="shared" si="20"/>
        <v>0</v>
      </c>
      <c r="BC73" s="28">
        <f t="shared" si="21"/>
        <v>0</v>
      </c>
      <c r="BE73" s="28">
        <f t="shared" si="22"/>
        <v>0</v>
      </c>
      <c r="BF73" s="28">
        <f t="shared" si="23"/>
        <v>0</v>
      </c>
      <c r="BH73" s="28"/>
    </row>
    <row r="74" spans="1:60" x14ac:dyDescent="0.25">
      <c r="A74" s="1">
        <v>46129</v>
      </c>
      <c r="B74" s="32">
        <v>464.16</v>
      </c>
      <c r="C74" s="32">
        <v>415.71</v>
      </c>
      <c r="D74" s="15">
        <v>2.0371558496712999E-2</v>
      </c>
      <c r="E74" s="15">
        <v>2.3757902470277901E-2</v>
      </c>
      <c r="F74" s="32">
        <v>0</v>
      </c>
      <c r="G74" s="32">
        <v>0</v>
      </c>
      <c r="H74" s="32">
        <v>0</v>
      </c>
      <c r="I74" s="32">
        <v>0.20794399999999999</v>
      </c>
      <c r="J74" s="32">
        <v>0</v>
      </c>
      <c r="K74" s="32">
        <v>0</v>
      </c>
      <c r="L74" s="32">
        <v>464.16</v>
      </c>
      <c r="M74" s="32">
        <v>415.71</v>
      </c>
      <c r="N74" s="33">
        <v>0.89561789038262596</v>
      </c>
      <c r="O74" s="33">
        <v>0.90525826694812095</v>
      </c>
      <c r="P74" s="33">
        <v>0.88294632324716205</v>
      </c>
      <c r="Q74" s="33">
        <v>0.87260770862066706</v>
      </c>
      <c r="R74" s="32">
        <v>420.18467718663999</v>
      </c>
      <c r="S74" s="32">
        <v>408.43716189106101</v>
      </c>
      <c r="T74" s="32">
        <v>404.23640032325</v>
      </c>
      <c r="U74" s="15">
        <v>1.0706420442866699E-2</v>
      </c>
      <c r="V74" s="15">
        <v>-1.76498257712479E-2</v>
      </c>
      <c r="W74" s="15">
        <v>-2.79880456357109E-2</v>
      </c>
      <c r="X74" s="33">
        <v>0.89561789038262596</v>
      </c>
      <c r="Y74" s="33">
        <v>0.90525826694812095</v>
      </c>
      <c r="Z74" s="33">
        <v>0.88294632324716205</v>
      </c>
      <c r="AA74" s="33">
        <v>0.87260770862066706</v>
      </c>
      <c r="AB74" s="32">
        <v>420.18467718663999</v>
      </c>
      <c r="AC74" s="32">
        <v>408.43716189106101</v>
      </c>
      <c r="AD74" s="32">
        <v>404.23640032325</v>
      </c>
      <c r="AE74" s="15">
        <v>1.0706420442866699E-2</v>
      </c>
      <c r="AF74" s="15">
        <v>-1.76498257712479E-2</v>
      </c>
      <c r="AG74" s="15">
        <v>-2.79880456357109E-2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7">
        <f t="shared" si="8"/>
        <v>0</v>
      </c>
      <c r="AP74" s="27">
        <f t="shared" si="9"/>
        <v>0</v>
      </c>
      <c r="AQ74" s="27">
        <f t="shared" si="16"/>
        <v>0</v>
      </c>
      <c r="AR74" s="28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7">
        <f t="shared" si="12"/>
        <v>0</v>
      </c>
      <c r="BA74" s="27">
        <f t="shared" si="13"/>
        <v>0</v>
      </c>
      <c r="BB74" s="27">
        <f t="shared" si="20"/>
        <v>0</v>
      </c>
      <c r="BC74" s="28">
        <f t="shared" si="21"/>
        <v>0</v>
      </c>
      <c r="BE74" s="28">
        <f t="shared" si="22"/>
        <v>0</v>
      </c>
      <c r="BF74" s="28">
        <f t="shared" si="23"/>
        <v>0</v>
      </c>
      <c r="BH74" s="28"/>
    </row>
    <row r="75" spans="1:60" x14ac:dyDescent="0.25">
      <c r="A75" s="1">
        <v>46132</v>
      </c>
      <c r="B75" s="32">
        <v>463.96</v>
      </c>
      <c r="C75" s="32">
        <v>417.55</v>
      </c>
      <c r="D75" s="15">
        <v>-4.3097875941849298E-4</v>
      </c>
      <c r="E75" s="15">
        <v>4.4163958205050702E-3</v>
      </c>
      <c r="F75" s="32">
        <v>0</v>
      </c>
      <c r="G75" s="32">
        <v>0</v>
      </c>
      <c r="H75" s="32">
        <v>0</v>
      </c>
      <c r="I75" s="32">
        <v>0.20794399999999999</v>
      </c>
      <c r="J75" s="32">
        <v>0</v>
      </c>
      <c r="K75" s="32">
        <v>0</v>
      </c>
      <c r="L75" s="32">
        <v>463.96</v>
      </c>
      <c r="M75" s="32">
        <v>417.55</v>
      </c>
      <c r="N75" s="33">
        <v>0.89996982498491196</v>
      </c>
      <c r="O75" s="33">
        <v>0.90525826694812095</v>
      </c>
      <c r="P75" s="33">
        <v>0.88604497754725897</v>
      </c>
      <c r="Q75" s="33">
        <v>0.874393900654859</v>
      </c>
      <c r="R75" s="32">
        <v>420.00362553324999</v>
      </c>
      <c r="S75" s="32">
        <v>409.651776133753</v>
      </c>
      <c r="T75" s="32">
        <v>404.85507249164499</v>
      </c>
      <c r="U75" s="15">
        <v>5.8590458629432397E-3</v>
      </c>
      <c r="V75" s="15">
        <v>-1.90968252860323E-2</v>
      </c>
      <c r="W75" s="15">
        <v>-3.0875140234391901E-2</v>
      </c>
      <c r="X75" s="33">
        <v>0.89996982498491196</v>
      </c>
      <c r="Y75" s="33">
        <v>0.90525826694812095</v>
      </c>
      <c r="Z75" s="33">
        <v>0.88604497754725897</v>
      </c>
      <c r="AA75" s="33">
        <v>0.874393900654859</v>
      </c>
      <c r="AB75" s="32">
        <v>420.00362553324999</v>
      </c>
      <c r="AC75" s="32">
        <v>409.651776133753</v>
      </c>
      <c r="AD75" s="32">
        <v>404.85507249164499</v>
      </c>
      <c r="AE75" s="15">
        <v>5.8590458629432397E-3</v>
      </c>
      <c r="AF75" s="15">
        <v>-1.90968252860323E-2</v>
      </c>
      <c r="AG75" s="15">
        <v>-3.0875140234391901E-2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7">
        <f t="shared" si="8"/>
        <v>0</v>
      </c>
      <c r="AP75" s="27">
        <f t="shared" si="9"/>
        <v>0</v>
      </c>
      <c r="AQ75" s="27">
        <f t="shared" si="16"/>
        <v>0</v>
      </c>
      <c r="AR75" s="28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7">
        <f t="shared" si="12"/>
        <v>0</v>
      </c>
      <c r="BA75" s="27">
        <f t="shared" si="13"/>
        <v>0</v>
      </c>
      <c r="BB75" s="27">
        <f t="shared" si="20"/>
        <v>0</v>
      </c>
      <c r="BC75" s="28">
        <f t="shared" si="21"/>
        <v>0</v>
      </c>
      <c r="BE75" s="28">
        <f t="shared" si="22"/>
        <v>0</v>
      </c>
      <c r="BF75" s="28">
        <f t="shared" si="23"/>
        <v>0</v>
      </c>
      <c r="BH75" s="28"/>
    </row>
    <row r="76" spans="1:60" x14ac:dyDescent="0.25">
      <c r="A76" s="1">
        <v>46133</v>
      </c>
      <c r="B76" s="32">
        <v>464.66</v>
      </c>
      <c r="C76" s="32">
        <v>420.7</v>
      </c>
      <c r="D76" s="15">
        <v>1.5076137334664101E-3</v>
      </c>
      <c r="E76" s="15">
        <v>7.5156929972367299E-3</v>
      </c>
      <c r="F76" s="32">
        <v>0</v>
      </c>
      <c r="G76" s="32">
        <v>0</v>
      </c>
      <c r="H76" s="32">
        <v>0</v>
      </c>
      <c r="I76" s="32">
        <v>0.20794399999999999</v>
      </c>
      <c r="J76" s="32">
        <v>0</v>
      </c>
      <c r="K76" s="32">
        <v>0</v>
      </c>
      <c r="L76" s="32">
        <v>464.66</v>
      </c>
      <c r="M76" s="32">
        <v>420.7</v>
      </c>
      <c r="N76" s="33">
        <v>0.90539319072009605</v>
      </c>
      <c r="O76" s="33">
        <v>0.90525826694812095</v>
      </c>
      <c r="P76" s="33">
        <v>0.88962255618415997</v>
      </c>
      <c r="Q76" s="33">
        <v>0.87666095389486998</v>
      </c>
      <c r="R76" s="32">
        <v>420.63730632011402</v>
      </c>
      <c r="S76" s="32">
        <v>411.70965926710898</v>
      </c>
      <c r="T76" s="32">
        <v>406.295869878286</v>
      </c>
      <c r="U76" s="15">
        <v>-1.49033400827019E-4</v>
      </c>
      <c r="V76" s="15">
        <v>-2.1601600188847901E-2</v>
      </c>
      <c r="W76" s="15">
        <v>-3.48383528568059E-2</v>
      </c>
      <c r="X76" s="33">
        <v>0.90539319072009605</v>
      </c>
      <c r="Y76" s="33">
        <v>0.90525826694812095</v>
      </c>
      <c r="Z76" s="33">
        <v>0.88962255618415997</v>
      </c>
      <c r="AA76" s="33">
        <v>0.87666095389486998</v>
      </c>
      <c r="AB76" s="32">
        <v>420.63730632011402</v>
      </c>
      <c r="AC76" s="32">
        <v>411.70965926710898</v>
      </c>
      <c r="AD76" s="32">
        <v>406.295869878286</v>
      </c>
      <c r="AE76" s="15">
        <v>-1.49033400827019E-4</v>
      </c>
      <c r="AF76" s="15">
        <v>-2.1601600188847901E-2</v>
      </c>
      <c r="AG76" s="15">
        <v>-3.48383528568059E-2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7">
        <f t="shared" si="8"/>
        <v>0</v>
      </c>
      <c r="AP76" s="27">
        <f t="shared" si="9"/>
        <v>0</v>
      </c>
      <c r="AQ76" s="27">
        <f t="shared" si="16"/>
        <v>0</v>
      </c>
      <c r="AR76" s="28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7">
        <f t="shared" si="12"/>
        <v>0</v>
      </c>
      <c r="BA76" s="27">
        <f t="shared" si="13"/>
        <v>0</v>
      </c>
      <c r="BB76" s="27">
        <f t="shared" si="20"/>
        <v>0</v>
      </c>
      <c r="BC76" s="28">
        <f t="shared" si="21"/>
        <v>0</v>
      </c>
      <c r="BE76" s="28">
        <f t="shared" si="22"/>
        <v>0</v>
      </c>
      <c r="BF76" s="28">
        <f t="shared" si="23"/>
        <v>0</v>
      </c>
      <c r="BH76" s="28"/>
    </row>
    <row r="77" spans="1:60" x14ac:dyDescent="0.25">
      <c r="A77" s="1">
        <v>46134</v>
      </c>
      <c r="B77" s="32">
        <v>476.83</v>
      </c>
      <c r="C77" s="32">
        <v>431.77</v>
      </c>
      <c r="D77" s="15">
        <v>2.5854077887738899E-2</v>
      </c>
      <c r="E77" s="15">
        <v>2.5973048461078899E-2</v>
      </c>
      <c r="F77" s="32">
        <v>0</v>
      </c>
      <c r="G77" s="32">
        <v>0</v>
      </c>
      <c r="H77" s="32">
        <v>0</v>
      </c>
      <c r="I77" s="32">
        <v>0.20794399999999999</v>
      </c>
      <c r="J77" s="32">
        <v>0</v>
      </c>
      <c r="K77" s="32">
        <v>0</v>
      </c>
      <c r="L77" s="32">
        <v>476.83</v>
      </c>
      <c r="M77" s="32">
        <v>431.77</v>
      </c>
      <c r="N77" s="33">
        <v>0.905500912274814</v>
      </c>
      <c r="O77" s="33">
        <v>0.90525826694812095</v>
      </c>
      <c r="P77" s="33">
        <v>0.89259107169992302</v>
      </c>
      <c r="Q77" s="33">
        <v>0.87872405799970299</v>
      </c>
      <c r="R77" s="32">
        <v>431.65429942887198</v>
      </c>
      <c r="S77" s="32">
        <v>424.19872346529303</v>
      </c>
      <c r="T77" s="32">
        <v>418.01824264569098</v>
      </c>
      <c r="U77" s="15">
        <v>-2.68003974166971E-4</v>
      </c>
      <c r="V77" s="15">
        <v>-1.76910062070933E-2</v>
      </c>
      <c r="W77" s="15">
        <v>-3.2367964792071401E-2</v>
      </c>
      <c r="X77" s="33">
        <v>0.905500912274814</v>
      </c>
      <c r="Y77" s="33">
        <v>0.90525826694812095</v>
      </c>
      <c r="Z77" s="33">
        <v>0.89259107169992302</v>
      </c>
      <c r="AA77" s="33">
        <v>0.87872405799970299</v>
      </c>
      <c r="AB77" s="32">
        <v>431.65429942887198</v>
      </c>
      <c r="AC77" s="32">
        <v>424.19872346529303</v>
      </c>
      <c r="AD77" s="32">
        <v>418.01824264569098</v>
      </c>
      <c r="AE77" s="15">
        <v>-2.68003974166971E-4</v>
      </c>
      <c r="AF77" s="15">
        <v>-1.76910062070933E-2</v>
      </c>
      <c r="AG77" s="15">
        <v>-3.2367964792071401E-2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7">
        <f t="shared" si="8"/>
        <v>0</v>
      </c>
      <c r="AP77" s="27">
        <f t="shared" si="9"/>
        <v>0</v>
      </c>
      <c r="AQ77" s="27">
        <f t="shared" si="16"/>
        <v>0</v>
      </c>
      <c r="AR77" s="28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7">
        <f t="shared" si="12"/>
        <v>0</v>
      </c>
      <c r="BA77" s="27">
        <f t="shared" si="13"/>
        <v>0</v>
      </c>
      <c r="BB77" s="27">
        <f t="shared" si="20"/>
        <v>0</v>
      </c>
      <c r="BC77" s="28">
        <f t="shared" si="21"/>
        <v>0</v>
      </c>
      <c r="BE77" s="28">
        <f t="shared" si="22"/>
        <v>0</v>
      </c>
      <c r="BF77" s="28">
        <f t="shared" si="23"/>
        <v>0</v>
      </c>
      <c r="BH77" s="28"/>
    </row>
    <row r="78" spans="1:60" x14ac:dyDescent="0.25">
      <c r="A78" s="1">
        <v>46135</v>
      </c>
      <c r="B78" s="32">
        <v>481.85</v>
      </c>
      <c r="C78" s="32">
        <v>441</v>
      </c>
      <c r="D78" s="15">
        <v>1.0472829062415499E-2</v>
      </c>
      <c r="E78" s="15">
        <v>2.11518363892918E-2</v>
      </c>
      <c r="F78" s="32">
        <v>0</v>
      </c>
      <c r="G78" s="32">
        <v>0</v>
      </c>
      <c r="H78" s="32">
        <v>0</v>
      </c>
      <c r="I78" s="32">
        <v>0.20794399999999999</v>
      </c>
      <c r="J78" s="32">
        <v>0</v>
      </c>
      <c r="K78" s="32">
        <v>0</v>
      </c>
      <c r="L78" s="32">
        <v>481.85</v>
      </c>
      <c r="M78" s="32">
        <v>441</v>
      </c>
      <c r="N78" s="33">
        <v>0.91522257964096698</v>
      </c>
      <c r="O78" s="33">
        <v>0.90525826694812095</v>
      </c>
      <c r="P78" s="33">
        <v>0.89612327598178998</v>
      </c>
      <c r="Q78" s="33">
        <v>0.88122294448764105</v>
      </c>
      <c r="R78" s="32">
        <v>436.19869592895202</v>
      </c>
      <c r="S78" s="32">
        <v>430.095007898608</v>
      </c>
      <c r="T78" s="32">
        <v>423.41318734715702</v>
      </c>
      <c r="U78" s="15">
        <v>-1.09470113010432E-2</v>
      </c>
      <c r="V78" s="15">
        <v>-2.50387425633713E-2</v>
      </c>
      <c r="W78" s="15">
        <v>-4.0696370922291197E-2</v>
      </c>
      <c r="X78" s="33">
        <v>0.91522257964096698</v>
      </c>
      <c r="Y78" s="33">
        <v>0.90525826694812095</v>
      </c>
      <c r="Z78" s="33">
        <v>0.89612327598178998</v>
      </c>
      <c r="AA78" s="33">
        <v>0.88122294448764105</v>
      </c>
      <c r="AB78" s="32">
        <v>436.19869592895202</v>
      </c>
      <c r="AC78" s="32">
        <v>430.095007898608</v>
      </c>
      <c r="AD78" s="32">
        <v>423.41318734715702</v>
      </c>
      <c r="AE78" s="15">
        <v>-1.09470113010432E-2</v>
      </c>
      <c r="AF78" s="15">
        <v>-2.50387425633713E-2</v>
      </c>
      <c r="AG78" s="15">
        <v>-4.0696370922291197E-2</v>
      </c>
      <c r="AI78" s="12"/>
      <c r="AJ78">
        <f t="shared" si="6"/>
        <v>1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7">
        <f t="shared" si="8"/>
        <v>0</v>
      </c>
      <c r="AP78" s="27">
        <f t="shared" si="9"/>
        <v>0</v>
      </c>
      <c r="AQ78" s="27">
        <f t="shared" si="16"/>
        <v>0</v>
      </c>
      <c r="AR78" s="28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7">
        <f t="shared" si="12"/>
        <v>0</v>
      </c>
      <c r="BA78" s="27">
        <f t="shared" si="13"/>
        <v>0</v>
      </c>
      <c r="BB78" s="27">
        <f t="shared" si="20"/>
        <v>0</v>
      </c>
      <c r="BC78" s="28">
        <f t="shared" si="21"/>
        <v>0</v>
      </c>
      <c r="BE78" s="28">
        <f t="shared" si="22"/>
        <v>0</v>
      </c>
      <c r="BF78" s="28">
        <f t="shared" si="23"/>
        <v>0</v>
      </c>
      <c r="BH78" s="28"/>
    </row>
    <row r="79" spans="1:60" x14ac:dyDescent="0.25">
      <c r="A79" s="1">
        <v>46136</v>
      </c>
      <c r="B79" s="32">
        <v>506.44</v>
      </c>
      <c r="C79" s="32">
        <v>461.6</v>
      </c>
      <c r="D79" s="15">
        <v>4.9772994354756003E-2</v>
      </c>
      <c r="E79" s="15">
        <v>4.5653839747043803E-2</v>
      </c>
      <c r="F79" s="32">
        <v>0</v>
      </c>
      <c r="G79" s="32">
        <v>0</v>
      </c>
      <c r="H79" s="32">
        <v>0</v>
      </c>
      <c r="I79" s="32">
        <v>0.20794399999999999</v>
      </c>
      <c r="J79" s="32">
        <v>0</v>
      </c>
      <c r="K79" s="32">
        <v>0</v>
      </c>
      <c r="L79" s="32">
        <v>506.44</v>
      </c>
      <c r="M79" s="32">
        <v>461.6</v>
      </c>
      <c r="N79" s="33">
        <v>0.91146039017455105</v>
      </c>
      <c r="O79" s="33">
        <v>0.90525826694812095</v>
      </c>
      <c r="P79" s="33">
        <v>0.89877819615654297</v>
      </c>
      <c r="Q79" s="33">
        <v>0.88362166507818696</v>
      </c>
      <c r="R79" s="32">
        <v>458.45899671320598</v>
      </c>
      <c r="S79" s="32">
        <v>453.83267188821799</v>
      </c>
      <c r="T79" s="32">
        <v>446.28654800632</v>
      </c>
      <c r="U79" s="15">
        <v>-6.8278566933311002E-3</v>
      </c>
      <c r="V79" s="15">
        <v>-1.6970149211858802E-2</v>
      </c>
      <c r="W79" s="15">
        <v>-3.3737485159410302E-2</v>
      </c>
      <c r="X79" s="33">
        <v>0.91146039017455105</v>
      </c>
      <c r="Y79" s="33">
        <v>0.90525826694812095</v>
      </c>
      <c r="Z79" s="33">
        <v>0.89877819615654297</v>
      </c>
      <c r="AA79" s="33">
        <v>0.88362166507818696</v>
      </c>
      <c r="AB79" s="32">
        <v>458.45899671320598</v>
      </c>
      <c r="AC79" s="32">
        <v>453.83267188821799</v>
      </c>
      <c r="AD79" s="32">
        <v>446.28654800632</v>
      </c>
      <c r="AE79" s="15">
        <v>-6.8278566933311002E-3</v>
      </c>
      <c r="AF79" s="15">
        <v>-1.6970149211858802E-2</v>
      </c>
      <c r="AG79" s="15">
        <v>-3.3737485159410302E-2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7">
        <f t="shared" si="8"/>
        <v>4.9772994354756003E-2</v>
      </c>
      <c r="AP79" s="27">
        <f t="shared" si="9"/>
        <v>-4.5653839747043803E-2</v>
      </c>
      <c r="AQ79" s="27">
        <f t="shared" si="16"/>
        <v>4.1191546077121999E-3</v>
      </c>
      <c r="AR79" s="28">
        <f t="shared" si="17"/>
        <v>4.1191546077121999E-3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7">
        <f t="shared" si="12"/>
        <v>0</v>
      </c>
      <c r="BA79" s="27">
        <f t="shared" si="13"/>
        <v>0</v>
      </c>
      <c r="BB79" s="27">
        <f t="shared" si="20"/>
        <v>0</v>
      </c>
      <c r="BC79" s="28">
        <f t="shared" si="21"/>
        <v>0</v>
      </c>
      <c r="BE79" s="28">
        <f t="shared" si="22"/>
        <v>4.1191546077121999E-3</v>
      </c>
      <c r="BF79" s="28">
        <f t="shared" si="23"/>
        <v>4.1191546077121999E-3</v>
      </c>
      <c r="BH79" s="28"/>
    </row>
    <row r="80" spans="1:60" x14ac:dyDescent="0.25">
      <c r="A80" s="1">
        <v>46139</v>
      </c>
      <c r="B80" s="32">
        <v>506.26</v>
      </c>
      <c r="C80" s="32">
        <v>455.41</v>
      </c>
      <c r="D80" s="15">
        <v>-3.5548533997349998E-4</v>
      </c>
      <c r="E80" s="15">
        <v>-1.3500603087728699E-2</v>
      </c>
      <c r="F80" s="32">
        <v>0</v>
      </c>
      <c r="G80" s="32">
        <v>0</v>
      </c>
      <c r="H80" s="32">
        <v>0</v>
      </c>
      <c r="I80" s="32">
        <v>0.20794399999999999</v>
      </c>
      <c r="J80" s="32">
        <v>0</v>
      </c>
      <c r="K80" s="32">
        <v>0</v>
      </c>
      <c r="L80" s="32">
        <v>506.26</v>
      </c>
      <c r="M80" s="32">
        <v>455.41</v>
      </c>
      <c r="N80" s="33">
        <v>0.89955753960415596</v>
      </c>
      <c r="O80" s="33">
        <v>0.90525826694812095</v>
      </c>
      <c r="P80" s="33">
        <v>0.900011976011306</v>
      </c>
      <c r="Q80" s="33">
        <v>0.88538244118999199</v>
      </c>
      <c r="R80" s="32">
        <v>458.29605022515602</v>
      </c>
      <c r="S80" s="32">
        <v>455.01544958621099</v>
      </c>
      <c r="T80" s="32">
        <v>447.342304162483</v>
      </c>
      <c r="U80" s="15">
        <v>6.3172610544241104E-3</v>
      </c>
      <c r="V80" s="15">
        <v>-8.6673859714212799E-4</v>
      </c>
      <c r="W80" s="15">
        <v>-1.7874029429229402E-2</v>
      </c>
      <c r="X80" s="33">
        <v>0.89955753960415596</v>
      </c>
      <c r="Y80" s="33">
        <v>0.90525826694812095</v>
      </c>
      <c r="Z80" s="33">
        <v>0.900011976011306</v>
      </c>
      <c r="AA80" s="33">
        <v>0.88538244118999199</v>
      </c>
      <c r="AB80" s="32">
        <v>458.29605022515602</v>
      </c>
      <c r="AC80" s="32">
        <v>455.01544958621099</v>
      </c>
      <c r="AD80" s="32">
        <v>447.342304162483</v>
      </c>
      <c r="AE80" s="15">
        <v>6.3172610544241104E-3</v>
      </c>
      <c r="AF80" s="15">
        <v>-8.6673859714212799E-4</v>
      </c>
      <c r="AG80" s="15">
        <v>-1.7874029429229402E-2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7">
        <f t="shared" si="8"/>
        <v>-3.5548533997349998E-4</v>
      </c>
      <c r="AP80" s="27">
        <f t="shared" si="9"/>
        <v>1.3500603087728699E-2</v>
      </c>
      <c r="AQ80" s="27">
        <f t="shared" si="16"/>
        <v>1.3145117747755199E-2</v>
      </c>
      <c r="AR80" s="28">
        <f t="shared" si="17"/>
        <v>1.7264272355467399E-2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7">
        <f t="shared" si="12"/>
        <v>0</v>
      </c>
      <c r="BA80" s="27">
        <f t="shared" si="13"/>
        <v>0</v>
      </c>
      <c r="BB80" s="27">
        <f t="shared" si="20"/>
        <v>0</v>
      </c>
      <c r="BC80" s="28">
        <f t="shared" si="21"/>
        <v>0</v>
      </c>
      <c r="BE80" s="28">
        <f t="shared" si="22"/>
        <v>1.3145117747755199E-2</v>
      </c>
      <c r="BF80" s="28">
        <f t="shared" si="23"/>
        <v>1.7264272355467399E-2</v>
      </c>
      <c r="BH80" s="28"/>
    </row>
    <row r="81" spans="1:60" x14ac:dyDescent="0.25">
      <c r="A81" s="1">
        <v>46140</v>
      </c>
      <c r="B81" s="32">
        <v>491.21</v>
      </c>
      <c r="C81" s="32">
        <v>438.71</v>
      </c>
      <c r="D81" s="15">
        <v>-3.0178636380184899E-2</v>
      </c>
      <c r="E81" s="15">
        <v>-3.7359509573316602E-2</v>
      </c>
      <c r="F81" s="32">
        <v>0</v>
      </c>
      <c r="G81" s="32">
        <v>0</v>
      </c>
      <c r="H81" s="32">
        <v>0</v>
      </c>
      <c r="I81" s="32">
        <v>0.20794399999999999</v>
      </c>
      <c r="J81" s="32">
        <v>0</v>
      </c>
      <c r="K81" s="32">
        <v>0</v>
      </c>
      <c r="L81" s="32">
        <v>491.21</v>
      </c>
      <c r="M81" s="32">
        <v>438.71</v>
      </c>
      <c r="N81" s="33">
        <v>0.89312106838215799</v>
      </c>
      <c r="O81" s="33">
        <v>0.90525826694812095</v>
      </c>
      <c r="P81" s="33">
        <v>0.90055417134509697</v>
      </c>
      <c r="Q81" s="33">
        <v>0.88731237539137997</v>
      </c>
      <c r="R81" s="32">
        <v>444.67191330758601</v>
      </c>
      <c r="S81" s="32">
        <v>442.094882736513</v>
      </c>
      <c r="T81" s="32">
        <v>434.90870893693602</v>
      </c>
      <c r="U81" s="15">
        <v>1.3498134247555801E-2</v>
      </c>
      <c r="V81" s="15">
        <v>7.6859233319195404E-3</v>
      </c>
      <c r="W81" s="15">
        <v>-8.7024579815892806E-3</v>
      </c>
      <c r="X81" s="33">
        <v>0.89312106838215799</v>
      </c>
      <c r="Y81" s="33">
        <v>0.90525826694812095</v>
      </c>
      <c r="Z81" s="33">
        <v>0.90055417134509697</v>
      </c>
      <c r="AA81" s="33">
        <v>0.88731237539137997</v>
      </c>
      <c r="AB81" s="32">
        <v>444.67191330758601</v>
      </c>
      <c r="AC81" s="32">
        <v>442.094882736513</v>
      </c>
      <c r="AD81" s="32">
        <v>434.90870893693602</v>
      </c>
      <c r="AE81" s="15">
        <v>1.3498134247555801E-2</v>
      </c>
      <c r="AF81" s="15">
        <v>7.6859233319195404E-3</v>
      </c>
      <c r="AG81" s="15">
        <v>-8.7024579815892806E-3</v>
      </c>
      <c r="AI81" s="12"/>
      <c r="AJ81">
        <f t="shared" si="6"/>
        <v>0</v>
      </c>
      <c r="AK81">
        <f t="shared" si="7"/>
        <v>1</v>
      </c>
      <c r="AL81">
        <f t="shared" si="14"/>
        <v>1</v>
      </c>
      <c r="AM81">
        <f t="shared" si="4"/>
        <v>1</v>
      </c>
      <c r="AN81">
        <f t="shared" si="15"/>
        <v>1</v>
      </c>
      <c r="AO81" s="27">
        <f t="shared" si="8"/>
        <v>-3.0178636380184899E-2</v>
      </c>
      <c r="AP81" s="27">
        <f t="shared" si="9"/>
        <v>3.7359509573316602E-2</v>
      </c>
      <c r="AQ81" s="27">
        <f t="shared" si="16"/>
        <v>7.1808731931317024E-3</v>
      </c>
      <c r="AR81" s="28">
        <f t="shared" si="17"/>
        <v>2.4445145548599102E-2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7">
        <f t="shared" si="12"/>
        <v>0</v>
      </c>
      <c r="BA81" s="27">
        <f t="shared" si="13"/>
        <v>0</v>
      </c>
      <c r="BB81" s="27">
        <f t="shared" si="20"/>
        <v>0</v>
      </c>
      <c r="BC81" s="28">
        <f t="shared" si="21"/>
        <v>0</v>
      </c>
      <c r="BE81" s="28">
        <f t="shared" si="22"/>
        <v>7.1808731931317024E-3</v>
      </c>
      <c r="BF81" s="28">
        <f t="shared" si="23"/>
        <v>2.4445145548599102E-2</v>
      </c>
      <c r="BH81" s="28"/>
    </row>
    <row r="82" spans="1:60" x14ac:dyDescent="0.25">
      <c r="A82" s="1">
        <v>46141</v>
      </c>
      <c r="B82" s="32">
        <v>499.58</v>
      </c>
      <c r="C82" s="32">
        <v>449.99</v>
      </c>
      <c r="D82" s="15">
        <v>1.6896010492605001E-2</v>
      </c>
      <c r="E82" s="15">
        <v>2.5386757762381501E-2</v>
      </c>
      <c r="F82" s="32">
        <v>0</v>
      </c>
      <c r="G82" s="32">
        <v>0</v>
      </c>
      <c r="H82" s="32">
        <v>0</v>
      </c>
      <c r="I82" s="32">
        <v>0.20794399999999999</v>
      </c>
      <c r="J82" s="32">
        <v>0</v>
      </c>
      <c r="K82" s="32">
        <v>0</v>
      </c>
      <c r="L82" s="32">
        <v>499.58</v>
      </c>
      <c r="M82" s="32">
        <v>449.99</v>
      </c>
      <c r="N82" s="33">
        <v>0.90073661875975797</v>
      </c>
      <c r="O82" s="33">
        <v>0.90525826694812095</v>
      </c>
      <c r="P82" s="33">
        <v>0.90191701644403099</v>
      </c>
      <c r="Q82" s="33">
        <v>0.889487964806154</v>
      </c>
      <c r="R82" s="32">
        <v>452.24892500194198</v>
      </c>
      <c r="S82" s="32">
        <v>449.89885292058301</v>
      </c>
      <c r="T82" s="32">
        <v>443.28351649802499</v>
      </c>
      <c r="U82" s="15">
        <v>5.0073869777793904E-3</v>
      </c>
      <c r="V82" s="15">
        <v>-2.0257408330405101E-4</v>
      </c>
      <c r="W82" s="15">
        <v>-1.50158028628289E-2</v>
      </c>
      <c r="X82" s="33">
        <v>0.90073661875975797</v>
      </c>
      <c r="Y82" s="33">
        <v>0.90525826694812095</v>
      </c>
      <c r="Z82" s="33">
        <v>0.90191701644403099</v>
      </c>
      <c r="AA82" s="33">
        <v>0.889487964806154</v>
      </c>
      <c r="AB82" s="32">
        <v>452.24892500194198</v>
      </c>
      <c r="AC82" s="32">
        <v>449.89885292058301</v>
      </c>
      <c r="AD82" s="32">
        <v>443.28351649802499</v>
      </c>
      <c r="AE82" s="15">
        <v>5.0073869777793904E-3</v>
      </c>
      <c r="AF82" s="15">
        <v>-2.0257408330405101E-4</v>
      </c>
      <c r="AG82" s="15">
        <v>-1.50158028628289E-2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7">
        <f t="shared" si="8"/>
        <v>0</v>
      </c>
      <c r="AP82" s="27">
        <f t="shared" si="9"/>
        <v>0</v>
      </c>
      <c r="AQ82" s="27">
        <f t="shared" si="16"/>
        <v>0</v>
      </c>
      <c r="AR82" s="28">
        <f t="shared" si="17"/>
        <v>2.4445145548599102E-2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7">
        <f t="shared" si="12"/>
        <v>0</v>
      </c>
      <c r="BA82" s="27">
        <f t="shared" si="13"/>
        <v>0</v>
      </c>
      <c r="BB82" s="27">
        <f t="shared" si="20"/>
        <v>0</v>
      </c>
      <c r="BC82" s="28">
        <f t="shared" si="21"/>
        <v>0</v>
      </c>
      <c r="BE82" s="28">
        <f t="shared" si="22"/>
        <v>0</v>
      </c>
      <c r="BF82" s="28">
        <f t="shared" si="23"/>
        <v>2.4445145548599102E-2</v>
      </c>
      <c r="BH82" s="28"/>
    </row>
    <row r="83" spans="1:60" x14ac:dyDescent="0.25">
      <c r="A83" s="1">
        <v>46142</v>
      </c>
      <c r="B83" s="32">
        <v>506.72</v>
      </c>
      <c r="C83" s="32">
        <v>461.44</v>
      </c>
      <c r="D83" s="15">
        <v>1.41908373658306E-2</v>
      </c>
      <c r="E83" s="15">
        <v>2.5126674361303499E-2</v>
      </c>
      <c r="F83" s="32">
        <v>0</v>
      </c>
      <c r="G83" s="32">
        <v>0</v>
      </c>
      <c r="H83" s="32">
        <v>0</v>
      </c>
      <c r="I83" s="32">
        <v>0.20794399999999999</v>
      </c>
      <c r="J83" s="32">
        <v>0</v>
      </c>
      <c r="K83" s="32">
        <v>0</v>
      </c>
      <c r="L83" s="32">
        <v>506.72</v>
      </c>
      <c r="M83" s="32">
        <v>461.44</v>
      </c>
      <c r="N83" s="33">
        <v>0.91064098515945602</v>
      </c>
      <c r="O83" s="33">
        <v>0.90525826694812095</v>
      </c>
      <c r="P83" s="33">
        <v>0.90372210000834896</v>
      </c>
      <c r="Q83" s="33">
        <v>0.89183558668448104</v>
      </c>
      <c r="R83" s="32">
        <v>458.71246902795201</v>
      </c>
      <c r="S83" s="32">
        <v>457.019390572519</v>
      </c>
      <c r="T83" s="32">
        <v>450.72134152657401</v>
      </c>
      <c r="U83" s="15">
        <v>-5.92845001769362E-3</v>
      </c>
      <c r="V83" s="15">
        <v>-9.6262145256533291E-3</v>
      </c>
      <c r="W83" s="15">
        <v>-2.3502754124983202E-2</v>
      </c>
      <c r="X83" s="33">
        <v>0.91064098515945602</v>
      </c>
      <c r="Y83" s="33">
        <v>0.90525826694812095</v>
      </c>
      <c r="Z83" s="33">
        <v>0.90372210000834896</v>
      </c>
      <c r="AA83" s="33">
        <v>0.89183558668448104</v>
      </c>
      <c r="AB83" s="32">
        <v>458.71246902795201</v>
      </c>
      <c r="AC83" s="32">
        <v>457.019390572519</v>
      </c>
      <c r="AD83" s="32">
        <v>450.72134152657401</v>
      </c>
      <c r="AE83" s="15">
        <v>-5.92845001769362E-3</v>
      </c>
      <c r="AF83" s="15">
        <v>-9.6262145256533291E-3</v>
      </c>
      <c r="AG83" s="15">
        <v>-2.3502754124983202E-2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7">
        <f t="shared" si="8"/>
        <v>0</v>
      </c>
      <c r="AP83" s="27">
        <f t="shared" si="9"/>
        <v>0</v>
      </c>
      <c r="AQ83" s="27">
        <f t="shared" si="16"/>
        <v>0</v>
      </c>
      <c r="AR83" s="28">
        <f t="shared" si="17"/>
        <v>2.4445145548599102E-2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7">
        <f t="shared" si="12"/>
        <v>0</v>
      </c>
      <c r="BA83" s="27">
        <f t="shared" si="13"/>
        <v>0</v>
      </c>
      <c r="BB83" s="27">
        <f t="shared" si="20"/>
        <v>0</v>
      </c>
      <c r="BC83" s="28">
        <f t="shared" si="21"/>
        <v>0</v>
      </c>
      <c r="BE83" s="28">
        <f t="shared" si="22"/>
        <v>0</v>
      </c>
      <c r="BF83" s="28">
        <f t="shared" si="23"/>
        <v>2.4445145548599102E-2</v>
      </c>
      <c r="BH83" s="28"/>
    </row>
    <row r="84" spans="1:60" x14ac:dyDescent="0.25">
      <c r="A84" s="1">
        <v>46143</v>
      </c>
      <c r="B84" s="32">
        <v>509.82</v>
      </c>
      <c r="C84" s="32">
        <v>465.75</v>
      </c>
      <c r="D84" s="15">
        <v>6.0991394531752204E-3</v>
      </c>
      <c r="E84" s="15">
        <v>9.2969748251682596E-3</v>
      </c>
      <c r="F84" s="32">
        <v>0</v>
      </c>
      <c r="G84" s="32">
        <v>0</v>
      </c>
      <c r="H84" s="32">
        <v>0</v>
      </c>
      <c r="I84" s="32">
        <v>0.20794399999999999</v>
      </c>
      <c r="J84" s="32">
        <v>0</v>
      </c>
      <c r="K84" s="32">
        <v>0</v>
      </c>
      <c r="L84" s="32">
        <v>509.82</v>
      </c>
      <c r="M84" s="32">
        <v>465.75</v>
      </c>
      <c r="N84" s="33">
        <v>0.91355772625632503</v>
      </c>
      <c r="O84" s="33">
        <v>0.90525826694812095</v>
      </c>
      <c r="P84" s="33">
        <v>0.905516083595719</v>
      </c>
      <c r="Q84" s="33">
        <v>0.89423120342144002</v>
      </c>
      <c r="R84" s="32">
        <v>461.51876965549098</v>
      </c>
      <c r="S84" s="32">
        <v>460.73560102625601</v>
      </c>
      <c r="T84" s="32">
        <v>454.675618803482</v>
      </c>
      <c r="U84" s="15">
        <v>-9.1262853896866298E-3</v>
      </c>
      <c r="V84" s="15">
        <v>-1.08246645839412E-2</v>
      </c>
      <c r="W84" s="15">
        <v>-2.40647704897607E-2</v>
      </c>
      <c r="X84" s="33">
        <v>0.91355772625632503</v>
      </c>
      <c r="Y84" s="33">
        <v>0.90525826694812095</v>
      </c>
      <c r="Z84" s="33">
        <v>0.905516083595719</v>
      </c>
      <c r="AA84" s="33">
        <v>0.89423120342144002</v>
      </c>
      <c r="AB84" s="32">
        <v>461.51876965549098</v>
      </c>
      <c r="AC84" s="32">
        <v>460.73560102625601</v>
      </c>
      <c r="AD84" s="32">
        <v>454.675618803482</v>
      </c>
      <c r="AE84" s="15">
        <v>-9.1262853896866298E-3</v>
      </c>
      <c r="AF84" s="15">
        <v>-1.08246645839412E-2</v>
      </c>
      <c r="AG84" s="15">
        <v>-2.40647704897607E-2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7">
        <f t="shared" si="8"/>
        <v>0</v>
      </c>
      <c r="AP84" s="27">
        <f t="shared" si="9"/>
        <v>0</v>
      </c>
      <c r="AQ84" s="27">
        <f t="shared" si="16"/>
        <v>0</v>
      </c>
      <c r="AR84" s="28">
        <f t="shared" si="17"/>
        <v>2.4445145548599102E-2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7">
        <f t="shared" si="12"/>
        <v>0</v>
      </c>
      <c r="BA84" s="27">
        <f t="shared" si="13"/>
        <v>0</v>
      </c>
      <c r="BB84" s="27">
        <f t="shared" si="20"/>
        <v>0</v>
      </c>
      <c r="BC84" s="28">
        <f t="shared" si="21"/>
        <v>0</v>
      </c>
      <c r="BE84" s="28">
        <f t="shared" si="22"/>
        <v>0</v>
      </c>
      <c r="BF84" s="28">
        <f t="shared" si="23"/>
        <v>2.4445145548599102E-2</v>
      </c>
      <c r="BH84" s="28"/>
    </row>
    <row r="85" spans="1:60" x14ac:dyDescent="0.25">
      <c r="A85" s="1">
        <v>46146</v>
      </c>
      <c r="B85" s="32">
        <v>506.79</v>
      </c>
      <c r="C85" s="32">
        <v>462.06</v>
      </c>
      <c r="D85" s="15">
        <v>-5.96100564075841E-3</v>
      </c>
      <c r="E85" s="15">
        <v>-7.9542567024840603E-3</v>
      </c>
      <c r="F85" s="32">
        <v>0</v>
      </c>
      <c r="G85" s="32">
        <v>0</v>
      </c>
      <c r="H85" s="32">
        <v>0</v>
      </c>
      <c r="I85" s="32">
        <v>0.20794399999999999</v>
      </c>
      <c r="J85" s="32">
        <v>0</v>
      </c>
      <c r="K85" s="32">
        <v>0</v>
      </c>
      <c r="L85" s="32">
        <v>506.79</v>
      </c>
      <c r="M85" s="32">
        <v>462.06</v>
      </c>
      <c r="N85" s="33">
        <v>0.91173858994849899</v>
      </c>
      <c r="O85" s="33">
        <v>0.90525826694812095</v>
      </c>
      <c r="P85" s="33">
        <v>0.906692960092078</v>
      </c>
      <c r="Q85" s="33">
        <v>0.89636896881966899</v>
      </c>
      <c r="R85" s="32">
        <v>458.77583710663799</v>
      </c>
      <c r="S85" s="32">
        <v>458.90649600547403</v>
      </c>
      <c r="T85" s="32">
        <v>453.18743158195201</v>
      </c>
      <c r="U85" s="15">
        <v>-7.1330343279609196E-3</v>
      </c>
      <c r="V85" s="15">
        <v>-6.8482758772320899E-3</v>
      </c>
      <c r="W85" s="15">
        <v>-1.9388956618144298E-2</v>
      </c>
      <c r="X85" s="33">
        <v>0.91173858994849899</v>
      </c>
      <c r="Y85" s="33">
        <v>0.90525826694812095</v>
      </c>
      <c r="Z85" s="33">
        <v>0.906692960092078</v>
      </c>
      <c r="AA85" s="33">
        <v>0.89636896881966899</v>
      </c>
      <c r="AB85" s="32">
        <v>458.77583710663799</v>
      </c>
      <c r="AC85" s="32">
        <v>458.90649600547403</v>
      </c>
      <c r="AD85" s="32">
        <v>453.18743158195201</v>
      </c>
      <c r="AE85" s="15">
        <v>-7.1330343279609196E-3</v>
      </c>
      <c r="AF85" s="15">
        <v>-6.8482758772320899E-3</v>
      </c>
      <c r="AG85" s="15">
        <v>-1.9388956618144298E-2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7">
        <f t="shared" si="8"/>
        <v>0</v>
      </c>
      <c r="AP85" s="27">
        <f t="shared" si="9"/>
        <v>0</v>
      </c>
      <c r="AQ85" s="27">
        <f t="shared" si="16"/>
        <v>0</v>
      </c>
      <c r="AR85" s="28">
        <f t="shared" si="17"/>
        <v>2.4445145548599102E-2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7">
        <f t="shared" si="12"/>
        <v>0</v>
      </c>
      <c r="BA85" s="27">
        <f t="shared" si="13"/>
        <v>0</v>
      </c>
      <c r="BB85" s="27">
        <f t="shared" si="20"/>
        <v>0</v>
      </c>
      <c r="BC85" s="28">
        <f t="shared" si="21"/>
        <v>0</v>
      </c>
      <c r="BE85" s="28">
        <f t="shared" si="22"/>
        <v>0</v>
      </c>
      <c r="BF85" s="28">
        <f t="shared" si="23"/>
        <v>2.4445145548599102E-2</v>
      </c>
      <c r="BH85" s="28"/>
    </row>
    <row r="86" spans="1:60" x14ac:dyDescent="0.25">
      <c r="A86" s="1">
        <v>46147</v>
      </c>
      <c r="B86" s="32">
        <v>522.69000000000005</v>
      </c>
      <c r="C86" s="32">
        <v>482.73</v>
      </c>
      <c r="D86" s="15">
        <v>3.08918375001771E-2</v>
      </c>
      <c r="E86" s="15">
        <v>4.37627383599547E-2</v>
      </c>
      <c r="F86" s="32">
        <v>0</v>
      </c>
      <c r="G86" s="32">
        <v>0</v>
      </c>
      <c r="H86" s="32">
        <v>0</v>
      </c>
      <c r="I86" s="32">
        <v>0.20794399999999999</v>
      </c>
      <c r="J86" s="32">
        <v>0</v>
      </c>
      <c r="K86" s="32">
        <v>0</v>
      </c>
      <c r="L86" s="32">
        <v>522.69000000000005</v>
      </c>
      <c r="M86" s="32">
        <v>482.73</v>
      </c>
      <c r="N86" s="33">
        <v>0.92354933134362605</v>
      </c>
      <c r="O86" s="33">
        <v>0.90525826694812095</v>
      </c>
      <c r="P86" s="33">
        <v>0.90850857415443098</v>
      </c>
      <c r="Q86" s="33">
        <v>0.89906556516929503</v>
      </c>
      <c r="R86" s="32">
        <v>473.16944355111298</v>
      </c>
      <c r="S86" s="32">
        <v>473.91934331052801</v>
      </c>
      <c r="T86" s="32">
        <v>468.52309631235198</v>
      </c>
      <c r="U86" s="15">
        <v>-2.0003935187738599E-2</v>
      </c>
      <c r="V86" s="15">
        <v>-1.8420345715386099E-2</v>
      </c>
      <c r="W86" s="15">
        <v>-2.9872092250306102E-2</v>
      </c>
      <c r="X86" s="33">
        <v>0.92354933134362605</v>
      </c>
      <c r="Y86" s="33">
        <v>0.90525826694812095</v>
      </c>
      <c r="Z86" s="33">
        <v>0.90850857415443098</v>
      </c>
      <c r="AA86" s="33">
        <v>0.89906556516929503</v>
      </c>
      <c r="AB86" s="32">
        <v>473.16944355111298</v>
      </c>
      <c r="AC86" s="32">
        <v>473.91934331052801</v>
      </c>
      <c r="AD86" s="32">
        <v>468.52309631235198</v>
      </c>
      <c r="AE86" s="15">
        <v>-2.0003935187738599E-2</v>
      </c>
      <c r="AF86" s="15">
        <v>-1.8420345715386099E-2</v>
      </c>
      <c r="AG86" s="15">
        <v>-2.9872092250306102E-2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7">
        <f t="shared" ref="AO86:AO149" si="28">AN86*D86</f>
        <v>0</v>
      </c>
      <c r="AP86" s="27">
        <f t="shared" ref="AP86:AP149" si="29">-AN86*$E86</f>
        <v>0</v>
      </c>
      <c r="AQ86" s="27">
        <f t="shared" si="16"/>
        <v>0</v>
      </c>
      <c r="AR86" s="28">
        <f t="shared" si="17"/>
        <v>2.4445145548599102E-2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7">
        <f t="shared" ref="AZ86:AZ149" si="32">-AY86*D86</f>
        <v>0</v>
      </c>
      <c r="BA86" s="27">
        <f t="shared" ref="BA86:BA149" si="33">AY86*$E86</f>
        <v>0</v>
      </c>
      <c r="BB86" s="27">
        <f t="shared" si="20"/>
        <v>0</v>
      </c>
      <c r="BC86" s="28">
        <f t="shared" si="21"/>
        <v>0</v>
      </c>
      <c r="BE86" s="28">
        <f t="shared" si="22"/>
        <v>0</v>
      </c>
      <c r="BF86" s="28">
        <f t="shared" si="23"/>
        <v>2.4445145548599102E-2</v>
      </c>
      <c r="BH86" s="28"/>
    </row>
    <row r="87" spans="1:60" x14ac:dyDescent="0.25">
      <c r="A87" s="1">
        <v>46148</v>
      </c>
      <c r="B87" s="32">
        <v>549.76</v>
      </c>
      <c r="C87" s="32">
        <v>506.87</v>
      </c>
      <c r="D87" s="15">
        <v>5.0493265252912103E-2</v>
      </c>
      <c r="E87" s="15">
        <v>4.8797069316873998E-2</v>
      </c>
      <c r="F87" s="32">
        <v>0</v>
      </c>
      <c r="G87" s="32">
        <v>0</v>
      </c>
      <c r="H87" s="32">
        <v>0</v>
      </c>
      <c r="I87" s="32">
        <v>0.20794399999999999</v>
      </c>
      <c r="J87" s="32">
        <v>0</v>
      </c>
      <c r="K87" s="32">
        <v>0</v>
      </c>
      <c r="L87" s="32">
        <v>549.76</v>
      </c>
      <c r="M87" s="32">
        <v>506.87</v>
      </c>
      <c r="N87" s="33">
        <v>0.92198413853317795</v>
      </c>
      <c r="O87" s="33">
        <v>0.90525826694812095</v>
      </c>
      <c r="P87" s="33">
        <v>0.91015689678026701</v>
      </c>
      <c r="Q87" s="33">
        <v>0.90137398424009496</v>
      </c>
      <c r="R87" s="32">
        <v>497.67478483739899</v>
      </c>
      <c r="S87" s="32">
        <v>499.46167372714001</v>
      </c>
      <c r="T87" s="32">
        <v>494.27028510747198</v>
      </c>
      <c r="U87" s="15">
        <v>-1.8307739251700601E-2</v>
      </c>
      <c r="V87" s="15">
        <v>-1.47236945862706E-2</v>
      </c>
      <c r="W87" s="15">
        <v>-2.5172057047277499E-2</v>
      </c>
      <c r="X87" s="33">
        <v>0.92198413853317795</v>
      </c>
      <c r="Y87" s="33">
        <v>0.90525826694812095</v>
      </c>
      <c r="Z87" s="33">
        <v>0.91015689678026701</v>
      </c>
      <c r="AA87" s="33">
        <v>0.90137398424009496</v>
      </c>
      <c r="AB87" s="32">
        <v>497.67478483739899</v>
      </c>
      <c r="AC87" s="32">
        <v>499.46167372714001</v>
      </c>
      <c r="AD87" s="32">
        <v>494.27028510747198</v>
      </c>
      <c r="AE87" s="15">
        <v>-1.8307739251700601E-2</v>
      </c>
      <c r="AF87" s="15">
        <v>-1.47236945862706E-2</v>
      </c>
      <c r="AG87" s="15">
        <v>-2.5172057047277499E-2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7">
        <f t="shared" si="28"/>
        <v>0</v>
      </c>
      <c r="AP87" s="27">
        <f t="shared" si="29"/>
        <v>0</v>
      </c>
      <c r="AQ87" s="27">
        <f t="shared" ref="AQ87:AQ150" si="36">AO87+AP87</f>
        <v>0</v>
      </c>
      <c r="AR87" s="28">
        <f t="shared" ref="AR87:AR150" si="37">AR86+AQ87</f>
        <v>2.4445145548599102E-2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7">
        <f t="shared" si="32"/>
        <v>0</v>
      </c>
      <c r="BA87" s="27">
        <f t="shared" si="33"/>
        <v>0</v>
      </c>
      <c r="BB87" s="27">
        <f t="shared" ref="BB87:BB150" si="40">AZ87+BA87</f>
        <v>0</v>
      </c>
      <c r="BC87" s="28">
        <f t="shared" ref="BC87:BC150" si="41">BC86+BB87</f>
        <v>0</v>
      </c>
      <c r="BE87" s="28">
        <f t="shared" ref="BE87:BE150" si="42">AQ87+BB87</f>
        <v>0</v>
      </c>
      <c r="BF87" s="28">
        <f t="shared" ref="BF87:BF150" si="43">BF86+BE87</f>
        <v>2.4445145548599102E-2</v>
      </c>
      <c r="BH87" s="28"/>
    </row>
    <row r="88" spans="1:60" x14ac:dyDescent="0.25">
      <c r="A88" s="1">
        <v>46149</v>
      </c>
      <c r="B88" s="32">
        <v>540.1</v>
      </c>
      <c r="C88" s="32">
        <v>492.36</v>
      </c>
      <c r="D88" s="15">
        <v>-1.7727511756990302E-2</v>
      </c>
      <c r="E88" s="15">
        <v>-2.9044404213947599E-2</v>
      </c>
      <c r="F88" s="32">
        <v>0</v>
      </c>
      <c r="G88" s="32">
        <v>0</v>
      </c>
      <c r="H88" s="32">
        <v>0</v>
      </c>
      <c r="I88" s="32">
        <v>0.20794399999999999</v>
      </c>
      <c r="J88" s="32">
        <v>0</v>
      </c>
      <c r="K88" s="32">
        <v>0</v>
      </c>
      <c r="L88" s="32">
        <v>540.1</v>
      </c>
      <c r="M88" s="32">
        <v>492.36</v>
      </c>
      <c r="N88" s="33">
        <v>0.91160896130346203</v>
      </c>
      <c r="O88" s="33">
        <v>0.90525826694812095</v>
      </c>
      <c r="P88" s="33">
        <v>0.90979553494651699</v>
      </c>
      <c r="Q88" s="33">
        <v>0.90295940546415399</v>
      </c>
      <c r="R88" s="32">
        <v>488.92998997868</v>
      </c>
      <c r="S88" s="32">
        <v>491.575739951022</v>
      </c>
      <c r="T88" s="32">
        <v>486.83208888807502</v>
      </c>
      <c r="U88" s="15">
        <v>-6.9908467947432896E-3</v>
      </c>
      <c r="V88" s="15">
        <v>-1.5941289318337701E-3</v>
      </c>
      <c r="W88" s="15">
        <v>-1.12908792895606E-2</v>
      </c>
      <c r="X88" s="33">
        <v>0.91160896130346203</v>
      </c>
      <c r="Y88" s="33">
        <v>0.90525826694812095</v>
      </c>
      <c r="Z88" s="33">
        <v>0.90979553494651699</v>
      </c>
      <c r="AA88" s="33">
        <v>0.90295940546415399</v>
      </c>
      <c r="AB88" s="32">
        <v>488.92998997868</v>
      </c>
      <c r="AC88" s="32">
        <v>491.575739951022</v>
      </c>
      <c r="AD88" s="32">
        <v>486.83208888807502</v>
      </c>
      <c r="AE88" s="15">
        <v>-6.9908467947432896E-3</v>
      </c>
      <c r="AF88" s="15">
        <v>-1.5941289318337701E-3</v>
      </c>
      <c r="AG88" s="15">
        <v>-1.12908792895606E-2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7">
        <f t="shared" si="28"/>
        <v>0</v>
      </c>
      <c r="AP88" s="27">
        <f t="shared" si="29"/>
        <v>0</v>
      </c>
      <c r="AQ88" s="27">
        <f t="shared" si="36"/>
        <v>0</v>
      </c>
      <c r="AR88" s="28">
        <f t="shared" si="37"/>
        <v>2.4445145548599102E-2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7">
        <f t="shared" si="32"/>
        <v>0</v>
      </c>
      <c r="BA88" s="27">
        <f t="shared" si="33"/>
        <v>0</v>
      </c>
      <c r="BB88" s="27">
        <f t="shared" si="40"/>
        <v>0</v>
      </c>
      <c r="BC88" s="28">
        <f t="shared" si="41"/>
        <v>0</v>
      </c>
      <c r="BE88" s="28">
        <f t="shared" si="42"/>
        <v>0</v>
      </c>
      <c r="BF88" s="28">
        <f t="shared" si="43"/>
        <v>2.4445145548599102E-2</v>
      </c>
      <c r="BH88" s="28"/>
    </row>
    <row r="89" spans="1:60" x14ac:dyDescent="0.25">
      <c r="A89" s="1">
        <v>46150</v>
      </c>
      <c r="B89" s="32">
        <v>566.54</v>
      </c>
      <c r="C89" s="32">
        <v>520.29999999999995</v>
      </c>
      <c r="D89" s="15">
        <v>4.7793379379164898E-2</v>
      </c>
      <c r="E89" s="15">
        <v>5.51954120541625E-2</v>
      </c>
      <c r="F89" s="32">
        <v>0</v>
      </c>
      <c r="G89" s="32">
        <v>0</v>
      </c>
      <c r="H89" s="32">
        <v>0</v>
      </c>
      <c r="I89" s="32">
        <v>0.20794399999999999</v>
      </c>
      <c r="J89" s="32">
        <v>0</v>
      </c>
      <c r="K89" s="32">
        <v>0</v>
      </c>
      <c r="L89" s="32">
        <v>566.54</v>
      </c>
      <c r="M89" s="32">
        <v>520.29999999999995</v>
      </c>
      <c r="N89" s="33">
        <v>0.91838175592191196</v>
      </c>
      <c r="O89" s="33">
        <v>0.90525826694812095</v>
      </c>
      <c r="P89" s="33">
        <v>0.91048767152125298</v>
      </c>
      <c r="Q89" s="33">
        <v>0.90463293383889798</v>
      </c>
      <c r="R89" s="32">
        <v>512.86501855678796</v>
      </c>
      <c r="S89" s="32">
        <v>515.43556236859899</v>
      </c>
      <c r="T89" s="32">
        <v>511.562621571661</v>
      </c>
      <c r="U89" s="15">
        <v>-1.43928794697409E-2</v>
      </c>
      <c r="V89" s="15">
        <v>-9.3932729073246193E-3</v>
      </c>
      <c r="W89" s="15">
        <v>-1.6935563083111699E-2</v>
      </c>
      <c r="X89" s="33">
        <v>0.91838175592191196</v>
      </c>
      <c r="Y89" s="33">
        <v>0.90525826694812095</v>
      </c>
      <c r="Z89" s="33">
        <v>0.91048767152125298</v>
      </c>
      <c r="AA89" s="33">
        <v>0.90463293383889798</v>
      </c>
      <c r="AB89" s="32">
        <v>512.86501855678796</v>
      </c>
      <c r="AC89" s="32">
        <v>515.43556236859899</v>
      </c>
      <c r="AD89" s="32">
        <v>511.562621571661</v>
      </c>
      <c r="AE89" s="15">
        <v>-1.43928794697409E-2</v>
      </c>
      <c r="AF89" s="15">
        <v>-9.3932729073246193E-3</v>
      </c>
      <c r="AG89" s="15">
        <v>-1.6935563083111699E-2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7">
        <f t="shared" si="28"/>
        <v>0</v>
      </c>
      <c r="AP89" s="27">
        <f t="shared" si="29"/>
        <v>0</v>
      </c>
      <c r="AQ89" s="27">
        <f t="shared" si="36"/>
        <v>0</v>
      </c>
      <c r="AR89" s="28">
        <f t="shared" si="37"/>
        <v>2.4445145548599102E-2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7">
        <f t="shared" si="32"/>
        <v>0</v>
      </c>
      <c r="BA89" s="27">
        <f t="shared" si="33"/>
        <v>0</v>
      </c>
      <c r="BB89" s="27">
        <f t="shared" si="40"/>
        <v>0</v>
      </c>
      <c r="BC89" s="28">
        <f t="shared" si="41"/>
        <v>0</v>
      </c>
      <c r="BE89" s="28">
        <f t="shared" si="42"/>
        <v>0</v>
      </c>
      <c r="BF89" s="28">
        <f t="shared" si="43"/>
        <v>2.4445145548599102E-2</v>
      </c>
      <c r="BH89" s="28"/>
    </row>
    <row r="90" spans="1:60" x14ac:dyDescent="0.25">
      <c r="A90" s="1">
        <v>46153</v>
      </c>
      <c r="B90" s="32">
        <v>576.30999999999995</v>
      </c>
      <c r="C90" s="32">
        <v>532.76</v>
      </c>
      <c r="D90" s="15">
        <v>1.7098023387637301E-2</v>
      </c>
      <c r="E90" s="15">
        <v>2.3665473036571998E-2</v>
      </c>
      <c r="F90" s="32">
        <v>0</v>
      </c>
      <c r="G90" s="32">
        <v>0</v>
      </c>
      <c r="H90" s="32">
        <v>0</v>
      </c>
      <c r="I90" s="32">
        <v>0.20794399999999999</v>
      </c>
      <c r="J90" s="32">
        <v>0</v>
      </c>
      <c r="K90" s="32">
        <v>0</v>
      </c>
      <c r="L90" s="32">
        <v>576.30999999999995</v>
      </c>
      <c r="M90" s="32">
        <v>532.76</v>
      </c>
      <c r="N90" s="33">
        <v>0.924433030834099</v>
      </c>
      <c r="O90" s="33">
        <v>0.90525826694812095</v>
      </c>
      <c r="P90" s="33">
        <v>0.91297522064424697</v>
      </c>
      <c r="Q90" s="33">
        <v>0.90649359832777698</v>
      </c>
      <c r="R90" s="32">
        <v>521.709391824872</v>
      </c>
      <c r="S90" s="32">
        <v>524.72314997441299</v>
      </c>
      <c r="T90" s="32">
        <v>521.34900610069496</v>
      </c>
      <c r="U90" s="15">
        <v>-2.09603291186756E-2</v>
      </c>
      <c r="V90" s="15">
        <v>-1.52002512124235E-2</v>
      </c>
      <c r="W90" s="15">
        <v>-2.16513464945652E-2</v>
      </c>
      <c r="X90" s="33">
        <v>0.924433030834099</v>
      </c>
      <c r="Y90" s="33">
        <v>0.90525826694812095</v>
      </c>
      <c r="Z90" s="33">
        <v>0.91297522064424697</v>
      </c>
      <c r="AA90" s="33">
        <v>0.90649359832777698</v>
      </c>
      <c r="AB90" s="32">
        <v>521.709391824872</v>
      </c>
      <c r="AC90" s="32">
        <v>524.72314997441299</v>
      </c>
      <c r="AD90" s="32">
        <v>521.34900610069496</v>
      </c>
      <c r="AE90" s="15">
        <v>-2.09603291186756E-2</v>
      </c>
      <c r="AF90" s="15">
        <v>-1.52002512124235E-2</v>
      </c>
      <c r="AG90" s="15">
        <v>-2.16513464945652E-2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7">
        <f t="shared" si="28"/>
        <v>0</v>
      </c>
      <c r="AP90" s="27">
        <f t="shared" si="29"/>
        <v>0</v>
      </c>
      <c r="AQ90" s="27">
        <f t="shared" si="36"/>
        <v>0</v>
      </c>
      <c r="AR90" s="28">
        <f t="shared" si="37"/>
        <v>2.4445145548599102E-2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7">
        <f t="shared" si="32"/>
        <v>0</v>
      </c>
      <c r="BA90" s="27">
        <f t="shared" si="33"/>
        <v>0</v>
      </c>
      <c r="BB90" s="27">
        <f t="shared" si="40"/>
        <v>0</v>
      </c>
      <c r="BC90" s="28">
        <f t="shared" si="41"/>
        <v>0</v>
      </c>
      <c r="BE90" s="28">
        <f t="shared" si="42"/>
        <v>0</v>
      </c>
      <c r="BF90" s="28">
        <f t="shared" si="43"/>
        <v>2.4445145548599102E-2</v>
      </c>
      <c r="BH90" s="28"/>
    </row>
    <row r="91" spans="1:60" x14ac:dyDescent="0.25">
      <c r="A91" s="1">
        <v>46154</v>
      </c>
      <c r="B91" s="32">
        <v>561.25</v>
      </c>
      <c r="C91" s="32">
        <v>515.99</v>
      </c>
      <c r="D91" s="15">
        <v>-2.6479271309183799E-2</v>
      </c>
      <c r="E91" s="15">
        <v>-3.1983655884019899E-2</v>
      </c>
      <c r="F91" s="32">
        <v>0</v>
      </c>
      <c r="G91" s="32">
        <v>0</v>
      </c>
      <c r="H91" s="32">
        <v>0</v>
      </c>
      <c r="I91" s="32">
        <v>0.20794399999999999</v>
      </c>
      <c r="J91" s="32">
        <v>0</v>
      </c>
      <c r="K91" s="32">
        <v>0</v>
      </c>
      <c r="L91" s="32">
        <v>561.25</v>
      </c>
      <c r="M91" s="32">
        <v>515.99</v>
      </c>
      <c r="N91" s="33">
        <v>0.91935857461024495</v>
      </c>
      <c r="O91" s="33">
        <v>0.90525826694812095</v>
      </c>
      <c r="P91" s="33">
        <v>0.91559897126705603</v>
      </c>
      <c r="Q91" s="33">
        <v>0.908076571306076</v>
      </c>
      <c r="R91" s="32">
        <v>508.07620232463302</v>
      </c>
      <c r="S91" s="32">
        <v>512.40734258658404</v>
      </c>
      <c r="T91" s="32">
        <v>508.76953206146402</v>
      </c>
      <c r="U91" s="15">
        <v>-1.5455944543839599E-2</v>
      </c>
      <c r="V91" s="15">
        <v>-6.967485734631E-3</v>
      </c>
      <c r="W91" s="15">
        <v>-1.40922571705614E-2</v>
      </c>
      <c r="X91" s="33">
        <v>0.91935857461024495</v>
      </c>
      <c r="Y91" s="33">
        <v>0.90525826694812095</v>
      </c>
      <c r="Z91" s="33">
        <v>0.91559897126705603</v>
      </c>
      <c r="AA91" s="33">
        <v>0.908076571306076</v>
      </c>
      <c r="AB91" s="32">
        <v>508.07620232463302</v>
      </c>
      <c r="AC91" s="32">
        <v>512.40734258658404</v>
      </c>
      <c r="AD91" s="32">
        <v>508.76953206146402</v>
      </c>
      <c r="AE91" s="15">
        <v>-1.5455944543839599E-2</v>
      </c>
      <c r="AF91" s="15">
        <v>-6.967485734631E-3</v>
      </c>
      <c r="AG91" s="15">
        <v>-1.40922571705614E-2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7">
        <f t="shared" si="28"/>
        <v>0</v>
      </c>
      <c r="AP91" s="27">
        <f t="shared" si="29"/>
        <v>0</v>
      </c>
      <c r="AQ91" s="27">
        <f t="shared" si="36"/>
        <v>0</v>
      </c>
      <c r="AR91" s="28">
        <f t="shared" si="37"/>
        <v>2.4445145548599102E-2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7">
        <f t="shared" si="32"/>
        <v>0</v>
      </c>
      <c r="BA91" s="27">
        <f t="shared" si="33"/>
        <v>0</v>
      </c>
      <c r="BB91" s="27">
        <f t="shared" si="40"/>
        <v>0</v>
      </c>
      <c r="BC91" s="28">
        <f t="shared" si="41"/>
        <v>0</v>
      </c>
      <c r="BE91" s="28">
        <f t="shared" si="42"/>
        <v>0</v>
      </c>
      <c r="BF91" s="28">
        <f t="shared" si="43"/>
        <v>2.4445145548599102E-2</v>
      </c>
      <c r="BH91" s="28"/>
    </row>
    <row r="92" spans="1:60" x14ac:dyDescent="0.25">
      <c r="A92" s="1">
        <v>46155</v>
      </c>
      <c r="B92" s="32">
        <v>572.46</v>
      </c>
      <c r="C92" s="32">
        <v>528.29</v>
      </c>
      <c r="D92" s="15">
        <v>1.97764249353456E-2</v>
      </c>
      <c r="E92" s="15">
        <v>2.35579899032804E-2</v>
      </c>
      <c r="F92" s="32">
        <v>0</v>
      </c>
      <c r="G92" s="32">
        <v>0</v>
      </c>
      <c r="H92" s="32">
        <v>0</v>
      </c>
      <c r="I92" s="32">
        <v>0.20794399999999999</v>
      </c>
      <c r="J92" s="32">
        <v>0</v>
      </c>
      <c r="K92" s="32">
        <v>0</v>
      </c>
      <c r="L92" s="32">
        <v>572.46</v>
      </c>
      <c r="M92" s="32">
        <v>528.29</v>
      </c>
      <c r="N92" s="33">
        <v>0.92284177060405903</v>
      </c>
      <c r="O92" s="33">
        <v>0.90525826694812095</v>
      </c>
      <c r="P92" s="33">
        <v>0.91780948645148597</v>
      </c>
      <c r="Q92" s="33">
        <v>0.90986325144775804</v>
      </c>
      <c r="R92" s="32">
        <v>518.22414749712095</v>
      </c>
      <c r="S92" s="32">
        <v>524.14378709153902</v>
      </c>
      <c r="T92" s="32">
        <v>519.83751400987603</v>
      </c>
      <c r="U92" s="15">
        <v>-1.9237509511774501E-2</v>
      </c>
      <c r="V92" s="15">
        <v>-7.8793258261748399E-3</v>
      </c>
      <c r="W92" s="15">
        <v>-1.61290856644246E-2</v>
      </c>
      <c r="X92" s="33">
        <v>0.92284177060405903</v>
      </c>
      <c r="Y92" s="33">
        <v>0.90525826694812095</v>
      </c>
      <c r="Z92" s="33">
        <v>0.91780948645148597</v>
      </c>
      <c r="AA92" s="33">
        <v>0.90986325144775804</v>
      </c>
      <c r="AB92" s="32">
        <v>518.22414749712095</v>
      </c>
      <c r="AC92" s="32">
        <v>524.14378709153902</v>
      </c>
      <c r="AD92" s="32">
        <v>519.83751400987603</v>
      </c>
      <c r="AE92" s="15">
        <v>-1.9237509511774501E-2</v>
      </c>
      <c r="AF92" s="15">
        <v>-7.8793258261748399E-3</v>
      </c>
      <c r="AG92" s="15">
        <v>-1.61290856644246E-2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7">
        <f t="shared" si="28"/>
        <v>0</v>
      </c>
      <c r="AP92" s="27">
        <f t="shared" si="29"/>
        <v>0</v>
      </c>
      <c r="AQ92" s="27">
        <f t="shared" si="36"/>
        <v>0</v>
      </c>
      <c r="AR92" s="28">
        <f t="shared" si="37"/>
        <v>2.4445145548599102E-2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7">
        <f t="shared" si="32"/>
        <v>0</v>
      </c>
      <c r="BA92" s="27">
        <f t="shared" si="33"/>
        <v>0</v>
      </c>
      <c r="BB92" s="27">
        <f t="shared" si="40"/>
        <v>0</v>
      </c>
      <c r="BC92" s="28">
        <f t="shared" si="41"/>
        <v>0</v>
      </c>
      <c r="BE92" s="28">
        <f t="shared" si="42"/>
        <v>0</v>
      </c>
      <c r="BF92" s="28">
        <f t="shared" si="43"/>
        <v>2.4445145548599102E-2</v>
      </c>
      <c r="BH92" s="28"/>
    </row>
    <row r="93" spans="1:60" x14ac:dyDescent="0.25">
      <c r="A93" s="1">
        <v>46156</v>
      </c>
      <c r="B93" s="32">
        <v>578.34</v>
      </c>
      <c r="C93" s="32">
        <v>530.03</v>
      </c>
      <c r="D93" s="15">
        <v>1.02190670321223E-2</v>
      </c>
      <c r="E93" s="15">
        <v>3.2882333657290302E-3</v>
      </c>
      <c r="F93" s="32">
        <v>0</v>
      </c>
      <c r="G93" s="32">
        <v>0</v>
      </c>
      <c r="H93" s="32">
        <v>0</v>
      </c>
      <c r="I93" s="32">
        <v>0.20794399999999999</v>
      </c>
      <c r="J93" s="32">
        <v>0</v>
      </c>
      <c r="K93" s="32">
        <v>0</v>
      </c>
      <c r="L93" s="32">
        <v>578.34</v>
      </c>
      <c r="M93" s="32">
        <v>530.03</v>
      </c>
      <c r="N93" s="33">
        <v>0.91646782169657903</v>
      </c>
      <c r="O93" s="33">
        <v>0.90525826694812095</v>
      </c>
      <c r="P93" s="33">
        <v>0.91839217010519802</v>
      </c>
      <c r="Q93" s="33">
        <v>0.91105713505677399</v>
      </c>
      <c r="R93" s="32">
        <v>523.54706610677601</v>
      </c>
      <c r="S93" s="32">
        <v>530.80593839435198</v>
      </c>
      <c r="T93" s="32">
        <v>526.21031284229605</v>
      </c>
      <c r="U93" s="15">
        <v>-1.2306675845381299E-2</v>
      </c>
      <c r="V93" s="15">
        <v>1.4628813083091901E-3</v>
      </c>
      <c r="W93" s="15">
        <v>-7.2326415915984097E-3</v>
      </c>
      <c r="X93" s="33">
        <v>0.91646782169657903</v>
      </c>
      <c r="Y93" s="33">
        <v>0.90525826694812095</v>
      </c>
      <c r="Z93" s="33">
        <v>0.91839217010519802</v>
      </c>
      <c r="AA93" s="33">
        <v>0.91105713505677399</v>
      </c>
      <c r="AB93" s="32">
        <v>523.54706610677601</v>
      </c>
      <c r="AC93" s="32">
        <v>530.80593839435198</v>
      </c>
      <c r="AD93" s="32">
        <v>526.21031284229605</v>
      </c>
      <c r="AE93" s="15">
        <v>-1.2306675845381299E-2</v>
      </c>
      <c r="AF93" s="15">
        <v>1.4628813083091901E-3</v>
      </c>
      <c r="AG93" s="15">
        <v>-7.2326415915984097E-3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7">
        <f t="shared" si="28"/>
        <v>0</v>
      </c>
      <c r="AP93" s="27">
        <f t="shared" si="29"/>
        <v>0</v>
      </c>
      <c r="AQ93" s="27">
        <f t="shared" si="36"/>
        <v>0</v>
      </c>
      <c r="AR93" s="28">
        <f t="shared" si="37"/>
        <v>2.4445145548599102E-2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7">
        <f t="shared" si="32"/>
        <v>0</v>
      </c>
      <c r="BA93" s="27">
        <f t="shared" si="33"/>
        <v>0</v>
      </c>
      <c r="BB93" s="27">
        <f t="shared" si="40"/>
        <v>0</v>
      </c>
      <c r="BC93" s="28">
        <f t="shared" si="41"/>
        <v>0</v>
      </c>
      <c r="BE93" s="28">
        <f t="shared" si="42"/>
        <v>0</v>
      </c>
      <c r="BF93" s="28">
        <f t="shared" si="43"/>
        <v>2.4445145548599102E-2</v>
      </c>
      <c r="BH93" s="28"/>
    </row>
    <row r="94" spans="1:60" x14ac:dyDescent="0.25">
      <c r="A94" s="1">
        <v>46157</v>
      </c>
      <c r="B94" s="32">
        <v>556.34</v>
      </c>
      <c r="C94" s="32">
        <v>508.52</v>
      </c>
      <c r="D94" s="15">
        <v>-3.8782312878517501E-2</v>
      </c>
      <c r="E94" s="15">
        <v>-4.1429062635897497E-2</v>
      </c>
      <c r="F94" s="32">
        <v>0</v>
      </c>
      <c r="G94" s="32">
        <v>0</v>
      </c>
      <c r="H94" s="32">
        <v>0</v>
      </c>
      <c r="I94" s="32">
        <v>0.20794399999999999</v>
      </c>
      <c r="J94" s="32">
        <v>0</v>
      </c>
      <c r="K94" s="32">
        <v>0</v>
      </c>
      <c r="L94" s="32">
        <v>556.34</v>
      </c>
      <c r="M94" s="32">
        <v>508.52</v>
      </c>
      <c r="N94" s="33">
        <v>0.91404536794046798</v>
      </c>
      <c r="O94" s="33">
        <v>0.90525826694812095</v>
      </c>
      <c r="P94" s="33">
        <v>0.91844093427361295</v>
      </c>
      <c r="Q94" s="33">
        <v>0.91197850893466603</v>
      </c>
      <c r="R94" s="32">
        <v>503.63138423391803</v>
      </c>
      <c r="S94" s="32">
        <v>510.938299916326</v>
      </c>
      <c r="T94" s="32">
        <v>506.85752651748498</v>
      </c>
      <c r="U94" s="15">
        <v>-9.6599260880010796E-3</v>
      </c>
      <c r="V94" s="15">
        <v>4.7442930279961298E-3</v>
      </c>
      <c r="W94" s="15">
        <v>-3.27459476825398E-3</v>
      </c>
      <c r="X94" s="33">
        <v>0.91404536794046798</v>
      </c>
      <c r="Y94" s="33">
        <v>0.90525826694812095</v>
      </c>
      <c r="Z94" s="33">
        <v>0.91844093427361295</v>
      </c>
      <c r="AA94" s="33">
        <v>0.91197850893466603</v>
      </c>
      <c r="AB94" s="32">
        <v>503.63138423391803</v>
      </c>
      <c r="AC94" s="32">
        <v>510.938299916326</v>
      </c>
      <c r="AD94" s="32">
        <v>506.85752651748498</v>
      </c>
      <c r="AE94" s="15">
        <v>-9.6599260880010796E-3</v>
      </c>
      <c r="AF94" s="15">
        <v>4.7442930279961298E-3</v>
      </c>
      <c r="AG94" s="15">
        <v>-3.27459476825398E-3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7">
        <f t="shared" si="28"/>
        <v>0</v>
      </c>
      <c r="AP94" s="27">
        <f t="shared" si="29"/>
        <v>0</v>
      </c>
      <c r="AQ94" s="27">
        <f t="shared" si="36"/>
        <v>0</v>
      </c>
      <c r="AR94" s="28">
        <f t="shared" si="37"/>
        <v>2.4445145548599102E-2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7">
        <f t="shared" si="32"/>
        <v>0</v>
      </c>
      <c r="BA94" s="27">
        <f t="shared" si="33"/>
        <v>0</v>
      </c>
      <c r="BB94" s="27">
        <f t="shared" si="40"/>
        <v>0</v>
      </c>
      <c r="BC94" s="28">
        <f t="shared" si="41"/>
        <v>0</v>
      </c>
      <c r="BE94" s="28">
        <f t="shared" si="42"/>
        <v>0</v>
      </c>
      <c r="BF94" s="28">
        <f t="shared" si="43"/>
        <v>2.4445145548599102E-2</v>
      </c>
      <c r="BH94" s="28"/>
    </row>
    <row r="95" spans="1:60" x14ac:dyDescent="0.25">
      <c r="A95" s="1">
        <v>46160</v>
      </c>
      <c r="B95" s="32">
        <v>546.16</v>
      </c>
      <c r="C95" s="32">
        <v>495.87</v>
      </c>
      <c r="D95" s="15">
        <v>-1.8467645035389401E-2</v>
      </c>
      <c r="E95" s="15">
        <v>-2.5190750484549999E-2</v>
      </c>
      <c r="F95" s="32">
        <v>0</v>
      </c>
      <c r="G95" s="32">
        <v>0</v>
      </c>
      <c r="H95" s="32">
        <v>0</v>
      </c>
      <c r="I95" s="32">
        <v>0.20794399999999999</v>
      </c>
      <c r="J95" s="32">
        <v>0</v>
      </c>
      <c r="K95" s="32">
        <v>0</v>
      </c>
      <c r="L95" s="32">
        <v>546.16</v>
      </c>
      <c r="M95" s="32">
        <v>495.87</v>
      </c>
      <c r="N95" s="33">
        <v>0.90792075582246901</v>
      </c>
      <c r="O95" s="33">
        <v>0.90525826694812095</v>
      </c>
      <c r="P95" s="33">
        <v>0.91805915086100998</v>
      </c>
      <c r="Q95" s="33">
        <v>0.91237605547654399</v>
      </c>
      <c r="R95" s="32">
        <v>494.41585507638598</v>
      </c>
      <c r="S95" s="32">
        <v>501.61570066287601</v>
      </c>
      <c r="T95" s="32">
        <v>498.08618243975701</v>
      </c>
      <c r="U95" s="15">
        <v>-2.93682063884055E-3</v>
      </c>
      <c r="V95" s="15">
        <v>1.1520494393502299E-2</v>
      </c>
      <c r="W95" s="15">
        <v>4.4593235625737899E-3</v>
      </c>
      <c r="X95" s="33">
        <v>0.90792075582246901</v>
      </c>
      <c r="Y95" s="33">
        <v>0.90525826694812095</v>
      </c>
      <c r="Z95" s="33">
        <v>0.91805915086100998</v>
      </c>
      <c r="AA95" s="33">
        <v>0.91237605547654399</v>
      </c>
      <c r="AB95" s="32">
        <v>494.41585507638598</v>
      </c>
      <c r="AC95" s="32">
        <v>501.61570066287601</v>
      </c>
      <c r="AD95" s="32">
        <v>498.08618243975701</v>
      </c>
      <c r="AE95" s="15">
        <v>-2.93682063884055E-3</v>
      </c>
      <c r="AF95" s="15">
        <v>1.1520494393502299E-2</v>
      </c>
      <c r="AG95" s="15">
        <v>4.4593235625737899E-3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7">
        <f t="shared" si="28"/>
        <v>0</v>
      </c>
      <c r="AP95" s="27">
        <f t="shared" si="29"/>
        <v>0</v>
      </c>
      <c r="AQ95" s="27">
        <f t="shared" si="36"/>
        <v>0</v>
      </c>
      <c r="AR95" s="28">
        <f t="shared" si="37"/>
        <v>2.4445145548599102E-2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7">
        <f t="shared" si="32"/>
        <v>0</v>
      </c>
      <c r="BA95" s="27">
        <f t="shared" si="33"/>
        <v>0</v>
      </c>
      <c r="BB95" s="27">
        <f t="shared" si="40"/>
        <v>0</v>
      </c>
      <c r="BC95" s="28">
        <f t="shared" si="41"/>
        <v>0</v>
      </c>
      <c r="BE95" s="28">
        <f t="shared" si="42"/>
        <v>0</v>
      </c>
      <c r="BF95" s="28">
        <f t="shared" si="43"/>
        <v>2.4445145548599102E-2</v>
      </c>
      <c r="BH95" s="28"/>
    </row>
    <row r="96" spans="1:60" x14ac:dyDescent="0.25">
      <c r="A96" s="1">
        <v>46161</v>
      </c>
      <c r="B96" s="32">
        <v>543.96</v>
      </c>
      <c r="C96" s="32">
        <v>496.74</v>
      </c>
      <c r="D96" s="15">
        <v>-4.03625836926658E-3</v>
      </c>
      <c r="E96" s="15">
        <v>1.7529547813979101E-3</v>
      </c>
      <c r="F96" s="32">
        <v>0</v>
      </c>
      <c r="G96" s="32">
        <v>0</v>
      </c>
      <c r="H96" s="32">
        <v>0</v>
      </c>
      <c r="I96" s="32">
        <v>0.20794399999999999</v>
      </c>
      <c r="J96" s="32">
        <v>0</v>
      </c>
      <c r="K96" s="32">
        <v>0</v>
      </c>
      <c r="L96" s="32">
        <v>543.96</v>
      </c>
      <c r="M96" s="32">
        <v>496.74</v>
      </c>
      <c r="N96" s="33">
        <v>0.91319214648135805</v>
      </c>
      <c r="O96" s="33">
        <v>0.90525826694812095</v>
      </c>
      <c r="P96" s="33">
        <v>0.91702343237478301</v>
      </c>
      <c r="Q96" s="33">
        <v>0.912766003264607</v>
      </c>
      <c r="R96" s="32">
        <v>492.42428688910002</v>
      </c>
      <c r="S96" s="32">
        <v>499.387455702355</v>
      </c>
      <c r="T96" s="32">
        <v>496.29607913702102</v>
      </c>
      <c r="U96" s="15">
        <v>-8.7260337895050302E-3</v>
      </c>
      <c r="V96" s="15">
        <v>5.3155084136474002E-3</v>
      </c>
      <c r="W96" s="15">
        <v>-8.9406800392522205E-4</v>
      </c>
      <c r="X96" s="33">
        <v>0.91319214648135805</v>
      </c>
      <c r="Y96" s="33">
        <v>0.90525826694812095</v>
      </c>
      <c r="Z96" s="33">
        <v>0.91702343237478301</v>
      </c>
      <c r="AA96" s="33">
        <v>0.912766003264607</v>
      </c>
      <c r="AB96" s="32">
        <v>492.42428688910002</v>
      </c>
      <c r="AC96" s="32">
        <v>499.387455702355</v>
      </c>
      <c r="AD96" s="32">
        <v>496.29607913702102</v>
      </c>
      <c r="AE96" s="15">
        <v>-8.7260337895050302E-3</v>
      </c>
      <c r="AF96" s="15">
        <v>5.3155084136474002E-3</v>
      </c>
      <c r="AG96" s="15">
        <v>-8.9406800392522205E-4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7">
        <f t="shared" si="28"/>
        <v>0</v>
      </c>
      <c r="AP96" s="27">
        <f t="shared" si="29"/>
        <v>0</v>
      </c>
      <c r="AQ96" s="27">
        <f t="shared" si="36"/>
        <v>0</v>
      </c>
      <c r="AR96" s="28">
        <f t="shared" si="37"/>
        <v>2.4445145548599102E-2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7">
        <f t="shared" si="32"/>
        <v>0</v>
      </c>
      <c r="BA96" s="27">
        <f t="shared" si="33"/>
        <v>0</v>
      </c>
      <c r="BB96" s="27">
        <f t="shared" si="40"/>
        <v>0</v>
      </c>
      <c r="BC96" s="28">
        <f t="shared" si="41"/>
        <v>0</v>
      </c>
      <c r="BE96" s="28">
        <f t="shared" si="42"/>
        <v>0</v>
      </c>
      <c r="BF96" s="28">
        <f t="shared" si="43"/>
        <v>2.4445145548599102E-2</v>
      </c>
      <c r="BH96" s="28"/>
    </row>
    <row r="97" spans="1:60" x14ac:dyDescent="0.25">
      <c r="A97" s="1">
        <v>46162</v>
      </c>
      <c r="B97" s="32">
        <v>564.66</v>
      </c>
      <c r="C97" s="32">
        <v>520.30999999999995</v>
      </c>
      <c r="D97" s="15">
        <v>3.73480653579931E-2</v>
      </c>
      <c r="E97" s="15">
        <v>4.6358037413745799E-2</v>
      </c>
      <c r="F97" s="32">
        <v>0</v>
      </c>
      <c r="G97" s="32">
        <v>0</v>
      </c>
      <c r="H97" s="32">
        <v>0</v>
      </c>
      <c r="I97" s="32">
        <v>0.20794399999999999</v>
      </c>
      <c r="J97" s="32">
        <v>0</v>
      </c>
      <c r="K97" s="32">
        <v>0</v>
      </c>
      <c r="L97" s="32">
        <v>564.66</v>
      </c>
      <c r="M97" s="32">
        <v>520.30999999999995</v>
      </c>
      <c r="N97" s="33">
        <v>0.92145716006092104</v>
      </c>
      <c r="O97" s="33">
        <v>0.90525826694812095</v>
      </c>
      <c r="P97" s="33">
        <v>0.91697073452755695</v>
      </c>
      <c r="Q97" s="33">
        <v>0.91356381565391198</v>
      </c>
      <c r="R97" s="32">
        <v>511.16313301492602</v>
      </c>
      <c r="S97" s="32">
        <v>517.80645132474501</v>
      </c>
      <c r="T97" s="32">
        <v>515.402451403393</v>
      </c>
      <c r="U97" s="15">
        <v>-1.77360058452577E-2</v>
      </c>
      <c r="V97" s="15">
        <v>-4.8232614473516797E-3</v>
      </c>
      <c r="W97" s="15">
        <v>-9.4767332731965203E-3</v>
      </c>
      <c r="X97" s="33">
        <v>0.92145716006092104</v>
      </c>
      <c r="Y97" s="33">
        <v>0.90525826694812095</v>
      </c>
      <c r="Z97" s="33">
        <v>0.91697073452755695</v>
      </c>
      <c r="AA97" s="33">
        <v>0.91356381565391198</v>
      </c>
      <c r="AB97" s="32">
        <v>511.16313301492602</v>
      </c>
      <c r="AC97" s="32">
        <v>517.80645132474501</v>
      </c>
      <c r="AD97" s="32">
        <v>515.402451403393</v>
      </c>
      <c r="AE97" s="15">
        <v>-1.77360058452577E-2</v>
      </c>
      <c r="AF97" s="15">
        <v>-4.8232614473516797E-3</v>
      </c>
      <c r="AG97" s="15">
        <v>-9.4767332731965203E-3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7">
        <f t="shared" si="28"/>
        <v>0</v>
      </c>
      <c r="AP97" s="27">
        <f t="shared" si="29"/>
        <v>0</v>
      </c>
      <c r="AQ97" s="27">
        <f t="shared" si="36"/>
        <v>0</v>
      </c>
      <c r="AR97" s="28">
        <f t="shared" si="37"/>
        <v>2.4445145548599102E-2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7">
        <f t="shared" si="32"/>
        <v>0</v>
      </c>
      <c r="BA97" s="27">
        <f t="shared" si="33"/>
        <v>0</v>
      </c>
      <c r="BB97" s="27">
        <f t="shared" si="40"/>
        <v>0</v>
      </c>
      <c r="BC97" s="28">
        <f t="shared" si="41"/>
        <v>0</v>
      </c>
      <c r="BE97" s="28">
        <f t="shared" si="42"/>
        <v>0</v>
      </c>
      <c r="BF97" s="28">
        <f t="shared" si="43"/>
        <v>2.4445145548599102E-2</v>
      </c>
      <c r="BH97" s="28"/>
    </row>
    <row r="98" spans="1:60" x14ac:dyDescent="0.25">
      <c r="A98" s="1">
        <v>46163</v>
      </c>
      <c r="B98" s="32">
        <v>567.88</v>
      </c>
      <c r="C98" s="32">
        <v>524.71</v>
      </c>
      <c r="D98" s="15">
        <v>5.6863486966216804E-3</v>
      </c>
      <c r="E98" s="15">
        <v>8.4209412281643706E-3</v>
      </c>
      <c r="F98" s="32">
        <v>0</v>
      </c>
      <c r="G98" s="32">
        <v>0</v>
      </c>
      <c r="H98" s="32">
        <v>0</v>
      </c>
      <c r="I98" s="32">
        <v>0.20794399999999999</v>
      </c>
      <c r="J98" s="32">
        <v>0</v>
      </c>
      <c r="K98" s="32">
        <v>0</v>
      </c>
      <c r="L98" s="32">
        <v>567.88</v>
      </c>
      <c r="M98" s="32">
        <v>524.71</v>
      </c>
      <c r="N98" s="33">
        <v>0.92398041839825296</v>
      </c>
      <c r="O98" s="33">
        <v>0.90525826694812095</v>
      </c>
      <c r="P98" s="33">
        <v>0.91820788023703603</v>
      </c>
      <c r="Q98" s="33">
        <v>0.91400170759177701</v>
      </c>
      <c r="R98" s="32">
        <v>514.07806463449901</v>
      </c>
      <c r="S98" s="32">
        <v>520.72934072350904</v>
      </c>
      <c r="T98" s="32">
        <v>518.79461963354299</v>
      </c>
      <c r="U98" s="15">
        <v>-2.0470598376800101E-2</v>
      </c>
      <c r="V98" s="15">
        <v>-7.6153218249664697E-3</v>
      </c>
      <c r="W98" s="15">
        <v>-1.13376474233322E-2</v>
      </c>
      <c r="X98" s="33">
        <v>0.92398041839825296</v>
      </c>
      <c r="Y98" s="33">
        <v>0.90525826694812095</v>
      </c>
      <c r="Z98" s="33">
        <v>0.91820788023703603</v>
      </c>
      <c r="AA98" s="33">
        <v>0.91400170759177701</v>
      </c>
      <c r="AB98" s="32">
        <v>514.07806463449901</v>
      </c>
      <c r="AC98" s="32">
        <v>520.72934072350904</v>
      </c>
      <c r="AD98" s="32">
        <v>518.79461963354299</v>
      </c>
      <c r="AE98" s="15">
        <v>-2.0470598376800101E-2</v>
      </c>
      <c r="AF98" s="15">
        <v>-7.6153218249664697E-3</v>
      </c>
      <c r="AG98" s="15">
        <v>-1.13376474233322E-2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7">
        <f t="shared" si="28"/>
        <v>0</v>
      </c>
      <c r="AP98" s="27">
        <f t="shared" si="29"/>
        <v>0</v>
      </c>
      <c r="AQ98" s="27">
        <f t="shared" si="36"/>
        <v>0</v>
      </c>
      <c r="AR98" s="28">
        <f t="shared" si="37"/>
        <v>2.4445145548599102E-2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7">
        <f t="shared" si="32"/>
        <v>0</v>
      </c>
      <c r="BA98" s="27">
        <f t="shared" si="33"/>
        <v>0</v>
      </c>
      <c r="BB98" s="27">
        <f t="shared" si="40"/>
        <v>0</v>
      </c>
      <c r="BC98" s="28">
        <f t="shared" si="41"/>
        <v>0</v>
      </c>
      <c r="BE98" s="28">
        <f t="shared" si="42"/>
        <v>0</v>
      </c>
      <c r="BF98" s="28">
        <f t="shared" si="43"/>
        <v>2.4445145548599102E-2</v>
      </c>
      <c r="BH98" s="28"/>
    </row>
    <row r="99" spans="1:60" x14ac:dyDescent="0.25">
      <c r="A99" s="1">
        <v>46164</v>
      </c>
      <c r="B99" s="32">
        <v>576.32000000000005</v>
      </c>
      <c r="C99" s="32">
        <v>537.33000000000004</v>
      </c>
      <c r="D99" s="15">
        <v>1.4752933192218E-2</v>
      </c>
      <c r="E99" s="15">
        <v>2.3766701884597199E-2</v>
      </c>
      <c r="F99" s="32">
        <v>0</v>
      </c>
      <c r="G99" s="32">
        <v>0</v>
      </c>
      <c r="H99" s="32">
        <v>0</v>
      </c>
      <c r="I99" s="32">
        <v>0.20794399999999999</v>
      </c>
      <c r="J99" s="32">
        <v>0</v>
      </c>
      <c r="K99" s="32">
        <v>0</v>
      </c>
      <c r="L99" s="32">
        <v>576.32000000000005</v>
      </c>
      <c r="M99" s="32">
        <v>537.33000000000004</v>
      </c>
      <c r="N99" s="33">
        <v>0.93234661299278099</v>
      </c>
      <c r="O99" s="33">
        <v>0.90525826694812095</v>
      </c>
      <c r="P99" s="33">
        <v>0.91960436594412298</v>
      </c>
      <c r="Q99" s="33">
        <v>0.91504601873268798</v>
      </c>
      <c r="R99" s="32">
        <v>521.71844440754103</v>
      </c>
      <c r="S99" s="32">
        <v>529.18156553820904</v>
      </c>
      <c r="T99" s="32">
        <v>526.75746411929299</v>
      </c>
      <c r="U99" s="15">
        <v>-2.9484367069179299E-2</v>
      </c>
      <c r="V99" s="15">
        <v>-1.52808338550974E-2</v>
      </c>
      <c r="W99" s="15">
        <v>-1.98722081850797E-2</v>
      </c>
      <c r="X99" s="33">
        <v>0.93234661299278099</v>
      </c>
      <c r="Y99" s="33">
        <v>0.90525826694812095</v>
      </c>
      <c r="Z99" s="33">
        <v>0.91960436594412298</v>
      </c>
      <c r="AA99" s="33">
        <v>0.91504601873268798</v>
      </c>
      <c r="AB99" s="32">
        <v>521.71844440754103</v>
      </c>
      <c r="AC99" s="32">
        <v>529.18156553820904</v>
      </c>
      <c r="AD99" s="32">
        <v>526.75746411929299</v>
      </c>
      <c r="AE99" s="15">
        <v>-2.9484367069179299E-2</v>
      </c>
      <c r="AF99" s="15">
        <v>-1.52808338550974E-2</v>
      </c>
      <c r="AG99" s="15">
        <v>-1.98722081850797E-2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7">
        <f t="shared" si="28"/>
        <v>0</v>
      </c>
      <c r="AP99" s="27">
        <f t="shared" si="29"/>
        <v>0</v>
      </c>
      <c r="AQ99" s="27">
        <f t="shared" si="36"/>
        <v>0</v>
      </c>
      <c r="AR99" s="28">
        <f t="shared" si="37"/>
        <v>2.4445145548599102E-2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7">
        <f t="shared" si="32"/>
        <v>0</v>
      </c>
      <c r="BA99" s="27">
        <f t="shared" si="33"/>
        <v>0</v>
      </c>
      <c r="BB99" s="27">
        <f t="shared" si="40"/>
        <v>0</v>
      </c>
      <c r="BC99" s="28">
        <f t="shared" si="41"/>
        <v>0</v>
      </c>
      <c r="BE99" s="28">
        <f t="shared" si="42"/>
        <v>0</v>
      </c>
      <c r="BF99" s="28">
        <f t="shared" si="43"/>
        <v>2.4445145548599102E-2</v>
      </c>
      <c r="BH99" s="28"/>
    </row>
    <row r="100" spans="1:60" x14ac:dyDescent="0.25">
      <c r="A100" s="1">
        <v>46168</v>
      </c>
      <c r="B100" s="32">
        <v>602.14</v>
      </c>
      <c r="C100" s="32">
        <v>570.09</v>
      </c>
      <c r="D100" s="15">
        <v>4.3826914423312199E-2</v>
      </c>
      <c r="E100" s="15">
        <v>5.9181812196098901E-2</v>
      </c>
      <c r="F100" s="32">
        <v>0</v>
      </c>
      <c r="G100" s="32">
        <v>0</v>
      </c>
      <c r="H100" s="32">
        <v>0</v>
      </c>
      <c r="I100" s="32">
        <v>0.20794399999999999</v>
      </c>
      <c r="J100" s="32">
        <v>0</v>
      </c>
      <c r="K100" s="32">
        <v>0</v>
      </c>
      <c r="L100" s="32">
        <v>602.14</v>
      </c>
      <c r="M100" s="32">
        <v>570.09</v>
      </c>
      <c r="N100" s="33">
        <v>0.946773175673431</v>
      </c>
      <c r="O100" s="33">
        <v>0.90525826694812095</v>
      </c>
      <c r="P100" s="33">
        <v>0.92183838042805599</v>
      </c>
      <c r="Q100" s="33">
        <v>0.91740680053615198</v>
      </c>
      <c r="R100" s="32">
        <v>545.09221286014201</v>
      </c>
      <c r="S100" s="32">
        <v>553.730572909594</v>
      </c>
      <c r="T100" s="32">
        <v>550.98580971970102</v>
      </c>
      <c r="U100" s="15">
        <v>-4.4839264841966202E-2</v>
      </c>
      <c r="V100" s="15">
        <v>-2.9116005139216101E-2</v>
      </c>
      <c r="W100" s="15">
        <v>-3.40851879648464E-2</v>
      </c>
      <c r="X100" s="33">
        <v>0.946773175673431</v>
      </c>
      <c r="Y100" s="33">
        <v>0.90525826694812095</v>
      </c>
      <c r="Z100" s="33">
        <v>0.92183838042805599</v>
      </c>
      <c r="AA100" s="33">
        <v>0.91740680053615198</v>
      </c>
      <c r="AB100" s="32">
        <v>545.09221286014201</v>
      </c>
      <c r="AC100" s="32">
        <v>553.730572909594</v>
      </c>
      <c r="AD100" s="32">
        <v>550.98580971970102</v>
      </c>
      <c r="AE100" s="15">
        <v>-4.4839264841966202E-2</v>
      </c>
      <c r="AF100" s="15">
        <v>-2.9116005139216101E-2</v>
      </c>
      <c r="AG100" s="15">
        <v>-3.40851879648464E-2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7">
        <f t="shared" si="28"/>
        <v>0</v>
      </c>
      <c r="AP100" s="27">
        <f t="shared" si="29"/>
        <v>0</v>
      </c>
      <c r="AQ100" s="27">
        <f t="shared" si="36"/>
        <v>0</v>
      </c>
      <c r="AR100" s="28">
        <f t="shared" si="37"/>
        <v>2.4445145548599102E-2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7">
        <f t="shared" si="32"/>
        <v>0</v>
      </c>
      <c r="BA100" s="27">
        <f t="shared" si="33"/>
        <v>0</v>
      </c>
      <c r="BB100" s="27">
        <f t="shared" si="40"/>
        <v>0</v>
      </c>
      <c r="BC100" s="28">
        <f t="shared" si="41"/>
        <v>0</v>
      </c>
      <c r="BE100" s="28">
        <f t="shared" si="42"/>
        <v>0</v>
      </c>
      <c r="BF100" s="28">
        <f t="shared" si="43"/>
        <v>2.4445145548599102E-2</v>
      </c>
      <c r="BH100" s="28"/>
    </row>
    <row r="101" spans="1:60" x14ac:dyDescent="0.25">
      <c r="A101" s="1">
        <v>46169</v>
      </c>
      <c r="B101" s="32">
        <v>595.5</v>
      </c>
      <c r="C101" s="32">
        <v>563.98</v>
      </c>
      <c r="D101" s="15">
        <v>-1.1088587615548699E-2</v>
      </c>
      <c r="E101" s="15">
        <v>-1.07754532249808E-2</v>
      </c>
      <c r="F101" s="32">
        <v>0</v>
      </c>
      <c r="G101" s="32">
        <v>0</v>
      </c>
      <c r="H101" s="32">
        <v>0</v>
      </c>
      <c r="I101" s="32">
        <v>0.20794399999999999</v>
      </c>
      <c r="J101" s="32">
        <v>0</v>
      </c>
      <c r="K101" s="32">
        <v>0</v>
      </c>
      <c r="L101" s="32">
        <v>595.5</v>
      </c>
      <c r="M101" s="32">
        <v>563.98</v>
      </c>
      <c r="N101" s="33">
        <v>0.947069689336691</v>
      </c>
      <c r="O101" s="33">
        <v>0.90525826694812095</v>
      </c>
      <c r="P101" s="33">
        <v>0.92460949190070096</v>
      </c>
      <c r="Q101" s="33">
        <v>0.920104231583878</v>
      </c>
      <c r="R101" s="32">
        <v>539.08129796760602</v>
      </c>
      <c r="S101" s="32">
        <v>548.95475554490702</v>
      </c>
      <c r="T101" s="32">
        <v>546.31574971927796</v>
      </c>
      <c r="U101" s="15">
        <v>-4.5152399232534203E-2</v>
      </c>
      <c r="V101" s="15">
        <v>-2.7002764249466699E-2</v>
      </c>
      <c r="W101" s="15">
        <v>-3.1821685091138197E-2</v>
      </c>
      <c r="X101" s="33">
        <v>0.947069689336691</v>
      </c>
      <c r="Y101" s="33">
        <v>0.90525826694812095</v>
      </c>
      <c r="Z101" s="33">
        <v>0.92460949190070096</v>
      </c>
      <c r="AA101" s="33">
        <v>0.920104231583878</v>
      </c>
      <c r="AB101" s="32">
        <v>539.08129796760602</v>
      </c>
      <c r="AC101" s="32">
        <v>548.95475554490702</v>
      </c>
      <c r="AD101" s="32">
        <v>546.31574971927796</v>
      </c>
      <c r="AE101" s="15">
        <v>-4.5152399232534203E-2</v>
      </c>
      <c r="AF101" s="15">
        <v>-2.7002764249466699E-2</v>
      </c>
      <c r="AG101" s="15">
        <v>-3.1821685091138197E-2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7">
        <f t="shared" si="28"/>
        <v>0</v>
      </c>
      <c r="AP101" s="27">
        <f t="shared" si="29"/>
        <v>0</v>
      </c>
      <c r="AQ101" s="27">
        <f t="shared" si="36"/>
        <v>0</v>
      </c>
      <c r="AR101" s="28">
        <f t="shared" si="37"/>
        <v>2.4445145548599102E-2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7">
        <f t="shared" si="32"/>
        <v>0</v>
      </c>
      <c r="BA101" s="27">
        <f t="shared" si="33"/>
        <v>0</v>
      </c>
      <c r="BB101" s="27">
        <f t="shared" si="40"/>
        <v>0</v>
      </c>
      <c r="BC101" s="28">
        <f t="shared" si="41"/>
        <v>0</v>
      </c>
      <c r="BE101" s="28">
        <f t="shared" si="42"/>
        <v>0</v>
      </c>
      <c r="BF101" s="28">
        <f t="shared" si="43"/>
        <v>2.4445145548599102E-2</v>
      </c>
      <c r="BH101" s="28"/>
    </row>
    <row r="102" spans="1:60" x14ac:dyDescent="0.25">
      <c r="A102" s="1">
        <v>46170</v>
      </c>
      <c r="B102" s="32">
        <v>599.83000000000004</v>
      </c>
      <c r="C102" s="32">
        <v>569.47</v>
      </c>
      <c r="D102" s="15">
        <v>7.2448929409861104E-3</v>
      </c>
      <c r="E102" s="15">
        <v>9.6873138357852304E-3</v>
      </c>
      <c r="F102" s="32">
        <v>0</v>
      </c>
      <c r="G102" s="32">
        <v>0</v>
      </c>
      <c r="H102" s="32">
        <v>0</v>
      </c>
      <c r="I102" s="32">
        <v>0.20794399999999999</v>
      </c>
      <c r="J102" s="32">
        <v>0</v>
      </c>
      <c r="K102" s="32">
        <v>0</v>
      </c>
      <c r="L102" s="32">
        <v>599.83000000000004</v>
      </c>
      <c r="M102" s="32">
        <v>569.47</v>
      </c>
      <c r="N102" s="33">
        <v>0.94938565927012597</v>
      </c>
      <c r="O102" s="33">
        <v>0.90525826694812095</v>
      </c>
      <c r="P102" s="33">
        <v>0.92726388076730804</v>
      </c>
      <c r="Q102" s="33">
        <v>0.922536683609397</v>
      </c>
      <c r="R102" s="32">
        <v>543.001066263491</v>
      </c>
      <c r="S102" s="32">
        <v>554.60851152679697</v>
      </c>
      <c r="T102" s="32">
        <v>551.90612123095798</v>
      </c>
      <c r="U102" s="15">
        <v>-4.7594820127333397E-2</v>
      </c>
      <c r="V102" s="15">
        <v>-2.6443623502942999E-2</v>
      </c>
      <c r="W102" s="15">
        <v>-3.1328142132438903E-2</v>
      </c>
      <c r="X102" s="33">
        <v>0.94938565927012597</v>
      </c>
      <c r="Y102" s="33">
        <v>0.90525826694812095</v>
      </c>
      <c r="Z102" s="33">
        <v>0.92726388076730804</v>
      </c>
      <c r="AA102" s="33">
        <v>0.922536683609397</v>
      </c>
      <c r="AB102" s="32">
        <v>543.001066263491</v>
      </c>
      <c r="AC102" s="32">
        <v>554.60851152679697</v>
      </c>
      <c r="AD102" s="32">
        <v>551.90612123095798</v>
      </c>
      <c r="AE102" s="15">
        <v>-4.7594820127333397E-2</v>
      </c>
      <c r="AF102" s="15">
        <v>-2.6443623502942999E-2</v>
      </c>
      <c r="AG102" s="15">
        <v>-3.1328142132438903E-2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7">
        <f t="shared" si="28"/>
        <v>0</v>
      </c>
      <c r="AP102" s="27">
        <f t="shared" si="29"/>
        <v>0</v>
      </c>
      <c r="AQ102" s="27">
        <f t="shared" si="36"/>
        <v>0</v>
      </c>
      <c r="AR102" s="28">
        <f t="shared" si="37"/>
        <v>2.4445145548599102E-2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7">
        <f t="shared" si="32"/>
        <v>0</v>
      </c>
      <c r="BA102" s="27">
        <f t="shared" si="33"/>
        <v>0</v>
      </c>
      <c r="BB102" s="27">
        <f t="shared" si="40"/>
        <v>0</v>
      </c>
      <c r="BC102" s="28">
        <f t="shared" si="41"/>
        <v>0</v>
      </c>
      <c r="BE102" s="28">
        <f t="shared" si="42"/>
        <v>0</v>
      </c>
      <c r="BF102" s="28">
        <f t="shared" si="43"/>
        <v>2.4445145548599102E-2</v>
      </c>
      <c r="BH102" s="28"/>
    </row>
    <row r="103" spans="1:60" x14ac:dyDescent="0.25">
      <c r="A103" s="1">
        <v>46171</v>
      </c>
      <c r="B103" s="32">
        <v>598.92999999999995</v>
      </c>
      <c r="C103" s="32">
        <v>569.08000000000004</v>
      </c>
      <c r="D103" s="15">
        <v>-1.5015518854473099E-3</v>
      </c>
      <c r="E103" s="15">
        <v>-6.8508192921425701E-4</v>
      </c>
      <c r="F103" s="32">
        <v>0</v>
      </c>
      <c r="G103" s="32">
        <v>0</v>
      </c>
      <c r="H103" s="32">
        <v>0</v>
      </c>
      <c r="I103" s="32">
        <v>0.20794399999999999</v>
      </c>
      <c r="J103" s="32">
        <v>0</v>
      </c>
      <c r="K103" s="32">
        <v>0</v>
      </c>
      <c r="L103" s="32">
        <v>598.92999999999995</v>
      </c>
      <c r="M103" s="32">
        <v>569.08000000000004</v>
      </c>
      <c r="N103" s="33">
        <v>0.95016112066518599</v>
      </c>
      <c r="O103" s="33">
        <v>0.90525826694812095</v>
      </c>
      <c r="P103" s="33">
        <v>0.93063321066416804</v>
      </c>
      <c r="Q103" s="33">
        <v>0.92451269038468298</v>
      </c>
      <c r="R103" s="32">
        <v>542.18633382323799</v>
      </c>
      <c r="S103" s="32">
        <v>555.36615610796298</v>
      </c>
      <c r="T103" s="32">
        <v>552.53489591417599</v>
      </c>
      <c r="U103" s="15">
        <v>-4.8411290083566497E-2</v>
      </c>
      <c r="V103" s="15">
        <v>-2.4393384834708699E-2</v>
      </c>
      <c r="W103" s="15">
        <v>-2.9504430359910301E-2</v>
      </c>
      <c r="X103" s="33">
        <v>0.95016112066518599</v>
      </c>
      <c r="Y103" s="33">
        <v>0.90525826694812095</v>
      </c>
      <c r="Z103" s="33">
        <v>0.93063321066416804</v>
      </c>
      <c r="AA103" s="33">
        <v>0.92451269038468298</v>
      </c>
      <c r="AB103" s="32">
        <v>542.18633382323799</v>
      </c>
      <c r="AC103" s="32">
        <v>555.36615610796298</v>
      </c>
      <c r="AD103" s="32">
        <v>552.53489591417599</v>
      </c>
      <c r="AE103" s="15">
        <v>-4.8411290083566497E-2</v>
      </c>
      <c r="AF103" s="15">
        <v>-2.4393384834708699E-2</v>
      </c>
      <c r="AG103" s="15">
        <v>-2.9504430359910301E-2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7">
        <f t="shared" si="28"/>
        <v>0</v>
      </c>
      <c r="AP103" s="27">
        <f t="shared" si="29"/>
        <v>0</v>
      </c>
      <c r="AQ103" s="27">
        <f t="shared" si="36"/>
        <v>0</v>
      </c>
      <c r="AR103" s="28">
        <f t="shared" si="37"/>
        <v>2.4445145548599102E-2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7">
        <f t="shared" si="32"/>
        <v>0</v>
      </c>
      <c r="BA103" s="27">
        <f t="shared" si="33"/>
        <v>0</v>
      </c>
      <c r="BB103" s="27">
        <f t="shared" si="40"/>
        <v>0</v>
      </c>
      <c r="BC103" s="28">
        <f t="shared" si="41"/>
        <v>0</v>
      </c>
      <c r="BE103" s="28">
        <f t="shared" si="42"/>
        <v>0</v>
      </c>
      <c r="BF103" s="28">
        <f t="shared" si="43"/>
        <v>2.4445145548599102E-2</v>
      </c>
      <c r="BH103" s="28"/>
    </row>
    <row r="104" spans="1:60" x14ac:dyDescent="0.25">
      <c r="A104" s="1">
        <v>46174</v>
      </c>
      <c r="B104" s="32">
        <v>607.80999999999995</v>
      </c>
      <c r="C104" s="32">
        <v>571.92999999999995</v>
      </c>
      <c r="D104" s="15">
        <v>1.4717603276973501E-2</v>
      </c>
      <c r="E104" s="15">
        <v>4.9955844857017201E-3</v>
      </c>
      <c r="F104" s="32">
        <v>0</v>
      </c>
      <c r="G104" s="32">
        <v>0</v>
      </c>
      <c r="H104" s="32">
        <v>0</v>
      </c>
      <c r="I104" s="32">
        <v>0.20794399999999999</v>
      </c>
      <c r="J104" s="32">
        <v>0</v>
      </c>
      <c r="K104" s="32">
        <v>0</v>
      </c>
      <c r="L104" s="32">
        <v>607.80999999999995</v>
      </c>
      <c r="M104" s="32">
        <v>571.92999999999995</v>
      </c>
      <c r="N104" s="33">
        <v>0.94096839472861504</v>
      </c>
      <c r="O104" s="33">
        <v>0.90525826694812095</v>
      </c>
      <c r="P104" s="33">
        <v>0.93332551334298297</v>
      </c>
      <c r="Q104" s="33">
        <v>0.92588322380829802</v>
      </c>
      <c r="R104" s="32">
        <v>550.22502723373702</v>
      </c>
      <c r="S104" s="32">
        <v>565.64817177378802</v>
      </c>
      <c r="T104" s="32">
        <v>561.92805834271405</v>
      </c>
      <c r="U104" s="15">
        <v>-3.86892712922947E-2</v>
      </c>
      <c r="V104" s="15">
        <v>-1.10443259816975E-2</v>
      </c>
      <c r="W104" s="15">
        <v>-1.7642774635308799E-2</v>
      </c>
      <c r="X104" s="33">
        <v>0.94096839472861504</v>
      </c>
      <c r="Y104" s="33">
        <v>0.90525826694812095</v>
      </c>
      <c r="Z104" s="33">
        <v>0.93332551334298297</v>
      </c>
      <c r="AA104" s="33">
        <v>0.92588322380829802</v>
      </c>
      <c r="AB104" s="32">
        <v>550.22502723373702</v>
      </c>
      <c r="AC104" s="32">
        <v>565.64817177378802</v>
      </c>
      <c r="AD104" s="32">
        <v>561.92805834271405</v>
      </c>
      <c r="AE104" s="15">
        <v>-3.86892712922947E-2</v>
      </c>
      <c r="AF104" s="15">
        <v>-1.10443259816975E-2</v>
      </c>
      <c r="AG104" s="15">
        <v>-1.7642774635308799E-2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7">
        <f t="shared" si="28"/>
        <v>0</v>
      </c>
      <c r="AP104" s="27">
        <f t="shared" si="29"/>
        <v>0</v>
      </c>
      <c r="AQ104" s="27">
        <f t="shared" si="36"/>
        <v>0</v>
      </c>
      <c r="AR104" s="28">
        <f t="shared" si="37"/>
        <v>2.4445145548599102E-2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7">
        <f t="shared" si="32"/>
        <v>0</v>
      </c>
      <c r="BA104" s="27">
        <f t="shared" si="33"/>
        <v>0</v>
      </c>
      <c r="BB104" s="27">
        <f t="shared" si="40"/>
        <v>0</v>
      </c>
      <c r="BC104" s="28">
        <f t="shared" si="41"/>
        <v>0</v>
      </c>
      <c r="BE104" s="28">
        <f t="shared" si="42"/>
        <v>0</v>
      </c>
      <c r="BF104" s="28">
        <f t="shared" si="43"/>
        <v>2.4445145548599102E-2</v>
      </c>
      <c r="BH104" s="28"/>
    </row>
    <row r="105" spans="1:60" x14ac:dyDescent="0.25">
      <c r="A105" s="1">
        <v>46175</v>
      </c>
      <c r="B105" s="32">
        <v>632.21</v>
      </c>
      <c r="C105" s="32">
        <v>605.02</v>
      </c>
      <c r="D105" s="15">
        <v>3.9359284307734402E-2</v>
      </c>
      <c r="E105" s="15">
        <v>5.62449090670143E-2</v>
      </c>
      <c r="F105" s="32">
        <v>0</v>
      </c>
      <c r="G105" s="32">
        <v>0</v>
      </c>
      <c r="H105" s="32">
        <v>0</v>
      </c>
      <c r="I105" s="32">
        <v>0.20794399999999999</v>
      </c>
      <c r="J105" s="32">
        <v>0</v>
      </c>
      <c r="K105" s="32">
        <v>0</v>
      </c>
      <c r="L105" s="32">
        <v>632.21</v>
      </c>
      <c r="M105" s="32">
        <v>605.02</v>
      </c>
      <c r="N105" s="33">
        <v>0.95699213868809396</v>
      </c>
      <c r="O105" s="33">
        <v>0.90525826694812095</v>
      </c>
      <c r="P105" s="33">
        <v>0.93823265162954606</v>
      </c>
      <c r="Q105" s="33">
        <v>0.92814590124527796</v>
      </c>
      <c r="R105" s="32">
        <v>572.313328947272</v>
      </c>
      <c r="S105" s="32">
        <v>590.05772279056703</v>
      </c>
      <c r="T105" s="32">
        <v>585.352632923844</v>
      </c>
      <c r="U105" s="15">
        <v>-5.5574896051574597E-2</v>
      </c>
      <c r="V105" s="15">
        <v>-2.50411479832214E-2</v>
      </c>
      <c r="W105" s="15">
        <v>-3.3047058386727703E-2</v>
      </c>
      <c r="X105" s="33">
        <v>0.95699213868809396</v>
      </c>
      <c r="Y105" s="33">
        <v>0.90525826694812095</v>
      </c>
      <c r="Z105" s="33">
        <v>0.93823265162954606</v>
      </c>
      <c r="AA105" s="33">
        <v>0.92814590124527796</v>
      </c>
      <c r="AB105" s="32">
        <v>572.313328947272</v>
      </c>
      <c r="AC105" s="32">
        <v>590.05772279056703</v>
      </c>
      <c r="AD105" s="32">
        <v>585.352632923844</v>
      </c>
      <c r="AE105" s="15">
        <v>-5.5574896051574597E-2</v>
      </c>
      <c r="AF105" s="15">
        <v>-2.50411479832214E-2</v>
      </c>
      <c r="AG105" s="15">
        <v>-3.3047058386727703E-2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7">
        <f t="shared" si="28"/>
        <v>0</v>
      </c>
      <c r="AP105" s="27">
        <f t="shared" si="29"/>
        <v>0</v>
      </c>
      <c r="AQ105" s="27">
        <f t="shared" si="36"/>
        <v>0</v>
      </c>
      <c r="AR105" s="28">
        <f t="shared" si="37"/>
        <v>2.4445145548599102E-2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7">
        <f t="shared" si="32"/>
        <v>0</v>
      </c>
      <c r="BA105" s="27">
        <f t="shared" si="33"/>
        <v>0</v>
      </c>
      <c r="BB105" s="27">
        <f t="shared" si="40"/>
        <v>0</v>
      </c>
      <c r="BC105" s="28">
        <f t="shared" si="41"/>
        <v>0</v>
      </c>
      <c r="BE105" s="28">
        <f t="shared" si="42"/>
        <v>0</v>
      </c>
      <c r="BF105" s="28">
        <f t="shared" si="43"/>
        <v>2.4445145548599102E-2</v>
      </c>
      <c r="BH105" s="28"/>
    </row>
    <row r="106" spans="1:60" x14ac:dyDescent="0.25">
      <c r="A106" s="1">
        <v>46176</v>
      </c>
      <c r="B106" s="32">
        <v>637.9</v>
      </c>
      <c r="C106" s="32">
        <v>615.67999999999995</v>
      </c>
      <c r="D106" s="15">
        <v>8.9599138123080905E-3</v>
      </c>
      <c r="E106" s="15">
        <v>1.7465832701604601E-2</v>
      </c>
      <c r="F106" s="32">
        <v>0</v>
      </c>
      <c r="G106" s="32">
        <v>0</v>
      </c>
      <c r="H106" s="32">
        <v>0</v>
      </c>
      <c r="I106" s="32">
        <v>0.20794399999999999</v>
      </c>
      <c r="J106" s="32">
        <v>0</v>
      </c>
      <c r="K106" s="32">
        <v>0</v>
      </c>
      <c r="L106" s="32">
        <v>637.9</v>
      </c>
      <c r="M106" s="32">
        <v>615.67999999999995</v>
      </c>
      <c r="N106" s="33">
        <v>0.96516695406803499</v>
      </c>
      <c r="O106" s="33">
        <v>0.90525826694812095</v>
      </c>
      <c r="P106" s="33">
        <v>0.94343013238821305</v>
      </c>
      <c r="Q106" s="33">
        <v>0.93022678238149803</v>
      </c>
      <c r="R106" s="32">
        <v>577.46424848620597</v>
      </c>
      <c r="S106" s="32">
        <v>598.49860847448701</v>
      </c>
      <c r="T106" s="32">
        <v>592.06427040436199</v>
      </c>
      <c r="U106" s="15">
        <v>-6.4080814940871006E-2</v>
      </c>
      <c r="V106" s="15">
        <v>-2.8303148063704001E-2</v>
      </c>
      <c r="W106" s="15">
        <v>-3.9112154173785801E-2</v>
      </c>
      <c r="X106" s="33">
        <v>0.96516695406803499</v>
      </c>
      <c r="Y106" s="33">
        <v>0.90525826694812095</v>
      </c>
      <c r="Z106" s="33">
        <v>0.94343013238821305</v>
      </c>
      <c r="AA106" s="33">
        <v>0.93022678238149803</v>
      </c>
      <c r="AB106" s="32">
        <v>577.46424848620597</v>
      </c>
      <c r="AC106" s="32">
        <v>598.49860847448701</v>
      </c>
      <c r="AD106" s="32">
        <v>592.06427040436199</v>
      </c>
      <c r="AE106" s="15">
        <v>-6.4080814940871006E-2</v>
      </c>
      <c r="AF106" s="15">
        <v>-2.8303148063704001E-2</v>
      </c>
      <c r="AG106" s="15">
        <v>-3.9112154173785801E-2</v>
      </c>
      <c r="AI106" s="12"/>
      <c r="AJ106">
        <f t="shared" si="26"/>
        <v>1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7">
        <f t="shared" si="28"/>
        <v>0</v>
      </c>
      <c r="AP106" s="27">
        <f t="shared" si="29"/>
        <v>0</v>
      </c>
      <c r="AQ106" s="27">
        <f t="shared" si="36"/>
        <v>0</v>
      </c>
      <c r="AR106" s="28">
        <f t="shared" si="37"/>
        <v>2.4445145548599102E-2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7">
        <f t="shared" si="32"/>
        <v>0</v>
      </c>
      <c r="BA106" s="27">
        <f t="shared" si="33"/>
        <v>0</v>
      </c>
      <c r="BB106" s="27">
        <f t="shared" si="40"/>
        <v>0</v>
      </c>
      <c r="BC106" s="28">
        <f t="shared" si="41"/>
        <v>0</v>
      </c>
      <c r="BE106" s="28">
        <f t="shared" si="42"/>
        <v>0</v>
      </c>
      <c r="BF106" s="28">
        <f t="shared" si="43"/>
        <v>2.4445145548599102E-2</v>
      </c>
      <c r="BH106" s="28"/>
    </row>
    <row r="107" spans="1:60" x14ac:dyDescent="0.25">
      <c r="A107" s="1">
        <v>46177</v>
      </c>
      <c r="B107" s="32">
        <v>627.53</v>
      </c>
      <c r="C107" s="32">
        <v>602.72</v>
      </c>
      <c r="D107" s="15">
        <v>-1.6390052619833E-2</v>
      </c>
      <c r="E107" s="15">
        <v>-2.1274604093555902E-2</v>
      </c>
      <c r="F107" s="32">
        <v>0</v>
      </c>
      <c r="G107" s="32">
        <v>0</v>
      </c>
      <c r="H107" s="32">
        <v>0</v>
      </c>
      <c r="I107" s="32">
        <v>0.20794399999999999</v>
      </c>
      <c r="J107" s="32">
        <v>0</v>
      </c>
      <c r="K107" s="32">
        <v>0</v>
      </c>
      <c r="L107" s="32">
        <v>627.53</v>
      </c>
      <c r="M107" s="32">
        <v>602.72</v>
      </c>
      <c r="N107" s="33">
        <v>0.96046404155976595</v>
      </c>
      <c r="O107" s="33">
        <v>0.90525826694812095</v>
      </c>
      <c r="P107" s="33">
        <v>0.94733082053809803</v>
      </c>
      <c r="Q107" s="33">
        <v>0.93215077753282805</v>
      </c>
      <c r="R107" s="32">
        <v>568.07672025795398</v>
      </c>
      <c r="S107" s="32">
        <v>592.03071097757504</v>
      </c>
      <c r="T107" s="32">
        <v>583.74521274786105</v>
      </c>
      <c r="U107" s="15">
        <v>-5.9196263467148201E-2</v>
      </c>
      <c r="V107" s="15">
        <v>-1.78942337539616E-2</v>
      </c>
      <c r="W107" s="15">
        <v>-3.1988135854445002E-2</v>
      </c>
      <c r="X107" s="33">
        <v>0.96046404155976595</v>
      </c>
      <c r="Y107" s="33">
        <v>0.90525826694812095</v>
      </c>
      <c r="Z107" s="33">
        <v>0.94733082053809803</v>
      </c>
      <c r="AA107" s="33">
        <v>0.93215077753282805</v>
      </c>
      <c r="AB107" s="32">
        <v>568.07672025795398</v>
      </c>
      <c r="AC107" s="32">
        <v>592.03071097757504</v>
      </c>
      <c r="AD107" s="32">
        <v>583.74521274786105</v>
      </c>
      <c r="AE107" s="15">
        <v>-5.9196263467148201E-2</v>
      </c>
      <c r="AF107" s="15">
        <v>-1.78942337539616E-2</v>
      </c>
      <c r="AG107" s="15">
        <v>-3.1988135854445002E-2</v>
      </c>
      <c r="AI107" s="12"/>
      <c r="AJ107">
        <f t="shared" si="26"/>
        <v>0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7">
        <f t="shared" si="28"/>
        <v>-1.6390052619833E-2</v>
      </c>
      <c r="AP107" s="27">
        <f t="shared" si="29"/>
        <v>2.1274604093555902E-2</v>
      </c>
      <c r="AQ107" s="27">
        <f t="shared" si="36"/>
        <v>4.884551473722902E-3</v>
      </c>
      <c r="AR107" s="28">
        <f t="shared" si="37"/>
        <v>2.9329697022322004E-2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7">
        <f t="shared" si="32"/>
        <v>0</v>
      </c>
      <c r="BA107" s="27">
        <f t="shared" si="33"/>
        <v>0</v>
      </c>
      <c r="BB107" s="27">
        <f t="shared" si="40"/>
        <v>0</v>
      </c>
      <c r="BC107" s="28">
        <f t="shared" si="41"/>
        <v>0</v>
      </c>
      <c r="BE107" s="28">
        <f t="shared" si="42"/>
        <v>4.884551473722902E-3</v>
      </c>
      <c r="BF107" s="28">
        <f t="shared" si="43"/>
        <v>2.9329697022322004E-2</v>
      </c>
      <c r="BH107" s="28"/>
    </row>
    <row r="108" spans="1:60" x14ac:dyDescent="0.25">
      <c r="A108" s="1">
        <v>46178</v>
      </c>
      <c r="B108" s="32">
        <v>569.69000000000005</v>
      </c>
      <c r="C108" s="32">
        <v>539.77</v>
      </c>
      <c r="D108" s="15">
        <v>-9.6699125393905794E-2</v>
      </c>
      <c r="E108" s="15">
        <v>-0.110309621043548</v>
      </c>
      <c r="F108" s="32">
        <v>0</v>
      </c>
      <c r="G108" s="32">
        <v>0</v>
      </c>
      <c r="H108" s="32">
        <v>0</v>
      </c>
      <c r="I108" s="32">
        <v>0.20794399999999999</v>
      </c>
      <c r="J108" s="32">
        <v>0</v>
      </c>
      <c r="K108" s="32">
        <v>0</v>
      </c>
      <c r="L108" s="32">
        <v>569.69000000000005</v>
      </c>
      <c r="M108" s="32">
        <v>539.77</v>
      </c>
      <c r="N108" s="33">
        <v>0.94748020853446602</v>
      </c>
      <c r="O108" s="33">
        <v>0.90525826694812095</v>
      </c>
      <c r="P108" s="33">
        <v>0.94968079955171902</v>
      </c>
      <c r="Q108" s="33">
        <v>0.93394433989437797</v>
      </c>
      <c r="R108" s="32">
        <v>515.71658209767497</v>
      </c>
      <c r="S108" s="32">
        <v>539.68489515234899</v>
      </c>
      <c r="T108" s="32">
        <v>531.03697645267596</v>
      </c>
      <c r="U108" s="15">
        <v>-4.5585767817505403E-2</v>
      </c>
      <c r="V108" s="15">
        <v>-1.5768115594137099E-4</v>
      </c>
      <c r="W108" s="15">
        <v>-1.6311468578583298E-2</v>
      </c>
      <c r="X108" s="33">
        <v>0.94748020853446602</v>
      </c>
      <c r="Y108" s="33">
        <v>0.90525826694812095</v>
      </c>
      <c r="Z108" s="33">
        <v>0.94968079955171902</v>
      </c>
      <c r="AA108" s="33">
        <v>0.93394433989437797</v>
      </c>
      <c r="AB108" s="32">
        <v>515.71658209767497</v>
      </c>
      <c r="AC108" s="32">
        <v>539.68489515234899</v>
      </c>
      <c r="AD108" s="32">
        <v>531.03697645267596</v>
      </c>
      <c r="AE108" s="15">
        <v>-4.5585767817505403E-2</v>
      </c>
      <c r="AF108" s="15">
        <v>-1.5768115594137099E-4</v>
      </c>
      <c r="AG108" s="15">
        <v>-1.6311468578583298E-2</v>
      </c>
      <c r="AI108" s="12"/>
      <c r="AJ108">
        <f t="shared" si="26"/>
        <v>0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7">
        <f t="shared" si="28"/>
        <v>-9.6699125393905794E-2</v>
      </c>
      <c r="AP108" s="27">
        <f t="shared" si="29"/>
        <v>0.110309621043548</v>
      </c>
      <c r="AQ108" s="27">
        <f t="shared" si="36"/>
        <v>1.3610495649642201E-2</v>
      </c>
      <c r="AR108" s="28">
        <f t="shared" si="37"/>
        <v>4.2940192671964209E-2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7">
        <f t="shared" si="32"/>
        <v>0</v>
      </c>
      <c r="BA108" s="27">
        <f t="shared" si="33"/>
        <v>0</v>
      </c>
      <c r="BB108" s="27">
        <f t="shared" si="40"/>
        <v>0</v>
      </c>
      <c r="BC108" s="28">
        <f t="shared" si="41"/>
        <v>0</v>
      </c>
      <c r="BE108" s="28">
        <f t="shared" si="42"/>
        <v>1.3610495649642201E-2</v>
      </c>
      <c r="BF108" s="28">
        <f t="shared" si="43"/>
        <v>4.2940192671964209E-2</v>
      </c>
      <c r="BH108" s="28"/>
    </row>
    <row r="109" spans="1:60" x14ac:dyDescent="0.25">
      <c r="A109" s="1">
        <v>46181</v>
      </c>
      <c r="B109" s="32">
        <v>598.16</v>
      </c>
      <c r="C109" s="32">
        <v>571.45000000000005</v>
      </c>
      <c r="D109" s="15">
        <v>4.8765923457489299E-2</v>
      </c>
      <c r="E109" s="15">
        <v>5.7033867443424403E-2</v>
      </c>
      <c r="F109" s="32">
        <v>0</v>
      </c>
      <c r="G109" s="32">
        <v>0</v>
      </c>
      <c r="H109" s="32">
        <v>0</v>
      </c>
      <c r="I109" s="32">
        <v>0.20794399999999999</v>
      </c>
      <c r="J109" s="32">
        <v>0</v>
      </c>
      <c r="K109" s="32">
        <v>0</v>
      </c>
      <c r="L109" s="32">
        <v>598.16</v>
      </c>
      <c r="M109" s="32">
        <v>571.45000000000005</v>
      </c>
      <c r="N109" s="33">
        <v>0.95534639561321399</v>
      </c>
      <c r="O109" s="33">
        <v>0.90525826694812095</v>
      </c>
      <c r="P109" s="33">
        <v>0.951980777813762</v>
      </c>
      <c r="Q109" s="33">
        <v>0.93579257187894305</v>
      </c>
      <c r="R109" s="32">
        <v>541.48928495768803</v>
      </c>
      <c r="S109" s="32">
        <v>568.06106705985599</v>
      </c>
      <c r="T109" s="32">
        <v>558.64814635122104</v>
      </c>
      <c r="U109" s="15">
        <v>-5.3853711803440597E-2</v>
      </c>
      <c r="V109" s="15">
        <v>-5.9480649721777301E-3</v>
      </c>
      <c r="W109" s="15">
        <v>-2.2657149441827201E-2</v>
      </c>
      <c r="X109" s="33">
        <v>0.95534639561321399</v>
      </c>
      <c r="Y109" s="33">
        <v>0.90525826694812095</v>
      </c>
      <c r="Z109" s="33">
        <v>0.951980777813762</v>
      </c>
      <c r="AA109" s="33">
        <v>0.93579257187894305</v>
      </c>
      <c r="AB109" s="32">
        <v>541.48928495768803</v>
      </c>
      <c r="AC109" s="32">
        <v>568.06106705985599</v>
      </c>
      <c r="AD109" s="32">
        <v>558.64814635122104</v>
      </c>
      <c r="AE109" s="15">
        <v>-5.3853711803440597E-2</v>
      </c>
      <c r="AF109" s="15">
        <v>-5.9480649721777301E-3</v>
      </c>
      <c r="AG109" s="15">
        <v>-2.2657149441827201E-2</v>
      </c>
      <c r="AI109" s="12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7">
        <f t="shared" si="28"/>
        <v>4.8765923457489299E-2</v>
      </c>
      <c r="AP109" s="27">
        <f t="shared" si="29"/>
        <v>-5.7033867443424403E-2</v>
      </c>
      <c r="AQ109" s="27">
        <f t="shared" si="36"/>
        <v>-8.2679439859351042E-3</v>
      </c>
      <c r="AR109" s="28">
        <f t="shared" si="37"/>
        <v>3.4672248686029104E-2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7">
        <f t="shared" si="32"/>
        <v>0</v>
      </c>
      <c r="BA109" s="27">
        <f t="shared" si="33"/>
        <v>0</v>
      </c>
      <c r="BB109" s="27">
        <f t="shared" si="40"/>
        <v>0</v>
      </c>
      <c r="BC109" s="28">
        <f t="shared" si="41"/>
        <v>0</v>
      </c>
      <c r="BE109" s="28">
        <f t="shared" si="42"/>
        <v>-8.2679439859351042E-3</v>
      </c>
      <c r="BF109" s="28">
        <f t="shared" si="43"/>
        <v>3.4672248686029104E-2</v>
      </c>
      <c r="BH109" s="28"/>
    </row>
    <row r="110" spans="1:60" x14ac:dyDescent="0.25">
      <c r="A110" s="1">
        <v>46182</v>
      </c>
      <c r="B110" s="32">
        <v>591.01</v>
      </c>
      <c r="C110" s="32">
        <v>562.14</v>
      </c>
      <c r="D110" s="15">
        <v>-1.2025338954938101E-2</v>
      </c>
      <c r="E110" s="15">
        <v>-1.6426061152455099E-2</v>
      </c>
      <c r="F110" s="32">
        <v>0</v>
      </c>
      <c r="G110" s="32">
        <v>0</v>
      </c>
      <c r="H110" s="32">
        <v>0</v>
      </c>
      <c r="I110" s="32">
        <v>0.20794399999999999</v>
      </c>
      <c r="J110" s="32">
        <v>0</v>
      </c>
      <c r="K110" s="32">
        <v>0</v>
      </c>
      <c r="L110" s="32">
        <v>591.01</v>
      </c>
      <c r="M110" s="32">
        <v>562.14</v>
      </c>
      <c r="N110" s="33">
        <v>0.95115141875771902</v>
      </c>
      <c r="O110" s="33">
        <v>0.90525826694812095</v>
      </c>
      <c r="P110" s="33">
        <v>0.95241860212219098</v>
      </c>
      <c r="Q110" s="33">
        <v>0.93712849127512399</v>
      </c>
      <c r="R110" s="32">
        <v>535.01668834900897</v>
      </c>
      <c r="S110" s="32">
        <v>562.63015949571195</v>
      </c>
      <c r="T110" s="32">
        <v>553.06276790617403</v>
      </c>
      <c r="U110" s="15">
        <v>-4.9452989605923703E-2</v>
      </c>
      <c r="V110" s="15">
        <v>8.7157277885178497E-4</v>
      </c>
      <c r="W110" s="15">
        <v>-1.6279429758819599E-2</v>
      </c>
      <c r="X110" s="33">
        <v>0.95115141875771902</v>
      </c>
      <c r="Y110" s="33">
        <v>0.90525826694812095</v>
      </c>
      <c r="Z110" s="33">
        <v>0.95241860212219098</v>
      </c>
      <c r="AA110" s="33">
        <v>0.93712849127512399</v>
      </c>
      <c r="AB110" s="32">
        <v>535.01668834900897</v>
      </c>
      <c r="AC110" s="32">
        <v>562.63015949571195</v>
      </c>
      <c r="AD110" s="32">
        <v>553.06276790617403</v>
      </c>
      <c r="AE110" s="15">
        <v>-4.9452989605923703E-2</v>
      </c>
      <c r="AF110" s="15">
        <v>8.7157277885178497E-4</v>
      </c>
      <c r="AG110" s="15">
        <v>-1.6279429758819599E-2</v>
      </c>
      <c r="AI110" s="12"/>
      <c r="AJ110">
        <f t="shared" si="26"/>
        <v>0</v>
      </c>
      <c r="AK110">
        <f t="shared" si="27"/>
        <v>0</v>
      </c>
      <c r="AL110">
        <f t="shared" si="34"/>
        <v>1</v>
      </c>
      <c r="AM110">
        <f t="shared" si="24"/>
        <v>1</v>
      </c>
      <c r="AN110">
        <f t="shared" si="35"/>
        <v>1</v>
      </c>
      <c r="AO110" s="27">
        <f t="shared" si="28"/>
        <v>-1.2025338954938101E-2</v>
      </c>
      <c r="AP110" s="27">
        <f t="shared" si="29"/>
        <v>1.6426061152455099E-2</v>
      </c>
      <c r="AQ110" s="27">
        <f t="shared" si="36"/>
        <v>4.4007221975169986E-3</v>
      </c>
      <c r="AR110" s="28">
        <f t="shared" si="37"/>
        <v>3.9072970883546103E-2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7">
        <f t="shared" si="32"/>
        <v>0</v>
      </c>
      <c r="BA110" s="27">
        <f t="shared" si="33"/>
        <v>0</v>
      </c>
      <c r="BB110" s="27">
        <f t="shared" si="40"/>
        <v>0</v>
      </c>
      <c r="BC110" s="28">
        <f t="shared" si="41"/>
        <v>0</v>
      </c>
      <c r="BE110" s="28">
        <f t="shared" si="42"/>
        <v>4.4007221975169986E-3</v>
      </c>
      <c r="BF110" s="28">
        <f t="shared" si="43"/>
        <v>3.9072970883546103E-2</v>
      </c>
      <c r="BH110" s="28"/>
    </row>
    <row r="111" spans="1:60" x14ac:dyDescent="0.25">
      <c r="A111" s="1">
        <v>46183</v>
      </c>
      <c r="B111" s="32">
        <v>570.91</v>
      </c>
      <c r="C111" s="32">
        <v>541.51</v>
      </c>
      <c r="D111" s="15">
        <v>-3.4601358717427901E-2</v>
      </c>
      <c r="E111" s="15">
        <v>-3.7389395699940202E-2</v>
      </c>
      <c r="F111" s="32">
        <v>0</v>
      </c>
      <c r="G111" s="32">
        <v>0</v>
      </c>
      <c r="H111" s="32">
        <v>0</v>
      </c>
      <c r="I111" s="32">
        <v>0.20794399999999999</v>
      </c>
      <c r="J111" s="32">
        <v>0</v>
      </c>
      <c r="K111" s="32">
        <v>0</v>
      </c>
      <c r="L111" s="32">
        <v>570.91</v>
      </c>
      <c r="M111" s="32">
        <v>541.51</v>
      </c>
      <c r="N111" s="33">
        <v>0.94850326671454299</v>
      </c>
      <c r="O111" s="33">
        <v>0.90525826694812095</v>
      </c>
      <c r="P111" s="33">
        <v>0.95256195985997605</v>
      </c>
      <c r="Q111" s="33">
        <v>0.93858572588033895</v>
      </c>
      <c r="R111" s="32">
        <v>516.82099718335201</v>
      </c>
      <c r="S111" s="32">
        <v>543.74530413757998</v>
      </c>
      <c r="T111" s="32">
        <v>535.01602695388101</v>
      </c>
      <c r="U111" s="15">
        <v>-4.6664952623411499E-2</v>
      </c>
      <c r="V111" s="15">
        <v>4.1194128055736098E-3</v>
      </c>
      <c r="W111" s="15">
        <v>-1.20648301207621E-2</v>
      </c>
      <c r="X111" s="33">
        <v>0.94850326671454299</v>
      </c>
      <c r="Y111" s="33">
        <v>0.90525826694812095</v>
      </c>
      <c r="Z111" s="33">
        <v>0.95256195985997605</v>
      </c>
      <c r="AA111" s="33">
        <v>0.93858572588033895</v>
      </c>
      <c r="AB111" s="32">
        <v>516.82099718335201</v>
      </c>
      <c r="AC111" s="32">
        <v>543.74530413757998</v>
      </c>
      <c r="AD111" s="32">
        <v>535.01602695388101</v>
      </c>
      <c r="AE111" s="15">
        <v>-4.6664952623411499E-2</v>
      </c>
      <c r="AF111" s="15">
        <v>4.1194128055736098E-3</v>
      </c>
      <c r="AG111" s="15">
        <v>-1.20648301207621E-2</v>
      </c>
      <c r="AI111" s="12"/>
      <c r="AJ111">
        <f t="shared" si="26"/>
        <v>0</v>
      </c>
      <c r="AK111">
        <f t="shared" si="27"/>
        <v>1</v>
      </c>
      <c r="AL111">
        <f t="shared" si="34"/>
        <v>1</v>
      </c>
      <c r="AM111">
        <f t="shared" si="24"/>
        <v>1</v>
      </c>
      <c r="AN111">
        <f t="shared" si="35"/>
        <v>1</v>
      </c>
      <c r="AO111" s="27">
        <f t="shared" si="28"/>
        <v>-3.4601358717427901E-2</v>
      </c>
      <c r="AP111" s="27">
        <f t="shared" si="29"/>
        <v>3.7389395699940202E-2</v>
      </c>
      <c r="AQ111" s="27">
        <f t="shared" si="36"/>
        <v>2.7880369825123014E-3</v>
      </c>
      <c r="AR111" s="28">
        <f t="shared" si="37"/>
        <v>4.1861007866058404E-2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7">
        <f t="shared" si="32"/>
        <v>0</v>
      </c>
      <c r="BA111" s="27">
        <f t="shared" si="33"/>
        <v>0</v>
      </c>
      <c r="BB111" s="27">
        <f t="shared" si="40"/>
        <v>0</v>
      </c>
      <c r="BC111" s="28">
        <f t="shared" si="41"/>
        <v>0</v>
      </c>
      <c r="BE111" s="28">
        <f t="shared" si="42"/>
        <v>2.7880369825123014E-3</v>
      </c>
      <c r="BF111" s="28">
        <f t="shared" si="43"/>
        <v>4.1861007866058404E-2</v>
      </c>
      <c r="BH111" s="28"/>
    </row>
    <row r="112" spans="1:60" x14ac:dyDescent="0.25">
      <c r="A112" s="1">
        <v>46184</v>
      </c>
      <c r="B112" s="32">
        <v>609.45000000000005</v>
      </c>
      <c r="C112" s="32">
        <v>586.92999999999995</v>
      </c>
      <c r="D112" s="15">
        <v>6.5325332082551604E-2</v>
      </c>
      <c r="E112" s="15">
        <v>8.0544028800092995E-2</v>
      </c>
      <c r="F112" s="32">
        <v>0</v>
      </c>
      <c r="G112" s="32">
        <v>0</v>
      </c>
      <c r="H112" s="32">
        <v>0</v>
      </c>
      <c r="I112" s="32">
        <v>0.20794399999999999</v>
      </c>
      <c r="J112" s="32">
        <v>0</v>
      </c>
      <c r="K112" s="32">
        <v>0</v>
      </c>
      <c r="L112" s="32">
        <v>609.45000000000005</v>
      </c>
      <c r="M112" s="32">
        <v>586.92999999999995</v>
      </c>
      <c r="N112" s="33">
        <v>0.96304865042251198</v>
      </c>
      <c r="O112" s="33">
        <v>0.90525826694812095</v>
      </c>
      <c r="P112" s="33">
        <v>0.95392825897521505</v>
      </c>
      <c r="Q112" s="33">
        <v>0.94059606987126099</v>
      </c>
      <c r="R112" s="32">
        <v>551.709650791532</v>
      </c>
      <c r="S112" s="32">
        <v>580.53888643666198</v>
      </c>
      <c r="T112" s="32">
        <v>572.02107063777203</v>
      </c>
      <c r="U112" s="15">
        <v>-6.1883649340952897E-2</v>
      </c>
      <c r="V112" s="15">
        <v>-1.0948775564621101E-2</v>
      </c>
      <c r="W112" s="15">
        <v>-2.5729734810641201E-2</v>
      </c>
      <c r="X112" s="33">
        <v>0.96304865042251198</v>
      </c>
      <c r="Y112" s="33">
        <v>0.90525826694812095</v>
      </c>
      <c r="Z112" s="33">
        <v>0.95392825897521505</v>
      </c>
      <c r="AA112" s="33">
        <v>0.94059606987126099</v>
      </c>
      <c r="AB112" s="32">
        <v>551.709650791532</v>
      </c>
      <c r="AC112" s="32">
        <v>580.53888643666198</v>
      </c>
      <c r="AD112" s="32">
        <v>572.02107063777203</v>
      </c>
      <c r="AE112" s="15">
        <v>-6.1883649340952897E-2</v>
      </c>
      <c r="AF112" s="15">
        <v>-1.0948775564621101E-2</v>
      </c>
      <c r="AG112" s="15">
        <v>-2.5729734810641201E-2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7">
        <f t="shared" si="28"/>
        <v>0</v>
      </c>
      <c r="AP112" s="27">
        <f t="shared" si="29"/>
        <v>0</v>
      </c>
      <c r="AQ112" s="27">
        <f t="shared" si="36"/>
        <v>0</v>
      </c>
      <c r="AR112" s="28">
        <f t="shared" si="37"/>
        <v>4.1861007866058404E-2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7">
        <f t="shared" si="32"/>
        <v>0</v>
      </c>
      <c r="BA112" s="27">
        <f t="shared" si="33"/>
        <v>0</v>
      </c>
      <c r="BB112" s="27">
        <f t="shared" si="40"/>
        <v>0</v>
      </c>
      <c r="BC112" s="28">
        <f t="shared" si="41"/>
        <v>0</v>
      </c>
      <c r="BE112" s="28">
        <f t="shared" si="42"/>
        <v>0</v>
      </c>
      <c r="BF112" s="28">
        <f t="shared" si="43"/>
        <v>4.1861007866058404E-2</v>
      </c>
      <c r="BH112" s="28"/>
    </row>
    <row r="113" spans="1:60" x14ac:dyDescent="0.25">
      <c r="A113" s="1">
        <v>46185</v>
      </c>
      <c r="B113" s="32">
        <v>619.96</v>
      </c>
      <c r="C113" s="32">
        <v>596.25</v>
      </c>
      <c r="D113" s="15">
        <v>1.7098048727004499E-2</v>
      </c>
      <c r="E113" s="15">
        <v>1.57544799112464E-2</v>
      </c>
      <c r="F113" s="32">
        <v>0</v>
      </c>
      <c r="G113" s="32">
        <v>0</v>
      </c>
      <c r="H113" s="32">
        <v>0</v>
      </c>
      <c r="I113" s="32">
        <v>0.20794399999999999</v>
      </c>
      <c r="J113" s="32">
        <v>0</v>
      </c>
      <c r="K113" s="32">
        <v>0</v>
      </c>
      <c r="L113" s="32">
        <v>619.96</v>
      </c>
      <c r="M113" s="32">
        <v>596.25</v>
      </c>
      <c r="N113" s="33">
        <v>0.96175559713529901</v>
      </c>
      <c r="O113" s="33">
        <v>0.90525826694812095</v>
      </c>
      <c r="P113" s="33">
        <v>0.95508770662222597</v>
      </c>
      <c r="Q113" s="33">
        <v>0.94286045864319701</v>
      </c>
      <c r="R113" s="32">
        <v>561.22391517715698</v>
      </c>
      <c r="S113" s="32">
        <v>591.39736343427398</v>
      </c>
      <c r="T113" s="32">
        <v>583.13193947738705</v>
      </c>
      <c r="U113" s="15">
        <v>-6.0540080525194599E-2</v>
      </c>
      <c r="V113" s="15">
        <v>-8.1718929708544403E-3</v>
      </c>
      <c r="W113" s="15">
        <v>-2.2246570174625401E-2</v>
      </c>
      <c r="X113" s="33">
        <v>0.96175559713529901</v>
      </c>
      <c r="Y113" s="33">
        <v>0.90525826694812095</v>
      </c>
      <c r="Z113" s="33">
        <v>0.95508770662222597</v>
      </c>
      <c r="AA113" s="33">
        <v>0.94286045864319701</v>
      </c>
      <c r="AB113" s="32">
        <v>561.22391517715698</v>
      </c>
      <c r="AC113" s="32">
        <v>591.39736343427398</v>
      </c>
      <c r="AD113" s="32">
        <v>583.13193947738705</v>
      </c>
      <c r="AE113" s="15">
        <v>-6.0540080525194599E-2</v>
      </c>
      <c r="AF113" s="15">
        <v>-8.1718929708544403E-3</v>
      </c>
      <c r="AG113" s="15">
        <v>-2.2246570174625401E-2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0</v>
      </c>
      <c r="AN113">
        <f t="shared" si="35"/>
        <v>0</v>
      </c>
      <c r="AO113" s="27">
        <f t="shared" si="28"/>
        <v>0</v>
      </c>
      <c r="AP113" s="27">
        <f t="shared" si="29"/>
        <v>0</v>
      </c>
      <c r="AQ113" s="27">
        <f t="shared" si="36"/>
        <v>0</v>
      </c>
      <c r="AR113" s="28">
        <f t="shared" si="37"/>
        <v>4.1861007866058404E-2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7">
        <f t="shared" si="32"/>
        <v>0</v>
      </c>
      <c r="BA113" s="27">
        <f t="shared" si="33"/>
        <v>0</v>
      </c>
      <c r="BB113" s="27">
        <f t="shared" si="40"/>
        <v>0</v>
      </c>
      <c r="BC113" s="28">
        <f t="shared" si="41"/>
        <v>0</v>
      </c>
      <c r="BE113" s="28">
        <f t="shared" si="42"/>
        <v>0</v>
      </c>
      <c r="BF113" s="28">
        <f t="shared" si="43"/>
        <v>4.1861007866058404E-2</v>
      </c>
      <c r="BH113" s="28"/>
    </row>
    <row r="114" spans="1:60" x14ac:dyDescent="0.25">
      <c r="A114" s="1">
        <v>46188</v>
      </c>
      <c r="B114" s="32">
        <v>647.1</v>
      </c>
      <c r="C114" s="32">
        <v>628.45000000000005</v>
      </c>
      <c r="D114" s="15">
        <v>4.28458822343704E-2</v>
      </c>
      <c r="E114" s="15">
        <v>5.25964281682956E-2</v>
      </c>
      <c r="F114" s="32">
        <v>0</v>
      </c>
      <c r="G114" s="32">
        <v>0</v>
      </c>
      <c r="H114" s="32">
        <v>0.28272599999999998</v>
      </c>
      <c r="I114" s="32">
        <v>0.490669999999999</v>
      </c>
      <c r="J114" s="32">
        <v>0</v>
      </c>
      <c r="K114" s="32">
        <v>0</v>
      </c>
      <c r="L114" s="32">
        <v>647.1</v>
      </c>
      <c r="M114" s="32">
        <v>628.45000000000005</v>
      </c>
      <c r="N114" s="33">
        <v>0.97117910678411301</v>
      </c>
      <c r="O114" s="33">
        <v>0.90525826694812095</v>
      </c>
      <c r="P114" s="33">
        <v>0.95810877782777604</v>
      </c>
      <c r="Q114" s="33">
        <v>0.94571714558538</v>
      </c>
      <c r="R114" s="32">
        <v>585.79262454212903</v>
      </c>
      <c r="S114" s="32">
        <v>618.03725495524202</v>
      </c>
      <c r="T114" s="32">
        <v>610.12500278801303</v>
      </c>
      <c r="U114" s="15">
        <v>-7.0290626459119807E-2</v>
      </c>
      <c r="V114" s="15">
        <v>-1.6707731631010098E-2</v>
      </c>
      <c r="W114" s="15">
        <v>-2.9592611593957801E-2</v>
      </c>
      <c r="X114" s="33">
        <v>0.97117910678411301</v>
      </c>
      <c r="Y114" s="33">
        <v>0.90525826694812095</v>
      </c>
      <c r="Z114" s="33">
        <v>0.95810877782777604</v>
      </c>
      <c r="AA114" s="33">
        <v>0.94571714558538</v>
      </c>
      <c r="AB114" s="32">
        <v>585.79262454212903</v>
      </c>
      <c r="AC114" s="32">
        <v>618.03725495524202</v>
      </c>
      <c r="AD114" s="32">
        <v>610.12500278801303</v>
      </c>
      <c r="AE114" s="15">
        <v>-7.0290626459119807E-2</v>
      </c>
      <c r="AF114" s="15">
        <v>-1.6707731631010098E-2</v>
      </c>
      <c r="AG114" s="15">
        <v>-2.9592611593957801E-2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7">
        <f t="shared" si="28"/>
        <v>0</v>
      </c>
      <c r="AP114" s="27">
        <f t="shared" si="29"/>
        <v>0</v>
      </c>
      <c r="AQ114" s="27">
        <f t="shared" si="36"/>
        <v>0</v>
      </c>
      <c r="AR114" s="28">
        <f t="shared" si="37"/>
        <v>4.1861007866058404E-2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7">
        <f t="shared" si="32"/>
        <v>0</v>
      </c>
      <c r="BA114" s="27">
        <f t="shared" si="33"/>
        <v>0</v>
      </c>
      <c r="BB114" s="27">
        <f t="shared" si="40"/>
        <v>0</v>
      </c>
      <c r="BC114" s="28">
        <f t="shared" si="41"/>
        <v>0</v>
      </c>
      <c r="BE114" s="28">
        <f t="shared" si="42"/>
        <v>0</v>
      </c>
      <c r="BF114" s="28">
        <f t="shared" si="43"/>
        <v>4.1861007866058404E-2</v>
      </c>
      <c r="BH114" s="28"/>
    </row>
    <row r="115" spans="1:60" x14ac:dyDescent="0.25">
      <c r="A115" s="1">
        <v>46189</v>
      </c>
      <c r="B115" s="32">
        <v>616</v>
      </c>
      <c r="C115" s="32">
        <v>591.24</v>
      </c>
      <c r="D115" s="15">
        <v>-4.9253878529700701E-2</v>
      </c>
      <c r="E115" s="15">
        <v>-6.1034444026974402E-2</v>
      </c>
      <c r="F115" s="32">
        <v>0</v>
      </c>
      <c r="G115" s="32">
        <v>0</v>
      </c>
      <c r="H115" s="32">
        <v>0</v>
      </c>
      <c r="I115" s="32">
        <v>0.490669999999999</v>
      </c>
      <c r="J115" s="32">
        <v>0</v>
      </c>
      <c r="K115" s="32">
        <v>0</v>
      </c>
      <c r="L115" s="32">
        <v>616</v>
      </c>
      <c r="M115" s="32">
        <v>591.24</v>
      </c>
      <c r="N115" s="33">
        <v>0.959805194805194</v>
      </c>
      <c r="O115" s="33">
        <v>0.90525826694812095</v>
      </c>
      <c r="P115" s="33">
        <v>0.95839008343948595</v>
      </c>
      <c r="Q115" s="33">
        <v>0.94831136753451595</v>
      </c>
      <c r="R115" s="32">
        <v>557.63909244004299</v>
      </c>
      <c r="S115" s="32">
        <v>590.19500714190997</v>
      </c>
      <c r="T115" s="32">
        <v>582.56176168059403</v>
      </c>
      <c r="U115" s="15">
        <v>-5.8510060961846001E-2</v>
      </c>
      <c r="V115" s="15">
        <v>-1.7690234744920301E-3</v>
      </c>
      <c r="W115" s="15">
        <v>-1.4786817888441999E-2</v>
      </c>
      <c r="X115" s="33">
        <v>0.959805194805194</v>
      </c>
      <c r="Y115" s="33">
        <v>0.90525826694812095</v>
      </c>
      <c r="Z115" s="33">
        <v>0.95839008343948595</v>
      </c>
      <c r="AA115" s="33">
        <v>0.94831136753451595</v>
      </c>
      <c r="AB115" s="32">
        <v>557.63909244004299</v>
      </c>
      <c r="AC115" s="32">
        <v>590.19500714190997</v>
      </c>
      <c r="AD115" s="32">
        <v>582.56176168059403</v>
      </c>
      <c r="AE115" s="15">
        <v>-5.8510060961846001E-2</v>
      </c>
      <c r="AF115" s="15">
        <v>-1.7690234744920301E-3</v>
      </c>
      <c r="AG115" s="15">
        <v>-1.4786817888441999E-2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7">
        <f t="shared" si="28"/>
        <v>0</v>
      </c>
      <c r="AP115" s="27">
        <f t="shared" si="29"/>
        <v>0</v>
      </c>
      <c r="AQ115" s="27">
        <f t="shared" si="36"/>
        <v>0</v>
      </c>
      <c r="AR115" s="28">
        <f t="shared" si="37"/>
        <v>4.1861007866058404E-2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7">
        <f t="shared" si="32"/>
        <v>0</v>
      </c>
      <c r="BA115" s="27">
        <f t="shared" si="33"/>
        <v>0</v>
      </c>
      <c r="BB115" s="27">
        <f t="shared" si="40"/>
        <v>0</v>
      </c>
      <c r="BC115" s="28">
        <f t="shared" si="41"/>
        <v>0</v>
      </c>
      <c r="BE115" s="28">
        <f t="shared" si="42"/>
        <v>0</v>
      </c>
      <c r="BF115" s="28">
        <f t="shared" si="43"/>
        <v>4.1861007866058404E-2</v>
      </c>
      <c r="BH115" s="28"/>
    </row>
    <row r="116" spans="1:60" x14ac:dyDescent="0.25">
      <c r="A116" s="1">
        <v>46190</v>
      </c>
      <c r="B116" s="32">
        <v>623.97</v>
      </c>
      <c r="C116" s="32">
        <v>599.73</v>
      </c>
      <c r="D116" s="15">
        <v>1.2855326757098599E-2</v>
      </c>
      <c r="E116" s="15">
        <v>1.4257527591889E-2</v>
      </c>
      <c r="F116" s="32">
        <v>0</v>
      </c>
      <c r="G116" s="32">
        <v>0</v>
      </c>
      <c r="H116" s="32">
        <v>0</v>
      </c>
      <c r="I116" s="32">
        <v>0.490669999999999</v>
      </c>
      <c r="J116" s="32">
        <v>0</v>
      </c>
      <c r="K116" s="32">
        <v>0</v>
      </c>
      <c r="L116" s="32">
        <v>623.97</v>
      </c>
      <c r="M116" s="32">
        <v>599.73</v>
      </c>
      <c r="N116" s="33">
        <v>0.96115197846050204</v>
      </c>
      <c r="O116" s="33">
        <v>0.90525826694812095</v>
      </c>
      <c r="P116" s="33">
        <v>0.95798858587873303</v>
      </c>
      <c r="Q116" s="33">
        <v>0.95070935913347299</v>
      </c>
      <c r="R116" s="32">
        <v>564.85400082761896</v>
      </c>
      <c r="S116" s="32">
        <v>598.00666036373605</v>
      </c>
      <c r="T116" s="32">
        <v>591.71784400051195</v>
      </c>
      <c r="U116" s="15">
        <v>-5.99122617966363E-2</v>
      </c>
      <c r="V116" s="15">
        <v>-2.8776623151526301E-3</v>
      </c>
      <c r="W116" s="15">
        <v>-1.34496475327219E-2</v>
      </c>
      <c r="X116" s="33">
        <v>0.96115197846050204</v>
      </c>
      <c r="Y116" s="33">
        <v>0.90525826694812095</v>
      </c>
      <c r="Z116" s="33">
        <v>0.95798858587873303</v>
      </c>
      <c r="AA116" s="33">
        <v>0.95070935913347299</v>
      </c>
      <c r="AB116" s="32">
        <v>564.85400082761896</v>
      </c>
      <c r="AC116" s="32">
        <v>598.00666036373605</v>
      </c>
      <c r="AD116" s="32">
        <v>591.71784400051195</v>
      </c>
      <c r="AE116" s="15">
        <v>-5.99122617966363E-2</v>
      </c>
      <c r="AF116" s="15">
        <v>-2.8776623151526301E-3</v>
      </c>
      <c r="AG116" s="15">
        <v>-1.34496475327219E-2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7">
        <f t="shared" si="28"/>
        <v>0</v>
      </c>
      <c r="AP116" s="27">
        <f t="shared" si="29"/>
        <v>0</v>
      </c>
      <c r="AQ116" s="27">
        <f t="shared" si="36"/>
        <v>0</v>
      </c>
      <c r="AR116" s="28">
        <f t="shared" si="37"/>
        <v>4.1861007866058404E-2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7">
        <f t="shared" si="32"/>
        <v>0</v>
      </c>
      <c r="BA116" s="27">
        <f t="shared" si="33"/>
        <v>0</v>
      </c>
      <c r="BB116" s="27">
        <f t="shared" si="40"/>
        <v>0</v>
      </c>
      <c r="BC116" s="28">
        <f t="shared" si="41"/>
        <v>0</v>
      </c>
      <c r="BE116" s="28">
        <f t="shared" si="42"/>
        <v>0</v>
      </c>
      <c r="BF116" s="28">
        <f t="shared" si="43"/>
        <v>4.1861007866058404E-2</v>
      </c>
      <c r="BH116" s="28"/>
    </row>
    <row r="117" spans="1:60" x14ac:dyDescent="0.25">
      <c r="A117" s="1">
        <v>46191</v>
      </c>
      <c r="B117" s="32">
        <v>659.88</v>
      </c>
      <c r="C117" s="32">
        <v>639.45000000000005</v>
      </c>
      <c r="D117" s="15">
        <v>5.5955710017105101E-2</v>
      </c>
      <c r="E117" s="15">
        <v>6.4128877943567794E-2</v>
      </c>
      <c r="F117" s="32">
        <v>0</v>
      </c>
      <c r="G117" s="32">
        <v>0</v>
      </c>
      <c r="H117" s="32">
        <v>0</v>
      </c>
      <c r="I117" s="32">
        <v>0.490669999999999</v>
      </c>
      <c r="J117" s="32">
        <v>0</v>
      </c>
      <c r="K117" s="32">
        <v>0</v>
      </c>
      <c r="L117" s="32">
        <v>659.88</v>
      </c>
      <c r="M117" s="32">
        <v>639.45000000000005</v>
      </c>
      <c r="N117" s="33">
        <v>0.96903982542280398</v>
      </c>
      <c r="O117" s="33">
        <v>0.90525826694812095</v>
      </c>
      <c r="P117" s="33">
        <v>0.95884616426503599</v>
      </c>
      <c r="Q117" s="33">
        <v>0.95308849240156701</v>
      </c>
      <c r="R117" s="32">
        <v>597.36182519372596</v>
      </c>
      <c r="S117" s="32">
        <v>632.15750804965796</v>
      </c>
      <c r="T117" s="32">
        <v>627.35409190499604</v>
      </c>
      <c r="U117" s="15">
        <v>-6.8085429723099194E-2</v>
      </c>
      <c r="V117" s="15">
        <v>-1.14698471854543E-2</v>
      </c>
      <c r="W117" s="15">
        <v>-1.9097310771585101E-2</v>
      </c>
      <c r="X117" s="33">
        <v>0.96903982542280398</v>
      </c>
      <c r="Y117" s="33">
        <v>0.90525826694812095</v>
      </c>
      <c r="Z117" s="33">
        <v>0.95884616426503599</v>
      </c>
      <c r="AA117" s="33">
        <v>0.95308849240156701</v>
      </c>
      <c r="AB117" s="32">
        <v>597.36182519372596</v>
      </c>
      <c r="AC117" s="32">
        <v>632.15750804965796</v>
      </c>
      <c r="AD117" s="32">
        <v>627.35409190499604</v>
      </c>
      <c r="AE117" s="15">
        <v>-6.8085429723099194E-2</v>
      </c>
      <c r="AF117" s="15">
        <v>-1.14698471854543E-2</v>
      </c>
      <c r="AG117" s="15">
        <v>-1.9097310771585101E-2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7">
        <f t="shared" si="28"/>
        <v>0</v>
      </c>
      <c r="AP117" s="27">
        <f t="shared" si="29"/>
        <v>0</v>
      </c>
      <c r="AQ117" s="27">
        <f t="shared" si="36"/>
        <v>0</v>
      </c>
      <c r="AR117" s="28">
        <f t="shared" si="37"/>
        <v>4.1861007866058404E-2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7">
        <f t="shared" si="32"/>
        <v>0</v>
      </c>
      <c r="BA117" s="27">
        <f t="shared" si="33"/>
        <v>0</v>
      </c>
      <c r="BB117" s="27">
        <f t="shared" si="40"/>
        <v>0</v>
      </c>
      <c r="BC117" s="28">
        <f t="shared" si="41"/>
        <v>0</v>
      </c>
      <c r="BE117" s="28">
        <f t="shared" si="42"/>
        <v>0</v>
      </c>
      <c r="BF117" s="28">
        <f t="shared" si="43"/>
        <v>4.1861007866058404E-2</v>
      </c>
      <c r="BH117" s="28"/>
    </row>
    <row r="118" spans="1:60" x14ac:dyDescent="0.25">
      <c r="A118" s="1">
        <v>46195</v>
      </c>
      <c r="B118" s="32">
        <v>668.91</v>
      </c>
      <c r="C118" s="32">
        <v>655.01</v>
      </c>
      <c r="D118" s="15">
        <v>1.3591521622665101E-2</v>
      </c>
      <c r="E118" s="15">
        <v>2.40420708149531E-2</v>
      </c>
      <c r="F118" s="32">
        <v>0</v>
      </c>
      <c r="G118" s="32">
        <v>0</v>
      </c>
      <c r="H118" s="32">
        <v>0</v>
      </c>
      <c r="I118" s="32">
        <v>0.490669999999999</v>
      </c>
      <c r="J118" s="32">
        <v>0</v>
      </c>
      <c r="K118" s="32">
        <v>0</v>
      </c>
      <c r="L118" s="32">
        <v>668.91</v>
      </c>
      <c r="M118" s="32">
        <v>655.01</v>
      </c>
      <c r="N118" s="33">
        <v>0.97921992495253396</v>
      </c>
      <c r="O118" s="33">
        <v>0.90525826694812095</v>
      </c>
      <c r="P118" s="33">
        <v>0.96202013590684299</v>
      </c>
      <c r="Q118" s="33">
        <v>0.95585046772928095</v>
      </c>
      <c r="R118" s="32">
        <v>605.53630734426804</v>
      </c>
      <c r="S118" s="32">
        <v>641.38178773852496</v>
      </c>
      <c r="T118" s="32">
        <v>637.530423452332</v>
      </c>
      <c r="U118" s="15">
        <v>-7.8535978915387106E-2</v>
      </c>
      <c r="V118" s="15">
        <v>-2.1025610383845698E-2</v>
      </c>
      <c r="W118" s="15">
        <v>-2.70485037379277E-2</v>
      </c>
      <c r="X118" s="33">
        <v>0.97921992495253396</v>
      </c>
      <c r="Y118" s="33">
        <v>0.90525826694812095</v>
      </c>
      <c r="Z118" s="33">
        <v>0.96202013590684299</v>
      </c>
      <c r="AA118" s="33">
        <v>0.95585046772928095</v>
      </c>
      <c r="AB118" s="32">
        <v>605.53630734426804</v>
      </c>
      <c r="AC118" s="32">
        <v>641.38178773852496</v>
      </c>
      <c r="AD118" s="32">
        <v>637.530423452332</v>
      </c>
      <c r="AE118" s="15">
        <v>-7.8535978915387106E-2</v>
      </c>
      <c r="AF118" s="15">
        <v>-2.1025610383845698E-2</v>
      </c>
      <c r="AG118" s="15">
        <v>-2.70485037379277E-2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7">
        <f t="shared" si="28"/>
        <v>0</v>
      </c>
      <c r="AP118" s="27">
        <f t="shared" si="29"/>
        <v>0</v>
      </c>
      <c r="AQ118" s="27">
        <f t="shared" si="36"/>
        <v>0</v>
      </c>
      <c r="AR118" s="28">
        <f t="shared" si="37"/>
        <v>4.1861007866058404E-2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7">
        <f t="shared" si="32"/>
        <v>0</v>
      </c>
      <c r="BA118" s="27">
        <f t="shared" si="33"/>
        <v>0</v>
      </c>
      <c r="BB118" s="27">
        <f t="shared" si="40"/>
        <v>0</v>
      </c>
      <c r="BC118" s="28">
        <f t="shared" si="41"/>
        <v>0</v>
      </c>
      <c r="BE118" s="28">
        <f t="shared" si="42"/>
        <v>0</v>
      </c>
      <c r="BF118" s="28">
        <f t="shared" si="43"/>
        <v>4.1861007866058404E-2</v>
      </c>
      <c r="BH118" s="28"/>
    </row>
    <row r="119" spans="1:60" x14ac:dyDescent="0.25">
      <c r="A119" s="1">
        <v>46196</v>
      </c>
      <c r="B119" s="32">
        <v>622.04999999999995</v>
      </c>
      <c r="C119" s="32">
        <v>603.39</v>
      </c>
      <c r="D119" s="15">
        <v>-7.2629046569888903E-2</v>
      </c>
      <c r="E119" s="15">
        <v>-8.2086748861043002E-2</v>
      </c>
      <c r="F119" s="32">
        <v>0</v>
      </c>
      <c r="G119" s="32">
        <v>0</v>
      </c>
      <c r="H119" s="32">
        <v>0</v>
      </c>
      <c r="I119" s="32">
        <v>0.490669999999999</v>
      </c>
      <c r="J119" s="32">
        <v>0</v>
      </c>
      <c r="K119" s="32">
        <v>0</v>
      </c>
      <c r="L119" s="32">
        <v>622.04999999999995</v>
      </c>
      <c r="M119" s="32">
        <v>603.39</v>
      </c>
      <c r="N119" s="33">
        <v>0.97000241138172105</v>
      </c>
      <c r="O119" s="33">
        <v>0.90525826694812095</v>
      </c>
      <c r="P119" s="33">
        <v>0.96348573748369404</v>
      </c>
      <c r="Q119" s="33">
        <v>0.95773325764872796</v>
      </c>
      <c r="R119" s="32">
        <v>563.11590495507903</v>
      </c>
      <c r="S119" s="32">
        <v>598.42462554085205</v>
      </c>
      <c r="T119" s="32">
        <v>594.58678345099895</v>
      </c>
      <c r="U119" s="15">
        <v>-6.9078276624233201E-2</v>
      </c>
      <c r="V119" s="15">
        <v>-8.2631757121310202E-3</v>
      </c>
      <c r="W119" s="15">
        <v>-1.46970711466197E-2</v>
      </c>
      <c r="X119" s="33">
        <v>0.97000241138172105</v>
      </c>
      <c r="Y119" s="33">
        <v>0.90525826694812095</v>
      </c>
      <c r="Z119" s="33">
        <v>0.96348573748369404</v>
      </c>
      <c r="AA119" s="33">
        <v>0.95773325764872796</v>
      </c>
      <c r="AB119" s="32">
        <v>563.11590495507903</v>
      </c>
      <c r="AC119" s="32">
        <v>598.42462554085205</v>
      </c>
      <c r="AD119" s="32">
        <v>594.58678345099895</v>
      </c>
      <c r="AE119" s="15">
        <v>-6.9078276624233201E-2</v>
      </c>
      <c r="AF119" s="15">
        <v>-8.2631757121310202E-3</v>
      </c>
      <c r="AG119" s="15">
        <v>-1.46970711466197E-2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7">
        <f t="shared" si="28"/>
        <v>0</v>
      </c>
      <c r="AP119" s="27">
        <f t="shared" si="29"/>
        <v>0</v>
      </c>
      <c r="AQ119" s="27">
        <f t="shared" si="36"/>
        <v>0</v>
      </c>
      <c r="AR119" s="28">
        <f t="shared" si="37"/>
        <v>4.1861007866058404E-2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7">
        <f t="shared" si="32"/>
        <v>0</v>
      </c>
      <c r="BA119" s="27">
        <f t="shared" si="33"/>
        <v>0</v>
      </c>
      <c r="BB119" s="27">
        <f t="shared" si="40"/>
        <v>0</v>
      </c>
      <c r="BC119" s="28">
        <f t="shared" si="41"/>
        <v>0</v>
      </c>
      <c r="BE119" s="28">
        <f t="shared" si="42"/>
        <v>0</v>
      </c>
      <c r="BF119" s="28">
        <f t="shared" si="43"/>
        <v>4.1861007866058404E-2</v>
      </c>
      <c r="BH119" s="28"/>
    </row>
    <row r="120" spans="1:60" x14ac:dyDescent="0.25">
      <c r="A120" s="1">
        <v>46197</v>
      </c>
      <c r="B120" s="32">
        <v>618.91999999999996</v>
      </c>
      <c r="C120" s="32">
        <v>601.5</v>
      </c>
      <c r="D120" s="15">
        <v>-5.0444517390281296E-3</v>
      </c>
      <c r="E120" s="15">
        <v>-3.1372184185057099E-3</v>
      </c>
      <c r="F120" s="32">
        <v>0</v>
      </c>
      <c r="G120" s="32">
        <v>0</v>
      </c>
      <c r="H120" s="32">
        <v>0</v>
      </c>
      <c r="I120" s="32">
        <v>0.490669999999999</v>
      </c>
      <c r="J120" s="32">
        <v>0</v>
      </c>
      <c r="K120" s="32">
        <v>0</v>
      </c>
      <c r="L120" s="32">
        <v>618.91999999999996</v>
      </c>
      <c r="M120" s="32">
        <v>601.5</v>
      </c>
      <c r="N120" s="33">
        <v>0.97185419763458902</v>
      </c>
      <c r="O120" s="33">
        <v>0.90525826694812095</v>
      </c>
      <c r="P120" s="33">
        <v>0.96555601537138103</v>
      </c>
      <c r="Q120" s="33">
        <v>0.95898730874678595</v>
      </c>
      <c r="R120" s="32">
        <v>560.28244657953098</v>
      </c>
      <c r="S120" s="32">
        <v>596.32059264340796</v>
      </c>
      <c r="T120" s="32">
        <v>592.76026782395104</v>
      </c>
      <c r="U120" s="15">
        <v>-7.0985509944755595E-2</v>
      </c>
      <c r="V120" s="15">
        <v>-8.6481058497469704E-3</v>
      </c>
      <c r="W120" s="15">
        <v>-1.46364882675812E-2</v>
      </c>
      <c r="X120" s="33">
        <v>0.97185419763458902</v>
      </c>
      <c r="Y120" s="33">
        <v>0.90525826694812095</v>
      </c>
      <c r="Z120" s="33">
        <v>0.96555601537138103</v>
      </c>
      <c r="AA120" s="33">
        <v>0.95898730874678595</v>
      </c>
      <c r="AB120" s="32">
        <v>560.28244657953098</v>
      </c>
      <c r="AC120" s="32">
        <v>596.32059264340796</v>
      </c>
      <c r="AD120" s="32">
        <v>592.76026782395104</v>
      </c>
      <c r="AE120" s="15">
        <v>-7.0985509944755595E-2</v>
      </c>
      <c r="AF120" s="15">
        <v>-8.6481058497469704E-3</v>
      </c>
      <c r="AG120" s="15">
        <v>-1.46364882675812E-2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7">
        <f t="shared" si="28"/>
        <v>0</v>
      </c>
      <c r="AP120" s="27">
        <f t="shared" si="29"/>
        <v>0</v>
      </c>
      <c r="AQ120" s="27">
        <f t="shared" si="36"/>
        <v>0</v>
      </c>
      <c r="AR120" s="28">
        <f t="shared" si="37"/>
        <v>4.1861007866058404E-2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7">
        <f t="shared" si="32"/>
        <v>0</v>
      </c>
      <c r="BA120" s="27">
        <f t="shared" si="33"/>
        <v>0</v>
      </c>
      <c r="BB120" s="27">
        <f t="shared" si="40"/>
        <v>0</v>
      </c>
      <c r="BC120" s="28">
        <f t="shared" si="41"/>
        <v>0</v>
      </c>
      <c r="BE120" s="28">
        <f t="shared" si="42"/>
        <v>0</v>
      </c>
      <c r="BF120" s="28">
        <f t="shared" si="43"/>
        <v>4.1861007866058404E-2</v>
      </c>
      <c r="BH120" s="28"/>
    </row>
    <row r="121" spans="1:60" x14ac:dyDescent="0.25">
      <c r="A121" s="1">
        <v>46198</v>
      </c>
      <c r="B121" s="32">
        <v>636.88</v>
      </c>
      <c r="C121" s="32">
        <v>625.20000000000005</v>
      </c>
      <c r="D121" s="15">
        <v>2.86052311588509E-2</v>
      </c>
      <c r="E121" s="15">
        <v>3.8645063132587899E-2</v>
      </c>
      <c r="F121" s="32">
        <v>0</v>
      </c>
      <c r="G121" s="32">
        <v>0</v>
      </c>
      <c r="H121" s="32">
        <v>0</v>
      </c>
      <c r="I121" s="32">
        <v>0.490669999999999</v>
      </c>
      <c r="J121" s="32">
        <v>0</v>
      </c>
      <c r="K121" s="32">
        <v>0</v>
      </c>
      <c r="L121" s="32">
        <v>636.88</v>
      </c>
      <c r="M121" s="32">
        <v>625.20000000000005</v>
      </c>
      <c r="N121" s="33">
        <v>0.98166059540258699</v>
      </c>
      <c r="O121" s="33">
        <v>0.90525826694812095</v>
      </c>
      <c r="P121" s="33">
        <v>0.96887174824018596</v>
      </c>
      <c r="Q121" s="33">
        <v>0.960716854050081</v>
      </c>
      <c r="R121" s="32">
        <v>576.54088505391906</v>
      </c>
      <c r="S121" s="32">
        <v>614.94331506972503</v>
      </c>
      <c r="T121" s="32">
        <v>610.75983719465296</v>
      </c>
      <c r="U121" s="15">
        <v>-8.1025341918492602E-2</v>
      </c>
      <c r="V121" s="15">
        <v>-1.6541505607108702E-2</v>
      </c>
      <c r="W121" s="15">
        <v>-2.33677817939471E-2</v>
      </c>
      <c r="X121" s="33">
        <v>0.98166059540258699</v>
      </c>
      <c r="Y121" s="33">
        <v>0.90525826694812095</v>
      </c>
      <c r="Z121" s="33">
        <v>0.96887174824018596</v>
      </c>
      <c r="AA121" s="33">
        <v>0.960716854050081</v>
      </c>
      <c r="AB121" s="32">
        <v>576.54088505391906</v>
      </c>
      <c r="AC121" s="32">
        <v>614.94331506972503</v>
      </c>
      <c r="AD121" s="32">
        <v>610.75983719465296</v>
      </c>
      <c r="AE121" s="15">
        <v>-8.1025341918492602E-2</v>
      </c>
      <c r="AF121" s="15">
        <v>-1.6541505607108702E-2</v>
      </c>
      <c r="AG121" s="15">
        <v>-2.33677817939471E-2</v>
      </c>
      <c r="AI121" s="12"/>
      <c r="AJ121">
        <f t="shared" si="26"/>
        <v>0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7">
        <f t="shared" si="28"/>
        <v>0</v>
      </c>
      <c r="AP121" s="27">
        <f t="shared" si="29"/>
        <v>0</v>
      </c>
      <c r="AQ121" s="27">
        <f t="shared" si="36"/>
        <v>0</v>
      </c>
      <c r="AR121" s="28">
        <f t="shared" si="37"/>
        <v>4.1861007866058404E-2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7">
        <f t="shared" si="32"/>
        <v>0</v>
      </c>
      <c r="BA121" s="27">
        <f t="shared" si="33"/>
        <v>0</v>
      </c>
      <c r="BB121" s="27">
        <f t="shared" si="40"/>
        <v>0</v>
      </c>
      <c r="BC121" s="28">
        <f t="shared" si="41"/>
        <v>0</v>
      </c>
      <c r="BE121" s="28">
        <f t="shared" si="42"/>
        <v>0</v>
      </c>
      <c r="BF121" s="28">
        <f t="shared" si="43"/>
        <v>4.1861007866058404E-2</v>
      </c>
      <c r="BH121" s="28"/>
    </row>
    <row r="122" spans="1:60" x14ac:dyDescent="0.25">
      <c r="A122" s="1">
        <v>46199</v>
      </c>
      <c r="B122" s="32">
        <v>611.61</v>
      </c>
      <c r="C122" s="32">
        <v>589.94000000000005</v>
      </c>
      <c r="D122" s="15">
        <v>-4.0486430303165399E-2</v>
      </c>
      <c r="E122" s="15">
        <v>-5.8050761734089101E-2</v>
      </c>
      <c r="F122" s="32">
        <v>0</v>
      </c>
      <c r="G122" s="32">
        <v>0</v>
      </c>
      <c r="H122" s="32">
        <v>0</v>
      </c>
      <c r="I122" s="32">
        <v>0.490669999999999</v>
      </c>
      <c r="J122" s="32">
        <v>0</v>
      </c>
      <c r="K122" s="32">
        <v>0</v>
      </c>
      <c r="L122" s="32">
        <v>611.61</v>
      </c>
      <c r="M122" s="32">
        <v>589.94000000000005</v>
      </c>
      <c r="N122" s="33">
        <v>0.96456892464152</v>
      </c>
      <c r="O122" s="33">
        <v>0.90525826694812095</v>
      </c>
      <c r="P122" s="33">
        <v>0.96902377566208597</v>
      </c>
      <c r="Q122" s="33">
        <v>0.96147601731865096</v>
      </c>
      <c r="R122" s="32">
        <v>553.66500864813997</v>
      </c>
      <c r="S122" s="32">
        <v>592.57164994118</v>
      </c>
      <c r="T122" s="32">
        <v>587.58403510557002</v>
      </c>
      <c r="U122" s="15">
        <v>-6.34610104875689E-2</v>
      </c>
      <c r="V122" s="15">
        <v>4.4509570556001297E-3</v>
      </c>
      <c r="W122" s="15">
        <v>-4.0015625463794696E-3</v>
      </c>
      <c r="X122" s="33">
        <v>0.96456892464152</v>
      </c>
      <c r="Y122" s="33">
        <v>0.90525826694812095</v>
      </c>
      <c r="Z122" s="33">
        <v>0.96902377566208597</v>
      </c>
      <c r="AA122" s="33">
        <v>0.96147601731865096</v>
      </c>
      <c r="AB122" s="32">
        <v>553.66500864813997</v>
      </c>
      <c r="AC122" s="32">
        <v>592.57164994118</v>
      </c>
      <c r="AD122" s="32">
        <v>587.58403510557002</v>
      </c>
      <c r="AE122" s="15">
        <v>-6.34610104875689E-2</v>
      </c>
      <c r="AF122" s="15">
        <v>4.4509570556001297E-3</v>
      </c>
      <c r="AG122" s="15">
        <v>-4.0015625463794696E-3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7">
        <f t="shared" si="28"/>
        <v>0</v>
      </c>
      <c r="AP122" s="27">
        <f t="shared" si="29"/>
        <v>0</v>
      </c>
      <c r="AQ122" s="27">
        <f t="shared" si="36"/>
        <v>0</v>
      </c>
      <c r="AR122" s="28">
        <f t="shared" si="37"/>
        <v>4.1861007866058404E-2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7">
        <f t="shared" si="32"/>
        <v>0</v>
      </c>
      <c r="BA122" s="27">
        <f t="shared" si="33"/>
        <v>0</v>
      </c>
      <c r="BB122" s="27">
        <f t="shared" si="40"/>
        <v>0</v>
      </c>
      <c r="BC122" s="28">
        <f t="shared" si="41"/>
        <v>0</v>
      </c>
      <c r="BE122" s="28">
        <f t="shared" si="42"/>
        <v>0</v>
      </c>
      <c r="BF122" s="28">
        <f t="shared" si="43"/>
        <v>4.1861007866058404E-2</v>
      </c>
      <c r="BH122" s="28"/>
    </row>
    <row r="123" spans="1:60" x14ac:dyDescent="0.25">
      <c r="A123" s="1">
        <v>46202</v>
      </c>
      <c r="B123" s="32">
        <v>631.98</v>
      </c>
      <c r="C123" s="32">
        <v>614.35</v>
      </c>
      <c r="D123" s="15">
        <v>3.27629235993483E-2</v>
      </c>
      <c r="E123" s="15">
        <v>4.0543961500347801E-2</v>
      </c>
      <c r="F123" s="32">
        <v>0</v>
      </c>
      <c r="G123" s="32">
        <v>0</v>
      </c>
      <c r="H123" s="32">
        <v>0</v>
      </c>
      <c r="I123" s="32">
        <v>0.490669999999999</v>
      </c>
      <c r="J123" s="32">
        <v>0</v>
      </c>
      <c r="K123" s="32">
        <v>0</v>
      </c>
      <c r="L123" s="32">
        <v>631.98</v>
      </c>
      <c r="M123" s="32">
        <v>614.35</v>
      </c>
      <c r="N123" s="33">
        <v>0.97210354758061901</v>
      </c>
      <c r="O123" s="33">
        <v>0.90525826694812095</v>
      </c>
      <c r="P123" s="33">
        <v>0.97005857070661805</v>
      </c>
      <c r="Q123" s="33">
        <v>0.96257313866442196</v>
      </c>
      <c r="R123" s="32">
        <v>572.105119545874</v>
      </c>
      <c r="S123" s="32">
        <v>612.40364574292505</v>
      </c>
      <c r="T123" s="32">
        <v>607.63361342504095</v>
      </c>
      <c r="U123" s="15">
        <v>-7.1242048388568402E-2</v>
      </c>
      <c r="V123" s="15">
        <v>-3.1731813424720002E-3</v>
      </c>
      <c r="W123" s="15">
        <v>-1.09927074877812E-2</v>
      </c>
      <c r="X123" s="33">
        <v>0.97210354758061901</v>
      </c>
      <c r="Y123" s="33">
        <v>0.90525826694812095</v>
      </c>
      <c r="Z123" s="33">
        <v>0.97005857070661805</v>
      </c>
      <c r="AA123" s="33">
        <v>0.96257313866442196</v>
      </c>
      <c r="AB123" s="32">
        <v>572.105119545874</v>
      </c>
      <c r="AC123" s="32">
        <v>612.40364574292505</v>
      </c>
      <c r="AD123" s="32">
        <v>607.63361342504095</v>
      </c>
      <c r="AE123" s="15">
        <v>-7.1242048388568402E-2</v>
      </c>
      <c r="AF123" s="15">
        <v>-3.1731813424720002E-3</v>
      </c>
      <c r="AG123" s="15">
        <v>-1.09927074877812E-2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7">
        <f t="shared" si="28"/>
        <v>0</v>
      </c>
      <c r="AP123" s="27">
        <f t="shared" si="29"/>
        <v>0</v>
      </c>
      <c r="AQ123" s="27">
        <f t="shared" si="36"/>
        <v>0</v>
      </c>
      <c r="AR123" s="28">
        <f t="shared" si="37"/>
        <v>4.1861007866058404E-2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7">
        <f t="shared" si="32"/>
        <v>0</v>
      </c>
      <c r="BA123" s="27">
        <f t="shared" si="33"/>
        <v>0</v>
      </c>
      <c r="BB123" s="27">
        <f t="shared" si="40"/>
        <v>0</v>
      </c>
      <c r="BC123" s="28">
        <f t="shared" si="41"/>
        <v>0</v>
      </c>
      <c r="BE123" s="28">
        <f t="shared" si="42"/>
        <v>0</v>
      </c>
      <c r="BF123" s="28">
        <f t="shared" si="43"/>
        <v>4.1861007866058404E-2</v>
      </c>
      <c r="BH123" s="28"/>
    </row>
    <row r="124" spans="1:60" x14ac:dyDescent="0.25">
      <c r="A124" s="1">
        <v>46203</v>
      </c>
      <c r="B124" s="32">
        <v>655.89</v>
      </c>
      <c r="C124" s="32">
        <v>640.76</v>
      </c>
      <c r="D124" s="15">
        <v>3.71353438804004E-2</v>
      </c>
      <c r="E124" s="15">
        <v>4.2090173519702498E-2</v>
      </c>
      <c r="F124" s="32">
        <v>0</v>
      </c>
      <c r="G124" s="32">
        <v>0</v>
      </c>
      <c r="H124" s="32">
        <v>0</v>
      </c>
      <c r="I124" s="32">
        <v>0.490669999999999</v>
      </c>
      <c r="J124" s="32">
        <v>0</v>
      </c>
      <c r="K124" s="32">
        <v>0</v>
      </c>
      <c r="L124" s="32">
        <v>655.89</v>
      </c>
      <c r="M124" s="32">
        <v>640.76</v>
      </c>
      <c r="N124" s="33">
        <v>0.97693210751802895</v>
      </c>
      <c r="O124" s="33">
        <v>0.90525826694812095</v>
      </c>
      <c r="P124" s="33">
        <v>0.97063387078000996</v>
      </c>
      <c r="Q124" s="33">
        <v>0.96437132430389305</v>
      </c>
      <c r="R124" s="32">
        <v>593.74984470860295</v>
      </c>
      <c r="S124" s="32">
        <v>636.25171594076403</v>
      </c>
      <c r="T124" s="32">
        <v>631.34209591860804</v>
      </c>
      <c r="U124" s="15">
        <v>-7.6196878027870493E-2</v>
      </c>
      <c r="V124" s="15">
        <v>-7.0607070122431703E-3</v>
      </c>
      <c r="W124" s="15">
        <v>-1.4807107360756201E-2</v>
      </c>
      <c r="X124" s="33">
        <v>0.97693210751802895</v>
      </c>
      <c r="Y124" s="33">
        <v>0.90525826694812095</v>
      </c>
      <c r="Z124" s="33">
        <v>0.97063387078000996</v>
      </c>
      <c r="AA124" s="33">
        <v>0.96437132430389305</v>
      </c>
      <c r="AB124" s="32">
        <v>593.74984470860295</v>
      </c>
      <c r="AC124" s="32">
        <v>636.25171594076403</v>
      </c>
      <c r="AD124" s="32">
        <v>631.34209591860804</v>
      </c>
      <c r="AE124" s="15">
        <v>-7.6196878027870493E-2</v>
      </c>
      <c r="AF124" s="15">
        <v>-7.0607070122431703E-3</v>
      </c>
      <c r="AG124" s="15">
        <v>-1.4807107360756201E-2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7">
        <f t="shared" si="28"/>
        <v>0</v>
      </c>
      <c r="AP124" s="27">
        <f t="shared" si="29"/>
        <v>0</v>
      </c>
      <c r="AQ124" s="27">
        <f t="shared" si="36"/>
        <v>0</v>
      </c>
      <c r="AR124" s="28">
        <f t="shared" si="37"/>
        <v>4.1861007866058404E-2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7">
        <f t="shared" si="32"/>
        <v>0</v>
      </c>
      <c r="BA124" s="27">
        <f t="shared" si="33"/>
        <v>0</v>
      </c>
      <c r="BB124" s="27">
        <f t="shared" si="40"/>
        <v>0</v>
      </c>
      <c r="BC124" s="28">
        <f t="shared" si="41"/>
        <v>0</v>
      </c>
      <c r="BE124" s="28">
        <f t="shared" si="42"/>
        <v>0</v>
      </c>
      <c r="BF124" s="28">
        <f t="shared" si="43"/>
        <v>4.1861007866058404E-2</v>
      </c>
      <c r="BH124" s="28"/>
    </row>
    <row r="125" spans="1:60" x14ac:dyDescent="0.25">
      <c r="A125" s="1">
        <v>46204</v>
      </c>
      <c r="B125" s="32">
        <v>620.46</v>
      </c>
      <c r="C125" s="32">
        <v>599.70000000000005</v>
      </c>
      <c r="D125" s="15">
        <v>-5.5531953531967097E-2</v>
      </c>
      <c r="E125" s="15">
        <v>-6.6225441658818496E-2</v>
      </c>
      <c r="F125" s="32">
        <v>0</v>
      </c>
      <c r="G125" s="32">
        <v>0</v>
      </c>
      <c r="H125" s="32">
        <v>0</v>
      </c>
      <c r="I125" s="32">
        <v>0.490669999999999</v>
      </c>
      <c r="J125" s="32">
        <v>0</v>
      </c>
      <c r="K125" s="32">
        <v>0</v>
      </c>
      <c r="L125" s="32">
        <v>620.46</v>
      </c>
      <c r="M125" s="32">
        <v>599.70000000000005</v>
      </c>
      <c r="N125" s="33">
        <v>0.96654095348612301</v>
      </c>
      <c r="O125" s="33">
        <v>0.90525826694812095</v>
      </c>
      <c r="P125" s="33">
        <v>0.97130744664810298</v>
      </c>
      <c r="Q125" s="33">
        <v>0.96484876504379402</v>
      </c>
      <c r="R125" s="32">
        <v>561.67654431063102</v>
      </c>
      <c r="S125" s="32">
        <v>602.23949146416498</v>
      </c>
      <c r="T125" s="32">
        <v>598.35383187759305</v>
      </c>
      <c r="U125" s="15">
        <v>-6.5503389901019199E-2</v>
      </c>
      <c r="V125" s="15">
        <v>4.2256623748687799E-3</v>
      </c>
      <c r="W125" s="15">
        <v>-2.2472591015857001E-3</v>
      </c>
      <c r="X125" s="33">
        <v>0.96654095348612301</v>
      </c>
      <c r="Y125" s="33">
        <v>0.90525826694812095</v>
      </c>
      <c r="Z125" s="33">
        <v>0.97130744664810298</v>
      </c>
      <c r="AA125" s="33">
        <v>0.96484876504379402</v>
      </c>
      <c r="AB125" s="32">
        <v>561.67654431063102</v>
      </c>
      <c r="AC125" s="32">
        <v>602.23949146416498</v>
      </c>
      <c r="AD125" s="32">
        <v>598.35383187759305</v>
      </c>
      <c r="AE125" s="15">
        <v>-6.5503389901019199E-2</v>
      </c>
      <c r="AF125" s="15">
        <v>4.2256623748687799E-3</v>
      </c>
      <c r="AG125" s="15">
        <v>-2.2472591015857001E-3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7">
        <f t="shared" si="28"/>
        <v>0</v>
      </c>
      <c r="AP125" s="27">
        <f t="shared" si="29"/>
        <v>0</v>
      </c>
      <c r="AQ125" s="27">
        <f t="shared" si="36"/>
        <v>0</v>
      </c>
      <c r="AR125" s="28">
        <f t="shared" si="37"/>
        <v>4.1861007866058404E-2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7">
        <f t="shared" si="32"/>
        <v>0</v>
      </c>
      <c r="BA125" s="27">
        <f t="shared" si="33"/>
        <v>0</v>
      </c>
      <c r="BB125" s="27">
        <f t="shared" si="40"/>
        <v>0</v>
      </c>
      <c r="BC125" s="28">
        <f t="shared" si="41"/>
        <v>0</v>
      </c>
      <c r="BE125" s="28">
        <f t="shared" si="42"/>
        <v>0</v>
      </c>
      <c r="BF125" s="28">
        <f t="shared" si="43"/>
        <v>4.1861007866058404E-2</v>
      </c>
      <c r="BH125" s="28"/>
    </row>
    <row r="126" spans="1:60" x14ac:dyDescent="0.25">
      <c r="A126" s="1">
        <v>46205</v>
      </c>
      <c r="B126" s="32">
        <v>592.29</v>
      </c>
      <c r="C126" s="32">
        <v>566.32000000000005</v>
      </c>
      <c r="D126" s="15">
        <v>-4.6464758620691597E-2</v>
      </c>
      <c r="E126" s="15">
        <v>-5.72702407085302E-2</v>
      </c>
      <c r="F126" s="32">
        <v>0</v>
      </c>
      <c r="G126" s="32">
        <v>0</v>
      </c>
      <c r="H126" s="32">
        <v>0</v>
      </c>
      <c r="I126" s="32">
        <v>0.490669999999999</v>
      </c>
      <c r="J126" s="32">
        <v>0</v>
      </c>
      <c r="K126" s="32">
        <v>0</v>
      </c>
      <c r="L126" s="32">
        <v>592.29</v>
      </c>
      <c r="M126" s="32">
        <v>566.32000000000005</v>
      </c>
      <c r="N126" s="33">
        <v>0.95615323574600297</v>
      </c>
      <c r="O126" s="33">
        <v>0.90525826694812095</v>
      </c>
      <c r="P126" s="33">
        <v>0.97080757237665305</v>
      </c>
      <c r="Q126" s="33">
        <v>0.96439807912769304</v>
      </c>
      <c r="R126" s="32">
        <v>536.17541893070302</v>
      </c>
      <c r="S126" s="32">
        <v>575.29568757520497</v>
      </c>
      <c r="T126" s="32">
        <v>571.47027504778896</v>
      </c>
      <c r="U126" s="15">
        <v>-5.4697907813180499E-2</v>
      </c>
      <c r="V126" s="15">
        <v>1.5724858416945101E-2</v>
      </c>
      <c r="W126" s="15">
        <v>9.0531802514035292E-3</v>
      </c>
      <c r="X126" s="33">
        <v>0.95615323574600297</v>
      </c>
      <c r="Y126" s="33">
        <v>0.90525826694812095</v>
      </c>
      <c r="Z126" s="33">
        <v>0.97080757237665305</v>
      </c>
      <c r="AA126" s="33">
        <v>0.96439807912769304</v>
      </c>
      <c r="AB126" s="32">
        <v>536.17541893070302</v>
      </c>
      <c r="AC126" s="32">
        <v>575.29568757520497</v>
      </c>
      <c r="AD126" s="32">
        <v>571.47027504778896</v>
      </c>
      <c r="AE126" s="15">
        <v>-5.4697907813180499E-2</v>
      </c>
      <c r="AF126" s="15">
        <v>1.5724858416945101E-2</v>
      </c>
      <c r="AG126" s="15">
        <v>9.0531802514035292E-3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7">
        <f t="shared" si="28"/>
        <v>0</v>
      </c>
      <c r="AP126" s="27">
        <f t="shared" si="29"/>
        <v>0</v>
      </c>
      <c r="AQ126" s="27">
        <f t="shared" si="36"/>
        <v>0</v>
      </c>
      <c r="AR126" s="28">
        <f t="shared" si="37"/>
        <v>4.1861007866058404E-2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7">
        <f t="shared" si="32"/>
        <v>0</v>
      </c>
      <c r="BA126" s="27">
        <f t="shared" si="33"/>
        <v>0</v>
      </c>
      <c r="BB126" s="27">
        <f t="shared" si="40"/>
        <v>0</v>
      </c>
      <c r="BC126" s="28">
        <f t="shared" si="41"/>
        <v>0</v>
      </c>
      <c r="BE126" s="28">
        <f t="shared" si="42"/>
        <v>0</v>
      </c>
      <c r="BF126" s="28">
        <f t="shared" si="43"/>
        <v>4.1861007866058404E-2</v>
      </c>
      <c r="BH126" s="28"/>
    </row>
    <row r="127" spans="1:60" x14ac:dyDescent="0.25">
      <c r="A127" s="1">
        <v>46209</v>
      </c>
      <c r="B127" s="32">
        <v>604.29999999999995</v>
      </c>
      <c r="C127" s="32">
        <v>581.51</v>
      </c>
      <c r="D127" s="15">
        <v>2.0074383563265599E-2</v>
      </c>
      <c r="E127" s="15">
        <v>2.6468879249477301E-2</v>
      </c>
      <c r="F127" s="32">
        <v>0</v>
      </c>
      <c r="G127" s="32">
        <v>0</v>
      </c>
      <c r="H127" s="32">
        <v>0</v>
      </c>
      <c r="I127" s="32">
        <v>0.490669999999999</v>
      </c>
      <c r="J127" s="32">
        <v>0</v>
      </c>
      <c r="K127" s="32">
        <v>0</v>
      </c>
      <c r="L127" s="32">
        <v>604.29999999999995</v>
      </c>
      <c r="M127" s="32">
        <v>581.51</v>
      </c>
      <c r="N127" s="33">
        <v>0.96228694357107403</v>
      </c>
      <c r="O127" s="33">
        <v>0.90525826694812095</v>
      </c>
      <c r="P127" s="33">
        <v>0.97013228419148001</v>
      </c>
      <c r="Q127" s="33">
        <v>0.964489224228258</v>
      </c>
      <c r="R127" s="32">
        <v>547.04757071674896</v>
      </c>
      <c r="S127" s="32">
        <v>586.65901598721098</v>
      </c>
      <c r="T127" s="32">
        <v>582.78575921686502</v>
      </c>
      <c r="U127" s="15">
        <v>-6.1092403499392198E-2</v>
      </c>
      <c r="V127" s="15">
        <v>8.8155896327532599E-3</v>
      </c>
      <c r="W127" s="15">
        <v>2.19147019533413E-3</v>
      </c>
      <c r="X127" s="33">
        <v>0.96228694357107403</v>
      </c>
      <c r="Y127" s="33">
        <v>0.90525826694812095</v>
      </c>
      <c r="Z127" s="33">
        <v>0.97013228419148001</v>
      </c>
      <c r="AA127" s="33">
        <v>0.964489224228258</v>
      </c>
      <c r="AB127" s="32">
        <v>547.04757071674896</v>
      </c>
      <c r="AC127" s="32">
        <v>586.65901598721098</v>
      </c>
      <c r="AD127" s="32">
        <v>582.78575921686502</v>
      </c>
      <c r="AE127" s="15">
        <v>-6.1092403499392198E-2</v>
      </c>
      <c r="AF127" s="15">
        <v>8.8155896327532599E-3</v>
      </c>
      <c r="AG127" s="15">
        <v>2.19147019533413E-3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7">
        <f t="shared" si="28"/>
        <v>0</v>
      </c>
      <c r="AP127" s="27">
        <f t="shared" si="29"/>
        <v>0</v>
      </c>
      <c r="AQ127" s="27">
        <f t="shared" si="36"/>
        <v>0</v>
      </c>
      <c r="AR127" s="28">
        <f t="shared" si="37"/>
        <v>4.1861007866058404E-2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7">
        <f t="shared" si="32"/>
        <v>0</v>
      </c>
      <c r="BA127" s="27">
        <f t="shared" si="33"/>
        <v>0</v>
      </c>
      <c r="BB127" s="27">
        <f t="shared" si="40"/>
        <v>0</v>
      </c>
      <c r="BC127" s="28">
        <f t="shared" si="41"/>
        <v>0</v>
      </c>
      <c r="BE127" s="28">
        <f t="shared" si="42"/>
        <v>0</v>
      </c>
      <c r="BF127" s="28">
        <f t="shared" si="43"/>
        <v>4.1861007866058404E-2</v>
      </c>
      <c r="BH127" s="28"/>
    </row>
    <row r="128" spans="1:60" x14ac:dyDescent="0.25">
      <c r="A128" s="1">
        <v>46210</v>
      </c>
      <c r="B128" s="32">
        <v>581.45000000000005</v>
      </c>
      <c r="C128" s="32">
        <v>551.69000000000005</v>
      </c>
      <c r="D128" s="15">
        <v>-3.8545779628460501E-2</v>
      </c>
      <c r="E128" s="15">
        <v>-5.2641874394303602E-2</v>
      </c>
      <c r="F128" s="32">
        <v>0</v>
      </c>
      <c r="G128" s="32">
        <v>0</v>
      </c>
      <c r="H128" s="32">
        <v>0</v>
      </c>
      <c r="I128" s="32">
        <v>0.490669999999999</v>
      </c>
      <c r="J128" s="32">
        <v>0</v>
      </c>
      <c r="K128" s="32">
        <v>0</v>
      </c>
      <c r="L128" s="32">
        <v>581.45000000000005</v>
      </c>
      <c r="M128" s="32">
        <v>551.69000000000005</v>
      </c>
      <c r="N128" s="33">
        <v>0.94881761114455199</v>
      </c>
      <c r="O128" s="33">
        <v>0.90525826694812095</v>
      </c>
      <c r="P128" s="33">
        <v>0.967092052810681</v>
      </c>
      <c r="Q128" s="33">
        <v>0.964556094358762</v>
      </c>
      <c r="R128" s="32">
        <v>526.36241931698498</v>
      </c>
      <c r="S128" s="32">
        <v>564.08341664313605</v>
      </c>
      <c r="T128" s="32">
        <v>560.80225942752099</v>
      </c>
      <c r="U128" s="15">
        <v>-4.6996308733549E-2</v>
      </c>
      <c r="V128" s="15">
        <v>2.22158480900836E-2</v>
      </c>
      <c r="W128" s="15">
        <v>1.6382070327535001E-2</v>
      </c>
      <c r="X128" s="33">
        <v>0.94881761114455199</v>
      </c>
      <c r="Y128" s="33">
        <v>0.90525826694812095</v>
      </c>
      <c r="Z128" s="33">
        <v>0.967092052810681</v>
      </c>
      <c r="AA128" s="33">
        <v>0.964556094358762</v>
      </c>
      <c r="AB128" s="32">
        <v>526.36241931698498</v>
      </c>
      <c r="AC128" s="32">
        <v>564.08341664313605</v>
      </c>
      <c r="AD128" s="32">
        <v>560.80225942752099</v>
      </c>
      <c r="AE128" s="15">
        <v>-4.6996308733549E-2</v>
      </c>
      <c r="AF128" s="15">
        <v>2.22158480900836E-2</v>
      </c>
      <c r="AG128" s="15">
        <v>1.6382070327535001E-2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7">
        <f t="shared" si="28"/>
        <v>0</v>
      </c>
      <c r="AP128" s="27">
        <f t="shared" si="29"/>
        <v>0</v>
      </c>
      <c r="AQ128" s="27">
        <f t="shared" si="36"/>
        <v>0</v>
      </c>
      <c r="AR128" s="28">
        <f t="shared" si="37"/>
        <v>4.1861007866058404E-2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7">
        <f t="shared" si="32"/>
        <v>0</v>
      </c>
      <c r="BA128" s="27">
        <f t="shared" si="33"/>
        <v>0</v>
      </c>
      <c r="BB128" s="27">
        <f t="shared" si="40"/>
        <v>0</v>
      </c>
      <c r="BC128" s="28">
        <f t="shared" si="41"/>
        <v>0</v>
      </c>
      <c r="BE128" s="28">
        <f t="shared" si="42"/>
        <v>0</v>
      </c>
      <c r="BF128" s="28">
        <f t="shared" si="43"/>
        <v>4.1861007866058404E-2</v>
      </c>
      <c r="BH128" s="28"/>
    </row>
    <row r="129" spans="1:60" x14ac:dyDescent="0.25">
      <c r="A129" s="1">
        <v>46211</v>
      </c>
      <c r="B129" s="32">
        <v>593</v>
      </c>
      <c r="C129" s="32">
        <v>562.03</v>
      </c>
      <c r="D129" s="15">
        <v>1.9669415258673099E-2</v>
      </c>
      <c r="E129" s="15">
        <v>1.8568934930798201E-2</v>
      </c>
      <c r="F129" s="32">
        <v>0</v>
      </c>
      <c r="G129" s="32">
        <v>0</v>
      </c>
      <c r="H129" s="32">
        <v>0</v>
      </c>
      <c r="I129" s="32">
        <v>0.490669999999999</v>
      </c>
      <c r="J129" s="32">
        <v>0</v>
      </c>
      <c r="K129" s="32">
        <v>0</v>
      </c>
      <c r="L129" s="32">
        <v>593</v>
      </c>
      <c r="M129" s="32">
        <v>562.03</v>
      </c>
      <c r="N129" s="33">
        <v>0.94777403035413099</v>
      </c>
      <c r="O129" s="33">
        <v>0.90525826694812095</v>
      </c>
      <c r="P129" s="33">
        <v>0.96486921470792297</v>
      </c>
      <c r="Q129" s="33">
        <v>0.96417747609580795</v>
      </c>
      <c r="R129" s="32">
        <v>536.81815230023597</v>
      </c>
      <c r="S129" s="32">
        <v>573.48558731673404</v>
      </c>
      <c r="T129" s="32">
        <v>571.98176395474604</v>
      </c>
      <c r="U129" s="15">
        <v>-4.5895828405674098E-2</v>
      </c>
      <c r="V129" s="15">
        <v>2.01775759062345E-2</v>
      </c>
      <c r="W129" s="15">
        <v>1.7551880421679902E-2</v>
      </c>
      <c r="X129" s="33">
        <v>0.94777403035413099</v>
      </c>
      <c r="Y129" s="33">
        <v>0.90525826694812095</v>
      </c>
      <c r="Z129" s="33">
        <v>0.96486921470792297</v>
      </c>
      <c r="AA129" s="33">
        <v>0.96417747609580795</v>
      </c>
      <c r="AB129" s="32">
        <v>536.81815230023597</v>
      </c>
      <c r="AC129" s="32">
        <v>573.48558731673404</v>
      </c>
      <c r="AD129" s="32">
        <v>571.98176395474604</v>
      </c>
      <c r="AE129" s="15">
        <v>-4.5895828405674098E-2</v>
      </c>
      <c r="AF129" s="15">
        <v>2.01775759062345E-2</v>
      </c>
      <c r="AG129" s="15">
        <v>1.7551880421679902E-2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7">
        <f t="shared" si="28"/>
        <v>0</v>
      </c>
      <c r="AP129" s="27">
        <f t="shared" si="29"/>
        <v>0</v>
      </c>
      <c r="AQ129" s="27">
        <f t="shared" si="36"/>
        <v>0</v>
      </c>
      <c r="AR129" s="28">
        <f t="shared" si="37"/>
        <v>4.1861007866058404E-2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7">
        <f t="shared" si="32"/>
        <v>0</v>
      </c>
      <c r="BA129" s="27">
        <f t="shared" si="33"/>
        <v>0</v>
      </c>
      <c r="BB129" s="27">
        <f t="shared" si="40"/>
        <v>0</v>
      </c>
      <c r="BC129" s="28">
        <f t="shared" si="41"/>
        <v>0</v>
      </c>
      <c r="BE129" s="28">
        <f t="shared" si="42"/>
        <v>0</v>
      </c>
      <c r="BF129" s="28">
        <f t="shared" si="43"/>
        <v>4.1861007866058404E-2</v>
      </c>
      <c r="BH129" s="28"/>
    </row>
    <row r="130" spans="1:60" x14ac:dyDescent="0.25">
      <c r="A130" s="1">
        <v>46212</v>
      </c>
      <c r="B130" s="32">
        <v>607.73</v>
      </c>
      <c r="C130" s="32">
        <v>581.70000000000005</v>
      </c>
      <c r="D130" s="15">
        <v>2.45363053888158E-2</v>
      </c>
      <c r="E130" s="15">
        <v>3.43996216648099E-2</v>
      </c>
      <c r="F130" s="32">
        <v>0</v>
      </c>
      <c r="G130" s="32">
        <v>0</v>
      </c>
      <c r="H130" s="32">
        <v>0</v>
      </c>
      <c r="I130" s="32">
        <v>0.490669999999999</v>
      </c>
      <c r="J130" s="32">
        <v>0</v>
      </c>
      <c r="K130" s="32">
        <v>0</v>
      </c>
      <c r="L130" s="32">
        <v>607.73</v>
      </c>
      <c r="M130" s="32">
        <v>581.70000000000005</v>
      </c>
      <c r="N130" s="33">
        <v>0.95716847942342798</v>
      </c>
      <c r="O130" s="33">
        <v>0.90525826694812095</v>
      </c>
      <c r="P130" s="33">
        <v>0.96340064288680605</v>
      </c>
      <c r="Q130" s="33">
        <v>0.96447832912909404</v>
      </c>
      <c r="R130" s="32">
        <v>550.15260657238196</v>
      </c>
      <c r="S130" s="32">
        <v>586.37996785444602</v>
      </c>
      <c r="T130" s="32">
        <v>585.95957754770495</v>
      </c>
      <c r="U130" s="15">
        <v>-5.5759144681668101E-2</v>
      </c>
      <c r="V130" s="15">
        <v>8.0131378417368903E-3</v>
      </c>
      <c r="W130" s="15">
        <v>7.2959559870295499E-3</v>
      </c>
      <c r="X130" s="33">
        <v>0.95716847942342798</v>
      </c>
      <c r="Y130" s="33">
        <v>0.90525826694812095</v>
      </c>
      <c r="Z130" s="33">
        <v>0.96340064288680605</v>
      </c>
      <c r="AA130" s="33">
        <v>0.96447832912909404</v>
      </c>
      <c r="AB130" s="32">
        <v>550.15260657238196</v>
      </c>
      <c r="AC130" s="32">
        <v>586.37996785444602</v>
      </c>
      <c r="AD130" s="32">
        <v>585.95957754770495</v>
      </c>
      <c r="AE130" s="15">
        <v>-5.5759144681668101E-2</v>
      </c>
      <c r="AF130" s="15">
        <v>8.0131378417368903E-3</v>
      </c>
      <c r="AG130" s="15">
        <v>7.2959559870295499E-3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7">
        <f t="shared" si="28"/>
        <v>0</v>
      </c>
      <c r="AP130" s="27">
        <f t="shared" si="29"/>
        <v>0</v>
      </c>
      <c r="AQ130" s="27">
        <f t="shared" si="36"/>
        <v>0</v>
      </c>
      <c r="AR130" s="28">
        <f t="shared" si="37"/>
        <v>4.1861007866058404E-2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7">
        <f t="shared" si="32"/>
        <v>0</v>
      </c>
      <c r="BA130" s="27">
        <f t="shared" si="33"/>
        <v>0</v>
      </c>
      <c r="BB130" s="27">
        <f t="shared" si="40"/>
        <v>0</v>
      </c>
      <c r="BC130" s="28">
        <f t="shared" si="41"/>
        <v>0</v>
      </c>
      <c r="BE130" s="28">
        <f t="shared" si="42"/>
        <v>0</v>
      </c>
      <c r="BF130" s="28">
        <f t="shared" si="43"/>
        <v>4.1861007866058404E-2</v>
      </c>
      <c r="BH130" s="28"/>
    </row>
    <row r="131" spans="1:60" x14ac:dyDescent="0.25">
      <c r="A131" s="1">
        <v>46213</v>
      </c>
      <c r="B131" s="32">
        <v>611.03</v>
      </c>
      <c r="C131" s="32">
        <v>581.34</v>
      </c>
      <c r="D131" s="15">
        <v>5.4153534160300901E-3</v>
      </c>
      <c r="E131" s="15">
        <v>-6.1906729174807996E-4</v>
      </c>
      <c r="F131" s="32">
        <v>0</v>
      </c>
      <c r="G131" s="32">
        <v>0</v>
      </c>
      <c r="H131" s="32">
        <v>0</v>
      </c>
      <c r="I131" s="32">
        <v>0.490669999999999</v>
      </c>
      <c r="J131" s="32">
        <v>0</v>
      </c>
      <c r="K131" s="32">
        <v>0</v>
      </c>
      <c r="L131" s="32">
        <v>611.03</v>
      </c>
      <c r="M131" s="32">
        <v>581.34</v>
      </c>
      <c r="N131" s="33">
        <v>0.95140991440682099</v>
      </c>
      <c r="O131" s="33">
        <v>0.90525826694812095</v>
      </c>
      <c r="P131" s="33">
        <v>0.96037557478723001</v>
      </c>
      <c r="Q131" s="33">
        <v>0.96462366151370804</v>
      </c>
      <c r="R131" s="32">
        <v>553.13995885330996</v>
      </c>
      <c r="S131" s="32">
        <v>588.666694823125</v>
      </c>
      <c r="T131" s="32">
        <v>589.32519344775005</v>
      </c>
      <c r="U131" s="15">
        <v>-4.9724723973889898E-2</v>
      </c>
      <c r="V131" s="15">
        <v>1.2524356701730599E-2</v>
      </c>
      <c r="W131" s="15">
        <v>1.36423587860764E-2</v>
      </c>
      <c r="X131" s="33">
        <v>0.95140991440682099</v>
      </c>
      <c r="Y131" s="33">
        <v>0.90525826694812095</v>
      </c>
      <c r="Z131" s="33">
        <v>0.96037557478723001</v>
      </c>
      <c r="AA131" s="33">
        <v>0.96462366151370804</v>
      </c>
      <c r="AB131" s="32">
        <v>553.13995885330996</v>
      </c>
      <c r="AC131" s="32">
        <v>588.666694823125</v>
      </c>
      <c r="AD131" s="32">
        <v>589.32519344775005</v>
      </c>
      <c r="AE131" s="15">
        <v>-4.9724723973889898E-2</v>
      </c>
      <c r="AF131" s="15">
        <v>1.2524356701730599E-2</v>
      </c>
      <c r="AG131" s="15">
        <v>1.36423587860764E-2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7">
        <f t="shared" si="28"/>
        <v>0</v>
      </c>
      <c r="AP131" s="27">
        <f t="shared" si="29"/>
        <v>0</v>
      </c>
      <c r="AQ131" s="27">
        <f t="shared" si="36"/>
        <v>0</v>
      </c>
      <c r="AR131" s="28">
        <f t="shared" si="37"/>
        <v>4.1861007866058404E-2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7">
        <f t="shared" si="32"/>
        <v>0</v>
      </c>
      <c r="BA131" s="27">
        <f t="shared" si="33"/>
        <v>0</v>
      </c>
      <c r="BB131" s="27">
        <f t="shared" si="40"/>
        <v>0</v>
      </c>
      <c r="BC131" s="28">
        <f t="shared" si="41"/>
        <v>0</v>
      </c>
      <c r="BE131" s="28">
        <f t="shared" si="42"/>
        <v>0</v>
      </c>
      <c r="BF131" s="28">
        <f t="shared" si="43"/>
        <v>4.1861007866058404E-2</v>
      </c>
      <c r="BH131" s="28"/>
    </row>
    <row r="132" spans="1:60" x14ac:dyDescent="0.25">
      <c r="A132" s="1">
        <v>46216</v>
      </c>
      <c r="B132" s="32">
        <v>585.62</v>
      </c>
      <c r="C132" s="32">
        <v>553.61</v>
      </c>
      <c r="D132" s="15">
        <v>-4.2474942733205998E-2</v>
      </c>
      <c r="E132" s="15">
        <v>-4.8875315900837497E-2</v>
      </c>
      <c r="F132" s="32">
        <v>0</v>
      </c>
      <c r="G132" s="32">
        <v>0</v>
      </c>
      <c r="H132" s="32">
        <v>0</v>
      </c>
      <c r="I132" s="32">
        <v>0.490669999999999</v>
      </c>
      <c r="J132" s="32">
        <v>0</v>
      </c>
      <c r="K132" s="32">
        <v>0</v>
      </c>
      <c r="L132" s="32">
        <v>585.62</v>
      </c>
      <c r="M132" s="32">
        <v>553.61</v>
      </c>
      <c r="N132" s="33">
        <v>0.94533998155800603</v>
      </c>
      <c r="O132" s="33">
        <v>0.90525826694812095</v>
      </c>
      <c r="P132" s="33">
        <v>0.95845268047887799</v>
      </c>
      <c r="Q132" s="33">
        <v>0.96373822807048204</v>
      </c>
      <c r="R132" s="32">
        <v>530.13734629015903</v>
      </c>
      <c r="S132" s="32">
        <v>562.41514410689695</v>
      </c>
      <c r="T132" s="32">
        <v>564.90290865565703</v>
      </c>
      <c r="U132" s="15">
        <v>-4.3324350806258398E-2</v>
      </c>
      <c r="V132" s="15">
        <v>1.5779800053626E-2</v>
      </c>
      <c r="W132" s="15">
        <v>2.0193405568264301E-2</v>
      </c>
      <c r="X132" s="33">
        <v>0.94533998155800603</v>
      </c>
      <c r="Y132" s="33">
        <v>0.90525826694812095</v>
      </c>
      <c r="Z132" s="33">
        <v>0.95845268047887799</v>
      </c>
      <c r="AA132" s="33">
        <v>0.96373822807048204</v>
      </c>
      <c r="AB132" s="32">
        <v>530.13734629015903</v>
      </c>
      <c r="AC132" s="32">
        <v>562.41514410689695</v>
      </c>
      <c r="AD132" s="32">
        <v>564.90290865565703</v>
      </c>
      <c r="AE132" s="15">
        <v>-4.3324350806258398E-2</v>
      </c>
      <c r="AF132" s="15">
        <v>1.5779800053626E-2</v>
      </c>
      <c r="AG132" s="15">
        <v>2.0193405568264301E-2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7">
        <f t="shared" si="28"/>
        <v>0</v>
      </c>
      <c r="AP132" s="27">
        <f t="shared" si="29"/>
        <v>0</v>
      </c>
      <c r="AQ132" s="27">
        <f t="shared" si="36"/>
        <v>0</v>
      </c>
      <c r="AR132" s="28">
        <f t="shared" si="37"/>
        <v>4.1861007866058404E-2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7">
        <f t="shared" si="32"/>
        <v>0</v>
      </c>
      <c r="BA132" s="27">
        <f t="shared" si="33"/>
        <v>0</v>
      </c>
      <c r="BB132" s="27">
        <f t="shared" si="40"/>
        <v>0</v>
      </c>
      <c r="BC132" s="28">
        <f t="shared" si="41"/>
        <v>0</v>
      </c>
      <c r="BE132" s="28">
        <f t="shared" si="42"/>
        <v>0</v>
      </c>
      <c r="BF132" s="28">
        <f t="shared" si="43"/>
        <v>4.1861007866058404E-2</v>
      </c>
      <c r="BH132" s="28"/>
    </row>
    <row r="133" spans="1:60" x14ac:dyDescent="0.25">
      <c r="A133" s="1">
        <v>46217</v>
      </c>
      <c r="B133" s="32">
        <v>600.30999999999995</v>
      </c>
      <c r="C133" s="32">
        <v>567.91999999999996</v>
      </c>
      <c r="D133" s="15">
        <v>2.47750733871809E-2</v>
      </c>
      <c r="E133" s="15">
        <v>2.5520096007E-2</v>
      </c>
      <c r="F133" s="32">
        <v>0</v>
      </c>
      <c r="G133" s="32">
        <v>0</v>
      </c>
      <c r="H133" s="32">
        <v>0</v>
      </c>
      <c r="I133" s="32">
        <v>0.490669999999999</v>
      </c>
      <c r="J133" s="32">
        <v>0</v>
      </c>
      <c r="K133" s="32">
        <v>0</v>
      </c>
      <c r="L133" s="32">
        <v>600.30999999999995</v>
      </c>
      <c r="M133" s="32">
        <v>567.91999999999996</v>
      </c>
      <c r="N133" s="33">
        <v>0.94604454365244595</v>
      </c>
      <c r="O133" s="33">
        <v>0.90525826694812095</v>
      </c>
      <c r="P133" s="33">
        <v>0.95584678008606105</v>
      </c>
      <c r="Q133" s="33">
        <v>0.96295267539634</v>
      </c>
      <c r="R133" s="32">
        <v>543.43559023162595</v>
      </c>
      <c r="S133" s="32">
        <v>575.36872861827499</v>
      </c>
      <c r="T133" s="32">
        <v>578.54169569299097</v>
      </c>
      <c r="U133" s="15">
        <v>-4.4069373426077502E-2</v>
      </c>
      <c r="V133" s="15">
        <v>1.3030538704511299E-2</v>
      </c>
      <c r="W133" s="15">
        <v>1.8530055833359999E-2</v>
      </c>
      <c r="X133" s="33">
        <v>0.94604454365244595</v>
      </c>
      <c r="Y133" s="33">
        <v>0.90525826694812095</v>
      </c>
      <c r="Z133" s="33">
        <v>0.95584678008606105</v>
      </c>
      <c r="AA133" s="33">
        <v>0.96295267539634</v>
      </c>
      <c r="AB133" s="32">
        <v>543.43559023162595</v>
      </c>
      <c r="AC133" s="32">
        <v>575.36872861827499</v>
      </c>
      <c r="AD133" s="32">
        <v>578.54169569299097</v>
      </c>
      <c r="AE133" s="15">
        <v>-4.4069373426077502E-2</v>
      </c>
      <c r="AF133" s="15">
        <v>1.3030538704511299E-2</v>
      </c>
      <c r="AG133" s="15">
        <v>1.8530055833359999E-2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7">
        <f t="shared" si="28"/>
        <v>0</v>
      </c>
      <c r="AP133" s="27">
        <f t="shared" si="29"/>
        <v>0</v>
      </c>
      <c r="AQ133" s="27">
        <f t="shared" si="36"/>
        <v>0</v>
      </c>
      <c r="AR133" s="28">
        <f t="shared" si="37"/>
        <v>4.1861007866058404E-2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7">
        <f t="shared" si="32"/>
        <v>0</v>
      </c>
      <c r="BA133" s="27">
        <f t="shared" si="33"/>
        <v>0</v>
      </c>
      <c r="BB133" s="27">
        <f t="shared" si="40"/>
        <v>0</v>
      </c>
      <c r="BC133" s="28">
        <f t="shared" si="41"/>
        <v>0</v>
      </c>
      <c r="BE133" s="28">
        <f t="shared" si="42"/>
        <v>0</v>
      </c>
      <c r="BF133" s="28">
        <f t="shared" si="43"/>
        <v>4.1861007866058404E-2</v>
      </c>
      <c r="BH133" s="28"/>
    </row>
    <row r="134" spans="1:60" x14ac:dyDescent="0.25">
      <c r="A134" s="1">
        <v>46218</v>
      </c>
      <c r="B134" s="32">
        <v>590.77</v>
      </c>
      <c r="C134" s="32">
        <v>555.27</v>
      </c>
      <c r="D134" s="15">
        <v>-1.6019417693879899E-2</v>
      </c>
      <c r="E134" s="15">
        <v>-2.2526081794395299E-2</v>
      </c>
      <c r="F134" s="32">
        <v>0</v>
      </c>
      <c r="G134" s="32">
        <v>0</v>
      </c>
      <c r="H134" s="32">
        <v>0</v>
      </c>
      <c r="I134" s="32">
        <v>0.490669999999999</v>
      </c>
      <c r="J134" s="32">
        <v>0</v>
      </c>
      <c r="K134" s="32">
        <v>0</v>
      </c>
      <c r="L134" s="32">
        <v>590.77</v>
      </c>
      <c r="M134" s="32">
        <v>555.27</v>
      </c>
      <c r="N134" s="33">
        <v>0.93990893241024398</v>
      </c>
      <c r="O134" s="33">
        <v>0.90525826694812095</v>
      </c>
      <c r="P134" s="33">
        <v>0.95214446257528296</v>
      </c>
      <c r="Q134" s="33">
        <v>0.96138916667764596</v>
      </c>
      <c r="R134" s="32">
        <v>534.79942636494104</v>
      </c>
      <c r="S134" s="32">
        <v>564.68560227144201</v>
      </c>
      <c r="T134" s="32">
        <v>568.88355204389495</v>
      </c>
      <c r="U134" s="15">
        <v>-3.7562709325562001E-2</v>
      </c>
      <c r="V134" s="15">
        <v>1.6814638173781701E-2</v>
      </c>
      <c r="W134" s="15">
        <v>2.42212775437564E-2</v>
      </c>
      <c r="X134" s="33">
        <v>0.93990893241024398</v>
      </c>
      <c r="Y134" s="33">
        <v>0.90525826694812095</v>
      </c>
      <c r="Z134" s="33">
        <v>0.95214446257528296</v>
      </c>
      <c r="AA134" s="33">
        <v>0.96138916667764596</v>
      </c>
      <c r="AB134" s="32">
        <v>534.79942636494104</v>
      </c>
      <c r="AC134" s="32">
        <v>564.68560227144201</v>
      </c>
      <c r="AD134" s="32">
        <v>568.88355204389495</v>
      </c>
      <c r="AE134" s="15">
        <v>-3.7562709325562001E-2</v>
      </c>
      <c r="AF134" s="15">
        <v>1.6814638173781701E-2</v>
      </c>
      <c r="AG134" s="15">
        <v>2.42212775437564E-2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7">
        <f t="shared" si="28"/>
        <v>0</v>
      </c>
      <c r="AP134" s="27">
        <f t="shared" si="29"/>
        <v>0</v>
      </c>
      <c r="AQ134" s="27">
        <f t="shared" si="36"/>
        <v>0</v>
      </c>
      <c r="AR134" s="28">
        <f t="shared" si="37"/>
        <v>4.1861007866058404E-2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7">
        <f t="shared" si="32"/>
        <v>0</v>
      </c>
      <c r="BA134" s="27">
        <f t="shared" si="33"/>
        <v>0</v>
      </c>
      <c r="BB134" s="27">
        <f t="shared" si="40"/>
        <v>0</v>
      </c>
      <c r="BC134" s="28">
        <f t="shared" si="41"/>
        <v>0</v>
      </c>
      <c r="BE134" s="28">
        <f t="shared" si="42"/>
        <v>0</v>
      </c>
      <c r="BF134" s="28">
        <f t="shared" si="43"/>
        <v>4.1861007866058404E-2</v>
      </c>
      <c r="BH134" s="28"/>
    </row>
    <row r="135" spans="1:60" x14ac:dyDescent="0.25">
      <c r="A135" s="1">
        <v>46219</v>
      </c>
      <c r="B135" s="32">
        <v>568.91999999999996</v>
      </c>
      <c r="C135" s="32">
        <v>530.5</v>
      </c>
      <c r="D135" s="15">
        <v>-3.76869440606395E-2</v>
      </c>
      <c r="E135" s="15">
        <v>-4.5634523882697099E-2</v>
      </c>
      <c r="F135" s="32">
        <v>0</v>
      </c>
      <c r="G135" s="32">
        <v>0</v>
      </c>
      <c r="H135" s="32">
        <v>0</v>
      </c>
      <c r="I135" s="32">
        <v>0.490669999999999</v>
      </c>
      <c r="J135" s="32">
        <v>0</v>
      </c>
      <c r="K135" s="32">
        <v>0</v>
      </c>
      <c r="L135" s="32">
        <v>568.91999999999996</v>
      </c>
      <c r="M135" s="32">
        <v>530.5</v>
      </c>
      <c r="N135" s="33">
        <v>0.93246853687688902</v>
      </c>
      <c r="O135" s="33">
        <v>0.90525826694812095</v>
      </c>
      <c r="P135" s="33">
        <v>0.94873722091435897</v>
      </c>
      <c r="Q135" s="33">
        <v>0.96002233378123103</v>
      </c>
      <c r="R135" s="32">
        <v>515.01953323212501</v>
      </c>
      <c r="S135" s="32">
        <v>541.69402764833001</v>
      </c>
      <c r="T135" s="32">
        <v>546.95352470624596</v>
      </c>
      <c r="U135" s="15">
        <v>-2.9615129503504398E-2</v>
      </c>
      <c r="V135" s="15">
        <v>2.0881359347505402E-2</v>
      </c>
      <c r="W135" s="15">
        <v>3.05438767843456E-2</v>
      </c>
      <c r="X135" s="33">
        <v>0.93246853687688902</v>
      </c>
      <c r="Y135" s="33">
        <v>0.90525826694812095</v>
      </c>
      <c r="Z135" s="33">
        <v>0.94873722091435897</v>
      </c>
      <c r="AA135" s="33">
        <v>0.96002233378123103</v>
      </c>
      <c r="AB135" s="32">
        <v>515.01953323212501</v>
      </c>
      <c r="AC135" s="32">
        <v>541.69402764833001</v>
      </c>
      <c r="AD135" s="32">
        <v>546.95352470624596</v>
      </c>
      <c r="AE135" s="15">
        <v>-2.9615129503504398E-2</v>
      </c>
      <c r="AF135" s="15">
        <v>2.0881359347505402E-2</v>
      </c>
      <c r="AG135" s="15">
        <v>3.05438767843456E-2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7">
        <f t="shared" si="28"/>
        <v>0</v>
      </c>
      <c r="AP135" s="27">
        <f t="shared" si="29"/>
        <v>0</v>
      </c>
      <c r="AQ135" s="27">
        <f t="shared" si="36"/>
        <v>0</v>
      </c>
      <c r="AR135" s="28">
        <f t="shared" si="37"/>
        <v>4.1861007866058404E-2</v>
      </c>
      <c r="AT135" s="12"/>
      <c r="AU135">
        <f t="shared" si="30"/>
        <v>1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7">
        <f t="shared" si="32"/>
        <v>0</v>
      </c>
      <c r="BA135" s="27">
        <f t="shared" si="33"/>
        <v>0</v>
      </c>
      <c r="BB135" s="27">
        <f t="shared" si="40"/>
        <v>0</v>
      </c>
      <c r="BC135" s="28">
        <f t="shared" si="41"/>
        <v>0</v>
      </c>
      <c r="BE135" s="28">
        <f t="shared" si="42"/>
        <v>0</v>
      </c>
      <c r="BF135" s="28">
        <f t="shared" si="43"/>
        <v>4.1861007866058404E-2</v>
      </c>
      <c r="BH135" s="28"/>
    </row>
    <row r="136" spans="1:60" x14ac:dyDescent="0.25">
      <c r="A136" s="1">
        <v>46220</v>
      </c>
      <c r="B136" s="32">
        <v>556.53</v>
      </c>
      <c r="C136" s="32">
        <v>521.80999999999995</v>
      </c>
      <c r="D136" s="15">
        <v>-2.20187490836357E-2</v>
      </c>
      <c r="E136" s="15">
        <v>-1.6516421104228799E-2</v>
      </c>
      <c r="F136" s="32">
        <v>0</v>
      </c>
      <c r="G136" s="32">
        <v>0</v>
      </c>
      <c r="H136" s="32">
        <v>0</v>
      </c>
      <c r="I136" s="32">
        <v>0.490669999999999</v>
      </c>
      <c r="J136" s="32">
        <v>0</v>
      </c>
      <c r="K136" s="32">
        <v>0</v>
      </c>
      <c r="L136" s="32">
        <v>556.53</v>
      </c>
      <c r="M136" s="32">
        <v>521.80999999999995</v>
      </c>
      <c r="N136" s="33">
        <v>0.93761342605070697</v>
      </c>
      <c r="O136" s="33">
        <v>0.90525826694812095</v>
      </c>
      <c r="P136" s="33">
        <v>0.94688323994483004</v>
      </c>
      <c r="Q136" s="33">
        <v>0.95884540616074099</v>
      </c>
      <c r="R136" s="32">
        <v>503.80338330463798</v>
      </c>
      <c r="S136" s="32">
        <v>528.00072555546797</v>
      </c>
      <c r="T136" s="32">
        <v>534.28122941926802</v>
      </c>
      <c r="U136" s="15">
        <v>-3.5117457482911299E-2</v>
      </c>
      <c r="V136" s="15">
        <v>1.17941209135928E-2</v>
      </c>
      <c r="W136" s="15">
        <v>2.36188102331658E-2</v>
      </c>
      <c r="X136" s="33">
        <v>0.93761342605070697</v>
      </c>
      <c r="Y136" s="33">
        <v>0.90525826694812095</v>
      </c>
      <c r="Z136" s="33">
        <v>0.94688323994483004</v>
      </c>
      <c r="AA136" s="33">
        <v>0.95884540616074099</v>
      </c>
      <c r="AB136" s="32">
        <v>503.80338330463798</v>
      </c>
      <c r="AC136" s="32">
        <v>528.00072555546797</v>
      </c>
      <c r="AD136" s="32">
        <v>534.28122941926802</v>
      </c>
      <c r="AE136" s="15">
        <v>-3.5117457482911299E-2</v>
      </c>
      <c r="AF136" s="15">
        <v>1.17941209135928E-2</v>
      </c>
      <c r="AG136" s="15">
        <v>2.36188102331658E-2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7">
        <f t="shared" si="28"/>
        <v>0</v>
      </c>
      <c r="AP136" s="27">
        <f t="shared" si="29"/>
        <v>0</v>
      </c>
      <c r="AQ136" s="27">
        <f t="shared" si="36"/>
        <v>0</v>
      </c>
      <c r="AR136" s="28">
        <f t="shared" si="37"/>
        <v>4.1861007866058404E-2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7">
        <f t="shared" si="32"/>
        <v>2.20187490836357E-2</v>
      </c>
      <c r="BA136" s="27">
        <f t="shared" si="33"/>
        <v>-1.6516421104228799E-2</v>
      </c>
      <c r="BB136" s="27">
        <f t="shared" si="40"/>
        <v>5.5023279794069006E-3</v>
      </c>
      <c r="BC136" s="28">
        <f t="shared" si="41"/>
        <v>5.5023279794069006E-3</v>
      </c>
      <c r="BE136" s="28">
        <f t="shared" si="42"/>
        <v>5.5023279794069006E-3</v>
      </c>
      <c r="BF136" s="28">
        <f t="shared" si="43"/>
        <v>4.7363335845465301E-2</v>
      </c>
      <c r="BH136" s="28"/>
    </row>
    <row r="137" spans="1:60" x14ac:dyDescent="0.25">
      <c r="A137" s="1">
        <v>46223</v>
      </c>
      <c r="B137" s="32">
        <v>558.83000000000004</v>
      </c>
      <c r="C137" s="32">
        <v>524.14</v>
      </c>
      <c r="D137" s="15">
        <v>4.1242347943576101E-3</v>
      </c>
      <c r="E137" s="15">
        <v>4.4552872587150004E-3</v>
      </c>
      <c r="F137" s="32">
        <v>0</v>
      </c>
      <c r="G137" s="32">
        <v>0</v>
      </c>
      <c r="H137" s="32">
        <v>0</v>
      </c>
      <c r="I137" s="32">
        <v>0.490669999999999</v>
      </c>
      <c r="J137" s="32">
        <v>0</v>
      </c>
      <c r="K137" s="32">
        <v>0</v>
      </c>
      <c r="L137" s="32">
        <v>558.83000000000004</v>
      </c>
      <c r="M137" s="32">
        <v>524.14</v>
      </c>
      <c r="N137" s="33">
        <v>0.93792387667090105</v>
      </c>
      <c r="O137" s="33">
        <v>0.90525826694812095</v>
      </c>
      <c r="P137" s="33">
        <v>0.94444693325481199</v>
      </c>
      <c r="Q137" s="33">
        <v>0.95728960872314595</v>
      </c>
      <c r="R137" s="32">
        <v>505.88547731861797</v>
      </c>
      <c r="S137" s="32">
        <v>529.146760978369</v>
      </c>
      <c r="T137" s="32">
        <v>535.83157832480697</v>
      </c>
      <c r="U137" s="15">
        <v>-3.5448509947268503E-2</v>
      </c>
      <c r="V137" s="15">
        <v>9.5070001339235492E-3</v>
      </c>
      <c r="W137" s="15">
        <v>2.20610679417035E-2</v>
      </c>
      <c r="X137" s="33">
        <v>0.93792387667090105</v>
      </c>
      <c r="Y137" s="33">
        <v>0.90525826694812095</v>
      </c>
      <c r="Z137" s="33">
        <v>0.94444693325481199</v>
      </c>
      <c r="AA137" s="33">
        <v>0.95728960872314595</v>
      </c>
      <c r="AB137" s="32">
        <v>505.88547731861797</v>
      </c>
      <c r="AC137" s="32">
        <v>529.146760978369</v>
      </c>
      <c r="AD137" s="32">
        <v>535.83157832480697</v>
      </c>
      <c r="AE137" s="15">
        <v>-3.5448509947268503E-2</v>
      </c>
      <c r="AF137" s="15">
        <v>9.5070001339235492E-3</v>
      </c>
      <c r="AG137" s="15">
        <v>2.20610679417035E-2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7">
        <f t="shared" si="28"/>
        <v>0</v>
      </c>
      <c r="AP137" s="27">
        <f t="shared" si="29"/>
        <v>0</v>
      </c>
      <c r="AQ137" s="27">
        <f t="shared" si="36"/>
        <v>0</v>
      </c>
      <c r="AR137" s="28">
        <f t="shared" si="37"/>
        <v>4.1861007866058404E-2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7">
        <f t="shared" si="32"/>
        <v>-4.1242347943576101E-3</v>
      </c>
      <c r="BA137" s="27">
        <f t="shared" si="33"/>
        <v>4.4552872587150004E-3</v>
      </c>
      <c r="BB137" s="27">
        <f t="shared" si="40"/>
        <v>3.310524643573903E-4</v>
      </c>
      <c r="BC137" s="28">
        <f t="shared" si="41"/>
        <v>5.8333804437642909E-3</v>
      </c>
      <c r="BE137" s="28">
        <f t="shared" si="42"/>
        <v>3.310524643573903E-4</v>
      </c>
      <c r="BF137" s="28">
        <f t="shared" si="43"/>
        <v>4.7694388309822693E-2</v>
      </c>
      <c r="BH137" s="28"/>
    </row>
    <row r="138" spans="1:60" x14ac:dyDescent="0.25">
      <c r="A138" s="1">
        <v>46224</v>
      </c>
      <c r="B138" s="32">
        <v>584.08000000000004</v>
      </c>
      <c r="C138" s="32">
        <v>552.69000000000005</v>
      </c>
      <c r="D138" s="15">
        <v>4.4192647335081298E-2</v>
      </c>
      <c r="E138" s="15">
        <v>5.3038441469003397E-2</v>
      </c>
      <c r="F138" s="32">
        <v>0</v>
      </c>
      <c r="G138" s="32">
        <v>0</v>
      </c>
      <c r="H138" s="32">
        <v>0</v>
      </c>
      <c r="I138" s="32">
        <v>0.490669999999999</v>
      </c>
      <c r="J138" s="32">
        <v>0</v>
      </c>
      <c r="K138" s="32">
        <v>0</v>
      </c>
      <c r="L138" s="32">
        <v>584.08000000000004</v>
      </c>
      <c r="M138" s="32">
        <v>552.69000000000005</v>
      </c>
      <c r="N138" s="33">
        <v>0.94625736200520405</v>
      </c>
      <c r="O138" s="33">
        <v>0.90525826694812095</v>
      </c>
      <c r="P138" s="33">
        <v>0.94419090834087804</v>
      </c>
      <c r="Q138" s="33">
        <v>0.95564148057578002</v>
      </c>
      <c r="R138" s="32">
        <v>528.743248559059</v>
      </c>
      <c r="S138" s="32">
        <v>551.632564775471</v>
      </c>
      <c r="T138" s="32">
        <v>559.13371466301498</v>
      </c>
      <c r="U138" s="15">
        <v>-4.4294304081190602E-2</v>
      </c>
      <c r="V138" s="15">
        <v>-1.9150845621394299E-3</v>
      </c>
      <c r="W138" s="15">
        <v>1.1591382205781001E-2</v>
      </c>
      <c r="X138" s="33">
        <v>0.94625736200520405</v>
      </c>
      <c r="Y138" s="33">
        <v>0.90525826694812095</v>
      </c>
      <c r="Z138" s="33">
        <v>0.94419090834087804</v>
      </c>
      <c r="AA138" s="33">
        <v>0.95564148057578002</v>
      </c>
      <c r="AB138" s="32">
        <v>528.743248559059</v>
      </c>
      <c r="AC138" s="32">
        <v>551.632564775471</v>
      </c>
      <c r="AD138" s="32">
        <v>559.13371466301498</v>
      </c>
      <c r="AE138" s="15">
        <v>-4.4294304081190602E-2</v>
      </c>
      <c r="AF138" s="15">
        <v>-1.9150845621394299E-3</v>
      </c>
      <c r="AG138" s="15">
        <v>1.1591382205781001E-2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7">
        <f t="shared" si="28"/>
        <v>0</v>
      </c>
      <c r="AP138" s="27">
        <f t="shared" si="29"/>
        <v>0</v>
      </c>
      <c r="AQ138" s="27">
        <f t="shared" si="36"/>
        <v>0</v>
      </c>
      <c r="AR138" s="28">
        <f t="shared" si="37"/>
        <v>4.1861007866058404E-2</v>
      </c>
      <c r="AT138" s="12"/>
      <c r="AU138">
        <f t="shared" si="30"/>
        <v>0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7">
        <f t="shared" si="32"/>
        <v>-4.4192647335081298E-2</v>
      </c>
      <c r="BA138" s="27">
        <f t="shared" si="33"/>
        <v>5.3038441469003397E-2</v>
      </c>
      <c r="BB138" s="27">
        <f t="shared" si="40"/>
        <v>8.8457941339220997E-3</v>
      </c>
      <c r="BC138" s="28">
        <f t="shared" si="41"/>
        <v>1.4679174577686391E-2</v>
      </c>
      <c r="BE138" s="28">
        <f t="shared" si="42"/>
        <v>8.8457941339220997E-3</v>
      </c>
      <c r="BF138" s="28">
        <f t="shared" si="43"/>
        <v>5.6540182443744792E-2</v>
      </c>
      <c r="BH138" s="28"/>
    </row>
    <row r="139" spans="1:60" x14ac:dyDescent="0.25">
      <c r="A139" s="1">
        <v>46225</v>
      </c>
      <c r="B139" s="32">
        <v>586.91</v>
      </c>
      <c r="C139" s="32">
        <v>555.52</v>
      </c>
      <c r="D139" s="15">
        <v>4.8335263491003496E-3</v>
      </c>
      <c r="E139" s="15">
        <v>5.10734635440318E-3</v>
      </c>
      <c r="F139" s="32">
        <v>0</v>
      </c>
      <c r="G139" s="32">
        <v>0</v>
      </c>
      <c r="H139" s="32">
        <v>0</v>
      </c>
      <c r="I139" s="32">
        <v>0.490669999999999</v>
      </c>
      <c r="J139" s="32">
        <v>0</v>
      </c>
      <c r="K139" s="32">
        <v>0</v>
      </c>
      <c r="L139" s="32">
        <v>586.91</v>
      </c>
      <c r="M139" s="32">
        <v>555.52</v>
      </c>
      <c r="N139" s="33">
        <v>0.94651650167828105</v>
      </c>
      <c r="O139" s="33">
        <v>0.90525826694812095</v>
      </c>
      <c r="P139" s="33">
        <v>0.94406515547329295</v>
      </c>
      <c r="Q139" s="33">
        <v>0.95446718509060802</v>
      </c>
      <c r="R139" s="32">
        <v>531.30512945452199</v>
      </c>
      <c r="S139" s="32">
        <v>554.15508601434396</v>
      </c>
      <c r="T139" s="32">
        <v>560.87554136473102</v>
      </c>
      <c r="U139" s="15">
        <v>-4.4568124086493598E-2</v>
      </c>
      <c r="V139" s="15">
        <v>-2.46002580610887E-3</v>
      </c>
      <c r="W139" s="15">
        <v>9.5944174783371E-3</v>
      </c>
      <c r="X139" s="33">
        <v>0.94651650167828105</v>
      </c>
      <c r="Y139" s="33">
        <v>0.90525826694812095</v>
      </c>
      <c r="Z139" s="33">
        <v>0.94406515547329295</v>
      </c>
      <c r="AA139" s="33">
        <v>0.95446718509060802</v>
      </c>
      <c r="AB139" s="32">
        <v>531.30512945452199</v>
      </c>
      <c r="AC139" s="32">
        <v>554.15508601434396</v>
      </c>
      <c r="AD139" s="32">
        <v>560.87554136473102</v>
      </c>
      <c r="AE139" s="15">
        <v>-4.4568124086493598E-2</v>
      </c>
      <c r="AF139" s="15">
        <v>-2.46002580610887E-3</v>
      </c>
      <c r="AG139" s="15">
        <v>9.5944174783371E-3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7">
        <f t="shared" si="28"/>
        <v>0</v>
      </c>
      <c r="AP139" s="27">
        <f t="shared" si="29"/>
        <v>0</v>
      </c>
      <c r="AQ139" s="27">
        <f t="shared" si="36"/>
        <v>0</v>
      </c>
      <c r="AR139" s="28">
        <f t="shared" si="37"/>
        <v>4.1861007866058404E-2</v>
      </c>
      <c r="AT139" s="12"/>
      <c r="AU139">
        <f t="shared" si="30"/>
        <v>0</v>
      </c>
      <c r="AV139">
        <f t="shared" si="31"/>
        <v>0</v>
      </c>
      <c r="AW139">
        <f t="shared" si="38"/>
        <v>1</v>
      </c>
      <c r="AX139">
        <f t="shared" si="25"/>
        <v>1</v>
      </c>
      <c r="AY139">
        <f t="shared" si="39"/>
        <v>1</v>
      </c>
      <c r="AZ139" s="27">
        <f t="shared" si="32"/>
        <v>-4.8335263491003496E-3</v>
      </c>
      <c r="BA139" s="27">
        <f t="shared" si="33"/>
        <v>5.10734635440318E-3</v>
      </c>
      <c r="BB139" s="27">
        <f t="shared" si="40"/>
        <v>2.7382000530283036E-4</v>
      </c>
      <c r="BC139" s="28">
        <f t="shared" si="41"/>
        <v>1.4952994582989222E-2</v>
      </c>
      <c r="BE139" s="28">
        <f t="shared" si="42"/>
        <v>2.7382000530283036E-4</v>
      </c>
      <c r="BF139" s="28">
        <f t="shared" si="43"/>
        <v>5.6814002449047621E-2</v>
      </c>
      <c r="BH139" s="28"/>
    </row>
    <row r="140" spans="1:60" x14ac:dyDescent="0.25">
      <c r="A140" s="1">
        <v>46226</v>
      </c>
      <c r="B140" s="32">
        <v>580.16999999999996</v>
      </c>
      <c r="C140" s="32">
        <v>551.24</v>
      </c>
      <c r="D140" s="15">
        <v>-1.15503220546139E-2</v>
      </c>
      <c r="E140" s="15">
        <v>-7.7343260249865499E-3</v>
      </c>
      <c r="F140" s="32">
        <v>0</v>
      </c>
      <c r="G140" s="32">
        <v>0</v>
      </c>
      <c r="H140" s="32">
        <v>0</v>
      </c>
      <c r="I140" s="32">
        <v>0.490669999999999</v>
      </c>
      <c r="J140" s="32">
        <v>0</v>
      </c>
      <c r="K140" s="32">
        <v>0</v>
      </c>
      <c r="L140" s="32">
        <v>580.16999999999996</v>
      </c>
      <c r="M140" s="32">
        <v>551.24</v>
      </c>
      <c r="N140" s="33">
        <v>0.95013530516917399</v>
      </c>
      <c r="O140" s="33">
        <v>0.90525826694812095</v>
      </c>
      <c r="P140" s="33">
        <v>0.943361838047867</v>
      </c>
      <c r="Q140" s="33">
        <v>0.95338124046733697</v>
      </c>
      <c r="R140" s="32">
        <v>525.20368873529105</v>
      </c>
      <c r="S140" s="32">
        <v>547.71828125093998</v>
      </c>
      <c r="T140" s="32">
        <v>553.753226774018</v>
      </c>
      <c r="U140" s="15">
        <v>-4.8384120116121102E-2</v>
      </c>
      <c r="V140" s="15">
        <v>-6.4092165545890098E-3</v>
      </c>
      <c r="W140" s="15">
        <v>4.5488624668333696E-3</v>
      </c>
      <c r="X140" s="33">
        <v>0.95013530516917399</v>
      </c>
      <c r="Y140" s="33">
        <v>0.90525826694812095</v>
      </c>
      <c r="Z140" s="33">
        <v>0.943361838047867</v>
      </c>
      <c r="AA140" s="33">
        <v>0.95338124046733697</v>
      </c>
      <c r="AB140" s="32">
        <v>525.20368873529105</v>
      </c>
      <c r="AC140" s="32">
        <v>547.71828125093998</v>
      </c>
      <c r="AD140" s="32">
        <v>553.753226774018</v>
      </c>
      <c r="AE140" s="15">
        <v>-4.8384120116121102E-2</v>
      </c>
      <c r="AF140" s="15">
        <v>-6.4092165545890098E-3</v>
      </c>
      <c r="AG140" s="15">
        <v>4.5488624668333696E-3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7">
        <f t="shared" si="28"/>
        <v>0</v>
      </c>
      <c r="AP140" s="27">
        <f t="shared" si="29"/>
        <v>0</v>
      </c>
      <c r="AQ140" s="27">
        <f t="shared" si="36"/>
        <v>0</v>
      </c>
      <c r="AR140" s="28">
        <f t="shared" si="37"/>
        <v>4.1861007866058404E-2</v>
      </c>
      <c r="AT140" s="12"/>
      <c r="AU140">
        <f t="shared" si="30"/>
        <v>0</v>
      </c>
      <c r="AV140">
        <f t="shared" si="31"/>
        <v>1</v>
      </c>
      <c r="AW140">
        <f t="shared" si="38"/>
        <v>1</v>
      </c>
      <c r="AX140">
        <f t="shared" si="25"/>
        <v>1</v>
      </c>
      <c r="AY140">
        <f t="shared" si="39"/>
        <v>1</v>
      </c>
      <c r="AZ140" s="27">
        <f t="shared" si="32"/>
        <v>1.15503220546139E-2</v>
      </c>
      <c r="BA140" s="27">
        <f t="shared" si="33"/>
        <v>-7.7343260249865499E-3</v>
      </c>
      <c r="BB140" s="27">
        <f t="shared" si="40"/>
        <v>3.8159960296273504E-3</v>
      </c>
      <c r="BC140" s="28">
        <f t="shared" si="41"/>
        <v>1.8768990612616571E-2</v>
      </c>
      <c r="BE140" s="28">
        <f t="shared" si="42"/>
        <v>3.8159960296273504E-3</v>
      </c>
      <c r="BF140" s="28">
        <f t="shared" si="43"/>
        <v>6.0629998478674972E-2</v>
      </c>
      <c r="BH140" s="28"/>
    </row>
    <row r="141" spans="1:60" x14ac:dyDescent="0.25">
      <c r="A141" s="1">
        <v>46227</v>
      </c>
      <c r="B141" s="32">
        <v>561.19000000000005</v>
      </c>
      <c r="C141" s="32">
        <v>527.01</v>
      </c>
      <c r="D141" s="15">
        <v>-3.3261634932143E-2</v>
      </c>
      <c r="E141" s="15">
        <v>-4.4950762313542801E-2</v>
      </c>
      <c r="F141" s="32">
        <v>0</v>
      </c>
      <c r="G141" s="32">
        <v>0</v>
      </c>
      <c r="H141" s="32">
        <v>0</v>
      </c>
      <c r="I141" s="32">
        <v>0.490669999999999</v>
      </c>
      <c r="J141" s="32">
        <v>0</v>
      </c>
      <c r="K141" s="32">
        <v>0</v>
      </c>
      <c r="L141" s="32">
        <v>561.19000000000005</v>
      </c>
      <c r="M141" s="32">
        <v>527.01</v>
      </c>
      <c r="N141" s="33">
        <v>0.93909371157718402</v>
      </c>
      <c r="O141" s="33">
        <v>0.90525826694812095</v>
      </c>
      <c r="P141" s="33">
        <v>0.94213021776490302</v>
      </c>
      <c r="Q141" s="33">
        <v>0.95125289627606702</v>
      </c>
      <c r="R141" s="32">
        <v>508.021886828616</v>
      </c>
      <c r="S141" s="32">
        <v>529.40522989408305</v>
      </c>
      <c r="T141" s="32">
        <v>535.02801833786498</v>
      </c>
      <c r="U141" s="15">
        <v>-3.6694992734721397E-2</v>
      </c>
      <c r="V141" s="15">
        <v>4.5346449591582598E-3</v>
      </c>
      <c r="W141" s="15">
        <v>1.50995925562882E-2</v>
      </c>
      <c r="X141" s="33">
        <v>0.93909371157718402</v>
      </c>
      <c r="Y141" s="33">
        <v>0.90525826694812095</v>
      </c>
      <c r="Z141" s="33">
        <v>0.94213021776490302</v>
      </c>
      <c r="AA141" s="33">
        <v>0.95125289627606702</v>
      </c>
      <c r="AB141" s="32">
        <v>508.021886828616</v>
      </c>
      <c r="AC141" s="32">
        <v>529.40522989408305</v>
      </c>
      <c r="AD141" s="32">
        <v>535.02801833786498</v>
      </c>
      <c r="AE141" s="15">
        <v>-3.6694992734721397E-2</v>
      </c>
      <c r="AF141" s="15">
        <v>4.5346449591582598E-3</v>
      </c>
      <c r="AG141" s="15">
        <v>1.50995925562882E-2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7">
        <f t="shared" si="28"/>
        <v>0</v>
      </c>
      <c r="AP141" s="27">
        <f t="shared" si="29"/>
        <v>0</v>
      </c>
      <c r="AQ141" s="27">
        <f t="shared" si="36"/>
        <v>0</v>
      </c>
      <c r="AR141" s="28">
        <f t="shared" si="37"/>
        <v>4.1861007866058404E-2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7">
        <f t="shared" si="32"/>
        <v>0</v>
      </c>
      <c r="BA141" s="27">
        <f t="shared" si="33"/>
        <v>0</v>
      </c>
      <c r="BB141" s="27">
        <f t="shared" si="40"/>
        <v>0</v>
      </c>
      <c r="BC141" s="28">
        <f t="shared" si="41"/>
        <v>1.8768990612616571E-2</v>
      </c>
      <c r="BE141" s="28">
        <f t="shared" si="42"/>
        <v>0</v>
      </c>
      <c r="BF141" s="28">
        <f t="shared" si="43"/>
        <v>6.0629998478674972E-2</v>
      </c>
      <c r="BH141" s="28"/>
    </row>
    <row r="142" spans="1:60" x14ac:dyDescent="0.25">
      <c r="A142" s="1">
        <v>46230</v>
      </c>
      <c r="B142" s="32">
        <v>548.54999999999995</v>
      </c>
      <c r="C142" s="32">
        <v>516.23</v>
      </c>
      <c r="D142" s="15">
        <v>-2.2781095846673802E-2</v>
      </c>
      <c r="E142" s="15">
        <v>-2.0667121088704301E-2</v>
      </c>
      <c r="F142" s="32">
        <v>0</v>
      </c>
      <c r="G142" s="32">
        <v>0</v>
      </c>
      <c r="H142" s="32">
        <v>0</v>
      </c>
      <c r="I142" s="32">
        <v>0.490669999999999</v>
      </c>
      <c r="J142" s="32">
        <v>0</v>
      </c>
      <c r="K142" s="32">
        <v>0</v>
      </c>
      <c r="L142" s="32">
        <v>548.54999999999995</v>
      </c>
      <c r="M142" s="32">
        <v>516.23</v>
      </c>
      <c r="N142" s="33">
        <v>0.941081031811138</v>
      </c>
      <c r="O142" s="33">
        <v>0.90525826694812095</v>
      </c>
      <c r="P142" s="33">
        <v>0.94170432279021699</v>
      </c>
      <c r="Q142" s="33">
        <v>0.95007850163454799</v>
      </c>
      <c r="R142" s="32">
        <v>496.57942233439201</v>
      </c>
      <c r="S142" s="32">
        <v>516.80553095493804</v>
      </c>
      <c r="T142" s="32">
        <v>521.80977625223602</v>
      </c>
      <c r="U142" s="15">
        <v>-3.8808967492690798E-2</v>
      </c>
      <c r="V142" s="15">
        <v>1.11425211861251E-3</v>
      </c>
      <c r="W142" s="15">
        <v>1.07507055533846E-2</v>
      </c>
      <c r="X142" s="33">
        <v>0.941081031811138</v>
      </c>
      <c r="Y142" s="33">
        <v>0.90525826694812095</v>
      </c>
      <c r="Z142" s="33">
        <v>0.94170432279021699</v>
      </c>
      <c r="AA142" s="33">
        <v>0.95007850163454799</v>
      </c>
      <c r="AB142" s="32">
        <v>496.57942233439201</v>
      </c>
      <c r="AC142" s="32">
        <v>516.80553095493804</v>
      </c>
      <c r="AD142" s="32">
        <v>521.80977625223602</v>
      </c>
      <c r="AE142" s="15">
        <v>-3.8808967492690798E-2</v>
      </c>
      <c r="AF142" s="15">
        <v>1.11425211861251E-3</v>
      </c>
      <c r="AG142" s="15">
        <v>1.07507055533846E-2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7">
        <f t="shared" si="28"/>
        <v>0</v>
      </c>
      <c r="AP142" s="27">
        <f t="shared" si="29"/>
        <v>0</v>
      </c>
      <c r="AQ142" s="27">
        <f t="shared" si="36"/>
        <v>0</v>
      </c>
      <c r="AR142" s="28">
        <f t="shared" si="37"/>
        <v>4.1861007866058404E-2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7">
        <f t="shared" si="32"/>
        <v>0</v>
      </c>
      <c r="BA142" s="27">
        <f t="shared" si="33"/>
        <v>0</v>
      </c>
      <c r="BB142" s="27">
        <f t="shared" si="40"/>
        <v>0</v>
      </c>
      <c r="BC142" s="28">
        <f t="shared" si="41"/>
        <v>1.8768990612616571E-2</v>
      </c>
      <c r="BE142" s="28">
        <f t="shared" si="42"/>
        <v>0</v>
      </c>
      <c r="BF142" s="28">
        <f t="shared" si="43"/>
        <v>6.0629998478674972E-2</v>
      </c>
      <c r="BH142" s="28"/>
    </row>
    <row r="143" spans="1:60" x14ac:dyDescent="0.25">
      <c r="A143" s="1">
        <v>46231</v>
      </c>
      <c r="B143" s="32">
        <v>529.6</v>
      </c>
      <c r="C143" s="32">
        <v>491.46</v>
      </c>
      <c r="D143" s="15">
        <v>-3.5156428640701301E-2</v>
      </c>
      <c r="E143" s="15">
        <v>-4.9171849849131102E-2</v>
      </c>
      <c r="F143" s="32">
        <v>0</v>
      </c>
      <c r="G143" s="32">
        <v>0</v>
      </c>
      <c r="H143" s="32">
        <v>0</v>
      </c>
      <c r="I143" s="32">
        <v>0.490669999999999</v>
      </c>
      <c r="J143" s="32">
        <v>0</v>
      </c>
      <c r="K143" s="32">
        <v>0</v>
      </c>
      <c r="L143" s="32">
        <v>529.6</v>
      </c>
      <c r="M143" s="32">
        <v>491.46</v>
      </c>
      <c r="N143" s="33">
        <v>0.92798338368580002</v>
      </c>
      <c r="O143" s="33">
        <v>0.90525826694812095</v>
      </c>
      <c r="P143" s="33">
        <v>0.93989820679355196</v>
      </c>
      <c r="Q143" s="33">
        <v>0.94787249343980695</v>
      </c>
      <c r="R143" s="32">
        <v>479.42477817572501</v>
      </c>
      <c r="S143" s="32">
        <v>498.726609349699</v>
      </c>
      <c r="T143" s="32">
        <v>503.16157446565597</v>
      </c>
      <c r="U143" s="15">
        <v>-2.4793546284260799E-2</v>
      </c>
      <c r="V143" s="15">
        <v>1.46775158017669E-2</v>
      </c>
      <c r="W143" s="15">
        <v>2.3530787365263501E-2</v>
      </c>
      <c r="X143" s="33">
        <v>0.92798338368580002</v>
      </c>
      <c r="Y143" s="33">
        <v>0.90525826694812095</v>
      </c>
      <c r="Z143" s="33">
        <v>0.93989820679355196</v>
      </c>
      <c r="AA143" s="33">
        <v>0.94787249343980695</v>
      </c>
      <c r="AB143" s="32">
        <v>479.42477817572501</v>
      </c>
      <c r="AC143" s="32">
        <v>498.726609349699</v>
      </c>
      <c r="AD143" s="32">
        <v>503.16157446565597</v>
      </c>
      <c r="AE143" s="15">
        <v>-2.4793546284260799E-2</v>
      </c>
      <c r="AF143" s="15">
        <v>1.46775158017669E-2</v>
      </c>
      <c r="AG143" s="15">
        <v>2.3530787365263501E-2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7">
        <f t="shared" si="28"/>
        <v>0</v>
      </c>
      <c r="AP143" s="27">
        <f t="shared" si="29"/>
        <v>0</v>
      </c>
      <c r="AQ143" s="27">
        <f t="shared" si="36"/>
        <v>0</v>
      </c>
      <c r="AR143" s="28">
        <f t="shared" si="37"/>
        <v>4.1861007866058404E-2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7">
        <f t="shared" si="32"/>
        <v>0</v>
      </c>
      <c r="BA143" s="27">
        <f t="shared" si="33"/>
        <v>0</v>
      </c>
      <c r="BB143" s="27">
        <f t="shared" si="40"/>
        <v>0</v>
      </c>
      <c r="BC143" s="28">
        <f t="shared" si="41"/>
        <v>1.8768990612616571E-2</v>
      </c>
      <c r="BE143" s="28">
        <f t="shared" si="42"/>
        <v>0</v>
      </c>
      <c r="BF143" s="28">
        <f t="shared" si="43"/>
        <v>6.0629998478674972E-2</v>
      </c>
      <c r="BH143" s="28"/>
    </row>
    <row r="144" spans="1:60" x14ac:dyDescent="0.25">
      <c r="A144" s="1">
        <v>46232</v>
      </c>
      <c r="B144" s="32">
        <v>504.22</v>
      </c>
      <c r="C144" s="32">
        <v>465</v>
      </c>
      <c r="D144" s="15">
        <v>-4.9109323856796297E-2</v>
      </c>
      <c r="E144" s="15">
        <v>-5.5343147168209303E-2</v>
      </c>
      <c r="F144" s="32">
        <v>0</v>
      </c>
      <c r="G144" s="32">
        <v>0</v>
      </c>
      <c r="H144" s="32">
        <v>0</v>
      </c>
      <c r="I144" s="32">
        <v>0.490669999999999</v>
      </c>
      <c r="J144" s="32">
        <v>0</v>
      </c>
      <c r="K144" s="32">
        <v>0</v>
      </c>
      <c r="L144" s="32">
        <v>504.22</v>
      </c>
      <c r="M144" s="32">
        <v>465</v>
      </c>
      <c r="N144" s="33">
        <v>0.92221649280076101</v>
      </c>
      <c r="O144" s="33">
        <v>0.90525826694812095</v>
      </c>
      <c r="P144" s="33">
        <v>0.93812896283260405</v>
      </c>
      <c r="Q144" s="33">
        <v>0.94513671270394295</v>
      </c>
      <c r="R144" s="32">
        <v>456.44932336058099</v>
      </c>
      <c r="S144" s="32">
        <v>473.91547382944498</v>
      </c>
      <c r="T144" s="32">
        <v>477.93626864221898</v>
      </c>
      <c r="U144" s="15">
        <v>-1.85597229728478E-2</v>
      </c>
      <c r="V144" s="15">
        <v>1.8991574951546401E-2</v>
      </c>
      <c r="W144" s="15">
        <v>2.7439988814594099E-2</v>
      </c>
      <c r="X144" s="33">
        <v>0.92221649280076101</v>
      </c>
      <c r="Y144" s="33">
        <v>0.90525826694812095</v>
      </c>
      <c r="Z144" s="33">
        <v>0.93812896283260405</v>
      </c>
      <c r="AA144" s="33">
        <v>0.94513671270394295</v>
      </c>
      <c r="AB144" s="32">
        <v>456.44932336058099</v>
      </c>
      <c r="AC144" s="32">
        <v>473.91547382944498</v>
      </c>
      <c r="AD144" s="32">
        <v>477.93626864221898</v>
      </c>
      <c r="AE144" s="15">
        <v>-1.85597229728478E-2</v>
      </c>
      <c r="AF144" s="15">
        <v>1.8991574951546401E-2</v>
      </c>
      <c r="AG144" s="15">
        <v>2.7439988814594099E-2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7">
        <f t="shared" si="28"/>
        <v>0</v>
      </c>
      <c r="AP144" s="27">
        <f t="shared" si="29"/>
        <v>0</v>
      </c>
      <c r="AQ144" s="27">
        <f t="shared" si="36"/>
        <v>0</v>
      </c>
      <c r="AR144" s="28">
        <f t="shared" si="37"/>
        <v>4.1861007866058404E-2</v>
      </c>
      <c r="AT144" s="12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7">
        <f t="shared" si="32"/>
        <v>0</v>
      </c>
      <c r="BA144" s="27">
        <f t="shared" si="33"/>
        <v>0</v>
      </c>
      <c r="BB144" s="27">
        <f t="shared" si="40"/>
        <v>0</v>
      </c>
      <c r="BC144" s="28">
        <f t="shared" si="41"/>
        <v>1.8768990612616571E-2</v>
      </c>
      <c r="BE144" s="28">
        <f t="shared" si="42"/>
        <v>0</v>
      </c>
      <c r="BF144" s="28">
        <f t="shared" si="43"/>
        <v>6.0629998478674972E-2</v>
      </c>
      <c r="BH144" s="28"/>
    </row>
    <row r="145" spans="1:60" x14ac:dyDescent="0.25">
      <c r="A145" s="1">
        <v>46233</v>
      </c>
      <c r="B145" s="32">
        <v>538.9</v>
      </c>
      <c r="C145" s="32">
        <v>504.53</v>
      </c>
      <c r="D145" s="15">
        <v>6.6517344173448706E-2</v>
      </c>
      <c r="E145" s="15">
        <v>8.1589897254995297E-2</v>
      </c>
      <c r="F145" s="32">
        <v>0</v>
      </c>
      <c r="G145" s="32">
        <v>0</v>
      </c>
      <c r="H145" s="32">
        <v>0</v>
      </c>
      <c r="I145" s="32">
        <v>0.490669999999999</v>
      </c>
      <c r="J145" s="32">
        <v>0</v>
      </c>
      <c r="K145" s="32">
        <v>0</v>
      </c>
      <c r="L145" s="32">
        <v>538.9</v>
      </c>
      <c r="M145" s="32">
        <v>504.53</v>
      </c>
      <c r="N145" s="33">
        <v>0.93622193356838002</v>
      </c>
      <c r="O145" s="33">
        <v>0.90525826694812095</v>
      </c>
      <c r="P145" s="33">
        <v>0.93850430250175298</v>
      </c>
      <c r="Q145" s="33">
        <v>0.94362076170805598</v>
      </c>
      <c r="R145" s="32">
        <v>487.84368005834199</v>
      </c>
      <c r="S145" s="32">
        <v>505.55769807049001</v>
      </c>
      <c r="T145" s="32">
        <v>509.334174476155</v>
      </c>
      <c r="U145" s="15">
        <v>-3.3632276054394401E-2</v>
      </c>
      <c r="V145" s="15">
        <v>2.0348696990744801E-3</v>
      </c>
      <c r="W145" s="15">
        <v>9.4770296730610007E-3</v>
      </c>
      <c r="X145" s="33">
        <v>0.93622193356838002</v>
      </c>
      <c r="Y145" s="33">
        <v>0.90525826694812095</v>
      </c>
      <c r="Z145" s="33">
        <v>0.93850430250175298</v>
      </c>
      <c r="AA145" s="33">
        <v>0.94362076170805598</v>
      </c>
      <c r="AB145" s="32">
        <v>487.84368005834199</v>
      </c>
      <c r="AC145" s="32">
        <v>505.55769807049001</v>
      </c>
      <c r="AD145" s="32">
        <v>509.334174476155</v>
      </c>
      <c r="AE145" s="15">
        <v>-3.3632276054394401E-2</v>
      </c>
      <c r="AF145" s="15">
        <v>2.0348696990744801E-3</v>
      </c>
      <c r="AG145" s="15">
        <v>9.4770296730610007E-3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7">
        <f t="shared" si="28"/>
        <v>0</v>
      </c>
      <c r="AP145" s="27">
        <f t="shared" si="29"/>
        <v>0</v>
      </c>
      <c r="AQ145" s="27">
        <f t="shared" si="36"/>
        <v>0</v>
      </c>
      <c r="AR145" s="28">
        <f t="shared" si="37"/>
        <v>4.1861007866058404E-2</v>
      </c>
      <c r="AT145" s="12"/>
      <c r="AU145">
        <f t="shared" si="30"/>
        <v>0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7">
        <f t="shared" si="32"/>
        <v>-6.6517344173448706E-2</v>
      </c>
      <c r="BA145" s="27">
        <f t="shared" si="33"/>
        <v>8.1589897254995297E-2</v>
      </c>
      <c r="BB145" s="27">
        <f t="shared" si="40"/>
        <v>1.5072553081546591E-2</v>
      </c>
      <c r="BC145" s="28">
        <f t="shared" si="41"/>
        <v>3.3841543694163159E-2</v>
      </c>
      <c r="BE145" s="28">
        <f t="shared" si="42"/>
        <v>1.5072553081546591E-2</v>
      </c>
      <c r="BF145" s="28">
        <f t="shared" si="43"/>
        <v>7.570255156022157E-2</v>
      </c>
      <c r="BH145" s="28"/>
    </row>
    <row r="146" spans="1:60" x14ac:dyDescent="0.25">
      <c r="A146" s="1">
        <v>46234</v>
      </c>
      <c r="B146" s="32">
        <v>540.53</v>
      </c>
      <c r="C146" s="32">
        <v>504.89</v>
      </c>
      <c r="D146" s="15">
        <v>3.02011476232516E-3</v>
      </c>
      <c r="E146" s="15">
        <v>7.1328092422015402E-4</v>
      </c>
      <c r="F146" s="32">
        <v>0</v>
      </c>
      <c r="G146" s="32">
        <v>0</v>
      </c>
      <c r="H146" s="32">
        <v>0</v>
      </c>
      <c r="I146" s="32">
        <v>0.490669999999999</v>
      </c>
      <c r="J146" s="32">
        <v>0</v>
      </c>
      <c r="K146" s="32">
        <v>0</v>
      </c>
      <c r="L146" s="32">
        <v>540.53</v>
      </c>
      <c r="M146" s="32">
        <v>504.89</v>
      </c>
      <c r="N146" s="33">
        <v>0.93406471426192805</v>
      </c>
      <c r="O146" s="33">
        <v>0.90525826694812095</v>
      </c>
      <c r="P146" s="33">
        <v>0.93814943132287498</v>
      </c>
      <c r="Q146" s="33">
        <v>0.94251633563385195</v>
      </c>
      <c r="R146" s="32">
        <v>489.31925103346799</v>
      </c>
      <c r="S146" s="32">
        <v>507.28973063127199</v>
      </c>
      <c r="T146" s="32">
        <v>510.05533032605501</v>
      </c>
      <c r="U146" s="15">
        <v>-3.1325442216289301E-2</v>
      </c>
      <c r="V146" s="15">
        <v>4.7417174142511198E-3</v>
      </c>
      <c r="W146" s="15">
        <v>1.01786269024981E-2</v>
      </c>
      <c r="X146" s="33">
        <v>0.93406471426192805</v>
      </c>
      <c r="Y146" s="33">
        <v>0.90525826694812095</v>
      </c>
      <c r="Z146" s="33">
        <v>0.93814943132287498</v>
      </c>
      <c r="AA146" s="33">
        <v>0.94251633563385195</v>
      </c>
      <c r="AB146" s="32">
        <v>489.31925103346799</v>
      </c>
      <c r="AC146" s="32">
        <v>507.28973063127199</v>
      </c>
      <c r="AD146" s="32">
        <v>510.05533032605501</v>
      </c>
      <c r="AE146" s="15">
        <v>-3.1325442216289301E-2</v>
      </c>
      <c r="AF146" s="15">
        <v>4.7417174142511198E-3</v>
      </c>
      <c r="AG146" s="15">
        <v>1.01786269024981E-2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7">
        <f t="shared" si="28"/>
        <v>0</v>
      </c>
      <c r="AP146" s="27">
        <f t="shared" si="29"/>
        <v>0</v>
      </c>
      <c r="AQ146" s="27">
        <f t="shared" si="36"/>
        <v>0</v>
      </c>
      <c r="AR146" s="28">
        <f t="shared" si="37"/>
        <v>4.1861007866058404E-2</v>
      </c>
      <c r="AT146" s="12"/>
      <c r="AU146">
        <f t="shared" si="30"/>
        <v>0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7">
        <f t="shared" si="32"/>
        <v>-3.02011476232516E-3</v>
      </c>
      <c r="BA146" s="27">
        <f t="shared" si="33"/>
        <v>7.1328092422015402E-4</v>
      </c>
      <c r="BB146" s="27">
        <f t="shared" si="40"/>
        <v>-2.3068338381050059E-3</v>
      </c>
      <c r="BC146" s="28">
        <f t="shared" si="41"/>
        <v>3.1534709856058156E-2</v>
      </c>
      <c r="BE146" s="28">
        <f t="shared" si="42"/>
        <v>-2.3068338381050059E-3</v>
      </c>
      <c r="BF146" s="28">
        <f t="shared" si="43"/>
        <v>7.339571772211656E-2</v>
      </c>
      <c r="BH146" s="28"/>
    </row>
    <row r="147" spans="1:60" x14ac:dyDescent="0.25">
      <c r="A147" s="1">
        <v>46237</v>
      </c>
      <c r="B147" s="32">
        <v>545.46</v>
      </c>
      <c r="C147" s="32">
        <v>507.68</v>
      </c>
      <c r="D147" s="15">
        <v>9.0793356600458106E-3</v>
      </c>
      <c r="E147" s="15">
        <v>5.5107440683137103E-3</v>
      </c>
      <c r="F147" s="32">
        <v>0</v>
      </c>
      <c r="G147" s="32">
        <v>0</v>
      </c>
      <c r="H147" s="32">
        <v>0</v>
      </c>
      <c r="I147" s="32">
        <v>0.490669999999999</v>
      </c>
      <c r="J147" s="32">
        <v>0</v>
      </c>
      <c r="K147" s="32">
        <v>0</v>
      </c>
      <c r="L147" s="32">
        <v>545.46</v>
      </c>
      <c r="M147" s="32">
        <v>507.68</v>
      </c>
      <c r="N147" s="33">
        <v>0.930737359293073</v>
      </c>
      <c r="O147" s="33">
        <v>0.90525826694812095</v>
      </c>
      <c r="P147" s="33">
        <v>0.93743077958509202</v>
      </c>
      <c r="Q147" s="33">
        <v>0.94093885641995201</v>
      </c>
      <c r="R147" s="32">
        <v>493.782174289522</v>
      </c>
      <c r="S147" s="32">
        <v>511.72298880937501</v>
      </c>
      <c r="T147" s="32">
        <v>514.10496043484102</v>
      </c>
      <c r="U147" s="15">
        <v>-2.7756850624557201E-2</v>
      </c>
      <c r="V147" s="15">
        <v>7.93211330934342E-3</v>
      </c>
      <c r="W147" s="15">
        <v>1.2576119954273201E-2</v>
      </c>
      <c r="X147" s="33">
        <v>0.930737359293073</v>
      </c>
      <c r="Y147" s="33">
        <v>0.90525826694812095</v>
      </c>
      <c r="Z147" s="33">
        <v>0.93743077958509202</v>
      </c>
      <c r="AA147" s="33">
        <v>0.94093885641995201</v>
      </c>
      <c r="AB147" s="32">
        <v>493.782174289522</v>
      </c>
      <c r="AC147" s="32">
        <v>511.72298880937501</v>
      </c>
      <c r="AD147" s="32">
        <v>514.10496043484102</v>
      </c>
      <c r="AE147" s="15">
        <v>-2.7756850624557201E-2</v>
      </c>
      <c r="AF147" s="15">
        <v>7.93211330934342E-3</v>
      </c>
      <c r="AG147" s="15">
        <v>1.2576119954273201E-2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7">
        <f t="shared" si="28"/>
        <v>0</v>
      </c>
      <c r="AP147" s="27">
        <f t="shared" si="29"/>
        <v>0</v>
      </c>
      <c r="AQ147" s="27">
        <f t="shared" si="36"/>
        <v>0</v>
      </c>
      <c r="AR147" s="28">
        <f t="shared" si="37"/>
        <v>4.1861007866058404E-2</v>
      </c>
      <c r="AT147" s="12"/>
      <c r="AU147">
        <f t="shared" si="30"/>
        <v>0</v>
      </c>
      <c r="AV147">
        <f t="shared" si="31"/>
        <v>0</v>
      </c>
      <c r="AW147">
        <f t="shared" si="38"/>
        <v>1</v>
      </c>
      <c r="AX147">
        <f t="shared" si="25"/>
        <v>1</v>
      </c>
      <c r="AY147">
        <f t="shared" si="39"/>
        <v>1</v>
      </c>
      <c r="AZ147" s="27">
        <f t="shared" si="32"/>
        <v>-9.0793356600458106E-3</v>
      </c>
      <c r="BA147" s="27">
        <f t="shared" si="33"/>
        <v>5.5107440683137103E-3</v>
      </c>
      <c r="BB147" s="27">
        <f t="shared" si="40"/>
        <v>-3.5685915917321002E-3</v>
      </c>
      <c r="BC147" s="28">
        <f t="shared" si="41"/>
        <v>2.7966118264326056E-2</v>
      </c>
      <c r="BE147" s="28">
        <f t="shared" si="42"/>
        <v>-3.5685915917321002E-3</v>
      </c>
      <c r="BF147" s="28">
        <f t="shared" si="43"/>
        <v>6.9827126130384456E-2</v>
      </c>
      <c r="BH147" s="28"/>
    </row>
    <row r="148" spans="1:60" x14ac:dyDescent="0.25">
      <c r="A148" s="1">
        <v>46238</v>
      </c>
      <c r="B148" s="32">
        <v>575.71</v>
      </c>
      <c r="C148" s="32">
        <v>542.21</v>
      </c>
      <c r="D148" s="15">
        <v>5.3974586327150902E-2</v>
      </c>
      <c r="E148" s="15">
        <v>6.5802052438429695E-2</v>
      </c>
      <c r="F148" s="32">
        <v>0</v>
      </c>
      <c r="G148" s="32">
        <v>0</v>
      </c>
      <c r="H148" s="32">
        <v>0</v>
      </c>
      <c r="I148" s="32">
        <v>0.490669999999999</v>
      </c>
      <c r="J148" s="32">
        <v>0</v>
      </c>
      <c r="K148" s="32">
        <v>0</v>
      </c>
      <c r="L148" s="32">
        <v>575.71</v>
      </c>
      <c r="M148" s="32">
        <v>542.21</v>
      </c>
      <c r="N148" s="33">
        <v>0.94181098122318496</v>
      </c>
      <c r="O148" s="33">
        <v>0.90525826694812095</v>
      </c>
      <c r="P148" s="33">
        <v>0.93698614150688997</v>
      </c>
      <c r="Q148" s="33">
        <v>0.94058852492388401</v>
      </c>
      <c r="R148" s="32">
        <v>521.16623686470302</v>
      </c>
      <c r="S148" s="32">
        <v>539.68827411493305</v>
      </c>
      <c r="T148" s="32">
        <v>541.70790902953104</v>
      </c>
      <c r="U148" s="15">
        <v>-3.9584316735835998E-2</v>
      </c>
      <c r="V148" s="15">
        <v>-4.6616775570937604E-3</v>
      </c>
      <c r="W148" s="15">
        <v>-9.2643732924387598E-4</v>
      </c>
      <c r="X148" s="33">
        <v>0.94181098122318496</v>
      </c>
      <c r="Y148" s="33">
        <v>0.90525826694812095</v>
      </c>
      <c r="Z148" s="33">
        <v>0.93698614150688997</v>
      </c>
      <c r="AA148" s="33">
        <v>0.94058852492388401</v>
      </c>
      <c r="AB148" s="32">
        <v>521.16623686470302</v>
      </c>
      <c r="AC148" s="32">
        <v>539.68827411493305</v>
      </c>
      <c r="AD148" s="32">
        <v>541.70790902953104</v>
      </c>
      <c r="AE148" s="15">
        <v>-3.9584316735835998E-2</v>
      </c>
      <c r="AF148" s="15">
        <v>-4.6616775570937604E-3</v>
      </c>
      <c r="AG148" s="15">
        <v>-9.2643732924387598E-4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7">
        <f t="shared" si="28"/>
        <v>0</v>
      </c>
      <c r="AP148" s="27">
        <f t="shared" si="29"/>
        <v>0</v>
      </c>
      <c r="AQ148" s="27">
        <f t="shared" si="36"/>
        <v>0</v>
      </c>
      <c r="AR148" s="28">
        <f t="shared" si="37"/>
        <v>4.1861007866058404E-2</v>
      </c>
      <c r="AT148" s="12"/>
      <c r="AU148">
        <f t="shared" si="30"/>
        <v>0</v>
      </c>
      <c r="AV148">
        <f t="shared" si="31"/>
        <v>1</v>
      </c>
      <c r="AW148">
        <f t="shared" si="38"/>
        <v>1</v>
      </c>
      <c r="AX148">
        <f t="shared" si="25"/>
        <v>1</v>
      </c>
      <c r="AY148">
        <f t="shared" si="39"/>
        <v>1</v>
      </c>
      <c r="AZ148" s="27">
        <f t="shared" si="32"/>
        <v>-5.3974586327150902E-2</v>
      </c>
      <c r="BA148" s="27">
        <f t="shared" si="33"/>
        <v>6.5802052438429695E-2</v>
      </c>
      <c r="BB148" s="27">
        <f t="shared" si="40"/>
        <v>1.1827466111278793E-2</v>
      </c>
      <c r="BC148" s="28">
        <f t="shared" si="41"/>
        <v>3.9793584375604846E-2</v>
      </c>
      <c r="BE148" s="28">
        <f t="shared" si="42"/>
        <v>1.1827466111278793E-2</v>
      </c>
      <c r="BF148" s="28">
        <f t="shared" si="43"/>
        <v>8.1654592241663243E-2</v>
      </c>
      <c r="BH148" s="28"/>
    </row>
    <row r="149" spans="1:60" x14ac:dyDescent="0.25">
      <c r="A149" s="1">
        <v>46239</v>
      </c>
      <c r="B149" s="32">
        <v>569.70000000000005</v>
      </c>
      <c r="C149" s="32">
        <v>530.70000000000005</v>
      </c>
      <c r="D149" s="15">
        <v>-1.0494155202623E-2</v>
      </c>
      <c r="E149" s="15">
        <v>-2.1456490439465799E-2</v>
      </c>
      <c r="F149" s="32">
        <v>0</v>
      </c>
      <c r="G149" s="32">
        <v>0</v>
      </c>
      <c r="H149" s="32">
        <v>0</v>
      </c>
      <c r="I149" s="32">
        <v>0.490669999999999</v>
      </c>
      <c r="J149" s="32">
        <v>0</v>
      </c>
      <c r="K149" s="32">
        <v>0</v>
      </c>
      <c r="L149" s="32">
        <v>569.70000000000005</v>
      </c>
      <c r="M149" s="32">
        <v>530.70000000000005</v>
      </c>
      <c r="N149" s="33">
        <v>0.93154291732490702</v>
      </c>
      <c r="O149" s="33">
        <v>0.90525826694812095</v>
      </c>
      <c r="P149" s="33">
        <v>0.93548878307155303</v>
      </c>
      <c r="Q149" s="33">
        <v>0.93977696927242305</v>
      </c>
      <c r="R149" s="32">
        <v>515.72563468034502</v>
      </c>
      <c r="S149" s="32">
        <v>533.80100481647503</v>
      </c>
      <c r="T149" s="32">
        <v>535.85328264913699</v>
      </c>
      <c r="U149" s="15">
        <v>-2.8621981498993001E-2</v>
      </c>
      <c r="V149" s="15">
        <v>5.82622951860883E-3</v>
      </c>
      <c r="W149" s="15">
        <v>9.6635073661797306E-3</v>
      </c>
      <c r="X149" s="33">
        <v>0.93154291732490702</v>
      </c>
      <c r="Y149" s="33">
        <v>0.90525826694812095</v>
      </c>
      <c r="Z149" s="33">
        <v>0.93548878307155303</v>
      </c>
      <c r="AA149" s="33">
        <v>0.93977696927242305</v>
      </c>
      <c r="AB149" s="32">
        <v>515.72563468034502</v>
      </c>
      <c r="AC149" s="32">
        <v>533.80100481647503</v>
      </c>
      <c r="AD149" s="32">
        <v>535.85328264913699</v>
      </c>
      <c r="AE149" s="15">
        <v>-2.8621981498993001E-2</v>
      </c>
      <c r="AF149" s="15">
        <v>5.82622951860883E-3</v>
      </c>
      <c r="AG149" s="15">
        <v>9.6635073661797306E-3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7">
        <f t="shared" si="28"/>
        <v>0</v>
      </c>
      <c r="AP149" s="27">
        <f t="shared" si="29"/>
        <v>0</v>
      </c>
      <c r="AQ149" s="27">
        <f t="shared" si="36"/>
        <v>0</v>
      </c>
      <c r="AR149" s="28">
        <f t="shared" si="37"/>
        <v>4.1861007866058404E-2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7">
        <f t="shared" si="32"/>
        <v>0</v>
      </c>
      <c r="BA149" s="27">
        <f t="shared" si="33"/>
        <v>0</v>
      </c>
      <c r="BB149" s="27">
        <f t="shared" si="40"/>
        <v>0</v>
      </c>
      <c r="BC149" s="28">
        <f t="shared" si="41"/>
        <v>3.9793584375604846E-2</v>
      </c>
      <c r="BE149" s="28">
        <f t="shared" si="42"/>
        <v>0</v>
      </c>
      <c r="BF149" s="28">
        <f t="shared" si="43"/>
        <v>8.1654592241663243E-2</v>
      </c>
      <c r="BH149" s="28"/>
    </row>
    <row r="150" spans="1:60" x14ac:dyDescent="0.25">
      <c r="A150" s="1">
        <v>46240</v>
      </c>
      <c r="B150" s="32">
        <v>571.48</v>
      </c>
      <c r="C150" s="32">
        <v>532.52</v>
      </c>
      <c r="D150" s="15">
        <v>3.1195805106073999E-3</v>
      </c>
      <c r="E150" s="15">
        <v>3.4235657298670101E-3</v>
      </c>
      <c r="F150" s="32">
        <v>0</v>
      </c>
      <c r="G150" s="32">
        <v>0</v>
      </c>
      <c r="H150" s="32">
        <v>0</v>
      </c>
      <c r="I150" s="32">
        <v>0.490669999999999</v>
      </c>
      <c r="J150" s="32">
        <v>0</v>
      </c>
      <c r="K150" s="32">
        <v>0</v>
      </c>
      <c r="L150" s="32">
        <v>571.48</v>
      </c>
      <c r="M150" s="32">
        <v>532.52</v>
      </c>
      <c r="N150" s="33">
        <v>0.93182613564779104</v>
      </c>
      <c r="O150" s="33">
        <v>0.90525826694812095</v>
      </c>
      <c r="P150" s="33">
        <v>0.93365786611941504</v>
      </c>
      <c r="Q150" s="33">
        <v>0.93850985208364102</v>
      </c>
      <c r="R150" s="32">
        <v>517.33699439551197</v>
      </c>
      <c r="S150" s="32">
        <v>534.613129749731</v>
      </c>
      <c r="T150" s="32">
        <v>537.06374239980403</v>
      </c>
      <c r="U150" s="15">
        <v>-2.8925966718252601E-2</v>
      </c>
      <c r="V150" s="15">
        <v>3.9229077903746197E-3</v>
      </c>
      <c r="W150" s="15">
        <v>8.4963328314845692E-3</v>
      </c>
      <c r="X150" s="33">
        <v>0.93182613564779104</v>
      </c>
      <c r="Y150" s="33">
        <v>0.90525826694812095</v>
      </c>
      <c r="Z150" s="33">
        <v>0.93365786611941504</v>
      </c>
      <c r="AA150" s="33">
        <v>0.93850985208364102</v>
      </c>
      <c r="AB150" s="32">
        <v>517.33699439551197</v>
      </c>
      <c r="AC150" s="32">
        <v>534.613129749731</v>
      </c>
      <c r="AD150" s="32">
        <v>537.06374239980403</v>
      </c>
      <c r="AE150" s="15">
        <v>-2.8925966718252601E-2</v>
      </c>
      <c r="AF150" s="15">
        <v>3.9229077903746197E-3</v>
      </c>
      <c r="AG150" s="15">
        <v>8.4963328314845692E-3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7">
        <f t="shared" ref="AO150:AO176" si="48">AN150*D150</f>
        <v>0</v>
      </c>
      <c r="AP150" s="27">
        <f t="shared" ref="AP150:AP176" si="49">-AN150*$E150</f>
        <v>0</v>
      </c>
      <c r="AQ150" s="27">
        <f t="shared" si="36"/>
        <v>0</v>
      </c>
      <c r="AR150" s="28">
        <f t="shared" si="37"/>
        <v>4.1861007866058404E-2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7">
        <f t="shared" ref="AZ150:AZ176" si="52">-AY150*D150</f>
        <v>0</v>
      </c>
      <c r="BA150" s="27">
        <f t="shared" ref="BA150:BA176" si="53">AY150*$E150</f>
        <v>0</v>
      </c>
      <c r="BB150" s="27">
        <f t="shared" si="40"/>
        <v>0</v>
      </c>
      <c r="BC150" s="28">
        <f t="shared" si="41"/>
        <v>3.9793584375604846E-2</v>
      </c>
      <c r="BE150" s="28">
        <f t="shared" si="42"/>
        <v>0</v>
      </c>
      <c r="BF150" s="28">
        <f t="shared" si="43"/>
        <v>8.1654592241663243E-2</v>
      </c>
      <c r="BH150" s="28"/>
    </row>
    <row r="151" spans="1:60" x14ac:dyDescent="0.25">
      <c r="A151" s="1">
        <v>46241</v>
      </c>
      <c r="B151" s="32">
        <v>582.70000000000005</v>
      </c>
      <c r="C151" s="32">
        <v>543.27</v>
      </c>
      <c r="D151" s="15">
        <v>1.9442987152071101E-2</v>
      </c>
      <c r="E151" s="15">
        <v>1.9985978357644402E-2</v>
      </c>
      <c r="F151" s="32">
        <v>0</v>
      </c>
      <c r="G151" s="32">
        <v>0</v>
      </c>
      <c r="H151" s="32">
        <v>0</v>
      </c>
      <c r="I151" s="32">
        <v>0.490669999999999</v>
      </c>
      <c r="J151" s="32">
        <v>0</v>
      </c>
      <c r="K151" s="32">
        <v>0</v>
      </c>
      <c r="L151" s="32">
        <v>582.70000000000005</v>
      </c>
      <c r="M151" s="32">
        <v>543.27</v>
      </c>
      <c r="N151" s="33">
        <v>0.93233224643899004</v>
      </c>
      <c r="O151" s="33">
        <v>0.90525826694812095</v>
      </c>
      <c r="P151" s="33">
        <v>0.93298171960559595</v>
      </c>
      <c r="Q151" s="33">
        <v>0.93755596868524904</v>
      </c>
      <c r="R151" s="32">
        <v>527.49399215067001</v>
      </c>
      <c r="S151" s="32">
        <v>544.04243858778295</v>
      </c>
      <c r="T151" s="32">
        <v>546.86969080913798</v>
      </c>
      <c r="U151" s="15">
        <v>-2.9468957923825801E-2</v>
      </c>
      <c r="V151" s="15">
        <v>1.42082200169124E-3</v>
      </c>
      <c r="W151" s="15">
        <v>6.6041149086738899E-3</v>
      </c>
      <c r="X151" s="33">
        <v>0.93233224643899004</v>
      </c>
      <c r="Y151" s="33">
        <v>0.90525826694812095</v>
      </c>
      <c r="Z151" s="33">
        <v>0.93298171960559595</v>
      </c>
      <c r="AA151" s="33">
        <v>0.93755596868524904</v>
      </c>
      <c r="AB151" s="32">
        <v>527.49399215067001</v>
      </c>
      <c r="AC151" s="32">
        <v>544.04243858778295</v>
      </c>
      <c r="AD151" s="32">
        <v>546.86969080913798</v>
      </c>
      <c r="AE151" s="15">
        <v>-2.9468957923825801E-2</v>
      </c>
      <c r="AF151" s="15">
        <v>1.42082200169124E-3</v>
      </c>
      <c r="AG151" s="15">
        <v>6.6041149086738899E-3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7">
        <f t="shared" si="48"/>
        <v>0</v>
      </c>
      <c r="AP151" s="27">
        <f t="shared" si="49"/>
        <v>0</v>
      </c>
      <c r="AQ151" s="27">
        <f t="shared" ref="AQ151:AQ176" si="56">AO151+AP151</f>
        <v>0</v>
      </c>
      <c r="AR151" s="28">
        <f t="shared" ref="AR151:AR176" si="57">AR150+AQ151</f>
        <v>4.1861007866058404E-2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7">
        <f t="shared" si="52"/>
        <v>0</v>
      </c>
      <c r="BA151" s="27">
        <f t="shared" si="53"/>
        <v>0</v>
      </c>
      <c r="BB151" s="27">
        <f t="shared" ref="BB151:BB176" si="60">AZ151+BA151</f>
        <v>0</v>
      </c>
      <c r="BC151" s="28">
        <f t="shared" ref="BC151:BC176" si="61">BC150+BB151</f>
        <v>3.9793584375604846E-2</v>
      </c>
      <c r="BE151" s="28">
        <f t="shared" ref="BE151:BE176" si="62">AQ151+BB151</f>
        <v>0</v>
      </c>
      <c r="BF151" s="28">
        <f t="shared" ref="BF151:BF176" si="63">BF150+BE151</f>
        <v>8.1654592241663243E-2</v>
      </c>
      <c r="BH151" s="28"/>
    </row>
    <row r="152" spans="1:60" x14ac:dyDescent="0.25">
      <c r="A152" s="1">
        <v>46244</v>
      </c>
      <c r="B152" s="32">
        <v>569.41</v>
      </c>
      <c r="C152" s="32">
        <v>529.39</v>
      </c>
      <c r="D152" s="15">
        <v>-2.3071737112978202E-2</v>
      </c>
      <c r="E152" s="15">
        <v>-2.58810336154164E-2</v>
      </c>
      <c r="F152" s="32">
        <v>0</v>
      </c>
      <c r="G152" s="32">
        <v>0</v>
      </c>
      <c r="H152" s="32">
        <v>0</v>
      </c>
      <c r="I152" s="32">
        <v>0.490669999999999</v>
      </c>
      <c r="J152" s="32">
        <v>0</v>
      </c>
      <c r="K152" s="32">
        <v>0</v>
      </c>
      <c r="L152" s="32">
        <v>569.41</v>
      </c>
      <c r="M152" s="32">
        <v>529.39</v>
      </c>
      <c r="N152" s="33">
        <v>0.92971672432869101</v>
      </c>
      <c r="O152" s="33">
        <v>0.90525826694812095</v>
      </c>
      <c r="P152" s="33">
        <v>0.93184528885735096</v>
      </c>
      <c r="Q152" s="33">
        <v>0.93677480582378403</v>
      </c>
      <c r="R152" s="32">
        <v>515.46310978293002</v>
      </c>
      <c r="S152" s="32">
        <v>531.24912096062201</v>
      </c>
      <c r="T152" s="32">
        <v>533.85374412906799</v>
      </c>
      <c r="U152" s="15">
        <v>-2.66596614213876E-2</v>
      </c>
      <c r="V152" s="15">
        <v>3.50566526895534E-3</v>
      </c>
      <c r="W152" s="15">
        <v>8.3965137414982096E-3</v>
      </c>
      <c r="X152" s="33">
        <v>0.92971672432869101</v>
      </c>
      <c r="Y152" s="33">
        <v>0.90525826694812095</v>
      </c>
      <c r="Z152" s="33">
        <v>0.93184528885735096</v>
      </c>
      <c r="AA152" s="33">
        <v>0.93677480582378403</v>
      </c>
      <c r="AB152" s="32">
        <v>515.46310978293002</v>
      </c>
      <c r="AC152" s="32">
        <v>531.24912096062201</v>
      </c>
      <c r="AD152" s="32">
        <v>533.85374412906799</v>
      </c>
      <c r="AE152" s="15">
        <v>-2.66596614213876E-2</v>
      </c>
      <c r="AF152" s="15">
        <v>3.50566526895534E-3</v>
      </c>
      <c r="AG152" s="15">
        <v>8.3965137414982096E-3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7">
        <f t="shared" si="48"/>
        <v>0</v>
      </c>
      <c r="AP152" s="27">
        <f t="shared" si="49"/>
        <v>0</v>
      </c>
      <c r="AQ152" s="27">
        <f t="shared" si="56"/>
        <v>0</v>
      </c>
      <c r="AR152" s="28">
        <f t="shared" si="57"/>
        <v>4.1861007866058404E-2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7">
        <f t="shared" si="52"/>
        <v>0</v>
      </c>
      <c r="BA152" s="27">
        <f t="shared" si="53"/>
        <v>0</v>
      </c>
      <c r="BB152" s="27">
        <f t="shared" si="60"/>
        <v>0</v>
      </c>
      <c r="BC152" s="28">
        <f t="shared" si="61"/>
        <v>3.9793584375604846E-2</v>
      </c>
      <c r="BE152" s="28">
        <f t="shared" si="62"/>
        <v>0</v>
      </c>
      <c r="BF152" s="28">
        <f t="shared" si="63"/>
        <v>8.1654592241663243E-2</v>
      </c>
      <c r="BH152" s="28"/>
    </row>
    <row r="153" spans="1:60" x14ac:dyDescent="0.25">
      <c r="A153" s="1">
        <v>46245</v>
      </c>
      <c r="B153" s="32">
        <v>572.92999999999995</v>
      </c>
      <c r="C153" s="32">
        <v>534.20000000000005</v>
      </c>
      <c r="D153" s="15">
        <v>6.1628081671883097E-3</v>
      </c>
      <c r="E153" s="15">
        <v>9.0449003699162294E-3</v>
      </c>
      <c r="F153" s="32">
        <v>0</v>
      </c>
      <c r="G153" s="32">
        <v>0</v>
      </c>
      <c r="H153" s="32">
        <v>0</v>
      </c>
      <c r="I153" s="32">
        <v>0.490669999999999</v>
      </c>
      <c r="J153" s="32">
        <v>0</v>
      </c>
      <c r="K153" s="32">
        <v>0</v>
      </c>
      <c r="L153" s="32">
        <v>572.92999999999995</v>
      </c>
      <c r="M153" s="32">
        <v>534.20000000000005</v>
      </c>
      <c r="N153" s="33">
        <v>0.93240011868814698</v>
      </c>
      <c r="O153" s="33">
        <v>0.90525826694812095</v>
      </c>
      <c r="P153" s="33">
        <v>0.93228696235758501</v>
      </c>
      <c r="Q153" s="33">
        <v>0.93609258457556899</v>
      </c>
      <c r="R153" s="32">
        <v>518.64961888258699</v>
      </c>
      <c r="S153" s="32">
        <v>533.88212134504204</v>
      </c>
      <c r="T153" s="32">
        <v>536.70638950062005</v>
      </c>
      <c r="U153" s="15">
        <v>-2.95417536241156E-2</v>
      </c>
      <c r="V153" s="15">
        <v>-5.9523262863532404E-4</v>
      </c>
      <c r="W153" s="15">
        <v>4.68088359838286E-3</v>
      </c>
      <c r="X153" s="33">
        <v>0.93240011868814698</v>
      </c>
      <c r="Y153" s="33">
        <v>0.90525826694812095</v>
      </c>
      <c r="Z153" s="33">
        <v>0.93228696235758501</v>
      </c>
      <c r="AA153" s="33">
        <v>0.93609258457556899</v>
      </c>
      <c r="AB153" s="32">
        <v>518.64961888258699</v>
      </c>
      <c r="AC153" s="32">
        <v>533.88212134504204</v>
      </c>
      <c r="AD153" s="32">
        <v>536.70638950062005</v>
      </c>
      <c r="AE153" s="15">
        <v>-2.95417536241156E-2</v>
      </c>
      <c r="AF153" s="15">
        <v>-5.9523262863532404E-4</v>
      </c>
      <c r="AG153" s="15">
        <v>4.68088359838286E-3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7">
        <f t="shared" si="48"/>
        <v>0</v>
      </c>
      <c r="AP153" s="27">
        <f t="shared" si="49"/>
        <v>0</v>
      </c>
      <c r="AQ153" s="27">
        <f t="shared" si="56"/>
        <v>0</v>
      </c>
      <c r="AR153" s="28">
        <f t="shared" si="57"/>
        <v>4.1861007866058404E-2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7">
        <f t="shared" si="52"/>
        <v>0</v>
      </c>
      <c r="BA153" s="27">
        <f t="shared" si="53"/>
        <v>0</v>
      </c>
      <c r="BB153" s="27">
        <f t="shared" si="60"/>
        <v>0</v>
      </c>
      <c r="BC153" s="28">
        <f t="shared" si="61"/>
        <v>3.9793584375604846E-2</v>
      </c>
      <c r="BE153" s="28">
        <f t="shared" si="62"/>
        <v>0</v>
      </c>
      <c r="BF153" s="28">
        <f t="shared" si="63"/>
        <v>8.1654592241663243E-2</v>
      </c>
      <c r="BH153" s="28"/>
    </row>
    <row r="154" spans="1:60" x14ac:dyDescent="0.25">
      <c r="A154" s="1">
        <v>46246</v>
      </c>
      <c r="B154" s="32">
        <v>584.83000000000004</v>
      </c>
      <c r="C154" s="32">
        <v>546.61</v>
      </c>
      <c r="D154" s="15">
        <v>2.0557661506154502E-2</v>
      </c>
      <c r="E154" s="15">
        <v>2.2965267564771099E-2</v>
      </c>
      <c r="F154" s="32">
        <v>0</v>
      </c>
      <c r="G154" s="32">
        <v>0</v>
      </c>
      <c r="H154" s="32">
        <v>0</v>
      </c>
      <c r="I154" s="32">
        <v>0.490669999999999</v>
      </c>
      <c r="J154" s="32">
        <v>0</v>
      </c>
      <c r="K154" s="32">
        <v>0</v>
      </c>
      <c r="L154" s="32">
        <v>584.83000000000004</v>
      </c>
      <c r="M154" s="32">
        <v>546.61</v>
      </c>
      <c r="N154" s="33">
        <v>0.93464767539284899</v>
      </c>
      <c r="O154" s="33">
        <v>0.90525826694812095</v>
      </c>
      <c r="P154" s="33">
        <v>0.93353008061679399</v>
      </c>
      <c r="Q154" s="33">
        <v>0.93582952172469902</v>
      </c>
      <c r="R154" s="32">
        <v>529.42219225926999</v>
      </c>
      <c r="S154" s="32">
        <v>545.22938419558602</v>
      </c>
      <c r="T154" s="32">
        <v>547.45502623733</v>
      </c>
      <c r="U154" s="15">
        <v>-3.1949359682732097E-2</v>
      </c>
      <c r="V154" s="15">
        <v>-2.52897369380922E-3</v>
      </c>
      <c r="W154" s="15">
        <v>1.5447462172748E-3</v>
      </c>
      <c r="X154" s="33">
        <v>0.93464767539284899</v>
      </c>
      <c r="Y154" s="33">
        <v>0.90525826694812095</v>
      </c>
      <c r="Z154" s="33">
        <v>0.93353008061679399</v>
      </c>
      <c r="AA154" s="33">
        <v>0.93582952172469902</v>
      </c>
      <c r="AB154" s="32">
        <v>529.42219225926999</v>
      </c>
      <c r="AC154" s="32">
        <v>545.22938419558602</v>
      </c>
      <c r="AD154" s="32">
        <v>547.45502623733</v>
      </c>
      <c r="AE154" s="15">
        <v>-3.1949359682732097E-2</v>
      </c>
      <c r="AF154" s="15">
        <v>-2.52897369380922E-3</v>
      </c>
      <c r="AG154" s="15">
        <v>1.5447462172748E-3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7">
        <f t="shared" si="48"/>
        <v>0</v>
      </c>
      <c r="AP154" s="27">
        <f t="shared" si="49"/>
        <v>0</v>
      </c>
      <c r="AQ154" s="27">
        <f t="shared" si="56"/>
        <v>0</v>
      </c>
      <c r="AR154" s="28">
        <f t="shared" si="57"/>
        <v>4.1861007866058404E-2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7">
        <f t="shared" si="52"/>
        <v>0</v>
      </c>
      <c r="BA154" s="27">
        <f t="shared" si="53"/>
        <v>0</v>
      </c>
      <c r="BB154" s="27">
        <f t="shared" si="60"/>
        <v>0</v>
      </c>
      <c r="BC154" s="28">
        <f t="shared" si="61"/>
        <v>3.9793584375604846E-2</v>
      </c>
      <c r="BE154" s="28">
        <f t="shared" si="62"/>
        <v>0</v>
      </c>
      <c r="BF154" s="28">
        <f t="shared" si="63"/>
        <v>8.1654592241663243E-2</v>
      </c>
      <c r="BH154" s="28"/>
    </row>
    <row r="155" spans="1:60" x14ac:dyDescent="0.25">
      <c r="A155" s="1">
        <v>46247</v>
      </c>
      <c r="B155" s="32">
        <v>589.12</v>
      </c>
      <c r="C155" s="32">
        <v>550.74</v>
      </c>
      <c r="D155" s="15">
        <v>7.3086913353199098E-3</v>
      </c>
      <c r="E155" s="15">
        <v>7.5272602184229204E-3</v>
      </c>
      <c r="F155" s="32">
        <v>0</v>
      </c>
      <c r="G155" s="32">
        <v>0</v>
      </c>
      <c r="H155" s="32">
        <v>0</v>
      </c>
      <c r="I155" s="32">
        <v>0.490669999999999</v>
      </c>
      <c r="J155" s="32">
        <v>0</v>
      </c>
      <c r="K155" s="32">
        <v>0</v>
      </c>
      <c r="L155" s="32">
        <v>589.12</v>
      </c>
      <c r="M155" s="32">
        <v>550.74</v>
      </c>
      <c r="N155" s="33">
        <v>0.93485198261814195</v>
      </c>
      <c r="O155" s="33">
        <v>0.90525826694812095</v>
      </c>
      <c r="P155" s="33">
        <v>0.93339308552177003</v>
      </c>
      <c r="Q155" s="33">
        <v>0.93594869401176195</v>
      </c>
      <c r="R155" s="32">
        <v>533.30575022447704</v>
      </c>
      <c r="S155" s="32">
        <v>549.961241092965</v>
      </c>
      <c r="T155" s="32">
        <v>551.31588783845405</v>
      </c>
      <c r="U155" s="15">
        <v>-3.2167928565835197E-2</v>
      </c>
      <c r="V155" s="15">
        <v>-1.4150234557793E-3</v>
      </c>
      <c r="W155" s="15">
        <v>1.04511558302711E-3</v>
      </c>
      <c r="X155" s="33">
        <v>0.93485198261814195</v>
      </c>
      <c r="Y155" s="33">
        <v>0.90525826694812095</v>
      </c>
      <c r="Z155" s="33">
        <v>0.93339308552177003</v>
      </c>
      <c r="AA155" s="33">
        <v>0.93594869401176195</v>
      </c>
      <c r="AB155" s="32">
        <v>533.30575022447704</v>
      </c>
      <c r="AC155" s="32">
        <v>549.961241092965</v>
      </c>
      <c r="AD155" s="32">
        <v>551.31588783845405</v>
      </c>
      <c r="AE155" s="15">
        <v>-3.2167928565835197E-2</v>
      </c>
      <c r="AF155" s="15">
        <v>-1.4150234557793E-3</v>
      </c>
      <c r="AG155" s="15">
        <v>1.04511558302711E-3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7">
        <f t="shared" si="48"/>
        <v>0</v>
      </c>
      <c r="AP155" s="27">
        <f t="shared" si="49"/>
        <v>0</v>
      </c>
      <c r="AQ155" s="27">
        <f t="shared" si="56"/>
        <v>0</v>
      </c>
      <c r="AR155" s="28">
        <f t="shared" si="57"/>
        <v>4.1861007866058404E-2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7">
        <f t="shared" si="52"/>
        <v>0</v>
      </c>
      <c r="BA155" s="27">
        <f t="shared" si="53"/>
        <v>0</v>
      </c>
      <c r="BB155" s="27">
        <f t="shared" si="60"/>
        <v>0</v>
      </c>
      <c r="BC155" s="28">
        <f t="shared" si="61"/>
        <v>3.9793584375604846E-2</v>
      </c>
      <c r="BE155" s="28">
        <f t="shared" si="62"/>
        <v>0</v>
      </c>
      <c r="BF155" s="28">
        <f t="shared" si="63"/>
        <v>8.1654592241663243E-2</v>
      </c>
      <c r="BH155" s="28"/>
    </row>
    <row r="156" spans="1:60" x14ac:dyDescent="0.25">
      <c r="A156" s="1">
        <v>46248</v>
      </c>
      <c r="B156" s="32">
        <v>587.82000000000005</v>
      </c>
      <c r="C156" s="32">
        <v>550.41999999999996</v>
      </c>
      <c r="D156" s="15">
        <v>-2.20911946010704E-3</v>
      </c>
      <c r="E156" s="15">
        <v>-5.8120529079883304E-4</v>
      </c>
      <c r="F156" s="32">
        <v>0</v>
      </c>
      <c r="G156" s="32">
        <v>0</v>
      </c>
      <c r="H156" s="32">
        <v>0</v>
      </c>
      <c r="I156" s="32">
        <v>0.490669999999999</v>
      </c>
      <c r="J156" s="32">
        <v>0</v>
      </c>
      <c r="K156" s="32">
        <v>0</v>
      </c>
      <c r="L156" s="32">
        <v>587.82000000000005</v>
      </c>
      <c r="M156" s="32">
        <v>550.41999999999996</v>
      </c>
      <c r="N156" s="33">
        <v>0.93637508080704901</v>
      </c>
      <c r="O156" s="33">
        <v>0.90525826694812095</v>
      </c>
      <c r="P156" s="33">
        <v>0.93362412217628299</v>
      </c>
      <c r="Q156" s="33">
        <v>0.93588677674957899</v>
      </c>
      <c r="R156" s="32">
        <v>532.12891447744403</v>
      </c>
      <c r="S156" s="32">
        <v>548.66712353140701</v>
      </c>
      <c r="T156" s="32">
        <v>550.16936131399405</v>
      </c>
      <c r="U156" s="15">
        <v>-3.3795842735143501E-2</v>
      </c>
      <c r="V156" s="15">
        <v>-3.1896979179097799E-3</v>
      </c>
      <c r="W156" s="15">
        <v>-4.5546268053965199E-4</v>
      </c>
      <c r="X156" s="33">
        <v>0.93637508080704901</v>
      </c>
      <c r="Y156" s="33">
        <v>0.90525826694812095</v>
      </c>
      <c r="Z156" s="33">
        <v>0.93362412217628299</v>
      </c>
      <c r="AA156" s="33">
        <v>0.93588677674957899</v>
      </c>
      <c r="AB156" s="32">
        <v>532.12891447744403</v>
      </c>
      <c r="AC156" s="32">
        <v>548.66712353140701</v>
      </c>
      <c r="AD156" s="32">
        <v>550.16936131399405</v>
      </c>
      <c r="AE156" s="15">
        <v>-3.3795842735143501E-2</v>
      </c>
      <c r="AF156" s="15">
        <v>-3.1896979179097799E-3</v>
      </c>
      <c r="AG156" s="15">
        <v>-4.5546268053965199E-4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7">
        <f t="shared" si="48"/>
        <v>0</v>
      </c>
      <c r="AP156" s="27">
        <f t="shared" si="49"/>
        <v>0</v>
      </c>
      <c r="AQ156" s="27">
        <f t="shared" si="56"/>
        <v>0</v>
      </c>
      <c r="AR156" s="28">
        <f t="shared" si="57"/>
        <v>4.1861007866058404E-2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7">
        <f t="shared" si="52"/>
        <v>0</v>
      </c>
      <c r="BA156" s="27">
        <f t="shared" si="53"/>
        <v>0</v>
      </c>
      <c r="BB156" s="27">
        <f t="shared" si="60"/>
        <v>0</v>
      </c>
      <c r="BC156" s="28">
        <f t="shared" si="61"/>
        <v>3.9793584375604846E-2</v>
      </c>
      <c r="BE156" s="28">
        <f t="shared" si="62"/>
        <v>0</v>
      </c>
      <c r="BF156" s="28">
        <f t="shared" si="63"/>
        <v>8.1654592241663243E-2</v>
      </c>
      <c r="BH156" s="28"/>
    </row>
    <row r="157" spans="1:60" x14ac:dyDescent="0.25">
      <c r="A157" s="1">
        <v>46251</v>
      </c>
      <c r="B157" s="32">
        <v>594.07000000000005</v>
      </c>
      <c r="C157" s="32">
        <v>559.12</v>
      </c>
      <c r="D157" s="15">
        <v>1.05763789526936E-2</v>
      </c>
      <c r="E157" s="15">
        <v>1.5682496000617701E-2</v>
      </c>
      <c r="F157" s="32">
        <v>0</v>
      </c>
      <c r="G157" s="32">
        <v>0</v>
      </c>
      <c r="H157" s="32">
        <v>0</v>
      </c>
      <c r="I157" s="32">
        <v>0.490669999999999</v>
      </c>
      <c r="J157" s="32">
        <v>0</v>
      </c>
      <c r="K157" s="32">
        <v>0</v>
      </c>
      <c r="L157" s="32">
        <v>594.07000000000005</v>
      </c>
      <c r="M157" s="32">
        <v>559.12</v>
      </c>
      <c r="N157" s="33">
        <v>0.941168549160873</v>
      </c>
      <c r="O157" s="33">
        <v>0.90525826694812095</v>
      </c>
      <c r="P157" s="33">
        <v>0.93466724116306199</v>
      </c>
      <c r="Q157" s="33">
        <v>0.93604901037407695</v>
      </c>
      <c r="R157" s="32">
        <v>537.78677864586996</v>
      </c>
      <c r="S157" s="32">
        <v>554.638082261264</v>
      </c>
      <c r="T157" s="32">
        <v>555.98225746362198</v>
      </c>
      <c r="U157" s="15">
        <v>-3.89019597830675E-2</v>
      </c>
      <c r="V157" s="15">
        <v>-8.0483221685110004E-3</v>
      </c>
      <c r="W157" s="15">
        <v>-5.62773646410911E-3</v>
      </c>
      <c r="X157" s="33">
        <v>0.941168549160873</v>
      </c>
      <c r="Y157" s="33">
        <v>0.90525826694812095</v>
      </c>
      <c r="Z157" s="33">
        <v>0.93466724116306199</v>
      </c>
      <c r="AA157" s="33">
        <v>0.93604901037407695</v>
      </c>
      <c r="AB157" s="32">
        <v>537.78677864586996</v>
      </c>
      <c r="AC157" s="32">
        <v>554.638082261264</v>
      </c>
      <c r="AD157" s="32">
        <v>555.98225746362198</v>
      </c>
      <c r="AE157" s="15">
        <v>-3.89019597830675E-2</v>
      </c>
      <c r="AF157" s="15">
        <v>-8.0483221685110004E-3</v>
      </c>
      <c r="AG157" s="15">
        <v>-5.62773646410911E-3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7">
        <f t="shared" si="48"/>
        <v>0</v>
      </c>
      <c r="AP157" s="27">
        <f t="shared" si="49"/>
        <v>0</v>
      </c>
      <c r="AQ157" s="27">
        <f t="shared" si="56"/>
        <v>0</v>
      </c>
      <c r="AR157" s="28">
        <f t="shared" si="57"/>
        <v>4.1861007866058404E-2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7">
        <f t="shared" si="52"/>
        <v>0</v>
      </c>
      <c r="BA157" s="27">
        <f t="shared" si="53"/>
        <v>0</v>
      </c>
      <c r="BB157" s="27">
        <f t="shared" si="60"/>
        <v>0</v>
      </c>
      <c r="BC157" s="28">
        <f t="shared" si="61"/>
        <v>3.9793584375604846E-2</v>
      </c>
      <c r="BE157" s="28">
        <f t="shared" si="62"/>
        <v>0</v>
      </c>
      <c r="BF157" s="28">
        <f t="shared" si="63"/>
        <v>8.1654592241663243E-2</v>
      </c>
      <c r="BH157" s="28"/>
    </row>
    <row r="158" spans="1:60" x14ac:dyDescent="0.25">
      <c r="A158" s="1">
        <v>46252</v>
      </c>
      <c r="B158" s="32">
        <v>569.77</v>
      </c>
      <c r="C158" s="32">
        <v>531.39</v>
      </c>
      <c r="D158" s="15">
        <v>-4.17643869122045E-2</v>
      </c>
      <c r="E158" s="15">
        <v>-5.08679042362584E-2</v>
      </c>
      <c r="F158" s="32">
        <v>0</v>
      </c>
      <c r="G158" s="32">
        <v>0</v>
      </c>
      <c r="H158" s="32">
        <v>0</v>
      </c>
      <c r="I158" s="32">
        <v>0.490669999999999</v>
      </c>
      <c r="J158" s="32">
        <v>0</v>
      </c>
      <c r="K158" s="32">
        <v>0</v>
      </c>
      <c r="L158" s="32">
        <v>569.77</v>
      </c>
      <c r="M158" s="32">
        <v>531.39</v>
      </c>
      <c r="N158" s="33">
        <v>0.93263948610842895</v>
      </c>
      <c r="O158" s="33">
        <v>0.90525826694812095</v>
      </c>
      <c r="P158" s="33">
        <v>0.93375009165158696</v>
      </c>
      <c r="Q158" s="33">
        <v>0.93536811657923902</v>
      </c>
      <c r="R158" s="32">
        <v>515.78900275903095</v>
      </c>
      <c r="S158" s="32">
        <v>532.54535399747795</v>
      </c>
      <c r="T158" s="32">
        <v>533.332644640838</v>
      </c>
      <c r="U158" s="15">
        <v>-2.97984424590137E-2</v>
      </c>
      <c r="V158" s="15">
        <v>2.17185085030139E-3</v>
      </c>
      <c r="W158" s="15">
        <v>3.6491133278856599E-3</v>
      </c>
      <c r="X158" s="33">
        <v>0.93263948610842895</v>
      </c>
      <c r="Y158" s="33">
        <v>0.90525826694812095</v>
      </c>
      <c r="Z158" s="33">
        <v>0.93375009165158696</v>
      </c>
      <c r="AA158" s="33">
        <v>0.93536811657923902</v>
      </c>
      <c r="AB158" s="32">
        <v>515.78900275903095</v>
      </c>
      <c r="AC158" s="32">
        <v>532.54535399747795</v>
      </c>
      <c r="AD158" s="32">
        <v>533.332644640838</v>
      </c>
      <c r="AE158" s="15">
        <v>-2.97984424590137E-2</v>
      </c>
      <c r="AF158" s="15">
        <v>2.17185085030139E-3</v>
      </c>
      <c r="AG158" s="15">
        <v>3.6491133278856599E-3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7">
        <f t="shared" si="48"/>
        <v>0</v>
      </c>
      <c r="AP158" s="27">
        <f t="shared" si="49"/>
        <v>0</v>
      </c>
      <c r="AQ158" s="27">
        <f t="shared" si="56"/>
        <v>0</v>
      </c>
      <c r="AR158" s="28">
        <f t="shared" si="57"/>
        <v>4.1861007866058404E-2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7">
        <f t="shared" si="52"/>
        <v>0</v>
      </c>
      <c r="BA158" s="27">
        <f t="shared" si="53"/>
        <v>0</v>
      </c>
      <c r="BB158" s="27">
        <f t="shared" si="60"/>
        <v>0</v>
      </c>
      <c r="BC158" s="28">
        <f t="shared" si="61"/>
        <v>3.9793584375604846E-2</v>
      </c>
      <c r="BE158" s="28">
        <f t="shared" si="62"/>
        <v>0</v>
      </c>
      <c r="BF158" s="28">
        <f t="shared" si="63"/>
        <v>8.1654592241663243E-2</v>
      </c>
      <c r="BH158" s="28"/>
    </row>
    <row r="159" spans="1:60" x14ac:dyDescent="0.25">
      <c r="A159" s="1">
        <v>46253</v>
      </c>
      <c r="B159" s="32">
        <v>560.91999999999996</v>
      </c>
      <c r="C159" s="32">
        <v>519.66999999999996</v>
      </c>
      <c r="D159" s="15">
        <v>-1.5654477766645199E-2</v>
      </c>
      <c r="E159" s="15">
        <v>-2.2302220195335599E-2</v>
      </c>
      <c r="F159" s="32">
        <v>0</v>
      </c>
      <c r="G159" s="32">
        <v>0</v>
      </c>
      <c r="H159" s="32">
        <v>0</v>
      </c>
      <c r="I159" s="32">
        <v>0.490669999999999</v>
      </c>
      <c r="J159" s="32">
        <v>0</v>
      </c>
      <c r="K159" s="32">
        <v>0</v>
      </c>
      <c r="L159" s="32">
        <v>560.91999999999996</v>
      </c>
      <c r="M159" s="32">
        <v>519.66999999999996</v>
      </c>
      <c r="N159" s="33">
        <v>0.92646010126221201</v>
      </c>
      <c r="O159" s="33">
        <v>0.90525826694812095</v>
      </c>
      <c r="P159" s="33">
        <v>0.93324181004531703</v>
      </c>
      <c r="Q159" s="33">
        <v>0.93436529655843503</v>
      </c>
      <c r="R159" s="32">
        <v>507.77746709654002</v>
      </c>
      <c r="S159" s="32">
        <v>523.75910140920803</v>
      </c>
      <c r="T159" s="32">
        <v>524.66668395162606</v>
      </c>
      <c r="U159" s="15">
        <v>-2.3150700030323199E-2</v>
      </c>
      <c r="V159" s="15">
        <v>7.8378537403658993E-3</v>
      </c>
      <c r="W159" s="15">
        <v>9.56917851660939E-3</v>
      </c>
      <c r="X159" s="33">
        <v>0.92646010126221201</v>
      </c>
      <c r="Y159" s="33">
        <v>0.90525826694812095</v>
      </c>
      <c r="Z159" s="33">
        <v>0.93324181004531703</v>
      </c>
      <c r="AA159" s="33">
        <v>0.93436529655843503</v>
      </c>
      <c r="AB159" s="32">
        <v>507.77746709654002</v>
      </c>
      <c r="AC159" s="32">
        <v>523.75910140920803</v>
      </c>
      <c r="AD159" s="32">
        <v>524.66668395162606</v>
      </c>
      <c r="AE159" s="15">
        <v>-2.3150700030323199E-2</v>
      </c>
      <c r="AF159" s="15">
        <v>7.8378537403658993E-3</v>
      </c>
      <c r="AG159" s="15">
        <v>9.56917851660939E-3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7">
        <f t="shared" si="48"/>
        <v>0</v>
      </c>
      <c r="AP159" s="27">
        <f t="shared" si="49"/>
        <v>0</v>
      </c>
      <c r="AQ159" s="27">
        <f t="shared" si="56"/>
        <v>0</v>
      </c>
      <c r="AR159" s="28">
        <f t="shared" si="57"/>
        <v>4.1861007866058404E-2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7">
        <f t="shared" si="52"/>
        <v>0</v>
      </c>
      <c r="BA159" s="27">
        <f t="shared" si="53"/>
        <v>0</v>
      </c>
      <c r="BB159" s="27">
        <f t="shared" si="60"/>
        <v>0</v>
      </c>
      <c r="BC159" s="28">
        <f t="shared" si="61"/>
        <v>3.9793584375604846E-2</v>
      </c>
      <c r="BE159" s="28">
        <f t="shared" si="62"/>
        <v>0</v>
      </c>
      <c r="BF159" s="28">
        <f t="shared" si="63"/>
        <v>8.1654592241663243E-2</v>
      </c>
      <c r="BH159" s="28"/>
    </row>
    <row r="160" spans="1:60" x14ac:dyDescent="0.25">
      <c r="A160" s="1">
        <v>46254</v>
      </c>
      <c r="B160" s="32">
        <v>562.65</v>
      </c>
      <c r="C160" s="32">
        <v>522.35</v>
      </c>
      <c r="D160" s="15">
        <v>3.0794723375559998E-3</v>
      </c>
      <c r="E160" s="15">
        <v>5.1438665462374099E-3</v>
      </c>
      <c r="F160" s="32">
        <v>0</v>
      </c>
      <c r="G160" s="32">
        <v>0</v>
      </c>
      <c r="H160" s="32">
        <v>0</v>
      </c>
      <c r="I160" s="32">
        <v>0.490669999999999</v>
      </c>
      <c r="J160" s="32">
        <v>0</v>
      </c>
      <c r="K160" s="32">
        <v>0</v>
      </c>
      <c r="L160" s="32">
        <v>562.65</v>
      </c>
      <c r="M160" s="32">
        <v>522.35</v>
      </c>
      <c r="N160" s="33">
        <v>0.92837465564738297</v>
      </c>
      <c r="O160" s="33">
        <v>0.90525826694812095</v>
      </c>
      <c r="P160" s="33">
        <v>0.93289666204527599</v>
      </c>
      <c r="Q160" s="33">
        <v>0.93327726408234501</v>
      </c>
      <c r="R160" s="32">
        <v>509.34356389836</v>
      </c>
      <c r="S160" s="32">
        <v>525.08850442199798</v>
      </c>
      <c r="T160" s="32">
        <v>525.72063410860301</v>
      </c>
      <c r="U160" s="15">
        <v>-2.5215094239004799E-2</v>
      </c>
      <c r="V160" s="15">
        <v>5.2289669515450899E-3</v>
      </c>
      <c r="W160" s="15">
        <v>6.4320965012966301E-3</v>
      </c>
      <c r="X160" s="33">
        <v>0.92837465564738297</v>
      </c>
      <c r="Y160" s="33">
        <v>0.90525826694812095</v>
      </c>
      <c r="Z160" s="33">
        <v>0.93289666204527599</v>
      </c>
      <c r="AA160" s="33">
        <v>0.93327726408234501</v>
      </c>
      <c r="AB160" s="32">
        <v>509.34356389836</v>
      </c>
      <c r="AC160" s="32">
        <v>525.08850442199798</v>
      </c>
      <c r="AD160" s="32">
        <v>525.72063410860301</v>
      </c>
      <c r="AE160" s="15">
        <v>-2.5215094239004799E-2</v>
      </c>
      <c r="AF160" s="15">
        <v>5.2289669515450899E-3</v>
      </c>
      <c r="AG160" s="15">
        <v>6.4320965012966301E-3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7">
        <f t="shared" si="48"/>
        <v>0</v>
      </c>
      <c r="AP160" s="27">
        <f t="shared" si="49"/>
        <v>0</v>
      </c>
      <c r="AQ160" s="27">
        <f t="shared" si="56"/>
        <v>0</v>
      </c>
      <c r="AR160" s="28">
        <f t="shared" si="57"/>
        <v>4.1861007866058404E-2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7">
        <f t="shared" si="52"/>
        <v>0</v>
      </c>
      <c r="BA160" s="27">
        <f t="shared" si="53"/>
        <v>0</v>
      </c>
      <c r="BB160" s="27">
        <f t="shared" si="60"/>
        <v>0</v>
      </c>
      <c r="BC160" s="28">
        <f t="shared" si="61"/>
        <v>3.9793584375604846E-2</v>
      </c>
      <c r="BE160" s="28">
        <f t="shared" si="62"/>
        <v>0</v>
      </c>
      <c r="BF160" s="28">
        <f t="shared" si="63"/>
        <v>8.1654592241663243E-2</v>
      </c>
      <c r="BH160" s="28"/>
    </row>
    <row r="161" spans="1:60" x14ac:dyDescent="0.25">
      <c r="A161" s="1">
        <v>46255</v>
      </c>
      <c r="B161" s="32">
        <v>560.41999999999996</v>
      </c>
      <c r="C161" s="32">
        <v>520.04999999999995</v>
      </c>
      <c r="D161" s="15">
        <v>-3.9712625762651603E-3</v>
      </c>
      <c r="E161" s="15">
        <v>-4.4129004843749802E-3</v>
      </c>
      <c r="F161" s="32">
        <v>0</v>
      </c>
      <c r="G161" s="32">
        <v>0</v>
      </c>
      <c r="H161" s="32">
        <v>0</v>
      </c>
      <c r="I161" s="32">
        <v>0.490669999999999</v>
      </c>
      <c r="J161" s="32">
        <v>0</v>
      </c>
      <c r="K161" s="32">
        <v>0</v>
      </c>
      <c r="L161" s="32">
        <v>560.41999999999996</v>
      </c>
      <c r="M161" s="32">
        <v>520.04999999999995</v>
      </c>
      <c r="N161" s="33">
        <v>0.92796474073016599</v>
      </c>
      <c r="O161" s="33">
        <v>0.90525826694812095</v>
      </c>
      <c r="P161" s="33">
        <v>0.932459911474394</v>
      </c>
      <c r="Q161" s="33">
        <v>0.93272081553999497</v>
      </c>
      <c r="R161" s="32">
        <v>507.32483796306599</v>
      </c>
      <c r="S161" s="32">
        <v>522.81394734341302</v>
      </c>
      <c r="T161" s="32">
        <v>523.02724433702804</v>
      </c>
      <c r="U161" s="15">
        <v>-2.4773456330894901E-2</v>
      </c>
      <c r="V161" s="15">
        <v>5.3006987576817901E-3</v>
      </c>
      <c r="W161" s="15">
        <v>5.7085943316339304E-3</v>
      </c>
      <c r="X161" s="33">
        <v>0.92796474073016599</v>
      </c>
      <c r="Y161" s="33">
        <v>0.90525826694812095</v>
      </c>
      <c r="Z161" s="33">
        <v>0.932459911474394</v>
      </c>
      <c r="AA161" s="33">
        <v>0.93272081553999497</v>
      </c>
      <c r="AB161" s="32">
        <v>507.32483796306599</v>
      </c>
      <c r="AC161" s="32">
        <v>522.81394734341302</v>
      </c>
      <c r="AD161" s="32">
        <v>523.02724433702804</v>
      </c>
      <c r="AE161" s="15">
        <v>-2.4773456330894901E-2</v>
      </c>
      <c r="AF161" s="15">
        <v>5.3006987576817901E-3</v>
      </c>
      <c r="AG161" s="15">
        <v>5.7085943316339304E-3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7">
        <f t="shared" si="48"/>
        <v>0</v>
      </c>
      <c r="AP161" s="27">
        <f t="shared" si="49"/>
        <v>0</v>
      </c>
      <c r="AQ161" s="27">
        <f t="shared" si="56"/>
        <v>0</v>
      </c>
      <c r="AR161" s="28">
        <f t="shared" si="57"/>
        <v>4.1861007866058404E-2</v>
      </c>
      <c r="AT161" s="12"/>
      <c r="AU161">
        <f t="shared" si="50"/>
        <v>0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7">
        <f t="shared" si="52"/>
        <v>0</v>
      </c>
      <c r="BA161" s="27">
        <f t="shared" si="53"/>
        <v>0</v>
      </c>
      <c r="BB161" s="27">
        <f t="shared" si="60"/>
        <v>0</v>
      </c>
      <c r="BC161" s="28">
        <f t="shared" si="61"/>
        <v>3.9793584375604846E-2</v>
      </c>
      <c r="BE161" s="28">
        <f t="shared" si="62"/>
        <v>0</v>
      </c>
      <c r="BF161" s="28">
        <f t="shared" si="63"/>
        <v>8.1654592241663243E-2</v>
      </c>
      <c r="BH161" s="28"/>
    </row>
    <row r="162" spans="1:60" x14ac:dyDescent="0.25">
      <c r="A162" s="1">
        <v>46258</v>
      </c>
      <c r="B162" s="32">
        <v>546.79999999999995</v>
      </c>
      <c r="C162" s="32">
        <v>506.18</v>
      </c>
      <c r="D162" s="15">
        <v>-2.46033977699463E-2</v>
      </c>
      <c r="E162" s="15">
        <v>-2.70326235437311E-2</v>
      </c>
      <c r="F162" s="32">
        <v>0</v>
      </c>
      <c r="G162" s="32">
        <v>0</v>
      </c>
      <c r="H162" s="32">
        <v>0</v>
      </c>
      <c r="I162" s="32">
        <v>0.490669999999999</v>
      </c>
      <c r="J162" s="32">
        <v>0</v>
      </c>
      <c r="K162" s="32">
        <v>0</v>
      </c>
      <c r="L162" s="32">
        <v>546.79999999999995</v>
      </c>
      <c r="M162" s="32">
        <v>506.18</v>
      </c>
      <c r="N162" s="33">
        <v>0.92571324067300598</v>
      </c>
      <c r="O162" s="33">
        <v>0.90525826694812095</v>
      </c>
      <c r="P162" s="33">
        <v>0.93205956310882598</v>
      </c>
      <c r="Q162" s="33">
        <v>0.93195242598308803</v>
      </c>
      <c r="R162" s="32">
        <v>494.99522036723198</v>
      </c>
      <c r="S162" s="32">
        <v>509.86907959419801</v>
      </c>
      <c r="T162" s="32">
        <v>510.01174193726899</v>
      </c>
      <c r="U162" s="15">
        <v>-2.2344230557110201E-2</v>
      </c>
      <c r="V162" s="15">
        <v>7.2616488301196196E-3</v>
      </c>
      <c r="W162" s="15">
        <v>7.5414116043361996E-3</v>
      </c>
      <c r="X162" s="33">
        <v>0.92571324067300598</v>
      </c>
      <c r="Y162" s="33">
        <v>0.90525826694812095</v>
      </c>
      <c r="Z162" s="33">
        <v>0.93205956310882598</v>
      </c>
      <c r="AA162" s="33">
        <v>0.93195242598308803</v>
      </c>
      <c r="AB162" s="32">
        <v>494.99522036723198</v>
      </c>
      <c r="AC162" s="32">
        <v>509.86907959419801</v>
      </c>
      <c r="AD162" s="32">
        <v>510.01174193726899</v>
      </c>
      <c r="AE162" s="15">
        <v>-2.2344230557110201E-2</v>
      </c>
      <c r="AF162" s="15">
        <v>7.2616488301196196E-3</v>
      </c>
      <c r="AG162" s="15">
        <v>7.5414116043361996E-3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7">
        <f t="shared" si="48"/>
        <v>0</v>
      </c>
      <c r="AP162" s="27">
        <f t="shared" si="49"/>
        <v>0</v>
      </c>
      <c r="AQ162" s="27">
        <f t="shared" si="56"/>
        <v>0</v>
      </c>
      <c r="AR162" s="28">
        <f t="shared" si="57"/>
        <v>4.1861007866058404E-2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7">
        <f t="shared" si="52"/>
        <v>0</v>
      </c>
      <c r="BA162" s="27">
        <f t="shared" si="53"/>
        <v>0</v>
      </c>
      <c r="BB162" s="27">
        <f t="shared" si="60"/>
        <v>0</v>
      </c>
      <c r="BC162" s="28">
        <f t="shared" si="61"/>
        <v>3.9793584375604846E-2</v>
      </c>
      <c r="BE162" s="28">
        <f t="shared" si="62"/>
        <v>0</v>
      </c>
      <c r="BF162" s="28">
        <f t="shared" si="63"/>
        <v>8.1654592241663243E-2</v>
      </c>
      <c r="BH162" s="28"/>
    </row>
    <row r="163" spans="1:60" x14ac:dyDescent="0.25">
      <c r="A163" s="1">
        <v>46259</v>
      </c>
      <c r="B163" s="32">
        <v>555.82000000000005</v>
      </c>
      <c r="C163" s="32">
        <v>514.05999999999995</v>
      </c>
      <c r="D163" s="15">
        <v>1.63613959781609E-2</v>
      </c>
      <c r="E163" s="15">
        <v>1.54476529046704E-2</v>
      </c>
      <c r="F163" s="32">
        <v>0</v>
      </c>
      <c r="G163" s="32">
        <v>0</v>
      </c>
      <c r="H163" s="32">
        <v>0</v>
      </c>
      <c r="I163" s="32">
        <v>0.490669999999999</v>
      </c>
      <c r="J163" s="32">
        <v>0</v>
      </c>
      <c r="K163" s="32">
        <v>0</v>
      </c>
      <c r="L163" s="32">
        <v>555.82000000000005</v>
      </c>
      <c r="M163" s="32">
        <v>514.05999999999995</v>
      </c>
      <c r="N163" s="33">
        <v>0.92486776294483797</v>
      </c>
      <c r="O163" s="33">
        <v>0.90525826694812095</v>
      </c>
      <c r="P163" s="33">
        <v>0.93130632753449505</v>
      </c>
      <c r="Q163" s="33">
        <v>0.93179664494603998</v>
      </c>
      <c r="R163" s="32">
        <v>503.16064993510503</v>
      </c>
      <c r="S163" s="32">
        <v>518.05734636714703</v>
      </c>
      <c r="T163" s="32">
        <v>517.99779740992005</v>
      </c>
      <c r="U163" s="15">
        <v>-2.1430487483619601E-2</v>
      </c>
      <c r="V163" s="15">
        <v>7.7459532442899302E-3</v>
      </c>
      <c r="W163" s="15">
        <v>7.6309999859604698E-3</v>
      </c>
      <c r="X163" s="33">
        <v>0.92486776294483797</v>
      </c>
      <c r="Y163" s="33">
        <v>0.90525826694812095</v>
      </c>
      <c r="Z163" s="33">
        <v>0.93130632753449505</v>
      </c>
      <c r="AA163" s="33">
        <v>0.93179664494603998</v>
      </c>
      <c r="AB163" s="32">
        <v>503.16064993510503</v>
      </c>
      <c r="AC163" s="32">
        <v>518.05734636714703</v>
      </c>
      <c r="AD163" s="32">
        <v>517.99779740992005</v>
      </c>
      <c r="AE163" s="15">
        <v>-2.1430487483619601E-2</v>
      </c>
      <c r="AF163" s="15">
        <v>7.7459532442899302E-3</v>
      </c>
      <c r="AG163" s="15">
        <v>7.6309999859604698E-3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7">
        <f t="shared" si="48"/>
        <v>0</v>
      </c>
      <c r="AP163" s="27">
        <f t="shared" si="49"/>
        <v>0</v>
      </c>
      <c r="AQ163" s="27">
        <f t="shared" si="56"/>
        <v>0</v>
      </c>
      <c r="AR163" s="28">
        <f t="shared" si="57"/>
        <v>4.1861007866058404E-2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7">
        <f t="shared" si="52"/>
        <v>0</v>
      </c>
      <c r="BA163" s="27">
        <f t="shared" si="53"/>
        <v>0</v>
      </c>
      <c r="BB163" s="27">
        <f t="shared" si="60"/>
        <v>0</v>
      </c>
      <c r="BC163" s="28">
        <f t="shared" si="61"/>
        <v>3.9793584375604846E-2</v>
      </c>
      <c r="BE163" s="28">
        <f t="shared" si="62"/>
        <v>0</v>
      </c>
      <c r="BF163" s="28">
        <f t="shared" si="63"/>
        <v>8.1654592241663243E-2</v>
      </c>
      <c r="BH163" s="28"/>
    </row>
    <row r="164" spans="1:60" x14ac:dyDescent="0.25">
      <c r="A164" s="1">
        <v>46260</v>
      </c>
      <c r="B164" s="32">
        <v>555.77</v>
      </c>
      <c r="C164" s="32">
        <v>515.4</v>
      </c>
      <c r="D164" s="15">
        <v>-8.9961226772114895E-5</v>
      </c>
      <c r="E164" s="15">
        <v>2.6033080581832498E-3</v>
      </c>
      <c r="F164" s="32">
        <v>0</v>
      </c>
      <c r="G164" s="32">
        <v>0</v>
      </c>
      <c r="H164" s="32">
        <v>0</v>
      </c>
      <c r="I164" s="32">
        <v>0.490669999999999</v>
      </c>
      <c r="J164" s="32">
        <v>0</v>
      </c>
      <c r="K164" s="32">
        <v>0</v>
      </c>
      <c r="L164" s="32">
        <v>555.77</v>
      </c>
      <c r="M164" s="32">
        <v>515.4</v>
      </c>
      <c r="N164" s="33">
        <v>0.92736203825323404</v>
      </c>
      <c r="O164" s="33">
        <v>0.90525826694812095</v>
      </c>
      <c r="P164" s="33">
        <v>0.93057776382053303</v>
      </c>
      <c r="Q164" s="33">
        <v>0.93205392221866401</v>
      </c>
      <c r="R164" s="32">
        <v>503.11538702175699</v>
      </c>
      <c r="S164" s="32">
        <v>517.592117653846</v>
      </c>
      <c r="T164" s="32">
        <v>517.86462136166006</v>
      </c>
      <c r="U164" s="15">
        <v>-2.4123756768574998E-2</v>
      </c>
      <c r="V164" s="15">
        <v>4.2442162084319699E-3</v>
      </c>
      <c r="W164" s="15">
        <v>4.77056116102697E-3</v>
      </c>
      <c r="X164" s="33">
        <v>0.92736203825323404</v>
      </c>
      <c r="Y164" s="33">
        <v>0.90525826694812095</v>
      </c>
      <c r="Z164" s="33">
        <v>0.93057776382053303</v>
      </c>
      <c r="AA164" s="33">
        <v>0.93205392221866401</v>
      </c>
      <c r="AB164" s="32">
        <v>503.11538702175699</v>
      </c>
      <c r="AC164" s="32">
        <v>517.592117653846</v>
      </c>
      <c r="AD164" s="32">
        <v>517.86462136166006</v>
      </c>
      <c r="AE164" s="15">
        <v>-2.4123756768574998E-2</v>
      </c>
      <c r="AF164" s="15">
        <v>4.2442162084319699E-3</v>
      </c>
      <c r="AG164" s="15">
        <v>4.77056116102697E-3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7">
        <f t="shared" si="48"/>
        <v>0</v>
      </c>
      <c r="AP164" s="27">
        <f t="shared" si="49"/>
        <v>0</v>
      </c>
      <c r="AQ164" s="27">
        <f t="shared" si="56"/>
        <v>0</v>
      </c>
      <c r="AR164" s="28">
        <f t="shared" si="57"/>
        <v>4.1861007866058404E-2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7">
        <f t="shared" si="52"/>
        <v>0</v>
      </c>
      <c r="BA164" s="27">
        <f t="shared" si="53"/>
        <v>0</v>
      </c>
      <c r="BB164" s="27">
        <f t="shared" si="60"/>
        <v>0</v>
      </c>
      <c r="BC164" s="28">
        <f t="shared" si="61"/>
        <v>3.9793584375604846E-2</v>
      </c>
      <c r="BE164" s="28">
        <f t="shared" si="62"/>
        <v>0</v>
      </c>
      <c r="BF164" s="28">
        <f t="shared" si="63"/>
        <v>8.1654592241663243E-2</v>
      </c>
      <c r="BH164" s="28"/>
    </row>
    <row r="165" spans="1:60" x14ac:dyDescent="0.25">
      <c r="A165" s="1">
        <v>46261</v>
      </c>
      <c r="B165" s="32">
        <v>573</v>
      </c>
      <c r="C165" s="32">
        <v>525.42999999999995</v>
      </c>
      <c r="D165" s="15">
        <v>3.0531177113556299E-2</v>
      </c>
      <c r="E165" s="15">
        <v>1.9273676755942801E-2</v>
      </c>
      <c r="F165" s="32">
        <v>0</v>
      </c>
      <c r="G165" s="32">
        <v>0</v>
      </c>
      <c r="H165" s="32">
        <v>0</v>
      </c>
      <c r="I165" s="32">
        <v>0.490669999999999</v>
      </c>
      <c r="J165" s="32">
        <v>0</v>
      </c>
      <c r="K165" s="32">
        <v>0</v>
      </c>
      <c r="L165" s="32">
        <v>573</v>
      </c>
      <c r="M165" s="32">
        <v>525.42999999999995</v>
      </c>
      <c r="N165" s="33">
        <v>0.91698080279232097</v>
      </c>
      <c r="O165" s="33">
        <v>0.90525826694812095</v>
      </c>
      <c r="P165" s="33">
        <v>0.92879064583795101</v>
      </c>
      <c r="Q165" s="33">
        <v>0.93109186567986102</v>
      </c>
      <c r="R165" s="32">
        <v>518.71298696127303</v>
      </c>
      <c r="S165" s="32">
        <v>533.22105866916502</v>
      </c>
      <c r="T165" s="32">
        <v>534.06689743129402</v>
      </c>
      <c r="U165" s="15">
        <v>-1.2866256410961599E-2</v>
      </c>
      <c r="V165" s="15">
        <v>1.47191074288495E-2</v>
      </c>
      <c r="W165" s="15">
        <v>1.6304132228160101E-2</v>
      </c>
      <c r="X165" s="33">
        <v>0.91698080279232097</v>
      </c>
      <c r="Y165" s="33">
        <v>0.90525826694812095</v>
      </c>
      <c r="Z165" s="33">
        <v>0.92879064583795101</v>
      </c>
      <c r="AA165" s="33">
        <v>0.93109186567986102</v>
      </c>
      <c r="AB165" s="32">
        <v>518.71298696127303</v>
      </c>
      <c r="AC165" s="32">
        <v>533.22105866916502</v>
      </c>
      <c r="AD165" s="32">
        <v>534.06689743129402</v>
      </c>
      <c r="AE165" s="15">
        <v>-1.2866256410961599E-2</v>
      </c>
      <c r="AF165" s="15">
        <v>1.47191074288495E-2</v>
      </c>
      <c r="AG165" s="15">
        <v>1.6304132228160101E-2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7">
        <f t="shared" si="48"/>
        <v>0</v>
      </c>
      <c r="AP165" s="27">
        <f t="shared" si="49"/>
        <v>0</v>
      </c>
      <c r="AQ165" s="27">
        <f t="shared" si="56"/>
        <v>0</v>
      </c>
      <c r="AR165" s="28">
        <f t="shared" si="57"/>
        <v>4.1861007866058404E-2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7">
        <f t="shared" si="52"/>
        <v>0</v>
      </c>
      <c r="BA165" s="27">
        <f t="shared" si="53"/>
        <v>0</v>
      </c>
      <c r="BB165" s="27">
        <f t="shared" si="60"/>
        <v>0</v>
      </c>
      <c r="BC165" s="28">
        <f t="shared" si="61"/>
        <v>3.9793584375604846E-2</v>
      </c>
      <c r="BE165" s="28">
        <f t="shared" si="62"/>
        <v>0</v>
      </c>
      <c r="BF165" s="28">
        <f t="shared" si="63"/>
        <v>8.1654592241663243E-2</v>
      </c>
      <c r="BH165" s="28"/>
    </row>
    <row r="166" spans="1:60" x14ac:dyDescent="0.25">
      <c r="A166" s="1">
        <v>46262</v>
      </c>
      <c r="B166" s="32">
        <v>553.11</v>
      </c>
      <c r="C166" s="32">
        <v>508.62</v>
      </c>
      <c r="D166" s="15">
        <v>-3.5328819964330398E-2</v>
      </c>
      <c r="E166" s="15">
        <v>-3.2515799125838102E-2</v>
      </c>
      <c r="F166" s="32">
        <v>0</v>
      </c>
      <c r="G166" s="32">
        <v>0</v>
      </c>
      <c r="H166" s="32">
        <v>0</v>
      </c>
      <c r="I166" s="32">
        <v>0.490669999999999</v>
      </c>
      <c r="J166" s="32">
        <v>0</v>
      </c>
      <c r="K166" s="32">
        <v>0</v>
      </c>
      <c r="L166" s="32">
        <v>553.11</v>
      </c>
      <c r="M166" s="32">
        <v>508.62</v>
      </c>
      <c r="N166" s="33">
        <v>0.91956392037750101</v>
      </c>
      <c r="O166" s="33">
        <v>0.90525826694812095</v>
      </c>
      <c r="P166" s="33">
        <v>0.92710952979499595</v>
      </c>
      <c r="Q166" s="33">
        <v>0.93036682598563902</v>
      </c>
      <c r="R166" s="32">
        <v>500.70740003167498</v>
      </c>
      <c r="S166" s="32">
        <v>513.72339411942903</v>
      </c>
      <c r="T166" s="32">
        <v>514.99622182618805</v>
      </c>
      <c r="U166" s="15">
        <v>-1.56792772494538E-2</v>
      </c>
      <c r="V166" s="15">
        <v>9.9838010189668407E-3</v>
      </c>
      <c r="W166" s="15">
        <v>1.24583885286274E-2</v>
      </c>
      <c r="X166" s="33">
        <v>0.91956392037750101</v>
      </c>
      <c r="Y166" s="33">
        <v>0.90525826694812095</v>
      </c>
      <c r="Z166" s="33">
        <v>0.92710952979499595</v>
      </c>
      <c r="AA166" s="33">
        <v>0.93036682598563902</v>
      </c>
      <c r="AB166" s="32">
        <v>500.70740003167498</v>
      </c>
      <c r="AC166" s="32">
        <v>513.72339411942903</v>
      </c>
      <c r="AD166" s="32">
        <v>514.99622182618805</v>
      </c>
      <c r="AE166" s="15">
        <v>-1.56792772494538E-2</v>
      </c>
      <c r="AF166" s="15">
        <v>9.9838010189668407E-3</v>
      </c>
      <c r="AG166" s="15">
        <v>1.24583885286274E-2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7">
        <f t="shared" si="48"/>
        <v>0</v>
      </c>
      <c r="AP166" s="27">
        <f t="shared" si="49"/>
        <v>0</v>
      </c>
      <c r="AQ166" s="27">
        <f t="shared" si="56"/>
        <v>0</v>
      </c>
      <c r="AR166" s="28">
        <f t="shared" si="57"/>
        <v>4.1861007866058404E-2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7">
        <f t="shared" si="52"/>
        <v>0</v>
      </c>
      <c r="BA166" s="27">
        <f t="shared" si="53"/>
        <v>0</v>
      </c>
      <c r="BB166" s="27">
        <f t="shared" si="60"/>
        <v>0</v>
      </c>
      <c r="BC166" s="28">
        <f t="shared" si="61"/>
        <v>3.9793584375604846E-2</v>
      </c>
      <c r="BE166" s="28">
        <f t="shared" si="62"/>
        <v>0</v>
      </c>
      <c r="BF166" s="28">
        <f t="shared" si="63"/>
        <v>8.1654592241663243E-2</v>
      </c>
      <c r="BH166" s="28"/>
    </row>
    <row r="167" spans="1:60" x14ac:dyDescent="0.25">
      <c r="A167" s="1">
        <v>46265</v>
      </c>
      <c r="B167" s="32">
        <v>556.63</v>
      </c>
      <c r="C167" s="32">
        <v>511.04</v>
      </c>
      <c r="D167" s="15">
        <v>6.3438495593994898E-3</v>
      </c>
      <c r="E167" s="15">
        <v>4.7466891782785197E-3</v>
      </c>
      <c r="F167" s="32">
        <v>0</v>
      </c>
      <c r="G167" s="32">
        <v>0</v>
      </c>
      <c r="H167" s="32">
        <v>0</v>
      </c>
      <c r="I167" s="32">
        <v>0.490669999999999</v>
      </c>
      <c r="J167" s="32">
        <v>0</v>
      </c>
      <c r="K167" s="32">
        <v>0</v>
      </c>
      <c r="L167" s="32">
        <v>556.63</v>
      </c>
      <c r="M167" s="32">
        <v>511.04</v>
      </c>
      <c r="N167" s="33">
        <v>0.91809640155938399</v>
      </c>
      <c r="O167" s="33">
        <v>0.90525826694812095</v>
      </c>
      <c r="P167" s="33">
        <v>0.924802315034847</v>
      </c>
      <c r="Q167" s="33">
        <v>0.92973477809895499</v>
      </c>
      <c r="R167" s="32">
        <v>503.89390913133298</v>
      </c>
      <c r="S167" s="32">
        <v>516.05697756978896</v>
      </c>
      <c r="T167" s="32">
        <v>517.87008634838605</v>
      </c>
      <c r="U167" s="15">
        <v>-1.40821168683327E-2</v>
      </c>
      <c r="V167" s="15">
        <v>9.7693160057716506E-3</v>
      </c>
      <c r="W167" s="15">
        <v>1.32765472223801E-2</v>
      </c>
      <c r="X167" s="33">
        <v>0.91809640155938399</v>
      </c>
      <c r="Y167" s="33">
        <v>0.90525826694812095</v>
      </c>
      <c r="Z167" s="33">
        <v>0.924802315034847</v>
      </c>
      <c r="AA167" s="33">
        <v>0.92973477809895499</v>
      </c>
      <c r="AB167" s="32">
        <v>503.89390913133298</v>
      </c>
      <c r="AC167" s="32">
        <v>516.05697756978896</v>
      </c>
      <c r="AD167" s="32">
        <v>517.87008634838605</v>
      </c>
      <c r="AE167" s="15">
        <v>-1.40821168683327E-2</v>
      </c>
      <c r="AF167" s="15">
        <v>9.7693160057716506E-3</v>
      </c>
      <c r="AG167" s="15">
        <v>1.32765472223801E-2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7">
        <f t="shared" si="48"/>
        <v>0</v>
      </c>
      <c r="AP167" s="27">
        <f t="shared" si="49"/>
        <v>0</v>
      </c>
      <c r="AQ167" s="27">
        <f t="shared" si="56"/>
        <v>0</v>
      </c>
      <c r="AR167" s="28">
        <f t="shared" si="57"/>
        <v>4.1861007866058404E-2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1</v>
      </c>
      <c r="AY167">
        <f t="shared" si="59"/>
        <v>0</v>
      </c>
      <c r="AZ167" s="27">
        <f t="shared" si="52"/>
        <v>0</v>
      </c>
      <c r="BA167" s="27">
        <f t="shared" si="53"/>
        <v>0</v>
      </c>
      <c r="BB167" s="27">
        <f t="shared" si="60"/>
        <v>0</v>
      </c>
      <c r="BC167" s="28">
        <f t="shared" si="61"/>
        <v>3.9793584375604846E-2</v>
      </c>
      <c r="BE167" s="28">
        <f t="shared" si="62"/>
        <v>0</v>
      </c>
      <c r="BF167" s="28">
        <f t="shared" si="63"/>
        <v>8.1654592241663243E-2</v>
      </c>
      <c r="BH167" s="28"/>
    </row>
    <row r="168" spans="1:60" x14ac:dyDescent="0.25">
      <c r="A168" s="1">
        <v>46266</v>
      </c>
      <c r="B168" s="32">
        <v>545.22</v>
      </c>
      <c r="C168" s="32">
        <v>500.31</v>
      </c>
      <c r="D168" s="15">
        <v>-2.0711363374497901E-2</v>
      </c>
      <c r="E168" s="15">
        <v>-2.12199587250501E-2</v>
      </c>
      <c r="F168" s="32">
        <v>0</v>
      </c>
      <c r="G168" s="32">
        <v>0</v>
      </c>
      <c r="H168" s="32">
        <v>0</v>
      </c>
      <c r="I168" s="32">
        <v>0.490669999999999</v>
      </c>
      <c r="J168" s="32">
        <v>0</v>
      </c>
      <c r="K168" s="32">
        <v>0</v>
      </c>
      <c r="L168" s="32">
        <v>545.22</v>
      </c>
      <c r="M168" s="32">
        <v>500.31</v>
      </c>
      <c r="N168" s="33">
        <v>0.91762958071970901</v>
      </c>
      <c r="O168" s="33">
        <v>0.90525826694812095</v>
      </c>
      <c r="P168" s="33">
        <v>0.92330132449597502</v>
      </c>
      <c r="Q168" s="33">
        <v>0.92852570807378099</v>
      </c>
      <c r="R168" s="32">
        <v>493.56491230545402</v>
      </c>
      <c r="S168" s="32">
        <v>504.22071820329899</v>
      </c>
      <c r="T168" s="32">
        <v>506.90999571511202</v>
      </c>
      <c r="U168" s="15">
        <v>-1.3573521517780599E-2</v>
      </c>
      <c r="V168" s="15">
        <v>7.7861988481821697E-3</v>
      </c>
      <c r="W168" s="15">
        <v>1.31055582861153E-2</v>
      </c>
      <c r="X168" s="33">
        <v>0.91762958071970901</v>
      </c>
      <c r="Y168" s="33">
        <v>0.90525826694812095</v>
      </c>
      <c r="Z168" s="33">
        <v>0.92330132449597502</v>
      </c>
      <c r="AA168" s="33">
        <v>0.92852570807378099</v>
      </c>
      <c r="AB168" s="32">
        <v>493.56491230545402</v>
      </c>
      <c r="AC168" s="32">
        <v>504.22071820329899</v>
      </c>
      <c r="AD168" s="32">
        <v>506.90999571511202</v>
      </c>
      <c r="AE168" s="15">
        <v>-1.3573521517780599E-2</v>
      </c>
      <c r="AF168" s="15">
        <v>7.7861988481821697E-3</v>
      </c>
      <c r="AG168" s="15">
        <v>1.31055582861153E-2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7">
        <f t="shared" si="48"/>
        <v>0</v>
      </c>
      <c r="AP168" s="27">
        <f t="shared" si="49"/>
        <v>0</v>
      </c>
      <c r="AQ168" s="27">
        <f t="shared" si="56"/>
        <v>0</v>
      </c>
      <c r="AR168" s="28">
        <f t="shared" si="57"/>
        <v>4.1861007866058404E-2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7">
        <f t="shared" si="52"/>
        <v>0</v>
      </c>
      <c r="BA168" s="27">
        <f t="shared" si="53"/>
        <v>0</v>
      </c>
      <c r="BB168" s="27">
        <f t="shared" si="60"/>
        <v>0</v>
      </c>
      <c r="BC168" s="28">
        <f t="shared" si="61"/>
        <v>3.9793584375604846E-2</v>
      </c>
      <c r="BE168" s="28">
        <f t="shared" si="62"/>
        <v>0</v>
      </c>
      <c r="BF168" s="28">
        <f t="shared" si="63"/>
        <v>8.1654592241663243E-2</v>
      </c>
      <c r="BH168" s="28"/>
    </row>
    <row r="169" spans="1:60" x14ac:dyDescent="0.25">
      <c r="A169" s="1">
        <v>46267</v>
      </c>
      <c r="B169" s="32">
        <v>550.48</v>
      </c>
      <c r="C169" s="32">
        <v>501.44</v>
      </c>
      <c r="D169" s="15">
        <v>9.6012419589138701E-3</v>
      </c>
      <c r="E169" s="15">
        <v>2.25605286605843E-3</v>
      </c>
      <c r="F169" s="32">
        <v>0</v>
      </c>
      <c r="G169" s="32">
        <v>0</v>
      </c>
      <c r="H169" s="32">
        <v>0</v>
      </c>
      <c r="I169" s="32">
        <v>0.490669999999999</v>
      </c>
      <c r="J169" s="32">
        <v>0</v>
      </c>
      <c r="K169" s="32">
        <v>0</v>
      </c>
      <c r="L169" s="32">
        <v>550.48</v>
      </c>
      <c r="M169" s="32">
        <v>501.44</v>
      </c>
      <c r="N169" s="33">
        <v>0.91091411132102795</v>
      </c>
      <c r="O169" s="33">
        <v>0.90525826694812095</v>
      </c>
      <c r="P169" s="33">
        <v>0.92174672550185699</v>
      </c>
      <c r="Q169" s="33">
        <v>0.92749426777358701</v>
      </c>
      <c r="R169" s="32">
        <v>498.32657078960199</v>
      </c>
      <c r="S169" s="32">
        <v>508.25891310854399</v>
      </c>
      <c r="T169" s="32">
        <v>511.13483178045499</v>
      </c>
      <c r="U169" s="15">
        <v>-6.2283324249253202E-3</v>
      </c>
      <c r="V169" s="15">
        <v>1.35070300459485E-2</v>
      </c>
      <c r="W169" s="15">
        <v>1.9149454901638701E-2</v>
      </c>
      <c r="X169" s="33">
        <v>0.91091411132102795</v>
      </c>
      <c r="Y169" s="33">
        <v>0.90525826694812095</v>
      </c>
      <c r="Z169" s="33">
        <v>0.92174672550185699</v>
      </c>
      <c r="AA169" s="33">
        <v>0.92749426777358701</v>
      </c>
      <c r="AB169" s="32">
        <v>498.32657078960199</v>
      </c>
      <c r="AC169" s="32">
        <v>508.25891310854399</v>
      </c>
      <c r="AD169" s="32">
        <v>511.13483178045499</v>
      </c>
      <c r="AE169" s="15">
        <v>-6.2283324249253202E-3</v>
      </c>
      <c r="AF169" s="15">
        <v>1.35070300459485E-2</v>
      </c>
      <c r="AG169" s="15">
        <v>1.9149454901638701E-2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7">
        <f t="shared" si="48"/>
        <v>0</v>
      </c>
      <c r="AP169" s="27">
        <f t="shared" si="49"/>
        <v>0</v>
      </c>
      <c r="AQ169" s="27">
        <f t="shared" si="56"/>
        <v>0</v>
      </c>
      <c r="AR169" s="28">
        <f t="shared" si="57"/>
        <v>4.1861007866058404E-2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7">
        <f t="shared" si="52"/>
        <v>0</v>
      </c>
      <c r="BA169" s="27">
        <f t="shared" si="53"/>
        <v>0</v>
      </c>
      <c r="BB169" s="27">
        <f t="shared" si="60"/>
        <v>0</v>
      </c>
      <c r="BC169" s="28">
        <f t="shared" si="61"/>
        <v>3.9793584375604846E-2</v>
      </c>
      <c r="BE169" s="28">
        <f t="shared" si="62"/>
        <v>0</v>
      </c>
      <c r="BF169" s="28">
        <f t="shared" si="63"/>
        <v>8.1654592241663243E-2</v>
      </c>
      <c r="BH169" s="28"/>
    </row>
    <row r="170" spans="1:60" x14ac:dyDescent="0.25">
      <c r="A170" s="1">
        <v>46268</v>
      </c>
      <c r="B170" s="32">
        <v>552.6</v>
      </c>
      <c r="C170" s="32">
        <v>502.2</v>
      </c>
      <c r="D170" s="15">
        <v>3.8437875950917502E-3</v>
      </c>
      <c r="E170" s="15">
        <v>1.5144875558285201E-3</v>
      </c>
      <c r="F170" s="32">
        <v>0</v>
      </c>
      <c r="G170" s="32">
        <v>0</v>
      </c>
      <c r="H170" s="32">
        <v>0</v>
      </c>
      <c r="I170" s="32">
        <v>0.490669999999999</v>
      </c>
      <c r="J170" s="32">
        <v>0</v>
      </c>
      <c r="K170" s="32">
        <v>0</v>
      </c>
      <c r="L170" s="32">
        <v>552.6</v>
      </c>
      <c r="M170" s="32">
        <v>502.2</v>
      </c>
      <c r="N170" s="33">
        <v>0.90879478827361504</v>
      </c>
      <c r="O170" s="33">
        <v>0.90525826694812095</v>
      </c>
      <c r="P170" s="33">
        <v>0.91978873876447997</v>
      </c>
      <c r="Q170" s="33">
        <v>0.92634270040487798</v>
      </c>
      <c r="R170" s="32">
        <v>500.24571831553197</v>
      </c>
      <c r="S170" s="32">
        <v>509.35724051232597</v>
      </c>
      <c r="T170" s="32">
        <v>512.53333237168397</v>
      </c>
      <c r="U170" s="15">
        <v>-3.89903238566214E-3</v>
      </c>
      <c r="V170" s="15">
        <v>1.4151171411961001E-2</v>
      </c>
      <c r="W170" s="15">
        <v>2.03673009481679E-2</v>
      </c>
      <c r="X170" s="33">
        <v>0.90879478827361504</v>
      </c>
      <c r="Y170" s="33">
        <v>0.90525826694812095</v>
      </c>
      <c r="Z170" s="33">
        <v>0.91978873876447997</v>
      </c>
      <c r="AA170" s="33">
        <v>0.92634270040487798</v>
      </c>
      <c r="AB170" s="32">
        <v>500.24571831553197</v>
      </c>
      <c r="AC170" s="32">
        <v>509.35724051232597</v>
      </c>
      <c r="AD170" s="32">
        <v>512.53333237168397</v>
      </c>
      <c r="AE170" s="15">
        <v>-3.89903238566214E-3</v>
      </c>
      <c r="AF170" s="15">
        <v>1.4151171411961001E-2</v>
      </c>
      <c r="AG170" s="15">
        <v>2.03673009481679E-2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7">
        <f t="shared" si="48"/>
        <v>0</v>
      </c>
      <c r="AP170" s="27">
        <f t="shared" si="49"/>
        <v>0</v>
      </c>
      <c r="AQ170" s="27">
        <f t="shared" si="56"/>
        <v>0</v>
      </c>
      <c r="AR170" s="28">
        <f t="shared" si="57"/>
        <v>4.1861007866058404E-2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7">
        <f t="shared" si="52"/>
        <v>0</v>
      </c>
      <c r="BA170" s="27">
        <f t="shared" si="53"/>
        <v>0</v>
      </c>
      <c r="BB170" s="27">
        <f t="shared" si="60"/>
        <v>0</v>
      </c>
      <c r="BC170" s="28">
        <f t="shared" si="61"/>
        <v>3.9793584375604846E-2</v>
      </c>
      <c r="BE170" s="28">
        <f t="shared" si="62"/>
        <v>0</v>
      </c>
      <c r="BF170" s="28">
        <f t="shared" si="63"/>
        <v>8.1654592241663243E-2</v>
      </c>
      <c r="BH170" s="28"/>
    </row>
    <row r="171" spans="1:60" x14ac:dyDescent="0.25">
      <c r="A171" s="1">
        <v>46269</v>
      </c>
      <c r="B171" s="32">
        <v>567.01</v>
      </c>
      <c r="C171" s="32">
        <v>519.86</v>
      </c>
      <c r="D171" s="15">
        <v>2.5742527767214699E-2</v>
      </c>
      <c r="E171" s="15">
        <v>3.4561097833647601E-2</v>
      </c>
      <c r="F171" s="32">
        <v>0</v>
      </c>
      <c r="G171" s="32">
        <v>0</v>
      </c>
      <c r="H171" s="32">
        <v>0</v>
      </c>
      <c r="I171" s="32">
        <v>0.490669999999999</v>
      </c>
      <c r="J171" s="32">
        <v>0</v>
      </c>
      <c r="K171" s="32">
        <v>0</v>
      </c>
      <c r="L171" s="32">
        <v>567.01</v>
      </c>
      <c r="M171" s="32">
        <v>519.86</v>
      </c>
      <c r="N171" s="33">
        <v>0.91684450009700003</v>
      </c>
      <c r="O171" s="33">
        <v>0.90525826694812095</v>
      </c>
      <c r="P171" s="33">
        <v>0.91867671470116397</v>
      </c>
      <c r="Q171" s="33">
        <v>0.92556831308777898</v>
      </c>
      <c r="R171" s="32">
        <v>513.290489942254</v>
      </c>
      <c r="S171" s="32">
        <v>521.52941276684805</v>
      </c>
      <c r="T171" s="32">
        <v>525.24557455656998</v>
      </c>
      <c r="U171" s="15">
        <v>-1.27176024520953E-2</v>
      </c>
      <c r="V171" s="15">
        <v>3.2061286131954501E-3</v>
      </c>
      <c r="W171" s="15">
        <v>1.0306369728524001E-2</v>
      </c>
      <c r="X171" s="33">
        <v>0.91684450009700003</v>
      </c>
      <c r="Y171" s="33">
        <v>0.90525826694812095</v>
      </c>
      <c r="Z171" s="33">
        <v>0.91867671470116397</v>
      </c>
      <c r="AA171" s="33">
        <v>0.92556831308777898</v>
      </c>
      <c r="AB171" s="32">
        <v>513.290489942254</v>
      </c>
      <c r="AC171" s="32">
        <v>521.52941276684805</v>
      </c>
      <c r="AD171" s="32">
        <v>525.24557455656998</v>
      </c>
      <c r="AE171" s="15">
        <v>-1.27176024520953E-2</v>
      </c>
      <c r="AF171" s="15">
        <v>3.2061286131954501E-3</v>
      </c>
      <c r="AG171" s="15">
        <v>1.0306369728524001E-2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7">
        <f t="shared" si="48"/>
        <v>0</v>
      </c>
      <c r="AP171" s="27">
        <f t="shared" si="49"/>
        <v>0</v>
      </c>
      <c r="AQ171" s="27">
        <f t="shared" si="56"/>
        <v>0</v>
      </c>
      <c r="AR171" s="28">
        <f t="shared" si="57"/>
        <v>4.1861007866058404E-2</v>
      </c>
      <c r="AT171" s="12"/>
      <c r="AU171">
        <f t="shared" si="50"/>
        <v>0</v>
      </c>
      <c r="AV171">
        <f t="shared" si="51"/>
        <v>0</v>
      </c>
      <c r="AW171">
        <f t="shared" si="58"/>
        <v>0</v>
      </c>
      <c r="AX171">
        <f t="shared" si="45"/>
        <v>1</v>
      </c>
      <c r="AY171">
        <f t="shared" si="59"/>
        <v>0</v>
      </c>
      <c r="AZ171" s="27">
        <f t="shared" si="52"/>
        <v>0</v>
      </c>
      <c r="BA171" s="27">
        <f t="shared" si="53"/>
        <v>0</v>
      </c>
      <c r="BB171" s="27">
        <f t="shared" si="60"/>
        <v>0</v>
      </c>
      <c r="BC171" s="28">
        <f t="shared" si="61"/>
        <v>3.9793584375604846E-2</v>
      </c>
      <c r="BE171" s="28">
        <f t="shared" si="62"/>
        <v>0</v>
      </c>
      <c r="BF171" s="28">
        <f t="shared" si="63"/>
        <v>8.1654592241663243E-2</v>
      </c>
      <c r="BH171" s="28"/>
    </row>
    <row r="172" spans="1:60" x14ac:dyDescent="0.25">
      <c r="A172" s="1">
        <v>46273</v>
      </c>
      <c r="B172" s="32">
        <v>573.73</v>
      </c>
      <c r="C172" s="32">
        <v>528.4</v>
      </c>
      <c r="D172" s="15">
        <v>1.1781962122856799E-2</v>
      </c>
      <c r="E172" s="15">
        <v>1.62940280910377E-2</v>
      </c>
      <c r="F172" s="32">
        <v>0</v>
      </c>
      <c r="G172" s="32">
        <v>0</v>
      </c>
      <c r="H172" s="32">
        <v>0</v>
      </c>
      <c r="I172" s="32">
        <v>0.490669999999999</v>
      </c>
      <c r="J172" s="32">
        <v>0</v>
      </c>
      <c r="K172" s="32">
        <v>0</v>
      </c>
      <c r="L172" s="32">
        <v>573.73</v>
      </c>
      <c r="M172" s="32">
        <v>528.4</v>
      </c>
      <c r="N172" s="33">
        <v>0.920990709915814</v>
      </c>
      <c r="O172" s="33">
        <v>0.90525826694812095</v>
      </c>
      <c r="P172" s="33">
        <v>0.918204461625444</v>
      </c>
      <c r="Q172" s="33">
        <v>0.92513201236713505</v>
      </c>
      <c r="R172" s="32">
        <v>519.37382549614495</v>
      </c>
      <c r="S172" s="32">
        <v>527.07239152549801</v>
      </c>
      <c r="T172" s="32">
        <v>531.02630826785105</v>
      </c>
      <c r="U172" s="15">
        <v>-1.72296684202763E-2</v>
      </c>
      <c r="V172" s="15">
        <v>-2.51566821703285E-3</v>
      </c>
      <c r="W172" s="15">
        <v>4.9579921270167604E-3</v>
      </c>
      <c r="X172" s="33">
        <v>0.920990709915814</v>
      </c>
      <c r="Y172" s="33">
        <v>0.90525826694812095</v>
      </c>
      <c r="Z172" s="33">
        <v>0.918204461625444</v>
      </c>
      <c r="AA172" s="33">
        <v>0.92513201236713505</v>
      </c>
      <c r="AB172" s="32">
        <v>519.37382549614495</v>
      </c>
      <c r="AC172" s="32">
        <v>527.07239152549801</v>
      </c>
      <c r="AD172" s="32">
        <v>531.02630826785105</v>
      </c>
      <c r="AE172" s="15">
        <v>-1.72296684202763E-2</v>
      </c>
      <c r="AF172" s="15">
        <v>-2.51566821703285E-3</v>
      </c>
      <c r="AG172" s="15">
        <v>4.9579921270167604E-3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7">
        <f t="shared" si="48"/>
        <v>0</v>
      </c>
      <c r="AP172" s="27">
        <f t="shared" si="49"/>
        <v>0</v>
      </c>
      <c r="AQ172" s="27">
        <f t="shared" si="56"/>
        <v>0</v>
      </c>
      <c r="AR172" s="28">
        <f t="shared" si="57"/>
        <v>4.1861007866058404E-2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7">
        <f t="shared" si="52"/>
        <v>0</v>
      </c>
      <c r="BA172" s="27">
        <f t="shared" si="53"/>
        <v>0</v>
      </c>
      <c r="BB172" s="27">
        <f t="shared" si="60"/>
        <v>0</v>
      </c>
      <c r="BC172" s="28">
        <f t="shared" si="61"/>
        <v>3.9793584375604846E-2</v>
      </c>
      <c r="BE172" s="28">
        <f t="shared" si="62"/>
        <v>0</v>
      </c>
      <c r="BF172" s="28">
        <f t="shared" si="63"/>
        <v>8.1654592241663243E-2</v>
      </c>
      <c r="BH172" s="28"/>
    </row>
    <row r="173" spans="1:60" x14ac:dyDescent="0.25">
      <c r="A173" s="1">
        <v>46274</v>
      </c>
      <c r="B173" s="32">
        <v>574.29</v>
      </c>
      <c r="C173" s="32">
        <v>532</v>
      </c>
      <c r="D173" s="15">
        <v>9.7559283708712895E-4</v>
      </c>
      <c r="E173" s="15">
        <v>6.7899166934741002E-3</v>
      </c>
      <c r="F173" s="32">
        <v>0</v>
      </c>
      <c r="G173" s="32">
        <v>0</v>
      </c>
      <c r="H173" s="32">
        <v>0</v>
      </c>
      <c r="I173" s="32">
        <v>0.490669999999999</v>
      </c>
      <c r="J173" s="32">
        <v>0</v>
      </c>
      <c r="K173" s="32">
        <v>0</v>
      </c>
      <c r="L173" s="32">
        <v>574.29</v>
      </c>
      <c r="M173" s="32">
        <v>532</v>
      </c>
      <c r="N173" s="33">
        <v>0.92636124606035197</v>
      </c>
      <c r="O173" s="33">
        <v>0.90525826694812095</v>
      </c>
      <c r="P173" s="33">
        <v>0.918353809936996</v>
      </c>
      <c r="Q173" s="33">
        <v>0.92483006873574503</v>
      </c>
      <c r="R173" s="32">
        <v>519.88077012563599</v>
      </c>
      <c r="S173" s="32">
        <v>527.31564026687602</v>
      </c>
      <c r="T173" s="32">
        <v>531.29406338232195</v>
      </c>
      <c r="U173" s="15">
        <v>-2.3043992276663199E-2</v>
      </c>
      <c r="V173" s="15">
        <v>-8.8441822041810201E-3</v>
      </c>
      <c r="W173" s="15">
        <v>-1.32782970527238E-3</v>
      </c>
      <c r="X173" s="33">
        <v>0.92636124606035197</v>
      </c>
      <c r="Y173" s="33">
        <v>0.90525826694812095</v>
      </c>
      <c r="Z173" s="33">
        <v>0.918353809936996</v>
      </c>
      <c r="AA173" s="33">
        <v>0.92483006873574503</v>
      </c>
      <c r="AB173" s="32">
        <v>519.88077012563599</v>
      </c>
      <c r="AC173" s="32">
        <v>527.31564026687602</v>
      </c>
      <c r="AD173" s="32">
        <v>531.29406338232195</v>
      </c>
      <c r="AE173" s="15">
        <v>-2.3043992276663199E-2</v>
      </c>
      <c r="AF173" s="15">
        <v>-8.8441822041810201E-3</v>
      </c>
      <c r="AG173" s="15">
        <v>-1.32782970527238E-3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7">
        <f t="shared" si="48"/>
        <v>0</v>
      </c>
      <c r="AP173" s="27">
        <f t="shared" si="49"/>
        <v>0</v>
      </c>
      <c r="AQ173" s="27">
        <f t="shared" si="56"/>
        <v>0</v>
      </c>
      <c r="AR173" s="28">
        <f t="shared" si="57"/>
        <v>4.1861007866058404E-2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7">
        <f t="shared" si="52"/>
        <v>0</v>
      </c>
      <c r="BA173" s="27">
        <f t="shared" si="53"/>
        <v>0</v>
      </c>
      <c r="BB173" s="27">
        <f t="shared" si="60"/>
        <v>0</v>
      </c>
      <c r="BC173" s="28">
        <f t="shared" si="61"/>
        <v>3.9793584375604846E-2</v>
      </c>
      <c r="BE173" s="28">
        <f t="shared" si="62"/>
        <v>0</v>
      </c>
      <c r="BF173" s="28">
        <f t="shared" si="63"/>
        <v>8.1654592241663243E-2</v>
      </c>
      <c r="BH173" s="28"/>
    </row>
    <row r="174" spans="1:60" x14ac:dyDescent="0.25">
      <c r="A174" s="1">
        <v>46275</v>
      </c>
      <c r="B174" s="32">
        <v>560.28</v>
      </c>
      <c r="C174" s="32">
        <v>517.42999999999995</v>
      </c>
      <c r="D174" s="15">
        <v>-2.4697836445628799E-2</v>
      </c>
      <c r="E174" s="15">
        <v>-2.7769239051833299E-2</v>
      </c>
      <c r="F174" s="32">
        <v>0</v>
      </c>
      <c r="G174" s="32">
        <v>0</v>
      </c>
      <c r="H174" s="32">
        <v>0</v>
      </c>
      <c r="I174" s="32">
        <v>0.490669999999999</v>
      </c>
      <c r="J174" s="32">
        <v>0</v>
      </c>
      <c r="K174" s="32">
        <v>0</v>
      </c>
      <c r="L174" s="32">
        <v>560.28</v>
      </c>
      <c r="M174" s="32">
        <v>517.42999999999995</v>
      </c>
      <c r="N174" s="33">
        <v>0.92352038266580905</v>
      </c>
      <c r="O174" s="33">
        <v>0.90525826694812095</v>
      </c>
      <c r="P174" s="33">
        <v>0.91796964437825301</v>
      </c>
      <c r="Q174" s="33">
        <v>0.92427370409939302</v>
      </c>
      <c r="R174" s="32">
        <v>507.198101805693</v>
      </c>
      <c r="S174" s="32">
        <v>514.53527263149999</v>
      </c>
      <c r="T174" s="32">
        <v>518.16379091126305</v>
      </c>
      <c r="U174" s="15">
        <v>-1.9972589670458799E-2</v>
      </c>
      <c r="V174" s="15">
        <v>-5.6101402587377201E-3</v>
      </c>
      <c r="W174" s="15">
        <v>1.4171406598010501E-3</v>
      </c>
      <c r="X174" s="33">
        <v>0.92352038266580905</v>
      </c>
      <c r="Y174" s="33">
        <v>0.90525826694812095</v>
      </c>
      <c r="Z174" s="33">
        <v>0.91796964437825301</v>
      </c>
      <c r="AA174" s="33">
        <v>0.92427370409939302</v>
      </c>
      <c r="AB174" s="32">
        <v>507.198101805693</v>
      </c>
      <c r="AC174" s="32">
        <v>514.53527263149999</v>
      </c>
      <c r="AD174" s="32">
        <v>518.16379091126305</v>
      </c>
      <c r="AE174" s="15">
        <v>-1.9972589670458799E-2</v>
      </c>
      <c r="AF174" s="15">
        <v>-5.6101402587377201E-3</v>
      </c>
      <c r="AG174" s="15">
        <v>1.4171406598010501E-3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7">
        <f t="shared" si="48"/>
        <v>0</v>
      </c>
      <c r="AP174" s="27">
        <f t="shared" si="49"/>
        <v>0</v>
      </c>
      <c r="AQ174" s="27">
        <f t="shared" si="56"/>
        <v>0</v>
      </c>
      <c r="AR174" s="28">
        <f t="shared" si="57"/>
        <v>4.1861007866058404E-2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7">
        <f t="shared" si="52"/>
        <v>0</v>
      </c>
      <c r="BA174" s="27">
        <f t="shared" si="53"/>
        <v>0</v>
      </c>
      <c r="BB174" s="27">
        <f t="shared" si="60"/>
        <v>0</v>
      </c>
      <c r="BC174" s="28">
        <f t="shared" si="61"/>
        <v>3.9793584375604846E-2</v>
      </c>
      <c r="BE174" s="28">
        <f t="shared" si="62"/>
        <v>0</v>
      </c>
      <c r="BF174" s="28">
        <f t="shared" si="63"/>
        <v>8.1654592241663243E-2</v>
      </c>
      <c r="BH174" s="28"/>
    </row>
    <row r="175" spans="1:60" x14ac:dyDescent="0.25">
      <c r="A175" s="1">
        <v>46276</v>
      </c>
      <c r="B175" s="32">
        <v>568.53</v>
      </c>
      <c r="C175" s="32">
        <v>527.07000000000005</v>
      </c>
      <c r="D175" s="15">
        <v>1.4617423475982501E-2</v>
      </c>
      <c r="E175" s="15">
        <v>1.84591167552615E-2</v>
      </c>
      <c r="F175" s="32">
        <v>0</v>
      </c>
      <c r="G175" s="32">
        <v>0</v>
      </c>
      <c r="H175" s="32">
        <v>0</v>
      </c>
      <c r="I175" s="32">
        <v>0.490669999999999</v>
      </c>
      <c r="J175" s="32">
        <v>0</v>
      </c>
      <c r="K175" s="32">
        <v>0</v>
      </c>
      <c r="L175" s="32">
        <v>568.53</v>
      </c>
      <c r="M175" s="32">
        <v>527.07000000000005</v>
      </c>
      <c r="N175" s="33">
        <v>0.92707508838583697</v>
      </c>
      <c r="O175" s="33">
        <v>0.90525826694812095</v>
      </c>
      <c r="P175" s="33">
        <v>0.91897907293760495</v>
      </c>
      <c r="Q175" s="33">
        <v>0.92388485938777798</v>
      </c>
      <c r="R175" s="32">
        <v>514.66648250801495</v>
      </c>
      <c r="S175" s="32">
        <v>521.89328191836796</v>
      </c>
      <c r="T175" s="32">
        <v>525.47732899162804</v>
      </c>
      <c r="U175" s="15">
        <v>-2.3814282949737999E-2</v>
      </c>
      <c r="V175" s="15">
        <v>-9.8702408327054503E-3</v>
      </c>
      <c r="W175" s="15">
        <v>-3.0263194443744998E-3</v>
      </c>
      <c r="X175" s="33">
        <v>0.92707508838583697</v>
      </c>
      <c r="Y175" s="33">
        <v>0.90525826694812095</v>
      </c>
      <c r="Z175" s="33">
        <v>0.91897907293760495</v>
      </c>
      <c r="AA175" s="33">
        <v>0.92388485938777798</v>
      </c>
      <c r="AB175" s="32">
        <v>514.66648250801495</v>
      </c>
      <c r="AC175" s="32">
        <v>521.89328191836796</v>
      </c>
      <c r="AD175" s="32">
        <v>525.47732899162804</v>
      </c>
      <c r="AE175" s="15">
        <v>-2.3814282949737999E-2</v>
      </c>
      <c r="AF175" s="15">
        <v>-9.8702408327054503E-3</v>
      </c>
      <c r="AG175" s="15">
        <v>-3.0263194443744998E-3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7">
        <f t="shared" si="48"/>
        <v>0</v>
      </c>
      <c r="AP175" s="27">
        <f t="shared" si="49"/>
        <v>0</v>
      </c>
      <c r="AQ175" s="27">
        <f t="shared" si="56"/>
        <v>0</v>
      </c>
      <c r="AR175" s="28">
        <f t="shared" si="57"/>
        <v>4.1861007866058404E-2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7">
        <f t="shared" si="52"/>
        <v>0</v>
      </c>
      <c r="BA175" s="27">
        <f t="shared" si="53"/>
        <v>0</v>
      </c>
      <c r="BB175" s="27">
        <f t="shared" si="60"/>
        <v>0</v>
      </c>
      <c r="BC175" s="28">
        <f t="shared" si="61"/>
        <v>3.9793584375604846E-2</v>
      </c>
      <c r="BE175" s="28">
        <f t="shared" si="62"/>
        <v>0</v>
      </c>
      <c r="BF175" s="28">
        <f t="shared" si="63"/>
        <v>8.1654592241663243E-2</v>
      </c>
      <c r="BH175" s="28"/>
    </row>
    <row r="176" spans="1:60" x14ac:dyDescent="0.25">
      <c r="A176" s="1">
        <v>46279</v>
      </c>
      <c r="B176" s="32">
        <v>541.5</v>
      </c>
      <c r="C176" s="32">
        <v>497.4</v>
      </c>
      <c r="D176" s="15">
        <v>-4.8711015805782999E-2</v>
      </c>
      <c r="E176" s="15">
        <v>-5.7938835675768303E-2</v>
      </c>
      <c r="F176" s="32">
        <v>0</v>
      </c>
      <c r="G176" s="32">
        <v>0</v>
      </c>
      <c r="H176" s="32">
        <v>0</v>
      </c>
      <c r="I176" s="32">
        <v>0.490669999999999</v>
      </c>
      <c r="J176" s="32">
        <v>0</v>
      </c>
      <c r="K176" s="32">
        <v>0</v>
      </c>
      <c r="L176" s="32">
        <v>541.5</v>
      </c>
      <c r="M176" s="32">
        <v>497.4</v>
      </c>
      <c r="N176" s="33">
        <v>0.91855955678670298</v>
      </c>
      <c r="O176" s="33">
        <v>0.90525826694812095</v>
      </c>
      <c r="P176" s="33">
        <v>0.91887863657852498</v>
      </c>
      <c r="Q176" s="33">
        <v>0.92299408318676102</v>
      </c>
      <c r="R176" s="32">
        <v>490.19735155240699</v>
      </c>
      <c r="S176" s="32">
        <v>497.62716799571302</v>
      </c>
      <c r="T176" s="32">
        <v>500.28365135848099</v>
      </c>
      <c r="U176" s="15">
        <v>-1.45864630797527E-2</v>
      </c>
      <c r="V176" s="15">
        <v>4.5660662737048399E-4</v>
      </c>
      <c r="W176" s="15">
        <v>5.78070891449809E-3</v>
      </c>
      <c r="X176" s="33">
        <v>0.91855955678670298</v>
      </c>
      <c r="Y176" s="33">
        <v>0.90525826694812095</v>
      </c>
      <c r="Z176" s="33">
        <v>0.91887863657852498</v>
      </c>
      <c r="AA176" s="33">
        <v>0.92299408318676102</v>
      </c>
      <c r="AB176" s="32">
        <v>490.19735155240699</v>
      </c>
      <c r="AC176" s="32">
        <v>497.62716799571302</v>
      </c>
      <c r="AD176" s="32">
        <v>500.28365135848099</v>
      </c>
      <c r="AE176" s="15">
        <v>-1.45864630797527E-2</v>
      </c>
      <c r="AF176" s="15">
        <v>4.5660662737048399E-4</v>
      </c>
      <c r="AG176" s="15">
        <v>5.78070891449809E-3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7">
        <f t="shared" si="48"/>
        <v>0</v>
      </c>
      <c r="AP176" s="27">
        <f t="shared" si="49"/>
        <v>0</v>
      </c>
      <c r="AQ176" s="27">
        <f t="shared" si="56"/>
        <v>0</v>
      </c>
      <c r="AR176" s="28">
        <f t="shared" si="57"/>
        <v>4.1861007866058404E-2</v>
      </c>
      <c r="AT176" s="12"/>
      <c r="AU176">
        <f t="shared" si="50"/>
        <v>0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7">
        <f t="shared" si="52"/>
        <v>0</v>
      </c>
      <c r="BA176" s="27">
        <f t="shared" si="53"/>
        <v>0</v>
      </c>
      <c r="BB176" s="27">
        <f t="shared" si="60"/>
        <v>0</v>
      </c>
      <c r="BC176" s="28">
        <f t="shared" si="61"/>
        <v>3.9793584375604846E-2</v>
      </c>
      <c r="BE176" s="28">
        <f t="shared" si="62"/>
        <v>0</v>
      </c>
      <c r="BF176" s="28">
        <f t="shared" si="63"/>
        <v>8.1654592241663243E-2</v>
      </c>
      <c r="BH176" s="28"/>
    </row>
    <row r="177" spans="85:100" x14ac:dyDescent="0.25">
      <c r="CG177" s="27"/>
      <c r="CH177" s="27"/>
      <c r="CI177" s="27"/>
      <c r="CJ177" s="28"/>
      <c r="CL177" s="27"/>
      <c r="CS177" s="27"/>
      <c r="CT177" s="27"/>
      <c r="CU177" s="27"/>
      <c r="CV177" s="28"/>
    </row>
    <row r="178" spans="85:100" x14ac:dyDescent="0.25">
      <c r="CG178" s="27"/>
      <c r="CH178" s="27"/>
      <c r="CI178" s="27"/>
      <c r="CJ178" s="28"/>
      <c r="CL178" s="27"/>
      <c r="CS178" s="27"/>
      <c r="CT178" s="27"/>
      <c r="CU178" s="27"/>
      <c r="CV178" s="28"/>
    </row>
    <row r="179" spans="85:100" x14ac:dyDescent="0.25">
      <c r="CG179" s="27"/>
      <c r="CH179" s="27"/>
      <c r="CI179" s="27"/>
      <c r="CJ179" s="28"/>
      <c r="CL179" s="27"/>
      <c r="CS179" s="27"/>
      <c r="CT179" s="27"/>
      <c r="CU179" s="27"/>
      <c r="CV179" s="28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2026-09-22T22:12:15Z</dcterms:created>
  <dcterms:modified xsi:type="dcterms:W3CDTF">2026-09-24T00:41:05Z</dcterms:modified>
</cp:coreProperties>
</file>