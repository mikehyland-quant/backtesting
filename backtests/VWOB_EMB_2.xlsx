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icha\git-projects\backtesting\backtests\"/>
    </mc:Choice>
  </mc:AlternateContent>
  <xr:revisionPtr revIDLastSave="0" documentId="13_ncr:1_{9801F5AD-CCDF-4CA6-9FD5-B722B830E338}" xr6:coauthVersionLast="47" xr6:coauthVersionMax="47" xr10:uidLastSave="{00000000-0000-0000-0000-000000000000}"/>
  <bookViews>
    <workbookView xWindow="-108" yWindow="-108" windowWidth="23256" windowHeight="12456" xr2:uid="{DB0E9052-E157-43A5-9229-A98A1ADD1ECD}"/>
  </bookViews>
  <sheets>
    <sheet name="VWOB_EMB_2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O14" i="1" l="1"/>
  <c r="CP14" i="1" s="1"/>
  <c r="CQ14" i="1" s="1"/>
  <c r="CR14" i="1" s="1"/>
  <c r="CS14" i="1" s="1"/>
  <c r="CT14" i="1" s="1"/>
  <c r="CN14" i="1"/>
  <c r="CL17" i="1"/>
  <c r="CL18" i="1" s="1"/>
  <c r="CL19" i="1" s="1"/>
  <c r="CL20" i="1" s="1"/>
  <c r="CL21" i="1" s="1"/>
  <c r="CL22" i="1" s="1"/>
  <c r="CL16" i="1"/>
  <c r="CL6" i="1"/>
  <c r="CL7" i="1" s="1"/>
  <c r="CL8" i="1" s="1"/>
  <c r="CL9" i="1" s="1"/>
  <c r="CL10" i="1" s="1"/>
  <c r="CL11" i="1" s="1"/>
  <c r="CL5" i="1"/>
  <c r="CO3" i="1"/>
  <c r="CP3" i="1"/>
  <c r="CQ3" i="1"/>
  <c r="CR3" i="1" s="1"/>
  <c r="CS3" i="1" s="1"/>
  <c r="CT3" i="1" s="1"/>
  <c r="CN3" i="1"/>
  <c r="BQ167" i="1"/>
  <c r="BO167" i="1"/>
  <c r="BN167" i="1"/>
  <c r="BE167" i="1"/>
  <c r="BC167" i="1"/>
  <c r="BB167" i="1"/>
  <c r="BQ166" i="1"/>
  <c r="BO166" i="1"/>
  <c r="BN166" i="1"/>
  <c r="BE166" i="1"/>
  <c r="BC166" i="1"/>
  <c r="BB166" i="1"/>
  <c r="BQ165" i="1"/>
  <c r="BO165" i="1"/>
  <c r="BN165" i="1"/>
  <c r="BE165" i="1"/>
  <c r="BC165" i="1"/>
  <c r="BB165" i="1"/>
  <c r="BQ164" i="1"/>
  <c r="BO164" i="1"/>
  <c r="BN164" i="1"/>
  <c r="BE164" i="1"/>
  <c r="BC164" i="1"/>
  <c r="BB164" i="1"/>
  <c r="BQ163" i="1"/>
  <c r="BO163" i="1"/>
  <c r="BN163" i="1"/>
  <c r="BE163" i="1"/>
  <c r="BC163" i="1"/>
  <c r="BB163" i="1"/>
  <c r="BQ162" i="1"/>
  <c r="BO162" i="1"/>
  <c r="BN162" i="1"/>
  <c r="BE162" i="1"/>
  <c r="BC162" i="1"/>
  <c r="BB162" i="1"/>
  <c r="BQ161" i="1"/>
  <c r="BO161" i="1"/>
  <c r="BN161" i="1"/>
  <c r="BE161" i="1"/>
  <c r="BC161" i="1"/>
  <c r="BB161" i="1"/>
  <c r="BQ160" i="1"/>
  <c r="BO160" i="1"/>
  <c r="BN160" i="1"/>
  <c r="BE160" i="1"/>
  <c r="BC160" i="1"/>
  <c r="BB160" i="1"/>
  <c r="BQ159" i="1"/>
  <c r="BO159" i="1"/>
  <c r="BN159" i="1"/>
  <c r="BE159" i="1"/>
  <c r="BC159" i="1"/>
  <c r="BB159" i="1"/>
  <c r="BF160" i="1" s="1"/>
  <c r="BQ158" i="1"/>
  <c r="BO158" i="1"/>
  <c r="BN158" i="1"/>
  <c r="BE158" i="1"/>
  <c r="BC158" i="1"/>
  <c r="BB158" i="1"/>
  <c r="BQ157" i="1"/>
  <c r="BO157" i="1"/>
  <c r="BN157" i="1"/>
  <c r="BE157" i="1"/>
  <c r="BC157" i="1"/>
  <c r="BB157" i="1"/>
  <c r="BQ156" i="1"/>
  <c r="BO156" i="1"/>
  <c r="BN156" i="1"/>
  <c r="BE156" i="1"/>
  <c r="BC156" i="1"/>
  <c r="BB156" i="1"/>
  <c r="BQ155" i="1"/>
  <c r="BO155" i="1"/>
  <c r="BN155" i="1"/>
  <c r="BE155" i="1"/>
  <c r="BC155" i="1"/>
  <c r="BB155" i="1"/>
  <c r="BQ154" i="1"/>
  <c r="BO154" i="1"/>
  <c r="BN154" i="1"/>
  <c r="BE154" i="1"/>
  <c r="BC154" i="1"/>
  <c r="BB154" i="1"/>
  <c r="BQ153" i="1"/>
  <c r="BO153" i="1"/>
  <c r="BN153" i="1"/>
  <c r="BE153" i="1"/>
  <c r="BC153" i="1"/>
  <c r="BB153" i="1"/>
  <c r="BQ152" i="1"/>
  <c r="BO152" i="1"/>
  <c r="BN152" i="1"/>
  <c r="BE152" i="1"/>
  <c r="BC152" i="1"/>
  <c r="BB152" i="1"/>
  <c r="BQ151" i="1"/>
  <c r="BO151" i="1"/>
  <c r="BN151" i="1"/>
  <c r="BE151" i="1"/>
  <c r="BC151" i="1"/>
  <c r="BB151" i="1"/>
  <c r="BQ150" i="1"/>
  <c r="BO150" i="1"/>
  <c r="BN150" i="1"/>
  <c r="BE150" i="1"/>
  <c r="BC150" i="1"/>
  <c r="BB150" i="1"/>
  <c r="BQ149" i="1"/>
  <c r="BO149" i="1"/>
  <c r="BN149" i="1"/>
  <c r="BE149" i="1"/>
  <c r="BC149" i="1"/>
  <c r="BB149" i="1"/>
  <c r="BF150" i="1" s="1"/>
  <c r="BQ148" i="1"/>
  <c r="BO148" i="1"/>
  <c r="BN148" i="1"/>
  <c r="BE148" i="1"/>
  <c r="BC148" i="1"/>
  <c r="BB148" i="1"/>
  <c r="BQ147" i="1"/>
  <c r="BO147" i="1"/>
  <c r="BN147" i="1"/>
  <c r="BE147" i="1"/>
  <c r="BC147" i="1"/>
  <c r="BB147" i="1"/>
  <c r="BQ146" i="1"/>
  <c r="BO146" i="1"/>
  <c r="BN146" i="1"/>
  <c r="BE146" i="1"/>
  <c r="BC146" i="1"/>
  <c r="BB146" i="1"/>
  <c r="BQ145" i="1"/>
  <c r="BO145" i="1"/>
  <c r="BN145" i="1"/>
  <c r="BE145" i="1"/>
  <c r="BC145" i="1"/>
  <c r="BB145" i="1"/>
  <c r="BQ144" i="1"/>
  <c r="BO144" i="1"/>
  <c r="BN144" i="1"/>
  <c r="BR145" i="1" s="1"/>
  <c r="BE144" i="1"/>
  <c r="BC144" i="1"/>
  <c r="BB144" i="1"/>
  <c r="BQ143" i="1"/>
  <c r="BO143" i="1"/>
  <c r="BN143" i="1"/>
  <c r="BE143" i="1"/>
  <c r="BC143" i="1"/>
  <c r="BB143" i="1"/>
  <c r="BQ142" i="1"/>
  <c r="BO142" i="1"/>
  <c r="BN142" i="1"/>
  <c r="BE142" i="1"/>
  <c r="BC142" i="1"/>
  <c r="BB142" i="1"/>
  <c r="BQ141" i="1"/>
  <c r="BO141" i="1"/>
  <c r="BN141" i="1"/>
  <c r="BE141" i="1"/>
  <c r="BC141" i="1"/>
  <c r="BB141" i="1"/>
  <c r="BQ140" i="1"/>
  <c r="BO140" i="1"/>
  <c r="BN140" i="1"/>
  <c r="BE140" i="1"/>
  <c r="BC140" i="1"/>
  <c r="BB140" i="1"/>
  <c r="BQ139" i="1"/>
  <c r="BO139" i="1"/>
  <c r="BN139" i="1"/>
  <c r="BE139" i="1"/>
  <c r="BC139" i="1"/>
  <c r="BB139" i="1"/>
  <c r="BQ138" i="1"/>
  <c r="BO138" i="1"/>
  <c r="BN138" i="1"/>
  <c r="BE138" i="1"/>
  <c r="BC138" i="1"/>
  <c r="BB138" i="1"/>
  <c r="BQ137" i="1"/>
  <c r="BO137" i="1"/>
  <c r="BN137" i="1"/>
  <c r="BR138" i="1" s="1"/>
  <c r="BE137" i="1"/>
  <c r="BC137" i="1"/>
  <c r="BB137" i="1"/>
  <c r="BQ136" i="1"/>
  <c r="BO136" i="1"/>
  <c r="BN136" i="1"/>
  <c r="BE136" i="1"/>
  <c r="BC136" i="1"/>
  <c r="BB136" i="1"/>
  <c r="BQ135" i="1"/>
  <c r="BO135" i="1"/>
  <c r="BN135" i="1"/>
  <c r="BE135" i="1"/>
  <c r="BC135" i="1"/>
  <c r="BB135" i="1"/>
  <c r="BQ134" i="1"/>
  <c r="BO134" i="1"/>
  <c r="BN134" i="1"/>
  <c r="BE134" i="1"/>
  <c r="BC134" i="1"/>
  <c r="BB134" i="1"/>
  <c r="BQ133" i="1"/>
  <c r="BO133" i="1"/>
  <c r="BN133" i="1"/>
  <c r="BE133" i="1"/>
  <c r="BC133" i="1"/>
  <c r="BB133" i="1"/>
  <c r="BQ132" i="1"/>
  <c r="BO132" i="1"/>
  <c r="BN132" i="1"/>
  <c r="BE132" i="1"/>
  <c r="BC132" i="1"/>
  <c r="BB132" i="1"/>
  <c r="BQ131" i="1"/>
  <c r="BO131" i="1"/>
  <c r="BN131" i="1"/>
  <c r="BE131" i="1"/>
  <c r="BC131" i="1"/>
  <c r="BB131" i="1"/>
  <c r="BQ130" i="1"/>
  <c r="BO130" i="1"/>
  <c r="BN130" i="1"/>
  <c r="BR131" i="1" s="1"/>
  <c r="BT131" i="1" s="1"/>
  <c r="BE130" i="1"/>
  <c r="BC130" i="1"/>
  <c r="BB130" i="1"/>
  <c r="BQ129" i="1"/>
  <c r="BO129" i="1"/>
  <c r="BN129" i="1"/>
  <c r="BE129" i="1"/>
  <c r="BC129" i="1"/>
  <c r="BB129" i="1"/>
  <c r="BQ128" i="1"/>
  <c r="BO128" i="1"/>
  <c r="BN128" i="1"/>
  <c r="BR129" i="1" s="1"/>
  <c r="BE128" i="1"/>
  <c r="BC128" i="1"/>
  <c r="BB128" i="1"/>
  <c r="BQ127" i="1"/>
  <c r="BO127" i="1"/>
  <c r="BN127" i="1"/>
  <c r="BE127" i="1"/>
  <c r="BC127" i="1"/>
  <c r="BB127" i="1"/>
  <c r="BQ126" i="1"/>
  <c r="BO126" i="1"/>
  <c r="BN126" i="1"/>
  <c r="BE126" i="1"/>
  <c r="BC126" i="1"/>
  <c r="BB126" i="1"/>
  <c r="BQ125" i="1"/>
  <c r="BO125" i="1"/>
  <c r="BN125" i="1"/>
  <c r="BE125" i="1"/>
  <c r="BC125" i="1"/>
  <c r="BB125" i="1"/>
  <c r="BQ124" i="1"/>
  <c r="BO124" i="1"/>
  <c r="BN124" i="1"/>
  <c r="BF124" i="1"/>
  <c r="BD124" i="1" s="1"/>
  <c r="BE124" i="1"/>
  <c r="BC124" i="1"/>
  <c r="BB124" i="1"/>
  <c r="BQ123" i="1"/>
  <c r="BO123" i="1"/>
  <c r="BN123" i="1"/>
  <c r="BE123" i="1"/>
  <c r="BC123" i="1"/>
  <c r="BB123" i="1"/>
  <c r="BQ122" i="1"/>
  <c r="BO122" i="1"/>
  <c r="BN122" i="1"/>
  <c r="BE122" i="1"/>
  <c r="BC122" i="1"/>
  <c r="BB122" i="1"/>
  <c r="BQ121" i="1"/>
  <c r="BO121" i="1"/>
  <c r="BN121" i="1"/>
  <c r="BE121" i="1"/>
  <c r="BC121" i="1"/>
  <c r="BB121" i="1"/>
  <c r="BQ120" i="1"/>
  <c r="BO120" i="1"/>
  <c r="BN120" i="1"/>
  <c r="BE120" i="1"/>
  <c r="BC120" i="1"/>
  <c r="BB120" i="1"/>
  <c r="BQ119" i="1"/>
  <c r="BO119" i="1"/>
  <c r="BN119" i="1"/>
  <c r="BE119" i="1"/>
  <c r="BC119" i="1"/>
  <c r="BB119" i="1"/>
  <c r="BQ118" i="1"/>
  <c r="BO118" i="1"/>
  <c r="BN118" i="1"/>
  <c r="BE118" i="1"/>
  <c r="BC118" i="1"/>
  <c r="BB118" i="1"/>
  <c r="BQ117" i="1"/>
  <c r="BO117" i="1"/>
  <c r="BN117" i="1"/>
  <c r="BE117" i="1"/>
  <c r="BC117" i="1"/>
  <c r="BB117" i="1"/>
  <c r="BQ116" i="1"/>
  <c r="BO116" i="1"/>
  <c r="BN116" i="1"/>
  <c r="BE116" i="1"/>
  <c r="BC116" i="1"/>
  <c r="BB116" i="1"/>
  <c r="BQ115" i="1"/>
  <c r="BO115" i="1"/>
  <c r="BN115" i="1"/>
  <c r="BE115" i="1"/>
  <c r="BC115" i="1"/>
  <c r="BB115" i="1"/>
  <c r="BQ114" i="1"/>
  <c r="BO114" i="1"/>
  <c r="BN114" i="1"/>
  <c r="BE114" i="1"/>
  <c r="BC114" i="1"/>
  <c r="BB114" i="1"/>
  <c r="BQ113" i="1"/>
  <c r="BO113" i="1"/>
  <c r="BN113" i="1"/>
  <c r="BE113" i="1"/>
  <c r="BC113" i="1"/>
  <c r="BB113" i="1"/>
  <c r="BQ112" i="1"/>
  <c r="BO112" i="1"/>
  <c r="BN112" i="1"/>
  <c r="BE112" i="1"/>
  <c r="BC112" i="1"/>
  <c r="BB112" i="1"/>
  <c r="BQ111" i="1"/>
  <c r="BO111" i="1"/>
  <c r="BN111" i="1"/>
  <c r="BR112" i="1" s="1"/>
  <c r="BE111" i="1"/>
  <c r="BC111" i="1"/>
  <c r="BB111" i="1"/>
  <c r="BQ110" i="1"/>
  <c r="BO110" i="1"/>
  <c r="BN110" i="1"/>
  <c r="BE110" i="1"/>
  <c r="BC110" i="1"/>
  <c r="BB110" i="1"/>
  <c r="BQ109" i="1"/>
  <c r="BO109" i="1"/>
  <c r="BN109" i="1"/>
  <c r="BE109" i="1"/>
  <c r="BC109" i="1"/>
  <c r="BB109" i="1"/>
  <c r="BQ108" i="1"/>
  <c r="BO108" i="1"/>
  <c r="BN108" i="1"/>
  <c r="BE108" i="1"/>
  <c r="BC108" i="1"/>
  <c r="BB108" i="1"/>
  <c r="BQ107" i="1"/>
  <c r="BO107" i="1"/>
  <c r="BN107" i="1"/>
  <c r="BE107" i="1"/>
  <c r="BC107" i="1"/>
  <c r="BB107" i="1"/>
  <c r="BQ106" i="1"/>
  <c r="BO106" i="1"/>
  <c r="BN106" i="1"/>
  <c r="BR107" i="1" s="1"/>
  <c r="BE106" i="1"/>
  <c r="BC106" i="1"/>
  <c r="BB106" i="1"/>
  <c r="BQ105" i="1"/>
  <c r="BO105" i="1"/>
  <c r="BN105" i="1"/>
  <c r="BE105" i="1"/>
  <c r="BC105" i="1"/>
  <c r="BB105" i="1"/>
  <c r="BQ104" i="1"/>
  <c r="BO104" i="1"/>
  <c r="BN104" i="1"/>
  <c r="BE104" i="1"/>
  <c r="BC104" i="1"/>
  <c r="BB104" i="1"/>
  <c r="BQ103" i="1"/>
  <c r="BO103" i="1"/>
  <c r="BN103" i="1"/>
  <c r="BR104" i="1" s="1"/>
  <c r="BE103" i="1"/>
  <c r="BC103" i="1"/>
  <c r="BB103" i="1"/>
  <c r="BQ102" i="1"/>
  <c r="BO102" i="1"/>
  <c r="BN102" i="1"/>
  <c r="BE102" i="1"/>
  <c r="BC102" i="1"/>
  <c r="BB102" i="1"/>
  <c r="BQ101" i="1"/>
  <c r="BO101" i="1"/>
  <c r="BN101" i="1"/>
  <c r="BE101" i="1"/>
  <c r="BC101" i="1"/>
  <c r="BB101" i="1"/>
  <c r="BQ100" i="1"/>
  <c r="BO100" i="1"/>
  <c r="BN100" i="1"/>
  <c r="BE100" i="1"/>
  <c r="BC100" i="1"/>
  <c r="BB100" i="1"/>
  <c r="BQ99" i="1"/>
  <c r="BO99" i="1"/>
  <c r="BN99" i="1"/>
  <c r="BE99" i="1"/>
  <c r="BC99" i="1"/>
  <c r="BB99" i="1"/>
  <c r="BQ98" i="1"/>
  <c r="BO98" i="1"/>
  <c r="BN98" i="1"/>
  <c r="BE98" i="1"/>
  <c r="BC98" i="1"/>
  <c r="BB98" i="1"/>
  <c r="BQ97" i="1"/>
  <c r="BO97" i="1"/>
  <c r="BN97" i="1"/>
  <c r="BE97" i="1"/>
  <c r="BC97" i="1"/>
  <c r="BB97" i="1"/>
  <c r="BQ96" i="1"/>
  <c r="BO96" i="1"/>
  <c r="BN96" i="1"/>
  <c r="BR97" i="1" s="1"/>
  <c r="BT97" i="1" s="1"/>
  <c r="BE96" i="1"/>
  <c r="BC96" i="1"/>
  <c r="BB96" i="1"/>
  <c r="BQ95" i="1"/>
  <c r="BO95" i="1"/>
  <c r="BN95" i="1"/>
  <c r="BE95" i="1"/>
  <c r="BC95" i="1"/>
  <c r="BB95" i="1"/>
  <c r="BF96" i="1" s="1"/>
  <c r="BQ94" i="1"/>
  <c r="BO94" i="1"/>
  <c r="BN94" i="1"/>
  <c r="BE94" i="1"/>
  <c r="BC94" i="1"/>
  <c r="BB94" i="1"/>
  <c r="BQ93" i="1"/>
  <c r="BO93" i="1"/>
  <c r="BN93" i="1"/>
  <c r="BE93" i="1"/>
  <c r="BC93" i="1"/>
  <c r="BB93" i="1"/>
  <c r="BQ92" i="1"/>
  <c r="BO92" i="1"/>
  <c r="BN92" i="1"/>
  <c r="BR93" i="1" s="1"/>
  <c r="BE92" i="1"/>
  <c r="BC92" i="1"/>
  <c r="BB92" i="1"/>
  <c r="BQ91" i="1"/>
  <c r="BO91" i="1"/>
  <c r="BN91" i="1"/>
  <c r="BE91" i="1"/>
  <c r="BC91" i="1"/>
  <c r="BB91" i="1"/>
  <c r="BQ90" i="1"/>
  <c r="BO90" i="1"/>
  <c r="BN90" i="1"/>
  <c r="BE90" i="1"/>
  <c r="BC90" i="1"/>
  <c r="BB90" i="1"/>
  <c r="BQ89" i="1"/>
  <c r="BO89" i="1"/>
  <c r="BN89" i="1"/>
  <c r="BE89" i="1"/>
  <c r="BC89" i="1"/>
  <c r="BB89" i="1"/>
  <c r="BQ88" i="1"/>
  <c r="BO88" i="1"/>
  <c r="BN88" i="1"/>
  <c r="BE88" i="1"/>
  <c r="BC88" i="1"/>
  <c r="BB88" i="1"/>
  <c r="BQ87" i="1"/>
  <c r="BO87" i="1"/>
  <c r="BN87" i="1"/>
  <c r="BE87" i="1"/>
  <c r="BC87" i="1"/>
  <c r="BB87" i="1"/>
  <c r="BQ86" i="1"/>
  <c r="BO86" i="1"/>
  <c r="BN86" i="1"/>
  <c r="BE86" i="1"/>
  <c r="BC86" i="1"/>
  <c r="BB86" i="1"/>
  <c r="BQ85" i="1"/>
  <c r="BO85" i="1"/>
  <c r="BN85" i="1"/>
  <c r="BE85" i="1"/>
  <c r="BC85" i="1"/>
  <c r="BB85" i="1"/>
  <c r="BQ84" i="1"/>
  <c r="BO84" i="1"/>
  <c r="BN84" i="1"/>
  <c r="BE84" i="1"/>
  <c r="BC84" i="1"/>
  <c r="BB84" i="1"/>
  <c r="BQ83" i="1"/>
  <c r="BO83" i="1"/>
  <c r="BN83" i="1"/>
  <c r="BE83" i="1"/>
  <c r="BC83" i="1"/>
  <c r="BB83" i="1"/>
  <c r="BQ82" i="1"/>
  <c r="BO82" i="1"/>
  <c r="BN82" i="1"/>
  <c r="BE82" i="1"/>
  <c r="BC82" i="1"/>
  <c r="BB82" i="1"/>
  <c r="BF83" i="1" s="1"/>
  <c r="BD83" i="1" s="1"/>
  <c r="BQ81" i="1"/>
  <c r="BO81" i="1"/>
  <c r="BN81" i="1"/>
  <c r="BE81" i="1"/>
  <c r="BC81" i="1"/>
  <c r="BB81" i="1"/>
  <c r="BQ80" i="1"/>
  <c r="BO80" i="1"/>
  <c r="BN80" i="1"/>
  <c r="BE80" i="1"/>
  <c r="BC80" i="1"/>
  <c r="BB80" i="1"/>
  <c r="BQ79" i="1"/>
  <c r="BO79" i="1"/>
  <c r="BN79" i="1"/>
  <c r="BE79" i="1"/>
  <c r="BC79" i="1"/>
  <c r="BB79" i="1"/>
  <c r="BQ78" i="1"/>
  <c r="BO78" i="1"/>
  <c r="BN78" i="1"/>
  <c r="BE78" i="1"/>
  <c r="BC78" i="1"/>
  <c r="BB78" i="1"/>
  <c r="BQ77" i="1"/>
  <c r="BO77" i="1"/>
  <c r="BN77" i="1"/>
  <c r="BE77" i="1"/>
  <c r="BC77" i="1"/>
  <c r="BB77" i="1"/>
  <c r="BQ76" i="1"/>
  <c r="BO76" i="1"/>
  <c r="BN76" i="1"/>
  <c r="BE76" i="1"/>
  <c r="BC76" i="1"/>
  <c r="BB76" i="1"/>
  <c r="BQ75" i="1"/>
  <c r="BO75" i="1"/>
  <c r="BN75" i="1"/>
  <c r="BR76" i="1" s="1"/>
  <c r="BE75" i="1"/>
  <c r="BC75" i="1"/>
  <c r="BB75" i="1"/>
  <c r="BQ74" i="1"/>
  <c r="BO74" i="1"/>
  <c r="BN74" i="1"/>
  <c r="BE74" i="1"/>
  <c r="BC74" i="1"/>
  <c r="BB74" i="1"/>
  <c r="BQ73" i="1"/>
  <c r="BO73" i="1"/>
  <c r="BN73" i="1"/>
  <c r="BE73" i="1"/>
  <c r="BC73" i="1"/>
  <c r="BB73" i="1"/>
  <c r="BQ72" i="1"/>
  <c r="BO72" i="1"/>
  <c r="BN72" i="1"/>
  <c r="BE72" i="1"/>
  <c r="BC72" i="1"/>
  <c r="BB72" i="1"/>
  <c r="BQ71" i="1"/>
  <c r="BO71" i="1"/>
  <c r="BN71" i="1"/>
  <c r="BE71" i="1"/>
  <c r="BC71" i="1"/>
  <c r="BB71" i="1"/>
  <c r="BQ70" i="1"/>
  <c r="BO70" i="1"/>
  <c r="BN70" i="1"/>
  <c r="BE70" i="1"/>
  <c r="BC70" i="1"/>
  <c r="BB70" i="1"/>
  <c r="BQ69" i="1"/>
  <c r="BO69" i="1"/>
  <c r="BN69" i="1"/>
  <c r="BE69" i="1"/>
  <c r="BC69" i="1"/>
  <c r="BB69" i="1"/>
  <c r="BQ68" i="1"/>
  <c r="BO68" i="1"/>
  <c r="BN68" i="1"/>
  <c r="BE68" i="1"/>
  <c r="BC68" i="1"/>
  <c r="BB68" i="1"/>
  <c r="BQ67" i="1"/>
  <c r="BO67" i="1"/>
  <c r="BN67" i="1"/>
  <c r="BE67" i="1"/>
  <c r="BC67" i="1"/>
  <c r="BB67" i="1"/>
  <c r="BQ66" i="1"/>
  <c r="BO66" i="1"/>
  <c r="BN66" i="1"/>
  <c r="BE66" i="1"/>
  <c r="BC66" i="1"/>
  <c r="BB66" i="1"/>
  <c r="BQ65" i="1"/>
  <c r="BO65" i="1"/>
  <c r="BN65" i="1"/>
  <c r="BE65" i="1"/>
  <c r="BC65" i="1"/>
  <c r="BB65" i="1"/>
  <c r="BQ64" i="1"/>
  <c r="BO64" i="1"/>
  <c r="BN64" i="1"/>
  <c r="BE64" i="1"/>
  <c r="BC64" i="1"/>
  <c r="BB64" i="1"/>
  <c r="BQ63" i="1"/>
  <c r="BO63" i="1"/>
  <c r="BN63" i="1"/>
  <c r="BE63" i="1"/>
  <c r="BC63" i="1"/>
  <c r="BB63" i="1"/>
  <c r="BQ62" i="1"/>
  <c r="BO62" i="1"/>
  <c r="BN62" i="1"/>
  <c r="BE62" i="1"/>
  <c r="BC62" i="1"/>
  <c r="BB62" i="1"/>
  <c r="BQ61" i="1"/>
  <c r="BO61" i="1"/>
  <c r="BN61" i="1"/>
  <c r="BE61" i="1"/>
  <c r="BC61" i="1"/>
  <c r="BB61" i="1"/>
  <c r="BQ60" i="1"/>
  <c r="BO60" i="1"/>
  <c r="BN60" i="1"/>
  <c r="BE60" i="1"/>
  <c r="BC60" i="1"/>
  <c r="BB60" i="1"/>
  <c r="BQ59" i="1"/>
  <c r="BO59" i="1"/>
  <c r="BN59" i="1"/>
  <c r="BE59" i="1"/>
  <c r="BC59" i="1"/>
  <c r="BB59" i="1"/>
  <c r="BQ58" i="1"/>
  <c r="BO58" i="1"/>
  <c r="BN58" i="1"/>
  <c r="BE58" i="1"/>
  <c r="BC58" i="1"/>
  <c r="BB58" i="1"/>
  <c r="BQ57" i="1"/>
  <c r="BO57" i="1"/>
  <c r="BN57" i="1"/>
  <c r="BE57" i="1"/>
  <c r="BC57" i="1"/>
  <c r="BB57" i="1"/>
  <c r="BQ56" i="1"/>
  <c r="BO56" i="1"/>
  <c r="BN56" i="1"/>
  <c r="BE56" i="1"/>
  <c r="BC56" i="1"/>
  <c r="BB56" i="1"/>
  <c r="BQ55" i="1"/>
  <c r="BO55" i="1"/>
  <c r="BN55" i="1"/>
  <c r="BE55" i="1"/>
  <c r="BC55" i="1"/>
  <c r="BB55" i="1"/>
  <c r="BQ54" i="1"/>
  <c r="BO54" i="1"/>
  <c r="BN54" i="1"/>
  <c r="BE54" i="1"/>
  <c r="BC54" i="1"/>
  <c r="BB54" i="1"/>
  <c r="BQ53" i="1"/>
  <c r="BO53" i="1"/>
  <c r="BN53" i="1"/>
  <c r="BE53" i="1"/>
  <c r="BC53" i="1"/>
  <c r="BB53" i="1"/>
  <c r="BQ52" i="1"/>
  <c r="BO52" i="1"/>
  <c r="BN52" i="1"/>
  <c r="BE52" i="1"/>
  <c r="BC52" i="1"/>
  <c r="BB52" i="1"/>
  <c r="BQ51" i="1"/>
  <c r="BO51" i="1"/>
  <c r="BN51" i="1"/>
  <c r="BE51" i="1"/>
  <c r="BC51" i="1"/>
  <c r="BB51" i="1"/>
  <c r="BQ50" i="1"/>
  <c r="BO50" i="1"/>
  <c r="BN50" i="1"/>
  <c r="BE50" i="1"/>
  <c r="BC50" i="1"/>
  <c r="BB50" i="1"/>
  <c r="BQ49" i="1"/>
  <c r="BO49" i="1"/>
  <c r="BN49" i="1"/>
  <c r="BE49" i="1"/>
  <c r="BC49" i="1"/>
  <c r="BB49" i="1"/>
  <c r="BQ48" i="1"/>
  <c r="BO48" i="1"/>
  <c r="BN48" i="1"/>
  <c r="BE48" i="1"/>
  <c r="BC48" i="1"/>
  <c r="BB48" i="1"/>
  <c r="BQ47" i="1"/>
  <c r="BO47" i="1"/>
  <c r="BN47" i="1"/>
  <c r="BE47" i="1"/>
  <c r="BC47" i="1"/>
  <c r="BB47" i="1"/>
  <c r="BQ46" i="1"/>
  <c r="BO46" i="1"/>
  <c r="BN46" i="1"/>
  <c r="BE46" i="1"/>
  <c r="BC46" i="1"/>
  <c r="BB46" i="1"/>
  <c r="BQ45" i="1"/>
  <c r="BO45" i="1"/>
  <c r="BN45" i="1"/>
  <c r="BE45" i="1"/>
  <c r="BC45" i="1"/>
  <c r="BB45" i="1"/>
  <c r="BQ44" i="1"/>
  <c r="BO44" i="1"/>
  <c r="BN44" i="1"/>
  <c r="BE44" i="1"/>
  <c r="BC44" i="1"/>
  <c r="BB44" i="1"/>
  <c r="BQ43" i="1"/>
  <c r="BO43" i="1"/>
  <c r="BN43" i="1"/>
  <c r="BE43" i="1"/>
  <c r="BC43" i="1"/>
  <c r="BB43" i="1"/>
  <c r="BQ42" i="1"/>
  <c r="BO42" i="1"/>
  <c r="BN42" i="1"/>
  <c r="BE42" i="1"/>
  <c r="BC42" i="1"/>
  <c r="BB42" i="1"/>
  <c r="BQ41" i="1"/>
  <c r="BO41" i="1"/>
  <c r="BN41" i="1"/>
  <c r="BE41" i="1"/>
  <c r="BC41" i="1"/>
  <c r="BB41" i="1"/>
  <c r="BQ40" i="1"/>
  <c r="BO40" i="1"/>
  <c r="BN40" i="1"/>
  <c r="BE40" i="1"/>
  <c r="BC40" i="1"/>
  <c r="BB40" i="1"/>
  <c r="BQ39" i="1"/>
  <c r="BO39" i="1"/>
  <c r="BN39" i="1"/>
  <c r="BE39" i="1"/>
  <c r="BC39" i="1"/>
  <c r="BB39" i="1"/>
  <c r="BQ38" i="1"/>
  <c r="BO38" i="1"/>
  <c r="BN38" i="1"/>
  <c r="BR39" i="1" s="1"/>
  <c r="BE38" i="1"/>
  <c r="BC38" i="1"/>
  <c r="BB38" i="1"/>
  <c r="BQ37" i="1"/>
  <c r="BO37" i="1"/>
  <c r="BN37" i="1"/>
  <c r="BE37" i="1"/>
  <c r="BC37" i="1"/>
  <c r="BB37" i="1"/>
  <c r="BQ36" i="1"/>
  <c r="BO36" i="1"/>
  <c r="BN36" i="1"/>
  <c r="BE36" i="1"/>
  <c r="BC36" i="1"/>
  <c r="BB36" i="1"/>
  <c r="BQ35" i="1"/>
  <c r="BO35" i="1"/>
  <c r="BN35" i="1"/>
  <c r="BE35" i="1"/>
  <c r="BC35" i="1"/>
  <c r="BB35" i="1"/>
  <c r="BQ34" i="1"/>
  <c r="BO34" i="1"/>
  <c r="BN34" i="1"/>
  <c r="BE34" i="1"/>
  <c r="BC34" i="1"/>
  <c r="BB34" i="1"/>
  <c r="BQ33" i="1"/>
  <c r="BO33" i="1"/>
  <c r="BN33" i="1"/>
  <c r="BE33" i="1"/>
  <c r="BC33" i="1"/>
  <c r="BB33" i="1"/>
  <c r="BQ32" i="1"/>
  <c r="BO32" i="1"/>
  <c r="BN32" i="1"/>
  <c r="BE32" i="1"/>
  <c r="BC32" i="1"/>
  <c r="BB32" i="1"/>
  <c r="BQ31" i="1"/>
  <c r="BO31" i="1"/>
  <c r="BN31" i="1"/>
  <c r="BE31" i="1"/>
  <c r="BC31" i="1"/>
  <c r="BB31" i="1"/>
  <c r="BQ30" i="1"/>
  <c r="BO30" i="1"/>
  <c r="BN30" i="1"/>
  <c r="BE30" i="1"/>
  <c r="BC30" i="1"/>
  <c r="BB30" i="1"/>
  <c r="BQ29" i="1"/>
  <c r="BO29" i="1"/>
  <c r="BN29" i="1"/>
  <c r="BR30" i="1" s="1"/>
  <c r="BP30" i="1" s="1"/>
  <c r="BE29" i="1"/>
  <c r="BC29" i="1"/>
  <c r="BB29" i="1"/>
  <c r="BQ28" i="1"/>
  <c r="BO28" i="1"/>
  <c r="BN28" i="1"/>
  <c r="BE28" i="1"/>
  <c r="BC28" i="1"/>
  <c r="BB28" i="1"/>
  <c r="BQ27" i="1"/>
  <c r="BO27" i="1"/>
  <c r="BN27" i="1"/>
  <c r="BE27" i="1"/>
  <c r="BC27" i="1"/>
  <c r="BB27" i="1"/>
  <c r="BQ26" i="1"/>
  <c r="BO26" i="1"/>
  <c r="BN26" i="1"/>
  <c r="BE26" i="1"/>
  <c r="BC26" i="1"/>
  <c r="BB26" i="1"/>
  <c r="BQ25" i="1"/>
  <c r="BO25" i="1"/>
  <c r="BN25" i="1"/>
  <c r="BR26" i="1" s="1"/>
  <c r="BT26" i="1" s="1"/>
  <c r="BE25" i="1"/>
  <c r="BC25" i="1"/>
  <c r="BB25" i="1"/>
  <c r="BQ24" i="1"/>
  <c r="BO24" i="1"/>
  <c r="BN24" i="1"/>
  <c r="BR25" i="1" s="1"/>
  <c r="BT25" i="1" s="1"/>
  <c r="BE24" i="1"/>
  <c r="BC24" i="1"/>
  <c r="BB24" i="1"/>
  <c r="BQ23" i="1"/>
  <c r="BO23" i="1"/>
  <c r="BN23" i="1"/>
  <c r="BE23" i="1"/>
  <c r="BC23" i="1"/>
  <c r="BB23" i="1"/>
  <c r="BT22" i="1"/>
  <c r="BQ22" i="1"/>
  <c r="BP22" i="1"/>
  <c r="BO22" i="1"/>
  <c r="BN22" i="1"/>
  <c r="BR23" i="1" s="1"/>
  <c r="BP23" i="1" s="1"/>
  <c r="BF22" i="1"/>
  <c r="BE22" i="1"/>
  <c r="BD22" i="1"/>
  <c r="BC22" i="1"/>
  <c r="BB22" i="1"/>
  <c r="BQ21" i="1"/>
  <c r="BR22" i="1" s="1"/>
  <c r="BS22" i="1" s="1"/>
  <c r="BE21" i="1"/>
  <c r="BT20" i="1"/>
  <c r="BS20" i="1"/>
  <c r="BH20" i="1"/>
  <c r="BG20" i="1"/>
  <c r="BR24" i="1" l="1"/>
  <c r="BP24" i="1" s="1"/>
  <c r="BR73" i="1"/>
  <c r="BS73" i="1" s="1"/>
  <c r="BR80" i="1"/>
  <c r="BR87" i="1"/>
  <c r="BS87" i="1" s="1"/>
  <c r="BR122" i="1"/>
  <c r="BT122" i="1" s="1"/>
  <c r="BR85" i="1"/>
  <c r="BT85" i="1" s="1"/>
  <c r="BR99" i="1"/>
  <c r="BT99" i="1" s="1"/>
  <c r="BR113" i="1"/>
  <c r="BP113" i="1" s="1"/>
  <c r="BR114" i="1" s="1"/>
  <c r="BS114" i="1" s="1"/>
  <c r="BR120" i="1"/>
  <c r="BR89" i="1"/>
  <c r="BP89" i="1" s="1"/>
  <c r="BR103" i="1"/>
  <c r="BP103" i="1" s="1"/>
  <c r="BR102" i="1"/>
  <c r="BP102" i="1" s="1"/>
  <c r="BR128" i="1"/>
  <c r="BP128" i="1" s="1"/>
  <c r="BR92" i="1"/>
  <c r="BS92" i="1" s="1"/>
  <c r="BR81" i="1"/>
  <c r="BT81" i="1" s="1"/>
  <c r="BR90" i="1"/>
  <c r="BS90" i="1" s="1"/>
  <c r="BR127" i="1"/>
  <c r="BT127" i="1" s="1"/>
  <c r="BR141" i="1"/>
  <c r="BP141" i="1" s="1"/>
  <c r="BR72" i="1"/>
  <c r="BP72" i="1" s="1"/>
  <c r="BR139" i="1"/>
  <c r="BT139" i="1" s="1"/>
  <c r="BR38" i="1"/>
  <c r="BS38" i="1" s="1"/>
  <c r="BR70" i="1"/>
  <c r="BS70" i="1" s="1"/>
  <c r="BR144" i="1"/>
  <c r="BS144" i="1" s="1"/>
  <c r="BR121" i="1"/>
  <c r="BT121" i="1" s="1"/>
  <c r="BR36" i="1"/>
  <c r="BP36" i="1" s="1"/>
  <c r="BR37" i="1" s="1"/>
  <c r="BP37" i="1" s="1"/>
  <c r="BR68" i="1"/>
  <c r="BP68" i="1" s="1"/>
  <c r="BR135" i="1"/>
  <c r="BS135" i="1" s="1"/>
  <c r="BP73" i="1"/>
  <c r="BS113" i="1"/>
  <c r="BR59" i="1"/>
  <c r="BS59" i="1" s="1"/>
  <c r="BR75" i="1"/>
  <c r="BP75" i="1" s="1"/>
  <c r="BR96" i="1"/>
  <c r="BP96" i="1" s="1"/>
  <c r="BR148" i="1"/>
  <c r="BT148" i="1" s="1"/>
  <c r="BP26" i="1"/>
  <c r="BR146" i="1"/>
  <c r="BT146" i="1" s="1"/>
  <c r="BF45" i="1"/>
  <c r="BH45" i="1" s="1"/>
  <c r="BF34" i="1"/>
  <c r="BF142" i="1"/>
  <c r="BF53" i="1"/>
  <c r="BH53" i="1" s="1"/>
  <c r="BF55" i="1"/>
  <c r="BH55" i="1" s="1"/>
  <c r="BS99" i="1"/>
  <c r="BS80" i="1"/>
  <c r="BT80" i="1"/>
  <c r="BP80" i="1"/>
  <c r="BR32" i="1"/>
  <c r="BP32" i="1" s="1"/>
  <c r="BR33" i="1" s="1"/>
  <c r="BP33" i="1" s="1"/>
  <c r="BR34" i="1" s="1"/>
  <c r="BR77" i="1"/>
  <c r="BP77" i="1" s="1"/>
  <c r="BR143" i="1"/>
  <c r="BT143" i="1" s="1"/>
  <c r="BR165" i="1"/>
  <c r="BT165" i="1" s="1"/>
  <c r="BR29" i="1"/>
  <c r="BS29" i="1" s="1"/>
  <c r="BR106" i="1"/>
  <c r="BT106" i="1" s="1"/>
  <c r="BR82" i="1"/>
  <c r="BT82" i="1" s="1"/>
  <c r="BR57" i="1"/>
  <c r="BT57" i="1" s="1"/>
  <c r="BR78" i="1"/>
  <c r="BS85" i="1"/>
  <c r="BR64" i="1"/>
  <c r="BS64" i="1" s="1"/>
  <c r="BR142" i="1"/>
  <c r="BS142" i="1" s="1"/>
  <c r="BT30" i="1"/>
  <c r="BR42" i="1"/>
  <c r="BT42" i="1" s="1"/>
  <c r="BR40" i="1"/>
  <c r="BP40" i="1" s="1"/>
  <c r="BR71" i="1"/>
  <c r="BP97" i="1"/>
  <c r="BR132" i="1"/>
  <c r="BT132" i="1" s="1"/>
  <c r="BR134" i="1"/>
  <c r="BT134" i="1" s="1"/>
  <c r="BR31" i="1"/>
  <c r="BP31" i="1" s="1"/>
  <c r="BS23" i="1"/>
  <c r="BR43" i="1"/>
  <c r="BT43" i="1" s="1"/>
  <c r="BR94" i="1"/>
  <c r="BS94" i="1" s="1"/>
  <c r="BR100" i="1"/>
  <c r="BP100" i="1" s="1"/>
  <c r="BR126" i="1"/>
  <c r="BP126" i="1" s="1"/>
  <c r="BS97" i="1"/>
  <c r="BU97" i="1" s="1"/>
  <c r="BP127" i="1"/>
  <c r="BR137" i="1"/>
  <c r="BS137" i="1" s="1"/>
  <c r="BF49" i="1"/>
  <c r="BD49" i="1" s="1"/>
  <c r="BF85" i="1"/>
  <c r="BH85" i="1" s="1"/>
  <c r="BF138" i="1"/>
  <c r="BD138" i="1" s="1"/>
  <c r="BF139" i="1" s="1"/>
  <c r="BG139" i="1" s="1"/>
  <c r="BF121" i="1"/>
  <c r="BH121" i="1" s="1"/>
  <c r="BF24" i="1"/>
  <c r="BD24" i="1" s="1"/>
  <c r="BF25" i="1" s="1"/>
  <c r="BD25" i="1" s="1"/>
  <c r="BF37" i="1"/>
  <c r="BH37" i="1" s="1"/>
  <c r="BF48" i="1"/>
  <c r="BD48" i="1" s="1"/>
  <c r="BF59" i="1"/>
  <c r="BH59" i="1" s="1"/>
  <c r="BF118" i="1"/>
  <c r="BD118" i="1" s="1"/>
  <c r="BF166" i="1"/>
  <c r="BH166" i="1" s="1"/>
  <c r="BF95" i="1"/>
  <c r="BH95" i="1" s="1"/>
  <c r="BF56" i="1"/>
  <c r="BH56" i="1" s="1"/>
  <c r="BF86" i="1"/>
  <c r="BD86" i="1" s="1"/>
  <c r="BF161" i="1"/>
  <c r="BG161" i="1" s="1"/>
  <c r="BF60" i="1"/>
  <c r="BH60" i="1" s="1"/>
  <c r="BF46" i="1"/>
  <c r="BH46" i="1" s="1"/>
  <c r="BF80" i="1"/>
  <c r="BH80" i="1" s="1"/>
  <c r="BF84" i="1"/>
  <c r="BG84" i="1" s="1"/>
  <c r="BF107" i="1"/>
  <c r="BG107" i="1" s="1"/>
  <c r="BF31" i="1"/>
  <c r="BG31" i="1" s="1"/>
  <c r="BF35" i="1"/>
  <c r="BH35" i="1" s="1"/>
  <c r="BF119" i="1"/>
  <c r="BH119" i="1" s="1"/>
  <c r="BF136" i="1"/>
  <c r="BD136" i="1" s="1"/>
  <c r="BF158" i="1"/>
  <c r="BH158" i="1" s="1"/>
  <c r="BF29" i="1"/>
  <c r="BG29" i="1" s="1"/>
  <c r="BF76" i="1"/>
  <c r="BD76" i="1" s="1"/>
  <c r="BG83" i="1"/>
  <c r="BF113" i="1"/>
  <c r="BG113" i="1" s="1"/>
  <c r="BF115" i="1"/>
  <c r="BD115" i="1" s="1"/>
  <c r="BH83" i="1"/>
  <c r="BF167" i="1"/>
  <c r="BH167" i="1" s="1"/>
  <c r="BF79" i="1"/>
  <c r="BH79" i="1" s="1"/>
  <c r="BF39" i="1"/>
  <c r="BD39" i="1" s="1"/>
  <c r="BF41" i="1"/>
  <c r="BD41" i="1" s="1"/>
  <c r="BF42" i="1" s="1"/>
  <c r="BF63" i="1"/>
  <c r="BD63" i="1" s="1"/>
  <c r="BF73" i="1"/>
  <c r="BH73" i="1" s="1"/>
  <c r="BF163" i="1"/>
  <c r="BH163" i="1" s="1"/>
  <c r="BF157" i="1"/>
  <c r="BD157" i="1" s="1"/>
  <c r="BF77" i="1"/>
  <c r="BF164" i="1"/>
  <c r="BH164" i="1" s="1"/>
  <c r="BF32" i="1"/>
  <c r="BG32" i="1" s="1"/>
  <c r="BF66" i="1"/>
  <c r="BD66" i="1" s="1"/>
  <c r="BF137" i="1"/>
  <c r="BH137" i="1" s="1"/>
  <c r="BF87" i="1"/>
  <c r="BG87" i="1" s="1"/>
  <c r="BF116" i="1"/>
  <c r="BH116" i="1" s="1"/>
  <c r="BF156" i="1"/>
  <c r="BG156" i="1" s="1"/>
  <c r="BF26" i="1"/>
  <c r="BD26" i="1" s="1"/>
  <c r="BF27" i="1" s="1"/>
  <c r="BD27" i="1" s="1"/>
  <c r="BF28" i="1" s="1"/>
  <c r="BF30" i="1"/>
  <c r="BG30" i="1" s="1"/>
  <c r="BF58" i="1"/>
  <c r="BF62" i="1"/>
  <c r="BH62" i="1" s="1"/>
  <c r="BF110" i="1"/>
  <c r="BF114" i="1"/>
  <c r="BH114" i="1" s="1"/>
  <c r="BF67" i="1"/>
  <c r="BH67" i="1" s="1"/>
  <c r="BF109" i="1"/>
  <c r="BD109" i="1" s="1"/>
  <c r="BF61" i="1"/>
  <c r="BG61" i="1" s="1"/>
  <c r="BF117" i="1"/>
  <c r="BH117" i="1" s="1"/>
  <c r="BF51" i="1"/>
  <c r="BH51" i="1" s="1"/>
  <c r="BF152" i="1"/>
  <c r="BD152" i="1" s="1"/>
  <c r="BF154" i="1"/>
  <c r="BH154" i="1" s="1"/>
  <c r="BF122" i="1"/>
  <c r="BH122" i="1" s="1"/>
  <c r="BF126" i="1"/>
  <c r="BD126" i="1" s="1"/>
  <c r="BF54" i="1"/>
  <c r="BG54" i="1" s="1"/>
  <c r="BF112" i="1"/>
  <c r="BD112" i="1" s="1"/>
  <c r="BF89" i="1"/>
  <c r="BF111" i="1"/>
  <c r="BH111" i="1" s="1"/>
  <c r="BF125" i="1"/>
  <c r="BG125" i="1" s="1"/>
  <c r="BF47" i="1"/>
  <c r="BH47" i="1" s="1"/>
  <c r="BF104" i="1"/>
  <c r="BG104" i="1" s="1"/>
  <c r="BF33" i="1"/>
  <c r="BD33" i="1" s="1"/>
  <c r="BF81" i="1"/>
  <c r="BH81" i="1" s="1"/>
  <c r="BF108" i="1"/>
  <c r="BH108" i="1" s="1"/>
  <c r="BF23" i="1"/>
  <c r="BH23" i="1" s="1"/>
  <c r="BF40" i="1"/>
  <c r="BD40" i="1" s="1"/>
  <c r="BF65" i="1"/>
  <c r="BF147" i="1"/>
  <c r="BG147" i="1" s="1"/>
  <c r="BF151" i="1"/>
  <c r="BH151" i="1" s="1"/>
  <c r="BF153" i="1"/>
  <c r="BG153" i="1" s="1"/>
  <c r="BF159" i="1"/>
  <c r="BD159" i="1" s="1"/>
  <c r="BD34" i="1"/>
  <c r="BG34" i="1"/>
  <c r="BH34" i="1"/>
  <c r="BT129" i="1"/>
  <c r="BS129" i="1"/>
  <c r="BP129" i="1"/>
  <c r="BP138" i="1"/>
  <c r="BS138" i="1"/>
  <c r="BT138" i="1"/>
  <c r="BD45" i="1"/>
  <c r="BT93" i="1"/>
  <c r="BP93" i="1"/>
  <c r="BS93" i="1"/>
  <c r="BU93" i="1" s="1"/>
  <c r="BR123" i="1"/>
  <c r="BS30" i="1"/>
  <c r="BR88" i="1"/>
  <c r="BR115" i="1"/>
  <c r="BS120" i="1"/>
  <c r="BP120" i="1"/>
  <c r="BT120" i="1"/>
  <c r="BP145" i="1"/>
  <c r="BT145" i="1"/>
  <c r="BG160" i="1"/>
  <c r="BD160" i="1"/>
  <c r="BH160" i="1"/>
  <c r="BR109" i="1"/>
  <c r="BT141" i="1"/>
  <c r="BH124" i="1"/>
  <c r="BS139" i="1"/>
  <c r="BP139" i="1"/>
  <c r="BT73" i="1"/>
  <c r="BG49" i="1"/>
  <c r="BS112" i="1"/>
  <c r="BP112" i="1"/>
  <c r="BH138" i="1"/>
  <c r="BS25" i="1"/>
  <c r="BU25" i="1" s="1"/>
  <c r="BP25" i="1"/>
  <c r="BS26" i="1"/>
  <c r="BU26" i="1" s="1"/>
  <c r="BF38" i="1"/>
  <c r="BH84" i="1"/>
  <c r="BI84" i="1" s="1"/>
  <c r="BT104" i="1"/>
  <c r="BS104" i="1"/>
  <c r="BP104" i="1"/>
  <c r="BR44" i="1"/>
  <c r="BR101" i="1"/>
  <c r="BS24" i="1"/>
  <c r="BD53" i="1"/>
  <c r="BG53" i="1"/>
  <c r="BG22" i="1"/>
  <c r="BI22" i="1" s="1"/>
  <c r="BH22" i="1"/>
  <c r="BG45" i="1"/>
  <c r="BI45" i="1" s="1"/>
  <c r="BG85" i="1"/>
  <c r="BP122" i="1"/>
  <c r="BS122" i="1"/>
  <c r="BU122" i="1" s="1"/>
  <c r="BH49" i="1"/>
  <c r="BT87" i="1"/>
  <c r="BU87" i="1" s="1"/>
  <c r="BP87" i="1"/>
  <c r="BG124" i="1"/>
  <c r="BT23" i="1"/>
  <c r="BT24" i="1"/>
  <c r="BT76" i="1"/>
  <c r="BS76" i="1"/>
  <c r="BP76" i="1"/>
  <c r="BP90" i="1"/>
  <c r="BD96" i="1"/>
  <c r="BF97" i="1" s="1"/>
  <c r="BH96" i="1"/>
  <c r="BG96" i="1"/>
  <c r="BS39" i="1"/>
  <c r="BP39" i="1"/>
  <c r="BT39" i="1"/>
  <c r="BR69" i="1"/>
  <c r="BT107" i="1"/>
  <c r="BP107" i="1"/>
  <c r="BR108" i="1" s="1"/>
  <c r="BS107" i="1"/>
  <c r="BT112" i="1"/>
  <c r="BU22" i="1"/>
  <c r="BH142" i="1"/>
  <c r="BG142" i="1"/>
  <c r="BI142" i="1" s="1"/>
  <c r="BD142" i="1"/>
  <c r="BF143" i="1" s="1"/>
  <c r="BD143" i="1" s="1"/>
  <c r="BF144" i="1" s="1"/>
  <c r="BH150" i="1"/>
  <c r="BG150" i="1"/>
  <c r="BD150" i="1"/>
  <c r="BR28" i="1"/>
  <c r="BS75" i="1"/>
  <c r="BT103" i="1"/>
  <c r="BR140" i="1"/>
  <c r="BS145" i="1"/>
  <c r="BR60" i="1"/>
  <c r="BF52" i="1"/>
  <c r="BF133" i="1"/>
  <c r="BR74" i="1"/>
  <c r="BR84" i="1"/>
  <c r="BR111" i="1"/>
  <c r="BF36" i="1"/>
  <c r="BR98" i="1"/>
  <c r="BT113" i="1"/>
  <c r="BP131" i="1"/>
  <c r="BS131" i="1"/>
  <c r="BU131" i="1" s="1"/>
  <c r="BF155" i="1"/>
  <c r="BR130" i="1"/>
  <c r="BF165" i="1"/>
  <c r="BF64" i="1"/>
  <c r="BR149" i="1"/>
  <c r="BF50" i="1"/>
  <c r="BF127" i="1"/>
  <c r="BR27" i="1"/>
  <c r="BR41" i="1"/>
  <c r="BR55" i="1"/>
  <c r="BF120" i="1"/>
  <c r="BF134" i="1"/>
  <c r="BF148" i="1"/>
  <c r="BF162" i="1"/>
  <c r="BR91" i="1"/>
  <c r="BR105" i="1"/>
  <c r="BR133" i="1"/>
  <c r="BU139" i="1" l="1"/>
  <c r="BU85" i="1"/>
  <c r="BT68" i="1"/>
  <c r="BS89" i="1"/>
  <c r="BT102" i="1"/>
  <c r="BP99" i="1"/>
  <c r="BP85" i="1"/>
  <c r="BR86" i="1" s="1"/>
  <c r="BT86" i="1" s="1"/>
  <c r="BS68" i="1"/>
  <c r="BU68" i="1" s="1"/>
  <c r="BS102" i="1"/>
  <c r="BT36" i="1"/>
  <c r="BS121" i="1"/>
  <c r="BU121" i="1" s="1"/>
  <c r="BP121" i="1"/>
  <c r="BS108" i="1"/>
  <c r="BU108" i="1" s="1"/>
  <c r="BP108" i="1"/>
  <c r="BT108" i="1"/>
  <c r="BP42" i="1"/>
  <c r="BP135" i="1"/>
  <c r="BR136" i="1" s="1"/>
  <c r="BT128" i="1"/>
  <c r="BT100" i="1"/>
  <c r="BT89" i="1"/>
  <c r="BP70" i="1"/>
  <c r="BP38" i="1"/>
  <c r="BP81" i="1"/>
  <c r="BT92" i="1"/>
  <c r="BS81" i="1"/>
  <c r="BU81" i="1" s="1"/>
  <c r="BU113" i="1"/>
  <c r="BP92" i="1"/>
  <c r="BS128" i="1"/>
  <c r="BT37" i="1"/>
  <c r="BS100" i="1"/>
  <c r="BS103" i="1"/>
  <c r="BU73" i="1"/>
  <c r="BP144" i="1"/>
  <c r="BT135" i="1"/>
  <c r="BU135" i="1" s="1"/>
  <c r="BP82" i="1"/>
  <c r="BR83" i="1" s="1"/>
  <c r="BT83" i="1" s="1"/>
  <c r="BT144" i="1"/>
  <c r="BU144" i="1" s="1"/>
  <c r="BS82" i="1"/>
  <c r="BP165" i="1"/>
  <c r="BR166" i="1" s="1"/>
  <c r="BS37" i="1"/>
  <c r="BU37" i="1" s="1"/>
  <c r="BS141" i="1"/>
  <c r="BU141" i="1" s="1"/>
  <c r="BS106" i="1"/>
  <c r="BU106" i="1" s="1"/>
  <c r="BP137" i="1"/>
  <c r="BT137" i="1"/>
  <c r="BT72" i="1"/>
  <c r="BS42" i="1"/>
  <c r="BU42" i="1" s="1"/>
  <c r="BS165" i="1"/>
  <c r="BU165" i="1" s="1"/>
  <c r="BT96" i="1"/>
  <c r="BU96" i="1" s="1"/>
  <c r="BS96" i="1"/>
  <c r="BP29" i="1"/>
  <c r="BS36" i="1"/>
  <c r="BT75" i="1"/>
  <c r="BS148" i="1"/>
  <c r="BU148" i="1" s="1"/>
  <c r="BU107" i="1"/>
  <c r="BT90" i="1"/>
  <c r="BU90" i="1" s="1"/>
  <c r="BP146" i="1"/>
  <c r="BR147" i="1" s="1"/>
  <c r="BS147" i="1" s="1"/>
  <c r="BS146" i="1"/>
  <c r="BU146" i="1" s="1"/>
  <c r="BT114" i="1"/>
  <c r="BU114" i="1" s="1"/>
  <c r="BT126" i="1"/>
  <c r="BT33" i="1"/>
  <c r="BS126" i="1"/>
  <c r="BT70" i="1"/>
  <c r="BU70" i="1" s="1"/>
  <c r="BS127" i="1"/>
  <c r="BU127" i="1" s="1"/>
  <c r="BS33" i="1"/>
  <c r="BU33" i="1" s="1"/>
  <c r="BS72" i="1"/>
  <c r="BU72" i="1" s="1"/>
  <c r="BT38" i="1"/>
  <c r="BU38" i="1" s="1"/>
  <c r="BS132" i="1"/>
  <c r="BU132" i="1" s="1"/>
  <c r="BS86" i="1"/>
  <c r="BU86" i="1" s="1"/>
  <c r="BS32" i="1"/>
  <c r="BU32" i="1" s="1"/>
  <c r="BT59" i="1"/>
  <c r="BU59" i="1" s="1"/>
  <c r="BU23" i="1"/>
  <c r="BT32" i="1"/>
  <c r="BS77" i="1"/>
  <c r="BU99" i="1"/>
  <c r="BT77" i="1"/>
  <c r="BP114" i="1"/>
  <c r="BP143" i="1"/>
  <c r="BU89" i="1"/>
  <c r="BP142" i="1"/>
  <c r="BS143" i="1"/>
  <c r="BU143" i="1" s="1"/>
  <c r="BT142" i="1"/>
  <c r="BU142" i="1" s="1"/>
  <c r="BX142" i="1" s="1"/>
  <c r="BS43" i="1"/>
  <c r="BU43" i="1" s="1"/>
  <c r="BP43" i="1"/>
  <c r="BT94" i="1"/>
  <c r="BU94" i="1" s="1"/>
  <c r="BT29" i="1"/>
  <c r="BU29" i="1" s="1"/>
  <c r="BP94" i="1"/>
  <c r="BR95" i="1" s="1"/>
  <c r="BP59" i="1"/>
  <c r="BP148" i="1"/>
  <c r="BU30" i="1"/>
  <c r="BP132" i="1"/>
  <c r="BD85" i="1"/>
  <c r="BH29" i="1"/>
  <c r="BH104" i="1"/>
  <c r="BG56" i="1"/>
  <c r="BD59" i="1"/>
  <c r="BH48" i="1"/>
  <c r="BG48" i="1"/>
  <c r="BH153" i="1"/>
  <c r="BD29" i="1"/>
  <c r="BD153" i="1"/>
  <c r="BG97" i="1"/>
  <c r="BI97" i="1" s="1"/>
  <c r="BX97" i="1" s="1"/>
  <c r="BD97" i="1"/>
  <c r="BF98" i="1" s="1"/>
  <c r="BD98" i="1" s="1"/>
  <c r="BF99" i="1" s="1"/>
  <c r="BD99" i="1" s="1"/>
  <c r="BF100" i="1" s="1"/>
  <c r="BH97" i="1"/>
  <c r="BH42" i="1"/>
  <c r="BG42" i="1"/>
  <c r="BD42" i="1"/>
  <c r="BF43" i="1" s="1"/>
  <c r="BD43" i="1" s="1"/>
  <c r="BF44" i="1" s="1"/>
  <c r="BG144" i="1"/>
  <c r="BD144" i="1"/>
  <c r="BF145" i="1" s="1"/>
  <c r="BG145" i="1" s="1"/>
  <c r="BH144" i="1"/>
  <c r="BG86" i="1"/>
  <c r="BG121" i="1"/>
  <c r="BI121" i="1" s="1"/>
  <c r="BD55" i="1"/>
  <c r="BG63" i="1"/>
  <c r="BI63" i="1" s="1"/>
  <c r="BD111" i="1"/>
  <c r="BG115" i="1"/>
  <c r="BI115" i="1" s="1"/>
  <c r="BH115" i="1"/>
  <c r="BG55" i="1"/>
  <c r="BI55" i="1" s="1"/>
  <c r="BG138" i="1"/>
  <c r="BI138" i="1" s="1"/>
  <c r="BH86" i="1"/>
  <c r="BH113" i="1"/>
  <c r="BI113" i="1" s="1"/>
  <c r="BH63" i="1"/>
  <c r="BG59" i="1"/>
  <c r="BI59" i="1" s="1"/>
  <c r="BD104" i="1"/>
  <c r="BF105" i="1" s="1"/>
  <c r="BD105" i="1" s="1"/>
  <c r="BF106" i="1" s="1"/>
  <c r="BD106" i="1" s="1"/>
  <c r="BT78" i="1"/>
  <c r="BP78" i="1"/>
  <c r="BR79" i="1" s="1"/>
  <c r="BP79" i="1" s="1"/>
  <c r="BU39" i="1"/>
  <c r="BT71" i="1"/>
  <c r="BS71" i="1"/>
  <c r="BP71" i="1"/>
  <c r="BP134" i="1"/>
  <c r="BS134" i="1"/>
  <c r="BU134" i="1" s="1"/>
  <c r="BS40" i="1"/>
  <c r="BU92" i="1"/>
  <c r="BU137" i="1"/>
  <c r="BS78" i="1"/>
  <c r="BU120" i="1"/>
  <c r="BU80" i="1"/>
  <c r="BU145" i="1"/>
  <c r="BT40" i="1"/>
  <c r="BU24" i="1"/>
  <c r="BS57" i="1"/>
  <c r="BU57" i="1" s="1"/>
  <c r="BU103" i="1"/>
  <c r="BP57" i="1"/>
  <c r="BR58" i="1" s="1"/>
  <c r="BT64" i="1"/>
  <c r="BU64" i="1" s="1"/>
  <c r="BP64" i="1"/>
  <c r="BR65" i="1" s="1"/>
  <c r="BP65" i="1" s="1"/>
  <c r="BR66" i="1" s="1"/>
  <c r="BP106" i="1"/>
  <c r="BU75" i="1"/>
  <c r="BU129" i="1"/>
  <c r="BT31" i="1"/>
  <c r="BS31" i="1"/>
  <c r="BU31" i="1" s="1"/>
  <c r="BD56" i="1"/>
  <c r="BF57" i="1" s="1"/>
  <c r="BH57" i="1" s="1"/>
  <c r="BD95" i="1"/>
  <c r="BI56" i="1"/>
  <c r="BG119" i="1"/>
  <c r="BI119" i="1" s="1"/>
  <c r="BG166" i="1"/>
  <c r="BD166" i="1"/>
  <c r="BD80" i="1"/>
  <c r="BH118" i="1"/>
  <c r="BG24" i="1"/>
  <c r="BG118" i="1"/>
  <c r="BI118" i="1" s="1"/>
  <c r="BG73" i="1"/>
  <c r="BI73" i="1" s="1"/>
  <c r="BX73" i="1" s="1"/>
  <c r="BD37" i="1"/>
  <c r="BG95" i="1"/>
  <c r="BI95" i="1" s="1"/>
  <c r="BD119" i="1"/>
  <c r="BG136" i="1"/>
  <c r="BD121" i="1"/>
  <c r="BG80" i="1"/>
  <c r="BI80" i="1" s="1"/>
  <c r="BH24" i="1"/>
  <c r="BD73" i="1"/>
  <c r="BF74" i="1" s="1"/>
  <c r="BG74" i="1" s="1"/>
  <c r="BG37" i="1"/>
  <c r="BI37" i="1" s="1"/>
  <c r="BH136" i="1"/>
  <c r="BD113" i="1"/>
  <c r="BG111" i="1"/>
  <c r="BI111" i="1" s="1"/>
  <c r="BH30" i="1"/>
  <c r="BI30" i="1" s="1"/>
  <c r="BD84" i="1"/>
  <c r="BG27" i="1"/>
  <c r="BH161" i="1"/>
  <c r="BI161" i="1" s="1"/>
  <c r="BD79" i="1"/>
  <c r="BD60" i="1"/>
  <c r="BH41" i="1"/>
  <c r="BG41" i="1"/>
  <c r="BD30" i="1"/>
  <c r="BD31" i="1"/>
  <c r="BH31" i="1"/>
  <c r="BI31" i="1" s="1"/>
  <c r="BD107" i="1"/>
  <c r="BD35" i="1"/>
  <c r="BH107" i="1"/>
  <c r="BI107" i="1" s="1"/>
  <c r="BX107" i="1" s="1"/>
  <c r="BG143" i="1"/>
  <c r="BG35" i="1"/>
  <c r="BI35" i="1" s="1"/>
  <c r="BD46" i="1"/>
  <c r="BD161" i="1"/>
  <c r="BH27" i="1"/>
  <c r="BI27" i="1" s="1"/>
  <c r="BG79" i="1"/>
  <c r="BI79" i="1" s="1"/>
  <c r="BG39" i="1"/>
  <c r="BG60" i="1"/>
  <c r="BI60" i="1" s="1"/>
  <c r="BH39" i="1"/>
  <c r="BG46" i="1"/>
  <c r="BI46" i="1" s="1"/>
  <c r="BI150" i="1"/>
  <c r="BH143" i="1"/>
  <c r="BD137" i="1"/>
  <c r="BI83" i="1"/>
  <c r="BD167" i="1"/>
  <c r="BH76" i="1"/>
  <c r="BG109" i="1"/>
  <c r="BG157" i="1"/>
  <c r="BG167" i="1"/>
  <c r="BI167" i="1" s="1"/>
  <c r="BG76" i="1"/>
  <c r="BG158" i="1"/>
  <c r="BI158" i="1" s="1"/>
  <c r="BD158" i="1"/>
  <c r="BG137" i="1"/>
  <c r="BI137" i="1" s="1"/>
  <c r="BH157" i="1"/>
  <c r="BH87" i="1"/>
  <c r="BI87" i="1" s="1"/>
  <c r="BX87" i="1" s="1"/>
  <c r="BD23" i="1"/>
  <c r="BD32" i="1"/>
  <c r="BG40" i="1"/>
  <c r="BI96" i="1"/>
  <c r="BH156" i="1"/>
  <c r="BI156" i="1" s="1"/>
  <c r="BD164" i="1"/>
  <c r="BI124" i="1"/>
  <c r="BD114" i="1"/>
  <c r="BG122" i="1"/>
  <c r="BI122" i="1" s="1"/>
  <c r="BX122" i="1" s="1"/>
  <c r="BD163" i="1"/>
  <c r="BG81" i="1"/>
  <c r="BI81" i="1" s="1"/>
  <c r="BD87" i="1"/>
  <c r="BF88" i="1" s="1"/>
  <c r="BD88" i="1" s="1"/>
  <c r="BH26" i="1"/>
  <c r="BG163" i="1"/>
  <c r="BI163" i="1" s="1"/>
  <c r="BD122" i="1"/>
  <c r="BF123" i="1" s="1"/>
  <c r="BH40" i="1"/>
  <c r="BG26" i="1"/>
  <c r="BG67" i="1"/>
  <c r="BI67" i="1" s="1"/>
  <c r="BD156" i="1"/>
  <c r="BH54" i="1"/>
  <c r="BI54" i="1" s="1"/>
  <c r="BG116" i="1"/>
  <c r="BI116" i="1" s="1"/>
  <c r="BD116" i="1"/>
  <c r="BH139" i="1"/>
  <c r="BI139" i="1" s="1"/>
  <c r="BX139" i="1" s="1"/>
  <c r="BD139" i="1"/>
  <c r="BF140" i="1" s="1"/>
  <c r="BG140" i="1" s="1"/>
  <c r="BH32" i="1"/>
  <c r="BI32" i="1" s="1"/>
  <c r="BG114" i="1"/>
  <c r="BI114" i="1" s="1"/>
  <c r="BG164" i="1"/>
  <c r="BI164" i="1" s="1"/>
  <c r="BH77" i="1"/>
  <c r="BG77" i="1"/>
  <c r="BD77" i="1"/>
  <c r="BF78" i="1" s="1"/>
  <c r="BH78" i="1" s="1"/>
  <c r="BH33" i="1"/>
  <c r="BI49" i="1"/>
  <c r="BG112" i="1"/>
  <c r="BD54" i="1"/>
  <c r="BG33" i="1"/>
  <c r="BI33" i="1" s="1"/>
  <c r="BG159" i="1"/>
  <c r="BD74" i="1"/>
  <c r="BF75" i="1" s="1"/>
  <c r="BH75" i="1" s="1"/>
  <c r="BD147" i="1"/>
  <c r="BH159" i="1"/>
  <c r="BD154" i="1"/>
  <c r="BG126" i="1"/>
  <c r="BG154" i="1"/>
  <c r="BI154" i="1" s="1"/>
  <c r="BG66" i="1"/>
  <c r="BD67" i="1"/>
  <c r="BF68" i="1" s="1"/>
  <c r="BG68" i="1" s="1"/>
  <c r="BH66" i="1"/>
  <c r="BD81" i="1"/>
  <c r="BF82" i="1" s="1"/>
  <c r="BH82" i="1" s="1"/>
  <c r="BH43" i="1"/>
  <c r="BH147" i="1"/>
  <c r="BI147" i="1" s="1"/>
  <c r="BD47" i="1"/>
  <c r="BG51" i="1"/>
  <c r="BI51" i="1" s="1"/>
  <c r="BH58" i="1"/>
  <c r="BD58" i="1"/>
  <c r="BG47" i="1"/>
  <c r="BI47" i="1" s="1"/>
  <c r="BD51" i="1"/>
  <c r="BH65" i="1"/>
  <c r="BD65" i="1"/>
  <c r="BG65" i="1"/>
  <c r="BG89" i="1"/>
  <c r="BH89" i="1"/>
  <c r="BD89" i="1"/>
  <c r="BF90" i="1" s="1"/>
  <c r="BG90" i="1" s="1"/>
  <c r="BH109" i="1"/>
  <c r="BD61" i="1"/>
  <c r="BH145" i="1"/>
  <c r="BI145" i="1" s="1"/>
  <c r="BX145" i="1" s="1"/>
  <c r="BG117" i="1"/>
  <c r="BI117" i="1" s="1"/>
  <c r="BH61" i="1"/>
  <c r="BI61" i="1" s="1"/>
  <c r="BH25" i="1"/>
  <c r="BG25" i="1"/>
  <c r="BI166" i="1"/>
  <c r="BH126" i="1"/>
  <c r="BG62" i="1"/>
  <c r="BI62" i="1" s="1"/>
  <c r="BH152" i="1"/>
  <c r="BD125" i="1"/>
  <c r="BH88" i="1"/>
  <c r="BH112" i="1"/>
  <c r="BG23" i="1"/>
  <c r="BI23" i="1" s="1"/>
  <c r="BI34" i="1"/>
  <c r="BG58" i="1"/>
  <c r="BH125" i="1"/>
  <c r="BI125" i="1" s="1"/>
  <c r="BD140" i="1"/>
  <c r="BF141" i="1" s="1"/>
  <c r="BH141" i="1" s="1"/>
  <c r="BD108" i="1"/>
  <c r="BD62" i="1"/>
  <c r="BD117" i="1"/>
  <c r="BG108" i="1"/>
  <c r="BI108" i="1" s="1"/>
  <c r="BG151" i="1"/>
  <c r="BI151" i="1" s="1"/>
  <c r="BD110" i="1"/>
  <c r="BH110" i="1"/>
  <c r="BG110" i="1"/>
  <c r="BG152" i="1"/>
  <c r="BD151" i="1"/>
  <c r="BI85" i="1"/>
  <c r="BX85" i="1" s="1"/>
  <c r="BH155" i="1"/>
  <c r="BD155" i="1"/>
  <c r="BG155" i="1"/>
  <c r="BH64" i="1"/>
  <c r="BG64" i="1"/>
  <c r="BD64" i="1"/>
  <c r="BT69" i="1"/>
  <c r="BP69" i="1"/>
  <c r="BS69" i="1"/>
  <c r="BU69" i="1" s="1"/>
  <c r="BT115" i="1"/>
  <c r="BP115" i="1"/>
  <c r="BR116" i="1" s="1"/>
  <c r="BS115" i="1"/>
  <c r="BT133" i="1"/>
  <c r="BS133" i="1"/>
  <c r="BP133" i="1"/>
  <c r="BH165" i="1"/>
  <c r="BG165" i="1"/>
  <c r="BD165" i="1"/>
  <c r="BT34" i="1"/>
  <c r="BS34" i="1"/>
  <c r="BP34" i="1"/>
  <c r="BR35" i="1" s="1"/>
  <c r="BS60" i="1"/>
  <c r="BP60" i="1"/>
  <c r="BR61" i="1" s="1"/>
  <c r="BT60" i="1"/>
  <c r="BH28" i="1"/>
  <c r="BG28" i="1"/>
  <c r="BD28" i="1"/>
  <c r="BI104" i="1"/>
  <c r="BS88" i="1"/>
  <c r="BT88" i="1"/>
  <c r="BP88" i="1"/>
  <c r="BT105" i="1"/>
  <c r="BS105" i="1"/>
  <c r="BP105" i="1"/>
  <c r="BS27" i="1"/>
  <c r="BT27" i="1"/>
  <c r="BP27" i="1"/>
  <c r="BU76" i="1"/>
  <c r="BU112" i="1"/>
  <c r="BS55" i="1"/>
  <c r="BT55" i="1"/>
  <c r="BP55" i="1"/>
  <c r="BR56" i="1" s="1"/>
  <c r="BI53" i="1"/>
  <c r="BX22" i="1"/>
  <c r="BJ22" i="1"/>
  <c r="BI153" i="1"/>
  <c r="BD78" i="1"/>
  <c r="BG78" i="1"/>
  <c r="BG36" i="1"/>
  <c r="BH36" i="1"/>
  <c r="BD36" i="1"/>
  <c r="BS44" i="1"/>
  <c r="BT44" i="1"/>
  <c r="BP44" i="1"/>
  <c r="BR45" i="1" s="1"/>
  <c r="BV22" i="1"/>
  <c r="BV23" i="1" s="1"/>
  <c r="BS109" i="1"/>
  <c r="BT109" i="1"/>
  <c r="BP109" i="1"/>
  <c r="BR110" i="1" s="1"/>
  <c r="BS41" i="1"/>
  <c r="BT41" i="1"/>
  <c r="BP41" i="1"/>
  <c r="BT101" i="1"/>
  <c r="BS101" i="1"/>
  <c r="BP101" i="1"/>
  <c r="BT91" i="1"/>
  <c r="BS91" i="1"/>
  <c r="BP91" i="1"/>
  <c r="BT111" i="1"/>
  <c r="BS111" i="1"/>
  <c r="BU111" i="1" s="1"/>
  <c r="BP111" i="1"/>
  <c r="BG162" i="1"/>
  <c r="BH162" i="1"/>
  <c r="BD162" i="1"/>
  <c r="BH127" i="1"/>
  <c r="BD127" i="1"/>
  <c r="BF128" i="1" s="1"/>
  <c r="BG127" i="1"/>
  <c r="BU100" i="1"/>
  <c r="BI144" i="1"/>
  <c r="BU40" i="1"/>
  <c r="BT58" i="1"/>
  <c r="BS58" i="1"/>
  <c r="BP58" i="1"/>
  <c r="BG134" i="1"/>
  <c r="BD134" i="1"/>
  <c r="BF135" i="1" s="1"/>
  <c r="BH134" i="1"/>
  <c r="BS74" i="1"/>
  <c r="BP74" i="1"/>
  <c r="BT74" i="1"/>
  <c r="BH52" i="1"/>
  <c r="BG52" i="1"/>
  <c r="BD52" i="1"/>
  <c r="BI29" i="1"/>
  <c r="BS98" i="1"/>
  <c r="BP98" i="1"/>
  <c r="BT98" i="1"/>
  <c r="BS84" i="1"/>
  <c r="BP84" i="1"/>
  <c r="BT84" i="1"/>
  <c r="BH38" i="1"/>
  <c r="BD38" i="1"/>
  <c r="BG38" i="1"/>
  <c r="BD120" i="1"/>
  <c r="BH120" i="1"/>
  <c r="BG120" i="1"/>
  <c r="BS130" i="1"/>
  <c r="BT130" i="1"/>
  <c r="BP130" i="1"/>
  <c r="BI160" i="1"/>
  <c r="BU102" i="1"/>
  <c r="BP124" i="1"/>
  <c r="BR125" i="1" s="1"/>
  <c r="BS124" i="1"/>
  <c r="BT124" i="1"/>
  <c r="BH133" i="1"/>
  <c r="BG133" i="1"/>
  <c r="BD133" i="1"/>
  <c r="BI48" i="1"/>
  <c r="BS123" i="1"/>
  <c r="BT123" i="1"/>
  <c r="BP123" i="1"/>
  <c r="BR124" i="1" s="1"/>
  <c r="BD148" i="1"/>
  <c r="BF149" i="1" s="1"/>
  <c r="BH148" i="1"/>
  <c r="BG148" i="1"/>
  <c r="BP28" i="1"/>
  <c r="BT28" i="1"/>
  <c r="BS28" i="1"/>
  <c r="BH106" i="1"/>
  <c r="BG106" i="1"/>
  <c r="BS140" i="1"/>
  <c r="BT140" i="1"/>
  <c r="BP140" i="1"/>
  <c r="BD50" i="1"/>
  <c r="BH50" i="1"/>
  <c r="BG50" i="1"/>
  <c r="BT149" i="1"/>
  <c r="BP149" i="1"/>
  <c r="BR150" i="1" s="1"/>
  <c r="BS149" i="1"/>
  <c r="BU104" i="1"/>
  <c r="BU138" i="1"/>
  <c r="BU82" i="1"/>
  <c r="BT65" i="1" l="1"/>
  <c r="BU36" i="1"/>
  <c r="BP86" i="1"/>
  <c r="BU105" i="1"/>
  <c r="BX81" i="1"/>
  <c r="BU126" i="1"/>
  <c r="BT147" i="1"/>
  <c r="BU147" i="1" s="1"/>
  <c r="BX147" i="1" s="1"/>
  <c r="BS65" i="1"/>
  <c r="BU65" i="1" s="1"/>
  <c r="BP45" i="1"/>
  <c r="BR46" i="1" s="1"/>
  <c r="BT45" i="1"/>
  <c r="BS45" i="1"/>
  <c r="BU45" i="1" s="1"/>
  <c r="BX45" i="1" s="1"/>
  <c r="BU71" i="1"/>
  <c r="BT166" i="1"/>
  <c r="BP166" i="1"/>
  <c r="BR167" i="1" s="1"/>
  <c r="BS166" i="1"/>
  <c r="BP150" i="1"/>
  <c r="BR151" i="1" s="1"/>
  <c r="BT150" i="1"/>
  <c r="BS150" i="1"/>
  <c r="BU150" i="1" s="1"/>
  <c r="BX150" i="1" s="1"/>
  <c r="BX144" i="1"/>
  <c r="BP116" i="1"/>
  <c r="BR117" i="1" s="1"/>
  <c r="BS116" i="1"/>
  <c r="BT116" i="1"/>
  <c r="BT125" i="1"/>
  <c r="BS125" i="1"/>
  <c r="BP125" i="1"/>
  <c r="BP61" i="1"/>
  <c r="BR62" i="1" s="1"/>
  <c r="BS61" i="1"/>
  <c r="BT61" i="1"/>
  <c r="BP110" i="1"/>
  <c r="BT110" i="1"/>
  <c r="BS110" i="1"/>
  <c r="BP95" i="1"/>
  <c r="BT95" i="1"/>
  <c r="BS95" i="1"/>
  <c r="BU95" i="1" s="1"/>
  <c r="BP35" i="1"/>
  <c r="BS35" i="1"/>
  <c r="BT35" i="1"/>
  <c r="BT136" i="1"/>
  <c r="BS136" i="1"/>
  <c r="BP136" i="1"/>
  <c r="BX113" i="1"/>
  <c r="BP83" i="1"/>
  <c r="BT66" i="1"/>
  <c r="BS66" i="1"/>
  <c r="BU66" i="1" s="1"/>
  <c r="BP66" i="1"/>
  <c r="BR67" i="1" s="1"/>
  <c r="BT79" i="1"/>
  <c r="BS83" i="1"/>
  <c r="BU83" i="1" s="1"/>
  <c r="BX83" i="1" s="1"/>
  <c r="BP147" i="1"/>
  <c r="BU128" i="1"/>
  <c r="BS79" i="1"/>
  <c r="BU79" i="1" s="1"/>
  <c r="BU28" i="1"/>
  <c r="BX108" i="1"/>
  <c r="BU77" i="1"/>
  <c r="BX77" i="1" s="1"/>
  <c r="BX104" i="1"/>
  <c r="BU133" i="1"/>
  <c r="BX133" i="1" s="1"/>
  <c r="BX114" i="1"/>
  <c r="BU78" i="1"/>
  <c r="BU58" i="1"/>
  <c r="BU115" i="1"/>
  <c r="BX115" i="1" s="1"/>
  <c r="BX59" i="1"/>
  <c r="BX37" i="1"/>
  <c r="BX29" i="1"/>
  <c r="BX23" i="1"/>
  <c r="BU149" i="1"/>
  <c r="BX96" i="1"/>
  <c r="BX30" i="1"/>
  <c r="BU101" i="1"/>
  <c r="BH140" i="1"/>
  <c r="BI38" i="1"/>
  <c r="BX38" i="1" s="1"/>
  <c r="BI42" i="1"/>
  <c r="BX42" i="1" s="1"/>
  <c r="BI133" i="1"/>
  <c r="BI76" i="1"/>
  <c r="BG98" i="1"/>
  <c r="BI98" i="1" s="1"/>
  <c r="BI86" i="1"/>
  <c r="BX86" i="1" s="1"/>
  <c r="BD100" i="1"/>
  <c r="BF101" i="1" s="1"/>
  <c r="BH101" i="1" s="1"/>
  <c r="BH100" i="1"/>
  <c r="BG43" i="1"/>
  <c r="BI43" i="1" s="1"/>
  <c r="BX43" i="1" s="1"/>
  <c r="BD57" i="1"/>
  <c r="BD82" i="1"/>
  <c r="BG57" i="1"/>
  <c r="BI57" i="1" s="1"/>
  <c r="BX57" i="1" s="1"/>
  <c r="BG82" i="1"/>
  <c r="BI82" i="1" s="1"/>
  <c r="BX82" i="1" s="1"/>
  <c r="BI143" i="1"/>
  <c r="BX143" i="1" s="1"/>
  <c r="BH90" i="1"/>
  <c r="BI90" i="1" s="1"/>
  <c r="BX90" i="1" s="1"/>
  <c r="BI24" i="1"/>
  <c r="BX24" i="1" s="1"/>
  <c r="BH68" i="1"/>
  <c r="BI68" i="1" s="1"/>
  <c r="BX68" i="1" s="1"/>
  <c r="BD68" i="1"/>
  <c r="BF69" i="1" s="1"/>
  <c r="BD69" i="1" s="1"/>
  <c r="BF70" i="1" s="1"/>
  <c r="BG99" i="1"/>
  <c r="BH105" i="1"/>
  <c r="BI136" i="1"/>
  <c r="BH99" i="1"/>
  <c r="BH98" i="1"/>
  <c r="BI41" i="1"/>
  <c r="BG141" i="1"/>
  <c r="BI141" i="1" s="1"/>
  <c r="BX141" i="1" s="1"/>
  <c r="BD141" i="1"/>
  <c r="BD90" i="1"/>
  <c r="BF91" i="1" s="1"/>
  <c r="BG135" i="1"/>
  <c r="BH135" i="1"/>
  <c r="BI135" i="1" s="1"/>
  <c r="BX135" i="1" s="1"/>
  <c r="BD135" i="1"/>
  <c r="BD123" i="1"/>
  <c r="BH123" i="1"/>
  <c r="BG123" i="1"/>
  <c r="BI123" i="1" s="1"/>
  <c r="BI157" i="1"/>
  <c r="BG75" i="1"/>
  <c r="BI75" i="1" s="1"/>
  <c r="BX75" i="1" s="1"/>
  <c r="BG100" i="1"/>
  <c r="BI100" i="1" s="1"/>
  <c r="BX100" i="1" s="1"/>
  <c r="BD128" i="1"/>
  <c r="BF129" i="1" s="1"/>
  <c r="BH128" i="1"/>
  <c r="BG128" i="1"/>
  <c r="BH74" i="1"/>
  <c r="BI74" i="1" s="1"/>
  <c r="BG105" i="1"/>
  <c r="BI105" i="1" s="1"/>
  <c r="BX105" i="1" s="1"/>
  <c r="BD44" i="1"/>
  <c r="BG44" i="1"/>
  <c r="BH44" i="1"/>
  <c r="BD75" i="1"/>
  <c r="BG88" i="1"/>
  <c r="BI88" i="1" s="1"/>
  <c r="BG149" i="1"/>
  <c r="BH149" i="1"/>
  <c r="BI149" i="1" s="1"/>
  <c r="BD149" i="1"/>
  <c r="BD145" i="1"/>
  <c r="BF146" i="1" s="1"/>
  <c r="BU91" i="1"/>
  <c r="BX121" i="1"/>
  <c r="BX79" i="1"/>
  <c r="BU130" i="1"/>
  <c r="BX31" i="1"/>
  <c r="BX138" i="1"/>
  <c r="BX137" i="1"/>
  <c r="BV24" i="1"/>
  <c r="BV25" i="1" s="1"/>
  <c r="BV26" i="1" s="1"/>
  <c r="BX80" i="1"/>
  <c r="BU34" i="1"/>
  <c r="BX34" i="1" s="1"/>
  <c r="BI50" i="1"/>
  <c r="BI39" i="1"/>
  <c r="BX39" i="1" s="1"/>
  <c r="BI77" i="1"/>
  <c r="BI126" i="1"/>
  <c r="BX126" i="1" s="1"/>
  <c r="BI40" i="1"/>
  <c r="BX40" i="1" s="1"/>
  <c r="BI52" i="1"/>
  <c r="BI28" i="1"/>
  <c r="BI120" i="1"/>
  <c r="BX120" i="1" s="1"/>
  <c r="BI109" i="1"/>
  <c r="BI26" i="1"/>
  <c r="BX26" i="1" s="1"/>
  <c r="BI165" i="1"/>
  <c r="BX165" i="1" s="1"/>
  <c r="BI112" i="1"/>
  <c r="BX112" i="1" s="1"/>
  <c r="BI148" i="1"/>
  <c r="BX148" i="1" s="1"/>
  <c r="BI66" i="1"/>
  <c r="BI110" i="1"/>
  <c r="BI58" i="1"/>
  <c r="BI25" i="1"/>
  <c r="BX25" i="1" s="1"/>
  <c r="BI159" i="1"/>
  <c r="BI106" i="1"/>
  <c r="BX106" i="1" s="1"/>
  <c r="BI152" i="1"/>
  <c r="BI127" i="1"/>
  <c r="BX127" i="1" s="1"/>
  <c r="BI140" i="1"/>
  <c r="BX33" i="1"/>
  <c r="BX32" i="1"/>
  <c r="BI64" i="1"/>
  <c r="BX64" i="1" s="1"/>
  <c r="BJ23" i="1"/>
  <c r="BI89" i="1"/>
  <c r="BX89" i="1" s="1"/>
  <c r="BI155" i="1"/>
  <c r="BI65" i="1"/>
  <c r="BX65" i="1" s="1"/>
  <c r="BU88" i="1"/>
  <c r="BX111" i="1"/>
  <c r="BU60" i="1"/>
  <c r="BX60" i="1" s="1"/>
  <c r="BU140" i="1"/>
  <c r="BU74" i="1"/>
  <c r="BU44" i="1"/>
  <c r="BX76" i="1"/>
  <c r="BU109" i="1"/>
  <c r="BI162" i="1"/>
  <c r="BI36" i="1"/>
  <c r="BX36" i="1" s="1"/>
  <c r="BU123" i="1"/>
  <c r="BU27" i="1"/>
  <c r="BX27" i="1" s="1"/>
  <c r="BU98" i="1"/>
  <c r="BI134" i="1"/>
  <c r="BX134" i="1" s="1"/>
  <c r="BY22" i="1"/>
  <c r="BT56" i="1"/>
  <c r="BS56" i="1"/>
  <c r="BU56" i="1" s="1"/>
  <c r="BX56" i="1" s="1"/>
  <c r="BP56" i="1"/>
  <c r="BX95" i="1"/>
  <c r="BU124" i="1"/>
  <c r="BX124" i="1" s="1"/>
  <c r="BU55" i="1"/>
  <c r="BX55" i="1" s="1"/>
  <c r="BU84" i="1"/>
  <c r="BX84" i="1" s="1"/>
  <c r="BU41" i="1"/>
  <c r="BI78" i="1"/>
  <c r="BU35" i="1" l="1"/>
  <c r="BX35" i="1" s="1"/>
  <c r="BU116" i="1"/>
  <c r="BX116" i="1" s="1"/>
  <c r="BU110" i="1"/>
  <c r="BU166" i="1"/>
  <c r="BX166" i="1" s="1"/>
  <c r="BU61" i="1"/>
  <c r="BX61" i="1" s="1"/>
  <c r="BU136" i="1"/>
  <c r="BX136" i="1" s="1"/>
  <c r="BP62" i="1"/>
  <c r="BR63" i="1" s="1"/>
  <c r="BT62" i="1"/>
  <c r="BS62" i="1"/>
  <c r="BU62" i="1" s="1"/>
  <c r="BX62" i="1" s="1"/>
  <c r="BT167" i="1"/>
  <c r="BS167" i="1"/>
  <c r="BU167" i="1" s="1"/>
  <c r="BX167" i="1" s="1"/>
  <c r="BP167" i="1"/>
  <c r="BP117" i="1"/>
  <c r="BR118" i="1" s="1"/>
  <c r="BT117" i="1"/>
  <c r="BS117" i="1"/>
  <c r="BX66" i="1"/>
  <c r="BT151" i="1"/>
  <c r="BP151" i="1"/>
  <c r="BR152" i="1" s="1"/>
  <c r="BS151" i="1"/>
  <c r="BU151" i="1" s="1"/>
  <c r="BX151" i="1" s="1"/>
  <c r="BU125" i="1"/>
  <c r="BX125" i="1" s="1"/>
  <c r="BS67" i="1"/>
  <c r="BP67" i="1"/>
  <c r="BT67" i="1"/>
  <c r="BX110" i="1"/>
  <c r="BX28" i="1"/>
  <c r="BS46" i="1"/>
  <c r="BP46" i="1"/>
  <c r="BR47" i="1" s="1"/>
  <c r="BT46" i="1"/>
  <c r="BU46" i="1" s="1"/>
  <c r="BX46" i="1" s="1"/>
  <c r="BX58" i="1"/>
  <c r="BX78" i="1"/>
  <c r="BX149" i="1"/>
  <c r="BY23" i="1"/>
  <c r="BI128" i="1"/>
  <c r="BX128" i="1" s="1"/>
  <c r="BI44" i="1"/>
  <c r="BX41" i="1"/>
  <c r="BY24" i="1"/>
  <c r="BY25" i="1" s="1"/>
  <c r="BY26" i="1" s="1"/>
  <c r="BY27" i="1" s="1"/>
  <c r="BX98" i="1"/>
  <c r="BD101" i="1"/>
  <c r="BF102" i="1" s="1"/>
  <c r="BG102" i="1" s="1"/>
  <c r="BI99" i="1"/>
  <c r="BX99" i="1" s="1"/>
  <c r="BG101" i="1"/>
  <c r="BI101" i="1" s="1"/>
  <c r="BX101" i="1" s="1"/>
  <c r="BJ24" i="1"/>
  <c r="BJ25" i="1" s="1"/>
  <c r="BJ26" i="1" s="1"/>
  <c r="BJ27" i="1" s="1"/>
  <c r="BJ28" i="1" s="1"/>
  <c r="BJ29" i="1" s="1"/>
  <c r="BJ30" i="1" s="1"/>
  <c r="BJ31" i="1" s="1"/>
  <c r="BJ32" i="1" s="1"/>
  <c r="BJ33" i="1" s="1"/>
  <c r="BJ34" i="1" s="1"/>
  <c r="BJ35" i="1" s="1"/>
  <c r="BJ36" i="1" s="1"/>
  <c r="BJ37" i="1" s="1"/>
  <c r="BJ38" i="1" s="1"/>
  <c r="BJ39" i="1" s="1"/>
  <c r="BJ40" i="1" s="1"/>
  <c r="BJ41" i="1" s="1"/>
  <c r="BJ42" i="1" s="1"/>
  <c r="BJ43" i="1" s="1"/>
  <c r="BJ44" i="1" s="1"/>
  <c r="BJ45" i="1" s="1"/>
  <c r="BJ46" i="1" s="1"/>
  <c r="BJ47" i="1" s="1"/>
  <c r="BJ48" i="1" s="1"/>
  <c r="BJ49" i="1" s="1"/>
  <c r="BJ50" i="1" s="1"/>
  <c r="BJ51" i="1" s="1"/>
  <c r="BJ52" i="1" s="1"/>
  <c r="BJ53" i="1" s="1"/>
  <c r="BJ54" i="1" s="1"/>
  <c r="BJ55" i="1" s="1"/>
  <c r="BJ56" i="1" s="1"/>
  <c r="BJ57" i="1" s="1"/>
  <c r="BJ58" i="1" s="1"/>
  <c r="BJ59" i="1" s="1"/>
  <c r="BJ60" i="1" s="1"/>
  <c r="BJ61" i="1" s="1"/>
  <c r="BJ62" i="1" s="1"/>
  <c r="BJ63" i="1" s="1"/>
  <c r="BJ64" i="1" s="1"/>
  <c r="BJ65" i="1" s="1"/>
  <c r="BJ66" i="1" s="1"/>
  <c r="BJ67" i="1" s="1"/>
  <c r="BJ68" i="1" s="1"/>
  <c r="BG69" i="1"/>
  <c r="BH69" i="1"/>
  <c r="BX123" i="1"/>
  <c r="BH102" i="1"/>
  <c r="BD102" i="1"/>
  <c r="BF103" i="1" s="1"/>
  <c r="BG146" i="1"/>
  <c r="BD146" i="1"/>
  <c r="BH146" i="1"/>
  <c r="BH129" i="1"/>
  <c r="BG129" i="1"/>
  <c r="BI129" i="1" s="1"/>
  <c r="BX129" i="1" s="1"/>
  <c r="BD129" i="1"/>
  <c r="BF130" i="1" s="1"/>
  <c r="BG91" i="1"/>
  <c r="BD91" i="1"/>
  <c r="BF92" i="1" s="1"/>
  <c r="BH91" i="1"/>
  <c r="BX44" i="1"/>
  <c r="BX74" i="1"/>
  <c r="BH70" i="1"/>
  <c r="BG70" i="1"/>
  <c r="BI70" i="1" s="1"/>
  <c r="BX70" i="1" s="1"/>
  <c r="BD70" i="1"/>
  <c r="BF71" i="1" s="1"/>
  <c r="BX109" i="1"/>
  <c r="BX140" i="1"/>
  <c r="BX88" i="1"/>
  <c r="BV27" i="1"/>
  <c r="BV28" i="1" s="1"/>
  <c r="BV29" i="1" s="1"/>
  <c r="BV30" i="1" s="1"/>
  <c r="BV31" i="1" s="1"/>
  <c r="BV32" i="1" s="1"/>
  <c r="BV33" i="1" s="1"/>
  <c r="BV34" i="1" s="1"/>
  <c r="BV35" i="1" s="1"/>
  <c r="BV36" i="1" s="1"/>
  <c r="BV37" i="1" s="1"/>
  <c r="BV38" i="1" s="1"/>
  <c r="BV39" i="1" s="1"/>
  <c r="BV40" i="1" s="1"/>
  <c r="BV41" i="1" s="1"/>
  <c r="BV42" i="1" s="1"/>
  <c r="BV43" i="1" s="1"/>
  <c r="BV44" i="1" s="1"/>
  <c r="BV45" i="1" s="1"/>
  <c r="BY28" i="1" l="1"/>
  <c r="BY29" i="1" s="1"/>
  <c r="BY30" i="1" s="1"/>
  <c r="BY31" i="1" s="1"/>
  <c r="BY32" i="1" s="1"/>
  <c r="BY33" i="1" s="1"/>
  <c r="BY34" i="1" s="1"/>
  <c r="BY35" i="1" s="1"/>
  <c r="BY36" i="1" s="1"/>
  <c r="BY37" i="1" s="1"/>
  <c r="BY38" i="1" s="1"/>
  <c r="BY39" i="1" s="1"/>
  <c r="BY40" i="1" s="1"/>
  <c r="BY41" i="1" s="1"/>
  <c r="BY42" i="1" s="1"/>
  <c r="BY43" i="1" s="1"/>
  <c r="BV46" i="1"/>
  <c r="BU117" i="1"/>
  <c r="BX117" i="1" s="1"/>
  <c r="BP152" i="1"/>
  <c r="BR153" i="1" s="1"/>
  <c r="BS152" i="1"/>
  <c r="BT152" i="1"/>
  <c r="BT118" i="1"/>
  <c r="BS118" i="1"/>
  <c r="BU118" i="1" s="1"/>
  <c r="BX118" i="1" s="1"/>
  <c r="BP118" i="1"/>
  <c r="BR119" i="1" s="1"/>
  <c r="BP47" i="1"/>
  <c r="BR48" i="1" s="1"/>
  <c r="BS47" i="1"/>
  <c r="BT47" i="1"/>
  <c r="BU67" i="1"/>
  <c r="BX67" i="1" s="1"/>
  <c r="BT63" i="1"/>
  <c r="BS63" i="1"/>
  <c r="BP63" i="1"/>
  <c r="BY44" i="1"/>
  <c r="BY45" i="1" s="1"/>
  <c r="BY46" i="1" s="1"/>
  <c r="BI91" i="1"/>
  <c r="BX91" i="1" s="1"/>
  <c r="BI69" i="1"/>
  <c r="BX69" i="1" s="1"/>
  <c r="BD103" i="1"/>
  <c r="BG103" i="1"/>
  <c r="BH103" i="1"/>
  <c r="BG92" i="1"/>
  <c r="BH92" i="1"/>
  <c r="BD92" i="1"/>
  <c r="BF93" i="1" s="1"/>
  <c r="BH130" i="1"/>
  <c r="BG130" i="1"/>
  <c r="BI130" i="1" s="1"/>
  <c r="BX130" i="1" s="1"/>
  <c r="BD130" i="1"/>
  <c r="BF131" i="1" s="1"/>
  <c r="BI146" i="1"/>
  <c r="BX146" i="1" s="1"/>
  <c r="BG71" i="1"/>
  <c r="BH71" i="1"/>
  <c r="BD71" i="1"/>
  <c r="BF72" i="1" s="1"/>
  <c r="BI102" i="1"/>
  <c r="BX102" i="1" s="1"/>
  <c r="BU63" i="1" l="1"/>
  <c r="BX63" i="1" s="1"/>
  <c r="BU47" i="1"/>
  <c r="BP48" i="1"/>
  <c r="BR49" i="1" s="1"/>
  <c r="BT48" i="1"/>
  <c r="BS48" i="1"/>
  <c r="BU48" i="1" s="1"/>
  <c r="BX48" i="1" s="1"/>
  <c r="BT119" i="1"/>
  <c r="BS119" i="1"/>
  <c r="BU119" i="1" s="1"/>
  <c r="BX119" i="1" s="1"/>
  <c r="BP119" i="1"/>
  <c r="BU152" i="1"/>
  <c r="BX152" i="1" s="1"/>
  <c r="BP153" i="1"/>
  <c r="BR154" i="1" s="1"/>
  <c r="BT153" i="1"/>
  <c r="BS153" i="1"/>
  <c r="BI103" i="1"/>
  <c r="BX103" i="1" s="1"/>
  <c r="BJ69" i="1"/>
  <c r="BJ70" i="1" s="1"/>
  <c r="BI71" i="1"/>
  <c r="BG131" i="1"/>
  <c r="BD131" i="1"/>
  <c r="BF132" i="1" s="1"/>
  <c r="BH131" i="1"/>
  <c r="BI92" i="1"/>
  <c r="BX92" i="1" s="1"/>
  <c r="BG93" i="1"/>
  <c r="BH93" i="1"/>
  <c r="BD93" i="1"/>
  <c r="BF94" i="1" s="1"/>
  <c r="BH72" i="1"/>
  <c r="BG72" i="1"/>
  <c r="BD72" i="1"/>
  <c r="BU153" i="1" l="1"/>
  <c r="BX153" i="1" s="1"/>
  <c r="BP154" i="1"/>
  <c r="BR155" i="1" s="1"/>
  <c r="BS154" i="1"/>
  <c r="BT154" i="1"/>
  <c r="BT49" i="1"/>
  <c r="BS49" i="1"/>
  <c r="BU49" i="1" s="1"/>
  <c r="BX49" i="1" s="1"/>
  <c r="BP49" i="1"/>
  <c r="BR50" i="1" s="1"/>
  <c r="BX47" i="1"/>
  <c r="BY47" i="1" s="1"/>
  <c r="BY48" i="1" s="1"/>
  <c r="BY49" i="1" s="1"/>
  <c r="BV47" i="1"/>
  <c r="BV48" i="1" s="1"/>
  <c r="BV49" i="1" s="1"/>
  <c r="BJ71" i="1"/>
  <c r="BI72" i="1"/>
  <c r="BX72" i="1" s="1"/>
  <c r="BJ72" i="1"/>
  <c r="BJ73" i="1" s="1"/>
  <c r="BJ74" i="1" s="1"/>
  <c r="BJ75" i="1" s="1"/>
  <c r="BJ76" i="1" s="1"/>
  <c r="BJ77" i="1" s="1"/>
  <c r="BJ78" i="1" s="1"/>
  <c r="BJ79" i="1" s="1"/>
  <c r="BJ80" i="1" s="1"/>
  <c r="BJ81" i="1" s="1"/>
  <c r="BJ82" i="1" s="1"/>
  <c r="BJ83" i="1" s="1"/>
  <c r="BJ84" i="1" s="1"/>
  <c r="BJ85" i="1" s="1"/>
  <c r="BJ86" i="1" s="1"/>
  <c r="BJ87" i="1" s="1"/>
  <c r="BJ88" i="1" s="1"/>
  <c r="BJ89" i="1" s="1"/>
  <c r="BJ90" i="1" s="1"/>
  <c r="BJ91" i="1" s="1"/>
  <c r="BJ92" i="1" s="1"/>
  <c r="BX71" i="1"/>
  <c r="BG94" i="1"/>
  <c r="BD94" i="1"/>
  <c r="BH94" i="1"/>
  <c r="BI94" i="1" s="1"/>
  <c r="BX94" i="1" s="1"/>
  <c r="BI93" i="1"/>
  <c r="BX93" i="1" s="1"/>
  <c r="BI131" i="1"/>
  <c r="BX131" i="1" s="1"/>
  <c r="BG132" i="1"/>
  <c r="BD132" i="1"/>
  <c r="BH132" i="1"/>
  <c r="BT50" i="1" l="1"/>
  <c r="BS50" i="1"/>
  <c r="BU50" i="1" s="1"/>
  <c r="BP50" i="1"/>
  <c r="BR51" i="1" s="1"/>
  <c r="BU154" i="1"/>
  <c r="BX154" i="1" s="1"/>
  <c r="BS155" i="1"/>
  <c r="BT155" i="1"/>
  <c r="BP155" i="1"/>
  <c r="BR156" i="1" s="1"/>
  <c r="BJ93" i="1"/>
  <c r="BJ94" i="1" s="1"/>
  <c r="BJ95" i="1" s="1"/>
  <c r="BJ96" i="1" s="1"/>
  <c r="BJ97" i="1" s="1"/>
  <c r="BJ98" i="1" s="1"/>
  <c r="BJ99" i="1" s="1"/>
  <c r="BJ100" i="1" s="1"/>
  <c r="BJ101" i="1" s="1"/>
  <c r="BJ102" i="1" s="1"/>
  <c r="BJ103" i="1" s="1"/>
  <c r="BJ104" i="1" s="1"/>
  <c r="BJ105" i="1" s="1"/>
  <c r="BJ106" i="1" s="1"/>
  <c r="BJ107" i="1" s="1"/>
  <c r="BJ108" i="1" s="1"/>
  <c r="BJ109" i="1" s="1"/>
  <c r="BJ110" i="1" s="1"/>
  <c r="BJ111" i="1" s="1"/>
  <c r="BJ112" i="1" s="1"/>
  <c r="BJ113" i="1" s="1"/>
  <c r="BJ114" i="1" s="1"/>
  <c r="BJ115" i="1" s="1"/>
  <c r="BJ116" i="1" s="1"/>
  <c r="BJ117" i="1" s="1"/>
  <c r="BJ118" i="1" s="1"/>
  <c r="BJ119" i="1" s="1"/>
  <c r="BJ120" i="1" s="1"/>
  <c r="BJ121" i="1" s="1"/>
  <c r="BJ122" i="1" s="1"/>
  <c r="BJ123" i="1" s="1"/>
  <c r="BJ124" i="1" s="1"/>
  <c r="BJ125" i="1" s="1"/>
  <c r="BJ126" i="1" s="1"/>
  <c r="BJ127" i="1" s="1"/>
  <c r="BJ128" i="1" s="1"/>
  <c r="BJ129" i="1" s="1"/>
  <c r="BJ130" i="1" s="1"/>
  <c r="BJ131" i="1" s="1"/>
  <c r="BI132" i="1"/>
  <c r="BT156" i="1" l="1"/>
  <c r="BP156" i="1"/>
  <c r="BR157" i="1" s="1"/>
  <c r="BS156" i="1"/>
  <c r="BU155" i="1"/>
  <c r="BX155" i="1" s="1"/>
  <c r="BT51" i="1"/>
  <c r="BP51" i="1"/>
  <c r="BR52" i="1" s="1"/>
  <c r="BS51" i="1"/>
  <c r="BU51" i="1" s="1"/>
  <c r="BX51" i="1" s="1"/>
  <c r="BX50" i="1"/>
  <c r="BY50" i="1" s="1"/>
  <c r="BY51" i="1" s="1"/>
  <c r="BV50" i="1"/>
  <c r="BV51" i="1" s="1"/>
  <c r="BX132" i="1"/>
  <c r="BJ10" i="1"/>
  <c r="BJ9" i="1"/>
  <c r="BJ132" i="1"/>
  <c r="BJ133" i="1" s="1"/>
  <c r="BJ134" i="1" s="1"/>
  <c r="BJ135" i="1" s="1"/>
  <c r="BJ136" i="1" s="1"/>
  <c r="BJ137" i="1" s="1"/>
  <c r="BJ138" i="1" s="1"/>
  <c r="BJ139" i="1" s="1"/>
  <c r="BJ140" i="1" s="1"/>
  <c r="BJ141" i="1" s="1"/>
  <c r="BJ142" i="1" s="1"/>
  <c r="BJ143" i="1" s="1"/>
  <c r="BJ144" i="1" s="1"/>
  <c r="BJ145" i="1" s="1"/>
  <c r="BJ146" i="1" s="1"/>
  <c r="BJ147" i="1" s="1"/>
  <c r="BJ148" i="1" s="1"/>
  <c r="BJ149" i="1" s="1"/>
  <c r="BJ150" i="1" s="1"/>
  <c r="BJ151" i="1" s="1"/>
  <c r="BJ152" i="1" s="1"/>
  <c r="BJ153" i="1" s="1"/>
  <c r="BJ154" i="1" s="1"/>
  <c r="BJ155" i="1" s="1"/>
  <c r="BJ156" i="1" s="1"/>
  <c r="BJ157" i="1" s="1"/>
  <c r="BJ158" i="1" s="1"/>
  <c r="BJ159" i="1" s="1"/>
  <c r="BJ160" i="1" s="1"/>
  <c r="BJ161" i="1" s="1"/>
  <c r="BJ162" i="1" s="1"/>
  <c r="BJ163" i="1" s="1"/>
  <c r="BJ164" i="1" s="1"/>
  <c r="BJ165" i="1" s="1"/>
  <c r="BJ166" i="1" s="1"/>
  <c r="BJ167" i="1" s="1"/>
  <c r="BJ1" i="1" s="1"/>
  <c r="BS52" i="1" l="1"/>
  <c r="BT52" i="1"/>
  <c r="BP52" i="1"/>
  <c r="BR53" i="1" s="1"/>
  <c r="BU156" i="1"/>
  <c r="BX156" i="1" s="1"/>
  <c r="BP157" i="1"/>
  <c r="BR158" i="1" s="1"/>
  <c r="BS157" i="1"/>
  <c r="BT157" i="1"/>
  <c r="BJ11" i="1"/>
  <c r="CL3" i="1" s="1"/>
  <c r="BU157" i="1" l="1"/>
  <c r="BX157" i="1" s="1"/>
  <c r="BS158" i="1"/>
  <c r="BT158" i="1"/>
  <c r="BP158" i="1"/>
  <c r="BR159" i="1" s="1"/>
  <c r="BP53" i="1"/>
  <c r="BR54" i="1" s="1"/>
  <c r="BT53" i="1"/>
  <c r="BS53" i="1"/>
  <c r="BU53" i="1" s="1"/>
  <c r="BX53" i="1" s="1"/>
  <c r="BU52" i="1"/>
  <c r="BP54" i="1" l="1"/>
  <c r="BS54" i="1"/>
  <c r="BT54" i="1"/>
  <c r="BX52" i="1"/>
  <c r="BV52" i="1"/>
  <c r="BV53" i="1" s="1"/>
  <c r="BP159" i="1"/>
  <c r="BR160" i="1" s="1"/>
  <c r="BS159" i="1"/>
  <c r="BT159" i="1"/>
  <c r="BU158" i="1"/>
  <c r="BX158" i="1" s="1"/>
  <c r="BU159" i="1" l="1"/>
  <c r="BX159" i="1" s="1"/>
  <c r="BP160" i="1"/>
  <c r="BR161" i="1" s="1"/>
  <c r="BS160" i="1"/>
  <c r="BT160" i="1"/>
  <c r="BY52" i="1"/>
  <c r="BY53" i="1" s="1"/>
  <c r="BU54" i="1"/>
  <c r="BX54" i="1" l="1"/>
  <c r="BY54" i="1"/>
  <c r="BY55" i="1" s="1"/>
  <c r="BY56" i="1" s="1"/>
  <c r="BY57" i="1" s="1"/>
  <c r="BY58" i="1" s="1"/>
  <c r="BY59" i="1" s="1"/>
  <c r="BY60" i="1" s="1"/>
  <c r="BY61" i="1" s="1"/>
  <c r="BY62" i="1" s="1"/>
  <c r="BY63" i="1" s="1"/>
  <c r="BY64" i="1" s="1"/>
  <c r="BY65" i="1" s="1"/>
  <c r="BY66" i="1" s="1"/>
  <c r="BY67" i="1" s="1"/>
  <c r="BY68" i="1" s="1"/>
  <c r="BY69" i="1" s="1"/>
  <c r="BY70" i="1" s="1"/>
  <c r="BY71" i="1" s="1"/>
  <c r="BY72" i="1" s="1"/>
  <c r="BY73" i="1" s="1"/>
  <c r="BY74" i="1" s="1"/>
  <c r="BY75" i="1" s="1"/>
  <c r="BY76" i="1" s="1"/>
  <c r="BY77" i="1" s="1"/>
  <c r="BY78" i="1" s="1"/>
  <c r="BY79" i="1" s="1"/>
  <c r="BY80" i="1" s="1"/>
  <c r="BY81" i="1" s="1"/>
  <c r="BY82" i="1" s="1"/>
  <c r="BY83" i="1" s="1"/>
  <c r="BY84" i="1" s="1"/>
  <c r="BY85" i="1" s="1"/>
  <c r="BY86" i="1" s="1"/>
  <c r="BY87" i="1" s="1"/>
  <c r="BY88" i="1" s="1"/>
  <c r="BY89" i="1" s="1"/>
  <c r="BY90" i="1" s="1"/>
  <c r="BY91" i="1" s="1"/>
  <c r="BY92" i="1" s="1"/>
  <c r="BY93" i="1" s="1"/>
  <c r="BY94" i="1" s="1"/>
  <c r="BY95" i="1" s="1"/>
  <c r="BY96" i="1" s="1"/>
  <c r="BY97" i="1" s="1"/>
  <c r="BY98" i="1" s="1"/>
  <c r="BY99" i="1" s="1"/>
  <c r="BY100" i="1" s="1"/>
  <c r="BY101" i="1" s="1"/>
  <c r="BY102" i="1" s="1"/>
  <c r="BY103" i="1" s="1"/>
  <c r="BY104" i="1" s="1"/>
  <c r="BY105" i="1" s="1"/>
  <c r="BY106" i="1" s="1"/>
  <c r="BY107" i="1" s="1"/>
  <c r="BY108" i="1" s="1"/>
  <c r="BY109" i="1" s="1"/>
  <c r="BY110" i="1" s="1"/>
  <c r="BY111" i="1" s="1"/>
  <c r="BY112" i="1" s="1"/>
  <c r="BY113" i="1" s="1"/>
  <c r="BY114" i="1" s="1"/>
  <c r="BY115" i="1" s="1"/>
  <c r="BY116" i="1" s="1"/>
  <c r="BY117" i="1" s="1"/>
  <c r="BY118" i="1" s="1"/>
  <c r="BY119" i="1" s="1"/>
  <c r="BY120" i="1" s="1"/>
  <c r="BY121" i="1" s="1"/>
  <c r="BY122" i="1" s="1"/>
  <c r="BY123" i="1" s="1"/>
  <c r="BY124" i="1" s="1"/>
  <c r="BY125" i="1" s="1"/>
  <c r="BY126" i="1" s="1"/>
  <c r="BY127" i="1" s="1"/>
  <c r="BY128" i="1" s="1"/>
  <c r="BY129" i="1" s="1"/>
  <c r="BY130" i="1" s="1"/>
  <c r="BY131" i="1" s="1"/>
  <c r="BY132" i="1" s="1"/>
  <c r="BY133" i="1" s="1"/>
  <c r="BY134" i="1" s="1"/>
  <c r="BY135" i="1" s="1"/>
  <c r="BY136" i="1" s="1"/>
  <c r="BY137" i="1" s="1"/>
  <c r="BY138" i="1" s="1"/>
  <c r="BY139" i="1" s="1"/>
  <c r="BY140" i="1" s="1"/>
  <c r="BY141" i="1" s="1"/>
  <c r="BY142" i="1" s="1"/>
  <c r="BY143" i="1" s="1"/>
  <c r="BY144" i="1" s="1"/>
  <c r="BY145" i="1" s="1"/>
  <c r="BY146" i="1" s="1"/>
  <c r="BY147" i="1" s="1"/>
  <c r="BY148" i="1" s="1"/>
  <c r="BY149" i="1" s="1"/>
  <c r="BY150" i="1" s="1"/>
  <c r="BY151" i="1" s="1"/>
  <c r="BY152" i="1" s="1"/>
  <c r="BY153" i="1" s="1"/>
  <c r="BY154" i="1" s="1"/>
  <c r="BY155" i="1" s="1"/>
  <c r="BY156" i="1" s="1"/>
  <c r="BY157" i="1" s="1"/>
  <c r="BY158" i="1" s="1"/>
  <c r="BY159" i="1" s="1"/>
  <c r="BY160" i="1" s="1"/>
  <c r="BY161" i="1" s="1"/>
  <c r="BV54" i="1"/>
  <c r="BV55" i="1" s="1"/>
  <c r="BV56" i="1" s="1"/>
  <c r="BV57" i="1" s="1"/>
  <c r="BV58" i="1" s="1"/>
  <c r="BV59" i="1" s="1"/>
  <c r="BV60" i="1" s="1"/>
  <c r="BV61" i="1" s="1"/>
  <c r="BV62" i="1" s="1"/>
  <c r="BV63" i="1" s="1"/>
  <c r="BV64" i="1" s="1"/>
  <c r="BV65" i="1" s="1"/>
  <c r="BV66" i="1" s="1"/>
  <c r="BV67" i="1" s="1"/>
  <c r="BV68" i="1" s="1"/>
  <c r="BV69" i="1" s="1"/>
  <c r="BV70" i="1" s="1"/>
  <c r="BV71" i="1" s="1"/>
  <c r="BV72" i="1" s="1"/>
  <c r="BV73" i="1" s="1"/>
  <c r="BV74" i="1" s="1"/>
  <c r="BV75" i="1" s="1"/>
  <c r="BV76" i="1" s="1"/>
  <c r="BV77" i="1" s="1"/>
  <c r="BV78" i="1" s="1"/>
  <c r="BV79" i="1" s="1"/>
  <c r="BV80" i="1" s="1"/>
  <c r="BV81" i="1" s="1"/>
  <c r="BV82" i="1" s="1"/>
  <c r="BV83" i="1" s="1"/>
  <c r="BV84" i="1" s="1"/>
  <c r="BV85" i="1" s="1"/>
  <c r="BV86" i="1" s="1"/>
  <c r="BV87" i="1" s="1"/>
  <c r="BV88" i="1" s="1"/>
  <c r="BV89" i="1" s="1"/>
  <c r="BV90" i="1" s="1"/>
  <c r="BV91" i="1" s="1"/>
  <c r="BV92" i="1" s="1"/>
  <c r="BV93" i="1" s="1"/>
  <c r="BV94" i="1" s="1"/>
  <c r="BV95" i="1" s="1"/>
  <c r="BV96" i="1" s="1"/>
  <c r="BV97" i="1" s="1"/>
  <c r="BV98" i="1" s="1"/>
  <c r="BV99" i="1" s="1"/>
  <c r="BV100" i="1" s="1"/>
  <c r="BV101" i="1" s="1"/>
  <c r="BV102" i="1" s="1"/>
  <c r="BV103" i="1" s="1"/>
  <c r="BV104" i="1" s="1"/>
  <c r="BV105" i="1" s="1"/>
  <c r="BV106" i="1" s="1"/>
  <c r="BV107" i="1" s="1"/>
  <c r="BV108" i="1" s="1"/>
  <c r="BV109" i="1" s="1"/>
  <c r="BV110" i="1" s="1"/>
  <c r="BV111" i="1" s="1"/>
  <c r="BV112" i="1" s="1"/>
  <c r="BV113" i="1" s="1"/>
  <c r="BV114" i="1" s="1"/>
  <c r="BV115" i="1" s="1"/>
  <c r="BV116" i="1" s="1"/>
  <c r="BV117" i="1" s="1"/>
  <c r="BV118" i="1" s="1"/>
  <c r="BV119" i="1" s="1"/>
  <c r="BV120" i="1" s="1"/>
  <c r="BV121" i="1" s="1"/>
  <c r="BV122" i="1" s="1"/>
  <c r="BV123" i="1" s="1"/>
  <c r="BV124" i="1" s="1"/>
  <c r="BV125" i="1" s="1"/>
  <c r="BV126" i="1" s="1"/>
  <c r="BV127" i="1" s="1"/>
  <c r="BV128" i="1" s="1"/>
  <c r="BV129" i="1" s="1"/>
  <c r="BV130" i="1" s="1"/>
  <c r="BV131" i="1" s="1"/>
  <c r="BV132" i="1" s="1"/>
  <c r="BV133" i="1" s="1"/>
  <c r="BV134" i="1" s="1"/>
  <c r="BV135" i="1" s="1"/>
  <c r="BV136" i="1" s="1"/>
  <c r="BV137" i="1" s="1"/>
  <c r="BV138" i="1" s="1"/>
  <c r="BV139" i="1" s="1"/>
  <c r="BV140" i="1" s="1"/>
  <c r="BV141" i="1" s="1"/>
  <c r="BV142" i="1" s="1"/>
  <c r="BV143" i="1" s="1"/>
  <c r="BV144" i="1" s="1"/>
  <c r="BV145" i="1" s="1"/>
  <c r="BV146" i="1" s="1"/>
  <c r="BV147" i="1" s="1"/>
  <c r="BV148" i="1" s="1"/>
  <c r="BV149" i="1" s="1"/>
  <c r="BV150" i="1" s="1"/>
  <c r="BV151" i="1" s="1"/>
  <c r="BV152" i="1" s="1"/>
  <c r="BV153" i="1" s="1"/>
  <c r="BV154" i="1" s="1"/>
  <c r="BV155" i="1" s="1"/>
  <c r="BV156" i="1" s="1"/>
  <c r="BV157" i="1" s="1"/>
  <c r="BV158" i="1" s="1"/>
  <c r="BV159" i="1" s="1"/>
  <c r="BV160" i="1" s="1"/>
  <c r="BV161" i="1" s="1"/>
  <c r="BS161" i="1"/>
  <c r="BP161" i="1"/>
  <c r="BR162" i="1" s="1"/>
  <c r="BT161" i="1"/>
  <c r="BU161" i="1" s="1"/>
  <c r="BX161" i="1" s="1"/>
  <c r="BU160" i="1"/>
  <c r="BX160" i="1" s="1"/>
  <c r="BP162" i="1" l="1"/>
  <c r="BR163" i="1" s="1"/>
  <c r="BS162" i="1"/>
  <c r="BT162" i="1"/>
  <c r="BU162" i="1" l="1"/>
  <c r="BT163" i="1"/>
  <c r="BS163" i="1"/>
  <c r="BU163" i="1" s="1"/>
  <c r="BX163" i="1" s="1"/>
  <c r="BP163" i="1"/>
  <c r="BR164" i="1" s="1"/>
  <c r="BP164" i="1" l="1"/>
  <c r="BS164" i="1"/>
  <c r="BT164" i="1"/>
  <c r="BX162" i="1"/>
  <c r="BV162" i="1"/>
  <c r="BV163" i="1" s="1"/>
  <c r="BY162" i="1" l="1"/>
  <c r="BY163" i="1" s="1"/>
  <c r="BU164" i="1"/>
  <c r="BX164" i="1" l="1"/>
  <c r="BV9" i="1"/>
  <c r="BV10" i="1"/>
  <c r="BV164" i="1"/>
  <c r="BV165" i="1" s="1"/>
  <c r="BV166" i="1" s="1"/>
  <c r="BV167" i="1" s="1"/>
  <c r="BV1" i="1" s="1"/>
  <c r="BV11" i="1" l="1"/>
  <c r="CL14" i="1" s="1"/>
  <c r="BY10" i="1"/>
  <c r="BY9" i="1"/>
  <c r="BY11" i="1" s="1"/>
  <c r="BY164" i="1"/>
  <c r="BY165" i="1" s="1"/>
  <c r="BY166" i="1" s="1"/>
  <c r="BY167" i="1" s="1"/>
  <c r="BY1" i="1" s="1"/>
</calcChain>
</file>

<file path=xl/sharedStrings.xml><?xml version="1.0" encoding="utf-8"?>
<sst xmlns="http://schemas.openxmlformats.org/spreadsheetml/2006/main" count="65" uniqueCount="50">
  <si>
    <t>date</t>
  </si>
  <si>
    <t>VWOB</t>
  </si>
  <si>
    <t>EMB</t>
  </si>
  <si>
    <t>VWOB log rtn</t>
  </si>
  <si>
    <t>EMB log rtn</t>
  </si>
  <si>
    <t>VWOB div</t>
  </si>
  <si>
    <t>VWOB div cumsum</t>
  </si>
  <si>
    <t>EMB div</t>
  </si>
  <si>
    <t>EMB div cumsum</t>
  </si>
  <si>
    <t>VWOB div adjustment</t>
  </si>
  <si>
    <t>EMB div adjustment</t>
  </si>
  <si>
    <t>VWOB*</t>
  </si>
  <si>
    <t>EMB*</t>
  </si>
  <si>
    <t>EMB/VWOB</t>
  </si>
  <si>
    <t>EMB/VWOB avg</t>
  </si>
  <si>
    <t>EMB/VWOB 10 dma</t>
  </si>
  <si>
    <t>EMB/VWOB 20 dma</t>
  </si>
  <si>
    <t>VWOB x avg</t>
  </si>
  <si>
    <t>VWOB x 10 dma</t>
  </si>
  <si>
    <t>VWOB x 20 dma</t>
  </si>
  <si>
    <t>log diff VWOB x avg / EMB</t>
  </si>
  <si>
    <t>log diff VWOB x 10 dma / EMB</t>
  </si>
  <si>
    <t>log diff VWOB x 20 dma / EMB</t>
  </si>
  <si>
    <t>EMB*/VWOB*</t>
  </si>
  <si>
    <t>EMB*/VWOB* avg</t>
  </si>
  <si>
    <t>EMB*/VWOB* 10 dma</t>
  </si>
  <si>
    <t>EMB*/VWOB* 20 dma</t>
  </si>
  <si>
    <t>VWOB* x avg</t>
  </si>
  <si>
    <t>VWOB* x 10 dma</t>
  </si>
  <si>
    <t>VWOB* x 20 dma</t>
  </si>
  <si>
    <t>log diff VWOB* x avg / EMB*</t>
  </si>
  <si>
    <t>log diff VWOB* x 10 dma / EMB*</t>
  </si>
  <si>
    <t>log diff VWOB* x 20 dma / EMB*</t>
  </si>
  <si>
    <t>enter</t>
  </si>
  <si>
    <t>row</t>
  </si>
  <si>
    <t>ba20</t>
  </si>
  <si>
    <t>col</t>
  </si>
  <si>
    <t>ba21</t>
  </si>
  <si>
    <t>exit</t>
  </si>
  <si>
    <t>bm20</t>
  </si>
  <si>
    <t>bm21</t>
  </si>
  <si>
    <t>grand</t>
  </si>
  <si>
    <t>signal</t>
  </si>
  <si>
    <t>under</t>
  </si>
  <si>
    <t>over</t>
  </si>
  <si>
    <t>yday</t>
  </si>
  <si>
    <t>ex-date</t>
  </si>
  <si>
    <t>position</t>
  </si>
  <si>
    <t>sum</t>
  </si>
  <si>
    <t>cumsum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</si>
</sst>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.0000_);_(&quot;$&quot;* \(#,##0.0000\);_(&quot;$&quot;* &quot;-&quot;??_);_(@_)"/>
    <numFmt numFmtId="165" formatCode="_(* #,##0.0000_);_(* \(#,##0.0000\);_(* &quot;-&quot;??_);_(@_)"/>
  </numFmts>
  <fonts count="2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b/>
      <u/>
      <sz val="11"/>
      <color rgb="FF000000"/>
      <name val="Aptos Narrow"/>
      <family val="2"/>
    </font>
    <font>
      <sz val="11"/>
      <color theme="1"/>
      <name val="Aptos Narrow"/>
      <family val="2"/>
    </font>
    <font>
      <b/>
      <sz val="11"/>
      <color rgb="FF000000"/>
      <name val="Aptos Narrow"/>
      <family val="2"/>
    </font>
    <font>
      <sz val="11"/>
      <color rgb="FF0070C0"/>
      <name val="Aptos Narrow"/>
      <family val="2"/>
    </font>
    <font>
      <b/>
      <sz val="11"/>
      <color rgb="FFC00000"/>
      <name val="Aptos Narrow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rgb="FF000000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5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4">
    <xf numFmtId="0" fontId="0" fillId="0" borderId="0" xfId="0"/>
    <xf numFmtId="14" fontId="0" fillId="0" borderId="0" xfId="0" applyNumberFormat="1"/>
    <xf numFmtId="0" fontId="18" fillId="0" borderId="0" xfId="0" applyFont="1" applyAlignment="1">
      <alignment horizontal="center"/>
    </xf>
    <xf numFmtId="164" fontId="18" fillId="0" borderId="0" xfId="2" applyNumberFormat="1" applyFont="1" applyAlignment="1">
      <alignment horizontal="center"/>
    </xf>
    <xf numFmtId="10" fontId="18" fillId="0" borderId="0" xfId="3" applyNumberFormat="1" applyFont="1" applyAlignment="1">
      <alignment horizontal="center"/>
    </xf>
    <xf numFmtId="165" fontId="18" fillId="0" borderId="0" xfId="1" applyNumberFormat="1" applyFont="1" applyAlignment="1">
      <alignment horizontal="center"/>
    </xf>
    <xf numFmtId="164" fontId="0" fillId="0" borderId="0" xfId="2" applyNumberFormat="1" applyFont="1"/>
    <xf numFmtId="10" fontId="0" fillId="0" borderId="0" xfId="3" applyNumberFormat="1" applyFont="1"/>
    <xf numFmtId="165" fontId="0" fillId="0" borderId="0" xfId="1" applyNumberFormat="1" applyFont="1"/>
    <xf numFmtId="0" fontId="19" fillId="0" borderId="0" xfId="0" applyFont="1" applyAlignment="1">
      <alignment horizontal="center"/>
    </xf>
    <xf numFmtId="0" fontId="19" fillId="0" borderId="0" xfId="0" applyFont="1" applyAlignment="1">
      <alignment horizontal="right"/>
    </xf>
    <xf numFmtId="10" fontId="19" fillId="0" borderId="0" xfId="0" applyNumberFormat="1" applyFont="1" applyAlignment="1">
      <alignment horizontal="right"/>
    </xf>
    <xf numFmtId="0" fontId="20" fillId="0" borderId="0" xfId="0" applyFont="1"/>
    <xf numFmtId="44" fontId="20" fillId="0" borderId="0" xfId="2" applyFont="1" applyFill="1" applyBorder="1"/>
    <xf numFmtId="43" fontId="21" fillId="0" borderId="0" xfId="1" applyFont="1" applyFill="1" applyBorder="1"/>
    <xf numFmtId="10" fontId="21" fillId="0" borderId="0" xfId="3" applyNumberFormat="1" applyFont="1" applyFill="1" applyBorder="1"/>
    <xf numFmtId="43" fontId="20" fillId="0" borderId="0" xfId="1" applyFont="1" applyFill="1" applyBorder="1"/>
    <xf numFmtId="43" fontId="20" fillId="0" borderId="10" xfId="1" applyFont="1" applyFill="1" applyBorder="1"/>
    <xf numFmtId="10" fontId="20" fillId="0" borderId="0" xfId="0" applyNumberFormat="1" applyFont="1"/>
    <xf numFmtId="44" fontId="22" fillId="0" borderId="0" xfId="2" applyFont="1" applyFill="1" applyBorder="1"/>
    <xf numFmtId="44" fontId="19" fillId="0" borderId="0" xfId="2" applyFont="1" applyFill="1" applyBorder="1" applyAlignment="1">
      <alignment horizontal="right"/>
    </xf>
    <xf numFmtId="10" fontId="19" fillId="33" borderId="0" xfId="2" applyNumberFormat="1" applyFont="1" applyFill="1" applyBorder="1" applyAlignment="1">
      <alignment horizontal="right"/>
    </xf>
    <xf numFmtId="0" fontId="23" fillId="0" borderId="0" xfId="0" applyFont="1"/>
    <xf numFmtId="10" fontId="20" fillId="0" borderId="0" xfId="3" applyNumberFormat="1" applyFont="1" applyFill="1" applyBorder="1"/>
  </cellXfs>
  <cellStyles count="45">
    <cellStyle name="20% - Accent1" xfId="22" builtinId="30" customBuiltin="1"/>
    <cellStyle name="20% - Accent2" xfId="26" builtinId="34" customBuiltin="1"/>
    <cellStyle name="20% - Accent3" xfId="30" builtinId="38" customBuiltin="1"/>
    <cellStyle name="20% - Accent4" xfId="34" builtinId="42" customBuiltin="1"/>
    <cellStyle name="20% - Accent5" xfId="38" builtinId="46" customBuiltin="1"/>
    <cellStyle name="20% - Accent6" xfId="42" builtinId="50" customBuiltin="1"/>
    <cellStyle name="40% - Accent1" xfId="23" builtinId="31" customBuiltin="1"/>
    <cellStyle name="40% - Accent2" xfId="27" builtinId="35" customBuiltin="1"/>
    <cellStyle name="40% - Accent3" xfId="31" builtinId="39" customBuiltin="1"/>
    <cellStyle name="40% - Accent4" xfId="35" builtinId="43" customBuiltin="1"/>
    <cellStyle name="40% - Accent5" xfId="39" builtinId="47" customBuiltin="1"/>
    <cellStyle name="40% - Accent6" xfId="43" builtinId="51" customBuiltin="1"/>
    <cellStyle name="60% - Accent1" xfId="24" builtinId="32" customBuiltin="1"/>
    <cellStyle name="60% - Accent2" xfId="28" builtinId="36" customBuiltin="1"/>
    <cellStyle name="60% - Accent3" xfId="32" builtinId="40" customBuiltin="1"/>
    <cellStyle name="60% - Accent4" xfId="36" builtinId="44" customBuiltin="1"/>
    <cellStyle name="60% - Accent5" xfId="40" builtinId="48" customBuiltin="1"/>
    <cellStyle name="60% - Accent6" xfId="44" builtinId="52" customBuiltin="1"/>
    <cellStyle name="Accent1" xfId="21" builtinId="29" customBuiltin="1"/>
    <cellStyle name="Accent2" xfId="25" builtinId="33" customBuiltin="1"/>
    <cellStyle name="Accent3" xfId="29" builtinId="37" customBuiltin="1"/>
    <cellStyle name="Accent4" xfId="33" builtinId="41" customBuiltin="1"/>
    <cellStyle name="Accent5" xfId="37" builtinId="45" customBuiltin="1"/>
    <cellStyle name="Accent6" xfId="41" builtinId="49" customBuiltin="1"/>
    <cellStyle name="Bad" xfId="10" builtinId="27" customBuiltin="1"/>
    <cellStyle name="Calculation" xfId="14" builtinId="22" customBuiltin="1"/>
    <cellStyle name="Check Cell" xfId="16" builtinId="23" customBuiltin="1"/>
    <cellStyle name="Comma" xfId="1" builtinId="3"/>
    <cellStyle name="Currency" xfId="2" builtinId="4"/>
    <cellStyle name="Explanatory Text" xfId="19" builtinId="53" customBuiltin="1"/>
    <cellStyle name="Good" xfId="9" builtinId="26" customBuiltin="1"/>
    <cellStyle name="Heading 1" xfId="5" builtinId="16" customBuiltin="1"/>
    <cellStyle name="Heading 2" xfId="6" builtinId="17" customBuiltin="1"/>
    <cellStyle name="Heading 3" xfId="7" builtinId="18" customBuiltin="1"/>
    <cellStyle name="Heading 4" xfId="8" builtinId="19" customBuiltin="1"/>
    <cellStyle name="Input" xfId="12" builtinId="20" customBuiltin="1"/>
    <cellStyle name="Linked Cell" xfId="15" builtinId="24" customBuiltin="1"/>
    <cellStyle name="Neutral" xfId="11" builtinId="28" customBuiltin="1"/>
    <cellStyle name="Normal" xfId="0" builtinId="0"/>
    <cellStyle name="Note" xfId="18" builtinId="10" customBuiltin="1"/>
    <cellStyle name="Output" xfId="13" builtinId="21" customBuiltin="1"/>
    <cellStyle name="Percent" xfId="3" builtinId="5"/>
    <cellStyle name="Title" xfId="4" builtinId="15" customBuiltin="1"/>
    <cellStyle name="Total" xfId="20" builtinId="25" customBuiltin="1"/>
    <cellStyle name="Warning Text" xfId="17" builtinId="11" customBuiltin="1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VWOB_EMB_2!$O$1</c:f>
              <c:strCache>
                <c:ptCount val="1"/>
                <c:pt idx="0">
                  <c:v> EMB/VWOB avg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VWOB_EMB_2!$O$2:$O$167</c:f>
              <c:numCache>
                <c:formatCode>_(* #,##0.0000_);_(* \(#,##0.0000\);_(* "-"??_);_(@_)</c:formatCode>
                <c:ptCount val="166"/>
                <c:pt idx="0">
                  <c:v>1.43297833357297</c:v>
                </c:pt>
                <c:pt idx="1">
                  <c:v>1.43297833357297</c:v>
                </c:pt>
                <c:pt idx="2">
                  <c:v>1.43297833357297</c:v>
                </c:pt>
                <c:pt idx="3">
                  <c:v>1.43297833357297</c:v>
                </c:pt>
                <c:pt idx="4">
                  <c:v>1.43297833357297</c:v>
                </c:pt>
                <c:pt idx="5">
                  <c:v>1.43297833357297</c:v>
                </c:pt>
                <c:pt idx="6">
                  <c:v>1.43297833357297</c:v>
                </c:pt>
                <c:pt idx="7">
                  <c:v>1.43297833357297</c:v>
                </c:pt>
                <c:pt idx="8">
                  <c:v>1.43297833357297</c:v>
                </c:pt>
                <c:pt idx="9">
                  <c:v>1.43297833357297</c:v>
                </c:pt>
                <c:pt idx="10">
                  <c:v>1.43297833357297</c:v>
                </c:pt>
                <c:pt idx="11">
                  <c:v>1.43297833357297</c:v>
                </c:pt>
                <c:pt idx="12">
                  <c:v>1.43297833357297</c:v>
                </c:pt>
                <c:pt idx="13">
                  <c:v>1.43297833357297</c:v>
                </c:pt>
                <c:pt idx="14">
                  <c:v>1.43297833357297</c:v>
                </c:pt>
                <c:pt idx="15">
                  <c:v>1.43297833357297</c:v>
                </c:pt>
                <c:pt idx="16">
                  <c:v>1.43297833357297</c:v>
                </c:pt>
                <c:pt idx="17">
                  <c:v>1.43297833357297</c:v>
                </c:pt>
                <c:pt idx="18">
                  <c:v>1.43297833357297</c:v>
                </c:pt>
                <c:pt idx="19">
                  <c:v>1.43297833357297</c:v>
                </c:pt>
                <c:pt idx="20">
                  <c:v>1.43297833357297</c:v>
                </c:pt>
                <c:pt idx="21">
                  <c:v>1.43297833357297</c:v>
                </c:pt>
                <c:pt idx="22">
                  <c:v>1.43297833357297</c:v>
                </c:pt>
                <c:pt idx="23">
                  <c:v>1.43297833357297</c:v>
                </c:pt>
                <c:pt idx="24">
                  <c:v>1.43297833357297</c:v>
                </c:pt>
                <c:pt idx="25">
                  <c:v>1.43297833357297</c:v>
                </c:pt>
                <c:pt idx="26">
                  <c:v>1.43297833357297</c:v>
                </c:pt>
                <c:pt idx="27">
                  <c:v>1.43297833357297</c:v>
                </c:pt>
                <c:pt idx="28">
                  <c:v>1.43297833357297</c:v>
                </c:pt>
                <c:pt idx="29">
                  <c:v>1.43297833357297</c:v>
                </c:pt>
                <c:pt idx="30">
                  <c:v>1.43297833357297</c:v>
                </c:pt>
                <c:pt idx="31">
                  <c:v>1.43297833357297</c:v>
                </c:pt>
                <c:pt idx="32">
                  <c:v>1.43297833357297</c:v>
                </c:pt>
                <c:pt idx="33">
                  <c:v>1.43297833357297</c:v>
                </c:pt>
                <c:pt idx="34">
                  <c:v>1.43297833357297</c:v>
                </c:pt>
                <c:pt idx="35">
                  <c:v>1.43297833357297</c:v>
                </c:pt>
                <c:pt idx="36">
                  <c:v>1.43297833357297</c:v>
                </c:pt>
                <c:pt idx="37">
                  <c:v>1.43297833357297</c:v>
                </c:pt>
                <c:pt idx="38">
                  <c:v>1.43297833357297</c:v>
                </c:pt>
                <c:pt idx="39">
                  <c:v>1.43297833357297</c:v>
                </c:pt>
                <c:pt idx="40">
                  <c:v>1.43297833357297</c:v>
                </c:pt>
                <c:pt idx="41">
                  <c:v>1.43297833357297</c:v>
                </c:pt>
                <c:pt idx="42">
                  <c:v>1.43297833357297</c:v>
                </c:pt>
                <c:pt idx="43">
                  <c:v>1.43297833357297</c:v>
                </c:pt>
                <c:pt idx="44">
                  <c:v>1.43297833357297</c:v>
                </c:pt>
                <c:pt idx="45">
                  <c:v>1.43297833357297</c:v>
                </c:pt>
                <c:pt idx="46">
                  <c:v>1.43297833357297</c:v>
                </c:pt>
                <c:pt idx="47">
                  <c:v>1.43297833357297</c:v>
                </c:pt>
                <c:pt idx="48">
                  <c:v>1.43297833357297</c:v>
                </c:pt>
                <c:pt idx="49">
                  <c:v>1.43297833357297</c:v>
                </c:pt>
                <c:pt idx="50">
                  <c:v>1.43297833357297</c:v>
                </c:pt>
                <c:pt idx="51">
                  <c:v>1.43297833357297</c:v>
                </c:pt>
                <c:pt idx="52">
                  <c:v>1.43297833357297</c:v>
                </c:pt>
                <c:pt idx="53">
                  <c:v>1.43297833357297</c:v>
                </c:pt>
                <c:pt idx="54">
                  <c:v>1.43297833357297</c:v>
                </c:pt>
                <c:pt idx="55">
                  <c:v>1.43297833357297</c:v>
                </c:pt>
                <c:pt idx="56">
                  <c:v>1.43297833357297</c:v>
                </c:pt>
                <c:pt idx="57">
                  <c:v>1.43297833357297</c:v>
                </c:pt>
                <c:pt idx="58">
                  <c:v>1.43297833357297</c:v>
                </c:pt>
                <c:pt idx="59">
                  <c:v>1.43297833357297</c:v>
                </c:pt>
                <c:pt idx="60">
                  <c:v>1.43297833357297</c:v>
                </c:pt>
                <c:pt idx="61">
                  <c:v>1.43297833357297</c:v>
                </c:pt>
                <c:pt idx="62">
                  <c:v>1.43297833357297</c:v>
                </c:pt>
                <c:pt idx="63">
                  <c:v>1.43297833357297</c:v>
                </c:pt>
                <c:pt idx="64">
                  <c:v>1.43297833357297</c:v>
                </c:pt>
                <c:pt idx="65">
                  <c:v>1.43297833357297</c:v>
                </c:pt>
                <c:pt idx="66">
                  <c:v>1.43297833357297</c:v>
                </c:pt>
                <c:pt idx="67">
                  <c:v>1.43297833357297</c:v>
                </c:pt>
                <c:pt idx="68">
                  <c:v>1.43297833357297</c:v>
                </c:pt>
                <c:pt idx="69">
                  <c:v>1.43297833357297</c:v>
                </c:pt>
                <c:pt idx="70">
                  <c:v>1.43297833357297</c:v>
                </c:pt>
                <c:pt idx="71">
                  <c:v>1.43297833357297</c:v>
                </c:pt>
                <c:pt idx="72">
                  <c:v>1.43297833357297</c:v>
                </c:pt>
                <c:pt idx="73">
                  <c:v>1.43297833357297</c:v>
                </c:pt>
                <c:pt idx="74">
                  <c:v>1.43297833357297</c:v>
                </c:pt>
                <c:pt idx="75">
                  <c:v>1.43297833357297</c:v>
                </c:pt>
                <c:pt idx="76">
                  <c:v>1.43297833357297</c:v>
                </c:pt>
                <c:pt idx="77">
                  <c:v>1.43297833357297</c:v>
                </c:pt>
                <c:pt idx="78">
                  <c:v>1.43297833357297</c:v>
                </c:pt>
                <c:pt idx="79">
                  <c:v>1.43297833357297</c:v>
                </c:pt>
                <c:pt idx="80">
                  <c:v>1.43297833357297</c:v>
                </c:pt>
                <c:pt idx="81">
                  <c:v>1.43297833357297</c:v>
                </c:pt>
                <c:pt idx="82">
                  <c:v>1.43297833357297</c:v>
                </c:pt>
                <c:pt idx="83">
                  <c:v>1.43297833357297</c:v>
                </c:pt>
                <c:pt idx="84">
                  <c:v>1.43297833357297</c:v>
                </c:pt>
                <c:pt idx="85">
                  <c:v>1.43297833357297</c:v>
                </c:pt>
                <c:pt idx="86">
                  <c:v>1.43297833357297</c:v>
                </c:pt>
                <c:pt idx="87">
                  <c:v>1.43297833357297</c:v>
                </c:pt>
                <c:pt idx="88">
                  <c:v>1.43297833357297</c:v>
                </c:pt>
                <c:pt idx="89">
                  <c:v>1.43297833357297</c:v>
                </c:pt>
                <c:pt idx="90">
                  <c:v>1.43297833357297</c:v>
                </c:pt>
                <c:pt idx="91">
                  <c:v>1.43297833357297</c:v>
                </c:pt>
                <c:pt idx="92">
                  <c:v>1.43297833357297</c:v>
                </c:pt>
                <c:pt idx="93">
                  <c:v>1.43297833357297</c:v>
                </c:pt>
                <c:pt idx="94">
                  <c:v>1.43297833357297</c:v>
                </c:pt>
                <c:pt idx="95">
                  <c:v>1.43297833357297</c:v>
                </c:pt>
                <c:pt idx="96">
                  <c:v>1.43297833357297</c:v>
                </c:pt>
                <c:pt idx="97">
                  <c:v>1.43297833357297</c:v>
                </c:pt>
                <c:pt idx="98">
                  <c:v>1.43297833357297</c:v>
                </c:pt>
                <c:pt idx="99">
                  <c:v>1.43297833357297</c:v>
                </c:pt>
                <c:pt idx="100">
                  <c:v>1.43297833357297</c:v>
                </c:pt>
                <c:pt idx="101">
                  <c:v>1.43297833357297</c:v>
                </c:pt>
                <c:pt idx="102">
                  <c:v>1.43297833357297</c:v>
                </c:pt>
                <c:pt idx="103">
                  <c:v>1.43297833357297</c:v>
                </c:pt>
                <c:pt idx="104">
                  <c:v>1.43297833357297</c:v>
                </c:pt>
                <c:pt idx="105">
                  <c:v>1.43297833357297</c:v>
                </c:pt>
                <c:pt idx="106">
                  <c:v>1.43297833357297</c:v>
                </c:pt>
                <c:pt idx="107">
                  <c:v>1.43297833357297</c:v>
                </c:pt>
                <c:pt idx="108">
                  <c:v>1.43297833357297</c:v>
                </c:pt>
                <c:pt idx="109">
                  <c:v>1.43297833357297</c:v>
                </c:pt>
                <c:pt idx="110">
                  <c:v>1.43297833357297</c:v>
                </c:pt>
                <c:pt idx="111">
                  <c:v>1.43297833357297</c:v>
                </c:pt>
                <c:pt idx="112">
                  <c:v>1.43297833357297</c:v>
                </c:pt>
                <c:pt idx="113">
                  <c:v>1.43297833357297</c:v>
                </c:pt>
                <c:pt idx="114">
                  <c:v>1.43297833357297</c:v>
                </c:pt>
                <c:pt idx="115">
                  <c:v>1.43297833357297</c:v>
                </c:pt>
                <c:pt idx="116">
                  <c:v>1.43297833357297</c:v>
                </c:pt>
                <c:pt idx="117">
                  <c:v>1.43297833357297</c:v>
                </c:pt>
                <c:pt idx="118">
                  <c:v>1.43297833357297</c:v>
                </c:pt>
                <c:pt idx="119">
                  <c:v>1.43297833357297</c:v>
                </c:pt>
                <c:pt idx="120">
                  <c:v>1.43297833357297</c:v>
                </c:pt>
                <c:pt idx="121">
                  <c:v>1.43297833357297</c:v>
                </c:pt>
                <c:pt idx="122">
                  <c:v>1.43297833357297</c:v>
                </c:pt>
                <c:pt idx="123">
                  <c:v>1.43297833357297</c:v>
                </c:pt>
                <c:pt idx="124">
                  <c:v>1.43297833357297</c:v>
                </c:pt>
                <c:pt idx="125">
                  <c:v>1.43297833357297</c:v>
                </c:pt>
                <c:pt idx="126">
                  <c:v>1.43297833357297</c:v>
                </c:pt>
                <c:pt idx="127">
                  <c:v>1.43297833357297</c:v>
                </c:pt>
                <c:pt idx="128">
                  <c:v>1.43297833357297</c:v>
                </c:pt>
                <c:pt idx="129">
                  <c:v>1.43297833357297</c:v>
                </c:pt>
                <c:pt idx="130">
                  <c:v>1.43297833357297</c:v>
                </c:pt>
                <c:pt idx="131">
                  <c:v>1.43297833357297</c:v>
                </c:pt>
                <c:pt idx="132">
                  <c:v>1.43297833357297</c:v>
                </c:pt>
                <c:pt idx="133">
                  <c:v>1.43297833357297</c:v>
                </c:pt>
                <c:pt idx="134">
                  <c:v>1.43297833357297</c:v>
                </c:pt>
                <c:pt idx="135">
                  <c:v>1.43297833357297</c:v>
                </c:pt>
                <c:pt idx="136">
                  <c:v>1.43297833357297</c:v>
                </c:pt>
                <c:pt idx="137">
                  <c:v>1.43297833357297</c:v>
                </c:pt>
                <c:pt idx="138">
                  <c:v>1.43297833357297</c:v>
                </c:pt>
                <c:pt idx="139">
                  <c:v>1.43297833357297</c:v>
                </c:pt>
                <c:pt idx="140">
                  <c:v>1.43297833357297</c:v>
                </c:pt>
                <c:pt idx="141">
                  <c:v>1.43297833357297</c:v>
                </c:pt>
                <c:pt idx="142">
                  <c:v>1.43297833357297</c:v>
                </c:pt>
                <c:pt idx="143">
                  <c:v>1.43297833357297</c:v>
                </c:pt>
                <c:pt idx="144">
                  <c:v>1.43297833357297</c:v>
                </c:pt>
                <c:pt idx="145">
                  <c:v>1.43297833357297</c:v>
                </c:pt>
                <c:pt idx="146">
                  <c:v>1.43297833357297</c:v>
                </c:pt>
                <c:pt idx="147">
                  <c:v>1.43297833357297</c:v>
                </c:pt>
                <c:pt idx="148">
                  <c:v>1.43297833357297</c:v>
                </c:pt>
                <c:pt idx="149">
                  <c:v>1.43297833357297</c:v>
                </c:pt>
                <c:pt idx="150">
                  <c:v>1.43297833357297</c:v>
                </c:pt>
                <c:pt idx="151">
                  <c:v>1.43297833357297</c:v>
                </c:pt>
                <c:pt idx="152">
                  <c:v>1.43297833357297</c:v>
                </c:pt>
                <c:pt idx="153">
                  <c:v>1.43297833357297</c:v>
                </c:pt>
                <c:pt idx="154">
                  <c:v>1.43297833357297</c:v>
                </c:pt>
                <c:pt idx="155">
                  <c:v>1.43297833357297</c:v>
                </c:pt>
                <c:pt idx="156">
                  <c:v>1.43297833357297</c:v>
                </c:pt>
                <c:pt idx="157">
                  <c:v>1.43297833357297</c:v>
                </c:pt>
                <c:pt idx="158">
                  <c:v>1.43297833357297</c:v>
                </c:pt>
                <c:pt idx="159">
                  <c:v>1.43297833357297</c:v>
                </c:pt>
                <c:pt idx="160">
                  <c:v>1.43297833357297</c:v>
                </c:pt>
                <c:pt idx="161">
                  <c:v>1.43297833357297</c:v>
                </c:pt>
                <c:pt idx="162">
                  <c:v>1.43297833357297</c:v>
                </c:pt>
                <c:pt idx="163">
                  <c:v>1.43297833357297</c:v>
                </c:pt>
                <c:pt idx="164">
                  <c:v>1.43297833357297</c:v>
                </c:pt>
                <c:pt idx="165">
                  <c:v>1.43297833357297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A44-4817-989C-0A1EF48240B3}"/>
            </c:ext>
          </c:extLst>
        </c:ser>
        <c:ser>
          <c:idx val="1"/>
          <c:order val="1"/>
          <c:tx>
            <c:strRef>
              <c:f>VWOB_EMB_2!$P$1</c:f>
              <c:strCache>
                <c:ptCount val="1"/>
                <c:pt idx="0">
                  <c:v> EMB/VWOB 10 dma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VWOB_EMB_2!$P$2:$P$167</c:f>
              <c:numCache>
                <c:formatCode>_(* #,##0.0000_);_(* \(#,##0.0000\);_(* "-"??_);_(@_)</c:formatCode>
                <c:ptCount val="166"/>
                <c:pt idx="9">
                  <c:v>1.42793758172053</c:v>
                </c:pt>
                <c:pt idx="10">
                  <c:v>1.42788878921141</c:v>
                </c:pt>
                <c:pt idx="11">
                  <c:v>1.42773103849158</c:v>
                </c:pt>
                <c:pt idx="12">
                  <c:v>1.4277839720705301</c:v>
                </c:pt>
                <c:pt idx="13">
                  <c:v>1.42783507713292</c:v>
                </c:pt>
                <c:pt idx="14">
                  <c:v>1.4279775342902199</c:v>
                </c:pt>
                <c:pt idx="15">
                  <c:v>1.4279393569891601</c:v>
                </c:pt>
                <c:pt idx="16">
                  <c:v>1.4279392912717199</c:v>
                </c:pt>
                <c:pt idx="17">
                  <c:v>1.4280453907781401</c:v>
                </c:pt>
                <c:pt idx="18">
                  <c:v>1.4279760054760799</c:v>
                </c:pt>
                <c:pt idx="19">
                  <c:v>1.42790431806298</c:v>
                </c:pt>
                <c:pt idx="20">
                  <c:v>1.4280548134676601</c:v>
                </c:pt>
                <c:pt idx="21">
                  <c:v>1.4283122424385699</c:v>
                </c:pt>
                <c:pt idx="22">
                  <c:v>1.4285459816281301</c:v>
                </c:pt>
                <c:pt idx="23">
                  <c:v>1.42867714157738</c:v>
                </c:pt>
                <c:pt idx="24">
                  <c:v>1.4289286253693401</c:v>
                </c:pt>
                <c:pt idx="25">
                  <c:v>1.42909765577766</c:v>
                </c:pt>
                <c:pt idx="26">
                  <c:v>1.42918820152932</c:v>
                </c:pt>
                <c:pt idx="27">
                  <c:v>1.4293230321254</c:v>
                </c:pt>
                <c:pt idx="28">
                  <c:v>1.4295041766686101</c:v>
                </c:pt>
                <c:pt idx="29">
                  <c:v>1.4297104256425399</c:v>
                </c:pt>
                <c:pt idx="30">
                  <c:v>1.4297436329408599</c:v>
                </c:pt>
                <c:pt idx="31">
                  <c:v>1.4297216751631301</c:v>
                </c:pt>
                <c:pt idx="32">
                  <c:v>1.4295402569312501</c:v>
                </c:pt>
                <c:pt idx="33">
                  <c:v>1.4295960188033201</c:v>
                </c:pt>
                <c:pt idx="34">
                  <c:v>1.4294347031585</c:v>
                </c:pt>
                <c:pt idx="35">
                  <c:v>1.42941415776605</c:v>
                </c:pt>
                <c:pt idx="36">
                  <c:v>1.4294530842055999</c:v>
                </c:pt>
                <c:pt idx="37">
                  <c:v>1.42943131423069</c:v>
                </c:pt>
                <c:pt idx="38">
                  <c:v>1.4295063268483601</c:v>
                </c:pt>
                <c:pt idx="39">
                  <c:v>1.42977904143551</c:v>
                </c:pt>
                <c:pt idx="40">
                  <c:v>1.43001477616378</c:v>
                </c:pt>
                <c:pt idx="41">
                  <c:v>1.43038926641557</c:v>
                </c:pt>
                <c:pt idx="42">
                  <c:v>1.4304980545669099</c:v>
                </c:pt>
                <c:pt idx="43">
                  <c:v>1.4305644149928201</c:v>
                </c:pt>
                <c:pt idx="44">
                  <c:v>1.4307039273745401</c:v>
                </c:pt>
                <c:pt idx="45">
                  <c:v>1.43070671066724</c:v>
                </c:pt>
                <c:pt idx="46">
                  <c:v>1.4305816579117101</c:v>
                </c:pt>
                <c:pt idx="47">
                  <c:v>1.4304381609143899</c:v>
                </c:pt>
                <c:pt idx="48">
                  <c:v>1.4304751929711801</c:v>
                </c:pt>
                <c:pt idx="49">
                  <c:v>1.4301856710233301</c:v>
                </c:pt>
                <c:pt idx="50">
                  <c:v>1.42994267721485</c:v>
                </c:pt>
                <c:pt idx="51">
                  <c:v>1.42961309373729</c:v>
                </c:pt>
                <c:pt idx="52">
                  <c:v>1.42967013660027</c:v>
                </c:pt>
                <c:pt idx="53">
                  <c:v>1.4294996927818899</c:v>
                </c:pt>
                <c:pt idx="54">
                  <c:v>1.4296125274535001</c:v>
                </c:pt>
                <c:pt idx="55">
                  <c:v>1.4295969069007299</c:v>
                </c:pt>
                <c:pt idx="56">
                  <c:v>1.4297767738999101</c:v>
                </c:pt>
                <c:pt idx="57">
                  <c:v>1.43002527540339</c:v>
                </c:pt>
                <c:pt idx="58">
                  <c:v>1.43000360545339</c:v>
                </c:pt>
                <c:pt idx="59">
                  <c:v>1.4300312698178601</c:v>
                </c:pt>
                <c:pt idx="60">
                  <c:v>1.4301209952648499</c:v>
                </c:pt>
                <c:pt idx="61">
                  <c:v>1.4302522253815</c:v>
                </c:pt>
                <c:pt idx="62">
                  <c:v>1.4301623231269101</c:v>
                </c:pt>
                <c:pt idx="63">
                  <c:v>1.43023396933745</c:v>
                </c:pt>
                <c:pt idx="64">
                  <c:v>1.42988830379089</c:v>
                </c:pt>
                <c:pt idx="65">
                  <c:v>1.4301681900647001</c:v>
                </c:pt>
                <c:pt idx="66">
                  <c:v>1.4303504600794199</c:v>
                </c:pt>
                <c:pt idx="67">
                  <c:v>1.4304920208194001</c:v>
                </c:pt>
                <c:pt idx="68">
                  <c:v>1.43073486091486</c:v>
                </c:pt>
                <c:pt idx="69">
                  <c:v>1.43106042670362</c:v>
                </c:pt>
                <c:pt idx="70">
                  <c:v>1.4311720236868399</c:v>
                </c:pt>
                <c:pt idx="71">
                  <c:v>1.4313017106180399</c:v>
                </c:pt>
                <c:pt idx="72">
                  <c:v>1.4315099189914899</c:v>
                </c:pt>
                <c:pt idx="73">
                  <c:v>1.43168767351016</c:v>
                </c:pt>
                <c:pt idx="74">
                  <c:v>1.4319819190585299</c:v>
                </c:pt>
                <c:pt idx="75">
                  <c:v>1.4318890438371099</c:v>
                </c:pt>
                <c:pt idx="76">
                  <c:v>1.43166103934856</c:v>
                </c:pt>
                <c:pt idx="77">
                  <c:v>1.43161592121134</c:v>
                </c:pt>
                <c:pt idx="78">
                  <c:v>1.4315518495667501</c:v>
                </c:pt>
                <c:pt idx="79">
                  <c:v>1.4314963832840999</c:v>
                </c:pt>
                <c:pt idx="80">
                  <c:v>1.4314661467710901</c:v>
                </c:pt>
                <c:pt idx="81">
                  <c:v>1.43139180980509</c:v>
                </c:pt>
                <c:pt idx="82">
                  <c:v>1.43146008863523</c:v>
                </c:pt>
                <c:pt idx="83">
                  <c:v>1.4315353608308401</c:v>
                </c:pt>
                <c:pt idx="84">
                  <c:v>1.4316722249274301</c:v>
                </c:pt>
                <c:pt idx="85">
                  <c:v>1.4318282439124199</c:v>
                </c:pt>
                <c:pt idx="86">
                  <c:v>1.4320825189162101</c:v>
                </c:pt>
                <c:pt idx="87">
                  <c:v>1.43226407185939</c:v>
                </c:pt>
                <c:pt idx="88">
                  <c:v>1.43240967616837</c:v>
                </c:pt>
                <c:pt idx="89">
                  <c:v>1.4325586123062299</c:v>
                </c:pt>
                <c:pt idx="90">
                  <c:v>1.432940904711</c:v>
                </c:pt>
                <c:pt idx="91">
                  <c:v>1.4332382035826801</c:v>
                </c:pt>
                <c:pt idx="92">
                  <c:v>1.4331725741825201</c:v>
                </c:pt>
                <c:pt idx="93">
                  <c:v>1.4332566050364</c:v>
                </c:pt>
                <c:pt idx="94">
                  <c:v>1.43335126291091</c:v>
                </c:pt>
                <c:pt idx="95">
                  <c:v>1.4334340276053901</c:v>
                </c:pt>
                <c:pt idx="96">
                  <c:v>1.43361749315562</c:v>
                </c:pt>
                <c:pt idx="97">
                  <c:v>1.4338040255403699</c:v>
                </c:pt>
                <c:pt idx="98">
                  <c:v>1.4339970597433001</c:v>
                </c:pt>
                <c:pt idx="99">
                  <c:v>1.4341071015287199</c:v>
                </c:pt>
                <c:pt idx="100">
                  <c:v>1.43408784095051</c:v>
                </c:pt>
                <c:pt idx="101">
                  <c:v>1.4340462583934399</c:v>
                </c:pt>
                <c:pt idx="102">
                  <c:v>1.43442709789133</c:v>
                </c:pt>
                <c:pt idx="103">
                  <c:v>1.43473621480753</c:v>
                </c:pt>
                <c:pt idx="104">
                  <c:v>1.4348886360522899</c:v>
                </c:pt>
                <c:pt idx="105">
                  <c:v>1.4349158657290599</c:v>
                </c:pt>
                <c:pt idx="106">
                  <c:v>1.4347991038572101</c:v>
                </c:pt>
                <c:pt idx="107">
                  <c:v>1.4346838424162101</c:v>
                </c:pt>
                <c:pt idx="108">
                  <c:v>1.43466426056217</c:v>
                </c:pt>
                <c:pt idx="109">
                  <c:v>1.4346878937630101</c:v>
                </c:pt>
                <c:pt idx="110">
                  <c:v>1.4347903044363</c:v>
                </c:pt>
                <c:pt idx="111">
                  <c:v>1.4348355161573501</c:v>
                </c:pt>
                <c:pt idx="112">
                  <c:v>1.4348089680656499</c:v>
                </c:pt>
                <c:pt idx="113">
                  <c:v>1.4346716320870301</c:v>
                </c:pt>
                <c:pt idx="114">
                  <c:v>1.43461778011494</c:v>
                </c:pt>
                <c:pt idx="115">
                  <c:v>1.43459473131444</c:v>
                </c:pt>
                <c:pt idx="116">
                  <c:v>1.4347391356013599</c:v>
                </c:pt>
                <c:pt idx="117">
                  <c:v>1.4348318479611299</c:v>
                </c:pt>
                <c:pt idx="118">
                  <c:v>1.43484717488092</c:v>
                </c:pt>
                <c:pt idx="119">
                  <c:v>1.4348325218506299</c:v>
                </c:pt>
                <c:pt idx="120">
                  <c:v>1.4348711711277999</c:v>
                </c:pt>
                <c:pt idx="121">
                  <c:v>1.43491517433041</c:v>
                </c:pt>
                <c:pt idx="122">
                  <c:v>1.43479116437252</c:v>
                </c:pt>
                <c:pt idx="123">
                  <c:v>1.4349346257617199</c:v>
                </c:pt>
                <c:pt idx="124">
                  <c:v>1.43507213843672</c:v>
                </c:pt>
                <c:pt idx="125">
                  <c:v>1.4353396726240399</c:v>
                </c:pt>
                <c:pt idx="126">
                  <c:v>1.4357471651692899</c:v>
                </c:pt>
                <c:pt idx="127">
                  <c:v>1.4360325169728001</c:v>
                </c:pt>
                <c:pt idx="128">
                  <c:v>1.4363874309112801</c:v>
                </c:pt>
                <c:pt idx="129">
                  <c:v>1.4365867447223599</c:v>
                </c:pt>
                <c:pt idx="130">
                  <c:v>1.4366777066880401</c:v>
                </c:pt>
                <c:pt idx="131">
                  <c:v>1.43689083498471</c:v>
                </c:pt>
                <c:pt idx="132">
                  <c:v>1.43720304189715</c:v>
                </c:pt>
                <c:pt idx="133">
                  <c:v>1.4372257812860101</c:v>
                </c:pt>
                <c:pt idx="134">
                  <c:v>1.43734104432101</c:v>
                </c:pt>
                <c:pt idx="135">
                  <c:v>1.4373584060642199</c:v>
                </c:pt>
                <c:pt idx="136">
                  <c:v>1.43733841911139</c:v>
                </c:pt>
                <c:pt idx="137">
                  <c:v>1.4373670462284101</c:v>
                </c:pt>
                <c:pt idx="138">
                  <c:v>1.43733647265336</c:v>
                </c:pt>
                <c:pt idx="139">
                  <c:v>1.4373594449320399</c:v>
                </c:pt>
                <c:pt idx="140">
                  <c:v>1.4375284315947601</c:v>
                </c:pt>
                <c:pt idx="141">
                  <c:v>1.4377795009666201</c:v>
                </c:pt>
                <c:pt idx="142">
                  <c:v>1.43788012943202</c:v>
                </c:pt>
                <c:pt idx="143">
                  <c:v>1.4381700064734799</c:v>
                </c:pt>
                <c:pt idx="144">
                  <c:v>1.43824543638928</c:v>
                </c:pt>
                <c:pt idx="145">
                  <c:v>1.4385044221318399</c:v>
                </c:pt>
                <c:pt idx="146">
                  <c:v>1.4386322976838799</c:v>
                </c:pt>
                <c:pt idx="147">
                  <c:v>1.43866626728661</c:v>
                </c:pt>
                <c:pt idx="148">
                  <c:v>1.4386270484066901</c:v>
                </c:pt>
                <c:pt idx="149">
                  <c:v>1.43875181192058</c:v>
                </c:pt>
                <c:pt idx="150">
                  <c:v>1.43870072204926</c:v>
                </c:pt>
                <c:pt idx="151">
                  <c:v>1.43856953175446</c:v>
                </c:pt>
                <c:pt idx="152">
                  <c:v>1.4386004479265999</c:v>
                </c:pt>
                <c:pt idx="153">
                  <c:v>1.4385702591685201</c:v>
                </c:pt>
                <c:pt idx="154">
                  <c:v>1.4385295196112</c:v>
                </c:pt>
                <c:pt idx="155">
                  <c:v>1.4382570195022499</c:v>
                </c:pt>
                <c:pt idx="156">
                  <c:v>1.4380321483752001</c:v>
                </c:pt>
                <c:pt idx="157">
                  <c:v>1.4380501851674199</c:v>
                </c:pt>
                <c:pt idx="158">
                  <c:v>1.4379525795363799</c:v>
                </c:pt>
                <c:pt idx="159">
                  <c:v>1.4378183601793</c:v>
                </c:pt>
                <c:pt idx="160">
                  <c:v>1.43776814767214</c:v>
                </c:pt>
                <c:pt idx="161">
                  <c:v>1.4377951323495299</c:v>
                </c:pt>
                <c:pt idx="162">
                  <c:v>1.4378107185384801</c:v>
                </c:pt>
                <c:pt idx="163">
                  <c:v>1.43763715294566</c:v>
                </c:pt>
                <c:pt idx="164">
                  <c:v>1.43765605682618</c:v>
                </c:pt>
                <c:pt idx="165">
                  <c:v>1.43767504221916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A44-4817-989C-0A1EF48240B3}"/>
            </c:ext>
          </c:extLst>
        </c:ser>
        <c:ser>
          <c:idx val="2"/>
          <c:order val="2"/>
          <c:tx>
            <c:strRef>
              <c:f>VWOB_EMB_2!$Q$1</c:f>
              <c:strCache>
                <c:ptCount val="1"/>
                <c:pt idx="0">
                  <c:v> EMB/VWOB 20 dma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VWOB_EMB_2!$Q$2:$Q$167</c:f>
              <c:numCache>
                <c:formatCode>_(* #,##0.0000_);_(* \(#,##0.0000\);_(* "-"??_);_(@_)</c:formatCode>
                <c:ptCount val="166"/>
                <c:pt idx="19">
                  <c:v>1.42792094989175</c:v>
                </c:pt>
                <c:pt idx="20">
                  <c:v>1.4279718013395399</c:v>
                </c:pt>
                <c:pt idx="21">
                  <c:v>1.4280216404650701</c:v>
                </c:pt>
                <c:pt idx="22">
                  <c:v>1.4281649768493301</c:v>
                </c:pt>
                <c:pt idx="23">
                  <c:v>1.42825610935515</c:v>
                </c:pt>
                <c:pt idx="24">
                  <c:v>1.4284530798297801</c:v>
                </c:pt>
                <c:pt idx="25">
                  <c:v>1.42851850638341</c:v>
                </c:pt>
                <c:pt idx="26">
                  <c:v>1.4285637464005201</c:v>
                </c:pt>
                <c:pt idx="27">
                  <c:v>1.4286842114517699</c:v>
                </c:pt>
                <c:pt idx="28">
                  <c:v>1.42874009107235</c:v>
                </c:pt>
                <c:pt idx="29">
                  <c:v>1.4288073718527601</c:v>
                </c:pt>
                <c:pt idx="30">
                  <c:v>1.4288992232042601</c:v>
                </c:pt>
                <c:pt idx="31">
                  <c:v>1.4290169588008499</c:v>
                </c:pt>
                <c:pt idx="32">
                  <c:v>1.42904311927969</c:v>
                </c:pt>
                <c:pt idx="33">
                  <c:v>1.4291365801903499</c:v>
                </c:pt>
                <c:pt idx="34">
                  <c:v>1.4291816642639199</c:v>
                </c:pt>
                <c:pt idx="35">
                  <c:v>1.42925590677185</c:v>
                </c:pt>
                <c:pt idx="36">
                  <c:v>1.4293206428674601</c:v>
                </c:pt>
                <c:pt idx="37">
                  <c:v>1.42937717317805</c:v>
                </c:pt>
                <c:pt idx="38">
                  <c:v>1.4295052517584801</c:v>
                </c:pt>
                <c:pt idx="39">
                  <c:v>1.4297447335390201</c:v>
                </c:pt>
                <c:pt idx="40">
                  <c:v>1.4298792045523201</c:v>
                </c:pt>
                <c:pt idx="41">
                  <c:v>1.43005547078935</c:v>
                </c:pt>
                <c:pt idx="42">
                  <c:v>1.43001915574908</c:v>
                </c:pt>
                <c:pt idx="43">
                  <c:v>1.43008021689807</c:v>
                </c:pt>
                <c:pt idx="44">
                  <c:v>1.43006931526652</c:v>
                </c:pt>
                <c:pt idx="45">
                  <c:v>1.4300604342166501</c:v>
                </c:pt>
                <c:pt idx="46">
                  <c:v>1.4300173710586499</c:v>
                </c:pt>
                <c:pt idx="47">
                  <c:v>1.42993473757254</c:v>
                </c:pt>
                <c:pt idx="48">
                  <c:v>1.4299907599097701</c:v>
                </c:pt>
                <c:pt idx="49">
                  <c:v>1.42998235622942</c:v>
                </c:pt>
                <c:pt idx="50">
                  <c:v>1.42997872668932</c:v>
                </c:pt>
                <c:pt idx="51">
                  <c:v>1.4300011800764301</c:v>
                </c:pt>
                <c:pt idx="52">
                  <c:v>1.4300840955835901</c:v>
                </c:pt>
                <c:pt idx="53">
                  <c:v>1.4300320538873501</c:v>
                </c:pt>
                <c:pt idx="54">
                  <c:v>1.4301582274140201</c:v>
                </c:pt>
                <c:pt idx="55">
                  <c:v>1.43015180878399</c:v>
                </c:pt>
                <c:pt idx="56">
                  <c:v>1.43017921590581</c:v>
                </c:pt>
                <c:pt idx="57">
                  <c:v>1.4302317181588899</c:v>
                </c:pt>
                <c:pt idx="58">
                  <c:v>1.4302393992122899</c:v>
                </c:pt>
                <c:pt idx="59">
                  <c:v>1.43010847042059</c:v>
                </c:pt>
                <c:pt idx="60">
                  <c:v>1.4300318362398501</c:v>
                </c:pt>
                <c:pt idx="61">
                  <c:v>1.42993265955939</c:v>
                </c:pt>
                <c:pt idx="62">
                  <c:v>1.4299162298635899</c:v>
                </c:pt>
                <c:pt idx="63">
                  <c:v>1.4298668310596701</c:v>
                </c:pt>
                <c:pt idx="64">
                  <c:v>1.4297504156221901</c:v>
                </c:pt>
                <c:pt idx="65">
                  <c:v>1.42988254848272</c:v>
                </c:pt>
                <c:pt idx="66">
                  <c:v>1.4300636169896599</c:v>
                </c:pt>
                <c:pt idx="67">
                  <c:v>1.4302586481113899</c:v>
                </c:pt>
                <c:pt idx="68">
                  <c:v>1.43036923318413</c:v>
                </c:pt>
                <c:pt idx="69">
                  <c:v>1.43054584826074</c:v>
                </c:pt>
                <c:pt idx="70">
                  <c:v>1.43064650947585</c:v>
                </c:pt>
                <c:pt idx="71">
                  <c:v>1.4307769679997699</c:v>
                </c:pt>
                <c:pt idx="72">
                  <c:v>1.4308361210592</c:v>
                </c:pt>
                <c:pt idx="73">
                  <c:v>1.4309608214238101</c:v>
                </c:pt>
                <c:pt idx="74">
                  <c:v>1.43093511142471</c:v>
                </c:pt>
                <c:pt idx="75">
                  <c:v>1.4310286169509101</c:v>
                </c:pt>
                <c:pt idx="76">
                  <c:v>1.4310057497139901</c:v>
                </c:pt>
                <c:pt idx="77">
                  <c:v>1.43105397101537</c:v>
                </c:pt>
                <c:pt idx="78">
                  <c:v>1.4311433552407999</c:v>
                </c:pt>
                <c:pt idx="79">
                  <c:v>1.4312784049938601</c:v>
                </c:pt>
                <c:pt idx="80">
                  <c:v>1.4313190852289699</c:v>
                </c:pt>
                <c:pt idx="81">
                  <c:v>1.4313467602115699</c:v>
                </c:pt>
                <c:pt idx="82">
                  <c:v>1.43148500381336</c:v>
                </c:pt>
                <c:pt idx="83">
                  <c:v>1.4316115171704999</c:v>
                </c:pt>
                <c:pt idx="84">
                  <c:v>1.43182707199298</c:v>
                </c:pt>
                <c:pt idx="85">
                  <c:v>1.43185864387476</c:v>
                </c:pt>
                <c:pt idx="86">
                  <c:v>1.4318717791323801</c:v>
                </c:pt>
                <c:pt idx="87">
                  <c:v>1.4319399965353601</c:v>
                </c:pt>
                <c:pt idx="88">
                  <c:v>1.43198076286756</c:v>
                </c:pt>
                <c:pt idx="89">
                  <c:v>1.4320274977951699</c:v>
                </c:pt>
                <c:pt idx="90">
                  <c:v>1.4322035257410399</c:v>
                </c:pt>
                <c:pt idx="91">
                  <c:v>1.4323150066938799</c:v>
                </c:pt>
                <c:pt idx="92">
                  <c:v>1.43231633140887</c:v>
                </c:pt>
                <c:pt idx="93">
                  <c:v>1.4323959829336199</c:v>
                </c:pt>
                <c:pt idx="94">
                  <c:v>1.4325117439191699</c:v>
                </c:pt>
                <c:pt idx="95">
                  <c:v>1.4326311357589001</c:v>
                </c:pt>
                <c:pt idx="96">
                  <c:v>1.43285000603591</c:v>
                </c:pt>
                <c:pt idx="97">
                  <c:v>1.43303404869988</c:v>
                </c:pt>
                <c:pt idx="98">
                  <c:v>1.43320336795583</c:v>
                </c:pt>
                <c:pt idx="99">
                  <c:v>1.4333328569174799</c:v>
                </c:pt>
                <c:pt idx="100">
                  <c:v>1.43351437283075</c:v>
                </c:pt>
                <c:pt idx="101">
                  <c:v>1.4336422309880601</c:v>
                </c:pt>
                <c:pt idx="102">
                  <c:v>1.43379983603693</c:v>
                </c:pt>
                <c:pt idx="103">
                  <c:v>1.43399640992196</c:v>
                </c:pt>
                <c:pt idx="104">
                  <c:v>1.4341199494815999</c:v>
                </c:pt>
                <c:pt idx="105">
                  <c:v>1.43417494666722</c:v>
                </c:pt>
                <c:pt idx="106">
                  <c:v>1.43420829850641</c:v>
                </c:pt>
                <c:pt idx="107">
                  <c:v>1.43424393397829</c:v>
                </c:pt>
                <c:pt idx="108">
                  <c:v>1.4343306601527299</c:v>
                </c:pt>
                <c:pt idx="109">
                  <c:v>1.43439749764587</c:v>
                </c:pt>
                <c:pt idx="110">
                  <c:v>1.4344390726934</c:v>
                </c:pt>
                <c:pt idx="111">
                  <c:v>1.43444088727539</c:v>
                </c:pt>
                <c:pt idx="112">
                  <c:v>1.4346180329784901</c:v>
                </c:pt>
                <c:pt idx="113">
                  <c:v>1.43470392344728</c:v>
                </c:pt>
                <c:pt idx="114">
                  <c:v>1.4347532080836101</c:v>
                </c:pt>
                <c:pt idx="115">
                  <c:v>1.43475529852175</c:v>
                </c:pt>
                <c:pt idx="116">
                  <c:v>1.43476911972929</c:v>
                </c:pt>
                <c:pt idx="117">
                  <c:v>1.43475784518867</c:v>
                </c:pt>
                <c:pt idx="118">
                  <c:v>1.43475571772154</c:v>
                </c:pt>
                <c:pt idx="119">
                  <c:v>1.43476020780682</c:v>
                </c:pt>
                <c:pt idx="120">
                  <c:v>1.4348307377820499</c:v>
                </c:pt>
                <c:pt idx="121">
                  <c:v>1.4348753452438801</c:v>
                </c:pt>
                <c:pt idx="122">
                  <c:v>1.4348000662190801</c:v>
                </c:pt>
                <c:pt idx="123">
                  <c:v>1.4348031289243699</c:v>
                </c:pt>
                <c:pt idx="124">
                  <c:v>1.4348449592758299</c:v>
                </c:pt>
                <c:pt idx="125">
                  <c:v>1.4349672019692401</c:v>
                </c:pt>
                <c:pt idx="126">
                  <c:v>1.43524315038533</c:v>
                </c:pt>
                <c:pt idx="127">
                  <c:v>1.43543218246696</c:v>
                </c:pt>
                <c:pt idx="128">
                  <c:v>1.4356173028960999</c:v>
                </c:pt>
                <c:pt idx="129">
                  <c:v>1.43570963328649</c:v>
                </c:pt>
                <c:pt idx="130">
                  <c:v>1.4357744389079199</c:v>
                </c:pt>
                <c:pt idx="131">
                  <c:v>1.43590300465756</c:v>
                </c:pt>
                <c:pt idx="132">
                  <c:v>1.43599710313484</c:v>
                </c:pt>
                <c:pt idx="133">
                  <c:v>1.43608020352386</c:v>
                </c:pt>
                <c:pt idx="134">
                  <c:v>1.43620659137887</c:v>
                </c:pt>
                <c:pt idx="135">
                  <c:v>1.4363490393441301</c:v>
                </c:pt>
                <c:pt idx="136">
                  <c:v>1.43654279214034</c:v>
                </c:pt>
                <c:pt idx="137">
                  <c:v>1.4366997816006</c:v>
                </c:pt>
                <c:pt idx="138">
                  <c:v>1.43686195178232</c:v>
                </c:pt>
                <c:pt idx="139">
                  <c:v>1.4369730948271999</c:v>
                </c:pt>
                <c:pt idx="140">
                  <c:v>1.4371030691414</c:v>
                </c:pt>
                <c:pt idx="141">
                  <c:v>1.4373351679756601</c:v>
                </c:pt>
                <c:pt idx="142">
                  <c:v>1.4375415856645899</c:v>
                </c:pt>
                <c:pt idx="143">
                  <c:v>1.43769789387974</c:v>
                </c:pt>
                <c:pt idx="144">
                  <c:v>1.4377932403551399</c:v>
                </c:pt>
                <c:pt idx="145">
                  <c:v>1.4379314140980299</c:v>
                </c:pt>
                <c:pt idx="146">
                  <c:v>1.4379853583976301</c:v>
                </c:pt>
                <c:pt idx="147">
                  <c:v>1.4380166567575099</c:v>
                </c:pt>
                <c:pt idx="148">
                  <c:v>1.43798176053002</c:v>
                </c:pt>
                <c:pt idx="149">
                  <c:v>1.43805562842631</c:v>
                </c:pt>
                <c:pt idx="150">
                  <c:v>1.43811457682201</c:v>
                </c:pt>
                <c:pt idx="151">
                  <c:v>1.4381745163605399</c:v>
                </c:pt>
                <c:pt idx="152">
                  <c:v>1.43824028867931</c:v>
                </c:pt>
                <c:pt idx="153">
                  <c:v>1.4383701328209999</c:v>
                </c:pt>
                <c:pt idx="154">
                  <c:v>1.4383874780002399</c:v>
                </c:pt>
                <c:pt idx="155">
                  <c:v>1.43838072081704</c:v>
                </c:pt>
                <c:pt idx="156">
                  <c:v>1.4383322230295399</c:v>
                </c:pt>
                <c:pt idx="157">
                  <c:v>1.43835822622702</c:v>
                </c:pt>
                <c:pt idx="158">
                  <c:v>1.4382898139715301</c:v>
                </c:pt>
                <c:pt idx="159">
                  <c:v>1.4382850860499401</c:v>
                </c:pt>
                <c:pt idx="160">
                  <c:v>1.4382344348606999</c:v>
                </c:pt>
                <c:pt idx="161">
                  <c:v>1.438182332052</c:v>
                </c:pt>
                <c:pt idx="162">
                  <c:v>1.43820558323254</c:v>
                </c:pt>
                <c:pt idx="163">
                  <c:v>1.43810370605709</c:v>
                </c:pt>
                <c:pt idx="164">
                  <c:v>1.43809278821869</c:v>
                </c:pt>
                <c:pt idx="165">
                  <c:v>1.4379660308607101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A44-4817-989C-0A1EF48240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6993888"/>
        <c:axId val="254732912"/>
      </c:lineChart>
      <c:catAx>
        <c:axId val="1686993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4732912"/>
        <c:crosses val="autoZero"/>
        <c:auto val="1"/>
        <c:lblAlgn val="ctr"/>
        <c:lblOffset val="100"/>
        <c:noMultiLvlLbl val="0"/>
      </c:catAx>
      <c:valAx>
        <c:axId val="254732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69938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VWOB_EMB_2!$AF$1</c:f>
              <c:strCache>
                <c:ptCount val="1"/>
                <c:pt idx="0">
                  <c:v>log diff VWOB* x 10 dma / EMB*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VWOB_EMB_2!$AF$2:$AF$167</c:f>
              <c:numCache>
                <c:formatCode>0.00%</c:formatCode>
                <c:ptCount val="166"/>
                <c:pt idx="10">
                  <c:v>4.9122517450385795E-4</c:v>
                </c:pt>
                <c:pt idx="11">
                  <c:v>8.4929720057384101E-4</c:v>
                </c:pt>
                <c:pt idx="12">
                  <c:v>-5.8844615637519302E-4</c:v>
                </c:pt>
                <c:pt idx="13">
                  <c:v>-4.8063004036398301E-5</c:v>
                </c:pt>
                <c:pt idx="14">
                  <c:v>-2.7928399777874398E-4</c:v>
                </c:pt>
                <c:pt idx="15">
                  <c:v>-4.7483385964414198E-4</c:v>
                </c:pt>
                <c:pt idx="16">
                  <c:v>-5.3111805433210004E-4</c:v>
                </c:pt>
                <c:pt idx="17">
                  <c:v>-3.2436627415734101E-4</c:v>
                </c:pt>
                <c:pt idx="18">
                  <c:v>5.3274642172497098E-4</c:v>
                </c:pt>
                <c:pt idx="19">
                  <c:v>3.8154379549399297E-4</c:v>
                </c:pt>
                <c:pt idx="20">
                  <c:v>1.4496310180745899E-4</c:v>
                </c:pt>
                <c:pt idx="21">
                  <c:v>-1.7774104379528601E-4</c:v>
                </c:pt>
                <c:pt idx="22">
                  <c:v>-1.22457093569409E-3</c:v>
                </c:pt>
                <c:pt idx="23">
                  <c:v>7.7213971045873004E-5</c:v>
                </c:pt>
                <c:pt idx="24">
                  <c:v>-1.0084375261886101E-3</c:v>
                </c:pt>
                <c:pt idx="25">
                  <c:v>-6.2598653030531196E-4</c:v>
                </c:pt>
                <c:pt idx="26">
                  <c:v>-6.6077634967473306E-5</c:v>
                </c:pt>
                <c:pt idx="27">
                  <c:v>-1.7817355148522899E-4</c:v>
                </c:pt>
                <c:pt idx="28">
                  <c:v>2.9701764208595798E-4</c:v>
                </c:pt>
                <c:pt idx="29">
                  <c:v>7.3438843000948694E-5</c:v>
                </c:pt>
                <c:pt idx="30">
                  <c:v>4.36608971681049E-4</c:v>
                </c:pt>
                <c:pt idx="31">
                  <c:v>4.8979330050992302E-4</c:v>
                </c:pt>
                <c:pt idx="32">
                  <c:v>4.3234738212252099E-4</c:v>
                </c:pt>
                <c:pt idx="33">
                  <c:v>-1.3023770717544999E-4</c:v>
                </c:pt>
                <c:pt idx="34">
                  <c:v>3.17121245270829E-4</c:v>
                </c:pt>
                <c:pt idx="35">
                  <c:v>-4.9346885426952399E-4</c:v>
                </c:pt>
                <c:pt idx="36">
                  <c:v>-4.0482109170868999E-4</c:v>
                </c:pt>
                <c:pt idx="37">
                  <c:v>-5.6892697830441398E-5</c:v>
                </c:pt>
                <c:pt idx="38">
                  <c:v>-2.8990245636815201E-4</c:v>
                </c:pt>
                <c:pt idx="39">
                  <c:v>-1.32683449855819E-3</c:v>
                </c:pt>
                <c:pt idx="40">
                  <c:v>-6.4064253012317601E-4</c:v>
                </c:pt>
                <c:pt idx="41">
                  <c:v>-1.46774549073058E-3</c:v>
                </c:pt>
                <c:pt idx="42">
                  <c:v>5.37168635784782E-4</c:v>
                </c:pt>
                <c:pt idx="43">
                  <c:v>4.2462646893281998E-4</c:v>
                </c:pt>
                <c:pt idx="44">
                  <c:v>3.10269454186755E-4</c:v>
                </c:pt>
                <c:pt idx="45">
                  <c:v>6.0133258481631505E-4</c:v>
                </c:pt>
                <c:pt idx="46">
                  <c:v>1.5386739615175201E-3</c:v>
                </c:pt>
                <c:pt idx="47">
                  <c:v>1.85207977656781E-3</c:v>
                </c:pt>
                <c:pt idx="48">
                  <c:v>2.3322453863687301E-4</c:v>
                </c:pt>
                <c:pt idx="49">
                  <c:v>8.1194556850723099E-4</c:v>
                </c:pt>
                <c:pt idx="50">
                  <c:v>8.2887701830518397E-4</c:v>
                </c:pt>
                <c:pt idx="51">
                  <c:v>3.3647652764689498E-4</c:v>
                </c:pt>
                <c:pt idx="52">
                  <c:v>-7.79936501174754E-4</c:v>
                </c:pt>
                <c:pt idx="53">
                  <c:v>7.1259960511428405E-4</c:v>
                </c:pt>
                <c:pt idx="54">
                  <c:v>-1.48333505492002E-3</c:v>
                </c:pt>
                <c:pt idx="55">
                  <c:v>-2.6155906220743801E-4</c:v>
                </c:pt>
                <c:pt idx="56">
                  <c:v>-6.5335539307087001E-4</c:v>
                </c:pt>
                <c:pt idx="57">
                  <c:v>-5.4621240974849698E-4</c:v>
                </c:pt>
                <c:pt idx="58">
                  <c:v>3.4828320533429503E-5</c:v>
                </c:pt>
                <c:pt idx="59">
                  <c:v>2.9089471891778602E-4</c:v>
                </c:pt>
                <c:pt idx="60">
                  <c:v>9.1544862500448303E-5</c:v>
                </c:pt>
                <c:pt idx="61">
                  <c:v>-3.1465544906945502E-4</c:v>
                </c:pt>
                <c:pt idx="62">
                  <c:v>4.0523271946071399E-4</c:v>
                </c:pt>
                <c:pt idx="63">
                  <c:v>6.4229761030336905E-4</c:v>
                </c:pt>
                <c:pt idx="64">
                  <c:v>1.5015899027419799E-3</c:v>
                </c:pt>
                <c:pt idx="65">
                  <c:v>-1.94343356203497E-3</c:v>
                </c:pt>
                <c:pt idx="66">
                  <c:v>-1.46144601807096E-3</c:v>
                </c:pt>
                <c:pt idx="67">
                  <c:v>-1.09813009649355E-3</c:v>
                </c:pt>
                <c:pt idx="68">
                  <c:v>-1.31621311374177E-3</c:v>
                </c:pt>
                <c:pt idx="69">
                  <c:v>-1.46120821840247E-3</c:v>
                </c:pt>
                <c:pt idx="70">
                  <c:v>2.5494868962401401E-5</c:v>
                </c:pt>
                <c:pt idx="71">
                  <c:v>-6.4497161172903195E-4</c:v>
                </c:pt>
                <c:pt idx="72">
                  <c:v>-4.5754219976605902E-4</c:v>
                </c:pt>
                <c:pt idx="73">
                  <c:v>2.1496855553445999E-4</c:v>
                </c:pt>
                <c:pt idx="74">
                  <c:v>3.68838943914906E-4</c:v>
                </c:pt>
                <c:pt idx="75">
                  <c:v>6.3118611490520994E-5</c:v>
                </c:pt>
                <c:pt idx="76">
                  <c:v>1.2466455034160101E-3</c:v>
                </c:pt>
                <c:pt idx="77">
                  <c:v>7.7895857140378502E-5</c:v>
                </c:pt>
                <c:pt idx="78">
                  <c:v>-1.14829401420651E-4</c:v>
                </c:pt>
                <c:pt idx="79">
                  <c:v>-5.1258211013029598E-4</c:v>
                </c:pt>
                <c:pt idx="80">
                  <c:v>5.5094820526128095E-4</c:v>
                </c:pt>
                <c:pt idx="81">
                  <c:v>8.7546426408990099E-5</c:v>
                </c:pt>
                <c:pt idx="82">
                  <c:v>-3.75564201954032E-4</c:v>
                </c:pt>
                <c:pt idx="83">
                  <c:v>1.06677320511989E-4</c:v>
                </c:pt>
                <c:pt idx="84">
                  <c:v>-2.9971394239481898E-4</c:v>
                </c:pt>
                <c:pt idx="85">
                  <c:v>-9.0319765919904995E-4</c:v>
                </c:pt>
                <c:pt idx="86">
                  <c:v>-2.75977795624643E-4</c:v>
                </c:pt>
                <c:pt idx="87">
                  <c:v>-6.5626282534915503E-4</c:v>
                </c:pt>
                <c:pt idx="88">
                  <c:v>-4.9216701622378605E-4</c:v>
                </c:pt>
                <c:pt idx="89">
                  <c:v>-8.0880484855923502E-4</c:v>
                </c:pt>
                <c:pt idx="90">
                  <c:v>-1.2568006014407999E-3</c:v>
                </c:pt>
                <c:pt idx="91">
                  <c:v>-8.9321109295895595E-4</c:v>
                </c:pt>
                <c:pt idx="92">
                  <c:v>8.9358997304289504E-4</c:v>
                </c:pt>
                <c:pt idx="93">
                  <c:v>2.9731052337459498E-4</c:v>
                </c:pt>
                <c:pt idx="94">
                  <c:v>-1.12098918644491E-4</c:v>
                </c:pt>
                <c:pt idx="95">
                  <c:v>-6.1757571680210702E-4</c:v>
                </c:pt>
                <c:pt idx="96">
                  <c:v>-6.9545630309817905E-4</c:v>
                </c:pt>
                <c:pt idx="97">
                  <c:v>-1.1000380169060801E-3</c:v>
                </c:pt>
                <c:pt idx="98">
                  <c:v>-9.4673787795885298E-4</c:v>
                </c:pt>
                <c:pt idx="99">
                  <c:v>-6.3014467631153002E-4</c:v>
                </c:pt>
                <c:pt idx="100">
                  <c:v>-1.8247951901702699E-4</c:v>
                </c:pt>
                <c:pt idx="101">
                  <c:v>1.01765995532756E-4</c:v>
                </c:pt>
                <c:pt idx="102">
                  <c:v>-6.8403834408014902E-4</c:v>
                </c:pt>
                <c:pt idx="103">
                  <c:v>-5.3827957154501196E-4</c:v>
                </c:pt>
                <c:pt idx="104">
                  <c:v>2.2959314818102799E-4</c:v>
                </c:pt>
                <c:pt idx="105">
                  <c:v>5.8203158501721902E-4</c:v>
                </c:pt>
                <c:pt idx="106">
                  <c:v>1.42052763614188E-3</c:v>
                </c:pt>
                <c:pt idx="107">
                  <c:v>7.6132345337423903E-4</c:v>
                </c:pt>
                <c:pt idx="108">
                  <c:v>8.1014246604649492E-6</c:v>
                </c:pt>
                <c:pt idx="109">
                  <c:v>-1.50831434756758E-4</c:v>
                </c:pt>
                <c:pt idx="110">
                  <c:v>-3.7112102686996201E-4</c:v>
                </c:pt>
                <c:pt idx="111">
                  <c:v>3.3372658338220101E-4</c:v>
                </c:pt>
                <c:pt idx="112">
                  <c:v>-4.76950365039077E-4</c:v>
                </c:pt>
                <c:pt idx="113">
                  <c:v>2.01507959140909E-4</c:v>
                </c:pt>
                <c:pt idx="114">
                  <c:v>1.45973574012264E-4</c:v>
                </c:pt>
                <c:pt idx="115">
                  <c:v>1.90235297657241E-4</c:v>
                </c:pt>
                <c:pt idx="116">
                  <c:v>-1.0525426597698E-4</c:v>
                </c:pt>
                <c:pt idx="117">
                  <c:v>-1.81791342863309E-4</c:v>
                </c:pt>
                <c:pt idx="118">
                  <c:v>-2.1141002456147E-4</c:v>
                </c:pt>
                <c:pt idx="119">
                  <c:v>-9.7367575388327294E-5</c:v>
                </c:pt>
                <c:pt idx="120">
                  <c:v>-6.2734028678273796E-4</c:v>
                </c:pt>
                <c:pt idx="121">
                  <c:v>4.3790570701570697E-5</c:v>
                </c:pt>
                <c:pt idx="122">
                  <c:v>4.4511561329037898E-4</c:v>
                </c:pt>
                <c:pt idx="123">
                  <c:v>-2.5176951283085498E-4</c:v>
                </c:pt>
                <c:pt idx="124">
                  <c:v>-1.4421077042468E-4</c:v>
                </c:pt>
                <c:pt idx="125">
                  <c:v>-8.9485458107598501E-4</c:v>
                </c:pt>
                <c:pt idx="126">
                  <c:v>-1.9852459870203999E-3</c:v>
                </c:pt>
                <c:pt idx="127">
                  <c:v>-1.11034483110978E-3</c:v>
                </c:pt>
                <c:pt idx="128">
                  <c:v>-1.5306923206090399E-3</c:v>
                </c:pt>
                <c:pt idx="129">
                  <c:v>-1.9107902698562199E-4</c:v>
                </c:pt>
                <c:pt idx="130">
                  <c:v>1.23211972022481E-4</c:v>
                </c:pt>
                <c:pt idx="131">
                  <c:v>-5.3610290593577003E-5</c:v>
                </c:pt>
                <c:pt idx="132">
                  <c:v>-2.7911883755605502E-4</c:v>
                </c:pt>
                <c:pt idx="133">
                  <c:v>7.2292031351733703E-4</c:v>
                </c:pt>
                <c:pt idx="134">
                  <c:v>1.8033612944383999E-4</c:v>
                </c:pt>
                <c:pt idx="135">
                  <c:v>1.3444249535653801E-4</c:v>
                </c:pt>
                <c:pt idx="136">
                  <c:v>-8.3787335665546096E-4</c:v>
                </c:pt>
                <c:pt idx="137">
                  <c:v>-5.2688984717831101E-4</c:v>
                </c:pt>
                <c:pt idx="138">
                  <c:v>-6.4891161192116495E-4</c:v>
                </c:pt>
                <c:pt idx="139">
                  <c:v>1.12378961703676E-4</c:v>
                </c:pt>
                <c:pt idx="140">
                  <c:v>-6.6074703298266699E-4</c:v>
                </c:pt>
                <c:pt idx="141">
                  <c:v>-1.28791994825958E-3</c:v>
                </c:pt>
                <c:pt idx="142">
                  <c:v>-3.9487982100123601E-4</c:v>
                </c:pt>
                <c:pt idx="143">
                  <c:v>-7.78641087851876E-4</c:v>
                </c:pt>
                <c:pt idx="144">
                  <c:v>3.0944986780239098E-4</c:v>
                </c:pt>
                <c:pt idx="145">
                  <c:v>-1.5243803153685499E-4</c:v>
                </c:pt>
                <c:pt idx="146">
                  <c:v>-1.784481744702E-4</c:v>
                </c:pt>
                <c:pt idx="147">
                  <c:v>7.69968267846548E-4</c:v>
                </c:pt>
                <c:pt idx="148">
                  <c:v>1.05273144751224E-3</c:v>
                </c:pt>
                <c:pt idx="149">
                  <c:v>6.1468101353045405E-4</c:v>
                </c:pt>
                <c:pt idx="150">
                  <c:v>1.04329097659778E-3</c:v>
                </c:pt>
                <c:pt idx="151">
                  <c:v>7.32536843264567E-4</c:v>
                </c:pt>
                <c:pt idx="152">
                  <c:v>1.65277673219096E-4</c:v>
                </c:pt>
                <c:pt idx="153">
                  <c:v>5.7142529030699798E-5</c:v>
                </c:pt>
                <c:pt idx="154">
                  <c:v>9.2318494339390896E-4</c:v>
                </c:pt>
                <c:pt idx="155">
                  <c:v>1.0241791528048699E-3</c:v>
                </c:pt>
                <c:pt idx="156">
                  <c:v>4.2866545427250303E-4</c:v>
                </c:pt>
                <c:pt idx="157">
                  <c:v>-4.2932080203444799E-4</c:v>
                </c:pt>
                <c:pt idx="158">
                  <c:v>7.13376661020482E-4</c:v>
                </c:pt>
                <c:pt idx="159">
                  <c:v>5.7436609739995495E-4</c:v>
                </c:pt>
                <c:pt idx="160">
                  <c:v>3.2372901114209699E-4</c:v>
                </c:pt>
                <c:pt idx="161">
                  <c:v>-4.4118192370586599E-4</c:v>
                </c:pt>
                <c:pt idx="162">
                  <c:v>-7.2937448853312799E-4</c:v>
                </c:pt>
                <c:pt idx="163">
                  <c:v>5.3310714847566297E-4</c:v>
                </c:pt>
                <c:pt idx="164">
                  <c:v>8.8469255910807407E-5</c:v>
                </c:pt>
                <c:pt idx="165">
                  <c:v>3.0288677509809198E-4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D83-4FF6-AA27-5FD3EA499F57}"/>
            </c:ext>
          </c:extLst>
        </c:ser>
        <c:ser>
          <c:idx val="2"/>
          <c:order val="1"/>
          <c:tx>
            <c:strRef>
              <c:f>VWOB_EMB_2!$AG$1</c:f>
              <c:strCache>
                <c:ptCount val="1"/>
                <c:pt idx="0">
                  <c:v>log diff VWOB* x 20 dma / EMB*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VWOB_EMB_2!$AG$2:$AG$167</c:f>
              <c:numCache>
                <c:formatCode>0.00%</c:formatCode>
                <c:ptCount val="166"/>
                <c:pt idx="20">
                  <c:v>1.5661075333498701E-4</c:v>
                </c:pt>
                <c:pt idx="21">
                  <c:v>-1.9932161468562401E-4</c:v>
                </c:pt>
                <c:pt idx="22">
                  <c:v>-1.3548734636123999E-3</c:v>
                </c:pt>
                <c:pt idx="23">
                  <c:v>-7.9417609569051501E-5</c:v>
                </c:pt>
                <c:pt idx="24">
                  <c:v>-1.15657292367491E-3</c:v>
                </c:pt>
                <c:pt idx="25">
                  <c:v>-7.7553359483149798E-4</c:v>
                </c:pt>
                <c:pt idx="26">
                  <c:v>-2.5150845686376498E-4</c:v>
                </c:pt>
                <c:pt idx="27">
                  <c:v>-3.58920468426164E-4</c:v>
                </c:pt>
                <c:pt idx="28">
                  <c:v>1.42648857996026E-4</c:v>
                </c:pt>
                <c:pt idx="29">
                  <c:v>-1.3242333096392001E-4</c:v>
                </c:pt>
                <c:pt idx="30">
                  <c:v>1.6968285581642499E-4</c:v>
                </c:pt>
                <c:pt idx="31">
                  <c:v>2.2690227181201299E-4</c:v>
                </c:pt>
                <c:pt idx="32">
                  <c:v>2.3001151846013099E-4</c:v>
                </c:pt>
                <c:pt idx="33">
                  <c:v>-2.2509306025864399E-4</c:v>
                </c:pt>
                <c:pt idx="34">
                  <c:v>2.1180895962201099E-4</c:v>
                </c:pt>
                <c:pt idx="35">
                  <c:v>-4.9172890977540397E-4</c:v>
                </c:pt>
                <c:pt idx="36">
                  <c:v>-3.73754945126125E-4</c:v>
                </c:pt>
                <c:pt idx="37">
                  <c:v>-4.4368831057222597E-5</c:v>
                </c:pt>
                <c:pt idx="38">
                  <c:v>-2.5929344033194101E-4</c:v>
                </c:pt>
                <c:pt idx="39">
                  <c:v>-1.2953023488272901E-3</c:v>
                </c:pt>
                <c:pt idx="40">
                  <c:v>-6.4003423684143204E-4</c:v>
                </c:pt>
                <c:pt idx="41">
                  <c:v>-1.5088337481659901E-3</c:v>
                </c:pt>
                <c:pt idx="42">
                  <c:v>3.86988425477913E-4</c:v>
                </c:pt>
                <c:pt idx="43">
                  <c:v>2.0206162845926899E-4</c:v>
                </c:pt>
                <c:pt idx="44">
                  <c:v>1.13038362155467E-4</c:v>
                </c:pt>
                <c:pt idx="45">
                  <c:v>3.2829966411094798E-4</c:v>
                </c:pt>
                <c:pt idx="46">
                  <c:v>1.2862567138129E-3</c:v>
                </c:pt>
                <c:pt idx="47">
                  <c:v>1.6853547662400801E-3</c:v>
                </c:pt>
                <c:pt idx="48">
                  <c:v>1.3786988312809701E-4</c:v>
                </c:pt>
                <c:pt idx="49">
                  <c:v>7.5949250458222102E-4</c:v>
                </c:pt>
                <c:pt idx="50">
                  <c:v>9.4505415389994397E-4</c:v>
                </c:pt>
                <c:pt idx="51">
                  <c:v>5.9158596765498104E-4</c:v>
                </c:pt>
                <c:pt idx="52">
                  <c:v>-3.0689937418004498E-4</c:v>
                </c:pt>
                <c:pt idx="53">
                  <c:v>1.17683097498299E-3</c:v>
                </c:pt>
                <c:pt idx="54">
                  <c:v>-9.6375035555968898E-4</c:v>
                </c:pt>
                <c:pt idx="55">
                  <c:v>2.4029800294067801E-4</c:v>
                </c:pt>
                <c:pt idx="56">
                  <c:v>-1.71902267338628E-4</c:v>
                </c:pt>
                <c:pt idx="57">
                  <c:v>-1.98157019206203E-4</c:v>
                </c:pt>
                <c:pt idx="58">
                  <c:v>2.1906104759390299E-4</c:v>
                </c:pt>
                <c:pt idx="59">
                  <c:v>4.6700865567258799E-4</c:v>
                </c:pt>
                <c:pt idx="60">
                  <c:v>1.5748123514894901E-4</c:v>
                </c:pt>
                <c:pt idx="61">
                  <c:v>-3.6408251251382701E-4</c:v>
                </c:pt>
                <c:pt idx="62">
                  <c:v>2.0250198565079401E-4</c:v>
                </c:pt>
                <c:pt idx="63">
                  <c:v>4.9711453317014204E-4</c:v>
                </c:pt>
                <c:pt idx="64">
                  <c:v>1.27759369994382E-3</c:v>
                </c:pt>
                <c:pt idx="65">
                  <c:v>-2.0028468472331699E-3</c:v>
                </c:pt>
                <c:pt idx="66">
                  <c:v>-1.61800081434043E-3</c:v>
                </c:pt>
                <c:pt idx="67">
                  <c:v>-1.2493279905051E-3</c:v>
                </c:pt>
                <c:pt idx="68">
                  <c:v>-1.4250782303285999E-3</c:v>
                </c:pt>
                <c:pt idx="69">
                  <c:v>-1.6570370994255599E-3</c:v>
                </c:pt>
                <c:pt idx="70">
                  <c:v>-2.6909054166909298E-4</c:v>
                </c:pt>
                <c:pt idx="71">
                  <c:v>-9.4204868579488303E-4</c:v>
                </c:pt>
                <c:pt idx="72">
                  <c:v>-7.6335511944234497E-4</c:v>
                </c:pt>
                <c:pt idx="73">
                  <c:v>-2.03486474976984E-4</c:v>
                </c:pt>
                <c:pt idx="74">
                  <c:v>-9.4740058633387795E-5</c:v>
                </c:pt>
                <c:pt idx="75">
                  <c:v>-6.3000982313058101E-4</c:v>
                </c:pt>
                <c:pt idx="76">
                  <c:v>6.7456084345671695E-4</c:v>
                </c:pt>
                <c:pt idx="77">
                  <c:v>-3.5999848500772001E-4</c:v>
                </c:pt>
                <c:pt idx="78">
                  <c:v>-4.9500012780971203E-4</c:v>
                </c:pt>
                <c:pt idx="79">
                  <c:v>-7.9225849368870505E-4</c:v>
                </c:pt>
                <c:pt idx="80">
                  <c:v>3.9793852430839197E-4</c:v>
                </c:pt>
                <c:pt idx="81">
                  <c:v>-2.1750440289170801E-5</c:v>
                </c:pt>
                <c:pt idx="82">
                  <c:v>-4.1293147206693801E-4</c:v>
                </c:pt>
                <c:pt idx="83">
                  <c:v>1.43370937992575E-4</c:v>
                </c:pt>
                <c:pt idx="84">
                  <c:v>-2.0159804009378901E-4</c:v>
                </c:pt>
                <c:pt idx="85">
                  <c:v>-7.2583668003421795E-4</c:v>
                </c:pt>
                <c:pt idx="86">
                  <c:v>-1.60223807771978E-4</c:v>
                </c:pt>
                <c:pt idx="87">
                  <c:v>-6.8319311362354505E-4</c:v>
                </c:pt>
                <c:pt idx="88">
                  <c:v>-5.7350771910663796E-4</c:v>
                </c:pt>
                <c:pt idx="89">
                  <c:v>-9.3919967194360898E-4</c:v>
                </c:pt>
                <c:pt idx="90">
                  <c:v>-1.4345274985363701E-3</c:v>
                </c:pt>
                <c:pt idx="91">
                  <c:v>-1.1900445059772301E-3</c:v>
                </c:pt>
                <c:pt idx="92">
                  <c:v>4.9236460734873198E-4</c:v>
                </c:pt>
                <c:pt idx="93">
                  <c:v>-8.0973764195918106E-5</c:v>
                </c:pt>
                <c:pt idx="94">
                  <c:v>-5.1691446922886002E-4</c:v>
                </c:pt>
                <c:pt idx="95">
                  <c:v>-1.02987257466194E-3</c:v>
                </c:pt>
                <c:pt idx="96">
                  <c:v>-1.10412177347047E-3</c:v>
                </c:pt>
                <c:pt idx="97">
                  <c:v>-1.5060259221039501E-3</c:v>
                </c:pt>
                <c:pt idx="98">
                  <c:v>-1.3761277246730299E-3</c:v>
                </c:pt>
                <c:pt idx="99">
                  <c:v>-1.0982020950685201E-3</c:v>
                </c:pt>
                <c:pt idx="100">
                  <c:v>-6.6055850589809696E-4</c:v>
                </c:pt>
                <c:pt idx="101">
                  <c:v>-2.62293871945569E-4</c:v>
                </c:pt>
                <c:pt idx="102">
                  <c:v>-9.5606288353785305E-4</c:v>
                </c:pt>
                <c:pt idx="103">
                  <c:v>-9.3960919578246305E-4</c:v>
                </c:pt>
                <c:pt idx="104">
                  <c:v>-2.2531763305608699E-4</c:v>
                </c:pt>
                <c:pt idx="105">
                  <c:v>1.2981999833685799E-4</c:v>
                </c:pt>
                <c:pt idx="106">
                  <c:v>1.0100065882907301E-3</c:v>
                </c:pt>
                <c:pt idx="107">
                  <c:v>4.7730103719993998E-4</c:v>
                </c:pt>
                <c:pt idx="108">
                  <c:v>-1.4846900871983299E-4</c:v>
                </c:pt>
                <c:pt idx="109">
                  <c:v>-2.0962615019036601E-4</c:v>
                </c:pt>
                <c:pt idx="110">
                  <c:v>-3.7393334274824598E-4</c:v>
                </c:pt>
                <c:pt idx="111">
                  <c:v>3.1530037792977501E-4</c:v>
                </c:pt>
                <c:pt idx="112">
                  <c:v>-4.9896015228782396E-4</c:v>
                </c:pt>
                <c:pt idx="113">
                  <c:v>2.9369657186445198E-4</c:v>
                </c:pt>
                <c:pt idx="114">
                  <c:v>3.6629501210545497E-4</c:v>
                </c:pt>
                <c:pt idx="115">
                  <c:v>4.56819056597309E-4</c:v>
                </c:pt>
                <c:pt idx="116">
                  <c:v>1.5364890317303901E-4</c:v>
                </c:pt>
                <c:pt idx="117">
                  <c:v>-3.7983658812761403E-5</c:v>
                </c:pt>
                <c:pt idx="118">
                  <c:v>-1.6504031810595901E-4</c:v>
                </c:pt>
                <c:pt idx="119">
                  <c:v>-8.94332817259031E-5</c:v>
                </c:pt>
                <c:pt idx="120">
                  <c:v>-6.3403125834872703E-4</c:v>
                </c:pt>
                <c:pt idx="121">
                  <c:v>3.3328984515849999E-5</c:v>
                </c:pt>
                <c:pt idx="122">
                  <c:v>4.0936180110625399E-4</c:v>
                </c:pt>
                <c:pt idx="123">
                  <c:v>-2.5315316054066702E-4</c:v>
                </c:pt>
                <c:pt idx="124">
                  <c:v>-2.14616193568299E-4</c:v>
                </c:pt>
                <c:pt idx="125">
                  <c:v>-1.0046540988393499E-3</c:v>
                </c:pt>
                <c:pt idx="126">
                  <c:v>-2.1673457820241401E-3</c:v>
                </c:pt>
                <c:pt idx="127">
                  <c:v>-1.3543474665869699E-3</c:v>
                </c:pt>
                <c:pt idx="128">
                  <c:v>-1.81276917221995E-3</c:v>
                </c:pt>
                <c:pt idx="129">
                  <c:v>-5.6101001090165905E-4</c:v>
                </c:pt>
                <c:pt idx="130">
                  <c:v>-2.9184274947797898E-4</c:v>
                </c:pt>
                <c:pt idx="131">
                  <c:v>-4.5916819982482398E-4</c:v>
                </c:pt>
                <c:pt idx="132">
                  <c:v>-7.1453835236513102E-4</c:v>
                </c:pt>
                <c:pt idx="133">
                  <c:v>1.65317225857651E-4</c:v>
                </c:pt>
                <c:pt idx="134">
                  <c:v>-3.6150910637255598E-4</c:v>
                </c:pt>
                <c:pt idx="135">
                  <c:v>-4.2379487637381799E-4</c:v>
                </c:pt>
                <c:pt idx="136">
                  <c:v>-1.3352699240538699E-3</c:v>
                </c:pt>
                <c:pt idx="137">
                  <c:v>-9.0441973353932905E-4</c:v>
                </c:pt>
                <c:pt idx="138">
                  <c:v>-9.6419977022133604E-4</c:v>
                </c:pt>
                <c:pt idx="139">
                  <c:v>-9.6149641316675997E-5</c:v>
                </c:pt>
                <c:pt idx="140">
                  <c:v>-8.3328926674275101E-4</c:v>
                </c:pt>
                <c:pt idx="141">
                  <c:v>-1.51292185072654E-3</c:v>
                </c:pt>
                <c:pt idx="142">
                  <c:v>-6.5870709770778101E-4</c:v>
                </c:pt>
                <c:pt idx="143">
                  <c:v>-9.9493989127414197E-4</c:v>
                </c:pt>
                <c:pt idx="144">
                  <c:v>3.5274814321839299E-6</c:v>
                </c:pt>
                <c:pt idx="145">
                  <c:v>-4.4454274055121901E-4</c:v>
                </c:pt>
                <c:pt idx="146">
                  <c:v>-5.09711535716552E-4</c:v>
                </c:pt>
                <c:pt idx="147">
                  <c:v>4.30923300339198E-4</c:v>
                </c:pt>
                <c:pt idx="148">
                  <c:v>7.5318431559694002E-4</c:v>
                </c:pt>
                <c:pt idx="149">
                  <c:v>3.5765526374790998E-4</c:v>
                </c:pt>
                <c:pt idx="150">
                  <c:v>7.9135466359113698E-4</c:v>
                </c:pt>
                <c:pt idx="151">
                  <c:v>5.9701598555386801E-4</c:v>
                </c:pt>
                <c:pt idx="152">
                  <c:v>2.01486887482644E-4</c:v>
                </c:pt>
                <c:pt idx="153">
                  <c:v>1.5716617455627401E-4</c:v>
                </c:pt>
                <c:pt idx="154">
                  <c:v>1.17173480215997E-3</c:v>
                </c:pt>
                <c:pt idx="155">
                  <c:v>1.3524006472290899E-3</c:v>
                </c:pt>
                <c:pt idx="156">
                  <c:v>8.9213115532577796E-4</c:v>
                </c:pt>
                <c:pt idx="157">
                  <c:v>1.11067428840742E-4</c:v>
                </c:pt>
                <c:pt idx="158">
                  <c:v>1.2168839006552799E-3</c:v>
                </c:pt>
                <c:pt idx="159">
                  <c:v>1.05612303789236E-3</c:v>
                </c:pt>
                <c:pt idx="160">
                  <c:v>8.5224523429573305E-4</c:v>
                </c:pt>
                <c:pt idx="161">
                  <c:v>4.4187571741996102E-5</c:v>
                </c:pt>
                <c:pt idx="162">
                  <c:v>-3.4170165792932899E-4</c:v>
                </c:pt>
                <c:pt idx="163">
                  <c:v>8.8315479795671495E-4</c:v>
                </c:pt>
                <c:pt idx="164">
                  <c:v>4.4550533141886198E-4</c:v>
                </c:pt>
                <c:pt idx="165">
                  <c:v>5.9834384382873496E-4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D83-4FF6-AA27-5FD3EA499F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9644688"/>
        <c:axId val="205301072"/>
      </c:lineChart>
      <c:catAx>
        <c:axId val="167964468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301072"/>
        <c:crosses val="autoZero"/>
        <c:auto val="1"/>
        <c:lblAlgn val="ctr"/>
        <c:lblOffset val="100"/>
        <c:noMultiLvlLbl val="0"/>
      </c:catAx>
      <c:valAx>
        <c:axId val="205301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96446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VWOB_EMB_2!$Y$1</c:f>
              <c:strCache>
                <c:ptCount val="1"/>
                <c:pt idx="0">
                  <c:v> EMB*/VWOB* avg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VWOB_EMB_2!$Y$2:$Y$167</c:f>
              <c:numCache>
                <c:formatCode>_(* #,##0.0000_);_(* \(#,##0.0000\);_(* "-"??_);_(@_)</c:formatCode>
                <c:ptCount val="166"/>
                <c:pt idx="0">
                  <c:v>1.4302827749172899</c:v>
                </c:pt>
                <c:pt idx="1">
                  <c:v>1.4302827749172899</c:v>
                </c:pt>
                <c:pt idx="2">
                  <c:v>1.4302827749172899</c:v>
                </c:pt>
                <c:pt idx="3">
                  <c:v>1.4302827749172899</c:v>
                </c:pt>
                <c:pt idx="4">
                  <c:v>1.4302827749172899</c:v>
                </c:pt>
                <c:pt idx="5">
                  <c:v>1.4302827749172899</c:v>
                </c:pt>
                <c:pt idx="6">
                  <c:v>1.4302827749172899</c:v>
                </c:pt>
                <c:pt idx="7">
                  <c:v>1.4302827749172899</c:v>
                </c:pt>
                <c:pt idx="8">
                  <c:v>1.4302827749172899</c:v>
                </c:pt>
                <c:pt idx="9">
                  <c:v>1.4302827749172899</c:v>
                </c:pt>
                <c:pt idx="10">
                  <c:v>1.4302827749172899</c:v>
                </c:pt>
                <c:pt idx="11">
                  <c:v>1.4302827749172899</c:v>
                </c:pt>
                <c:pt idx="12">
                  <c:v>1.4302827749172899</c:v>
                </c:pt>
                <c:pt idx="13">
                  <c:v>1.4302827749172899</c:v>
                </c:pt>
                <c:pt idx="14">
                  <c:v>1.4302827749172899</c:v>
                </c:pt>
                <c:pt idx="15">
                  <c:v>1.4302827749172899</c:v>
                </c:pt>
                <c:pt idx="16">
                  <c:v>1.4302827749172899</c:v>
                </c:pt>
                <c:pt idx="17">
                  <c:v>1.4302827749172899</c:v>
                </c:pt>
                <c:pt idx="18">
                  <c:v>1.4302827749172899</c:v>
                </c:pt>
                <c:pt idx="19">
                  <c:v>1.4302827749172899</c:v>
                </c:pt>
                <c:pt idx="20">
                  <c:v>1.4302827749172899</c:v>
                </c:pt>
                <c:pt idx="21">
                  <c:v>1.4302827749172899</c:v>
                </c:pt>
                <c:pt idx="22">
                  <c:v>1.4302827749172899</c:v>
                </c:pt>
                <c:pt idx="23">
                  <c:v>1.4302827749172899</c:v>
                </c:pt>
                <c:pt idx="24">
                  <c:v>1.4302827749172899</c:v>
                </c:pt>
                <c:pt idx="25">
                  <c:v>1.4302827749172899</c:v>
                </c:pt>
                <c:pt idx="26">
                  <c:v>1.4302827749172899</c:v>
                </c:pt>
                <c:pt idx="27">
                  <c:v>1.4302827749172899</c:v>
                </c:pt>
                <c:pt idx="28">
                  <c:v>1.4302827749172899</c:v>
                </c:pt>
                <c:pt idx="29">
                  <c:v>1.4302827749172899</c:v>
                </c:pt>
                <c:pt idx="30">
                  <c:v>1.4302827749172899</c:v>
                </c:pt>
                <c:pt idx="31">
                  <c:v>1.4302827749172899</c:v>
                </c:pt>
                <c:pt idx="32">
                  <c:v>1.4302827749172899</c:v>
                </c:pt>
                <c:pt idx="33">
                  <c:v>1.4302827749172899</c:v>
                </c:pt>
                <c:pt idx="34">
                  <c:v>1.4302827749172899</c:v>
                </c:pt>
                <c:pt idx="35">
                  <c:v>1.4302827749172899</c:v>
                </c:pt>
                <c:pt idx="36">
                  <c:v>1.4302827749172899</c:v>
                </c:pt>
                <c:pt idx="37">
                  <c:v>1.4302827749172899</c:v>
                </c:pt>
                <c:pt idx="38">
                  <c:v>1.4302827749172899</c:v>
                </c:pt>
                <c:pt idx="39">
                  <c:v>1.4302827749172899</c:v>
                </c:pt>
                <c:pt idx="40">
                  <c:v>1.4302827749172899</c:v>
                </c:pt>
                <c:pt idx="41">
                  <c:v>1.4302827749172899</c:v>
                </c:pt>
                <c:pt idx="42">
                  <c:v>1.4302827749172899</c:v>
                </c:pt>
                <c:pt idx="43">
                  <c:v>1.4302827749172899</c:v>
                </c:pt>
                <c:pt idx="44">
                  <c:v>1.4302827749172899</c:v>
                </c:pt>
                <c:pt idx="45">
                  <c:v>1.4302827749172899</c:v>
                </c:pt>
                <c:pt idx="46">
                  <c:v>1.4302827749172899</c:v>
                </c:pt>
                <c:pt idx="47">
                  <c:v>1.4302827749172899</c:v>
                </c:pt>
                <c:pt idx="48">
                  <c:v>1.4302827749172899</c:v>
                </c:pt>
                <c:pt idx="49">
                  <c:v>1.4302827749172899</c:v>
                </c:pt>
                <c:pt idx="50">
                  <c:v>1.4302827749172899</c:v>
                </c:pt>
                <c:pt idx="51">
                  <c:v>1.4302827749172899</c:v>
                </c:pt>
                <c:pt idx="52">
                  <c:v>1.4302827749172899</c:v>
                </c:pt>
                <c:pt idx="53">
                  <c:v>1.4302827749172899</c:v>
                </c:pt>
                <c:pt idx="54">
                  <c:v>1.4302827749172899</c:v>
                </c:pt>
                <c:pt idx="55">
                  <c:v>1.4302827749172899</c:v>
                </c:pt>
                <c:pt idx="56">
                  <c:v>1.4302827749172899</c:v>
                </c:pt>
                <c:pt idx="57">
                  <c:v>1.4302827749172899</c:v>
                </c:pt>
                <c:pt idx="58">
                  <c:v>1.4302827749172899</c:v>
                </c:pt>
                <c:pt idx="59">
                  <c:v>1.4302827749172899</c:v>
                </c:pt>
                <c:pt idx="60">
                  <c:v>1.4302827749172899</c:v>
                </c:pt>
                <c:pt idx="61">
                  <c:v>1.4302827749172899</c:v>
                </c:pt>
                <c:pt idx="62">
                  <c:v>1.4302827749172899</c:v>
                </c:pt>
                <c:pt idx="63">
                  <c:v>1.4302827749172899</c:v>
                </c:pt>
                <c:pt idx="64">
                  <c:v>1.4302827749172899</c:v>
                </c:pt>
                <c:pt idx="65">
                  <c:v>1.4302827749172899</c:v>
                </c:pt>
                <c:pt idx="66">
                  <c:v>1.4302827749172899</c:v>
                </c:pt>
                <c:pt idx="67">
                  <c:v>1.4302827749172899</c:v>
                </c:pt>
                <c:pt idx="68">
                  <c:v>1.4302827749172899</c:v>
                </c:pt>
                <c:pt idx="69">
                  <c:v>1.4302827749172899</c:v>
                </c:pt>
                <c:pt idx="70">
                  <c:v>1.4302827749172899</c:v>
                </c:pt>
                <c:pt idx="71">
                  <c:v>1.4302827749172899</c:v>
                </c:pt>
                <c:pt idx="72">
                  <c:v>1.4302827749172899</c:v>
                </c:pt>
                <c:pt idx="73">
                  <c:v>1.4302827749172899</c:v>
                </c:pt>
                <c:pt idx="74">
                  <c:v>1.4302827749172899</c:v>
                </c:pt>
                <c:pt idx="75">
                  <c:v>1.4302827749172899</c:v>
                </c:pt>
                <c:pt idx="76">
                  <c:v>1.4302827749172899</c:v>
                </c:pt>
                <c:pt idx="77">
                  <c:v>1.4302827749172899</c:v>
                </c:pt>
                <c:pt idx="78">
                  <c:v>1.4302827749172899</c:v>
                </c:pt>
                <c:pt idx="79">
                  <c:v>1.4302827749172899</c:v>
                </c:pt>
                <c:pt idx="80">
                  <c:v>1.4302827749172899</c:v>
                </c:pt>
                <c:pt idx="81">
                  <c:v>1.4302827749172899</c:v>
                </c:pt>
                <c:pt idx="82">
                  <c:v>1.4302827749172899</c:v>
                </c:pt>
                <c:pt idx="83">
                  <c:v>1.4302827749172899</c:v>
                </c:pt>
                <c:pt idx="84">
                  <c:v>1.4302827749172899</c:v>
                </c:pt>
                <c:pt idx="85">
                  <c:v>1.4302827749172899</c:v>
                </c:pt>
                <c:pt idx="86">
                  <c:v>1.4302827749172899</c:v>
                </c:pt>
                <c:pt idx="87">
                  <c:v>1.4302827749172899</c:v>
                </c:pt>
                <c:pt idx="88">
                  <c:v>1.4302827749172899</c:v>
                </c:pt>
                <c:pt idx="89">
                  <c:v>1.4302827749172899</c:v>
                </c:pt>
                <c:pt idx="90">
                  <c:v>1.4302827749172899</c:v>
                </c:pt>
                <c:pt idx="91">
                  <c:v>1.4302827749172899</c:v>
                </c:pt>
                <c:pt idx="92">
                  <c:v>1.4302827749172899</c:v>
                </c:pt>
                <c:pt idx="93">
                  <c:v>1.4302827749172899</c:v>
                </c:pt>
                <c:pt idx="94">
                  <c:v>1.4302827749172899</c:v>
                </c:pt>
                <c:pt idx="95">
                  <c:v>1.4302827749172899</c:v>
                </c:pt>
                <c:pt idx="96">
                  <c:v>1.4302827749172899</c:v>
                </c:pt>
                <c:pt idx="97">
                  <c:v>1.4302827749172899</c:v>
                </c:pt>
                <c:pt idx="98">
                  <c:v>1.4302827749172899</c:v>
                </c:pt>
                <c:pt idx="99">
                  <c:v>1.4302827749172899</c:v>
                </c:pt>
                <c:pt idx="100">
                  <c:v>1.4302827749172899</c:v>
                </c:pt>
                <c:pt idx="101">
                  <c:v>1.4302827749172899</c:v>
                </c:pt>
                <c:pt idx="102">
                  <c:v>1.4302827749172899</c:v>
                </c:pt>
                <c:pt idx="103">
                  <c:v>1.4302827749172899</c:v>
                </c:pt>
                <c:pt idx="104">
                  <c:v>1.4302827749172899</c:v>
                </c:pt>
                <c:pt idx="105">
                  <c:v>1.4302827749172899</c:v>
                </c:pt>
                <c:pt idx="106">
                  <c:v>1.4302827749172899</c:v>
                </c:pt>
                <c:pt idx="107">
                  <c:v>1.4302827749172899</c:v>
                </c:pt>
                <c:pt idx="108">
                  <c:v>1.4302827749172899</c:v>
                </c:pt>
                <c:pt idx="109">
                  <c:v>1.4302827749172899</c:v>
                </c:pt>
                <c:pt idx="110">
                  <c:v>1.4302827749172899</c:v>
                </c:pt>
                <c:pt idx="111">
                  <c:v>1.4302827749172899</c:v>
                </c:pt>
                <c:pt idx="112">
                  <c:v>1.4302827749172899</c:v>
                </c:pt>
                <c:pt idx="113">
                  <c:v>1.4302827749172899</c:v>
                </c:pt>
                <c:pt idx="114">
                  <c:v>1.4302827749172899</c:v>
                </c:pt>
                <c:pt idx="115">
                  <c:v>1.4302827749172899</c:v>
                </c:pt>
                <c:pt idx="116">
                  <c:v>1.4302827749172899</c:v>
                </c:pt>
                <c:pt idx="117">
                  <c:v>1.4302827749172899</c:v>
                </c:pt>
                <c:pt idx="118">
                  <c:v>1.4302827749172899</c:v>
                </c:pt>
                <c:pt idx="119">
                  <c:v>1.4302827749172899</c:v>
                </c:pt>
                <c:pt idx="120">
                  <c:v>1.4302827749172899</c:v>
                </c:pt>
                <c:pt idx="121">
                  <c:v>1.4302827749172899</c:v>
                </c:pt>
                <c:pt idx="122">
                  <c:v>1.4302827749172899</c:v>
                </c:pt>
                <c:pt idx="123">
                  <c:v>1.4302827749172899</c:v>
                </c:pt>
                <c:pt idx="124">
                  <c:v>1.4302827749172899</c:v>
                </c:pt>
                <c:pt idx="125">
                  <c:v>1.4302827749172899</c:v>
                </c:pt>
                <c:pt idx="126">
                  <c:v>1.4302827749172899</c:v>
                </c:pt>
                <c:pt idx="127">
                  <c:v>1.4302827749172899</c:v>
                </c:pt>
                <c:pt idx="128">
                  <c:v>1.4302827749172899</c:v>
                </c:pt>
                <c:pt idx="129">
                  <c:v>1.4302827749172899</c:v>
                </c:pt>
                <c:pt idx="130">
                  <c:v>1.4302827749172899</c:v>
                </c:pt>
                <c:pt idx="131">
                  <c:v>1.4302827749172899</c:v>
                </c:pt>
                <c:pt idx="132">
                  <c:v>1.4302827749172899</c:v>
                </c:pt>
                <c:pt idx="133">
                  <c:v>1.4302827749172899</c:v>
                </c:pt>
                <c:pt idx="134">
                  <c:v>1.4302827749172899</c:v>
                </c:pt>
                <c:pt idx="135">
                  <c:v>1.4302827749172899</c:v>
                </c:pt>
                <c:pt idx="136">
                  <c:v>1.4302827749172899</c:v>
                </c:pt>
                <c:pt idx="137">
                  <c:v>1.4302827749172899</c:v>
                </c:pt>
                <c:pt idx="138">
                  <c:v>1.4302827749172899</c:v>
                </c:pt>
                <c:pt idx="139">
                  <c:v>1.4302827749172899</c:v>
                </c:pt>
                <c:pt idx="140">
                  <c:v>1.4302827749172899</c:v>
                </c:pt>
                <c:pt idx="141">
                  <c:v>1.4302827749172899</c:v>
                </c:pt>
                <c:pt idx="142">
                  <c:v>1.4302827749172899</c:v>
                </c:pt>
                <c:pt idx="143">
                  <c:v>1.4302827749172899</c:v>
                </c:pt>
                <c:pt idx="144">
                  <c:v>1.4302827749172899</c:v>
                </c:pt>
                <c:pt idx="145">
                  <c:v>1.4302827749172899</c:v>
                </c:pt>
                <c:pt idx="146">
                  <c:v>1.4302827749172899</c:v>
                </c:pt>
                <c:pt idx="147">
                  <c:v>1.4302827749172899</c:v>
                </c:pt>
                <c:pt idx="148">
                  <c:v>1.4302827749172899</c:v>
                </c:pt>
                <c:pt idx="149">
                  <c:v>1.4302827749172899</c:v>
                </c:pt>
                <c:pt idx="150">
                  <c:v>1.4302827749172899</c:v>
                </c:pt>
                <c:pt idx="151">
                  <c:v>1.4302827749172899</c:v>
                </c:pt>
                <c:pt idx="152">
                  <c:v>1.4302827749172899</c:v>
                </c:pt>
                <c:pt idx="153">
                  <c:v>1.4302827749172899</c:v>
                </c:pt>
                <c:pt idx="154">
                  <c:v>1.4302827749172899</c:v>
                </c:pt>
                <c:pt idx="155">
                  <c:v>1.4302827749172899</c:v>
                </c:pt>
                <c:pt idx="156">
                  <c:v>1.4302827749172899</c:v>
                </c:pt>
                <c:pt idx="157">
                  <c:v>1.4302827749172899</c:v>
                </c:pt>
                <c:pt idx="158">
                  <c:v>1.4302827749172899</c:v>
                </c:pt>
                <c:pt idx="159">
                  <c:v>1.4302827749172899</c:v>
                </c:pt>
                <c:pt idx="160">
                  <c:v>1.4302827749172899</c:v>
                </c:pt>
                <c:pt idx="161">
                  <c:v>1.4302827749172899</c:v>
                </c:pt>
                <c:pt idx="162">
                  <c:v>1.4302827749172899</c:v>
                </c:pt>
                <c:pt idx="163">
                  <c:v>1.4302827749172899</c:v>
                </c:pt>
                <c:pt idx="164">
                  <c:v>1.4302827749172899</c:v>
                </c:pt>
                <c:pt idx="165">
                  <c:v>1.4302827749172899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1A6-4EF2-9502-A7777730FB24}"/>
            </c:ext>
          </c:extLst>
        </c:ser>
        <c:ser>
          <c:idx val="1"/>
          <c:order val="1"/>
          <c:tx>
            <c:strRef>
              <c:f>VWOB_EMB_2!$Z$1</c:f>
              <c:strCache>
                <c:ptCount val="1"/>
                <c:pt idx="0">
                  <c:v> EMB*/VWOB* 10 dma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VWOB_EMB_2!$Z$2:$Z$167</c:f>
              <c:numCache>
                <c:formatCode>_(* #,##0.0000_);_(* \(#,##0.0000\);_(* "-"??_);_(@_)</c:formatCode>
                <c:ptCount val="166"/>
                <c:pt idx="9">
                  <c:v>1.42793758172053</c:v>
                </c:pt>
                <c:pt idx="10">
                  <c:v>1.42788878921141</c:v>
                </c:pt>
                <c:pt idx="11">
                  <c:v>1.42773103849158</c:v>
                </c:pt>
                <c:pt idx="12">
                  <c:v>1.4277839720705301</c:v>
                </c:pt>
                <c:pt idx="13">
                  <c:v>1.42783507713292</c:v>
                </c:pt>
                <c:pt idx="14">
                  <c:v>1.4279775342902199</c:v>
                </c:pt>
                <c:pt idx="15">
                  <c:v>1.4279393569891601</c:v>
                </c:pt>
                <c:pt idx="16">
                  <c:v>1.4279392912717199</c:v>
                </c:pt>
                <c:pt idx="17">
                  <c:v>1.4280453907781401</c:v>
                </c:pt>
                <c:pt idx="18">
                  <c:v>1.4279760054760799</c:v>
                </c:pt>
                <c:pt idx="19">
                  <c:v>1.42790431806298</c:v>
                </c:pt>
                <c:pt idx="20">
                  <c:v>1.42795042051695</c:v>
                </c:pt>
                <c:pt idx="21">
                  <c:v>1.4281031851555399</c:v>
                </c:pt>
                <c:pt idx="22">
                  <c:v>1.42823134930036</c:v>
                </c:pt>
                <c:pt idx="23">
                  <c:v>1.42825819698408</c:v>
                </c:pt>
                <c:pt idx="24">
                  <c:v>1.4284047298151099</c:v>
                </c:pt>
                <c:pt idx="25">
                  <c:v>1.4284690722631199</c:v>
                </c:pt>
                <c:pt idx="26">
                  <c:v>1.42845562250719</c:v>
                </c:pt>
                <c:pt idx="27">
                  <c:v>1.42848638415188</c:v>
                </c:pt>
                <c:pt idx="28">
                  <c:v>1.4285641195693899</c:v>
                </c:pt>
                <c:pt idx="29">
                  <c:v>1.4286669133002201</c:v>
                </c:pt>
                <c:pt idx="30">
                  <c:v>1.42870150740358</c:v>
                </c:pt>
                <c:pt idx="31">
                  <c:v>1.4286812735883301</c:v>
                </c:pt>
                <c:pt idx="32">
                  <c:v>1.4285023386351801</c:v>
                </c:pt>
                <c:pt idx="33">
                  <c:v>1.42855907078281</c:v>
                </c:pt>
                <c:pt idx="34">
                  <c:v>1.4283997591381901</c:v>
                </c:pt>
                <c:pt idx="35">
                  <c:v>1.4283803223396201</c:v>
                </c:pt>
                <c:pt idx="36">
                  <c:v>1.42841984360351</c:v>
                </c:pt>
                <c:pt idx="37">
                  <c:v>1.4283989390415199</c:v>
                </c:pt>
                <c:pt idx="38">
                  <c:v>1.4284740324349201</c:v>
                </c:pt>
                <c:pt idx="39">
                  <c:v>1.42866517520484</c:v>
                </c:pt>
                <c:pt idx="40">
                  <c:v>1.42881892035068</c:v>
                </c:pt>
                <c:pt idx="41">
                  <c:v>1.4291104895854101</c:v>
                </c:pt>
                <c:pt idx="42">
                  <c:v>1.4291384197767301</c:v>
                </c:pt>
                <c:pt idx="43">
                  <c:v>1.4291227500747301</c:v>
                </c:pt>
                <c:pt idx="44">
                  <c:v>1.42918007902922</c:v>
                </c:pt>
                <c:pt idx="45">
                  <c:v>1.42910169112396</c:v>
                </c:pt>
                <c:pt idx="46">
                  <c:v>1.4288962693769001</c:v>
                </c:pt>
                <c:pt idx="47">
                  <c:v>1.42867138698761</c:v>
                </c:pt>
                <c:pt idx="48">
                  <c:v>1.42862389990587</c:v>
                </c:pt>
                <c:pt idx="49">
                  <c:v>1.4283332765882</c:v>
                </c:pt>
                <c:pt idx="50">
                  <c:v>1.4280901888247799</c:v>
                </c:pt>
                <c:pt idx="51">
                  <c:v>1.4277594036410199</c:v>
                </c:pt>
                <c:pt idx="52">
                  <c:v>1.4278124413690201</c:v>
                </c:pt>
                <c:pt idx="53">
                  <c:v>1.42763880603115</c:v>
                </c:pt>
                <c:pt idx="54">
                  <c:v>1.42774666986901</c:v>
                </c:pt>
                <c:pt idx="55">
                  <c:v>1.4277265932659</c:v>
                </c:pt>
                <c:pt idx="56">
                  <c:v>1.4279021183182199</c:v>
                </c:pt>
                <c:pt idx="57">
                  <c:v>1.4281451163721099</c:v>
                </c:pt>
                <c:pt idx="58">
                  <c:v>1.4281208316448599</c:v>
                </c:pt>
                <c:pt idx="59">
                  <c:v>1.4281449369855299</c:v>
                </c:pt>
                <c:pt idx="60">
                  <c:v>1.4282313719008799</c:v>
                </c:pt>
                <c:pt idx="61">
                  <c:v>1.42833848115746</c:v>
                </c:pt>
                <c:pt idx="62">
                  <c:v>1.4282271200823999</c:v>
                </c:pt>
                <c:pt idx="63">
                  <c:v>1.4282785923360699</c:v>
                </c:pt>
                <c:pt idx="64">
                  <c:v>1.42791633923006</c:v>
                </c:pt>
                <c:pt idx="65">
                  <c:v>1.42817373315971</c:v>
                </c:pt>
                <c:pt idx="66">
                  <c:v>1.4283340078548701</c:v>
                </c:pt>
                <c:pt idx="67">
                  <c:v>1.42845611752676</c:v>
                </c:pt>
                <c:pt idx="68">
                  <c:v>1.4286803306010101</c:v>
                </c:pt>
                <c:pt idx="69">
                  <c:v>1.42898673027488</c:v>
                </c:pt>
                <c:pt idx="70">
                  <c:v>1.4290803398020999</c:v>
                </c:pt>
                <c:pt idx="71">
                  <c:v>1.42921249079822</c:v>
                </c:pt>
                <c:pt idx="72">
                  <c:v>1.42942316844985</c:v>
                </c:pt>
                <c:pt idx="73">
                  <c:v>1.42960375371821</c:v>
                </c:pt>
                <c:pt idx="74">
                  <c:v>1.4298978581553501</c:v>
                </c:pt>
                <c:pt idx="75">
                  <c:v>1.42980920913017</c:v>
                </c:pt>
                <c:pt idx="76">
                  <c:v>1.42958574879175</c:v>
                </c:pt>
                <c:pt idx="77">
                  <c:v>1.4295428516300399</c:v>
                </c:pt>
                <c:pt idx="78">
                  <c:v>1.4294798022820701</c:v>
                </c:pt>
                <c:pt idx="79">
                  <c:v>1.42942412827059</c:v>
                </c:pt>
                <c:pt idx="80">
                  <c:v>1.4293927790315299</c:v>
                </c:pt>
                <c:pt idx="81">
                  <c:v>1.42931930832381</c:v>
                </c:pt>
                <c:pt idx="82">
                  <c:v>1.42931827280944</c:v>
                </c:pt>
                <c:pt idx="83">
                  <c:v>1.4293232612751301</c:v>
                </c:pt>
                <c:pt idx="84">
                  <c:v>1.42939077689287</c:v>
                </c:pt>
                <c:pt idx="85">
                  <c:v>1.42947825435889</c:v>
                </c:pt>
                <c:pt idx="86">
                  <c:v>1.42966275021491</c:v>
                </c:pt>
                <c:pt idx="87">
                  <c:v>1.4297754400489699</c:v>
                </c:pt>
                <c:pt idx="88">
                  <c:v>1.4298526687440201</c:v>
                </c:pt>
                <c:pt idx="89">
                  <c:v>1.4299323579882901</c:v>
                </c:pt>
                <c:pt idx="90">
                  <c:v>1.4302417400995999</c:v>
                </c:pt>
                <c:pt idx="91">
                  <c:v>1.43046695733161</c:v>
                </c:pt>
                <c:pt idx="92">
                  <c:v>1.43040026403604</c:v>
                </c:pt>
                <c:pt idx="93">
                  <c:v>1.4304811889459701</c:v>
                </c:pt>
                <c:pt idx="94">
                  <c:v>1.43057017292001</c:v>
                </c:pt>
                <c:pt idx="95">
                  <c:v>1.43064732778894</c:v>
                </c:pt>
                <c:pt idx="96">
                  <c:v>1.4308243091374599</c:v>
                </c:pt>
                <c:pt idx="97">
                  <c:v>1.4310040935011501</c:v>
                </c:pt>
                <c:pt idx="98">
                  <c:v>1.4311921154251701</c:v>
                </c:pt>
                <c:pt idx="99">
                  <c:v>1.4313005803658101</c:v>
                </c:pt>
                <c:pt idx="100">
                  <c:v>1.4312836963264799</c:v>
                </c:pt>
                <c:pt idx="101">
                  <c:v>1.4312455192392799</c:v>
                </c:pt>
                <c:pt idx="102">
                  <c:v>1.4315490796021499</c:v>
                </c:pt>
                <c:pt idx="103">
                  <c:v>1.43178356024804</c:v>
                </c:pt>
                <c:pt idx="104">
                  <c:v>1.4318648919438699</c:v>
                </c:pt>
                <c:pt idx="105">
                  <c:v>1.43182267320871</c:v>
                </c:pt>
                <c:pt idx="106">
                  <c:v>1.43163742790274</c:v>
                </c:pt>
                <c:pt idx="107">
                  <c:v>1.43145230462733</c:v>
                </c:pt>
                <c:pt idx="108">
                  <c:v>1.43136042333486</c:v>
                </c:pt>
                <c:pt idx="109">
                  <c:v>1.4313086309384699</c:v>
                </c:pt>
                <c:pt idx="110">
                  <c:v>1.4313364440392899</c:v>
                </c:pt>
                <c:pt idx="111">
                  <c:v>1.43130852413812</c:v>
                </c:pt>
                <c:pt idx="112">
                  <c:v>1.431285171049</c:v>
                </c:pt>
                <c:pt idx="113">
                  <c:v>1.43115286345856</c:v>
                </c:pt>
                <c:pt idx="114">
                  <c:v>1.43110177325059</c:v>
                </c:pt>
                <c:pt idx="115">
                  <c:v>1.4310815541744399</c:v>
                </c:pt>
                <c:pt idx="116">
                  <c:v>1.4312257557800501</c:v>
                </c:pt>
                <c:pt idx="117">
                  <c:v>1.4313195618138801</c:v>
                </c:pt>
                <c:pt idx="118">
                  <c:v>1.4313377099373199</c:v>
                </c:pt>
                <c:pt idx="119">
                  <c:v>1.4313277848214101</c:v>
                </c:pt>
                <c:pt idx="120">
                  <c:v>1.4313663926083999</c:v>
                </c:pt>
                <c:pt idx="121">
                  <c:v>1.4314108790997799</c:v>
                </c:pt>
                <c:pt idx="122">
                  <c:v>1.4312891318461201</c:v>
                </c:pt>
                <c:pt idx="123">
                  <c:v>1.4313544065889501</c:v>
                </c:pt>
                <c:pt idx="124">
                  <c:v>1.43141609358775</c:v>
                </c:pt>
                <c:pt idx="125">
                  <c:v>1.4316028958926199</c:v>
                </c:pt>
                <c:pt idx="126">
                  <c:v>1.4319244572168199</c:v>
                </c:pt>
                <c:pt idx="127">
                  <c:v>1.43212738784335</c:v>
                </c:pt>
                <c:pt idx="128">
                  <c:v>1.4323972902172999</c:v>
                </c:pt>
                <c:pt idx="129">
                  <c:v>1.4325166837017</c:v>
                </c:pt>
                <c:pt idx="130">
                  <c:v>1.4325281032269299</c:v>
                </c:pt>
                <c:pt idx="131">
                  <c:v>1.4326582222173201</c:v>
                </c:pt>
                <c:pt idx="132">
                  <c:v>1.43288665045519</c:v>
                </c:pt>
                <c:pt idx="133">
                  <c:v>1.4329068134292899</c:v>
                </c:pt>
                <c:pt idx="134">
                  <c:v>1.4330155727956899</c:v>
                </c:pt>
                <c:pt idx="135">
                  <c:v>1.4330281079392</c:v>
                </c:pt>
                <c:pt idx="136">
                  <c:v>1.4330062583776</c:v>
                </c:pt>
                <c:pt idx="137">
                  <c:v>1.4330308807399099</c:v>
                </c:pt>
                <c:pt idx="138">
                  <c:v>1.4329948687452601</c:v>
                </c:pt>
                <c:pt idx="139">
                  <c:v>1.4330111509322001</c:v>
                </c:pt>
                <c:pt idx="140">
                  <c:v>1.4331729639636701</c:v>
                </c:pt>
                <c:pt idx="141">
                  <c:v>1.43341447012561</c:v>
                </c:pt>
                <c:pt idx="142">
                  <c:v>1.4335067149674601</c:v>
                </c:pt>
                <c:pt idx="143">
                  <c:v>1.43378393246159</c:v>
                </c:pt>
                <c:pt idx="144">
                  <c:v>1.43385312096119</c:v>
                </c:pt>
                <c:pt idx="145">
                  <c:v>1.43397799934243</c:v>
                </c:pt>
                <c:pt idx="146">
                  <c:v>1.43397845991896</c:v>
                </c:pt>
                <c:pt idx="147">
                  <c:v>1.4338897872384999</c:v>
                </c:pt>
                <c:pt idx="148">
                  <c:v>1.4337317860124199</c:v>
                </c:pt>
                <c:pt idx="149">
                  <c:v>1.43373347899111</c:v>
                </c:pt>
                <c:pt idx="150">
                  <c:v>1.4335614926023299</c:v>
                </c:pt>
                <c:pt idx="151">
                  <c:v>1.43331067014004</c:v>
                </c:pt>
                <c:pt idx="152">
                  <c:v>1.4332199888517501</c:v>
                </c:pt>
                <c:pt idx="153">
                  <c:v>1.4330714645031399</c:v>
                </c:pt>
                <c:pt idx="154">
                  <c:v>1.43291234131749</c:v>
                </c:pt>
                <c:pt idx="155">
                  <c:v>1.4326497235441</c:v>
                </c:pt>
                <c:pt idx="156">
                  <c:v>1.4324299050217699</c:v>
                </c:pt>
                <c:pt idx="157">
                  <c:v>1.43244692922574</c:v>
                </c:pt>
                <c:pt idx="158">
                  <c:v>1.43235136310416</c:v>
                </c:pt>
                <c:pt idx="159">
                  <c:v>1.4322191767196799</c:v>
                </c:pt>
                <c:pt idx="160">
                  <c:v>1.43217089102629</c:v>
                </c:pt>
                <c:pt idx="161">
                  <c:v>1.4322000048068499</c:v>
                </c:pt>
                <c:pt idx="162">
                  <c:v>1.4322171248606901</c:v>
                </c:pt>
                <c:pt idx="163">
                  <c:v>1.4320486958387599</c:v>
                </c:pt>
                <c:pt idx="164">
                  <c:v>1.43206598825491</c:v>
                </c:pt>
                <c:pt idx="165">
                  <c:v>1.4320846649002801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1A6-4EF2-9502-A7777730FB24}"/>
            </c:ext>
          </c:extLst>
        </c:ser>
        <c:ser>
          <c:idx val="2"/>
          <c:order val="2"/>
          <c:tx>
            <c:strRef>
              <c:f>VWOB_EMB_2!$AA$1</c:f>
              <c:strCache>
                <c:ptCount val="1"/>
                <c:pt idx="0">
                  <c:v> EMB*/VWOB* 20 dma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VWOB_EMB_2!$AA$2:$AA$167</c:f>
              <c:numCache>
                <c:formatCode>_(* #,##0.0000_);_(* \(#,##0.0000\);_(* "-"??_);_(@_)</c:formatCode>
                <c:ptCount val="166"/>
                <c:pt idx="19">
                  <c:v>1.42792094989175</c:v>
                </c:pt>
                <c:pt idx="20">
                  <c:v>1.42791960486418</c:v>
                </c:pt>
                <c:pt idx="21">
                  <c:v>1.4279171118235601</c:v>
                </c:pt>
                <c:pt idx="22">
                  <c:v>1.4280076606854399</c:v>
                </c:pt>
                <c:pt idx="23">
                  <c:v>1.4280466370585001</c:v>
                </c:pt>
                <c:pt idx="24">
                  <c:v>1.4281911320526699</c:v>
                </c:pt>
                <c:pt idx="25">
                  <c:v>1.42820421462614</c:v>
                </c:pt>
                <c:pt idx="26">
                  <c:v>1.42819745688945</c:v>
                </c:pt>
                <c:pt idx="27">
                  <c:v>1.42826588746501</c:v>
                </c:pt>
                <c:pt idx="28">
                  <c:v>1.42827006252273</c:v>
                </c:pt>
                <c:pt idx="29">
                  <c:v>1.4282856156816</c:v>
                </c:pt>
                <c:pt idx="30">
                  <c:v>1.4283259639602699</c:v>
                </c:pt>
                <c:pt idx="31">
                  <c:v>1.42839222937193</c:v>
                </c:pt>
                <c:pt idx="32">
                  <c:v>1.4283668439677699</c:v>
                </c:pt>
                <c:pt idx="33">
                  <c:v>1.4284086338834501</c:v>
                </c:pt>
                <c:pt idx="34">
                  <c:v>1.42840224447665</c:v>
                </c:pt>
                <c:pt idx="35">
                  <c:v>1.4284246973013699</c:v>
                </c:pt>
                <c:pt idx="36">
                  <c:v>1.4284377330553499</c:v>
                </c:pt>
                <c:pt idx="37">
                  <c:v>1.4284426615967001</c:v>
                </c:pt>
                <c:pt idx="38">
                  <c:v>1.42851907600215</c:v>
                </c:pt>
                <c:pt idx="39">
                  <c:v>1.4286660442525301</c:v>
                </c:pt>
                <c:pt idx="40">
                  <c:v>1.42876021387713</c:v>
                </c:pt>
                <c:pt idx="41">
                  <c:v>1.42889588158687</c:v>
                </c:pt>
                <c:pt idx="42">
                  <c:v>1.4288203792059599</c:v>
                </c:pt>
                <c:pt idx="43">
                  <c:v>1.42884091042877</c:v>
                </c:pt>
                <c:pt idx="44">
                  <c:v>1.4287899190836999</c:v>
                </c:pt>
                <c:pt idx="45">
                  <c:v>1.4287410067317901</c:v>
                </c:pt>
                <c:pt idx="46">
                  <c:v>1.4286580564902001</c:v>
                </c:pt>
                <c:pt idx="47">
                  <c:v>1.42853516301456</c:v>
                </c:pt>
                <c:pt idx="48">
                  <c:v>1.4285489661703901</c:v>
                </c:pt>
                <c:pt idx="49">
                  <c:v>1.4284992258965199</c:v>
                </c:pt>
                <c:pt idx="50">
                  <c:v>1.4284545545877301</c:v>
                </c:pt>
                <c:pt idx="51">
                  <c:v>1.42843494661321</c:v>
                </c:pt>
                <c:pt idx="52">
                  <c:v>1.42847543057287</c:v>
                </c:pt>
                <c:pt idx="53">
                  <c:v>1.4283807780529401</c:v>
                </c:pt>
                <c:pt idx="54">
                  <c:v>1.42846337444911</c:v>
                </c:pt>
                <c:pt idx="55">
                  <c:v>1.4284141421949299</c:v>
                </c:pt>
                <c:pt idx="56">
                  <c:v>1.42839919384756</c:v>
                </c:pt>
                <c:pt idx="57">
                  <c:v>1.42840825167986</c:v>
                </c:pt>
                <c:pt idx="58">
                  <c:v>1.42837236577537</c:v>
                </c:pt>
                <c:pt idx="59">
                  <c:v>1.42823910678687</c:v>
                </c:pt>
                <c:pt idx="60">
                  <c:v>1.42816078036283</c:v>
                </c:pt>
                <c:pt idx="61">
                  <c:v>1.42804894239924</c:v>
                </c:pt>
                <c:pt idx="62">
                  <c:v>1.42801978072571</c:v>
                </c:pt>
                <c:pt idx="63">
                  <c:v>1.42795869918361</c:v>
                </c:pt>
                <c:pt idx="64">
                  <c:v>1.42783150454954</c:v>
                </c:pt>
                <c:pt idx="65">
                  <c:v>1.4279501632128</c:v>
                </c:pt>
                <c:pt idx="66">
                  <c:v>1.42811806308654</c:v>
                </c:pt>
                <c:pt idx="67">
                  <c:v>1.4283006169494299</c:v>
                </c:pt>
                <c:pt idx="68">
                  <c:v>1.4284005811229401</c:v>
                </c:pt>
                <c:pt idx="69">
                  <c:v>1.4285658336302101</c:v>
                </c:pt>
                <c:pt idx="70">
                  <c:v>1.4286558558514899</c:v>
                </c:pt>
                <c:pt idx="71">
                  <c:v>1.4287754859778401</c:v>
                </c:pt>
                <c:pt idx="72">
                  <c:v>1.4288251442661299</c:v>
                </c:pt>
                <c:pt idx="73">
                  <c:v>1.42894117302714</c:v>
                </c:pt>
                <c:pt idx="74">
                  <c:v>1.4289070986927099</c:v>
                </c:pt>
                <c:pt idx="75">
                  <c:v>1.4289914711449401</c:v>
                </c:pt>
                <c:pt idx="76">
                  <c:v>1.42895987832331</c:v>
                </c:pt>
                <c:pt idx="77">
                  <c:v>1.4289994845784</c:v>
                </c:pt>
                <c:pt idx="78">
                  <c:v>1.42908006644154</c:v>
                </c:pt>
                <c:pt idx="79">
                  <c:v>1.4292054292727401</c:v>
                </c:pt>
                <c:pt idx="80">
                  <c:v>1.4292365594168099</c:v>
                </c:pt>
                <c:pt idx="81">
                  <c:v>1.4292658995610199</c:v>
                </c:pt>
                <c:pt idx="82">
                  <c:v>1.42937072062965</c:v>
                </c:pt>
                <c:pt idx="83">
                  <c:v>1.4294635074966699</c:v>
                </c:pt>
                <c:pt idx="84">
                  <c:v>1.42964431752411</c:v>
                </c:pt>
                <c:pt idx="85">
                  <c:v>1.4296437317445301</c:v>
                </c:pt>
                <c:pt idx="86">
                  <c:v>1.42962424950333</c:v>
                </c:pt>
                <c:pt idx="87">
                  <c:v>1.42965914583951</c:v>
                </c:pt>
                <c:pt idx="88">
                  <c:v>1.4296662355130501</c:v>
                </c:pt>
                <c:pt idx="89">
                  <c:v>1.4296782431294399</c:v>
                </c:pt>
                <c:pt idx="90">
                  <c:v>1.4298172595655601</c:v>
                </c:pt>
                <c:pt idx="91">
                  <c:v>1.42989313282771</c:v>
                </c:pt>
                <c:pt idx="92">
                  <c:v>1.42985926842274</c:v>
                </c:pt>
                <c:pt idx="93">
                  <c:v>1.42990222511055</c:v>
                </c:pt>
                <c:pt idx="94">
                  <c:v>1.42998047490644</c:v>
                </c:pt>
                <c:pt idx="95">
                  <c:v>1.4300627910739201</c:v>
                </c:pt>
                <c:pt idx="96">
                  <c:v>1.43024352967619</c:v>
                </c:pt>
                <c:pt idx="97">
                  <c:v>1.43038976677506</c:v>
                </c:pt>
                <c:pt idx="98">
                  <c:v>1.4305223920846</c:v>
                </c:pt>
                <c:pt idx="99">
                  <c:v>1.43061646917705</c:v>
                </c:pt>
                <c:pt idx="100">
                  <c:v>1.43076271821304</c:v>
                </c:pt>
                <c:pt idx="101">
                  <c:v>1.43085623828544</c:v>
                </c:pt>
                <c:pt idx="102">
                  <c:v>1.4309746718191001</c:v>
                </c:pt>
                <c:pt idx="103">
                  <c:v>1.4311323745969999</c:v>
                </c:pt>
                <c:pt idx="104">
                  <c:v>1.4312175324319401</c:v>
                </c:pt>
                <c:pt idx="105">
                  <c:v>1.4312350004988199</c:v>
                </c:pt>
                <c:pt idx="106">
                  <c:v>1.4312308685201001</c:v>
                </c:pt>
                <c:pt idx="107">
                  <c:v>1.4312281990642399</c:v>
                </c:pt>
                <c:pt idx="108">
                  <c:v>1.4312762693800201</c:v>
                </c:pt>
                <c:pt idx="109">
                  <c:v>1.4313046056521399</c:v>
                </c:pt>
                <c:pt idx="110">
                  <c:v>1.43131007018289</c:v>
                </c:pt>
                <c:pt idx="111">
                  <c:v>1.4312770216887001</c:v>
                </c:pt>
                <c:pt idx="112">
                  <c:v>1.4314171253255801</c:v>
                </c:pt>
                <c:pt idx="113">
                  <c:v>1.4314682118533</c:v>
                </c:pt>
                <c:pt idx="114">
                  <c:v>1.43148333259723</c:v>
                </c:pt>
                <c:pt idx="115">
                  <c:v>1.4314521136915701</c:v>
                </c:pt>
                <c:pt idx="116">
                  <c:v>1.4314315918414</c:v>
                </c:pt>
                <c:pt idx="117">
                  <c:v>1.4313859332206</c:v>
                </c:pt>
                <c:pt idx="118">
                  <c:v>1.43134906663609</c:v>
                </c:pt>
                <c:pt idx="119">
                  <c:v>1.43131820787994</c:v>
                </c:pt>
                <c:pt idx="120">
                  <c:v>1.4313514183238401</c:v>
                </c:pt>
                <c:pt idx="121">
                  <c:v>1.4313597016189501</c:v>
                </c:pt>
                <c:pt idx="122">
                  <c:v>1.43128715144756</c:v>
                </c:pt>
                <c:pt idx="123">
                  <c:v>1.4312536350237499</c:v>
                </c:pt>
                <c:pt idx="124">
                  <c:v>1.4312589334191701</c:v>
                </c:pt>
                <c:pt idx="125">
                  <c:v>1.4313422250335299</c:v>
                </c:pt>
                <c:pt idx="126">
                  <c:v>1.4315751064984401</c:v>
                </c:pt>
                <c:pt idx="127">
                  <c:v>1.4317234748286101</c:v>
                </c:pt>
                <c:pt idx="128">
                  <c:v>1.43186750007731</c:v>
                </c:pt>
                <c:pt idx="129">
                  <c:v>1.4319222342615501</c:v>
                </c:pt>
                <c:pt idx="130">
                  <c:v>1.43194724791766</c:v>
                </c:pt>
                <c:pt idx="131">
                  <c:v>1.4320345506585499</c:v>
                </c:pt>
                <c:pt idx="132">
                  <c:v>1.43208789115065</c:v>
                </c:pt>
                <c:pt idx="133">
                  <c:v>1.43213061000912</c:v>
                </c:pt>
                <c:pt idx="134">
                  <c:v>1.4322158331917201</c:v>
                </c:pt>
                <c:pt idx="135">
                  <c:v>1.4323155019159099</c:v>
                </c:pt>
                <c:pt idx="136">
                  <c:v>1.43246535779721</c:v>
                </c:pt>
                <c:pt idx="137">
                  <c:v>1.4325791342916301</c:v>
                </c:pt>
                <c:pt idx="138">
                  <c:v>1.43269607948128</c:v>
                </c:pt>
                <c:pt idx="139">
                  <c:v>1.43276391731695</c:v>
                </c:pt>
                <c:pt idx="140">
                  <c:v>1.4328505335952999</c:v>
                </c:pt>
                <c:pt idx="141">
                  <c:v>1.4330363461714599</c:v>
                </c:pt>
                <c:pt idx="142">
                  <c:v>1.4331966827113201</c:v>
                </c:pt>
                <c:pt idx="143">
                  <c:v>1.43334537294544</c:v>
                </c:pt>
                <c:pt idx="144">
                  <c:v>1.4334343468784401</c:v>
                </c:pt>
                <c:pt idx="145">
                  <c:v>1.43350305364082</c:v>
                </c:pt>
                <c:pt idx="146">
                  <c:v>1.43349235914828</c:v>
                </c:pt>
                <c:pt idx="147">
                  <c:v>1.4334603339892</c:v>
                </c:pt>
                <c:pt idx="148">
                  <c:v>1.43336332737884</c:v>
                </c:pt>
                <c:pt idx="149">
                  <c:v>1.43337231496165</c:v>
                </c:pt>
                <c:pt idx="150">
                  <c:v>1.4333672282829999</c:v>
                </c:pt>
                <c:pt idx="151">
                  <c:v>1.4333625701328201</c:v>
                </c:pt>
                <c:pt idx="152">
                  <c:v>1.4333633519096001</c:v>
                </c:pt>
                <c:pt idx="153">
                  <c:v>1.4334276984823699</c:v>
                </c:pt>
                <c:pt idx="154">
                  <c:v>1.4333827311393399</c:v>
                </c:pt>
                <c:pt idx="155">
                  <c:v>1.4333138614432701</c:v>
                </c:pt>
                <c:pt idx="156">
                  <c:v>1.4332041824703701</c:v>
                </c:pt>
                <c:pt idx="157">
                  <c:v>1.43316835823212</c:v>
                </c:pt>
                <c:pt idx="158">
                  <c:v>1.4330415745582901</c:v>
                </c:pt>
                <c:pt idx="159">
                  <c:v>1.43297632785539</c:v>
                </c:pt>
                <c:pt idx="160">
                  <c:v>1.43286619181431</c:v>
                </c:pt>
                <c:pt idx="161">
                  <c:v>1.4327553374734401</c:v>
                </c:pt>
                <c:pt idx="162">
                  <c:v>1.43271855685622</c:v>
                </c:pt>
                <c:pt idx="163">
                  <c:v>1.4325600801709499</c:v>
                </c:pt>
                <c:pt idx="164">
                  <c:v>1.4324891647861999</c:v>
                </c:pt>
                <c:pt idx="165">
                  <c:v>1.4323671942221901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1A6-4EF2-9502-A7777730FB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9547712"/>
        <c:axId val="205325072"/>
      </c:lineChart>
      <c:catAx>
        <c:axId val="167954771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325072"/>
        <c:crosses val="autoZero"/>
        <c:auto val="1"/>
        <c:lblAlgn val="ctr"/>
        <c:lblOffset val="100"/>
        <c:noMultiLvlLbl val="0"/>
      </c:catAx>
      <c:valAx>
        <c:axId val="205325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9547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VWOB_EMB_2!$U$1</c:f>
              <c:strCache>
                <c:ptCount val="1"/>
                <c:pt idx="0">
                  <c:v>log diff VWOB x avg / EMB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VWOB_EMB_2!$U$2:$U$167</c:f>
              <c:numCache>
                <c:formatCode>0.00%</c:formatCode>
                <c:ptCount val="166"/>
                <c:pt idx="1">
                  <c:v>3.3022333386706999E-3</c:v>
                </c:pt>
                <c:pt idx="2">
                  <c:v>3.4506888826168801E-3</c:v>
                </c:pt>
                <c:pt idx="3">
                  <c:v>3.9413732893292903E-3</c:v>
                </c:pt>
                <c:pt idx="4">
                  <c:v>4.3143135943526202E-3</c:v>
                </c:pt>
                <c:pt idx="5">
                  <c:v>2.7538741034781899E-3</c:v>
                </c:pt>
                <c:pt idx="6">
                  <c:v>2.99105514691261E-3</c:v>
                </c:pt>
                <c:pt idx="7">
                  <c:v>3.9413732893292903E-3</c:v>
                </c:pt>
                <c:pt idx="8">
                  <c:v>3.4951090347551902E-3</c:v>
                </c:pt>
                <c:pt idx="9">
                  <c:v>3.3764253656423798E-3</c:v>
                </c:pt>
                <c:pt idx="10">
                  <c:v>4.0151015958324902E-3</c:v>
                </c:pt>
                <c:pt idx="11">
                  <c:v>4.4073441230323002E-3</c:v>
                </c:pt>
                <c:pt idx="12">
                  <c:v>3.0800851649258501E-3</c:v>
                </c:pt>
                <c:pt idx="13">
                  <c:v>3.5833936888659801E-3</c:v>
                </c:pt>
                <c:pt idx="14">
                  <c:v>3.3163800620555901E-3</c:v>
                </c:pt>
                <c:pt idx="15">
                  <c:v>3.0210637401315698E-3</c:v>
                </c:pt>
                <c:pt idx="16">
                  <c:v>2.99151512811146E-3</c:v>
                </c:pt>
                <c:pt idx="17">
                  <c:v>3.1983129308543199E-3</c:v>
                </c:pt>
                <c:pt idx="18">
                  <c:v>3.9811258539565004E-3</c:v>
                </c:pt>
                <c:pt idx="19">
                  <c:v>3.8785120108246998E-3</c:v>
                </c:pt>
                <c:pt idx="20">
                  <c:v>2.9612038380703001E-3</c:v>
                </c:pt>
                <c:pt idx="21">
                  <c:v>2.60457398145346E-3</c:v>
                </c:pt>
                <c:pt idx="22">
                  <c:v>1.4452479129427999E-3</c:v>
                </c:pt>
                <c:pt idx="23">
                  <c:v>2.6652334684556002E-3</c:v>
                </c:pt>
                <c:pt idx="24">
                  <c:v>1.5571258943459501E-3</c:v>
                </c:pt>
                <c:pt idx="25">
                  <c:v>1.8386200768609399E-3</c:v>
                </c:pt>
                <c:pt idx="26">
                  <c:v>2.3579517451916502E-3</c:v>
                </c:pt>
                <c:pt idx="27">
                  <c:v>2.2548323844402301E-3</c:v>
                </c:pt>
                <c:pt idx="28">
                  <c:v>2.7127757025777002E-3</c:v>
                </c:pt>
                <c:pt idx="29">
                  <c:v>2.4346588678033302E-3</c:v>
                </c:pt>
                <c:pt idx="30">
                  <c:v>2.72880738841466E-3</c:v>
                </c:pt>
                <c:pt idx="31">
                  <c:v>2.7582171572900602E-3</c:v>
                </c:pt>
                <c:pt idx="32">
                  <c:v>2.7139055130991699E-3</c:v>
                </c:pt>
                <c:pt idx="33">
                  <c:v>2.2751383577146898E-3</c:v>
                </c:pt>
                <c:pt idx="34">
                  <c:v>2.68525307310921E-3</c:v>
                </c:pt>
                <c:pt idx="35">
                  <c:v>1.9822697072099998E-3</c:v>
                </c:pt>
                <c:pt idx="36">
                  <c:v>2.0857004316080299E-3</c:v>
                </c:pt>
                <c:pt idx="37">
                  <c:v>2.40710809389588E-3</c:v>
                </c:pt>
                <c:pt idx="38">
                  <c:v>2.1880179228722998E-3</c:v>
                </c:pt>
                <c:pt idx="39">
                  <c:v>5.2870596314138205E-4</c:v>
                </c:pt>
                <c:pt idx="40">
                  <c:v>1.0806028828996099E-3</c:v>
                </c:pt>
                <c:pt idx="41">
                  <c:v>1.41056767951143E-4</c:v>
                </c:pt>
                <c:pt idx="42">
                  <c:v>1.9529568495972999E-3</c:v>
                </c:pt>
                <c:pt idx="43">
                  <c:v>1.8110968260835101E-3</c:v>
                </c:pt>
                <c:pt idx="44">
                  <c:v>1.70952808717249E-3</c:v>
                </c:pt>
                <c:pt idx="45">
                  <c:v>1.96280822474598E-3</c:v>
                </c:pt>
                <c:pt idx="46">
                  <c:v>2.9605822967148699E-3</c:v>
                </c:pt>
                <c:pt idx="47">
                  <c:v>3.4114154590757502E-3</c:v>
                </c:pt>
                <c:pt idx="48">
                  <c:v>1.9290582007468601E-3</c:v>
                </c:pt>
                <c:pt idx="49">
                  <c:v>2.55224139442289E-3</c:v>
                </c:pt>
                <c:pt idx="50">
                  <c:v>2.7796043934341999E-3</c:v>
                </c:pt>
                <c:pt idx="51">
                  <c:v>2.4440202648635398E-3</c:v>
                </c:pt>
                <c:pt idx="52">
                  <c:v>1.5541861371637701E-3</c:v>
                </c:pt>
                <c:pt idx="53">
                  <c:v>3.0034009886680301E-3</c:v>
                </c:pt>
                <c:pt idx="54">
                  <c:v>9.2107807732118296E-4</c:v>
                </c:pt>
                <c:pt idx="55">
                  <c:v>2.0720359600796801E-3</c:v>
                </c:pt>
                <c:pt idx="56">
                  <c:v>1.7024555293598199E-3</c:v>
                </c:pt>
                <c:pt idx="57">
                  <c:v>1.6728406840372499E-3</c:v>
                </c:pt>
                <c:pt idx="58">
                  <c:v>2.0805848318424399E-3</c:v>
                </c:pt>
                <c:pt idx="59">
                  <c:v>2.3587117615298E-3</c:v>
                </c:pt>
                <c:pt idx="60">
                  <c:v>2.1519120016156401E-3</c:v>
                </c:pt>
                <c:pt idx="61">
                  <c:v>1.5264146874300101E-3</c:v>
                </c:pt>
                <c:pt idx="62">
                  <c:v>2.1827398777518299E-3</c:v>
                </c:pt>
                <c:pt idx="63">
                  <c:v>2.5020416738764598E-3</c:v>
                </c:pt>
                <c:pt idx="64">
                  <c:v>3.33843793947604E-3</c:v>
                </c:pt>
                <c:pt idx="65">
                  <c:v>1.16718901192751E-4</c:v>
                </c:pt>
                <c:pt idx="66">
                  <c:v>4.2913293960521702E-4</c:v>
                </c:pt>
                <c:pt idx="67">
                  <c:v>6.8379826118865502E-4</c:v>
                </c:pt>
                <c:pt idx="68">
                  <c:v>3.8384262760455601E-4</c:v>
                </c:pt>
                <c:pt idx="69">
                  <c:v>8.3983785437678898E-5</c:v>
                </c:pt>
                <c:pt idx="70">
                  <c:v>1.37176224788823E-3</c:v>
                </c:pt>
                <c:pt idx="71">
                  <c:v>6.2042604091529902E-4</c:v>
                </c:pt>
                <c:pt idx="72">
                  <c:v>7.2764768092336998E-4</c:v>
                </c:pt>
                <c:pt idx="73">
                  <c:v>1.25925166776879E-3</c:v>
                </c:pt>
                <c:pt idx="74">
                  <c:v>1.2803063047065999E-3</c:v>
                </c:pt>
                <c:pt idx="75">
                  <c:v>7.6513191409348803E-4</c:v>
                </c:pt>
                <c:pt idx="76">
                  <c:v>2.0222072288100098E-3</c:v>
                </c:pt>
                <c:pt idx="77">
                  <c:v>9.9891896110126401E-4</c:v>
                </c:pt>
                <c:pt idx="78">
                  <c:v>8.3123656542257005E-4</c:v>
                </c:pt>
                <c:pt idx="79">
                  <c:v>4.7116117012533401E-4</c:v>
                </c:pt>
                <c:pt idx="80">
                  <c:v>1.5830788973326001E-3</c:v>
                </c:pt>
                <c:pt idx="81">
                  <c:v>1.13964123939437E-3</c:v>
                </c:pt>
                <c:pt idx="82">
                  <c:v>2.5093254699397701E-4</c:v>
                </c:pt>
                <c:pt idx="83">
                  <c:v>7.3344309405339405E-4</c:v>
                </c:pt>
                <c:pt idx="84">
                  <c:v>3.2443734195958203E-4</c:v>
                </c:pt>
                <c:pt idx="85">
                  <c:v>-3.2388247687683002E-4</c:v>
                </c:pt>
                <c:pt idx="86">
                  <c:v>2.4574299744613298E-4</c:v>
                </c:pt>
                <c:pt idx="87">
                  <c:v>-2.68505976122477E-4</c:v>
                </c:pt>
                <c:pt idx="88">
                  <c:v>-1.8518734465824201E-4</c:v>
                </c:pt>
                <c:pt idx="89">
                  <c:v>-5.6813514287985703E-4</c:v>
                </c:pt>
                <c:pt idx="90">
                  <c:v>-1.08540131181414E-3</c:v>
                </c:pt>
                <c:pt idx="91">
                  <c:v>-9.3526243306956401E-4</c:v>
                </c:pt>
                <c:pt idx="92">
                  <c:v>7.0914541929518798E-4</c:v>
                </c:pt>
                <c:pt idx="93">
                  <c:v>1.46777952583457E-4</c:v>
                </c:pt>
                <c:pt idx="94">
                  <c:v>-3.3612616658803402E-4</c:v>
                </c:pt>
                <c:pt idx="95">
                  <c:v>-9.0109997043830495E-4</c:v>
                </c:pt>
                <c:pt idx="96">
                  <c:v>-1.0340616793326101E-3</c:v>
                </c:pt>
                <c:pt idx="97">
                  <c:v>-1.56902159981749E-3</c:v>
                </c:pt>
                <c:pt idx="98">
                  <c:v>-1.53111562787836E-3</c:v>
                </c:pt>
                <c:pt idx="99">
                  <c:v>-1.33532819612462E-3</c:v>
                </c:pt>
                <c:pt idx="100">
                  <c:v>-9.5112868985453404E-4</c:v>
                </c:pt>
                <c:pt idx="101">
                  <c:v>-6.4530893668631004E-4</c:v>
                </c:pt>
                <c:pt idx="102">
                  <c:v>-1.94688753998702E-3</c:v>
                </c:pt>
                <c:pt idx="103">
                  <c:v>-2.0083785974773899E-3</c:v>
                </c:pt>
                <c:pt idx="104">
                  <c:v>-1.39887126275565E-3</c:v>
                </c:pt>
                <c:pt idx="105">
                  <c:v>-1.09093235241239E-3</c:v>
                </c:pt>
                <c:pt idx="106">
                  <c:v>-2.1975283762943199E-4</c:v>
                </c:pt>
                <c:pt idx="107">
                  <c:v>-7.6561119829227802E-4</c:v>
                </c:pt>
                <c:pt idx="108">
                  <c:v>-1.39466395644894E-3</c:v>
                </c:pt>
                <c:pt idx="109">
                  <c:v>-1.5000181976756099E-3</c:v>
                </c:pt>
                <c:pt idx="110">
                  <c:v>-1.66486457457115E-3</c:v>
                </c:pt>
                <c:pt idx="111">
                  <c:v>-9.6056445886560102E-4</c:v>
                </c:pt>
                <c:pt idx="112">
                  <c:v>-1.7619656526449701E-3</c:v>
                </c:pt>
                <c:pt idx="113">
                  <c:v>-1.0514484147302399E-3</c:v>
                </c:pt>
                <c:pt idx="114">
                  <c:v>-1.0235216522621301E-3</c:v>
                </c:pt>
                <c:pt idx="115">
                  <c:v>-9.3024939719741598E-4</c:v>
                </c:pt>
                <c:pt idx="116">
                  <c:v>-1.2267455807831501E-3</c:v>
                </c:pt>
                <c:pt idx="117">
                  <c:v>-1.4118978162970201E-3</c:v>
                </c:pt>
                <c:pt idx="118">
                  <c:v>-1.5014676749413201E-3</c:v>
                </c:pt>
                <c:pt idx="119">
                  <c:v>-1.39791048539101E-3</c:v>
                </c:pt>
                <c:pt idx="120">
                  <c:v>-1.9340925882738601E-3</c:v>
                </c:pt>
                <c:pt idx="121">
                  <c:v>-1.26729773012239E-3</c:v>
                </c:pt>
                <c:pt idx="122">
                  <c:v>-8.9771566889726396E-4</c:v>
                </c:pt>
                <c:pt idx="123">
                  <c:v>-2.0510379332487399E-3</c:v>
                </c:pt>
                <c:pt idx="124">
                  <c:v>-1.98170917703649E-3</c:v>
                </c:pt>
                <c:pt idx="125">
                  <c:v>-2.7937560290296499E-3</c:v>
                </c:pt>
                <c:pt idx="126">
                  <c:v>-4.0629090876663099E-3</c:v>
                </c:pt>
                <c:pt idx="127">
                  <c:v>-3.39843352560851E-3</c:v>
                </c:pt>
                <c:pt idx="128">
                  <c:v>-3.9714559462574297E-3</c:v>
                </c:pt>
                <c:pt idx="129">
                  <c:v>-2.7859097291872401E-3</c:v>
                </c:pt>
                <c:pt idx="130">
                  <c:v>-2.56744103535188E-3</c:v>
                </c:pt>
                <c:pt idx="131">
                  <c:v>-2.7516218781000498E-3</c:v>
                </c:pt>
                <c:pt idx="132">
                  <c:v>-3.0721223082601601E-3</c:v>
                </c:pt>
                <c:pt idx="133">
                  <c:v>-2.2093864590598802E-3</c:v>
                </c:pt>
                <c:pt idx="134">
                  <c:v>-2.7841546310659699E-3</c:v>
                </c:pt>
                <c:pt idx="135">
                  <c:v>-2.9145691649190598E-3</c:v>
                </c:pt>
                <c:pt idx="136">
                  <c:v>-3.9239865746032998E-3</c:v>
                </c:pt>
                <c:pt idx="137">
                  <c:v>-3.5975094948711901E-3</c:v>
                </c:pt>
                <c:pt idx="138">
                  <c:v>-3.75892216456744E-3</c:v>
                </c:pt>
                <c:pt idx="139">
                  <c:v>-2.9457623771831001E-3</c:v>
                </c:pt>
                <c:pt idx="140">
                  <c:v>-3.7429947727074401E-3</c:v>
                </c:pt>
                <c:pt idx="141">
                  <c:v>-4.4973634729846296E-3</c:v>
                </c:pt>
                <c:pt idx="142">
                  <c:v>-3.77195631805663E-3</c:v>
                </c:pt>
                <c:pt idx="143">
                  <c:v>-4.2257867086903404E-3</c:v>
                </c:pt>
                <c:pt idx="144">
                  <c:v>-3.3089390056291099E-3</c:v>
                </c:pt>
                <c:pt idx="145">
                  <c:v>-4.7150123908497E-3</c:v>
                </c:pt>
                <c:pt idx="146">
                  <c:v>-4.8124729761434299E-3</c:v>
                </c:pt>
                <c:pt idx="147">
                  <c:v>-3.83368626515799E-3</c:v>
                </c:pt>
                <c:pt idx="148">
                  <c:v>-3.4862239481567299E-3</c:v>
                </c:pt>
                <c:pt idx="149">
                  <c:v>-3.81348357824907E-3</c:v>
                </c:pt>
                <c:pt idx="150">
                  <c:v>-3.3877344021484902E-3</c:v>
                </c:pt>
                <c:pt idx="151">
                  <c:v>-3.5855481483928202E-3</c:v>
                </c:pt>
                <c:pt idx="152">
                  <c:v>-3.98686862418358E-3</c:v>
                </c:pt>
                <c:pt idx="153">
                  <c:v>-4.0159816550192698E-3</c:v>
                </c:pt>
                <c:pt idx="154">
                  <c:v>-3.0255381442089399E-3</c:v>
                </c:pt>
                <c:pt idx="155">
                  <c:v>-2.8205295799126002E-3</c:v>
                </c:pt>
                <c:pt idx="156">
                  <c:v>-3.2495290866877799E-3</c:v>
                </c:pt>
                <c:pt idx="157">
                  <c:v>-3.9590660451491004E-3</c:v>
                </c:pt>
                <c:pt idx="158">
                  <c:v>-2.8072257277021E-3</c:v>
                </c:pt>
                <c:pt idx="159">
                  <c:v>-2.87996696740882E-3</c:v>
                </c:pt>
                <c:pt idx="160">
                  <c:v>-3.03845188203478E-3</c:v>
                </c:pt>
                <c:pt idx="161">
                  <c:v>-3.7731683856436901E-3</c:v>
                </c:pt>
                <c:pt idx="162">
                  <c:v>-4.0951977688721396E-3</c:v>
                </c:pt>
                <c:pt idx="163">
                  <c:v>-2.8088851717447899E-3</c:v>
                </c:pt>
                <c:pt idx="164">
                  <c:v>-3.15705118132938E-3</c:v>
                </c:pt>
                <c:pt idx="165">
                  <c:v>-2.9526367348603E-3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F32-4334-9B53-1162DFE48A21}"/>
            </c:ext>
          </c:extLst>
        </c:ser>
        <c:ser>
          <c:idx val="1"/>
          <c:order val="1"/>
          <c:tx>
            <c:strRef>
              <c:f>VWOB_EMB_2!$V$1</c:f>
              <c:strCache>
                <c:ptCount val="1"/>
                <c:pt idx="0">
                  <c:v>log diff VWOB x 10 dma / EMB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VWOB_EMB_2!$V$2:$V$167</c:f>
              <c:numCache>
                <c:formatCode>0.00%</c:formatCode>
                <c:ptCount val="166"/>
                <c:pt idx="10">
                  <c:v>4.9122517450385795E-4</c:v>
                </c:pt>
                <c:pt idx="11">
                  <c:v>8.4929720057384101E-4</c:v>
                </c:pt>
                <c:pt idx="12">
                  <c:v>-5.8844615637519302E-4</c:v>
                </c:pt>
                <c:pt idx="13">
                  <c:v>-4.8063004036398301E-5</c:v>
                </c:pt>
                <c:pt idx="14">
                  <c:v>-2.7928399777874398E-4</c:v>
                </c:pt>
                <c:pt idx="15">
                  <c:v>-4.7483385964414198E-4</c:v>
                </c:pt>
                <c:pt idx="16">
                  <c:v>-5.3111805433210004E-4</c:v>
                </c:pt>
                <c:pt idx="17">
                  <c:v>-3.2436627415734101E-4</c:v>
                </c:pt>
                <c:pt idx="18">
                  <c:v>5.3274642172497098E-4</c:v>
                </c:pt>
                <c:pt idx="19">
                  <c:v>3.8154379549399297E-4</c:v>
                </c:pt>
                <c:pt idx="20">
                  <c:v>-5.8596775064720505E-4</c:v>
                </c:pt>
                <c:pt idx="21">
                  <c:v>-8.3720716020922997E-4</c:v>
                </c:pt>
                <c:pt idx="22">
                  <c:v>-1.81628400544968E-3</c:v>
                </c:pt>
                <c:pt idx="23">
                  <c:v>-4.3266471542715299E-4</c:v>
                </c:pt>
                <c:pt idx="24">
                  <c:v>-1.4489629042058799E-3</c:v>
                </c:pt>
                <c:pt idx="25">
                  <c:v>-9.9145858375384406E-4</c:v>
                </c:pt>
                <c:pt idx="26">
                  <c:v>-3.53842202904155E-4</c:v>
                </c:pt>
                <c:pt idx="27">
                  <c:v>-3.9360488331912502E-4</c:v>
                </c:pt>
                <c:pt idx="28">
                  <c:v>1.5867467152219601E-4</c:v>
                </c:pt>
                <c:pt idx="29">
                  <c:v>7.28430898680032E-6</c:v>
                </c:pt>
                <c:pt idx="30">
                  <c:v>4.45702500100345E-4</c:v>
                </c:pt>
                <c:pt idx="31">
                  <c:v>4.9833858955523999E-4</c:v>
                </c:pt>
                <c:pt idx="32">
                  <c:v>4.3866898478915899E-4</c:v>
                </c:pt>
                <c:pt idx="33">
                  <c:v>-1.2699681537273601E-4</c:v>
                </c:pt>
                <c:pt idx="34">
                  <c:v>3.2212399605997198E-4</c:v>
                </c:pt>
                <c:pt idx="35">
                  <c:v>-4.9370575777844697E-4</c:v>
                </c:pt>
                <c:pt idx="36">
                  <c:v>-4.04648225845018E-4</c:v>
                </c:pt>
                <c:pt idx="37">
                  <c:v>-5.6008491367118499E-5</c:v>
                </c:pt>
                <c:pt idx="38">
                  <c:v>-2.9032836172307799E-4</c:v>
                </c:pt>
                <c:pt idx="39">
                  <c:v>-1.8971644530730899E-3</c:v>
                </c:pt>
                <c:pt idx="40">
                  <c:v>-1.1545103665078201E-3</c:v>
                </c:pt>
                <c:pt idx="41">
                  <c:v>-1.9291951356093101E-3</c:v>
                </c:pt>
                <c:pt idx="42">
                  <c:v>1.44549250793974E-4</c:v>
                </c:pt>
                <c:pt idx="43">
                  <c:v>7.87412623224302E-5</c:v>
                </c:pt>
                <c:pt idx="44">
                  <c:v>2.35611826120572E-5</c:v>
                </c:pt>
                <c:pt idx="45">
                  <c:v>3.7435917949903499E-4</c:v>
                </c:pt>
                <c:pt idx="46">
                  <c:v>1.3740786504695E-3</c:v>
                </c:pt>
                <c:pt idx="47">
                  <c:v>1.73750170975148E-3</c:v>
                </c:pt>
                <c:pt idx="48">
                  <c:v>1.54832669941495E-4</c:v>
                </c:pt>
                <c:pt idx="49">
                  <c:v>8.0390413929507301E-4</c:v>
                </c:pt>
                <c:pt idx="50">
                  <c:v>8.2885100958189205E-4</c:v>
                </c:pt>
                <c:pt idx="51">
                  <c:v>3.2334876582600601E-4</c:v>
                </c:pt>
                <c:pt idx="52">
                  <c:v>-7.9699912374913405E-4</c:v>
                </c:pt>
                <c:pt idx="53">
                  <c:v>6.9211584145184503E-4</c:v>
                </c:pt>
                <c:pt idx="54">
                  <c:v>-1.5094331591126899E-3</c:v>
                </c:pt>
                <c:pt idx="55">
                  <c:v>-2.7954541073275599E-4</c:v>
                </c:pt>
                <c:pt idx="56">
                  <c:v>-6.6005232524126399E-4</c:v>
                </c:pt>
                <c:pt idx="57">
                  <c:v>-5.63858500910944E-4</c:v>
                </c:pt>
                <c:pt idx="58">
                  <c:v>1.76749510644885E-5</c:v>
                </c:pt>
                <c:pt idx="59">
                  <c:v>2.8064822259289902E-4</c:v>
                </c:pt>
                <c:pt idx="60">
                  <c:v>9.3193936190771797E-5</c:v>
                </c:pt>
                <c:pt idx="61">
                  <c:v>-4.6956165048675399E-4</c:v>
                </c:pt>
                <c:pt idx="62">
                  <c:v>2.7852087820919198E-4</c:v>
                </c:pt>
                <c:pt idx="63">
                  <c:v>5.3496307612052704E-4</c:v>
                </c:pt>
                <c:pt idx="64">
                  <c:v>1.42145464547165E-3</c:v>
                </c:pt>
                <c:pt idx="65">
                  <c:v>-2.0419782184732198E-3</c:v>
                </c:pt>
                <c:pt idx="66">
                  <c:v>-1.5338433785249701E-3</c:v>
                </c:pt>
                <c:pt idx="67">
                  <c:v>-1.1517396184952699E-3</c:v>
                </c:pt>
                <c:pt idx="68">
                  <c:v>-1.3527308798422901E-3</c:v>
                </c:pt>
                <c:pt idx="69">
                  <c:v>-1.4828442903561899E-3</c:v>
                </c:pt>
                <c:pt idx="70">
                  <c:v>3.2459733807447398E-5</c:v>
                </c:pt>
                <c:pt idx="71">
                  <c:v>-6.4089749331870303E-4</c:v>
                </c:pt>
                <c:pt idx="72">
                  <c:v>-4.4306406551901102E-4</c:v>
                </c:pt>
                <c:pt idx="73">
                  <c:v>2.3399718555067999E-4</c:v>
                </c:pt>
                <c:pt idx="74">
                  <c:v>3.7921686046105401E-4</c:v>
                </c:pt>
                <c:pt idx="75">
                  <c:v>6.9544913406945197E-5</c:v>
                </c:pt>
                <c:pt idx="76">
                  <c:v>1.2617603076463999E-3</c:v>
                </c:pt>
                <c:pt idx="77">
                  <c:v>7.9226011472304406E-5</c:v>
                </c:pt>
                <c:pt idx="78">
                  <c:v>-1.19971419495438E-4</c:v>
                </c:pt>
                <c:pt idx="79">
                  <c:v>-5.2480258863008499E-4</c:v>
                </c:pt>
                <c:pt idx="80">
                  <c:v>5.4836882475846403E-4</c:v>
                </c:pt>
                <c:pt idx="81">
                  <c:v>8.3808631896652904E-5</c:v>
                </c:pt>
                <c:pt idx="82">
                  <c:v>-8.56832057929591E-4</c:v>
                </c:pt>
                <c:pt idx="83">
                  <c:v>-3.2662164194801501E-4</c:v>
                </c:pt>
                <c:pt idx="84">
                  <c:v>-6.8304456814580997E-4</c:v>
                </c:pt>
                <c:pt idx="85">
                  <c:v>-1.2357624492312801E-3</c:v>
                </c:pt>
                <c:pt idx="86">
                  <c:v>-5.57166163244341E-4</c:v>
                </c:pt>
                <c:pt idx="87">
                  <c:v>-8.9384326009190999E-4</c:v>
                </c:pt>
                <c:pt idx="88">
                  <c:v>-6.8375718783782505E-4</c:v>
                </c:pt>
                <c:pt idx="89">
                  <c:v>-9.6504991332389801E-4</c:v>
                </c:pt>
                <c:pt idx="90">
                  <c:v>-1.3783455506502201E-3</c:v>
                </c:pt>
                <c:pt idx="91">
                  <c:v>-9.6138240286492696E-4</c:v>
                </c:pt>
                <c:pt idx="92">
                  <c:v>8.9047855100671605E-4</c:v>
                </c:pt>
                <c:pt idx="93">
                  <c:v>2.8231904312750998E-4</c:v>
                </c:pt>
                <c:pt idx="94">
                  <c:v>-1.41954041644253E-4</c:v>
                </c:pt>
                <c:pt idx="95">
                  <c:v>-6.4088611331225098E-4</c:v>
                </c:pt>
                <c:pt idx="96">
                  <c:v>-7.1610740141098399E-4</c:v>
                </c:pt>
                <c:pt idx="97">
                  <c:v>-1.1230852824027199E-3</c:v>
                </c:pt>
                <c:pt idx="98">
                  <c:v>-9.5507469640620395E-4</c:v>
                </c:pt>
                <c:pt idx="99">
                  <c:v>-6.2466551266897796E-4</c:v>
                </c:pt>
                <c:pt idx="100">
                  <c:v>-1.6373114651258E-4</c:v>
                </c:pt>
                <c:pt idx="101">
                  <c:v>1.2865815398542199E-4</c:v>
                </c:pt>
                <c:pt idx="102">
                  <c:v>-1.20191669260901E-3</c:v>
                </c:pt>
                <c:pt idx="103">
                  <c:v>-9.9787312395726701E-4</c:v>
                </c:pt>
                <c:pt idx="104">
                  <c:v>-1.7289048601808299E-4</c:v>
                </c:pt>
                <c:pt idx="105">
                  <c:v>2.4127920557461501E-4</c:v>
                </c:pt>
                <c:pt idx="106">
                  <c:v>1.13143539752045E-3</c:v>
                </c:pt>
                <c:pt idx="107">
                  <c:v>5.0420179705103099E-4</c:v>
                </c:pt>
                <c:pt idx="108">
                  <c:v>-2.0518699601031499E-4</c:v>
                </c:pt>
                <c:pt idx="109">
                  <c:v>-3.2419022881151598E-4</c:v>
                </c:pt>
                <c:pt idx="110">
                  <c:v>-4.7256375778066602E-4</c:v>
                </c:pt>
                <c:pt idx="111">
                  <c:v>3.0311565845198999E-4</c:v>
                </c:pt>
                <c:pt idx="112">
                  <c:v>-4.6677500128602598E-4</c:v>
                </c:pt>
                <c:pt idx="113">
                  <c:v>2.2523953230527699E-4</c:v>
                </c:pt>
                <c:pt idx="114">
                  <c:v>1.5744445667124099E-4</c:v>
                </c:pt>
                <c:pt idx="115">
                  <c:v>2.13179911257289E-4</c:v>
                </c:pt>
                <c:pt idx="116">
                  <c:v>-9.9382562583956707E-5</c:v>
                </c:pt>
                <c:pt idx="117">
                  <c:v>-1.8388127101151799E-4</c:v>
                </c:pt>
                <c:pt idx="118">
                  <c:v>-2.0883355418383501E-4</c:v>
                </c:pt>
                <c:pt idx="119">
                  <c:v>-9.4594389634400505E-5</c:v>
                </c:pt>
                <c:pt idx="120">
                  <c:v>-6.4098880318474104E-4</c:v>
                </c:pt>
                <c:pt idx="121">
                  <c:v>5.2742130119215103E-5</c:v>
                </c:pt>
                <c:pt idx="122">
                  <c:v>4.5299072697721401E-4</c:v>
                </c:pt>
                <c:pt idx="123">
                  <c:v>-7.8675846983611503E-4</c:v>
                </c:pt>
                <c:pt idx="124">
                  <c:v>-6.1744706733273403E-4</c:v>
                </c:pt>
                <c:pt idx="125">
                  <c:v>-1.33366649701825E-3</c:v>
                </c:pt>
                <c:pt idx="126">
                  <c:v>-2.41641132874936E-3</c:v>
                </c:pt>
                <c:pt idx="127">
                  <c:v>-1.46807632878136E-3</c:v>
                </c:pt>
                <c:pt idx="128">
                  <c:v>-1.8423705487811701E-3</c:v>
                </c:pt>
                <c:pt idx="129">
                  <c:v>-4.0970591119504298E-4</c:v>
                </c:pt>
                <c:pt idx="130">
                  <c:v>-5.2486362523683997E-5</c:v>
                </c:pt>
                <c:pt idx="131">
                  <c:v>-1.7335109410025E-4</c:v>
                </c:pt>
                <c:pt idx="132">
                  <c:v>-3.4551450430331298E-4</c:v>
                </c:pt>
                <c:pt idx="133">
                  <c:v>7.34477236351504E-4</c:v>
                </c:pt>
                <c:pt idx="134">
                  <c:v>1.7553091296561399E-4</c:v>
                </c:pt>
                <c:pt idx="135">
                  <c:v>1.25311442967267E-4</c:v>
                </c:pt>
                <c:pt idx="136">
                  <c:v>-8.7202696958107203E-4</c:v>
                </c:pt>
                <c:pt idx="137">
                  <c:v>-5.5945532339671895E-4</c:v>
                </c:pt>
                <c:pt idx="138">
                  <c:v>-7.0095143651500405E-4</c:v>
                </c:pt>
                <c:pt idx="139">
                  <c:v>9.0937583396740598E-5</c:v>
                </c:pt>
                <c:pt idx="140">
                  <c:v>-6.9031240610187598E-4</c:v>
                </c:pt>
                <c:pt idx="141">
                  <c:v>-1.3271205821618799E-3</c:v>
                </c:pt>
                <c:pt idx="142">
                  <c:v>-4.2707517742595702E-4</c:v>
                </c:pt>
                <c:pt idx="143">
                  <c:v>-8.1091921475424998E-4</c:v>
                </c:pt>
                <c:pt idx="144">
                  <c:v>3.0750845301320199E-4</c:v>
                </c:pt>
                <c:pt idx="145">
                  <c:v>-1.0461177685004599E-3</c:v>
                </c:pt>
                <c:pt idx="146">
                  <c:v>-9.6352394795611702E-4</c:v>
                </c:pt>
                <c:pt idx="147">
                  <c:v>1.04153604568846E-4</c:v>
                </c:pt>
                <c:pt idx="148">
                  <c:v>4.7522807162850397E-4</c:v>
                </c:pt>
                <c:pt idx="149">
                  <c:v>1.2070748783718601E-4</c:v>
                </c:pt>
                <c:pt idx="150">
                  <c:v>6.33176918747245E-4</c:v>
                </c:pt>
                <c:pt idx="151">
                  <c:v>3.9985268485480201E-4</c:v>
                </c:pt>
                <c:pt idx="152">
                  <c:v>-9.2658595631216705E-5</c:v>
                </c:pt>
                <c:pt idx="153">
                  <c:v>-1.0028094475438601E-4</c:v>
                </c:pt>
                <c:pt idx="154">
                  <c:v>8.6917753517131401E-4</c:v>
                </c:pt>
                <c:pt idx="155">
                  <c:v>1.04586622149344E-3</c:v>
                </c:pt>
                <c:pt idx="156">
                  <c:v>4.2741914461929002E-4</c:v>
                </c:pt>
                <c:pt idx="157">
                  <c:v>-4.38479788861221E-4</c:v>
                </c:pt>
                <c:pt idx="158">
                  <c:v>7.2590314046536305E-4</c:v>
                </c:pt>
                <c:pt idx="159">
                  <c:v>5.8528600558920799E-4</c:v>
                </c:pt>
                <c:pt idx="160">
                  <c:v>3.33456134087354E-4</c:v>
                </c:pt>
                <c:pt idx="161">
                  <c:v>-4.3618368483728902E-4</c:v>
                </c:pt>
                <c:pt idx="162">
                  <c:v>-7.39444795717193E-4</c:v>
                </c:pt>
                <c:pt idx="163">
                  <c:v>5.5770808325429405E-4</c:v>
                </c:pt>
                <c:pt idx="164">
                  <c:v>8.8819597872610894E-5</c:v>
                </c:pt>
                <c:pt idx="165">
                  <c:v>3.06383228891964E-4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F32-4334-9B53-1162DFE48A21}"/>
            </c:ext>
          </c:extLst>
        </c:ser>
        <c:ser>
          <c:idx val="2"/>
          <c:order val="2"/>
          <c:tx>
            <c:strRef>
              <c:f>VWOB_EMB_2!$W$1</c:f>
              <c:strCache>
                <c:ptCount val="1"/>
                <c:pt idx="0">
                  <c:v>log diff VWOB x 20 dma / EMB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VWOB_EMB_2!$W$2:$W$167</c:f>
              <c:numCache>
                <c:formatCode>0.00%</c:formatCode>
                <c:ptCount val="166"/>
                <c:pt idx="20">
                  <c:v>-5.74320099119722E-4</c:v>
                </c:pt>
                <c:pt idx="21">
                  <c:v>-8.9533836089095403E-4</c:v>
                </c:pt>
                <c:pt idx="22">
                  <c:v>-2.01976300083963E-3</c:v>
                </c:pt>
                <c:pt idx="23">
                  <c:v>-6.9940838435227201E-4</c:v>
                </c:pt>
                <c:pt idx="24">
                  <c:v>-1.74370708497426E-3</c:v>
                </c:pt>
                <c:pt idx="25">
                  <c:v>-1.32431263897778E-3</c:v>
                </c:pt>
                <c:pt idx="26">
                  <c:v>-7.59179637547408E-4</c:v>
                </c:pt>
                <c:pt idx="27">
                  <c:v>-8.3063031457784203E-4</c:v>
                </c:pt>
                <c:pt idx="28">
                  <c:v>-2.8836456233674801E-4</c:v>
                </c:pt>
                <c:pt idx="29">
                  <c:v>-5.2736951545336898E-4</c:v>
                </c:pt>
                <c:pt idx="30">
                  <c:v>-1.8613111703653901E-4</c:v>
                </c:pt>
                <c:pt idx="31">
                  <c:v>-9.2438085707244699E-5</c:v>
                </c:pt>
                <c:pt idx="32">
                  <c:v>-5.4357112932387103E-5</c:v>
                </c:pt>
                <c:pt idx="33">
                  <c:v>-4.7481781000079001E-4</c:v>
                </c:pt>
                <c:pt idx="34">
                  <c:v>6.9580995827045295E-7</c:v>
                </c:pt>
                <c:pt idx="35">
                  <c:v>-6.7074168195761005E-4</c:v>
                </c:pt>
                <c:pt idx="36">
                  <c:v>-5.1536474141437795E-4</c:v>
                </c:pt>
                <c:pt idx="37">
                  <c:v>-1.4866453964576E-4</c:v>
                </c:pt>
                <c:pt idx="38">
                  <c:v>-3.2820501760555198E-4</c:v>
                </c:pt>
                <c:pt idx="39">
                  <c:v>-1.8979165240909899E-3</c:v>
                </c:pt>
                <c:pt idx="40">
                  <c:v>-1.17850589806148E-3</c:v>
                </c:pt>
                <c:pt idx="41">
                  <c:v>-2.0240039729124198E-3</c:v>
                </c:pt>
                <c:pt idx="42">
                  <c:v>-8.8837972803765104E-5</c:v>
                </c:pt>
                <c:pt idx="43">
                  <c:v>-2.5609246675138399E-4</c:v>
                </c:pt>
                <c:pt idx="44">
                  <c:v>-3.1496258505750002E-4</c:v>
                </c:pt>
                <c:pt idx="45">
                  <c:v>-6.9305567481725498E-5</c:v>
                </c:pt>
                <c:pt idx="46">
                  <c:v>9.2225826183776004E-4</c:v>
                </c:pt>
                <c:pt idx="47">
                  <c:v>1.34297814691963E-3</c:v>
                </c:pt>
                <c:pt idx="48">
                  <c:v>-1.97165733700087E-4</c:v>
                </c:pt>
                <c:pt idx="49">
                  <c:v>4.6519494014876601E-4</c:v>
                </c:pt>
                <c:pt idx="50">
                  <c:v>6.8668118437091303E-4</c:v>
                </c:pt>
                <c:pt idx="51">
                  <c:v>3.4855888133142999E-4</c:v>
                </c:pt>
                <c:pt idx="52">
                  <c:v>-5.2557346674596695E-4</c:v>
                </c:pt>
                <c:pt idx="53">
                  <c:v>9.8162252811174393E-4</c:v>
                </c:pt>
                <c:pt idx="54">
                  <c:v>-1.1370916998948799E-3</c:v>
                </c:pt>
                <c:pt idx="55">
                  <c:v>1.0209354841643799E-4</c:v>
                </c:pt>
                <c:pt idx="56">
                  <c:v>-2.7197494824856498E-4</c:v>
                </c:pt>
                <c:pt idx="57">
                  <c:v>-2.8242619216875298E-4</c:v>
                </c:pt>
                <c:pt idx="58">
                  <c:v>1.6202754338242301E-4</c:v>
                </c:pt>
                <c:pt idx="59">
                  <c:v>4.45524954425016E-4</c:v>
                </c:pt>
                <c:pt idx="60">
                  <c:v>1.47177734023516E-4</c:v>
                </c:pt>
                <c:pt idx="61">
                  <c:v>-5.3190728743681402E-4</c:v>
                </c:pt>
                <c:pt idx="62">
                  <c:v>5.5062719878719599E-5</c:v>
                </c:pt>
                <c:pt idx="63">
                  <c:v>3.6287461115915601E-4</c:v>
                </c:pt>
                <c:pt idx="64">
                  <c:v>1.1647236381251401E-3</c:v>
                </c:pt>
                <c:pt idx="65">
                  <c:v>-2.1384156935046902E-3</c:v>
                </c:pt>
                <c:pt idx="66">
                  <c:v>-1.7335891935793301E-3</c:v>
                </c:pt>
                <c:pt idx="67">
                  <c:v>-1.35230015482847E-3</c:v>
                </c:pt>
                <c:pt idx="68">
                  <c:v>-1.51588575457943E-3</c:v>
                </c:pt>
                <c:pt idx="69">
                  <c:v>-1.73842935171574E-3</c:v>
                </c:pt>
                <c:pt idx="70">
                  <c:v>-3.2718334702399498E-4</c:v>
                </c:pt>
                <c:pt idx="71">
                  <c:v>-1.0081564308187E-3</c:v>
                </c:pt>
                <c:pt idx="72">
                  <c:v>-8.0975043795925299E-4</c:v>
                </c:pt>
                <c:pt idx="73">
                  <c:v>-2.3680399313942199E-4</c:v>
                </c:pt>
                <c:pt idx="74">
                  <c:v>-1.2860105938449301E-4</c:v>
                </c:pt>
                <c:pt idx="75">
                  <c:v>-6.6174255970394996E-4</c:v>
                </c:pt>
                <c:pt idx="76">
                  <c:v>6.6067636877099E-4</c:v>
                </c:pt>
                <c:pt idx="77">
                  <c:v>-3.7859160706687898E-4</c:v>
                </c:pt>
                <c:pt idx="78">
                  <c:v>-5.1257708088620795E-4</c:v>
                </c:pt>
                <c:pt idx="79">
                  <c:v>-8.1019401139132395E-4</c:v>
                </c:pt>
                <c:pt idx="80">
                  <c:v>3.9608420107443E-4</c:v>
                </c:pt>
                <c:pt idx="81">
                  <c:v>-1.89315531565321E-5</c:v>
                </c:pt>
                <c:pt idx="82">
                  <c:v>-8.8830513339616503E-4</c:v>
                </c:pt>
                <c:pt idx="83">
                  <c:v>-3.0921636358735902E-4</c:v>
                </c:pt>
                <c:pt idx="84">
                  <c:v>-6.2984692029616305E-4</c:v>
                </c:pt>
                <c:pt idx="85">
                  <c:v>-1.12761011556606E-3</c:v>
                </c:pt>
                <c:pt idx="86">
                  <c:v>-5.3593481810079203E-4</c:v>
                </c:pt>
                <c:pt idx="87">
                  <c:v>-1.0410102622647099E-3</c:v>
                </c:pt>
                <c:pt idx="88">
                  <c:v>-9.1005064854645301E-4</c:v>
                </c:pt>
                <c:pt idx="89">
                  <c:v>-1.26452955001929E-3</c:v>
                </c:pt>
                <c:pt idx="90">
                  <c:v>-1.7491596904519399E-3</c:v>
                </c:pt>
                <c:pt idx="91">
                  <c:v>-1.4761061832071899E-3</c:v>
                </c:pt>
                <c:pt idx="92">
                  <c:v>2.4613740429661399E-4</c:v>
                </c:pt>
                <c:pt idx="93">
                  <c:v>-3.1530518599418001E-4</c:v>
                </c:pt>
                <c:pt idx="94">
                  <c:v>-7.4260056262707302E-4</c:v>
                </c:pt>
                <c:pt idx="95">
                  <c:v>-1.22676130256938E-3</c:v>
                </c:pt>
                <c:pt idx="96">
                  <c:v>-1.2763820788693301E-3</c:v>
                </c:pt>
                <c:pt idx="97">
                  <c:v>-1.65857862971063E-3</c:v>
                </c:pt>
                <c:pt idx="98">
                  <c:v>-1.49223573519939E-3</c:v>
                </c:pt>
                <c:pt idx="99">
                  <c:v>-1.17830089864952E-3</c:v>
                </c:pt>
                <c:pt idx="100">
                  <c:v>-7.03756145312985E-4</c:v>
                </c:pt>
                <c:pt idx="101">
                  <c:v>-2.7130535883728102E-4</c:v>
                </c:pt>
                <c:pt idx="102">
                  <c:v>-1.4836958395083001E-3</c:v>
                </c:pt>
                <c:pt idx="103">
                  <c:v>-1.4352596201145499E-3</c:v>
                </c:pt>
                <c:pt idx="104">
                  <c:v>-6.8866173328395095E-4</c:v>
                </c:pt>
                <c:pt idx="105">
                  <c:v>-2.9457599747877801E-4</c:v>
                </c:pt>
                <c:pt idx="106">
                  <c:v>6.1495186545179397E-4</c:v>
                </c:pt>
                <c:pt idx="107">
                  <c:v>9.2348304681866695E-5</c:v>
                </c:pt>
                <c:pt idx="108">
                  <c:v>-5.11857972524086E-4</c:v>
                </c:pt>
                <c:pt idx="109">
                  <c:v>-5.5674582417328104E-4</c:v>
                </c:pt>
                <c:pt idx="110">
                  <c:v>-6.74994901172422E-4</c:v>
                </c:pt>
                <c:pt idx="111">
                  <c:v>5.8289122484780203E-5</c:v>
                </c:pt>
                <c:pt idx="112">
                  <c:v>-7.4184706054800998E-4</c:v>
                </c:pt>
                <c:pt idx="113">
                  <c:v>9.2157152186182796E-5</c:v>
                </c:pt>
                <c:pt idx="114">
                  <c:v>1.7995204386349599E-4</c:v>
                </c:pt>
                <c:pt idx="115">
                  <c:v>3.07575490865631E-4</c:v>
                </c:pt>
                <c:pt idx="116">
                  <c:v>1.25363081073508E-5</c:v>
                </c:pt>
                <c:pt idx="117">
                  <c:v>-1.6298282761470899E-4</c:v>
                </c:pt>
                <c:pt idx="118">
                  <c:v>-2.6041080416848802E-4</c:v>
                </c:pt>
                <c:pt idx="119">
                  <c:v>-1.5833642142802699E-4</c:v>
                </c:pt>
                <c:pt idx="120">
                  <c:v>-6.9138901717925502E-4</c:v>
                </c:pt>
                <c:pt idx="121">
                  <c:v>2.4562655710020999E-5</c:v>
                </c:pt>
                <c:pt idx="122">
                  <c:v>4.2523323996936102E-4</c:v>
                </c:pt>
                <c:pt idx="123">
                  <c:v>-7.8055420877838101E-4</c:v>
                </c:pt>
                <c:pt idx="124">
                  <c:v>-7.09090868039996E-4</c:v>
                </c:pt>
                <c:pt idx="125">
                  <c:v>-1.49198407458427E-3</c:v>
                </c:pt>
                <c:pt idx="126">
                  <c:v>-2.67594501149864E-3</c:v>
                </c:pt>
                <c:pt idx="127">
                  <c:v>-1.8191849942547299E-3</c:v>
                </c:pt>
                <c:pt idx="128">
                  <c:v>-2.2605087308007399E-3</c:v>
                </c:pt>
                <c:pt idx="129">
                  <c:v>-9.4600588631173102E-4</c:v>
                </c:pt>
                <c:pt idx="130">
                  <c:v>-6.6322519145610296E-4</c:v>
                </c:pt>
                <c:pt idx="131">
                  <c:v>-8.0226866286016104E-4</c:v>
                </c:pt>
                <c:pt idx="132">
                  <c:v>-1.0332285702775001E-3</c:v>
                </c:pt>
                <c:pt idx="133">
                  <c:v>-1.04962254290149E-4</c:v>
                </c:pt>
                <c:pt idx="134">
                  <c:v>-6.2186263224020804E-4</c:v>
                </c:pt>
                <c:pt idx="135">
                  <c:v>-6.6427212752235296E-4</c:v>
                </c:pt>
                <c:pt idx="136">
                  <c:v>-1.5745109772789499E-3</c:v>
                </c:pt>
                <c:pt idx="137">
                  <c:v>-1.1131504366547901E-3</c:v>
                </c:pt>
                <c:pt idx="138">
                  <c:v>-1.16528624831219E-3</c:v>
                </c:pt>
                <c:pt idx="139">
                  <c:v>-2.39255956003845E-4</c:v>
                </c:pt>
                <c:pt idx="140">
                  <c:v>-9.5914010910681596E-4</c:v>
                </c:pt>
                <c:pt idx="141">
                  <c:v>-1.6230628317021999E-3</c:v>
                </c:pt>
                <c:pt idx="142">
                  <c:v>-7.3616406302377704E-4</c:v>
                </c:pt>
                <c:pt idx="143">
                  <c:v>-1.0463933834445199E-3</c:v>
                </c:pt>
                <c:pt idx="144">
                  <c:v>-2.08185872666214E-5</c:v>
                </c:pt>
                <c:pt idx="145">
                  <c:v>-1.3605753184040301E-3</c:v>
                </c:pt>
                <c:pt idx="146">
                  <c:v>-1.3619392605232501E-3</c:v>
                </c:pt>
                <c:pt idx="147">
                  <c:v>-3.4563804277294399E-4</c:v>
                </c:pt>
                <c:pt idx="148">
                  <c:v>2.35894605641675E-5</c:v>
                </c:pt>
                <c:pt idx="149">
                  <c:v>-3.2793737863410599E-4</c:v>
                </c:pt>
                <c:pt idx="150">
                  <c:v>1.49179625011206E-4</c:v>
                </c:pt>
                <c:pt idx="151">
                  <c:v>-7.6432260510335193E-6</c:v>
                </c:pt>
                <c:pt idx="152">
                  <c:v>-3.6728531931411401E-4</c:v>
                </c:pt>
                <c:pt idx="153">
                  <c:v>-3.5066619868019699E-4</c:v>
                </c:pt>
                <c:pt idx="154">
                  <c:v>7.3005310395262801E-4</c:v>
                </c:pt>
                <c:pt idx="155">
                  <c:v>9.4712050780462504E-4</c:v>
                </c:pt>
                <c:pt idx="156">
                  <c:v>5.1342324109360303E-4</c:v>
                </c:pt>
                <c:pt idx="157">
                  <c:v>-2.2983121956973601E-4</c:v>
                </c:pt>
                <c:pt idx="158">
                  <c:v>9.4008764886427604E-4</c:v>
                </c:pt>
                <c:pt idx="159">
                  <c:v>8.1978253999996599E-4</c:v>
                </c:pt>
                <c:pt idx="160">
                  <c:v>6.5801043713456704E-4</c:v>
                </c:pt>
                <c:pt idx="161">
                  <c:v>-1.1192306318245699E-4</c:v>
                </c:pt>
                <c:pt idx="162">
                  <c:v>-4.7018002601872298E-4</c:v>
                </c:pt>
                <c:pt idx="163">
                  <c:v>8.3229950076137604E-4</c:v>
                </c:pt>
                <c:pt idx="164">
                  <c:v>4.1329467292374698E-4</c:v>
                </c:pt>
                <c:pt idx="165">
                  <c:v>6.1011726089400104E-4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F32-4334-9B53-1162DFE48A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9287584"/>
        <c:axId val="205412432"/>
      </c:lineChart>
      <c:catAx>
        <c:axId val="166928758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412432"/>
        <c:crosses val="autoZero"/>
        <c:auto val="1"/>
        <c:lblAlgn val="ctr"/>
        <c:lblOffset val="100"/>
        <c:noMultiLvlLbl val="0"/>
      </c:catAx>
      <c:valAx>
        <c:axId val="205412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9287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VWOB_EMB_2!$BY$22:$BY$167</c:f>
              <c:numCache>
                <c:formatCode>0.00%</c:formatCode>
                <c:ptCount val="14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1.8119000816461399E-3</c:v>
                </c:pt>
                <c:pt idx="23">
                  <c:v>1.8119000816461399E-3</c:v>
                </c:pt>
                <c:pt idx="24">
                  <c:v>1.8119000816461399E-3</c:v>
                </c:pt>
                <c:pt idx="25">
                  <c:v>1.8119000816461399E-3</c:v>
                </c:pt>
                <c:pt idx="26">
                  <c:v>1.8119000816461399E-3</c:v>
                </c:pt>
                <c:pt idx="27">
                  <c:v>1.3610669192852102E-3</c:v>
                </c:pt>
                <c:pt idx="28">
                  <c:v>2.8434241776139498E-3</c:v>
                </c:pt>
                <c:pt idx="29">
                  <c:v>2.2202409839382595E-3</c:v>
                </c:pt>
                <c:pt idx="30">
                  <c:v>1.9928779849266295E-3</c:v>
                </c:pt>
                <c:pt idx="31">
                  <c:v>2.3284621134974891E-3</c:v>
                </c:pt>
                <c:pt idx="32">
                  <c:v>3.2182962411973688E-3</c:v>
                </c:pt>
                <c:pt idx="33">
                  <c:v>3.2182962411973688E-3</c:v>
                </c:pt>
                <c:pt idx="34">
                  <c:v>5.3006191525441573E-3</c:v>
                </c:pt>
                <c:pt idx="35">
                  <c:v>5.3006191525441573E-3</c:v>
                </c:pt>
                <c:pt idx="36">
                  <c:v>5.3006191525441573E-3</c:v>
                </c:pt>
                <c:pt idx="37">
                  <c:v>5.3006191525441573E-3</c:v>
                </c:pt>
                <c:pt idx="38">
                  <c:v>5.3006191525441573E-3</c:v>
                </c:pt>
                <c:pt idx="39">
                  <c:v>5.3006191525441573E-3</c:v>
                </c:pt>
                <c:pt idx="40">
                  <c:v>5.3006191525441573E-3</c:v>
                </c:pt>
                <c:pt idx="41">
                  <c:v>5.3006191525441573E-3</c:v>
                </c:pt>
                <c:pt idx="42">
                  <c:v>5.3006191525441573E-3</c:v>
                </c:pt>
                <c:pt idx="43">
                  <c:v>5.3006191525441573E-3</c:v>
                </c:pt>
                <c:pt idx="44">
                  <c:v>5.3006191525441573E-3</c:v>
                </c:pt>
                <c:pt idx="45">
                  <c:v>8.5223381908274762E-3</c:v>
                </c:pt>
                <c:pt idx="46">
                  <c:v>8.8347522292401663E-3</c:v>
                </c:pt>
                <c:pt idx="47">
                  <c:v>9.0894175508233338E-3</c:v>
                </c:pt>
                <c:pt idx="48">
                  <c:v>8.7894619172394946E-3</c:v>
                </c:pt>
                <c:pt idx="49">
                  <c:v>8.4896030750726947E-3</c:v>
                </c:pt>
                <c:pt idx="50">
                  <c:v>9.7773815375232862E-3</c:v>
                </c:pt>
                <c:pt idx="51">
                  <c:v>9.7773815375232862E-3</c:v>
                </c:pt>
                <c:pt idx="52">
                  <c:v>9.7773815375232862E-3</c:v>
                </c:pt>
                <c:pt idx="53">
                  <c:v>9.7773815375232862E-3</c:v>
                </c:pt>
                <c:pt idx="54">
                  <c:v>9.7773815375232862E-3</c:v>
                </c:pt>
                <c:pt idx="55">
                  <c:v>9.7773815375232862E-3</c:v>
                </c:pt>
                <c:pt idx="56">
                  <c:v>9.7773815375232862E-3</c:v>
                </c:pt>
                <c:pt idx="57">
                  <c:v>9.7773815375232862E-3</c:v>
                </c:pt>
                <c:pt idx="58">
                  <c:v>9.7773815375232862E-3</c:v>
                </c:pt>
                <c:pt idx="59">
                  <c:v>9.7773815375232862E-3</c:v>
                </c:pt>
                <c:pt idx="60">
                  <c:v>9.7773815375232862E-3</c:v>
                </c:pt>
                <c:pt idx="61">
                  <c:v>9.7773815375232862E-3</c:v>
                </c:pt>
                <c:pt idx="62">
                  <c:v>9.7773815375232862E-3</c:v>
                </c:pt>
                <c:pt idx="63">
                  <c:v>9.7773815375232862E-3</c:v>
                </c:pt>
                <c:pt idx="64">
                  <c:v>9.7773815375232862E-3</c:v>
                </c:pt>
                <c:pt idx="65">
                  <c:v>9.7773815375232862E-3</c:v>
                </c:pt>
                <c:pt idx="66">
                  <c:v>9.7773815375232862E-3</c:v>
                </c:pt>
                <c:pt idx="67">
                  <c:v>9.7773815375232862E-3</c:v>
                </c:pt>
                <c:pt idx="68">
                  <c:v>9.7773815375232862E-3</c:v>
                </c:pt>
                <c:pt idx="69">
                  <c:v>9.7773815375232862E-3</c:v>
                </c:pt>
                <c:pt idx="70">
                  <c:v>9.7773815375232862E-3</c:v>
                </c:pt>
                <c:pt idx="71">
                  <c:v>9.7773815375232862E-3</c:v>
                </c:pt>
                <c:pt idx="72">
                  <c:v>9.7773815375232862E-3</c:v>
                </c:pt>
                <c:pt idx="73">
                  <c:v>9.7773815375232862E-3</c:v>
                </c:pt>
                <c:pt idx="74">
                  <c:v>9.7773815375232862E-3</c:v>
                </c:pt>
                <c:pt idx="75">
                  <c:v>9.7773815375232862E-3</c:v>
                </c:pt>
                <c:pt idx="76">
                  <c:v>9.7773815375232862E-3</c:v>
                </c:pt>
                <c:pt idx="77">
                  <c:v>9.7773815375232862E-3</c:v>
                </c:pt>
                <c:pt idx="78">
                  <c:v>9.8152875094624052E-3</c:v>
                </c:pt>
                <c:pt idx="79">
                  <c:v>1.0011074941216256E-2</c:v>
                </c:pt>
                <c:pt idx="80">
                  <c:v>1.0395274447486145E-2</c:v>
                </c:pt>
                <c:pt idx="81">
                  <c:v>1.0701094200654314E-2</c:v>
                </c:pt>
                <c:pt idx="82">
                  <c:v>1.0701094200654314E-2</c:v>
                </c:pt>
                <c:pt idx="83">
                  <c:v>1.0701094200654314E-2</c:v>
                </c:pt>
                <c:pt idx="84">
                  <c:v>1.0701094200654314E-2</c:v>
                </c:pt>
                <c:pt idx="85">
                  <c:v>1.0701094200654314E-2</c:v>
                </c:pt>
                <c:pt idx="86">
                  <c:v>1.0701094200654314E-2</c:v>
                </c:pt>
                <c:pt idx="87">
                  <c:v>1.1246952561317244E-2</c:v>
                </c:pt>
                <c:pt idx="88">
                  <c:v>1.1876005319473915E-2</c:v>
                </c:pt>
                <c:pt idx="89">
                  <c:v>1.1876005319473915E-2</c:v>
                </c:pt>
                <c:pt idx="90">
                  <c:v>1.1876005319473915E-2</c:v>
                </c:pt>
                <c:pt idx="91">
                  <c:v>1.1876005319473915E-2</c:v>
                </c:pt>
                <c:pt idx="92">
                  <c:v>1.1876005319473915E-2</c:v>
                </c:pt>
                <c:pt idx="93">
                  <c:v>1.1876005319473915E-2</c:v>
                </c:pt>
                <c:pt idx="94">
                  <c:v>1.1876005319473915E-2</c:v>
                </c:pt>
                <c:pt idx="95">
                  <c:v>1.1876005319473915E-2</c:v>
                </c:pt>
                <c:pt idx="96">
                  <c:v>1.1876005319473915E-2</c:v>
                </c:pt>
                <c:pt idx="97">
                  <c:v>1.1876005319473915E-2</c:v>
                </c:pt>
                <c:pt idx="98">
                  <c:v>1.1876005319473915E-2</c:v>
                </c:pt>
                <c:pt idx="99">
                  <c:v>1.1876005319473915E-2</c:v>
                </c:pt>
                <c:pt idx="100">
                  <c:v>1.1876005319473915E-2</c:v>
                </c:pt>
                <c:pt idx="101">
                  <c:v>1.1876005319473915E-2</c:v>
                </c:pt>
                <c:pt idx="102">
                  <c:v>1.1876005319473915E-2</c:v>
                </c:pt>
                <c:pt idx="103">
                  <c:v>1.1876005319473915E-2</c:v>
                </c:pt>
                <c:pt idx="104">
                  <c:v>1.1876005319473915E-2</c:v>
                </c:pt>
                <c:pt idx="105">
                  <c:v>1.1876005319473915E-2</c:v>
                </c:pt>
                <c:pt idx="106">
                  <c:v>1.1876005319473915E-2</c:v>
                </c:pt>
                <c:pt idx="107">
                  <c:v>1.2540480881531566E-2</c:v>
                </c:pt>
                <c:pt idx="108">
                  <c:v>1.1967458460882537E-2</c:v>
                </c:pt>
                <c:pt idx="109">
                  <c:v>1.3153004677952686E-2</c:v>
                </c:pt>
                <c:pt idx="110">
                  <c:v>1.3371473371787998E-2</c:v>
                </c:pt>
                <c:pt idx="111">
                  <c:v>1.3371473371787998E-2</c:v>
                </c:pt>
                <c:pt idx="112">
                  <c:v>1.3371473371787998E-2</c:v>
                </c:pt>
                <c:pt idx="113">
                  <c:v>1.3371473371787998E-2</c:v>
                </c:pt>
                <c:pt idx="114">
                  <c:v>1.3371473371787998E-2</c:v>
                </c:pt>
                <c:pt idx="115">
                  <c:v>1.3371473371787998E-2</c:v>
                </c:pt>
                <c:pt idx="116">
                  <c:v>1.3371473371787998E-2</c:v>
                </c:pt>
                <c:pt idx="117">
                  <c:v>1.3371473371787998E-2</c:v>
                </c:pt>
                <c:pt idx="118">
                  <c:v>1.3371473371787998E-2</c:v>
                </c:pt>
                <c:pt idx="119">
                  <c:v>1.3371473371787998E-2</c:v>
                </c:pt>
                <c:pt idx="120">
                  <c:v>1.3371473371787998E-2</c:v>
                </c:pt>
                <c:pt idx="121">
                  <c:v>1.3371473371787998E-2</c:v>
                </c:pt>
                <c:pt idx="122">
                  <c:v>1.4096880526716087E-2</c:v>
                </c:pt>
                <c:pt idx="123">
                  <c:v>1.3643050136082056E-2</c:v>
                </c:pt>
                <c:pt idx="124">
                  <c:v>1.4559897839143274E-2</c:v>
                </c:pt>
                <c:pt idx="125">
                  <c:v>1.4559897839143274E-2</c:v>
                </c:pt>
                <c:pt idx="126">
                  <c:v>1.4559897839143274E-2</c:v>
                </c:pt>
                <c:pt idx="127">
                  <c:v>1.4559897839143274E-2</c:v>
                </c:pt>
                <c:pt idx="128">
                  <c:v>1.4559897839143274E-2</c:v>
                </c:pt>
                <c:pt idx="129">
                  <c:v>1.4559897839143274E-2</c:v>
                </c:pt>
                <c:pt idx="130">
                  <c:v>1.4559897839143274E-2</c:v>
                </c:pt>
                <c:pt idx="131">
                  <c:v>1.4559897839143274E-2</c:v>
                </c:pt>
                <c:pt idx="132">
                  <c:v>1.4559897839143274E-2</c:v>
                </c:pt>
                <c:pt idx="133">
                  <c:v>1.4559897839143274E-2</c:v>
                </c:pt>
                <c:pt idx="134">
                  <c:v>1.4559897839143274E-2</c:v>
                </c:pt>
                <c:pt idx="135">
                  <c:v>1.4354889274847005E-2</c:v>
                </c:pt>
                <c:pt idx="136">
                  <c:v>1.4783888781622057E-2</c:v>
                </c:pt>
                <c:pt idx="137">
                  <c:v>1.5493425740083567E-2</c:v>
                </c:pt>
                <c:pt idx="138">
                  <c:v>1.4341585422636617E-2</c:v>
                </c:pt>
                <c:pt idx="139">
                  <c:v>1.4414326662343185E-2</c:v>
                </c:pt>
                <c:pt idx="140">
                  <c:v>1.4572811576969215E-2</c:v>
                </c:pt>
                <c:pt idx="141">
                  <c:v>1.5307528080578166E-2</c:v>
                </c:pt>
                <c:pt idx="142">
                  <c:v>1.5629557463806596E-2</c:v>
                </c:pt>
                <c:pt idx="143">
                  <c:v>1.5629557463806596E-2</c:v>
                </c:pt>
                <c:pt idx="144">
                  <c:v>1.5629557463806596E-2</c:v>
                </c:pt>
                <c:pt idx="145">
                  <c:v>1.5629557463806596E-2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D36-4A94-9BDE-72A3996F8B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8199296"/>
        <c:axId val="1284373136"/>
      </c:lineChart>
      <c:catAx>
        <c:axId val="1288199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373136"/>
        <c:crosses val="autoZero"/>
        <c:auto val="1"/>
        <c:lblAlgn val="ctr"/>
        <c:lblOffset val="100"/>
        <c:noMultiLvlLbl val="0"/>
      </c:catAx>
      <c:valAx>
        <c:axId val="1284373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8199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VWOB_EMB_2!$BJ$22:$BJ$167</c:f>
              <c:numCache>
                <c:formatCode>0.00%</c:formatCode>
                <c:ptCount val="14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1.8119000816461399E-3</c:v>
                </c:pt>
                <c:pt idx="23">
                  <c:v>1.8119000816461399E-3</c:v>
                </c:pt>
                <c:pt idx="24">
                  <c:v>1.8119000816461399E-3</c:v>
                </c:pt>
                <c:pt idx="25">
                  <c:v>1.8119000816461399E-3</c:v>
                </c:pt>
                <c:pt idx="26">
                  <c:v>1.8119000816461399E-3</c:v>
                </c:pt>
                <c:pt idx="27">
                  <c:v>1.8119000816461399E-3</c:v>
                </c:pt>
                <c:pt idx="28">
                  <c:v>1.8119000816461399E-3</c:v>
                </c:pt>
                <c:pt idx="29">
                  <c:v>1.8119000816461399E-3</c:v>
                </c:pt>
                <c:pt idx="30">
                  <c:v>1.8119000816461399E-3</c:v>
                </c:pt>
                <c:pt idx="31">
                  <c:v>1.8119000816461399E-3</c:v>
                </c:pt>
                <c:pt idx="32">
                  <c:v>1.8119000816461399E-3</c:v>
                </c:pt>
                <c:pt idx="33">
                  <c:v>1.8119000816461399E-3</c:v>
                </c:pt>
                <c:pt idx="34">
                  <c:v>1.8119000816461399E-3</c:v>
                </c:pt>
                <c:pt idx="35">
                  <c:v>1.8119000816461399E-3</c:v>
                </c:pt>
                <c:pt idx="36">
                  <c:v>1.8119000816461399E-3</c:v>
                </c:pt>
                <c:pt idx="37">
                  <c:v>1.8119000816461399E-3</c:v>
                </c:pt>
                <c:pt idx="38">
                  <c:v>1.8119000816461399E-3</c:v>
                </c:pt>
                <c:pt idx="39">
                  <c:v>1.8119000816461399E-3</c:v>
                </c:pt>
                <c:pt idx="40">
                  <c:v>1.8119000816461399E-3</c:v>
                </c:pt>
                <c:pt idx="41">
                  <c:v>1.8119000816461399E-3</c:v>
                </c:pt>
                <c:pt idx="42">
                  <c:v>1.8119000816461399E-3</c:v>
                </c:pt>
                <c:pt idx="43">
                  <c:v>1.8119000816461399E-3</c:v>
                </c:pt>
                <c:pt idx="44">
                  <c:v>1.8119000816461399E-3</c:v>
                </c:pt>
                <c:pt idx="45">
                  <c:v>1.8119000816461399E-3</c:v>
                </c:pt>
                <c:pt idx="46">
                  <c:v>2.12431412005883E-3</c:v>
                </c:pt>
                <c:pt idx="47">
                  <c:v>2.3789794416419971E-3</c:v>
                </c:pt>
                <c:pt idx="48">
                  <c:v>2.0790238080581579E-3</c:v>
                </c:pt>
                <c:pt idx="49">
                  <c:v>1.779164965891358E-3</c:v>
                </c:pt>
                <c:pt idx="50">
                  <c:v>3.0669434283419486E-3</c:v>
                </c:pt>
                <c:pt idx="51">
                  <c:v>3.0669434283419486E-3</c:v>
                </c:pt>
                <c:pt idx="52">
                  <c:v>3.0669434283419486E-3</c:v>
                </c:pt>
                <c:pt idx="53">
                  <c:v>3.0669434283419486E-3</c:v>
                </c:pt>
                <c:pt idx="54">
                  <c:v>3.0669434283419486E-3</c:v>
                </c:pt>
                <c:pt idx="55">
                  <c:v>3.0669434283419486E-3</c:v>
                </c:pt>
                <c:pt idx="56">
                  <c:v>3.0669434283419486E-3</c:v>
                </c:pt>
                <c:pt idx="57">
                  <c:v>3.0669434283419486E-3</c:v>
                </c:pt>
                <c:pt idx="58">
                  <c:v>3.0669434283419486E-3</c:v>
                </c:pt>
                <c:pt idx="59">
                  <c:v>3.0669434283419486E-3</c:v>
                </c:pt>
                <c:pt idx="60">
                  <c:v>3.0669434283419486E-3</c:v>
                </c:pt>
                <c:pt idx="61">
                  <c:v>3.0669434283419486E-3</c:v>
                </c:pt>
                <c:pt idx="62">
                  <c:v>3.0669434283419486E-3</c:v>
                </c:pt>
                <c:pt idx="63">
                  <c:v>3.0669434283419486E-3</c:v>
                </c:pt>
                <c:pt idx="64">
                  <c:v>3.0669434283419486E-3</c:v>
                </c:pt>
                <c:pt idx="65">
                  <c:v>3.0669434283419486E-3</c:v>
                </c:pt>
                <c:pt idx="66">
                  <c:v>3.0669434283419486E-3</c:v>
                </c:pt>
                <c:pt idx="67">
                  <c:v>3.0669434283419486E-3</c:v>
                </c:pt>
                <c:pt idx="68">
                  <c:v>3.0669434283419486E-3</c:v>
                </c:pt>
                <c:pt idx="69">
                  <c:v>3.0669434283419486E-3</c:v>
                </c:pt>
                <c:pt idx="70">
                  <c:v>3.0669434283419486E-3</c:v>
                </c:pt>
                <c:pt idx="71">
                  <c:v>3.0669434283419486E-3</c:v>
                </c:pt>
                <c:pt idx="72">
                  <c:v>3.0669434283419486E-3</c:v>
                </c:pt>
                <c:pt idx="73">
                  <c:v>3.0669434283419486E-3</c:v>
                </c:pt>
                <c:pt idx="74">
                  <c:v>3.0669434283419486E-3</c:v>
                </c:pt>
                <c:pt idx="75">
                  <c:v>3.0669434283419486E-3</c:v>
                </c:pt>
                <c:pt idx="76">
                  <c:v>3.0669434283419486E-3</c:v>
                </c:pt>
                <c:pt idx="77">
                  <c:v>3.0669434283419486E-3</c:v>
                </c:pt>
                <c:pt idx="78">
                  <c:v>3.1048494002810685E-3</c:v>
                </c:pt>
                <c:pt idx="79">
                  <c:v>3.3006368320349184E-3</c:v>
                </c:pt>
                <c:pt idx="80">
                  <c:v>3.6848363383048081E-3</c:v>
                </c:pt>
                <c:pt idx="81">
                  <c:v>3.990656091472978E-3</c:v>
                </c:pt>
                <c:pt idx="82">
                  <c:v>3.990656091472978E-3</c:v>
                </c:pt>
                <c:pt idx="83">
                  <c:v>3.990656091472978E-3</c:v>
                </c:pt>
                <c:pt idx="84">
                  <c:v>3.990656091472978E-3</c:v>
                </c:pt>
                <c:pt idx="85">
                  <c:v>3.990656091472978E-3</c:v>
                </c:pt>
                <c:pt idx="86">
                  <c:v>3.990656091472978E-3</c:v>
                </c:pt>
                <c:pt idx="87">
                  <c:v>3.990656091472978E-3</c:v>
                </c:pt>
                <c:pt idx="88">
                  <c:v>3.990656091472978E-3</c:v>
                </c:pt>
                <c:pt idx="89">
                  <c:v>3.990656091472978E-3</c:v>
                </c:pt>
                <c:pt idx="90">
                  <c:v>3.990656091472978E-3</c:v>
                </c:pt>
                <c:pt idx="91">
                  <c:v>3.990656091472978E-3</c:v>
                </c:pt>
                <c:pt idx="92">
                  <c:v>3.990656091472978E-3</c:v>
                </c:pt>
                <c:pt idx="93">
                  <c:v>3.990656091472978E-3</c:v>
                </c:pt>
                <c:pt idx="94">
                  <c:v>3.990656091472978E-3</c:v>
                </c:pt>
                <c:pt idx="95">
                  <c:v>3.990656091472978E-3</c:v>
                </c:pt>
                <c:pt idx="96">
                  <c:v>3.990656091472978E-3</c:v>
                </c:pt>
                <c:pt idx="97">
                  <c:v>3.990656091472978E-3</c:v>
                </c:pt>
                <c:pt idx="98">
                  <c:v>3.990656091472978E-3</c:v>
                </c:pt>
                <c:pt idx="99">
                  <c:v>3.990656091472978E-3</c:v>
                </c:pt>
                <c:pt idx="100">
                  <c:v>3.990656091472978E-3</c:v>
                </c:pt>
                <c:pt idx="101">
                  <c:v>3.990656091472978E-3</c:v>
                </c:pt>
                <c:pt idx="102">
                  <c:v>3.990656091472978E-3</c:v>
                </c:pt>
                <c:pt idx="103">
                  <c:v>3.990656091472978E-3</c:v>
                </c:pt>
                <c:pt idx="104">
                  <c:v>3.990656091472978E-3</c:v>
                </c:pt>
                <c:pt idx="105">
                  <c:v>3.990656091472978E-3</c:v>
                </c:pt>
                <c:pt idx="106">
                  <c:v>3.990656091472978E-3</c:v>
                </c:pt>
                <c:pt idx="107">
                  <c:v>4.6551316535306305E-3</c:v>
                </c:pt>
                <c:pt idx="108">
                  <c:v>4.0821092328816007E-3</c:v>
                </c:pt>
                <c:pt idx="109">
                  <c:v>5.2676554499517508E-3</c:v>
                </c:pt>
                <c:pt idx="110">
                  <c:v>5.4861241437870615E-3</c:v>
                </c:pt>
                <c:pt idx="111">
                  <c:v>5.4861241437870615E-3</c:v>
                </c:pt>
                <c:pt idx="112">
                  <c:v>5.4861241437870615E-3</c:v>
                </c:pt>
                <c:pt idx="113">
                  <c:v>5.4861241437870615E-3</c:v>
                </c:pt>
                <c:pt idx="114">
                  <c:v>5.4861241437870615E-3</c:v>
                </c:pt>
                <c:pt idx="115">
                  <c:v>5.4861241437870615E-3</c:v>
                </c:pt>
                <c:pt idx="116">
                  <c:v>5.4861241437870615E-3</c:v>
                </c:pt>
                <c:pt idx="117">
                  <c:v>5.4861241437870615E-3</c:v>
                </c:pt>
                <c:pt idx="118">
                  <c:v>5.4861241437870615E-3</c:v>
                </c:pt>
                <c:pt idx="119">
                  <c:v>5.4861241437870615E-3</c:v>
                </c:pt>
                <c:pt idx="120">
                  <c:v>5.4861241437870615E-3</c:v>
                </c:pt>
                <c:pt idx="121">
                  <c:v>5.4861241437870615E-3</c:v>
                </c:pt>
                <c:pt idx="122">
                  <c:v>6.2115312987151509E-3</c:v>
                </c:pt>
                <c:pt idx="123">
                  <c:v>5.7577009080811209E-3</c:v>
                </c:pt>
                <c:pt idx="124">
                  <c:v>6.6745486111423388E-3</c:v>
                </c:pt>
                <c:pt idx="125">
                  <c:v>6.6745486111423388E-3</c:v>
                </c:pt>
                <c:pt idx="126">
                  <c:v>6.6745486111423388E-3</c:v>
                </c:pt>
                <c:pt idx="127">
                  <c:v>6.6745486111423388E-3</c:v>
                </c:pt>
                <c:pt idx="128">
                  <c:v>6.6745486111423388E-3</c:v>
                </c:pt>
                <c:pt idx="129">
                  <c:v>6.6745486111423388E-3</c:v>
                </c:pt>
                <c:pt idx="130">
                  <c:v>6.6745486111423388E-3</c:v>
                </c:pt>
                <c:pt idx="131">
                  <c:v>6.6745486111423388E-3</c:v>
                </c:pt>
                <c:pt idx="132">
                  <c:v>6.6745486111423388E-3</c:v>
                </c:pt>
                <c:pt idx="133">
                  <c:v>6.6745486111423388E-3</c:v>
                </c:pt>
                <c:pt idx="134">
                  <c:v>6.6745486111423388E-3</c:v>
                </c:pt>
                <c:pt idx="135">
                  <c:v>6.6745486111423388E-3</c:v>
                </c:pt>
                <c:pt idx="136">
                  <c:v>6.6745486111423388E-3</c:v>
                </c:pt>
                <c:pt idx="137">
                  <c:v>6.6745486111423388E-3</c:v>
                </c:pt>
                <c:pt idx="138">
                  <c:v>6.6745486111423388E-3</c:v>
                </c:pt>
                <c:pt idx="139">
                  <c:v>6.6745486111423388E-3</c:v>
                </c:pt>
                <c:pt idx="140">
                  <c:v>6.6745486111423388E-3</c:v>
                </c:pt>
                <c:pt idx="141">
                  <c:v>6.6745486111423388E-3</c:v>
                </c:pt>
                <c:pt idx="142">
                  <c:v>6.6745486111423388E-3</c:v>
                </c:pt>
                <c:pt idx="143">
                  <c:v>6.6745486111423388E-3</c:v>
                </c:pt>
                <c:pt idx="144">
                  <c:v>6.6745486111423388E-3</c:v>
                </c:pt>
                <c:pt idx="145">
                  <c:v>6.6745486111423388E-3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8A3-41C8-800B-ED47AF4BB0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8199296"/>
        <c:axId val="1284373136"/>
      </c:lineChart>
      <c:catAx>
        <c:axId val="1288199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373136"/>
        <c:crosses val="autoZero"/>
        <c:auto val="1"/>
        <c:lblAlgn val="ctr"/>
        <c:lblOffset val="100"/>
        <c:noMultiLvlLbl val="0"/>
      </c:catAx>
      <c:valAx>
        <c:axId val="1284373136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288199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VWOB_EMB_2!$BV$22:$BV$167</c:f>
              <c:numCache>
                <c:formatCode>0.00%</c:formatCode>
                <c:ptCount val="14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-4.508331623609297E-4</c:v>
                </c:pt>
                <c:pt idx="28">
                  <c:v>1.0315240959678099E-3</c:v>
                </c:pt>
                <c:pt idx="29">
                  <c:v>4.0834090229211958E-4</c:v>
                </c:pt>
                <c:pt idx="30">
                  <c:v>1.809779032804896E-4</c:v>
                </c:pt>
                <c:pt idx="31">
                  <c:v>5.1656203185134917E-4</c:v>
                </c:pt>
                <c:pt idx="32">
                  <c:v>1.4063961595512289E-3</c:v>
                </c:pt>
                <c:pt idx="33">
                  <c:v>1.4063961595512289E-3</c:v>
                </c:pt>
                <c:pt idx="34">
                  <c:v>3.4887190708980179E-3</c:v>
                </c:pt>
                <c:pt idx="35">
                  <c:v>3.4887190708980179E-3</c:v>
                </c:pt>
                <c:pt idx="36">
                  <c:v>3.4887190708980179E-3</c:v>
                </c:pt>
                <c:pt idx="37">
                  <c:v>3.4887190708980179E-3</c:v>
                </c:pt>
                <c:pt idx="38">
                  <c:v>3.4887190708980179E-3</c:v>
                </c:pt>
                <c:pt idx="39">
                  <c:v>3.4887190708980179E-3</c:v>
                </c:pt>
                <c:pt idx="40">
                  <c:v>3.4887190708980179E-3</c:v>
                </c:pt>
                <c:pt idx="41">
                  <c:v>3.4887190708980179E-3</c:v>
                </c:pt>
                <c:pt idx="42">
                  <c:v>3.4887190708980179E-3</c:v>
                </c:pt>
                <c:pt idx="43">
                  <c:v>3.4887190708980179E-3</c:v>
                </c:pt>
                <c:pt idx="44">
                  <c:v>3.4887190708980179E-3</c:v>
                </c:pt>
                <c:pt idx="45">
                  <c:v>6.7104381091813367E-3</c:v>
                </c:pt>
                <c:pt idx="46">
                  <c:v>6.7104381091813367E-3</c:v>
                </c:pt>
                <c:pt idx="47">
                  <c:v>6.7104381091813367E-3</c:v>
                </c:pt>
                <c:pt idx="48">
                  <c:v>6.7104381091813367E-3</c:v>
                </c:pt>
                <c:pt idx="49">
                  <c:v>6.7104381091813367E-3</c:v>
                </c:pt>
                <c:pt idx="50">
                  <c:v>6.7104381091813367E-3</c:v>
                </c:pt>
                <c:pt idx="51">
                  <c:v>6.7104381091813367E-3</c:v>
                </c:pt>
                <c:pt idx="52">
                  <c:v>6.7104381091813367E-3</c:v>
                </c:pt>
                <c:pt idx="53">
                  <c:v>6.7104381091813367E-3</c:v>
                </c:pt>
                <c:pt idx="54">
                  <c:v>6.7104381091813367E-3</c:v>
                </c:pt>
                <c:pt idx="55">
                  <c:v>6.7104381091813367E-3</c:v>
                </c:pt>
                <c:pt idx="56">
                  <c:v>6.7104381091813367E-3</c:v>
                </c:pt>
                <c:pt idx="57">
                  <c:v>6.7104381091813367E-3</c:v>
                </c:pt>
                <c:pt idx="58">
                  <c:v>6.7104381091813367E-3</c:v>
                </c:pt>
                <c:pt idx="59">
                  <c:v>6.7104381091813367E-3</c:v>
                </c:pt>
                <c:pt idx="60">
                  <c:v>6.7104381091813367E-3</c:v>
                </c:pt>
                <c:pt idx="61">
                  <c:v>6.7104381091813367E-3</c:v>
                </c:pt>
                <c:pt idx="62">
                  <c:v>6.7104381091813367E-3</c:v>
                </c:pt>
                <c:pt idx="63">
                  <c:v>6.7104381091813367E-3</c:v>
                </c:pt>
                <c:pt idx="64">
                  <c:v>6.7104381091813367E-3</c:v>
                </c:pt>
                <c:pt idx="65">
                  <c:v>6.7104381091813367E-3</c:v>
                </c:pt>
                <c:pt idx="66">
                  <c:v>6.7104381091813367E-3</c:v>
                </c:pt>
                <c:pt idx="67">
                  <c:v>6.7104381091813367E-3</c:v>
                </c:pt>
                <c:pt idx="68">
                  <c:v>6.7104381091813367E-3</c:v>
                </c:pt>
                <c:pt idx="69">
                  <c:v>6.7104381091813367E-3</c:v>
                </c:pt>
                <c:pt idx="70">
                  <c:v>6.7104381091813367E-3</c:v>
                </c:pt>
                <c:pt idx="71">
                  <c:v>6.7104381091813367E-3</c:v>
                </c:pt>
                <c:pt idx="72">
                  <c:v>6.7104381091813367E-3</c:v>
                </c:pt>
                <c:pt idx="73">
                  <c:v>6.7104381091813367E-3</c:v>
                </c:pt>
                <c:pt idx="74">
                  <c:v>6.7104381091813367E-3</c:v>
                </c:pt>
                <c:pt idx="75">
                  <c:v>6.7104381091813367E-3</c:v>
                </c:pt>
                <c:pt idx="76">
                  <c:v>6.7104381091813367E-3</c:v>
                </c:pt>
                <c:pt idx="77">
                  <c:v>6.7104381091813367E-3</c:v>
                </c:pt>
                <c:pt idx="78">
                  <c:v>6.7104381091813367E-3</c:v>
                </c:pt>
                <c:pt idx="79">
                  <c:v>6.7104381091813367E-3</c:v>
                </c:pt>
                <c:pt idx="80">
                  <c:v>6.7104381091813367E-3</c:v>
                </c:pt>
                <c:pt idx="81">
                  <c:v>6.7104381091813367E-3</c:v>
                </c:pt>
                <c:pt idx="82">
                  <c:v>6.7104381091813367E-3</c:v>
                </c:pt>
                <c:pt idx="83">
                  <c:v>6.7104381091813367E-3</c:v>
                </c:pt>
                <c:pt idx="84">
                  <c:v>6.7104381091813367E-3</c:v>
                </c:pt>
                <c:pt idx="85">
                  <c:v>6.7104381091813367E-3</c:v>
                </c:pt>
                <c:pt idx="86">
                  <c:v>6.7104381091813367E-3</c:v>
                </c:pt>
                <c:pt idx="87">
                  <c:v>7.2562964698442665E-3</c:v>
                </c:pt>
                <c:pt idx="88">
                  <c:v>7.8853492280009374E-3</c:v>
                </c:pt>
                <c:pt idx="89">
                  <c:v>7.8853492280009374E-3</c:v>
                </c:pt>
                <c:pt idx="90">
                  <c:v>7.8853492280009374E-3</c:v>
                </c:pt>
                <c:pt idx="91">
                  <c:v>7.8853492280009374E-3</c:v>
                </c:pt>
                <c:pt idx="92">
                  <c:v>7.8853492280009374E-3</c:v>
                </c:pt>
                <c:pt idx="93">
                  <c:v>7.8853492280009374E-3</c:v>
                </c:pt>
                <c:pt idx="94">
                  <c:v>7.8853492280009374E-3</c:v>
                </c:pt>
                <c:pt idx="95">
                  <c:v>7.8853492280009374E-3</c:v>
                </c:pt>
                <c:pt idx="96">
                  <c:v>7.8853492280009374E-3</c:v>
                </c:pt>
                <c:pt idx="97">
                  <c:v>7.8853492280009374E-3</c:v>
                </c:pt>
                <c:pt idx="98">
                  <c:v>7.8853492280009374E-3</c:v>
                </c:pt>
                <c:pt idx="99">
                  <c:v>7.8853492280009374E-3</c:v>
                </c:pt>
                <c:pt idx="100">
                  <c:v>7.8853492280009374E-3</c:v>
                </c:pt>
                <c:pt idx="101">
                  <c:v>7.8853492280009374E-3</c:v>
                </c:pt>
                <c:pt idx="102">
                  <c:v>7.8853492280009374E-3</c:v>
                </c:pt>
                <c:pt idx="103">
                  <c:v>7.8853492280009374E-3</c:v>
                </c:pt>
                <c:pt idx="104">
                  <c:v>7.8853492280009374E-3</c:v>
                </c:pt>
                <c:pt idx="105">
                  <c:v>7.8853492280009374E-3</c:v>
                </c:pt>
                <c:pt idx="106">
                  <c:v>7.8853492280009374E-3</c:v>
                </c:pt>
                <c:pt idx="107">
                  <c:v>7.8853492280009374E-3</c:v>
                </c:pt>
                <c:pt idx="108">
                  <c:v>7.8853492280009374E-3</c:v>
                </c:pt>
                <c:pt idx="109">
                  <c:v>7.8853492280009374E-3</c:v>
                </c:pt>
                <c:pt idx="110">
                  <c:v>7.8853492280009374E-3</c:v>
                </c:pt>
                <c:pt idx="111">
                  <c:v>7.8853492280009374E-3</c:v>
                </c:pt>
                <c:pt idx="112">
                  <c:v>7.8853492280009374E-3</c:v>
                </c:pt>
                <c:pt idx="113">
                  <c:v>7.8853492280009374E-3</c:v>
                </c:pt>
                <c:pt idx="114">
                  <c:v>7.8853492280009374E-3</c:v>
                </c:pt>
                <c:pt idx="115">
                  <c:v>7.8853492280009374E-3</c:v>
                </c:pt>
                <c:pt idx="116">
                  <c:v>7.8853492280009374E-3</c:v>
                </c:pt>
                <c:pt idx="117">
                  <c:v>7.8853492280009374E-3</c:v>
                </c:pt>
                <c:pt idx="118">
                  <c:v>7.8853492280009374E-3</c:v>
                </c:pt>
                <c:pt idx="119">
                  <c:v>7.8853492280009374E-3</c:v>
                </c:pt>
                <c:pt idx="120">
                  <c:v>7.8853492280009374E-3</c:v>
                </c:pt>
                <c:pt idx="121">
                  <c:v>7.8853492280009374E-3</c:v>
                </c:pt>
                <c:pt idx="122">
                  <c:v>7.8853492280009374E-3</c:v>
                </c:pt>
                <c:pt idx="123">
                  <c:v>7.8853492280009374E-3</c:v>
                </c:pt>
                <c:pt idx="124">
                  <c:v>7.8853492280009374E-3</c:v>
                </c:pt>
                <c:pt idx="125">
                  <c:v>7.8853492280009374E-3</c:v>
                </c:pt>
                <c:pt idx="126">
                  <c:v>7.8853492280009374E-3</c:v>
                </c:pt>
                <c:pt idx="127">
                  <c:v>7.8853492280009374E-3</c:v>
                </c:pt>
                <c:pt idx="128">
                  <c:v>7.8853492280009374E-3</c:v>
                </c:pt>
                <c:pt idx="129">
                  <c:v>7.8853492280009374E-3</c:v>
                </c:pt>
                <c:pt idx="130">
                  <c:v>7.8853492280009374E-3</c:v>
                </c:pt>
                <c:pt idx="131">
                  <c:v>7.8853492280009374E-3</c:v>
                </c:pt>
                <c:pt idx="132">
                  <c:v>7.8853492280009374E-3</c:v>
                </c:pt>
                <c:pt idx="133">
                  <c:v>7.8853492280009374E-3</c:v>
                </c:pt>
                <c:pt idx="134">
                  <c:v>7.8853492280009374E-3</c:v>
                </c:pt>
                <c:pt idx="135">
                  <c:v>7.6803406637046675E-3</c:v>
                </c:pt>
                <c:pt idx="136">
                  <c:v>8.1093401704797185E-3</c:v>
                </c:pt>
                <c:pt idx="137">
                  <c:v>8.8188771289412285E-3</c:v>
                </c:pt>
                <c:pt idx="138">
                  <c:v>7.6670368114942784E-3</c:v>
                </c:pt>
                <c:pt idx="139">
                  <c:v>7.7397780512008475E-3</c:v>
                </c:pt>
                <c:pt idx="140">
                  <c:v>7.8982629658268782E-3</c:v>
                </c:pt>
                <c:pt idx="141">
                  <c:v>8.6329794694358294E-3</c:v>
                </c:pt>
                <c:pt idx="142">
                  <c:v>8.9550088526642608E-3</c:v>
                </c:pt>
                <c:pt idx="143">
                  <c:v>8.9550088526642608E-3</c:v>
                </c:pt>
                <c:pt idx="144">
                  <c:v>8.9550088526642608E-3</c:v>
                </c:pt>
                <c:pt idx="145">
                  <c:v>8.9550088526642608E-3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7D8-4E8F-AADC-963238C58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8199296"/>
        <c:axId val="1284373136"/>
      </c:lineChart>
      <c:catAx>
        <c:axId val="1288199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373136"/>
        <c:crosses val="autoZero"/>
        <c:auto val="1"/>
        <c:lblAlgn val="ctr"/>
        <c:lblOffset val="100"/>
        <c:noMultiLvlLbl val="0"/>
      </c:catAx>
      <c:valAx>
        <c:axId val="1284373136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288199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0</xdr:colOff>
      <xdr:row>1</xdr:row>
      <xdr:rowOff>0</xdr:rowOff>
    </xdr:from>
    <xdr:to>
      <xdr:col>41</xdr:col>
      <xdr:colOff>304800</xdr:colOff>
      <xdr:row>16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BA03913-E5D7-41F1-9A3D-AE9AADF8B7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42</xdr:col>
      <xdr:colOff>0</xdr:colOff>
      <xdr:row>18</xdr:row>
      <xdr:rowOff>0</xdr:rowOff>
    </xdr:from>
    <xdr:to>
      <xdr:col>49</xdr:col>
      <xdr:colOff>304800</xdr:colOff>
      <xdr:row>33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3B0D1CD-F55F-41F2-8D9E-1424370DCA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42</xdr:col>
      <xdr:colOff>0</xdr:colOff>
      <xdr:row>1</xdr:row>
      <xdr:rowOff>0</xdr:rowOff>
    </xdr:from>
    <xdr:to>
      <xdr:col>49</xdr:col>
      <xdr:colOff>304800</xdr:colOff>
      <xdr:row>16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784453A-4D7C-405A-868F-A16231CA02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34</xdr:col>
      <xdr:colOff>0</xdr:colOff>
      <xdr:row>18</xdr:row>
      <xdr:rowOff>0</xdr:rowOff>
    </xdr:from>
    <xdr:to>
      <xdr:col>41</xdr:col>
      <xdr:colOff>304800</xdr:colOff>
      <xdr:row>33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7E0BE4E-16E3-4314-809B-9A9DEEC4C5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78</xdr:col>
      <xdr:colOff>0</xdr:colOff>
      <xdr:row>1</xdr:row>
      <xdr:rowOff>0</xdr:rowOff>
    </xdr:from>
    <xdr:to>
      <xdr:col>87</xdr:col>
      <xdr:colOff>478155</xdr:colOff>
      <xdr:row>15</xdr:row>
      <xdr:rowOff>76200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9060B4C-C3D6-4B54-A248-FB74B2CAC2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52</xdr:col>
      <xdr:colOff>137160</xdr:colOff>
      <xdr:row>1</xdr:row>
      <xdr:rowOff>0</xdr:rowOff>
    </xdr:from>
    <xdr:to>
      <xdr:col>60</xdr:col>
      <xdr:colOff>584835</xdr:colOff>
      <xdr:row>15</xdr:row>
      <xdr:rowOff>76200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876C7B10-9AD0-4930-B4AA-1418C1390C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63</xdr:col>
      <xdr:colOff>0</xdr:colOff>
      <xdr:row>1</xdr:row>
      <xdr:rowOff>0</xdr:rowOff>
    </xdr:from>
    <xdr:to>
      <xdr:col>71</xdr:col>
      <xdr:colOff>386715</xdr:colOff>
      <xdr:row>15</xdr:row>
      <xdr:rowOff>76200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970B704E-898F-4607-AC9F-C02D5E7689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A461E-E8D1-4854-B9FC-F31A5316BC18}">
  <dimension ref="A1:CX167"/>
  <sheetViews>
    <sheetView tabSelected="1" topLeftCell="CF1" workbookViewId="0"/>
  </sheetViews>
  <sheetFormatPr defaultRowHeight="14.4" x14ac:dyDescent="0.3"/>
  <cols>
    <col min="1" max="1" width="9.33203125" bestFit="1" customWidth="1"/>
    <col min="2" max="3" width="10.6640625" style="6" bestFit="1" customWidth="1"/>
    <col min="4" max="5" width="10.6640625" style="7" customWidth="1"/>
    <col min="6" max="6" width="8.6640625" style="6" bestFit="1" customWidth="1"/>
    <col min="7" max="7" width="16.21875" style="6" bestFit="1" customWidth="1"/>
    <col min="8" max="8" width="9.33203125" style="6" bestFit="1" customWidth="1"/>
    <col min="9" max="9" width="17" style="6" bestFit="1" customWidth="1"/>
    <col min="10" max="10" width="18.6640625" style="6" bestFit="1" customWidth="1"/>
    <col min="11" max="11" width="19.44140625" style="6" bestFit="1" customWidth="1"/>
    <col min="12" max="13" width="10.6640625" style="6" bestFit="1" customWidth="1"/>
    <col min="14" max="14" width="10.44140625" style="8" bestFit="1" customWidth="1"/>
    <col min="15" max="15" width="13.6640625" style="8" bestFit="1" customWidth="1"/>
    <col min="16" max="17" width="17" style="8" bestFit="1" customWidth="1"/>
    <col min="18" max="18" width="10.6640625" style="6" bestFit="1" customWidth="1"/>
    <col min="19" max="20" width="13.44140625" style="6" bestFit="1" customWidth="1"/>
    <col min="21" max="21" width="20.21875" style="7" bestFit="1" customWidth="1"/>
    <col min="22" max="23" width="23.6640625" style="7" bestFit="1" customWidth="1"/>
    <col min="24" max="24" width="12.44140625" style="8" bestFit="1" customWidth="1"/>
    <col min="25" max="25" width="15.6640625" style="8" bestFit="1" customWidth="1"/>
    <col min="26" max="27" width="19.109375" style="8" bestFit="1" customWidth="1"/>
    <col min="28" max="28" width="11" style="6" bestFit="1" customWidth="1"/>
    <col min="29" max="30" width="14.44140625" style="6" bestFit="1" customWidth="1"/>
    <col min="31" max="31" width="22.33203125" style="7" bestFit="1" customWidth="1"/>
    <col min="32" max="33" width="25.77734375" style="7" bestFit="1" customWidth="1"/>
    <col min="51" max="51" width="8.88671875" style="12"/>
    <col min="52" max="53" width="8.88671875" style="13"/>
    <col min="54" max="57" width="8.88671875" style="12"/>
    <col min="58" max="58" width="13.5546875" style="12" bestFit="1" customWidth="1"/>
    <col min="59" max="59" width="9.77734375" style="12" bestFit="1" customWidth="1"/>
    <col min="60" max="60" width="10.5546875" style="12" bestFit="1" customWidth="1"/>
    <col min="61" max="61" width="9.77734375" style="12" customWidth="1"/>
    <col min="62" max="63" width="8.88671875" style="12"/>
    <col min="64" max="65" width="8.88671875" style="13"/>
    <col min="66" max="69" width="8.88671875" style="12"/>
    <col min="70" max="70" width="13.5546875" style="12" bestFit="1" customWidth="1"/>
    <col min="71" max="71" width="12.33203125" style="12" bestFit="1" customWidth="1"/>
    <col min="72" max="72" width="10.109375" style="12" bestFit="1" customWidth="1"/>
    <col min="73" max="73" width="9.77734375" style="12" customWidth="1"/>
    <col min="74" max="16384" width="8.88671875" style="12"/>
  </cols>
  <sheetData>
    <row r="1" spans="1:102" s="9" customFormat="1" x14ac:dyDescent="0.3">
      <c r="A1" s="2" t="s">
        <v>0</v>
      </c>
      <c r="B1" s="3" t="s">
        <v>1</v>
      </c>
      <c r="C1" s="3" t="s">
        <v>2</v>
      </c>
      <c r="D1" s="4" t="s">
        <v>3</v>
      </c>
      <c r="E1" s="4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3" t="s">
        <v>17</v>
      </c>
      <c r="S1" s="3" t="s">
        <v>18</v>
      </c>
      <c r="T1" s="3" t="s">
        <v>19</v>
      </c>
      <c r="U1" s="4" t="s">
        <v>20</v>
      </c>
      <c r="V1" s="4" t="s">
        <v>21</v>
      </c>
      <c r="W1" s="4" t="s">
        <v>22</v>
      </c>
      <c r="X1" s="5" t="s">
        <v>23</v>
      </c>
      <c r="Y1" s="5" t="s">
        <v>24</v>
      </c>
      <c r="Z1" s="5" t="s">
        <v>25</v>
      </c>
      <c r="AA1" s="5" t="s">
        <v>26</v>
      </c>
      <c r="AB1" s="3" t="s">
        <v>27</v>
      </c>
      <c r="AC1" s="3" t="s">
        <v>28</v>
      </c>
      <c r="AD1" s="3" t="s">
        <v>29</v>
      </c>
      <c r="AE1" s="4" t="s">
        <v>30</v>
      </c>
      <c r="AF1" s="4" t="s">
        <v>31</v>
      </c>
      <c r="AG1" s="4" t="s">
        <v>32</v>
      </c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BG1" s="10"/>
      <c r="BH1" s="10"/>
      <c r="BI1" s="10"/>
      <c r="BJ1" s="11">
        <f>BJ167</f>
        <v>6.6745486111423388E-3</v>
      </c>
      <c r="BS1" s="10"/>
      <c r="BT1" s="10"/>
      <c r="BU1" s="10"/>
      <c r="BV1" s="11">
        <f>BV167</f>
        <v>8.9550088526642608E-3</v>
      </c>
      <c r="BY1" s="11">
        <f>BY167</f>
        <v>1.5629557463806596E-2</v>
      </c>
    </row>
    <row r="2" spans="1:102" x14ac:dyDescent="0.3">
      <c r="A2" s="1">
        <v>46024</v>
      </c>
      <c r="B2" s="6">
        <v>67.45</v>
      </c>
      <c r="C2" s="6">
        <v>96.3</v>
      </c>
      <c r="F2" s="6">
        <v>0</v>
      </c>
      <c r="G2" s="6">
        <v>0</v>
      </c>
      <c r="H2" s="6">
        <v>0</v>
      </c>
      <c r="I2" s="6">
        <v>0</v>
      </c>
      <c r="J2" s="6">
        <v>0</v>
      </c>
      <c r="K2" s="6">
        <v>0</v>
      </c>
      <c r="L2" s="6">
        <v>67.45</v>
      </c>
      <c r="M2" s="6">
        <v>96.3</v>
      </c>
      <c r="N2" s="8">
        <v>1.4277242401779</v>
      </c>
      <c r="O2" s="8">
        <v>1.43297833357297</v>
      </c>
      <c r="X2" s="8">
        <v>1.4277242401779</v>
      </c>
      <c r="Y2" s="8">
        <v>1.4302827749172899</v>
      </c>
    </row>
    <row r="3" spans="1:102" x14ac:dyDescent="0.3">
      <c r="A3" s="1">
        <v>46027</v>
      </c>
      <c r="B3" s="6">
        <v>67.53</v>
      </c>
      <c r="C3" s="6">
        <v>96.45</v>
      </c>
      <c r="D3" s="7">
        <v>1.18536093298573E-3</v>
      </c>
      <c r="E3" s="7">
        <v>1.55642054765837E-3</v>
      </c>
      <c r="F3" s="6">
        <v>0</v>
      </c>
      <c r="G3" s="6">
        <v>0</v>
      </c>
      <c r="H3" s="6">
        <v>0</v>
      </c>
      <c r="I3" s="6">
        <v>0</v>
      </c>
      <c r="J3" s="6">
        <v>0</v>
      </c>
      <c r="K3" s="6">
        <v>0</v>
      </c>
      <c r="L3" s="6">
        <v>67.53</v>
      </c>
      <c r="M3" s="6">
        <v>96.45</v>
      </c>
      <c r="N3" s="8">
        <v>1.42825410928476</v>
      </c>
      <c r="O3" s="8">
        <v>1.43297833357297</v>
      </c>
      <c r="R3" s="6">
        <v>96.7690268661826</v>
      </c>
      <c r="U3" s="7">
        <v>3.3022333386706999E-3</v>
      </c>
      <c r="X3" s="8">
        <v>1.42825410928476</v>
      </c>
      <c r="Y3" s="8">
        <v>1.4302827749172899</v>
      </c>
      <c r="AB3" s="6">
        <v>96.586995790164806</v>
      </c>
      <c r="AE3" s="7">
        <v>1.41937365533102E-3</v>
      </c>
      <c r="CL3" s="14">
        <f>BJ11</f>
        <v>2.9040209873685514</v>
      </c>
      <c r="CM3" s="15">
        <v>0</v>
      </c>
      <c r="CN3" s="15">
        <f>CM3-0.0005</f>
        <v>-5.0000000000000001E-4</v>
      </c>
      <c r="CO3" s="15">
        <f t="shared" ref="CO3:CT3" si="0">CN3-0.0005</f>
        <v>-1E-3</v>
      </c>
      <c r="CP3" s="15">
        <f t="shared" si="0"/>
        <v>-1.5E-3</v>
      </c>
      <c r="CQ3" s="15">
        <f t="shared" si="0"/>
        <v>-2E-3</v>
      </c>
      <c r="CR3" s="15">
        <f t="shared" si="0"/>
        <v>-2.5000000000000001E-3</v>
      </c>
      <c r="CS3" s="15">
        <f t="shared" si="0"/>
        <v>-3.0000000000000001E-3</v>
      </c>
      <c r="CT3" s="15">
        <f t="shared" si="0"/>
        <v>-3.5000000000000001E-3</v>
      </c>
      <c r="CU3" s="12" t="s">
        <v>33</v>
      </c>
      <c r="CX3" s="15"/>
    </row>
    <row r="4" spans="1:102" ht="15" thickBot="1" x14ac:dyDescent="0.35">
      <c r="A4" s="1">
        <v>46028</v>
      </c>
      <c r="B4" s="6">
        <v>67.47</v>
      </c>
      <c r="C4" s="6">
        <v>96.35</v>
      </c>
      <c r="D4" s="7">
        <v>-8.8888894741662899E-4</v>
      </c>
      <c r="E4" s="7">
        <v>-1.0373444913628199E-3</v>
      </c>
      <c r="F4" s="6">
        <v>0</v>
      </c>
      <c r="G4" s="6">
        <v>0</v>
      </c>
      <c r="H4" s="6">
        <v>0</v>
      </c>
      <c r="I4" s="6">
        <v>0</v>
      </c>
      <c r="J4" s="6">
        <v>0</v>
      </c>
      <c r="K4" s="6">
        <v>0</v>
      </c>
      <c r="L4" s="6">
        <v>67.47</v>
      </c>
      <c r="M4" s="6">
        <v>96.35</v>
      </c>
      <c r="N4" s="8">
        <v>1.4280420927819699</v>
      </c>
      <c r="O4" s="8">
        <v>1.43297833357297</v>
      </c>
      <c r="R4" s="6">
        <v>96.683048166168305</v>
      </c>
      <c r="U4" s="7">
        <v>3.4506888826168801E-3</v>
      </c>
      <c r="X4" s="8">
        <v>1.4280420927819699</v>
      </c>
      <c r="Y4" s="8">
        <v>1.4302827749172899</v>
      </c>
      <c r="AB4" s="6">
        <v>96.501178823669804</v>
      </c>
      <c r="AE4" s="7">
        <v>1.5678291992770701E-3</v>
      </c>
      <c r="CL4" s="15">
        <v>0</v>
      </c>
      <c r="CM4" s="16">
        <f t="dataTable" ref="CM4:CT11" dt2D="1" dtr="1" r1="BA20" r2="BA21"/>
        <v>2.57265389160382</v>
      </c>
      <c r="CN4" s="16">
        <v>2.7460543001276636</v>
      </c>
      <c r="CO4" s="16">
        <v>2.1131946568292612</v>
      </c>
      <c r="CP4" s="16">
        <v>2.8404291862674644</v>
      </c>
      <c r="CQ4" s="16">
        <v>1.7721535147928356</v>
      </c>
      <c r="CR4" s="16" t="e">
        <v>#DIV/0!</v>
      </c>
      <c r="CS4" s="16" t="e">
        <v>#DIV/0!</v>
      </c>
      <c r="CT4" s="16" t="e">
        <v>#DIV/0!</v>
      </c>
      <c r="CV4" s="12" t="s">
        <v>34</v>
      </c>
      <c r="CW4" s="12" t="s">
        <v>35</v>
      </c>
      <c r="CX4" s="15"/>
    </row>
    <row r="5" spans="1:102" ht="15" thickBot="1" x14ac:dyDescent="0.35">
      <c r="A5" s="1">
        <v>46029</v>
      </c>
      <c r="B5" s="6">
        <v>67.37</v>
      </c>
      <c r="C5" s="6">
        <v>96.16</v>
      </c>
      <c r="D5" s="7">
        <v>-1.48323966676539E-3</v>
      </c>
      <c r="E5" s="7">
        <v>-1.9739240734779201E-3</v>
      </c>
      <c r="F5" s="6">
        <v>0</v>
      </c>
      <c r="G5" s="6">
        <v>0</v>
      </c>
      <c r="H5" s="6">
        <v>0</v>
      </c>
      <c r="I5" s="6">
        <v>0</v>
      </c>
      <c r="J5" s="6">
        <v>0</v>
      </c>
      <c r="K5" s="6">
        <v>0</v>
      </c>
      <c r="L5" s="6">
        <v>67.37</v>
      </c>
      <c r="M5" s="6">
        <v>96.16</v>
      </c>
      <c r="N5" s="8">
        <v>1.4273415466824899</v>
      </c>
      <c r="O5" s="8">
        <v>1.43297833357297</v>
      </c>
      <c r="R5" s="6">
        <v>96.539750332810996</v>
      </c>
      <c r="U5" s="7">
        <v>3.9413732893292903E-3</v>
      </c>
      <c r="X5" s="8">
        <v>1.4273415466824899</v>
      </c>
      <c r="Y5" s="8">
        <v>1.4302827749172899</v>
      </c>
      <c r="AB5" s="6">
        <v>96.358150546177995</v>
      </c>
      <c r="AE5" s="7">
        <v>2.0585136059896201E-3</v>
      </c>
      <c r="CL5" s="15">
        <f>CL4-0.0005</f>
        <v>-5.0000000000000001E-4</v>
      </c>
      <c r="CM5" s="16">
        <v>2.57265389160382</v>
      </c>
      <c r="CN5" s="16">
        <v>3.8800833268730637</v>
      </c>
      <c r="CO5" s="16">
        <v>2.8825341398714741</v>
      </c>
      <c r="CP5" s="17">
        <v>2.9040209873685514</v>
      </c>
      <c r="CQ5" s="16">
        <v>1.7630759182177718</v>
      </c>
      <c r="CR5" s="16" t="e">
        <v>#DIV/0!</v>
      </c>
      <c r="CS5" s="16" t="e">
        <v>#DIV/0!</v>
      </c>
      <c r="CT5" s="16" t="e">
        <v>#DIV/0!</v>
      </c>
      <c r="CV5" s="12" t="s">
        <v>36</v>
      </c>
      <c r="CW5" s="12" t="s">
        <v>37</v>
      </c>
      <c r="CX5" s="15"/>
    </row>
    <row r="6" spans="1:102" x14ac:dyDescent="0.3">
      <c r="A6" s="1">
        <v>46030</v>
      </c>
      <c r="B6" s="6">
        <v>67.290000000000006</v>
      </c>
      <c r="C6" s="6">
        <v>96.01</v>
      </c>
      <c r="D6" s="7">
        <v>-1.18817777234181E-3</v>
      </c>
      <c r="E6" s="7">
        <v>-1.5611180773649699E-3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67.290000000000006</v>
      </c>
      <c r="M6" s="6">
        <v>96.01</v>
      </c>
      <c r="N6" s="8">
        <v>1.42680933273889</v>
      </c>
      <c r="O6" s="8">
        <v>1.43297833357297</v>
      </c>
      <c r="R6" s="6">
        <v>96.425112066125095</v>
      </c>
      <c r="U6" s="7">
        <v>4.3143135943526202E-3</v>
      </c>
      <c r="X6" s="8">
        <v>1.42680933273889</v>
      </c>
      <c r="Y6" s="8">
        <v>1.4302827749172899</v>
      </c>
      <c r="AB6" s="6">
        <v>96.243727924184697</v>
      </c>
      <c r="AE6" s="7">
        <v>2.4314539110127402E-3</v>
      </c>
      <c r="CL6" s="15">
        <f t="shared" ref="CL6:CL11" si="1">CL5-0.0005</f>
        <v>-1E-3</v>
      </c>
      <c r="CM6" s="16">
        <v>2.57265389160382</v>
      </c>
      <c r="CN6" s="16">
        <v>3.8800833268730637</v>
      </c>
      <c r="CO6" s="16">
        <v>2.7377313224773636</v>
      </c>
      <c r="CP6" s="16">
        <v>2.6406934454472912</v>
      </c>
      <c r="CQ6" s="16">
        <v>1.630839855705343</v>
      </c>
      <c r="CR6" s="16" t="e">
        <v>#DIV/0!</v>
      </c>
      <c r="CS6" s="16" t="e">
        <v>#DIV/0!</v>
      </c>
      <c r="CT6" s="16" t="e">
        <v>#DIV/0!</v>
      </c>
      <c r="CX6" s="15"/>
    </row>
    <row r="7" spans="1:102" x14ac:dyDescent="0.3">
      <c r="A7" s="1">
        <v>46031</v>
      </c>
      <c r="B7" s="6">
        <v>67.430000000000007</v>
      </c>
      <c r="C7" s="6">
        <v>96.36</v>
      </c>
      <c r="D7" s="7">
        <v>2.0783855462640399E-3</v>
      </c>
      <c r="E7" s="7">
        <v>3.6388250371382001E-3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67.430000000000007</v>
      </c>
      <c r="M7" s="6">
        <v>96.36</v>
      </c>
      <c r="N7" s="8">
        <v>1.42903752039151</v>
      </c>
      <c r="O7" s="8">
        <v>1.43297833357297</v>
      </c>
      <c r="R7" s="6">
        <v>96.625729032825305</v>
      </c>
      <c r="U7" s="7">
        <v>2.7538741034781899E-3</v>
      </c>
      <c r="X7" s="8">
        <v>1.42903752039151</v>
      </c>
      <c r="Y7" s="8">
        <v>1.4302827749172899</v>
      </c>
      <c r="AB7" s="6">
        <v>96.443967512673098</v>
      </c>
      <c r="AE7" s="7">
        <v>8.7101442013866304E-4</v>
      </c>
      <c r="CL7" s="15">
        <f t="shared" si="1"/>
        <v>-1.5E-3</v>
      </c>
      <c r="CM7" s="16">
        <v>2.57265389160382</v>
      </c>
      <c r="CN7" s="16">
        <v>3.8800833268730637</v>
      </c>
      <c r="CO7" s="16">
        <v>2.7377313224773636</v>
      </c>
      <c r="CP7" s="16">
        <v>3.0625183145847523</v>
      </c>
      <c r="CQ7" s="16">
        <v>2.0928574544808081</v>
      </c>
      <c r="CR7" s="16" t="e">
        <v>#DIV/0!</v>
      </c>
      <c r="CS7" s="16" t="e">
        <v>#DIV/0!</v>
      </c>
      <c r="CT7" s="16" t="e">
        <v>#DIV/0!</v>
      </c>
      <c r="CX7" s="15"/>
    </row>
    <row r="8" spans="1:102" x14ac:dyDescent="0.3">
      <c r="A8" s="1">
        <v>46034</v>
      </c>
      <c r="B8" s="6">
        <v>67.39</v>
      </c>
      <c r="C8" s="6">
        <v>96.28</v>
      </c>
      <c r="D8" s="7">
        <v>-5.9338378836504301E-4</v>
      </c>
      <c r="E8" s="7">
        <v>-8.3056483179934305E-4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67.39</v>
      </c>
      <c r="M8" s="6">
        <v>96.28</v>
      </c>
      <c r="N8" s="8">
        <v>1.4286986199732801</v>
      </c>
      <c r="O8" s="8">
        <v>1.43297833357297</v>
      </c>
      <c r="R8" s="6">
        <v>96.568409899482404</v>
      </c>
      <c r="U8" s="7">
        <v>2.99105514691261E-3</v>
      </c>
      <c r="X8" s="8">
        <v>1.4286986199732801</v>
      </c>
      <c r="Y8" s="8">
        <v>1.4302827749172899</v>
      </c>
      <c r="AB8" s="6">
        <v>96.386756201676405</v>
      </c>
      <c r="AE8" s="7">
        <v>1.1081954635727999E-3</v>
      </c>
      <c r="CL8" s="15">
        <f t="shared" si="1"/>
        <v>-2E-3</v>
      </c>
      <c r="CM8" s="16">
        <v>2.57265389160382</v>
      </c>
      <c r="CN8" s="16">
        <v>3.8800833268730637</v>
      </c>
      <c r="CO8" s="16">
        <v>2.7377313224773636</v>
      </c>
      <c r="CP8" s="16">
        <v>3.0625183145847523</v>
      </c>
      <c r="CQ8" s="16">
        <v>1.7525838418085562</v>
      </c>
      <c r="CR8" s="16" t="e">
        <v>#DIV/0!</v>
      </c>
      <c r="CS8" s="16" t="e">
        <v>#DIV/0!</v>
      </c>
      <c r="CT8" s="16" t="e">
        <v>#DIV/0!</v>
      </c>
      <c r="CX8" s="15"/>
    </row>
    <row r="9" spans="1:102" x14ac:dyDescent="0.3">
      <c r="A9" s="1">
        <v>46035</v>
      </c>
      <c r="B9" s="6">
        <v>67.37</v>
      </c>
      <c r="C9" s="6">
        <v>96.16</v>
      </c>
      <c r="D9" s="7">
        <v>-2.9682398555712098E-4</v>
      </c>
      <c r="E9" s="7">
        <v>-1.24714212797376E-3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67.37</v>
      </c>
      <c r="M9" s="6">
        <v>96.16</v>
      </c>
      <c r="N9" s="8">
        <v>1.4273415466824899</v>
      </c>
      <c r="O9" s="8">
        <v>1.43297833357297</v>
      </c>
      <c r="R9" s="6">
        <v>96.539750332810996</v>
      </c>
      <c r="U9" s="7">
        <v>3.9413732893292903E-3</v>
      </c>
      <c r="X9" s="8">
        <v>1.4273415466824899</v>
      </c>
      <c r="Y9" s="8">
        <v>1.4302827749172899</v>
      </c>
      <c r="AB9" s="6">
        <v>96.358150546177995</v>
      </c>
      <c r="AE9" s="7">
        <v>2.0585136059896201E-3</v>
      </c>
      <c r="BJ9" s="18">
        <f>AVERAGE(BI22:BI200)</f>
        <v>4.571608637768725E-5</v>
      </c>
      <c r="BV9" s="18">
        <f>AVERAGE(BU22:BU200)</f>
        <v>6.1335677073042877E-5</v>
      </c>
      <c r="BY9" s="18">
        <f>AVERAGE(BX22:BX200)</f>
        <v>1.0705176345073011E-4</v>
      </c>
      <c r="CL9" s="15">
        <f t="shared" si="1"/>
        <v>-2.5000000000000001E-3</v>
      </c>
      <c r="CM9" s="16">
        <v>2.57265389160382</v>
      </c>
      <c r="CN9" s="16">
        <v>3.8800833268730637</v>
      </c>
      <c r="CO9" s="16">
        <v>2.7377313224773636</v>
      </c>
      <c r="CP9" s="16">
        <v>3.0625183145847523</v>
      </c>
      <c r="CQ9" s="16">
        <v>1.7525838418085562</v>
      </c>
      <c r="CR9" s="16" t="e">
        <v>#DIV/0!</v>
      </c>
      <c r="CS9" s="16" t="e">
        <v>#DIV/0!</v>
      </c>
      <c r="CT9" s="16" t="e">
        <v>#DIV/0!</v>
      </c>
      <c r="CX9" s="15"/>
    </row>
    <row r="10" spans="1:102" x14ac:dyDescent="0.3">
      <c r="A10" s="1">
        <v>46036</v>
      </c>
      <c r="B10" s="6">
        <v>67.48</v>
      </c>
      <c r="C10" s="6">
        <v>96.36</v>
      </c>
      <c r="D10" s="7">
        <v>1.63144270519917E-3</v>
      </c>
      <c r="E10" s="7">
        <v>2.0777069597731602E-3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67.48</v>
      </c>
      <c r="M10" s="6">
        <v>96.36</v>
      </c>
      <c r="N10" s="8">
        <v>1.4279786603438001</v>
      </c>
      <c r="O10" s="8">
        <v>1.43297833357297</v>
      </c>
      <c r="R10" s="6">
        <v>96.697377949504002</v>
      </c>
      <c r="U10" s="7">
        <v>3.4951090347551902E-3</v>
      </c>
      <c r="X10" s="8">
        <v>1.4279786603438001</v>
      </c>
      <c r="Y10" s="8">
        <v>1.4302827749172899</v>
      </c>
      <c r="AB10" s="6">
        <v>96.515481651418895</v>
      </c>
      <c r="AE10" s="7">
        <v>1.61224935141536E-3</v>
      </c>
      <c r="AZ10" s="19"/>
      <c r="BJ10" s="18">
        <f>STDEV(BI22:BI200)</f>
        <v>2.4990190359493674E-4</v>
      </c>
      <c r="BL10" s="19"/>
      <c r="BV10" s="18">
        <f>STDEV(BU22:BU200)</f>
        <v>3.8358763482847154E-4</v>
      </c>
      <c r="BY10" s="18">
        <f>STDEV(BX22:BX200)</f>
        <v>4.5160126722081773E-4</v>
      </c>
      <c r="CL10" s="15">
        <f t="shared" si="1"/>
        <v>-3.0000000000000001E-3</v>
      </c>
      <c r="CM10" s="16">
        <v>2.57265389160382</v>
      </c>
      <c r="CN10" s="16">
        <v>3.8800833268730637</v>
      </c>
      <c r="CO10" s="16">
        <v>2.7377313224773636</v>
      </c>
      <c r="CP10" s="16">
        <v>3.0625183145847523</v>
      </c>
      <c r="CQ10" s="16">
        <v>1.7525838418085562</v>
      </c>
      <c r="CR10" s="16" t="e">
        <v>#DIV/0!</v>
      </c>
      <c r="CS10" s="16" t="e">
        <v>#DIV/0!</v>
      </c>
      <c r="CT10" s="16" t="e">
        <v>#DIV/0!</v>
      </c>
      <c r="CX10" s="15"/>
    </row>
    <row r="11" spans="1:102" x14ac:dyDescent="0.3">
      <c r="A11" s="1">
        <v>46037</v>
      </c>
      <c r="B11" s="6">
        <v>67.5</v>
      </c>
      <c r="C11" s="6">
        <v>96.4</v>
      </c>
      <c r="D11" s="7">
        <v>2.9634020071658601E-4</v>
      </c>
      <c r="E11" s="7">
        <v>4.1502386982938998E-4</v>
      </c>
      <c r="F11" s="6">
        <v>0</v>
      </c>
      <c r="G11" s="6">
        <v>0</v>
      </c>
      <c r="H11" s="6">
        <v>0</v>
      </c>
      <c r="I11" s="6">
        <v>0</v>
      </c>
      <c r="J11" s="6">
        <v>0</v>
      </c>
      <c r="K11" s="6">
        <v>0</v>
      </c>
      <c r="L11" s="6">
        <v>67.5</v>
      </c>
      <c r="M11" s="6">
        <v>96.4</v>
      </c>
      <c r="N11" s="8">
        <v>1.42814814814814</v>
      </c>
      <c r="O11" s="8">
        <v>1.43297833357297</v>
      </c>
      <c r="P11" s="8">
        <v>1.42793758172053</v>
      </c>
      <c r="R11" s="6">
        <v>96.726037516175495</v>
      </c>
      <c r="U11" s="7">
        <v>3.3764253656423798E-3</v>
      </c>
      <c r="X11" s="8">
        <v>1.42814814814814</v>
      </c>
      <c r="Y11" s="8">
        <v>1.4302827749172899</v>
      </c>
      <c r="Z11" s="8">
        <v>1.42793758172053</v>
      </c>
      <c r="AB11" s="6">
        <v>96.544087306917305</v>
      </c>
      <c r="AE11" s="7">
        <v>1.49356568230256E-3</v>
      </c>
      <c r="BJ11" s="12">
        <f>SQRT(252)*BJ9/BJ10</f>
        <v>2.9040209873685514</v>
      </c>
      <c r="BV11" s="12">
        <f>SQRT(252)*BV9/BV10</f>
        <v>2.5383343981398721</v>
      </c>
      <c r="BY11" s="12">
        <f>SQRT(252)*BY9/BY10</f>
        <v>3.7630409486391621</v>
      </c>
      <c r="CL11" s="15">
        <f t="shared" si="1"/>
        <v>-3.5000000000000001E-3</v>
      </c>
      <c r="CM11" s="16">
        <v>2.57265389160382</v>
      </c>
      <c r="CN11" s="16">
        <v>3.8800833268730637</v>
      </c>
      <c r="CO11" s="16">
        <v>2.7377313224773636</v>
      </c>
      <c r="CP11" s="16">
        <v>3.0625183145847523</v>
      </c>
      <c r="CQ11" s="16">
        <v>1.7525838418085562</v>
      </c>
      <c r="CR11" s="16" t="e">
        <v>#DIV/0!</v>
      </c>
      <c r="CS11" s="16" t="e">
        <v>#DIV/0!</v>
      </c>
      <c r="CT11" s="16" t="e">
        <v>#DIV/0!</v>
      </c>
      <c r="CX11" s="15"/>
    </row>
    <row r="12" spans="1:102" x14ac:dyDescent="0.3">
      <c r="A12" s="1">
        <v>46038</v>
      </c>
      <c r="B12" s="6">
        <v>67.41</v>
      </c>
      <c r="C12" s="6">
        <v>96.21</v>
      </c>
      <c r="D12" s="7">
        <v>-1.3342230131367201E-3</v>
      </c>
      <c r="E12" s="7">
        <v>-1.9728992433267899E-3</v>
      </c>
      <c r="F12" s="6">
        <v>0</v>
      </c>
      <c r="G12" s="6">
        <v>0</v>
      </c>
      <c r="H12" s="6">
        <v>0</v>
      </c>
      <c r="I12" s="6">
        <v>0</v>
      </c>
      <c r="J12" s="6">
        <v>0</v>
      </c>
      <c r="K12" s="6">
        <v>0</v>
      </c>
      <c r="L12" s="6">
        <v>67.41</v>
      </c>
      <c r="M12" s="6">
        <v>96.21</v>
      </c>
      <c r="N12" s="8">
        <v>1.4272363150867799</v>
      </c>
      <c r="O12" s="8">
        <v>1.43297833357297</v>
      </c>
      <c r="P12" s="8">
        <v>1.42788878921141</v>
      </c>
      <c r="R12" s="6">
        <v>96.597069466153897</v>
      </c>
      <c r="S12" s="6">
        <v>96.257272383780901</v>
      </c>
      <c r="U12" s="7">
        <v>4.0151015958324902E-3</v>
      </c>
      <c r="V12" s="7">
        <v>4.9122517450385795E-4</v>
      </c>
      <c r="X12" s="8">
        <v>1.4272363150867799</v>
      </c>
      <c r="Y12" s="8">
        <v>1.4302827749172899</v>
      </c>
      <c r="Z12" s="8">
        <v>1.42788878921141</v>
      </c>
      <c r="AB12" s="6">
        <v>96.415361857174702</v>
      </c>
      <c r="AC12" s="6">
        <v>96.257272383780901</v>
      </c>
      <c r="AE12" s="7">
        <v>2.1322419124927801E-3</v>
      </c>
      <c r="AF12" s="7">
        <v>4.9122517450385795E-4</v>
      </c>
      <c r="CL12" s="12" t="s">
        <v>38</v>
      </c>
    </row>
    <row r="13" spans="1:102" x14ac:dyDescent="0.3">
      <c r="A13" s="1">
        <v>46042</v>
      </c>
      <c r="B13" s="6">
        <v>67.099999999999994</v>
      </c>
      <c r="C13" s="6">
        <v>95.73</v>
      </c>
      <c r="D13" s="7">
        <v>-4.60933088771142E-3</v>
      </c>
      <c r="E13" s="7">
        <v>-5.0015734149113297E-3</v>
      </c>
      <c r="F13" s="6">
        <v>0</v>
      </c>
      <c r="G13" s="6">
        <v>0</v>
      </c>
      <c r="H13" s="6">
        <v>0</v>
      </c>
      <c r="I13" s="6">
        <v>0</v>
      </c>
      <c r="J13" s="6">
        <v>0</v>
      </c>
      <c r="K13" s="6">
        <v>0</v>
      </c>
      <c r="L13" s="6">
        <v>67.099999999999994</v>
      </c>
      <c r="M13" s="6">
        <v>95.73</v>
      </c>
      <c r="N13" s="8">
        <v>1.4266766020864301</v>
      </c>
      <c r="O13" s="8">
        <v>1.43297833357297</v>
      </c>
      <c r="P13" s="8">
        <v>1.42773103849158</v>
      </c>
      <c r="R13" s="6">
        <v>96.152846182746202</v>
      </c>
      <c r="S13" s="6">
        <v>95.811337756086004</v>
      </c>
      <c r="U13" s="7">
        <v>4.4073441230323002E-3</v>
      </c>
      <c r="V13" s="7">
        <v>8.4929720057384101E-4</v>
      </c>
      <c r="X13" s="8">
        <v>1.4266766020864301</v>
      </c>
      <c r="Y13" s="8">
        <v>1.4302827749172899</v>
      </c>
      <c r="Z13" s="8">
        <v>1.42773103849158</v>
      </c>
      <c r="AB13" s="6">
        <v>95.971974196950399</v>
      </c>
      <c r="AC13" s="6">
        <v>95.811337756086004</v>
      </c>
      <c r="AE13" s="7">
        <v>2.5244844396926001E-3</v>
      </c>
      <c r="AF13" s="7">
        <v>8.4929720057384101E-4</v>
      </c>
    </row>
    <row r="14" spans="1:102" ht="15" thickBot="1" x14ac:dyDescent="0.35">
      <c r="A14" s="1">
        <v>46043</v>
      </c>
      <c r="B14" s="6">
        <v>67.55</v>
      </c>
      <c r="C14" s="6">
        <v>96.5</v>
      </c>
      <c r="D14" s="7">
        <v>6.6840204285717898E-3</v>
      </c>
      <c r="E14" s="7">
        <v>8.0112793866782897E-3</v>
      </c>
      <c r="F14" s="6">
        <v>0</v>
      </c>
      <c r="G14" s="6">
        <v>0</v>
      </c>
      <c r="H14" s="6">
        <v>0</v>
      </c>
      <c r="I14" s="6">
        <v>0</v>
      </c>
      <c r="J14" s="6">
        <v>0</v>
      </c>
      <c r="K14" s="6">
        <v>0</v>
      </c>
      <c r="L14" s="6">
        <v>67.55</v>
      </c>
      <c r="M14" s="6">
        <v>96.5</v>
      </c>
      <c r="N14" s="8">
        <v>1.4285714285714199</v>
      </c>
      <c r="O14" s="8">
        <v>1.43297833357297</v>
      </c>
      <c r="P14" s="8">
        <v>1.4277839720705301</v>
      </c>
      <c r="R14" s="6">
        <v>96.797686432854107</v>
      </c>
      <c r="S14" s="6">
        <v>96.443231650106497</v>
      </c>
      <c r="U14" s="7">
        <v>3.0800851649258501E-3</v>
      </c>
      <c r="V14" s="7">
        <v>-5.8844615637519302E-4</v>
      </c>
      <c r="X14" s="8">
        <v>1.4285714285714199</v>
      </c>
      <c r="Y14" s="8">
        <v>1.4302827749172899</v>
      </c>
      <c r="Z14" s="8">
        <v>1.4277839720705301</v>
      </c>
      <c r="AB14" s="6">
        <v>96.615601445663103</v>
      </c>
      <c r="AC14" s="6">
        <v>96.443231650106497</v>
      </c>
      <c r="AE14" s="7">
        <v>1.1972254815861101E-3</v>
      </c>
      <c r="AF14" s="7">
        <v>-5.8844615637519302E-4</v>
      </c>
      <c r="CL14" s="14">
        <f>BV11</f>
        <v>2.5383343981398721</v>
      </c>
      <c r="CM14" s="15">
        <v>0</v>
      </c>
      <c r="CN14" s="15">
        <f>CM14+0.0005</f>
        <v>5.0000000000000001E-4</v>
      </c>
      <c r="CO14" s="15">
        <f t="shared" ref="CO14:CT14" si="2">CN14+0.0005</f>
        <v>1E-3</v>
      </c>
      <c r="CP14" s="15">
        <f t="shared" si="2"/>
        <v>1.5E-3</v>
      </c>
      <c r="CQ14" s="15">
        <f t="shared" si="2"/>
        <v>2E-3</v>
      </c>
      <c r="CR14" s="15">
        <f t="shared" si="2"/>
        <v>2.5000000000000001E-3</v>
      </c>
      <c r="CS14" s="15">
        <f t="shared" si="2"/>
        <v>3.0000000000000001E-3</v>
      </c>
      <c r="CT14" s="15">
        <f t="shared" si="2"/>
        <v>3.5000000000000001E-3</v>
      </c>
      <c r="CU14" s="12" t="s">
        <v>33</v>
      </c>
      <c r="CX14" s="15"/>
    </row>
    <row r="15" spans="1:102" ht="15" thickBot="1" x14ac:dyDescent="0.35">
      <c r="A15" s="1">
        <v>46044</v>
      </c>
      <c r="B15" s="6">
        <v>67.569999999999993</v>
      </c>
      <c r="C15" s="6">
        <v>96.48</v>
      </c>
      <c r="D15" s="7">
        <v>2.9603315787521601E-4</v>
      </c>
      <c r="E15" s="7">
        <v>-2.07275366064851E-4</v>
      </c>
      <c r="F15" s="6">
        <v>0</v>
      </c>
      <c r="G15" s="6">
        <v>0</v>
      </c>
      <c r="H15" s="6">
        <v>0</v>
      </c>
      <c r="I15" s="6">
        <v>0</v>
      </c>
      <c r="J15" s="6">
        <v>0</v>
      </c>
      <c r="K15" s="6">
        <v>0</v>
      </c>
      <c r="L15" s="6">
        <v>67.569999999999993</v>
      </c>
      <c r="M15" s="6">
        <v>96.48</v>
      </c>
      <c r="N15" s="8">
        <v>1.4278525973064899</v>
      </c>
      <c r="O15" s="8">
        <v>1.43297833357297</v>
      </c>
      <c r="P15" s="8">
        <v>1.42783507713292</v>
      </c>
      <c r="R15" s="6">
        <v>96.8263459995255</v>
      </c>
      <c r="S15" s="6">
        <v>96.475362992805699</v>
      </c>
      <c r="U15" s="7">
        <v>3.5833936888659801E-3</v>
      </c>
      <c r="V15" s="7">
        <v>-4.8063004036398301E-5</v>
      </c>
      <c r="X15" s="8">
        <v>1.4278525973064899</v>
      </c>
      <c r="Y15" s="8">
        <v>1.4302827749172899</v>
      </c>
      <c r="Z15" s="8">
        <v>1.42783507713292</v>
      </c>
      <c r="AB15" s="6">
        <v>96.644207101161498</v>
      </c>
      <c r="AC15" s="6">
        <v>96.475362992805699</v>
      </c>
      <c r="AE15" s="7">
        <v>1.70053400552622E-3</v>
      </c>
      <c r="AF15" s="7">
        <v>-4.8063004036398301E-5</v>
      </c>
      <c r="CL15" s="15">
        <v>0</v>
      </c>
      <c r="CM15" s="16">
        <f t="dataTable" ref="CM15:CT22" dt2D="1" dtr="1" r1="BM20" r2="BM21"/>
        <v>2.6854363392196507</v>
      </c>
      <c r="CN15" s="16">
        <v>2.5860557411957377</v>
      </c>
      <c r="CO15" s="17">
        <v>2.5383343981398721</v>
      </c>
      <c r="CP15" s="16">
        <v>1.2963874223772796</v>
      </c>
      <c r="CQ15" s="16" t="e">
        <v>#DIV/0!</v>
      </c>
      <c r="CR15" s="16" t="e">
        <v>#DIV/0!</v>
      </c>
      <c r="CS15" s="16" t="e">
        <v>#DIV/0!</v>
      </c>
      <c r="CT15" s="16" t="e">
        <v>#DIV/0!</v>
      </c>
      <c r="CV15" s="12" t="s">
        <v>34</v>
      </c>
      <c r="CW15" s="12" t="s">
        <v>39</v>
      </c>
      <c r="CX15" s="15"/>
    </row>
    <row r="16" spans="1:102" x14ac:dyDescent="0.3">
      <c r="A16" s="1">
        <v>46045</v>
      </c>
      <c r="B16" s="6">
        <v>67.72</v>
      </c>
      <c r="C16" s="6">
        <v>96.72</v>
      </c>
      <c r="D16" s="7">
        <v>2.2174597008515098E-3</v>
      </c>
      <c r="E16" s="7">
        <v>2.4844733276619601E-3</v>
      </c>
      <c r="F16" s="6">
        <v>0</v>
      </c>
      <c r="G16" s="6">
        <v>0</v>
      </c>
      <c r="H16" s="6">
        <v>0</v>
      </c>
      <c r="I16" s="6">
        <v>0</v>
      </c>
      <c r="J16" s="6">
        <v>0</v>
      </c>
      <c r="K16" s="6">
        <v>0</v>
      </c>
      <c r="L16" s="6">
        <v>67.72</v>
      </c>
      <c r="M16" s="6">
        <v>96.72</v>
      </c>
      <c r="N16" s="8">
        <v>1.4282339043118699</v>
      </c>
      <c r="O16" s="8">
        <v>1.43297833357297</v>
      </c>
      <c r="P16" s="8">
        <v>1.4279775342902199</v>
      </c>
      <c r="R16" s="6">
        <v>97.041292749561507</v>
      </c>
      <c r="S16" s="6">
        <v>96.692991423441995</v>
      </c>
      <c r="U16" s="7">
        <v>3.3163800620555901E-3</v>
      </c>
      <c r="V16" s="7">
        <v>-2.7928399777874398E-4</v>
      </c>
      <c r="X16" s="8">
        <v>1.4282339043118699</v>
      </c>
      <c r="Y16" s="8">
        <v>1.4302827749172899</v>
      </c>
      <c r="Z16" s="8">
        <v>1.4279775342902199</v>
      </c>
      <c r="AB16" s="6">
        <v>96.858749517399104</v>
      </c>
      <c r="AC16" s="6">
        <v>96.692991423441995</v>
      </c>
      <c r="AE16" s="7">
        <v>1.4335203787158501E-3</v>
      </c>
      <c r="AF16" s="7">
        <v>-2.7928399777874398E-4</v>
      </c>
      <c r="CL16" s="15">
        <f>CL15+0.0005</f>
        <v>5.0000000000000001E-4</v>
      </c>
      <c r="CM16" s="16">
        <v>2.6854363392196507</v>
      </c>
      <c r="CN16" s="16">
        <v>3.5227506696385444</v>
      </c>
      <c r="CO16" s="16">
        <v>2.6959046122413413</v>
      </c>
      <c r="CP16" s="16">
        <v>1.313783618888694</v>
      </c>
      <c r="CQ16" s="16" t="e">
        <v>#DIV/0!</v>
      </c>
      <c r="CR16" s="16" t="e">
        <v>#DIV/0!</v>
      </c>
      <c r="CS16" s="16" t="e">
        <v>#DIV/0!</v>
      </c>
      <c r="CT16" s="16" t="e">
        <v>#DIV/0!</v>
      </c>
      <c r="CV16" s="12" t="s">
        <v>36</v>
      </c>
      <c r="CW16" s="12" t="s">
        <v>40</v>
      </c>
      <c r="CX16" s="15"/>
    </row>
    <row r="17" spans="1:102" x14ac:dyDescent="0.3">
      <c r="A17" s="1">
        <v>46048</v>
      </c>
      <c r="B17" s="6">
        <v>67.77</v>
      </c>
      <c r="C17" s="6">
        <v>96.82</v>
      </c>
      <c r="D17" s="7">
        <v>7.3806188308707897E-4</v>
      </c>
      <c r="E17" s="7">
        <v>1.03337820501104E-3</v>
      </c>
      <c r="F17" s="6">
        <v>0</v>
      </c>
      <c r="G17" s="6">
        <v>0</v>
      </c>
      <c r="H17" s="6">
        <v>0</v>
      </c>
      <c r="I17" s="6">
        <v>0</v>
      </c>
      <c r="J17" s="6">
        <v>0</v>
      </c>
      <c r="K17" s="6">
        <v>0</v>
      </c>
      <c r="L17" s="6">
        <v>67.77</v>
      </c>
      <c r="M17" s="6">
        <v>96.82</v>
      </c>
      <c r="N17" s="8">
        <v>1.4286557473808399</v>
      </c>
      <c r="O17" s="8">
        <v>1.43297833357297</v>
      </c>
      <c r="P17" s="8">
        <v>1.4279393569891601</v>
      </c>
      <c r="R17" s="6">
        <v>97.112941666240104</v>
      </c>
      <c r="S17" s="6">
        <v>96.774037498848699</v>
      </c>
      <c r="U17" s="7">
        <v>3.0210637401315698E-3</v>
      </c>
      <c r="V17" s="7">
        <v>-4.7483385964414198E-4</v>
      </c>
      <c r="X17" s="8">
        <v>1.4286557473808399</v>
      </c>
      <c r="Y17" s="8">
        <v>1.4302827749172899</v>
      </c>
      <c r="Z17" s="8">
        <v>1.4279393569891601</v>
      </c>
      <c r="AB17" s="6">
        <v>96.930263656144902</v>
      </c>
      <c r="AC17" s="6">
        <v>96.774037498848699</v>
      </c>
      <c r="AE17" s="7">
        <v>1.1382040567918101E-3</v>
      </c>
      <c r="AF17" s="7">
        <v>-4.7483385964414198E-4</v>
      </c>
      <c r="CL17" s="15">
        <f t="shared" ref="CL17:CL22" si="3">CL16+0.0005</f>
        <v>1E-3</v>
      </c>
      <c r="CM17" s="16">
        <v>2.6854363392196507</v>
      </c>
      <c r="CN17" s="16">
        <v>3.5227506696385444</v>
      </c>
      <c r="CO17" s="16">
        <v>2.3093049786699131</v>
      </c>
      <c r="CP17" s="16">
        <v>1.313783618888694</v>
      </c>
      <c r="CQ17" s="16" t="e">
        <v>#DIV/0!</v>
      </c>
      <c r="CR17" s="16" t="e">
        <v>#DIV/0!</v>
      </c>
      <c r="CS17" s="16" t="e">
        <v>#DIV/0!</v>
      </c>
      <c r="CT17" s="16" t="e">
        <v>#DIV/0!</v>
      </c>
      <c r="CX17" s="15"/>
    </row>
    <row r="18" spans="1:102" x14ac:dyDescent="0.3">
      <c r="A18" s="1">
        <v>46049</v>
      </c>
      <c r="B18" s="6">
        <v>67.739999999999995</v>
      </c>
      <c r="C18" s="6">
        <v>96.78</v>
      </c>
      <c r="D18" s="7">
        <v>-4.4277175839590403E-4</v>
      </c>
      <c r="E18" s="7">
        <v>-4.1322314637571401E-4</v>
      </c>
      <c r="F18" s="6">
        <v>0</v>
      </c>
      <c r="G18" s="6">
        <v>0</v>
      </c>
      <c r="H18" s="6">
        <v>0</v>
      </c>
      <c r="I18" s="6">
        <v>0</v>
      </c>
      <c r="J18" s="6">
        <v>0</v>
      </c>
      <c r="K18" s="6">
        <v>0</v>
      </c>
      <c r="L18" s="6">
        <v>67.739999999999995</v>
      </c>
      <c r="M18" s="6">
        <v>96.78</v>
      </c>
      <c r="N18" s="8">
        <v>1.42869796279893</v>
      </c>
      <c r="O18" s="8">
        <v>1.43297833357297</v>
      </c>
      <c r="P18" s="8">
        <v>1.4279392912717199</v>
      </c>
      <c r="R18" s="6">
        <v>97.069952316233</v>
      </c>
      <c r="S18" s="6">
        <v>96.728612042445704</v>
      </c>
      <c r="U18" s="7">
        <v>2.99151512811146E-3</v>
      </c>
      <c r="V18" s="7">
        <v>-5.3111805433210004E-4</v>
      </c>
      <c r="X18" s="8">
        <v>1.42869796279893</v>
      </c>
      <c r="Y18" s="8">
        <v>1.4302827749172899</v>
      </c>
      <c r="Z18" s="8">
        <v>1.4279392912717199</v>
      </c>
      <c r="AB18" s="6">
        <v>96.887355172897401</v>
      </c>
      <c r="AC18" s="6">
        <v>96.728612042445704</v>
      </c>
      <c r="AE18" s="7">
        <v>1.1086554447716601E-3</v>
      </c>
      <c r="AF18" s="7">
        <v>-5.3111805433210004E-4</v>
      </c>
      <c r="CL18" s="15">
        <f t="shared" si="3"/>
        <v>1.5E-3</v>
      </c>
      <c r="CM18" s="16">
        <v>2.6854363392196507</v>
      </c>
      <c r="CN18" s="16">
        <v>3.5227506696385444</v>
      </c>
      <c r="CO18" s="16">
        <v>2.3093049786699131</v>
      </c>
      <c r="CP18" s="16">
        <v>1.313783618888694</v>
      </c>
      <c r="CQ18" s="16" t="e">
        <v>#DIV/0!</v>
      </c>
      <c r="CR18" s="16" t="e">
        <v>#DIV/0!</v>
      </c>
      <c r="CS18" s="16" t="e">
        <v>#DIV/0!</v>
      </c>
      <c r="CT18" s="16" t="e">
        <v>#DIV/0!</v>
      </c>
      <c r="CX18" s="15"/>
    </row>
    <row r="19" spans="1:102" x14ac:dyDescent="0.3">
      <c r="A19" s="1">
        <v>46050</v>
      </c>
      <c r="B19" s="6">
        <v>67.67</v>
      </c>
      <c r="C19" s="6">
        <v>96.66</v>
      </c>
      <c r="D19" s="7">
        <v>-1.03389714549136E-3</v>
      </c>
      <c r="E19" s="7">
        <v>-1.24069494823448E-3</v>
      </c>
      <c r="F19" s="6">
        <v>0</v>
      </c>
      <c r="G19" s="6">
        <v>0</v>
      </c>
      <c r="H19" s="6">
        <v>0</v>
      </c>
      <c r="I19" s="6">
        <v>0</v>
      </c>
      <c r="J19" s="6">
        <v>0</v>
      </c>
      <c r="K19" s="6">
        <v>0</v>
      </c>
      <c r="L19" s="6">
        <v>67.67</v>
      </c>
      <c r="M19" s="6">
        <v>96.66</v>
      </c>
      <c r="N19" s="8">
        <v>1.4284025417467101</v>
      </c>
      <c r="O19" s="8">
        <v>1.43297833357297</v>
      </c>
      <c r="P19" s="8">
        <v>1.4280453907781401</v>
      </c>
      <c r="R19" s="6">
        <v>96.969643832882895</v>
      </c>
      <c r="S19" s="6">
        <v>96.628651840357605</v>
      </c>
      <c r="U19" s="7">
        <v>3.1983129308543199E-3</v>
      </c>
      <c r="V19" s="7">
        <v>-3.2436627415734101E-4</v>
      </c>
      <c r="X19" s="8">
        <v>1.4284025417467101</v>
      </c>
      <c r="Y19" s="8">
        <v>1.4302827749172899</v>
      </c>
      <c r="Z19" s="8">
        <v>1.4280453907781401</v>
      </c>
      <c r="AB19" s="6">
        <v>96.787235378653193</v>
      </c>
      <c r="AC19" s="6">
        <v>96.628651840357605</v>
      </c>
      <c r="AE19" s="7">
        <v>1.3154532475146E-3</v>
      </c>
      <c r="AF19" s="7">
        <v>-3.2436627415734101E-4</v>
      </c>
      <c r="BX19" s="10" t="s">
        <v>41</v>
      </c>
      <c r="BY19" s="10" t="s">
        <v>41</v>
      </c>
      <c r="CL19" s="15">
        <f t="shared" si="3"/>
        <v>2E-3</v>
      </c>
      <c r="CM19" s="16">
        <v>2.6854363392196507</v>
      </c>
      <c r="CN19" s="16">
        <v>3.5227506696385444</v>
      </c>
      <c r="CO19" s="16">
        <v>2.3093049786699131</v>
      </c>
      <c r="CP19" s="16">
        <v>1.313783618888694</v>
      </c>
      <c r="CQ19" s="16" t="e">
        <v>#DIV/0!</v>
      </c>
      <c r="CR19" s="16" t="e">
        <v>#DIV/0!</v>
      </c>
      <c r="CS19" s="16" t="e">
        <v>#DIV/0!</v>
      </c>
      <c r="CT19" s="16" t="e">
        <v>#DIV/0!</v>
      </c>
      <c r="CX19" s="15"/>
    </row>
    <row r="20" spans="1:102" x14ac:dyDescent="0.3">
      <c r="A20" s="1">
        <v>46051</v>
      </c>
      <c r="B20" s="6">
        <v>67.73</v>
      </c>
      <c r="C20" s="6">
        <v>96.67</v>
      </c>
      <c r="D20" s="7">
        <v>8.8626298267827997E-4</v>
      </c>
      <c r="E20" s="7">
        <v>1.03450059576052E-4</v>
      </c>
      <c r="F20" s="6">
        <v>0</v>
      </c>
      <c r="G20" s="6">
        <v>0</v>
      </c>
      <c r="H20" s="6">
        <v>0</v>
      </c>
      <c r="I20" s="6">
        <v>0</v>
      </c>
      <c r="J20" s="6">
        <v>0</v>
      </c>
      <c r="K20" s="6">
        <v>0</v>
      </c>
      <c r="L20" s="6">
        <v>67.73</v>
      </c>
      <c r="M20" s="6">
        <v>96.67</v>
      </c>
      <c r="N20" s="8">
        <v>1.4272848073231901</v>
      </c>
      <c r="O20" s="8">
        <v>1.43297833357297</v>
      </c>
      <c r="P20" s="8">
        <v>1.4279760054760799</v>
      </c>
      <c r="R20" s="6">
        <v>97.055622532897203</v>
      </c>
      <c r="S20" s="6">
        <v>96.721514317403901</v>
      </c>
      <c r="U20" s="7">
        <v>3.9811258539565004E-3</v>
      </c>
      <c r="V20" s="7">
        <v>5.3274642172497098E-4</v>
      </c>
      <c r="X20" s="8">
        <v>1.4272848073231901</v>
      </c>
      <c r="Y20" s="8">
        <v>1.4302827749172899</v>
      </c>
      <c r="Z20" s="8">
        <v>1.4279760054760799</v>
      </c>
      <c r="AB20" s="6">
        <v>96.873052345148295</v>
      </c>
      <c r="AC20" s="6">
        <v>96.721514317403901</v>
      </c>
      <c r="AE20" s="7">
        <v>2.0982661706167999E-3</v>
      </c>
      <c r="AF20" s="7">
        <v>5.3274642172497098E-4</v>
      </c>
      <c r="AZ20" s="20" t="s">
        <v>42</v>
      </c>
      <c r="BA20" s="21">
        <v>-1.5E-3</v>
      </c>
      <c r="BB20" s="10" t="s">
        <v>43</v>
      </c>
      <c r="BC20" s="10" t="s">
        <v>44</v>
      </c>
      <c r="BD20" s="10" t="s">
        <v>45</v>
      </c>
      <c r="BE20" s="10" t="s">
        <v>46</v>
      </c>
      <c r="BF20" s="10" t="s">
        <v>47</v>
      </c>
      <c r="BG20" s="10" t="str">
        <f>D1</f>
        <v>VWOB log rtn</v>
      </c>
      <c r="BH20" s="10" t="str">
        <f>E1</f>
        <v>EMB log rtn</v>
      </c>
      <c r="BI20" s="10" t="s">
        <v>48</v>
      </c>
      <c r="BJ20" s="10" t="s">
        <v>49</v>
      </c>
      <c r="BL20" s="20" t="s">
        <v>42</v>
      </c>
      <c r="BM20" s="21">
        <v>1E-3</v>
      </c>
      <c r="BN20" s="10" t="s">
        <v>44</v>
      </c>
      <c r="BO20" s="10" t="s">
        <v>43</v>
      </c>
      <c r="BP20" s="10" t="s">
        <v>45</v>
      </c>
      <c r="BQ20" s="10" t="s">
        <v>46</v>
      </c>
      <c r="BR20" s="10" t="s">
        <v>47</v>
      </c>
      <c r="BS20" s="11" t="str">
        <f>D1</f>
        <v>VWOB log rtn</v>
      </c>
      <c r="BT20" s="11" t="str">
        <f>E1</f>
        <v>EMB log rtn</v>
      </c>
      <c r="BU20" s="10" t="s">
        <v>48</v>
      </c>
      <c r="BV20" s="10" t="s">
        <v>49</v>
      </c>
      <c r="BX20" s="10" t="s">
        <v>48</v>
      </c>
      <c r="BY20" s="10" t="s">
        <v>49</v>
      </c>
      <c r="CL20" s="15">
        <f t="shared" si="3"/>
        <v>2.5000000000000001E-3</v>
      </c>
      <c r="CM20" s="16">
        <v>2.6854363392196507</v>
      </c>
      <c r="CN20" s="16">
        <v>3.5227506696385444</v>
      </c>
      <c r="CO20" s="16">
        <v>2.3093049786699131</v>
      </c>
      <c r="CP20" s="16">
        <v>1.313783618888694</v>
      </c>
      <c r="CQ20" s="16" t="e">
        <v>#DIV/0!</v>
      </c>
      <c r="CR20" s="16" t="e">
        <v>#DIV/0!</v>
      </c>
      <c r="CS20" s="16" t="e">
        <v>#DIV/0!</v>
      </c>
      <c r="CT20" s="16" t="e">
        <v>#DIV/0!</v>
      </c>
      <c r="CX20" s="15"/>
    </row>
    <row r="21" spans="1:102" x14ac:dyDescent="0.3">
      <c r="A21" s="1">
        <v>46052</v>
      </c>
      <c r="B21" s="6">
        <v>67.66</v>
      </c>
      <c r="C21" s="6">
        <v>96.58</v>
      </c>
      <c r="D21" s="7">
        <v>-1.03404987425002E-3</v>
      </c>
      <c r="E21" s="7">
        <v>-9.3143603111830195E-4</v>
      </c>
      <c r="F21" s="6">
        <v>0</v>
      </c>
      <c r="G21" s="6">
        <v>0</v>
      </c>
      <c r="H21" s="6">
        <v>0</v>
      </c>
      <c r="I21" s="6">
        <v>0</v>
      </c>
      <c r="J21" s="6">
        <v>0</v>
      </c>
      <c r="K21" s="6">
        <v>0</v>
      </c>
      <c r="L21" s="6">
        <v>67.66</v>
      </c>
      <c r="M21" s="6">
        <v>96.58</v>
      </c>
      <c r="N21" s="8">
        <v>1.42743127401714</v>
      </c>
      <c r="O21" s="8">
        <v>1.43297833357297</v>
      </c>
      <c r="P21" s="8">
        <v>1.42790431806298</v>
      </c>
      <c r="Q21" s="8">
        <v>1.42792094989175</v>
      </c>
      <c r="R21" s="6">
        <v>96.955314049547098</v>
      </c>
      <c r="S21" s="6">
        <v>96.616856530511896</v>
      </c>
      <c r="U21" s="7">
        <v>3.8785120108246998E-3</v>
      </c>
      <c r="V21" s="7">
        <v>3.8154379549399297E-4</v>
      </c>
      <c r="X21" s="8">
        <v>1.42743127401714</v>
      </c>
      <c r="Y21" s="8">
        <v>1.4302827749172899</v>
      </c>
      <c r="Z21" s="8">
        <v>1.42790431806298</v>
      </c>
      <c r="AA21" s="8">
        <v>1.42792094989175</v>
      </c>
      <c r="AB21" s="6">
        <v>96.772932550904002</v>
      </c>
      <c r="AC21" s="6">
        <v>96.616856530511896</v>
      </c>
      <c r="AE21" s="7">
        <v>1.9956523274851099E-3</v>
      </c>
      <c r="AF21" s="7">
        <v>3.8154379549399297E-4</v>
      </c>
      <c r="BA21" s="21">
        <v>-5.0000000000000001E-4</v>
      </c>
      <c r="BE21" s="12">
        <f>IF(F22+H22&gt;0,0,1)</f>
        <v>0</v>
      </c>
      <c r="BF21" s="22">
        <v>0</v>
      </c>
      <c r="BM21" s="21">
        <v>0</v>
      </c>
      <c r="BQ21" s="12">
        <f>IF(F22+H22&gt;0,0,1)</f>
        <v>0</v>
      </c>
      <c r="BR21" s="22">
        <v>0</v>
      </c>
      <c r="CL21" s="15">
        <f t="shared" si="3"/>
        <v>3.0000000000000001E-3</v>
      </c>
      <c r="CM21" s="16">
        <v>2.6854363392196507</v>
      </c>
      <c r="CN21" s="16">
        <v>3.5227506696385444</v>
      </c>
      <c r="CO21" s="16">
        <v>2.3093049786699131</v>
      </c>
      <c r="CP21" s="16">
        <v>1.313783618888694</v>
      </c>
      <c r="CQ21" s="16" t="e">
        <v>#DIV/0!</v>
      </c>
      <c r="CR21" s="16" t="e">
        <v>#DIV/0!</v>
      </c>
      <c r="CS21" s="16" t="e">
        <v>#DIV/0!</v>
      </c>
      <c r="CT21" s="16" t="e">
        <v>#DIV/0!</v>
      </c>
      <c r="CX21" s="15"/>
    </row>
    <row r="22" spans="1:102" x14ac:dyDescent="0.3">
      <c r="A22" s="1">
        <v>46055</v>
      </c>
      <c r="B22" s="6">
        <v>67.290000000000006</v>
      </c>
      <c r="C22" s="6">
        <v>96.14</v>
      </c>
      <c r="D22" s="7">
        <v>-5.48352615233567E-3</v>
      </c>
      <c r="E22" s="7">
        <v>-4.5662179795811896E-3</v>
      </c>
      <c r="F22" s="6">
        <v>0.33960000000000001</v>
      </c>
      <c r="G22" s="6">
        <v>0.33960000000000001</v>
      </c>
      <c r="H22" s="6">
        <v>0.41460000000000002</v>
      </c>
      <c r="I22" s="6">
        <v>0.41460000000000002</v>
      </c>
      <c r="J22" s="6">
        <v>0.33960000000000001</v>
      </c>
      <c r="K22" s="6">
        <v>0.41460000000000002</v>
      </c>
      <c r="L22" s="6">
        <v>67.629599999999996</v>
      </c>
      <c r="M22" s="6">
        <v>96.554599999999994</v>
      </c>
      <c r="N22" s="8">
        <v>1.4287412691335999</v>
      </c>
      <c r="O22" s="8">
        <v>1.43297833357297</v>
      </c>
      <c r="P22" s="8">
        <v>1.4280548134676601</v>
      </c>
      <c r="Q22" s="8">
        <v>1.4279718013395399</v>
      </c>
      <c r="R22" s="6">
        <v>96.425112066125095</v>
      </c>
      <c r="S22" s="6">
        <v>96.083681562458295</v>
      </c>
      <c r="T22" s="6">
        <v>96.0848007182163</v>
      </c>
      <c r="U22" s="7">
        <v>2.9612038380703001E-3</v>
      </c>
      <c r="V22" s="7">
        <v>-5.8596775064720505E-4</v>
      </c>
      <c r="W22" s="7">
        <v>-5.74320099119722E-4</v>
      </c>
      <c r="X22" s="8">
        <v>1.4276973396264301</v>
      </c>
      <c r="Y22" s="8">
        <v>1.4302827749172899</v>
      </c>
      <c r="Z22" s="8">
        <v>1.42795042051695</v>
      </c>
      <c r="AA22" s="8">
        <v>1.42791960486418</v>
      </c>
      <c r="AB22" s="6">
        <v>96.729451954546604</v>
      </c>
      <c r="AC22" s="6">
        <v>96.568597868872502</v>
      </c>
      <c r="AD22" s="6">
        <v>96.5697226727996</v>
      </c>
      <c r="AE22" s="7">
        <v>1.8092750071852599E-3</v>
      </c>
      <c r="AF22" s="7">
        <v>1.4496310180745899E-4</v>
      </c>
      <c r="AG22" s="7">
        <v>1.5661075333498701E-4</v>
      </c>
      <c r="AZ22" s="23"/>
      <c r="BB22" s="12">
        <f>IF($AG22&lt;BA$20,1,0)</f>
        <v>0</v>
      </c>
      <c r="BC22" s="12">
        <f>IF($AG22&gt;BA$21,1,0)</f>
        <v>1</v>
      </c>
      <c r="BD22" s="12">
        <f>BF21</f>
        <v>0</v>
      </c>
      <c r="BE22" s="12">
        <f t="shared" ref="BE22:BE85" si="4">IF(F23+H23&gt;0,0,1)</f>
        <v>1</v>
      </c>
      <c r="BF22" s="12">
        <f>IF(BB21,1,IF(BC21,0,BD21))*BE21</f>
        <v>0</v>
      </c>
      <c r="BG22" s="23">
        <f>BF22*D22</f>
        <v>0</v>
      </c>
      <c r="BH22" s="23">
        <f>-BF22*$E22</f>
        <v>0</v>
      </c>
      <c r="BI22" s="23">
        <f>BG22+BH22</f>
        <v>0</v>
      </c>
      <c r="BJ22" s="18">
        <f>BJ21+BI22</f>
        <v>0</v>
      </c>
      <c r="BL22" s="23"/>
      <c r="BN22" s="12">
        <f>IF($AG22&gt;BM$20,1,0)</f>
        <v>0</v>
      </c>
      <c r="BO22" s="12">
        <f>IF($AG22&lt;BM$21,1,0)</f>
        <v>0</v>
      </c>
      <c r="BP22" s="12">
        <f>BR21</f>
        <v>0</v>
      </c>
      <c r="BQ22" s="12">
        <f t="shared" ref="BQ22:BQ85" si="5">IF(F23+H23&gt;0,0,1)</f>
        <v>1</v>
      </c>
      <c r="BR22" s="12">
        <f>IF(BN21,1,IF(BO21,0,BP21))*BQ21</f>
        <v>0</v>
      </c>
      <c r="BS22" s="23">
        <f>-BR22*D22</f>
        <v>0</v>
      </c>
      <c r="BT22" s="23">
        <f>BR22*$E22</f>
        <v>0</v>
      </c>
      <c r="BU22" s="23">
        <f>BS22+BT22</f>
        <v>0</v>
      </c>
      <c r="BV22" s="18">
        <f>BV21+BU22</f>
        <v>0</v>
      </c>
      <c r="BX22" s="18">
        <f>BI22+BU22</f>
        <v>0</v>
      </c>
      <c r="BY22" s="18">
        <f>BY21+BX22</f>
        <v>0</v>
      </c>
      <c r="CL22" s="15">
        <f t="shared" si="3"/>
        <v>3.5000000000000001E-3</v>
      </c>
      <c r="CM22" s="16">
        <v>2.6854363392196507</v>
      </c>
      <c r="CN22" s="16">
        <v>3.5227506696385444</v>
      </c>
      <c r="CO22" s="16">
        <v>2.3093049786699131</v>
      </c>
      <c r="CP22" s="16">
        <v>1.313783618888694</v>
      </c>
      <c r="CQ22" s="16" t="e">
        <v>#DIV/0!</v>
      </c>
      <c r="CR22" s="16" t="e">
        <v>#DIV/0!</v>
      </c>
      <c r="CS22" s="16" t="e">
        <v>#DIV/0!</v>
      </c>
      <c r="CT22" s="16" t="e">
        <v>#DIV/0!</v>
      </c>
      <c r="CX22" s="15"/>
    </row>
    <row r="23" spans="1:102" x14ac:dyDescent="0.3">
      <c r="A23" s="1">
        <v>46056</v>
      </c>
      <c r="B23" s="6">
        <v>67.28</v>
      </c>
      <c r="C23" s="6">
        <v>96.16</v>
      </c>
      <c r="D23" s="7">
        <v>-1.4862153553414501E-4</v>
      </c>
      <c r="E23" s="7">
        <v>2.0800832108274099E-4</v>
      </c>
      <c r="F23" s="6">
        <v>0</v>
      </c>
      <c r="G23" s="6">
        <v>0.33960000000000001</v>
      </c>
      <c r="H23" s="6">
        <v>0</v>
      </c>
      <c r="I23" s="6">
        <v>0.41460000000000002</v>
      </c>
      <c r="J23" s="6">
        <v>0.33960000000000001</v>
      </c>
      <c r="K23" s="6">
        <v>0.41460000000000002</v>
      </c>
      <c r="L23" s="6">
        <v>67.619600000000005</v>
      </c>
      <c r="M23" s="6">
        <v>96.574599999999904</v>
      </c>
      <c r="N23" s="8">
        <v>1.42925089179548</v>
      </c>
      <c r="O23" s="8">
        <v>1.43297833357297</v>
      </c>
      <c r="P23" s="8">
        <v>1.4283122424385699</v>
      </c>
      <c r="Q23" s="8">
        <v>1.4280216404650701</v>
      </c>
      <c r="R23" s="6">
        <v>96.410782282789398</v>
      </c>
      <c r="S23" s="6">
        <v>96.079527850104597</v>
      </c>
      <c r="T23" s="6">
        <v>96.073942794124306</v>
      </c>
      <c r="U23" s="7">
        <v>2.60457398145346E-3</v>
      </c>
      <c r="V23" s="7">
        <v>-8.3720716020922997E-4</v>
      </c>
      <c r="W23" s="7">
        <v>-8.9533836089095403E-4</v>
      </c>
      <c r="X23" s="8">
        <v>1.4282042484723301</v>
      </c>
      <c r="Y23" s="8">
        <v>1.4302827749172899</v>
      </c>
      <c r="Z23" s="8">
        <v>1.4281031851555399</v>
      </c>
      <c r="AA23" s="8">
        <v>1.4279171118235601</v>
      </c>
      <c r="AB23" s="6">
        <v>96.7151491267974</v>
      </c>
      <c r="AC23" s="6">
        <v>96.557436255187994</v>
      </c>
      <c r="AD23" s="6">
        <v>96.555352513074098</v>
      </c>
      <c r="AE23" s="7">
        <v>1.4542845878120099E-3</v>
      </c>
      <c r="AF23" s="7">
        <v>-1.7774104379528601E-4</v>
      </c>
      <c r="AG23" s="7">
        <v>-1.9932161468562401E-4</v>
      </c>
      <c r="AZ23" s="23"/>
      <c r="BB23" s="12">
        <f t="shared" ref="BB23:BB86" si="6">IF($AG23&lt;BA$20,1,0)</f>
        <v>0</v>
      </c>
      <c r="BC23" s="12">
        <f t="shared" ref="BC23:BC86" si="7">IF($AG23&gt;BA$21,1,0)</f>
        <v>1</v>
      </c>
      <c r="BD23" s="12">
        <f t="shared" ref="BD23:BD86" si="8">BF23</f>
        <v>0</v>
      </c>
      <c r="BE23" s="12">
        <f t="shared" si="4"/>
        <v>1</v>
      </c>
      <c r="BF23" s="12">
        <f t="shared" ref="BF23:BF86" si="9">IF(BB22,1,IF(BC22,0,BD22))*BE22</f>
        <v>0</v>
      </c>
      <c r="BG23" s="23">
        <f t="shared" ref="BG23:BG86" si="10">BF23*D23</f>
        <v>0</v>
      </c>
      <c r="BH23" s="23">
        <f t="shared" ref="BH23:BH86" si="11">-BF23*$E23</f>
        <v>0</v>
      </c>
      <c r="BI23" s="23">
        <f t="shared" ref="BI23:BI86" si="12">BG23+BH23</f>
        <v>0</v>
      </c>
      <c r="BJ23" s="18">
        <f t="shared" ref="BJ23:BJ86" si="13">BJ22+BI23</f>
        <v>0</v>
      </c>
      <c r="BL23" s="23"/>
      <c r="BN23" s="12">
        <f t="shared" ref="BN23:BN86" si="14">IF($AG23&gt;BM$20,1,0)</f>
        <v>0</v>
      </c>
      <c r="BO23" s="12">
        <f t="shared" ref="BO23:BO86" si="15">IF($AG23&lt;BM$21,1,0)</f>
        <v>1</v>
      </c>
      <c r="BP23" s="12">
        <f t="shared" ref="BP23:BP86" si="16">BR23</f>
        <v>0</v>
      </c>
      <c r="BQ23" s="12">
        <f t="shared" si="5"/>
        <v>1</v>
      </c>
      <c r="BR23" s="12">
        <f t="shared" ref="BR23:BR86" si="17">IF(BN22,1,IF(BO22,0,BP22))*BQ22</f>
        <v>0</v>
      </c>
      <c r="BS23" s="23">
        <f t="shared" ref="BS23:BS86" si="18">-BR23*D23</f>
        <v>0</v>
      </c>
      <c r="BT23" s="23">
        <f t="shared" ref="BT23:BT86" si="19">BR23*$E23</f>
        <v>0</v>
      </c>
      <c r="BU23" s="23">
        <f t="shared" ref="BU23:BU86" si="20">BS23+BT23</f>
        <v>0</v>
      </c>
      <c r="BV23" s="18">
        <f t="shared" ref="BV23:BV86" si="21">BV22+BU23</f>
        <v>0</v>
      </c>
      <c r="BX23" s="18">
        <f t="shared" ref="BX23:BX86" si="22">BI23+BU23</f>
        <v>0</v>
      </c>
      <c r="BY23" s="18">
        <f t="shared" ref="BY23:BY86" si="23">BY22+BX23</f>
        <v>0</v>
      </c>
      <c r="CL23" s="12" t="s">
        <v>38</v>
      </c>
    </row>
    <row r="24" spans="1:102" x14ac:dyDescent="0.3">
      <c r="A24" s="1">
        <v>46057</v>
      </c>
      <c r="B24" s="6">
        <v>67.23</v>
      </c>
      <c r="C24" s="6">
        <v>96.2</v>
      </c>
      <c r="D24" s="7">
        <v>-7.4343918374726299E-4</v>
      </c>
      <c r="E24" s="7">
        <v>4.1588688476335603E-4</v>
      </c>
      <c r="F24" s="6">
        <v>0</v>
      </c>
      <c r="G24" s="6">
        <v>0.33960000000000001</v>
      </c>
      <c r="H24" s="6">
        <v>0</v>
      </c>
      <c r="I24" s="6">
        <v>0.41460000000000002</v>
      </c>
      <c r="J24" s="6">
        <v>0.33960000000000001</v>
      </c>
      <c r="K24" s="6">
        <v>0.41460000000000002</v>
      </c>
      <c r="L24" s="6">
        <v>67.569599999999994</v>
      </c>
      <c r="M24" s="6">
        <v>96.614599999999996</v>
      </c>
      <c r="N24" s="8">
        <v>1.4309088204670499</v>
      </c>
      <c r="O24" s="8">
        <v>1.43297833357297</v>
      </c>
      <c r="P24" s="8">
        <v>1.4285459816281301</v>
      </c>
      <c r="Q24" s="8">
        <v>1.4281649768493301</v>
      </c>
      <c r="R24" s="6">
        <v>96.339133366110701</v>
      </c>
      <c r="S24" s="6">
        <v>96.025432059145103</v>
      </c>
      <c r="T24" s="6">
        <v>96.005894888467196</v>
      </c>
      <c r="U24" s="7">
        <v>1.4452479129427999E-3</v>
      </c>
      <c r="V24" s="7">
        <v>-1.81628400544968E-3</v>
      </c>
      <c r="W24" s="7">
        <v>-2.01976300083963E-3</v>
      </c>
      <c r="X24" s="8">
        <v>1.4298530700196499</v>
      </c>
      <c r="Y24" s="8">
        <v>1.4302827749172899</v>
      </c>
      <c r="Z24" s="8">
        <v>1.42823134930036</v>
      </c>
      <c r="AA24" s="8">
        <v>1.4280076606854399</v>
      </c>
      <c r="AB24" s="6">
        <v>96.643634988051502</v>
      </c>
      <c r="AC24" s="6">
        <v>96.496360979685804</v>
      </c>
      <c r="AD24" s="6">
        <v>96.483788079073406</v>
      </c>
      <c r="AE24" s="7">
        <v>3.00478665468929E-4</v>
      </c>
      <c r="AF24" s="7">
        <v>-1.22457093569409E-3</v>
      </c>
      <c r="AG24" s="7">
        <v>-1.3548734636123999E-3</v>
      </c>
      <c r="AZ24" s="23"/>
      <c r="BB24" s="12">
        <f t="shared" si="6"/>
        <v>0</v>
      </c>
      <c r="BC24" s="12">
        <f t="shared" si="7"/>
        <v>0</v>
      </c>
      <c r="BD24" s="12">
        <f t="shared" si="8"/>
        <v>0</v>
      </c>
      <c r="BE24" s="12">
        <f t="shared" si="4"/>
        <v>1</v>
      </c>
      <c r="BF24" s="12">
        <f t="shared" si="9"/>
        <v>0</v>
      </c>
      <c r="BG24" s="23">
        <f t="shared" si="10"/>
        <v>0</v>
      </c>
      <c r="BH24" s="23">
        <f t="shared" si="11"/>
        <v>0</v>
      </c>
      <c r="BI24" s="23">
        <f t="shared" si="12"/>
        <v>0</v>
      </c>
      <c r="BJ24" s="18">
        <f t="shared" si="13"/>
        <v>0</v>
      </c>
      <c r="BL24" s="23"/>
      <c r="BN24" s="12">
        <f t="shared" si="14"/>
        <v>0</v>
      </c>
      <c r="BO24" s="12">
        <f t="shared" si="15"/>
        <v>1</v>
      </c>
      <c r="BP24" s="12">
        <f t="shared" si="16"/>
        <v>0</v>
      </c>
      <c r="BQ24" s="12">
        <f t="shared" si="5"/>
        <v>1</v>
      </c>
      <c r="BR24" s="12">
        <f t="shared" si="17"/>
        <v>0</v>
      </c>
      <c r="BS24" s="23">
        <f t="shared" si="18"/>
        <v>0</v>
      </c>
      <c r="BT24" s="23">
        <f t="shared" si="19"/>
        <v>0</v>
      </c>
      <c r="BU24" s="23">
        <f t="shared" si="20"/>
        <v>0</v>
      </c>
      <c r="BV24" s="18">
        <f t="shared" si="21"/>
        <v>0</v>
      </c>
      <c r="BX24" s="18">
        <f t="shared" si="22"/>
        <v>0</v>
      </c>
      <c r="BY24" s="18">
        <f t="shared" si="23"/>
        <v>0</v>
      </c>
    </row>
    <row r="25" spans="1:102" x14ac:dyDescent="0.3">
      <c r="A25" s="1">
        <v>46058</v>
      </c>
      <c r="B25" s="6">
        <v>67.48</v>
      </c>
      <c r="C25" s="6">
        <v>96.44</v>
      </c>
      <c r="D25" s="7">
        <v>3.7116811968221498E-3</v>
      </c>
      <c r="E25" s="7">
        <v>2.4916956413093801E-3</v>
      </c>
      <c r="F25" s="6">
        <v>0</v>
      </c>
      <c r="G25" s="6">
        <v>0.33960000000000001</v>
      </c>
      <c r="H25" s="6">
        <v>0</v>
      </c>
      <c r="I25" s="6">
        <v>0.41460000000000002</v>
      </c>
      <c r="J25" s="6">
        <v>0.33960000000000001</v>
      </c>
      <c r="K25" s="6">
        <v>0.41460000000000002</v>
      </c>
      <c r="L25" s="6">
        <v>67.819599999999994</v>
      </c>
      <c r="M25" s="6">
        <v>96.854599999999905</v>
      </c>
      <c r="N25" s="8">
        <v>1.42916419679905</v>
      </c>
      <c r="O25" s="8">
        <v>1.43297833357297</v>
      </c>
      <c r="P25" s="8">
        <v>1.42867714157738</v>
      </c>
      <c r="Q25" s="8">
        <v>1.42825610935515</v>
      </c>
      <c r="R25" s="6">
        <v>96.697377949504002</v>
      </c>
      <c r="S25" s="6">
        <v>96.398282840266504</v>
      </c>
      <c r="T25" s="6">
        <v>96.372572637792899</v>
      </c>
      <c r="U25" s="7">
        <v>2.6652334684556002E-3</v>
      </c>
      <c r="V25" s="7">
        <v>-4.3266471542715299E-4</v>
      </c>
      <c r="W25" s="7">
        <v>-6.9940838435227201E-4</v>
      </c>
      <c r="X25" s="8">
        <v>1.42812107414375</v>
      </c>
      <c r="Y25" s="8">
        <v>1.4302827749172899</v>
      </c>
      <c r="Z25" s="8">
        <v>1.42825819698408</v>
      </c>
      <c r="AA25" s="8">
        <v>1.4280466370585001</v>
      </c>
      <c r="AB25" s="6">
        <v>97.001205681780903</v>
      </c>
      <c r="AC25" s="6">
        <v>96.862078817010897</v>
      </c>
      <c r="AD25" s="6">
        <v>96.846908344622705</v>
      </c>
      <c r="AE25" s="7">
        <v>1.51252328208375E-3</v>
      </c>
      <c r="AF25" s="7">
        <v>7.7213971045873004E-5</v>
      </c>
      <c r="AG25" s="7">
        <v>-7.9417609569051501E-5</v>
      </c>
      <c r="AZ25" s="23"/>
      <c r="BB25" s="12">
        <f t="shared" si="6"/>
        <v>0</v>
      </c>
      <c r="BC25" s="12">
        <f t="shared" si="7"/>
        <v>1</v>
      </c>
      <c r="BD25" s="12">
        <f t="shared" si="8"/>
        <v>0</v>
      </c>
      <c r="BE25" s="12">
        <f t="shared" si="4"/>
        <v>1</v>
      </c>
      <c r="BF25" s="12">
        <f t="shared" si="9"/>
        <v>0</v>
      </c>
      <c r="BG25" s="23">
        <f t="shared" si="10"/>
        <v>0</v>
      </c>
      <c r="BH25" s="23">
        <f t="shared" si="11"/>
        <v>0</v>
      </c>
      <c r="BI25" s="23">
        <f t="shared" si="12"/>
        <v>0</v>
      </c>
      <c r="BJ25" s="18">
        <f t="shared" si="13"/>
        <v>0</v>
      </c>
      <c r="BL25" s="23"/>
      <c r="BN25" s="12">
        <f t="shared" si="14"/>
        <v>0</v>
      </c>
      <c r="BO25" s="12">
        <f t="shared" si="15"/>
        <v>1</v>
      </c>
      <c r="BP25" s="12">
        <f t="shared" si="16"/>
        <v>0</v>
      </c>
      <c r="BQ25" s="12">
        <f t="shared" si="5"/>
        <v>1</v>
      </c>
      <c r="BR25" s="12">
        <f t="shared" si="17"/>
        <v>0</v>
      </c>
      <c r="BS25" s="23">
        <f t="shared" si="18"/>
        <v>0</v>
      </c>
      <c r="BT25" s="23">
        <f t="shared" si="19"/>
        <v>0</v>
      </c>
      <c r="BU25" s="23">
        <f t="shared" si="20"/>
        <v>0</v>
      </c>
      <c r="BV25" s="18">
        <f t="shared" si="21"/>
        <v>0</v>
      </c>
      <c r="BX25" s="18">
        <f t="shared" si="22"/>
        <v>0</v>
      </c>
      <c r="BY25" s="18">
        <f t="shared" si="23"/>
        <v>0</v>
      </c>
      <c r="CL25" s="15"/>
      <c r="CM25" s="15"/>
      <c r="CN25" s="15"/>
      <c r="CO25" s="15"/>
      <c r="CP25" s="15"/>
      <c r="CQ25" s="15"/>
      <c r="CR25" s="15"/>
      <c r="CS25" s="15"/>
      <c r="CT25" s="15"/>
      <c r="CX25" s="15"/>
    </row>
    <row r="26" spans="1:102" x14ac:dyDescent="0.3">
      <c r="A26" s="1">
        <v>46059</v>
      </c>
      <c r="B26" s="6">
        <v>67.58</v>
      </c>
      <c r="C26" s="6">
        <v>96.69</v>
      </c>
      <c r="D26" s="7">
        <v>1.48082360837633E-3</v>
      </c>
      <c r="E26" s="7">
        <v>2.5889311824858902E-3</v>
      </c>
      <c r="F26" s="6">
        <v>0</v>
      </c>
      <c r="G26" s="6">
        <v>0.33960000000000001</v>
      </c>
      <c r="H26" s="6">
        <v>0</v>
      </c>
      <c r="I26" s="6">
        <v>0.41460000000000002</v>
      </c>
      <c r="J26" s="6">
        <v>0.33960000000000001</v>
      </c>
      <c r="K26" s="6">
        <v>0.41460000000000002</v>
      </c>
      <c r="L26" s="6">
        <v>67.919600000000003</v>
      </c>
      <c r="M26" s="6">
        <v>97.104599999999905</v>
      </c>
      <c r="N26" s="8">
        <v>1.43074874223142</v>
      </c>
      <c r="O26" s="8">
        <v>1.43297833357297</v>
      </c>
      <c r="P26" s="8">
        <v>1.4289286253693401</v>
      </c>
      <c r="Q26" s="8">
        <v>1.4284530798297801</v>
      </c>
      <c r="R26" s="6">
        <v>96.840675782861297</v>
      </c>
      <c r="S26" s="6">
        <v>96.550001227799896</v>
      </c>
      <c r="T26" s="6">
        <v>96.521547870221596</v>
      </c>
      <c r="U26" s="7">
        <v>1.5571258943459501E-3</v>
      </c>
      <c r="V26" s="7">
        <v>-1.4489629042058799E-3</v>
      </c>
      <c r="W26" s="7">
        <v>-1.74370708497426E-3</v>
      </c>
      <c r="X26" s="8">
        <v>1.4296992326221001</v>
      </c>
      <c r="Y26" s="8">
        <v>1.4302827749172899</v>
      </c>
      <c r="Z26" s="8">
        <v>1.4284047298151099</v>
      </c>
      <c r="AA26" s="8">
        <v>1.4281911320526699</v>
      </c>
      <c r="AB26" s="6">
        <v>97.144233959272597</v>
      </c>
      <c r="AC26" s="6">
        <v>97.006725435880497</v>
      </c>
      <c r="AD26" s="6">
        <v>96.992356370359104</v>
      </c>
      <c r="AE26" s="7">
        <v>4.0807410798607302E-4</v>
      </c>
      <c r="AF26" s="7">
        <v>-1.0084375261886101E-3</v>
      </c>
      <c r="AG26" s="7">
        <v>-1.15657292367491E-3</v>
      </c>
      <c r="AZ26" s="23"/>
      <c r="BB26" s="12">
        <f t="shared" si="6"/>
        <v>0</v>
      </c>
      <c r="BC26" s="12">
        <f t="shared" si="7"/>
        <v>0</v>
      </c>
      <c r="BD26" s="12">
        <f t="shared" si="8"/>
        <v>0</v>
      </c>
      <c r="BE26" s="12">
        <f t="shared" si="4"/>
        <v>1</v>
      </c>
      <c r="BF26" s="12">
        <f t="shared" si="9"/>
        <v>0</v>
      </c>
      <c r="BG26" s="23">
        <f t="shared" si="10"/>
        <v>0</v>
      </c>
      <c r="BH26" s="23">
        <f t="shared" si="11"/>
        <v>0</v>
      </c>
      <c r="BI26" s="23">
        <f t="shared" si="12"/>
        <v>0</v>
      </c>
      <c r="BJ26" s="18">
        <f t="shared" si="13"/>
        <v>0</v>
      </c>
      <c r="BL26" s="23"/>
      <c r="BN26" s="12">
        <f t="shared" si="14"/>
        <v>0</v>
      </c>
      <c r="BO26" s="12">
        <f t="shared" si="15"/>
        <v>1</v>
      </c>
      <c r="BP26" s="12">
        <f t="shared" si="16"/>
        <v>0</v>
      </c>
      <c r="BQ26" s="12">
        <f t="shared" si="5"/>
        <v>1</v>
      </c>
      <c r="BR26" s="12">
        <f t="shared" si="17"/>
        <v>0</v>
      </c>
      <c r="BS26" s="23">
        <f t="shared" si="18"/>
        <v>0</v>
      </c>
      <c r="BT26" s="23">
        <f t="shared" si="19"/>
        <v>0</v>
      </c>
      <c r="BU26" s="23">
        <f t="shared" si="20"/>
        <v>0</v>
      </c>
      <c r="BV26" s="18">
        <f t="shared" si="21"/>
        <v>0</v>
      </c>
      <c r="BX26" s="18">
        <f t="shared" si="22"/>
        <v>0</v>
      </c>
      <c r="BY26" s="18">
        <f t="shared" si="23"/>
        <v>0</v>
      </c>
      <c r="CL26" s="15"/>
      <c r="CM26" s="16"/>
      <c r="CN26" s="16"/>
      <c r="CO26" s="16"/>
      <c r="CP26" s="16"/>
      <c r="CQ26" s="16"/>
      <c r="CR26" s="16"/>
      <c r="CS26" s="16"/>
      <c r="CT26" s="16"/>
      <c r="CX26" s="15"/>
    </row>
    <row r="27" spans="1:102" x14ac:dyDescent="0.3">
      <c r="A27" s="1">
        <v>46062</v>
      </c>
      <c r="B27" s="6">
        <v>67.62</v>
      </c>
      <c r="C27" s="6">
        <v>96.72</v>
      </c>
      <c r="D27" s="7">
        <v>5.9171599359603502E-4</v>
      </c>
      <c r="E27" s="7">
        <v>3.1022181108114502E-4</v>
      </c>
      <c r="F27" s="6">
        <v>0</v>
      </c>
      <c r="G27" s="6">
        <v>0.33960000000000001</v>
      </c>
      <c r="H27" s="6">
        <v>0</v>
      </c>
      <c r="I27" s="6">
        <v>0.41460000000000002</v>
      </c>
      <c r="J27" s="6">
        <v>0.33960000000000001</v>
      </c>
      <c r="K27" s="6">
        <v>0.41460000000000002</v>
      </c>
      <c r="L27" s="6">
        <v>67.959599999999995</v>
      </c>
      <c r="M27" s="6">
        <v>97.134599999999907</v>
      </c>
      <c r="N27" s="8">
        <v>1.43034605146406</v>
      </c>
      <c r="O27" s="8">
        <v>1.43297833357297</v>
      </c>
      <c r="P27" s="8">
        <v>1.42909765577766</v>
      </c>
      <c r="Q27" s="8">
        <v>1.42851850638341</v>
      </c>
      <c r="R27" s="6">
        <v>96.897994916204198</v>
      </c>
      <c r="S27" s="6">
        <v>96.624153647475097</v>
      </c>
      <c r="T27" s="6">
        <v>96.591997258090103</v>
      </c>
      <c r="U27" s="7">
        <v>1.8386200768609399E-3</v>
      </c>
      <c r="V27" s="7">
        <v>-9.9145858375384406E-4</v>
      </c>
      <c r="W27" s="7">
        <v>-1.32431263897778E-3</v>
      </c>
      <c r="X27" s="8">
        <v>1.42929917186092</v>
      </c>
      <c r="Y27" s="8">
        <v>1.4302827749172899</v>
      </c>
      <c r="Z27" s="8">
        <v>1.4284690722631199</v>
      </c>
      <c r="AA27" s="8">
        <v>1.42820421462614</v>
      </c>
      <c r="AB27" s="6">
        <v>97.201445270269303</v>
      </c>
      <c r="AC27" s="6">
        <v>97.073814076342998</v>
      </c>
      <c r="AD27" s="6">
        <v>97.059298057846604</v>
      </c>
      <c r="AE27" s="7">
        <v>6.87934889408784E-4</v>
      </c>
      <c r="AF27" s="7">
        <v>-6.2598653030531196E-4</v>
      </c>
      <c r="AG27" s="7">
        <v>-7.7553359483149798E-4</v>
      </c>
      <c r="AZ27" s="23"/>
      <c r="BB27" s="12">
        <f t="shared" si="6"/>
        <v>0</v>
      </c>
      <c r="BC27" s="12">
        <f t="shared" si="7"/>
        <v>0</v>
      </c>
      <c r="BD27" s="12">
        <f t="shared" si="8"/>
        <v>0</v>
      </c>
      <c r="BE27" s="12">
        <f t="shared" si="4"/>
        <v>1</v>
      </c>
      <c r="BF27" s="12">
        <f t="shared" si="9"/>
        <v>0</v>
      </c>
      <c r="BG27" s="23">
        <f t="shared" si="10"/>
        <v>0</v>
      </c>
      <c r="BH27" s="23">
        <f t="shared" si="11"/>
        <v>0</v>
      </c>
      <c r="BI27" s="23">
        <f t="shared" si="12"/>
        <v>0</v>
      </c>
      <c r="BJ27" s="18">
        <f t="shared" si="13"/>
        <v>0</v>
      </c>
      <c r="BL27" s="23"/>
      <c r="BN27" s="12">
        <f t="shared" si="14"/>
        <v>0</v>
      </c>
      <c r="BO27" s="12">
        <f t="shared" si="15"/>
        <v>1</v>
      </c>
      <c r="BP27" s="12">
        <f t="shared" si="16"/>
        <v>0</v>
      </c>
      <c r="BQ27" s="12">
        <f t="shared" si="5"/>
        <v>1</v>
      </c>
      <c r="BR27" s="12">
        <f t="shared" si="17"/>
        <v>0</v>
      </c>
      <c r="BS27" s="23">
        <f t="shared" si="18"/>
        <v>0</v>
      </c>
      <c r="BT27" s="23">
        <f t="shared" si="19"/>
        <v>0</v>
      </c>
      <c r="BU27" s="23">
        <f t="shared" si="20"/>
        <v>0</v>
      </c>
      <c r="BV27" s="18">
        <f t="shared" si="21"/>
        <v>0</v>
      </c>
      <c r="BX27" s="18">
        <f t="shared" si="22"/>
        <v>0</v>
      </c>
      <c r="BY27" s="18">
        <f t="shared" si="23"/>
        <v>0</v>
      </c>
      <c r="CL27" s="15"/>
      <c r="CM27" s="16"/>
      <c r="CN27" s="16"/>
      <c r="CO27" s="16"/>
      <c r="CP27" s="16"/>
      <c r="CQ27" s="16"/>
      <c r="CR27" s="16"/>
      <c r="CS27" s="16"/>
      <c r="CT27" s="16"/>
      <c r="CX27" s="15"/>
    </row>
    <row r="28" spans="1:102" ht="15" thickBot="1" x14ac:dyDescent="0.35">
      <c r="A28" s="1">
        <v>46063</v>
      </c>
      <c r="B28" s="6">
        <v>67.83</v>
      </c>
      <c r="C28" s="6">
        <v>96.97</v>
      </c>
      <c r="D28" s="7">
        <v>3.1007776782481801E-3</v>
      </c>
      <c r="E28" s="7">
        <v>2.58144600991759E-3</v>
      </c>
      <c r="F28" s="6">
        <v>0</v>
      </c>
      <c r="G28" s="6">
        <v>0.33960000000000001</v>
      </c>
      <c r="H28" s="6">
        <v>0</v>
      </c>
      <c r="I28" s="6">
        <v>0.41460000000000002</v>
      </c>
      <c r="J28" s="6">
        <v>0.33960000000000001</v>
      </c>
      <c r="K28" s="6">
        <v>0.41460000000000002</v>
      </c>
      <c r="L28" s="6">
        <v>68.169600000000003</v>
      </c>
      <c r="M28" s="6">
        <v>97.384599999999907</v>
      </c>
      <c r="N28" s="8">
        <v>1.4296034203154899</v>
      </c>
      <c r="O28" s="8">
        <v>1.43297833357297</v>
      </c>
      <c r="P28" s="8">
        <v>1.42918820152932</v>
      </c>
      <c r="Q28" s="8">
        <v>1.4285637464005201</v>
      </c>
      <c r="R28" s="6">
        <v>97.198920366254498</v>
      </c>
      <c r="S28" s="6">
        <v>96.935693991399106</v>
      </c>
      <c r="T28" s="6">
        <v>96.896410287986896</v>
      </c>
      <c r="U28" s="7">
        <v>2.3579517451916502E-3</v>
      </c>
      <c r="V28" s="7">
        <v>-3.53842202904155E-4</v>
      </c>
      <c r="W28" s="7">
        <v>-7.59179637547408E-4</v>
      </c>
      <c r="X28" s="8">
        <v>1.42856346523963</v>
      </c>
      <c r="Y28" s="8">
        <v>1.4302827749172899</v>
      </c>
      <c r="Z28" s="8">
        <v>1.42845562250719</v>
      </c>
      <c r="AA28" s="8">
        <v>1.42819745688945</v>
      </c>
      <c r="AB28" s="6">
        <v>97.501804653001898</v>
      </c>
      <c r="AC28" s="6">
        <v>97.378165268548003</v>
      </c>
      <c r="AD28" s="6">
        <v>97.360110029378106</v>
      </c>
      <c r="AE28" s="7">
        <v>1.2027998293767E-3</v>
      </c>
      <c r="AF28" s="7">
        <v>-6.6077634967473306E-5</v>
      </c>
      <c r="AG28" s="7">
        <v>-2.5150845686376498E-4</v>
      </c>
      <c r="AZ28" s="23"/>
      <c r="BB28" s="12">
        <f t="shared" si="6"/>
        <v>0</v>
      </c>
      <c r="BC28" s="12">
        <f t="shared" si="7"/>
        <v>1</v>
      </c>
      <c r="BD28" s="12">
        <f t="shared" si="8"/>
        <v>0</v>
      </c>
      <c r="BE28" s="12">
        <f t="shared" si="4"/>
        <v>1</v>
      </c>
      <c r="BF28" s="12">
        <f t="shared" si="9"/>
        <v>0</v>
      </c>
      <c r="BG28" s="23">
        <f t="shared" si="10"/>
        <v>0</v>
      </c>
      <c r="BH28" s="23">
        <f t="shared" si="11"/>
        <v>0</v>
      </c>
      <c r="BI28" s="23">
        <f t="shared" si="12"/>
        <v>0</v>
      </c>
      <c r="BJ28" s="18">
        <f t="shared" si="13"/>
        <v>0</v>
      </c>
      <c r="BL28" s="23"/>
      <c r="BN28" s="12">
        <f t="shared" si="14"/>
        <v>0</v>
      </c>
      <c r="BO28" s="12">
        <f t="shared" si="15"/>
        <v>1</v>
      </c>
      <c r="BP28" s="12">
        <f t="shared" si="16"/>
        <v>0</v>
      </c>
      <c r="BQ28" s="12">
        <f t="shared" si="5"/>
        <v>1</v>
      </c>
      <c r="BR28" s="12">
        <f t="shared" si="17"/>
        <v>0</v>
      </c>
      <c r="BS28" s="23">
        <f t="shared" si="18"/>
        <v>0</v>
      </c>
      <c r="BT28" s="23">
        <f t="shared" si="19"/>
        <v>0</v>
      </c>
      <c r="BU28" s="23">
        <f t="shared" si="20"/>
        <v>0</v>
      </c>
      <c r="BV28" s="18">
        <f t="shared" si="21"/>
        <v>0</v>
      </c>
      <c r="BX28" s="18">
        <f t="shared" si="22"/>
        <v>0</v>
      </c>
      <c r="BY28" s="18">
        <f t="shared" si="23"/>
        <v>0</v>
      </c>
      <c r="CL28" s="15"/>
      <c r="CM28" s="16"/>
      <c r="CN28" s="16"/>
      <c r="CO28" s="16"/>
      <c r="CP28" s="16"/>
      <c r="CQ28" s="16"/>
      <c r="CR28" s="16"/>
      <c r="CS28" s="16"/>
      <c r="CT28" s="16"/>
      <c r="CX28" s="15"/>
    </row>
    <row r="29" spans="1:102" ht="15" thickBot="1" x14ac:dyDescent="0.35">
      <c r="A29" s="1">
        <v>46064</v>
      </c>
      <c r="B29" s="6">
        <v>67.83</v>
      </c>
      <c r="C29" s="6">
        <v>96.98</v>
      </c>
      <c r="D29" s="7">
        <v>0</v>
      </c>
      <c r="E29" s="7">
        <v>1.03119360751392E-4</v>
      </c>
      <c r="F29" s="6">
        <v>0</v>
      </c>
      <c r="G29" s="6">
        <v>0.33960000000000001</v>
      </c>
      <c r="H29" s="6">
        <v>0</v>
      </c>
      <c r="I29" s="6">
        <v>0.41460000000000002</v>
      </c>
      <c r="J29" s="6">
        <v>0.33960000000000001</v>
      </c>
      <c r="K29" s="6">
        <v>0.41460000000000002</v>
      </c>
      <c r="L29" s="6">
        <v>68.169600000000003</v>
      </c>
      <c r="M29" s="6">
        <v>97.394599999999997</v>
      </c>
      <c r="N29" s="8">
        <v>1.4297508477075</v>
      </c>
      <c r="O29" s="8">
        <v>1.43297833357297</v>
      </c>
      <c r="P29" s="8">
        <v>1.4293230321254</v>
      </c>
      <c r="Q29" s="8">
        <v>1.4286842114517699</v>
      </c>
      <c r="R29" s="6">
        <v>97.198920366254498</v>
      </c>
      <c r="S29" s="6">
        <v>96.941835709733894</v>
      </c>
      <c r="T29" s="6">
        <v>96.899478918347498</v>
      </c>
      <c r="U29" s="7">
        <v>2.2548323844402301E-3</v>
      </c>
      <c r="V29" s="7">
        <v>-3.9360488331912502E-4</v>
      </c>
      <c r="W29" s="7">
        <v>-8.3063031457784203E-4</v>
      </c>
      <c r="X29" s="8">
        <v>1.4287101581936801</v>
      </c>
      <c r="Y29" s="8">
        <v>1.4302827749172899</v>
      </c>
      <c r="Z29" s="8">
        <v>1.42848638415188</v>
      </c>
      <c r="AA29" s="8">
        <v>1.42826588746501</v>
      </c>
      <c r="AB29" s="6">
        <v>97.501804653001898</v>
      </c>
      <c r="AC29" s="6">
        <v>97.377248404066094</v>
      </c>
      <c r="AD29" s="6">
        <v>97.359649357171506</v>
      </c>
      <c r="AE29" s="7">
        <v>1.1001194609513601E-3</v>
      </c>
      <c r="AF29" s="7">
        <v>-1.7817355148522899E-4</v>
      </c>
      <c r="AG29" s="7">
        <v>-3.58920468426164E-4</v>
      </c>
      <c r="AZ29" s="23"/>
      <c r="BB29" s="12">
        <f t="shared" si="6"/>
        <v>0</v>
      </c>
      <c r="BC29" s="12">
        <f t="shared" si="7"/>
        <v>1</v>
      </c>
      <c r="BD29" s="12">
        <f t="shared" si="8"/>
        <v>0</v>
      </c>
      <c r="BE29" s="12">
        <f t="shared" si="4"/>
        <v>1</v>
      </c>
      <c r="BF29" s="12">
        <f t="shared" si="9"/>
        <v>0</v>
      </c>
      <c r="BG29" s="23">
        <f t="shared" si="10"/>
        <v>0</v>
      </c>
      <c r="BH29" s="23">
        <f t="shared" si="11"/>
        <v>0</v>
      </c>
      <c r="BI29" s="23">
        <f t="shared" si="12"/>
        <v>0</v>
      </c>
      <c r="BJ29" s="18">
        <f t="shared" si="13"/>
        <v>0</v>
      </c>
      <c r="BL29" s="23"/>
      <c r="BN29" s="12">
        <f t="shared" si="14"/>
        <v>0</v>
      </c>
      <c r="BO29" s="12">
        <f t="shared" si="15"/>
        <v>1</v>
      </c>
      <c r="BP29" s="12">
        <f t="shared" si="16"/>
        <v>0</v>
      </c>
      <c r="BQ29" s="12">
        <f t="shared" si="5"/>
        <v>1</v>
      </c>
      <c r="BR29" s="12">
        <f t="shared" si="17"/>
        <v>0</v>
      </c>
      <c r="BS29" s="23">
        <f t="shared" si="18"/>
        <v>0</v>
      </c>
      <c r="BT29" s="23">
        <f t="shared" si="19"/>
        <v>0</v>
      </c>
      <c r="BU29" s="23">
        <f t="shared" si="20"/>
        <v>0</v>
      </c>
      <c r="BV29" s="18">
        <f t="shared" si="21"/>
        <v>0</v>
      </c>
      <c r="BX29" s="18">
        <f t="shared" si="22"/>
        <v>0</v>
      </c>
      <c r="BY29" s="18">
        <f t="shared" si="23"/>
        <v>0</v>
      </c>
      <c r="CL29" s="15"/>
      <c r="CM29" s="16"/>
      <c r="CN29" s="16"/>
      <c r="CO29" s="16"/>
      <c r="CP29" s="16"/>
      <c r="CQ29" s="17"/>
      <c r="CR29" s="16"/>
      <c r="CS29" s="16"/>
      <c r="CT29" s="16"/>
      <c r="CX29" s="15"/>
    </row>
    <row r="30" spans="1:102" x14ac:dyDescent="0.3">
      <c r="A30" s="1">
        <v>46065</v>
      </c>
      <c r="B30" s="6">
        <v>68.05</v>
      </c>
      <c r="C30" s="6">
        <v>97.25</v>
      </c>
      <c r="D30" s="7">
        <v>3.2381541394869602E-3</v>
      </c>
      <c r="E30" s="7">
        <v>2.7802108213494099E-3</v>
      </c>
      <c r="F30" s="6">
        <v>0</v>
      </c>
      <c r="G30" s="6">
        <v>0.33960000000000001</v>
      </c>
      <c r="H30" s="6">
        <v>0</v>
      </c>
      <c r="I30" s="6">
        <v>0.41460000000000002</v>
      </c>
      <c r="J30" s="6">
        <v>0.33960000000000001</v>
      </c>
      <c r="K30" s="6">
        <v>0.41460000000000002</v>
      </c>
      <c r="L30" s="6">
        <v>68.389600000000002</v>
      </c>
      <c r="M30" s="6">
        <v>97.664599999999993</v>
      </c>
      <c r="N30" s="8">
        <v>1.4290962527553199</v>
      </c>
      <c r="O30" s="8">
        <v>1.43297833357297</v>
      </c>
      <c r="P30" s="8">
        <v>1.4295041766686101</v>
      </c>
      <c r="Q30" s="8">
        <v>1.42874009107235</v>
      </c>
      <c r="R30" s="6">
        <v>97.514175599640595</v>
      </c>
      <c r="S30" s="6">
        <v>97.2654323361335</v>
      </c>
      <c r="T30" s="6">
        <v>97.221960589293204</v>
      </c>
      <c r="U30" s="7">
        <v>2.7127757025777002E-3</v>
      </c>
      <c r="V30" s="7">
        <v>1.5867467152219601E-4</v>
      </c>
      <c r="W30" s="7">
        <v>-2.8836456233674801E-4</v>
      </c>
      <c r="X30" s="8">
        <v>1.4280621614982301</v>
      </c>
      <c r="Y30" s="8">
        <v>1.4302827749172899</v>
      </c>
      <c r="Z30" s="8">
        <v>1.4285641195693899</v>
      </c>
      <c r="AA30" s="8">
        <v>1.42827006252273</v>
      </c>
      <c r="AB30" s="6">
        <v>97.816466863483697</v>
      </c>
      <c r="AC30" s="6">
        <v>97.693612417593897</v>
      </c>
      <c r="AD30" s="6">
        <v>97.678532737377495</v>
      </c>
      <c r="AE30" s="7">
        <v>1.5537759893969299E-3</v>
      </c>
      <c r="AF30" s="7">
        <v>2.9701764208595798E-4</v>
      </c>
      <c r="AG30" s="7">
        <v>1.42648857996026E-4</v>
      </c>
      <c r="AZ30" s="23"/>
      <c r="BB30" s="12">
        <f t="shared" si="6"/>
        <v>0</v>
      </c>
      <c r="BC30" s="12">
        <f t="shared" si="7"/>
        <v>1</v>
      </c>
      <c r="BD30" s="12">
        <f t="shared" si="8"/>
        <v>0</v>
      </c>
      <c r="BE30" s="12">
        <f t="shared" si="4"/>
        <v>1</v>
      </c>
      <c r="BF30" s="12">
        <f t="shared" si="9"/>
        <v>0</v>
      </c>
      <c r="BG30" s="23">
        <f t="shared" si="10"/>
        <v>0</v>
      </c>
      <c r="BH30" s="23">
        <f t="shared" si="11"/>
        <v>0</v>
      </c>
      <c r="BI30" s="23">
        <f t="shared" si="12"/>
        <v>0</v>
      </c>
      <c r="BJ30" s="18">
        <f t="shared" si="13"/>
        <v>0</v>
      </c>
      <c r="BL30" s="23"/>
      <c r="BN30" s="12">
        <f t="shared" si="14"/>
        <v>0</v>
      </c>
      <c r="BO30" s="12">
        <f t="shared" si="15"/>
        <v>0</v>
      </c>
      <c r="BP30" s="12">
        <f t="shared" si="16"/>
        <v>0</v>
      </c>
      <c r="BQ30" s="12">
        <f t="shared" si="5"/>
        <v>1</v>
      </c>
      <c r="BR30" s="12">
        <f t="shared" si="17"/>
        <v>0</v>
      </c>
      <c r="BS30" s="23">
        <f t="shared" si="18"/>
        <v>0</v>
      </c>
      <c r="BT30" s="23">
        <f t="shared" si="19"/>
        <v>0</v>
      </c>
      <c r="BU30" s="23">
        <f t="shared" si="20"/>
        <v>0</v>
      </c>
      <c r="BV30" s="18">
        <f t="shared" si="21"/>
        <v>0</v>
      </c>
      <c r="BX30" s="18">
        <f t="shared" si="22"/>
        <v>0</v>
      </c>
      <c r="BY30" s="18">
        <f t="shared" si="23"/>
        <v>0</v>
      </c>
      <c r="CL30" s="15"/>
      <c r="CM30" s="16"/>
      <c r="CN30" s="16"/>
      <c r="CO30" s="16"/>
      <c r="CP30" s="16"/>
      <c r="CQ30" s="16"/>
      <c r="CR30" s="16"/>
      <c r="CS30" s="16"/>
      <c r="CT30" s="16"/>
      <c r="CX30" s="15"/>
    </row>
    <row r="31" spans="1:102" x14ac:dyDescent="0.3">
      <c r="A31" s="1">
        <v>46066</v>
      </c>
      <c r="B31" s="6">
        <v>68.150000000000006</v>
      </c>
      <c r="C31" s="6">
        <v>97.42</v>
      </c>
      <c r="D31" s="7">
        <v>1.4684290450666399E-3</v>
      </c>
      <c r="E31" s="7">
        <v>1.74654587984097E-3</v>
      </c>
      <c r="F31" s="6">
        <v>0</v>
      </c>
      <c r="G31" s="6">
        <v>0.33960000000000001</v>
      </c>
      <c r="H31" s="6">
        <v>0</v>
      </c>
      <c r="I31" s="6">
        <v>0.41460000000000002</v>
      </c>
      <c r="J31" s="6">
        <v>0.33960000000000001</v>
      </c>
      <c r="K31" s="6">
        <v>0.41460000000000002</v>
      </c>
      <c r="L31" s="6">
        <v>68.489599999999996</v>
      </c>
      <c r="M31" s="6">
        <v>97.834599999999995</v>
      </c>
      <c r="N31" s="8">
        <v>1.42949376375641</v>
      </c>
      <c r="O31" s="8">
        <v>1.43297833357297</v>
      </c>
      <c r="P31" s="8">
        <v>1.4297104256425399</v>
      </c>
      <c r="Q31" s="8">
        <v>1.4288073718527601</v>
      </c>
      <c r="R31" s="6">
        <v>97.657473432997904</v>
      </c>
      <c r="S31" s="6">
        <v>97.420709639966105</v>
      </c>
      <c r="T31" s="6">
        <v>97.368637206580601</v>
      </c>
      <c r="U31" s="7">
        <v>2.4346588678033302E-3</v>
      </c>
      <c r="V31" s="7">
        <v>7.28430898680032E-6</v>
      </c>
      <c r="W31" s="7">
        <v>-5.2736951545336898E-4</v>
      </c>
      <c r="X31" s="8">
        <v>1.4284592113255099</v>
      </c>
      <c r="Y31" s="8">
        <v>1.4302827749172899</v>
      </c>
      <c r="Z31" s="8">
        <v>1.4286669133002201</v>
      </c>
      <c r="AA31" s="8">
        <v>1.4282856156816</v>
      </c>
      <c r="AB31" s="6">
        <v>97.959495140975406</v>
      </c>
      <c r="AC31" s="6">
        <v>97.841785123659804</v>
      </c>
      <c r="AD31" s="6">
        <v>97.821645274157305</v>
      </c>
      <c r="AE31" s="7">
        <v>1.2757806391012899E-3</v>
      </c>
      <c r="AF31" s="7">
        <v>7.3438843000948694E-5</v>
      </c>
      <c r="AG31" s="7">
        <v>-1.3242333096392001E-4</v>
      </c>
      <c r="AZ31" s="23"/>
      <c r="BB31" s="12">
        <f t="shared" si="6"/>
        <v>0</v>
      </c>
      <c r="BC31" s="12">
        <f t="shared" si="7"/>
        <v>1</v>
      </c>
      <c r="BD31" s="12">
        <f t="shared" si="8"/>
        <v>0</v>
      </c>
      <c r="BE31" s="12">
        <f t="shared" si="4"/>
        <v>1</v>
      </c>
      <c r="BF31" s="12">
        <f t="shared" si="9"/>
        <v>0</v>
      </c>
      <c r="BG31" s="23">
        <f t="shared" si="10"/>
        <v>0</v>
      </c>
      <c r="BH31" s="23">
        <f t="shared" si="11"/>
        <v>0</v>
      </c>
      <c r="BI31" s="23">
        <f t="shared" si="12"/>
        <v>0</v>
      </c>
      <c r="BJ31" s="18">
        <f t="shared" si="13"/>
        <v>0</v>
      </c>
      <c r="BL31" s="23"/>
      <c r="BN31" s="12">
        <f t="shared" si="14"/>
        <v>0</v>
      </c>
      <c r="BO31" s="12">
        <f t="shared" si="15"/>
        <v>1</v>
      </c>
      <c r="BP31" s="12">
        <f t="shared" si="16"/>
        <v>0</v>
      </c>
      <c r="BQ31" s="12">
        <f t="shared" si="5"/>
        <v>1</v>
      </c>
      <c r="BR31" s="12">
        <f t="shared" si="17"/>
        <v>0</v>
      </c>
      <c r="BS31" s="23">
        <f t="shared" si="18"/>
        <v>0</v>
      </c>
      <c r="BT31" s="23">
        <f t="shared" si="19"/>
        <v>0</v>
      </c>
      <c r="BU31" s="23">
        <f t="shared" si="20"/>
        <v>0</v>
      </c>
      <c r="BV31" s="18">
        <f t="shared" si="21"/>
        <v>0</v>
      </c>
      <c r="BX31" s="18">
        <f t="shared" si="22"/>
        <v>0</v>
      </c>
      <c r="BY31" s="18">
        <f t="shared" si="23"/>
        <v>0</v>
      </c>
      <c r="CL31" s="15"/>
      <c r="CM31" s="16"/>
      <c r="CN31" s="16"/>
      <c r="CO31" s="16"/>
      <c r="CP31" s="16"/>
      <c r="CQ31" s="16"/>
      <c r="CR31" s="16"/>
      <c r="CS31" s="16"/>
      <c r="CT31" s="16"/>
      <c r="CX31" s="15"/>
    </row>
    <row r="32" spans="1:102" x14ac:dyDescent="0.3">
      <c r="A32" s="1">
        <v>46070</v>
      </c>
      <c r="B32" s="6">
        <v>68.31</v>
      </c>
      <c r="C32" s="6">
        <v>97.62</v>
      </c>
      <c r="D32" s="7">
        <v>2.3450106012162701E-3</v>
      </c>
      <c r="E32" s="7">
        <v>2.05086208060492E-3</v>
      </c>
      <c r="F32" s="6">
        <v>0</v>
      </c>
      <c r="G32" s="6">
        <v>0.33960000000000001</v>
      </c>
      <c r="H32" s="6">
        <v>0</v>
      </c>
      <c r="I32" s="6">
        <v>0.41460000000000002</v>
      </c>
      <c r="J32" s="6">
        <v>0.33960000000000001</v>
      </c>
      <c r="K32" s="6">
        <v>0.41460000000000002</v>
      </c>
      <c r="L32" s="6">
        <v>68.649600000000007</v>
      </c>
      <c r="M32" s="6">
        <v>98.034599999999998</v>
      </c>
      <c r="N32" s="8">
        <v>1.42907334211682</v>
      </c>
      <c r="O32" s="8">
        <v>1.43297833357297</v>
      </c>
      <c r="P32" s="8">
        <v>1.4297436329408599</v>
      </c>
      <c r="Q32" s="8">
        <v>1.4288992232042601</v>
      </c>
      <c r="R32" s="6">
        <v>97.886749966369507</v>
      </c>
      <c r="S32" s="6">
        <v>97.663519175641994</v>
      </c>
      <c r="T32" s="6">
        <v>97.601831571262295</v>
      </c>
      <c r="U32" s="7">
        <v>2.72880738841466E-3</v>
      </c>
      <c r="V32" s="7">
        <v>4.45702500100345E-4</v>
      </c>
      <c r="W32" s="7">
        <v>-1.8613111703653901E-4</v>
      </c>
      <c r="X32" s="8">
        <v>1.42804328066004</v>
      </c>
      <c r="Y32" s="8">
        <v>1.4302827749172899</v>
      </c>
      <c r="Z32" s="8">
        <v>1.42870150740358</v>
      </c>
      <c r="AA32" s="8">
        <v>1.4283259639602699</v>
      </c>
      <c r="AB32" s="6">
        <v>98.188340384962203</v>
      </c>
      <c r="AC32" s="6">
        <v>98.077412131295304</v>
      </c>
      <c r="AD32" s="6">
        <v>98.051236202295996</v>
      </c>
      <c r="AE32" s="7">
        <v>1.5669973767544201E-3</v>
      </c>
      <c r="AF32" s="7">
        <v>4.36608971681049E-4</v>
      </c>
      <c r="AG32" s="7">
        <v>1.6968285581642499E-4</v>
      </c>
      <c r="AZ32" s="23"/>
      <c r="BB32" s="12">
        <f t="shared" si="6"/>
        <v>0</v>
      </c>
      <c r="BC32" s="12">
        <f t="shared" si="7"/>
        <v>1</v>
      </c>
      <c r="BD32" s="12">
        <f t="shared" si="8"/>
        <v>0</v>
      </c>
      <c r="BE32" s="12">
        <f t="shared" si="4"/>
        <v>1</v>
      </c>
      <c r="BF32" s="12">
        <f t="shared" si="9"/>
        <v>0</v>
      </c>
      <c r="BG32" s="23">
        <f t="shared" si="10"/>
        <v>0</v>
      </c>
      <c r="BH32" s="23">
        <f t="shared" si="11"/>
        <v>0</v>
      </c>
      <c r="BI32" s="23">
        <f t="shared" si="12"/>
        <v>0</v>
      </c>
      <c r="BJ32" s="18">
        <f t="shared" si="13"/>
        <v>0</v>
      </c>
      <c r="BL32" s="23"/>
      <c r="BN32" s="12">
        <f t="shared" si="14"/>
        <v>0</v>
      </c>
      <c r="BO32" s="12">
        <f t="shared" si="15"/>
        <v>0</v>
      </c>
      <c r="BP32" s="12">
        <f t="shared" si="16"/>
        <v>0</v>
      </c>
      <c r="BQ32" s="12">
        <f t="shared" si="5"/>
        <v>1</v>
      </c>
      <c r="BR32" s="12">
        <f t="shared" si="17"/>
        <v>0</v>
      </c>
      <c r="BS32" s="23">
        <f t="shared" si="18"/>
        <v>0</v>
      </c>
      <c r="BT32" s="23">
        <f t="shared" si="19"/>
        <v>0</v>
      </c>
      <c r="BU32" s="23">
        <f t="shared" si="20"/>
        <v>0</v>
      </c>
      <c r="BV32" s="18">
        <f t="shared" si="21"/>
        <v>0</v>
      </c>
      <c r="BX32" s="18">
        <f t="shared" si="22"/>
        <v>0</v>
      </c>
      <c r="BY32" s="18">
        <f t="shared" si="23"/>
        <v>0</v>
      </c>
      <c r="CL32" s="15"/>
      <c r="CM32" s="16"/>
      <c r="CN32" s="16"/>
      <c r="CO32" s="16"/>
      <c r="CP32" s="16"/>
      <c r="CQ32" s="16"/>
      <c r="CR32" s="16"/>
      <c r="CS32" s="16"/>
      <c r="CT32" s="16"/>
      <c r="CX32" s="15"/>
    </row>
    <row r="33" spans="1:102" x14ac:dyDescent="0.3">
      <c r="A33" s="1">
        <v>46071</v>
      </c>
      <c r="B33" s="6">
        <v>68.34</v>
      </c>
      <c r="C33" s="6">
        <v>97.66</v>
      </c>
      <c r="D33" s="7">
        <v>4.3907794338785298E-4</v>
      </c>
      <c r="E33" s="7">
        <v>4.0966817451276602E-4</v>
      </c>
      <c r="F33" s="6">
        <v>0</v>
      </c>
      <c r="G33" s="6">
        <v>0.33960000000000001</v>
      </c>
      <c r="H33" s="6">
        <v>0</v>
      </c>
      <c r="I33" s="6">
        <v>0.41460000000000002</v>
      </c>
      <c r="J33" s="6">
        <v>0.33960000000000001</v>
      </c>
      <c r="K33" s="6">
        <v>0.41460000000000002</v>
      </c>
      <c r="L33" s="6">
        <v>68.679599999999994</v>
      </c>
      <c r="M33" s="6">
        <v>98.074599999999904</v>
      </c>
      <c r="N33" s="8">
        <v>1.4290313140181401</v>
      </c>
      <c r="O33" s="8">
        <v>1.43297833357297</v>
      </c>
      <c r="P33" s="8">
        <v>1.4297216751631301</v>
      </c>
      <c r="Q33" s="8">
        <v>1.4290169588008499</v>
      </c>
      <c r="R33" s="6">
        <v>97.929739316376796</v>
      </c>
      <c r="S33" s="6">
        <v>97.708679875178603</v>
      </c>
      <c r="T33" s="6">
        <v>97.650972913779498</v>
      </c>
      <c r="U33" s="7">
        <v>2.7582171572900602E-3</v>
      </c>
      <c r="V33" s="7">
        <v>4.9833858955523999E-4</v>
      </c>
      <c r="W33" s="7">
        <v>-9.2438085707244699E-5</v>
      </c>
      <c r="X33" s="8">
        <v>1.4280019103198001</v>
      </c>
      <c r="Y33" s="8">
        <v>1.4302827749172899</v>
      </c>
      <c r="Z33" s="8">
        <v>1.4286812735883301</v>
      </c>
      <c r="AA33" s="8">
        <v>1.42839222937193</v>
      </c>
      <c r="AB33" s="6">
        <v>98.231248868209704</v>
      </c>
      <c r="AC33" s="6">
        <v>98.1226480478756</v>
      </c>
      <c r="AD33" s="6">
        <v>98.096855874405705</v>
      </c>
      <c r="AE33" s="7">
        <v>1.5959677448546801E-3</v>
      </c>
      <c r="AF33" s="7">
        <v>4.8979330050992302E-4</v>
      </c>
      <c r="AG33" s="7">
        <v>2.2690227181201299E-4</v>
      </c>
      <c r="AZ33" s="23"/>
      <c r="BB33" s="12">
        <f t="shared" si="6"/>
        <v>0</v>
      </c>
      <c r="BC33" s="12">
        <f t="shared" si="7"/>
        <v>1</v>
      </c>
      <c r="BD33" s="12">
        <f t="shared" si="8"/>
        <v>0</v>
      </c>
      <c r="BE33" s="12">
        <f t="shared" si="4"/>
        <v>1</v>
      </c>
      <c r="BF33" s="12">
        <f t="shared" si="9"/>
        <v>0</v>
      </c>
      <c r="BG33" s="23">
        <f t="shared" si="10"/>
        <v>0</v>
      </c>
      <c r="BH33" s="23">
        <f t="shared" si="11"/>
        <v>0</v>
      </c>
      <c r="BI33" s="23">
        <f t="shared" si="12"/>
        <v>0</v>
      </c>
      <c r="BJ33" s="18">
        <f t="shared" si="13"/>
        <v>0</v>
      </c>
      <c r="BL33" s="23"/>
      <c r="BN33" s="12">
        <f t="shared" si="14"/>
        <v>0</v>
      </c>
      <c r="BO33" s="12">
        <f t="shared" si="15"/>
        <v>0</v>
      </c>
      <c r="BP33" s="12">
        <f t="shared" si="16"/>
        <v>0</v>
      </c>
      <c r="BQ33" s="12">
        <f t="shared" si="5"/>
        <v>1</v>
      </c>
      <c r="BR33" s="12">
        <f t="shared" si="17"/>
        <v>0</v>
      </c>
      <c r="BS33" s="23">
        <f t="shared" si="18"/>
        <v>0</v>
      </c>
      <c r="BT33" s="23">
        <f t="shared" si="19"/>
        <v>0</v>
      </c>
      <c r="BU33" s="23">
        <f t="shared" si="20"/>
        <v>0</v>
      </c>
      <c r="BV33" s="18">
        <f t="shared" si="21"/>
        <v>0</v>
      </c>
      <c r="BX33" s="18">
        <f t="shared" si="22"/>
        <v>0</v>
      </c>
      <c r="BY33" s="18">
        <f t="shared" si="23"/>
        <v>0</v>
      </c>
      <c r="CL33" s="15"/>
      <c r="CM33" s="16"/>
      <c r="CN33" s="16"/>
      <c r="CO33" s="16"/>
      <c r="CP33" s="16"/>
      <c r="CQ33" s="16"/>
      <c r="CR33" s="16"/>
      <c r="CS33" s="16"/>
      <c r="CT33" s="16"/>
      <c r="CX33" s="15"/>
    </row>
    <row r="34" spans="1:102" x14ac:dyDescent="0.3">
      <c r="A34" s="1">
        <v>46072</v>
      </c>
      <c r="B34" s="6">
        <v>68.260000000000005</v>
      </c>
      <c r="C34" s="6">
        <v>97.55</v>
      </c>
      <c r="D34" s="7">
        <v>-1.1713032085848101E-3</v>
      </c>
      <c r="E34" s="7">
        <v>-1.1269915643939399E-3</v>
      </c>
      <c r="F34" s="6">
        <v>0</v>
      </c>
      <c r="G34" s="6">
        <v>0.33960000000000001</v>
      </c>
      <c r="H34" s="6">
        <v>0</v>
      </c>
      <c r="I34" s="6">
        <v>0.41460000000000002</v>
      </c>
      <c r="J34" s="6">
        <v>0.33960000000000001</v>
      </c>
      <c r="K34" s="6">
        <v>0.41460000000000002</v>
      </c>
      <c r="L34" s="6">
        <v>68.599599999999995</v>
      </c>
      <c r="M34" s="6">
        <v>97.964599999999905</v>
      </c>
      <c r="N34" s="8">
        <v>1.4290946381482501</v>
      </c>
      <c r="O34" s="8">
        <v>1.43297833357297</v>
      </c>
      <c r="P34" s="8">
        <v>1.4295402569312501</v>
      </c>
      <c r="Q34" s="8">
        <v>1.42904311927969</v>
      </c>
      <c r="R34" s="6">
        <v>97.815101049690895</v>
      </c>
      <c r="S34" s="6">
        <v>97.5928015466353</v>
      </c>
      <c r="T34" s="6">
        <v>97.544697607746102</v>
      </c>
      <c r="U34" s="7">
        <v>2.7139055130991699E-3</v>
      </c>
      <c r="V34" s="7">
        <v>4.3866898478915899E-4</v>
      </c>
      <c r="W34" s="7">
        <v>-5.4357112932387103E-5</v>
      </c>
      <c r="X34" s="8">
        <v>1.4280637204881601</v>
      </c>
      <c r="Y34" s="8">
        <v>1.4302827749172899</v>
      </c>
      <c r="Z34" s="8">
        <v>1.4285023386351801</v>
      </c>
      <c r="AA34" s="8">
        <v>1.4283668439677699</v>
      </c>
      <c r="AB34" s="6">
        <v>98.116826246216306</v>
      </c>
      <c r="AC34" s="6">
        <v>98.006963895650401</v>
      </c>
      <c r="AD34" s="6">
        <v>97.987135578023199</v>
      </c>
      <c r="AE34" s="7">
        <v>1.5526843078737999E-3</v>
      </c>
      <c r="AF34" s="7">
        <v>4.3234738212252099E-4</v>
      </c>
      <c r="AG34" s="7">
        <v>2.3001151846013099E-4</v>
      </c>
      <c r="AZ34" s="23"/>
      <c r="BB34" s="12">
        <f t="shared" si="6"/>
        <v>0</v>
      </c>
      <c r="BC34" s="12">
        <f t="shared" si="7"/>
        <v>1</v>
      </c>
      <c r="BD34" s="12">
        <f t="shared" si="8"/>
        <v>0</v>
      </c>
      <c r="BE34" s="12">
        <f t="shared" si="4"/>
        <v>1</v>
      </c>
      <c r="BF34" s="12">
        <f t="shared" si="9"/>
        <v>0</v>
      </c>
      <c r="BG34" s="23">
        <f t="shared" si="10"/>
        <v>0</v>
      </c>
      <c r="BH34" s="23">
        <f t="shared" si="11"/>
        <v>0</v>
      </c>
      <c r="BI34" s="23">
        <f t="shared" si="12"/>
        <v>0</v>
      </c>
      <c r="BJ34" s="18">
        <f t="shared" si="13"/>
        <v>0</v>
      </c>
      <c r="BL34" s="23"/>
      <c r="BN34" s="12">
        <f t="shared" si="14"/>
        <v>0</v>
      </c>
      <c r="BO34" s="12">
        <f t="shared" si="15"/>
        <v>0</v>
      </c>
      <c r="BP34" s="12">
        <f t="shared" si="16"/>
        <v>0</v>
      </c>
      <c r="BQ34" s="12">
        <f t="shared" si="5"/>
        <v>1</v>
      </c>
      <c r="BR34" s="12">
        <f t="shared" si="17"/>
        <v>0</v>
      </c>
      <c r="BS34" s="23">
        <f t="shared" si="18"/>
        <v>0</v>
      </c>
      <c r="BT34" s="23">
        <f t="shared" si="19"/>
        <v>0</v>
      </c>
      <c r="BU34" s="23">
        <f t="shared" si="20"/>
        <v>0</v>
      </c>
      <c r="BV34" s="18">
        <f t="shared" si="21"/>
        <v>0</v>
      </c>
      <c r="BX34" s="18">
        <f t="shared" si="22"/>
        <v>0</v>
      </c>
      <c r="BY34" s="18">
        <f t="shared" si="23"/>
        <v>0</v>
      </c>
    </row>
    <row r="35" spans="1:102" x14ac:dyDescent="0.3">
      <c r="A35" s="1">
        <v>46073</v>
      </c>
      <c r="B35" s="6">
        <v>68.3</v>
      </c>
      <c r="C35" s="6">
        <v>97.65</v>
      </c>
      <c r="D35" s="7">
        <v>5.8582309818329804E-4</v>
      </c>
      <c r="E35" s="7">
        <v>1.0245902535677199E-3</v>
      </c>
      <c r="F35" s="6">
        <v>0</v>
      </c>
      <c r="G35" s="6">
        <v>0.33960000000000001</v>
      </c>
      <c r="H35" s="6">
        <v>0</v>
      </c>
      <c r="I35" s="6">
        <v>0.41460000000000002</v>
      </c>
      <c r="J35" s="6">
        <v>0.33960000000000001</v>
      </c>
      <c r="K35" s="6">
        <v>0.41460000000000002</v>
      </c>
      <c r="L35" s="6">
        <v>68.639600000000002</v>
      </c>
      <c r="M35" s="6">
        <v>98.064599999999999</v>
      </c>
      <c r="N35" s="8">
        <v>1.42972181551976</v>
      </c>
      <c r="O35" s="8">
        <v>1.43297833357297</v>
      </c>
      <c r="P35" s="8">
        <v>1.4295960188033201</v>
      </c>
      <c r="Q35" s="8">
        <v>1.4291365801903499</v>
      </c>
      <c r="R35" s="6">
        <v>97.872420183033796</v>
      </c>
      <c r="S35" s="6">
        <v>97.637599548404395</v>
      </c>
      <c r="T35" s="6">
        <v>97.603645046802995</v>
      </c>
      <c r="U35" s="7">
        <v>2.2751383577146898E-3</v>
      </c>
      <c r="V35" s="7">
        <v>-1.2699681537273601E-4</v>
      </c>
      <c r="W35" s="7">
        <v>-4.7481781000079001E-4</v>
      </c>
      <c r="X35" s="8">
        <v>1.42868839562002</v>
      </c>
      <c r="Y35" s="8">
        <v>1.4302827749172899</v>
      </c>
      <c r="Z35" s="8">
        <v>1.42855907078281</v>
      </c>
      <c r="AA35" s="8">
        <v>1.4284086338834501</v>
      </c>
      <c r="AB35" s="6">
        <v>98.174037557212998</v>
      </c>
      <c r="AC35" s="6">
        <v>98.051829122983804</v>
      </c>
      <c r="AD35" s="6">
        <v>98.042528823210503</v>
      </c>
      <c r="AE35" s="7">
        <v>1.1153518993046001E-3</v>
      </c>
      <c r="AF35" s="7">
        <v>-1.3023770717544999E-4</v>
      </c>
      <c r="AG35" s="7">
        <v>-2.2509306025864399E-4</v>
      </c>
      <c r="AZ35" s="23"/>
      <c r="BB35" s="12">
        <f t="shared" si="6"/>
        <v>0</v>
      </c>
      <c r="BC35" s="12">
        <f t="shared" si="7"/>
        <v>1</v>
      </c>
      <c r="BD35" s="12">
        <f t="shared" si="8"/>
        <v>0</v>
      </c>
      <c r="BE35" s="12">
        <f t="shared" si="4"/>
        <v>1</v>
      </c>
      <c r="BF35" s="12">
        <f t="shared" si="9"/>
        <v>0</v>
      </c>
      <c r="BG35" s="23">
        <f t="shared" si="10"/>
        <v>0</v>
      </c>
      <c r="BH35" s="23">
        <f t="shared" si="11"/>
        <v>0</v>
      </c>
      <c r="BI35" s="23">
        <f t="shared" si="12"/>
        <v>0</v>
      </c>
      <c r="BJ35" s="18">
        <f t="shared" si="13"/>
        <v>0</v>
      </c>
      <c r="BL35" s="23"/>
      <c r="BN35" s="12">
        <f t="shared" si="14"/>
        <v>0</v>
      </c>
      <c r="BO35" s="12">
        <f t="shared" si="15"/>
        <v>1</v>
      </c>
      <c r="BP35" s="12">
        <f t="shared" si="16"/>
        <v>0</v>
      </c>
      <c r="BQ35" s="12">
        <f t="shared" si="5"/>
        <v>1</v>
      </c>
      <c r="BR35" s="12">
        <f t="shared" si="17"/>
        <v>0</v>
      </c>
      <c r="BS35" s="23">
        <f t="shared" si="18"/>
        <v>0</v>
      </c>
      <c r="BT35" s="23">
        <f t="shared" si="19"/>
        <v>0</v>
      </c>
      <c r="BU35" s="23">
        <f t="shared" si="20"/>
        <v>0</v>
      </c>
      <c r="BV35" s="18">
        <f t="shared" si="21"/>
        <v>0</v>
      </c>
      <c r="BX35" s="18">
        <f t="shared" si="22"/>
        <v>0</v>
      </c>
      <c r="BY35" s="18">
        <f t="shared" si="23"/>
        <v>0</v>
      </c>
    </row>
    <row r="36" spans="1:102" x14ac:dyDescent="0.3">
      <c r="A36" s="1">
        <v>46076</v>
      </c>
      <c r="B36" s="6">
        <v>68.37</v>
      </c>
      <c r="C36" s="6">
        <v>97.71</v>
      </c>
      <c r="D36" s="7">
        <v>1.02436534895836E-3</v>
      </c>
      <c r="E36" s="7">
        <v>6.1425063356366398E-4</v>
      </c>
      <c r="F36" s="6">
        <v>0</v>
      </c>
      <c r="G36" s="6">
        <v>0.33960000000000001</v>
      </c>
      <c r="H36" s="6">
        <v>0</v>
      </c>
      <c r="I36" s="6">
        <v>0.41460000000000002</v>
      </c>
      <c r="J36" s="6">
        <v>0.33960000000000001</v>
      </c>
      <c r="K36" s="6">
        <v>0.41460000000000002</v>
      </c>
      <c r="L36" s="6">
        <v>68.709599999999995</v>
      </c>
      <c r="M36" s="6">
        <v>98.124599999999901</v>
      </c>
      <c r="N36" s="8">
        <v>1.42913558578323</v>
      </c>
      <c r="O36" s="8">
        <v>1.43297833357297</v>
      </c>
      <c r="P36" s="8">
        <v>1.4294347031585</v>
      </c>
      <c r="Q36" s="8">
        <v>1.4291816642639199</v>
      </c>
      <c r="R36" s="6">
        <v>97.972728666383901</v>
      </c>
      <c r="S36" s="6">
        <v>97.741479805583097</v>
      </c>
      <c r="T36" s="6">
        <v>97.710067987614593</v>
      </c>
      <c r="U36" s="7">
        <v>2.68525307310921E-3</v>
      </c>
      <c r="V36" s="7">
        <v>3.2212399605997198E-4</v>
      </c>
      <c r="W36" s="7">
        <v>6.9580995827045295E-7</v>
      </c>
      <c r="X36" s="8">
        <v>1.4281061161759001</v>
      </c>
      <c r="Y36" s="8">
        <v>1.4302827749172899</v>
      </c>
      <c r="Z36" s="8">
        <v>1.4283997591381901</v>
      </c>
      <c r="AA36" s="8">
        <v>1.42840224447665</v>
      </c>
      <c r="AB36" s="6">
        <v>98.274157351457205</v>
      </c>
      <c r="AC36" s="6">
        <v>98.155722329858804</v>
      </c>
      <c r="AD36" s="6">
        <v>98.145385870678396</v>
      </c>
      <c r="AE36" s="7">
        <v>1.5229972163023401E-3</v>
      </c>
      <c r="AF36" s="7">
        <v>3.17121245270829E-4</v>
      </c>
      <c r="AG36" s="7">
        <v>2.1180895962201099E-4</v>
      </c>
      <c r="AZ36" s="23"/>
      <c r="BB36" s="12">
        <f t="shared" si="6"/>
        <v>0</v>
      </c>
      <c r="BC36" s="12">
        <f t="shared" si="7"/>
        <v>1</v>
      </c>
      <c r="BD36" s="12">
        <f t="shared" si="8"/>
        <v>0</v>
      </c>
      <c r="BE36" s="12">
        <f t="shared" si="4"/>
        <v>1</v>
      </c>
      <c r="BF36" s="12">
        <f t="shared" si="9"/>
        <v>0</v>
      </c>
      <c r="BG36" s="23">
        <f t="shared" si="10"/>
        <v>0</v>
      </c>
      <c r="BH36" s="23">
        <f t="shared" si="11"/>
        <v>0</v>
      </c>
      <c r="BI36" s="23">
        <f t="shared" si="12"/>
        <v>0</v>
      </c>
      <c r="BJ36" s="18">
        <f t="shared" si="13"/>
        <v>0</v>
      </c>
      <c r="BL36" s="23"/>
      <c r="BN36" s="12">
        <f t="shared" si="14"/>
        <v>0</v>
      </c>
      <c r="BO36" s="12">
        <f t="shared" si="15"/>
        <v>0</v>
      </c>
      <c r="BP36" s="12">
        <f t="shared" si="16"/>
        <v>0</v>
      </c>
      <c r="BQ36" s="12">
        <f t="shared" si="5"/>
        <v>1</v>
      </c>
      <c r="BR36" s="12">
        <f t="shared" si="17"/>
        <v>0</v>
      </c>
      <c r="BS36" s="23">
        <f t="shared" si="18"/>
        <v>0</v>
      </c>
      <c r="BT36" s="23">
        <f t="shared" si="19"/>
        <v>0</v>
      </c>
      <c r="BU36" s="23">
        <f t="shared" si="20"/>
        <v>0</v>
      </c>
      <c r="BV36" s="18">
        <f t="shared" si="21"/>
        <v>0</v>
      </c>
      <c r="BX36" s="18">
        <f t="shared" si="22"/>
        <v>0</v>
      </c>
      <c r="BY36" s="18">
        <f t="shared" si="23"/>
        <v>0</v>
      </c>
    </row>
    <row r="37" spans="1:102" x14ac:dyDescent="0.3">
      <c r="A37" s="1">
        <v>46077</v>
      </c>
      <c r="B37" s="6">
        <v>68.28</v>
      </c>
      <c r="C37" s="6">
        <v>97.65</v>
      </c>
      <c r="D37" s="7">
        <v>-1.3172339994627501E-3</v>
      </c>
      <c r="E37" s="7">
        <v>-6.1425063356375495E-4</v>
      </c>
      <c r="F37" s="6">
        <v>0</v>
      </c>
      <c r="G37" s="6">
        <v>0.33960000000000001</v>
      </c>
      <c r="H37" s="6">
        <v>0</v>
      </c>
      <c r="I37" s="6">
        <v>0.41460000000000002</v>
      </c>
      <c r="J37" s="6">
        <v>0.33960000000000001</v>
      </c>
      <c r="K37" s="6">
        <v>0.41460000000000002</v>
      </c>
      <c r="L37" s="6">
        <v>68.619600000000005</v>
      </c>
      <c r="M37" s="6">
        <v>98.064599999999999</v>
      </c>
      <c r="N37" s="8">
        <v>1.43014059753954</v>
      </c>
      <c r="O37" s="8">
        <v>1.43297833357297</v>
      </c>
      <c r="P37" s="8">
        <v>1.42941415776605</v>
      </c>
      <c r="Q37" s="8">
        <v>1.42925590677185</v>
      </c>
      <c r="R37" s="6">
        <v>97.843760616362403</v>
      </c>
      <c r="S37" s="6">
        <v>97.601801531662602</v>
      </c>
      <c r="T37" s="6">
        <v>97.584524035940703</v>
      </c>
      <c r="U37" s="7">
        <v>1.9822697072099998E-3</v>
      </c>
      <c r="V37" s="7">
        <v>-4.9370575777844697E-4</v>
      </c>
      <c r="W37" s="7">
        <v>-6.7074168195761005E-4</v>
      </c>
      <c r="X37" s="8">
        <v>1.4291048038752701</v>
      </c>
      <c r="Y37" s="8">
        <v>1.4302827749172899</v>
      </c>
      <c r="Z37" s="8">
        <v>1.4283803223396201</v>
      </c>
      <c r="AA37" s="8">
        <v>1.4284246973013699</v>
      </c>
      <c r="AB37" s="6">
        <v>98.145431901714701</v>
      </c>
      <c r="AC37" s="6">
        <v>98.016220112159203</v>
      </c>
      <c r="AD37" s="6">
        <v>98.016390655090106</v>
      </c>
      <c r="AE37" s="7">
        <v>8.2393245140542398E-4</v>
      </c>
      <c r="AF37" s="7">
        <v>-4.9346885426952399E-4</v>
      </c>
      <c r="AG37" s="7">
        <v>-4.9172890977540397E-4</v>
      </c>
      <c r="AZ37" s="23"/>
      <c r="BB37" s="12">
        <f t="shared" si="6"/>
        <v>0</v>
      </c>
      <c r="BC37" s="12">
        <f t="shared" si="7"/>
        <v>1</v>
      </c>
      <c r="BD37" s="12">
        <f t="shared" si="8"/>
        <v>0</v>
      </c>
      <c r="BE37" s="12">
        <f t="shared" si="4"/>
        <v>1</v>
      </c>
      <c r="BF37" s="12">
        <f t="shared" si="9"/>
        <v>0</v>
      </c>
      <c r="BG37" s="23">
        <f t="shared" si="10"/>
        <v>0</v>
      </c>
      <c r="BH37" s="23">
        <f t="shared" si="11"/>
        <v>0</v>
      </c>
      <c r="BI37" s="23">
        <f t="shared" si="12"/>
        <v>0</v>
      </c>
      <c r="BJ37" s="18">
        <f t="shared" si="13"/>
        <v>0</v>
      </c>
      <c r="BL37" s="23"/>
      <c r="BN37" s="12">
        <f t="shared" si="14"/>
        <v>0</v>
      </c>
      <c r="BO37" s="12">
        <f t="shared" si="15"/>
        <v>1</v>
      </c>
      <c r="BP37" s="12">
        <f t="shared" si="16"/>
        <v>0</v>
      </c>
      <c r="BQ37" s="12">
        <f t="shared" si="5"/>
        <v>1</v>
      </c>
      <c r="BR37" s="12">
        <f t="shared" si="17"/>
        <v>0</v>
      </c>
      <c r="BS37" s="23">
        <f t="shared" si="18"/>
        <v>0</v>
      </c>
      <c r="BT37" s="23">
        <f t="shared" si="19"/>
        <v>0</v>
      </c>
      <c r="BU37" s="23">
        <f t="shared" si="20"/>
        <v>0</v>
      </c>
      <c r="BV37" s="18">
        <f t="shared" si="21"/>
        <v>0</v>
      </c>
      <c r="BX37" s="18">
        <f t="shared" si="22"/>
        <v>0</v>
      </c>
      <c r="BY37" s="18">
        <f t="shared" si="23"/>
        <v>0</v>
      </c>
    </row>
    <row r="38" spans="1:102" x14ac:dyDescent="0.3">
      <c r="A38" s="1">
        <v>46078</v>
      </c>
      <c r="B38" s="6">
        <v>68.349999999999994</v>
      </c>
      <c r="C38" s="6">
        <v>97.74</v>
      </c>
      <c r="D38" s="7">
        <v>1.0246652437186101E-3</v>
      </c>
      <c r="E38" s="7">
        <v>9.2123451932061803E-4</v>
      </c>
      <c r="F38" s="6">
        <v>0</v>
      </c>
      <c r="G38" s="6">
        <v>0.33960000000000001</v>
      </c>
      <c r="H38" s="6">
        <v>0</v>
      </c>
      <c r="I38" s="6">
        <v>0.41460000000000002</v>
      </c>
      <c r="J38" s="6">
        <v>0.33960000000000001</v>
      </c>
      <c r="K38" s="6">
        <v>0.41460000000000002</v>
      </c>
      <c r="L38" s="6">
        <v>68.689599999999999</v>
      </c>
      <c r="M38" s="6">
        <v>98.154599999999903</v>
      </c>
      <c r="N38" s="8">
        <v>1.42999268471104</v>
      </c>
      <c r="O38" s="8">
        <v>1.43297833357297</v>
      </c>
      <c r="P38" s="8">
        <v>1.4294530842055999</v>
      </c>
      <c r="Q38" s="8">
        <v>1.4293206428674601</v>
      </c>
      <c r="R38" s="6">
        <v>97.944069099712493</v>
      </c>
      <c r="S38" s="6">
        <v>97.700457683309594</v>
      </c>
      <c r="T38" s="6">
        <v>97.689641227856498</v>
      </c>
      <c r="U38" s="7">
        <v>2.0857004316080299E-3</v>
      </c>
      <c r="V38" s="7">
        <v>-4.04648225845018E-4</v>
      </c>
      <c r="W38" s="7">
        <v>-5.1536474141437795E-4</v>
      </c>
      <c r="X38" s="8">
        <v>1.42895867787845</v>
      </c>
      <c r="Y38" s="8">
        <v>1.4302827749172899</v>
      </c>
      <c r="Z38" s="8">
        <v>1.42841984360351</v>
      </c>
      <c r="AA38" s="8">
        <v>1.4284377330553499</v>
      </c>
      <c r="AB38" s="6">
        <v>98.245551695958895</v>
      </c>
      <c r="AC38" s="6">
        <v>98.114872989380203</v>
      </c>
      <c r="AD38" s="6">
        <v>98.117921087752507</v>
      </c>
      <c r="AE38" s="7">
        <v>9.2618770072494397E-4</v>
      </c>
      <c r="AF38" s="7">
        <v>-4.0482109170868999E-4</v>
      </c>
      <c r="AG38" s="7">
        <v>-3.73754945126125E-4</v>
      </c>
      <c r="AZ38" s="23"/>
      <c r="BB38" s="12">
        <f t="shared" si="6"/>
        <v>0</v>
      </c>
      <c r="BC38" s="12">
        <f t="shared" si="7"/>
        <v>1</v>
      </c>
      <c r="BD38" s="12">
        <f t="shared" si="8"/>
        <v>0</v>
      </c>
      <c r="BE38" s="12">
        <f t="shared" si="4"/>
        <v>1</v>
      </c>
      <c r="BF38" s="12">
        <f t="shared" si="9"/>
        <v>0</v>
      </c>
      <c r="BG38" s="23">
        <f t="shared" si="10"/>
        <v>0</v>
      </c>
      <c r="BH38" s="23">
        <f t="shared" si="11"/>
        <v>0</v>
      </c>
      <c r="BI38" s="23">
        <f t="shared" si="12"/>
        <v>0</v>
      </c>
      <c r="BJ38" s="18">
        <f t="shared" si="13"/>
        <v>0</v>
      </c>
      <c r="BL38" s="23"/>
      <c r="BN38" s="12">
        <f t="shared" si="14"/>
        <v>0</v>
      </c>
      <c r="BO38" s="12">
        <f t="shared" si="15"/>
        <v>1</v>
      </c>
      <c r="BP38" s="12">
        <f t="shared" si="16"/>
        <v>0</v>
      </c>
      <c r="BQ38" s="12">
        <f t="shared" si="5"/>
        <v>1</v>
      </c>
      <c r="BR38" s="12">
        <f t="shared" si="17"/>
        <v>0</v>
      </c>
      <c r="BS38" s="23">
        <f t="shared" si="18"/>
        <v>0</v>
      </c>
      <c r="BT38" s="23">
        <f t="shared" si="19"/>
        <v>0</v>
      </c>
      <c r="BU38" s="23">
        <f t="shared" si="20"/>
        <v>0</v>
      </c>
      <c r="BV38" s="18">
        <f t="shared" si="21"/>
        <v>0</v>
      </c>
      <c r="BX38" s="18">
        <f t="shared" si="22"/>
        <v>0</v>
      </c>
      <c r="BY38" s="18">
        <f t="shared" si="23"/>
        <v>0</v>
      </c>
    </row>
    <row r="39" spans="1:102" x14ac:dyDescent="0.3">
      <c r="A39" s="1">
        <v>46079</v>
      </c>
      <c r="B39" s="6">
        <v>68.33</v>
      </c>
      <c r="C39" s="6">
        <v>97.68</v>
      </c>
      <c r="D39" s="7">
        <v>-2.9265437727161802E-4</v>
      </c>
      <c r="E39" s="7">
        <v>-6.1406203955940899E-4</v>
      </c>
      <c r="F39" s="6">
        <v>0</v>
      </c>
      <c r="G39" s="6">
        <v>0.33960000000000001</v>
      </c>
      <c r="H39" s="6">
        <v>0</v>
      </c>
      <c r="I39" s="6">
        <v>0.41460000000000002</v>
      </c>
      <c r="J39" s="6">
        <v>0.33960000000000001</v>
      </c>
      <c r="K39" s="6">
        <v>0.41460000000000002</v>
      </c>
      <c r="L39" s="6">
        <v>68.669600000000003</v>
      </c>
      <c r="M39" s="6">
        <v>98.0946</v>
      </c>
      <c r="N39" s="8">
        <v>1.4295331479584299</v>
      </c>
      <c r="O39" s="8">
        <v>1.43297833357297</v>
      </c>
      <c r="P39" s="8">
        <v>1.42943131423069</v>
      </c>
      <c r="Q39" s="8">
        <v>1.42937717317805</v>
      </c>
      <c r="R39" s="6">
        <v>97.915409533041</v>
      </c>
      <c r="S39" s="6">
        <v>97.674529243769101</v>
      </c>
      <c r="T39" s="6">
        <v>97.665479527133797</v>
      </c>
      <c r="U39" s="7">
        <v>2.40710809389588E-3</v>
      </c>
      <c r="V39" s="7">
        <v>-5.6008491367118499E-5</v>
      </c>
      <c r="W39" s="7">
        <v>-1.4866453964576E-4</v>
      </c>
      <c r="X39" s="8">
        <v>1.4285011125738301</v>
      </c>
      <c r="Y39" s="8">
        <v>1.4302827749172899</v>
      </c>
      <c r="Z39" s="8">
        <v>1.4283989390415199</v>
      </c>
      <c r="AA39" s="8">
        <v>1.4284426615967001</v>
      </c>
      <c r="AB39" s="6">
        <v>98.216946040460599</v>
      </c>
      <c r="AC39" s="6">
        <v>98.089019292315598</v>
      </c>
      <c r="AD39" s="6">
        <v>98.090247753817707</v>
      </c>
      <c r="AE39" s="7">
        <v>1.2464478913068199E-3</v>
      </c>
      <c r="AF39" s="7">
        <v>-5.6892697830441398E-5</v>
      </c>
      <c r="AG39" s="7">
        <v>-4.4368831057222597E-5</v>
      </c>
      <c r="AZ39" s="23"/>
      <c r="BB39" s="12">
        <f t="shared" si="6"/>
        <v>0</v>
      </c>
      <c r="BC39" s="12">
        <f t="shared" si="7"/>
        <v>1</v>
      </c>
      <c r="BD39" s="12">
        <f t="shared" si="8"/>
        <v>0</v>
      </c>
      <c r="BE39" s="12">
        <f t="shared" si="4"/>
        <v>1</v>
      </c>
      <c r="BF39" s="12">
        <f t="shared" si="9"/>
        <v>0</v>
      </c>
      <c r="BG39" s="23">
        <f t="shared" si="10"/>
        <v>0</v>
      </c>
      <c r="BH39" s="23">
        <f t="shared" si="11"/>
        <v>0</v>
      </c>
      <c r="BI39" s="23">
        <f t="shared" si="12"/>
        <v>0</v>
      </c>
      <c r="BJ39" s="18">
        <f t="shared" si="13"/>
        <v>0</v>
      </c>
      <c r="BL39" s="23"/>
      <c r="BN39" s="12">
        <f t="shared" si="14"/>
        <v>0</v>
      </c>
      <c r="BO39" s="12">
        <f t="shared" si="15"/>
        <v>1</v>
      </c>
      <c r="BP39" s="12">
        <f t="shared" si="16"/>
        <v>0</v>
      </c>
      <c r="BQ39" s="12">
        <f t="shared" si="5"/>
        <v>1</v>
      </c>
      <c r="BR39" s="12">
        <f t="shared" si="17"/>
        <v>0</v>
      </c>
      <c r="BS39" s="23">
        <f t="shared" si="18"/>
        <v>0</v>
      </c>
      <c r="BT39" s="23">
        <f t="shared" si="19"/>
        <v>0</v>
      </c>
      <c r="BU39" s="23">
        <f t="shared" si="20"/>
        <v>0</v>
      </c>
      <c r="BV39" s="18">
        <f t="shared" si="21"/>
        <v>0</v>
      </c>
      <c r="BX39" s="18">
        <f t="shared" si="22"/>
        <v>0</v>
      </c>
      <c r="BY39" s="18">
        <f t="shared" si="23"/>
        <v>0</v>
      </c>
    </row>
    <row r="40" spans="1:102" x14ac:dyDescent="0.3">
      <c r="A40" s="1">
        <v>46080</v>
      </c>
      <c r="B40" s="6">
        <v>68.349999999999994</v>
      </c>
      <c r="C40" s="6">
        <v>97.73</v>
      </c>
      <c r="D40" s="7">
        <v>2.9265437727162799E-4</v>
      </c>
      <c r="E40" s="7">
        <v>5.1174454829522396E-4</v>
      </c>
      <c r="F40" s="6">
        <v>0</v>
      </c>
      <c r="G40" s="6">
        <v>0.33960000000000001</v>
      </c>
      <c r="H40" s="6">
        <v>0</v>
      </c>
      <c r="I40" s="6">
        <v>0.41460000000000002</v>
      </c>
      <c r="J40" s="6">
        <v>0.33960000000000001</v>
      </c>
      <c r="K40" s="6">
        <v>0.41460000000000002</v>
      </c>
      <c r="L40" s="6">
        <v>68.689599999999999</v>
      </c>
      <c r="M40" s="6">
        <v>98.144599999999997</v>
      </c>
      <c r="N40" s="8">
        <v>1.42984637893196</v>
      </c>
      <c r="O40" s="8">
        <v>1.43297833357297</v>
      </c>
      <c r="P40" s="8">
        <v>1.4295063268483601</v>
      </c>
      <c r="Q40" s="8">
        <v>1.4295052517584801</v>
      </c>
      <c r="R40" s="6">
        <v>97.944069099712493</v>
      </c>
      <c r="S40" s="6">
        <v>97.701630327668298</v>
      </c>
      <c r="T40" s="6">
        <v>97.697929786719698</v>
      </c>
      <c r="U40" s="7">
        <v>2.1880179228722998E-3</v>
      </c>
      <c r="V40" s="7">
        <v>-2.9032836172307799E-4</v>
      </c>
      <c r="W40" s="7">
        <v>-3.2820501760555198E-4</v>
      </c>
      <c r="X40" s="8">
        <v>1.4288130954322</v>
      </c>
      <c r="Y40" s="8">
        <v>1.4302827749172899</v>
      </c>
      <c r="Z40" s="8">
        <v>1.4284740324349201</v>
      </c>
      <c r="AA40" s="8">
        <v>1.42851907600215</v>
      </c>
      <c r="AB40" s="6">
        <v>98.245551695958895</v>
      </c>
      <c r="AC40" s="6">
        <v>98.116151763186807</v>
      </c>
      <c r="AD40" s="6">
        <v>98.119155048013099</v>
      </c>
      <c r="AE40" s="7">
        <v>1.0280729861325401E-3</v>
      </c>
      <c r="AF40" s="7">
        <v>-2.8990245636815201E-4</v>
      </c>
      <c r="AG40" s="7">
        <v>-2.5929344033194101E-4</v>
      </c>
      <c r="AZ40" s="23"/>
      <c r="BB40" s="12">
        <f t="shared" si="6"/>
        <v>0</v>
      </c>
      <c r="BC40" s="12">
        <f t="shared" si="7"/>
        <v>1</v>
      </c>
      <c r="BD40" s="12">
        <f t="shared" si="8"/>
        <v>0</v>
      </c>
      <c r="BE40" s="12">
        <f t="shared" si="4"/>
        <v>0</v>
      </c>
      <c r="BF40" s="12">
        <f t="shared" si="9"/>
        <v>0</v>
      </c>
      <c r="BG40" s="23">
        <f t="shared" si="10"/>
        <v>0</v>
      </c>
      <c r="BH40" s="23">
        <f t="shared" si="11"/>
        <v>0</v>
      </c>
      <c r="BI40" s="23">
        <f t="shared" si="12"/>
        <v>0</v>
      </c>
      <c r="BJ40" s="18">
        <f t="shared" si="13"/>
        <v>0</v>
      </c>
      <c r="BL40" s="23"/>
      <c r="BN40" s="12">
        <f t="shared" si="14"/>
        <v>0</v>
      </c>
      <c r="BO40" s="12">
        <f t="shared" si="15"/>
        <v>1</v>
      </c>
      <c r="BP40" s="12">
        <f t="shared" si="16"/>
        <v>0</v>
      </c>
      <c r="BQ40" s="12">
        <f t="shared" si="5"/>
        <v>0</v>
      </c>
      <c r="BR40" s="12">
        <f t="shared" si="17"/>
        <v>0</v>
      </c>
      <c r="BS40" s="23">
        <f t="shared" si="18"/>
        <v>0</v>
      </c>
      <c r="BT40" s="23">
        <f t="shared" si="19"/>
        <v>0</v>
      </c>
      <c r="BU40" s="23">
        <f t="shared" si="20"/>
        <v>0</v>
      </c>
      <c r="BV40" s="18">
        <f t="shared" si="21"/>
        <v>0</v>
      </c>
      <c r="BX40" s="18">
        <f t="shared" si="22"/>
        <v>0</v>
      </c>
      <c r="BY40" s="18">
        <f t="shared" si="23"/>
        <v>0</v>
      </c>
    </row>
    <row r="41" spans="1:102" x14ac:dyDescent="0.3">
      <c r="A41" s="1">
        <v>46083</v>
      </c>
      <c r="B41" s="6">
        <v>67.72</v>
      </c>
      <c r="C41" s="6">
        <v>96.99</v>
      </c>
      <c r="D41" s="7">
        <v>-9.2600059050238891E-3</v>
      </c>
      <c r="E41" s="7">
        <v>-7.6006939452930404E-3</v>
      </c>
      <c r="F41" s="6">
        <v>0.3196</v>
      </c>
      <c r="G41" s="6">
        <v>0.65920000000000001</v>
      </c>
      <c r="H41" s="6">
        <v>0.40300000000000002</v>
      </c>
      <c r="I41" s="6">
        <v>0.81759999999999999</v>
      </c>
      <c r="J41" s="6">
        <v>0.65920000000000001</v>
      </c>
      <c r="K41" s="6">
        <v>0.81759999999999999</v>
      </c>
      <c r="L41" s="6">
        <v>68.379199999999997</v>
      </c>
      <c r="M41" s="6">
        <v>97.807599999999994</v>
      </c>
      <c r="N41" s="8">
        <v>1.43222090962787</v>
      </c>
      <c r="O41" s="8">
        <v>1.43297833357297</v>
      </c>
      <c r="P41" s="8">
        <v>1.42977904143551</v>
      </c>
      <c r="Q41" s="8">
        <v>1.4297447335390201</v>
      </c>
      <c r="R41" s="6">
        <v>97.041292749561507</v>
      </c>
      <c r="S41" s="6">
        <v>96.8061684541712</v>
      </c>
      <c r="T41" s="6">
        <v>96.806095649084895</v>
      </c>
      <c r="U41" s="7">
        <v>5.2870596314138205E-4</v>
      </c>
      <c r="V41" s="7">
        <v>-1.8971644530730899E-3</v>
      </c>
      <c r="W41" s="7">
        <v>-1.8979165240909899E-3</v>
      </c>
      <c r="X41" s="8">
        <v>1.4303706390247299</v>
      </c>
      <c r="Y41" s="8">
        <v>1.4302827749172899</v>
      </c>
      <c r="Z41" s="8">
        <v>1.42866517520484</v>
      </c>
      <c r="AA41" s="8">
        <v>1.4286660442525301</v>
      </c>
      <c r="AB41" s="6">
        <v>97.801591922624596</v>
      </c>
      <c r="AC41" s="6">
        <v>97.677911558673998</v>
      </c>
      <c r="AD41" s="6">
        <v>97.680991601766607</v>
      </c>
      <c r="AE41" s="7">
        <v>-6.1429397240660705E-5</v>
      </c>
      <c r="AF41" s="7">
        <v>-1.32683449855819E-3</v>
      </c>
      <c r="AG41" s="7">
        <v>-1.2953023488272901E-3</v>
      </c>
      <c r="AZ41" s="23"/>
      <c r="BB41" s="12">
        <f t="shared" si="6"/>
        <v>0</v>
      </c>
      <c r="BC41" s="12">
        <f t="shared" si="7"/>
        <v>0</v>
      </c>
      <c r="BD41" s="12">
        <f t="shared" si="8"/>
        <v>0</v>
      </c>
      <c r="BE41" s="12">
        <f t="shared" si="4"/>
        <v>1</v>
      </c>
      <c r="BF41" s="12">
        <f t="shared" si="9"/>
        <v>0</v>
      </c>
      <c r="BG41" s="23">
        <f t="shared" si="10"/>
        <v>0</v>
      </c>
      <c r="BH41" s="23">
        <f t="shared" si="11"/>
        <v>0</v>
      </c>
      <c r="BI41" s="23">
        <f t="shared" si="12"/>
        <v>0</v>
      </c>
      <c r="BJ41" s="18">
        <f t="shared" si="13"/>
        <v>0</v>
      </c>
      <c r="BL41" s="23"/>
      <c r="BN41" s="12">
        <f t="shared" si="14"/>
        <v>0</v>
      </c>
      <c r="BO41" s="12">
        <f t="shared" si="15"/>
        <v>1</v>
      </c>
      <c r="BP41" s="12">
        <f t="shared" si="16"/>
        <v>0</v>
      </c>
      <c r="BQ41" s="12">
        <f t="shared" si="5"/>
        <v>1</v>
      </c>
      <c r="BR41" s="12">
        <f t="shared" si="17"/>
        <v>0</v>
      </c>
      <c r="BS41" s="23">
        <f t="shared" si="18"/>
        <v>0</v>
      </c>
      <c r="BT41" s="23">
        <f t="shared" si="19"/>
        <v>0</v>
      </c>
      <c r="BU41" s="23">
        <f t="shared" si="20"/>
        <v>0</v>
      </c>
      <c r="BV41" s="18">
        <f t="shared" si="21"/>
        <v>0</v>
      </c>
      <c r="BX41" s="18">
        <f t="shared" si="22"/>
        <v>0</v>
      </c>
      <c r="BY41" s="18">
        <f t="shared" si="23"/>
        <v>0</v>
      </c>
    </row>
    <row r="42" spans="1:102" x14ac:dyDescent="0.3">
      <c r="A42" s="1">
        <v>46084</v>
      </c>
      <c r="B42" s="6">
        <v>67.45</v>
      </c>
      <c r="C42" s="6">
        <v>96.55</v>
      </c>
      <c r="D42" s="7">
        <v>-3.9949746111696298E-3</v>
      </c>
      <c r="E42" s="7">
        <v>-4.5468715309279102E-3</v>
      </c>
      <c r="F42" s="6">
        <v>0</v>
      </c>
      <c r="G42" s="6">
        <v>0.65920000000000001</v>
      </c>
      <c r="H42" s="6">
        <v>0</v>
      </c>
      <c r="I42" s="6">
        <v>0.81759999999999999</v>
      </c>
      <c r="J42" s="6">
        <v>0.65920000000000001</v>
      </c>
      <c r="K42" s="6">
        <v>0.81759999999999999</v>
      </c>
      <c r="L42" s="6">
        <v>68.109200000000001</v>
      </c>
      <c r="M42" s="6">
        <v>97.367599999999996</v>
      </c>
      <c r="N42" s="8">
        <v>1.4314306893995501</v>
      </c>
      <c r="O42" s="8">
        <v>1.43297833357297</v>
      </c>
      <c r="P42" s="8">
        <v>1.43001477616378</v>
      </c>
      <c r="Q42" s="8">
        <v>1.4298792045523201</v>
      </c>
      <c r="R42" s="6">
        <v>96.654388599496798</v>
      </c>
      <c r="S42" s="6">
        <v>96.4385963448251</v>
      </c>
      <c r="T42" s="6">
        <v>96.436282277207297</v>
      </c>
      <c r="U42" s="7">
        <v>1.0806028828996099E-3</v>
      </c>
      <c r="V42" s="7">
        <v>-1.1545103665078201E-3</v>
      </c>
      <c r="W42" s="7">
        <v>-1.17850589806148E-3</v>
      </c>
      <c r="X42" s="8">
        <v>1.42958073211842</v>
      </c>
      <c r="Y42" s="8">
        <v>1.4302827749172899</v>
      </c>
      <c r="Z42" s="8">
        <v>1.42881892035068</v>
      </c>
      <c r="AA42" s="8">
        <v>1.42876021387713</v>
      </c>
      <c r="AB42" s="6">
        <v>97.415415573396899</v>
      </c>
      <c r="AC42" s="6">
        <v>97.305242151061705</v>
      </c>
      <c r="AD42" s="6">
        <v>97.305301341204796</v>
      </c>
      <c r="AE42" s="7">
        <v>4.9096246114327901E-4</v>
      </c>
      <c r="AF42" s="7">
        <v>-6.4064253012317601E-4</v>
      </c>
      <c r="AG42" s="7">
        <v>-6.4003423684143204E-4</v>
      </c>
      <c r="AZ42" s="23"/>
      <c r="BB42" s="12">
        <f t="shared" si="6"/>
        <v>0</v>
      </c>
      <c r="BC42" s="12">
        <f t="shared" si="7"/>
        <v>0</v>
      </c>
      <c r="BD42" s="12">
        <f t="shared" si="8"/>
        <v>0</v>
      </c>
      <c r="BE42" s="12">
        <f t="shared" si="4"/>
        <v>1</v>
      </c>
      <c r="BF42" s="12">
        <f t="shared" si="9"/>
        <v>0</v>
      </c>
      <c r="BG42" s="23">
        <f t="shared" si="10"/>
        <v>0</v>
      </c>
      <c r="BH42" s="23">
        <f t="shared" si="11"/>
        <v>0</v>
      </c>
      <c r="BI42" s="23">
        <f t="shared" si="12"/>
        <v>0</v>
      </c>
      <c r="BJ42" s="18">
        <f t="shared" si="13"/>
        <v>0</v>
      </c>
      <c r="BL42" s="23"/>
      <c r="BN42" s="12">
        <f t="shared" si="14"/>
        <v>0</v>
      </c>
      <c r="BO42" s="12">
        <f t="shared" si="15"/>
        <v>1</v>
      </c>
      <c r="BP42" s="12">
        <f t="shared" si="16"/>
        <v>0</v>
      </c>
      <c r="BQ42" s="12">
        <f t="shared" si="5"/>
        <v>1</v>
      </c>
      <c r="BR42" s="12">
        <f t="shared" si="17"/>
        <v>0</v>
      </c>
      <c r="BS42" s="23">
        <f t="shared" si="18"/>
        <v>0</v>
      </c>
      <c r="BT42" s="23">
        <f t="shared" si="19"/>
        <v>0</v>
      </c>
      <c r="BU42" s="23">
        <f t="shared" si="20"/>
        <v>0</v>
      </c>
      <c r="BV42" s="18">
        <f t="shared" si="21"/>
        <v>0</v>
      </c>
      <c r="BX42" s="18">
        <f t="shared" si="22"/>
        <v>0</v>
      </c>
      <c r="BY42" s="18">
        <f t="shared" si="23"/>
        <v>0</v>
      </c>
    </row>
    <row r="43" spans="1:102" x14ac:dyDescent="0.3">
      <c r="A43" s="1">
        <v>46085</v>
      </c>
      <c r="B43" s="6">
        <v>67.61</v>
      </c>
      <c r="C43" s="6">
        <v>96.87</v>
      </c>
      <c r="D43" s="7">
        <v>2.3693184488215199E-3</v>
      </c>
      <c r="E43" s="7">
        <v>3.30886456377008E-3</v>
      </c>
      <c r="F43" s="6">
        <v>0</v>
      </c>
      <c r="G43" s="6">
        <v>0.65920000000000001</v>
      </c>
      <c r="H43" s="6">
        <v>0</v>
      </c>
      <c r="I43" s="6">
        <v>0.81759999999999999</v>
      </c>
      <c r="J43" s="6">
        <v>0.65920000000000001</v>
      </c>
      <c r="K43" s="6">
        <v>0.81759999999999999</v>
      </c>
      <c r="L43" s="6">
        <v>68.269199999999998</v>
      </c>
      <c r="M43" s="6">
        <v>97.687600000000003</v>
      </c>
      <c r="N43" s="8">
        <v>1.4327762165360101</v>
      </c>
      <c r="O43" s="8">
        <v>1.43297833357297</v>
      </c>
      <c r="P43" s="8">
        <v>1.43038926641557</v>
      </c>
      <c r="Q43" s="8">
        <v>1.43005547078935</v>
      </c>
      <c r="R43" s="6">
        <v>96.883665132868501</v>
      </c>
      <c r="S43" s="6">
        <v>96.683299016433395</v>
      </c>
      <c r="T43" s="6">
        <v>96.674133019782602</v>
      </c>
      <c r="U43" s="7">
        <v>1.41056767951143E-4</v>
      </c>
      <c r="V43" s="7">
        <v>-1.9291951356093101E-3</v>
      </c>
      <c r="W43" s="7">
        <v>-2.0240039729124198E-3</v>
      </c>
      <c r="X43" s="8">
        <v>1.43091760266708</v>
      </c>
      <c r="Y43" s="8">
        <v>1.4302827749172899</v>
      </c>
      <c r="Z43" s="8">
        <v>1.4291104895854101</v>
      </c>
      <c r="AA43" s="8">
        <v>1.42889588158687</v>
      </c>
      <c r="AB43" s="6">
        <v>97.644260817383696</v>
      </c>
      <c r="AC43" s="6">
        <v>97.544324637204696</v>
      </c>
      <c r="AD43" s="6">
        <v>97.540316793220896</v>
      </c>
      <c r="AE43" s="7">
        <v>-4.4374924957052598E-4</v>
      </c>
      <c r="AF43" s="7">
        <v>-1.46774549073058E-3</v>
      </c>
      <c r="AG43" s="7">
        <v>-1.5088337481659901E-3</v>
      </c>
      <c r="AZ43" s="23"/>
      <c r="BB43" s="12">
        <f t="shared" si="6"/>
        <v>1</v>
      </c>
      <c r="BC43" s="12">
        <f t="shared" si="7"/>
        <v>0</v>
      </c>
      <c r="BD43" s="12">
        <f t="shared" si="8"/>
        <v>0</v>
      </c>
      <c r="BE43" s="12">
        <f t="shared" si="4"/>
        <v>1</v>
      </c>
      <c r="BF43" s="12">
        <f t="shared" si="9"/>
        <v>0</v>
      </c>
      <c r="BG43" s="23">
        <f t="shared" si="10"/>
        <v>0</v>
      </c>
      <c r="BH43" s="23">
        <f t="shared" si="11"/>
        <v>0</v>
      </c>
      <c r="BI43" s="23">
        <f t="shared" si="12"/>
        <v>0</v>
      </c>
      <c r="BJ43" s="18">
        <f t="shared" si="13"/>
        <v>0</v>
      </c>
      <c r="BL43" s="23"/>
      <c r="BN43" s="12">
        <f t="shared" si="14"/>
        <v>0</v>
      </c>
      <c r="BO43" s="12">
        <f t="shared" si="15"/>
        <v>1</v>
      </c>
      <c r="BP43" s="12">
        <f t="shared" si="16"/>
        <v>0</v>
      </c>
      <c r="BQ43" s="12">
        <f t="shared" si="5"/>
        <v>1</v>
      </c>
      <c r="BR43" s="12">
        <f t="shared" si="17"/>
        <v>0</v>
      </c>
      <c r="BS43" s="23">
        <f t="shared" si="18"/>
        <v>0</v>
      </c>
      <c r="BT43" s="23">
        <f t="shared" si="19"/>
        <v>0</v>
      </c>
      <c r="BU43" s="23">
        <f t="shared" si="20"/>
        <v>0</v>
      </c>
      <c r="BV43" s="18">
        <f t="shared" si="21"/>
        <v>0</v>
      </c>
      <c r="BX43" s="18">
        <f t="shared" si="22"/>
        <v>0</v>
      </c>
      <c r="BY43" s="18">
        <f t="shared" si="23"/>
        <v>0</v>
      </c>
    </row>
    <row r="44" spans="1:102" x14ac:dyDescent="0.3">
      <c r="A44" s="1">
        <v>46086</v>
      </c>
      <c r="B44" s="6">
        <v>67.39</v>
      </c>
      <c r="C44" s="6">
        <v>96.38</v>
      </c>
      <c r="D44" s="7">
        <v>-3.2592621444608601E-3</v>
      </c>
      <c r="E44" s="7">
        <v>-5.071162226107E-3</v>
      </c>
      <c r="F44" s="6">
        <v>0</v>
      </c>
      <c r="G44" s="6">
        <v>0.65920000000000001</v>
      </c>
      <c r="H44" s="6">
        <v>0</v>
      </c>
      <c r="I44" s="6">
        <v>0.81759999999999999</v>
      </c>
      <c r="J44" s="6">
        <v>0.65920000000000001</v>
      </c>
      <c r="K44" s="6">
        <v>0.81759999999999999</v>
      </c>
      <c r="L44" s="6">
        <v>68.049199999999999</v>
      </c>
      <c r="M44" s="6">
        <v>97.197599999999994</v>
      </c>
      <c r="N44" s="8">
        <v>1.43018251966167</v>
      </c>
      <c r="O44" s="8">
        <v>1.43297833357297</v>
      </c>
      <c r="P44" s="8">
        <v>1.4304980545669099</v>
      </c>
      <c r="Q44" s="8">
        <v>1.43001915574908</v>
      </c>
      <c r="R44" s="6">
        <v>96.568409899482404</v>
      </c>
      <c r="S44" s="6">
        <v>96.393932663745304</v>
      </c>
      <c r="T44" s="6">
        <v>96.371438176494294</v>
      </c>
      <c r="U44" s="7">
        <v>1.9529568495972999E-3</v>
      </c>
      <c r="V44" s="7">
        <v>1.44549250793974E-4</v>
      </c>
      <c r="W44" s="7">
        <v>-8.8837972803765104E-5</v>
      </c>
      <c r="X44" s="8">
        <v>1.42834302240143</v>
      </c>
      <c r="Y44" s="8">
        <v>1.4302827749172899</v>
      </c>
      <c r="Z44" s="8">
        <v>1.4291384197767301</v>
      </c>
      <c r="AA44" s="8">
        <v>1.4288203792059599</v>
      </c>
      <c r="AB44" s="6">
        <v>97.329598606901897</v>
      </c>
      <c r="AC44" s="6">
        <v>97.249825527895496</v>
      </c>
      <c r="AD44" s="6">
        <v>97.235221625281397</v>
      </c>
      <c r="AE44" s="7">
        <v>1.35712258343913E-3</v>
      </c>
      <c r="AF44" s="7">
        <v>5.37168635784782E-4</v>
      </c>
      <c r="AG44" s="7">
        <v>3.86988425477913E-4</v>
      </c>
      <c r="AZ44" s="23"/>
      <c r="BB44" s="12">
        <f t="shared" si="6"/>
        <v>0</v>
      </c>
      <c r="BC44" s="12">
        <f t="shared" si="7"/>
        <v>1</v>
      </c>
      <c r="BD44" s="12">
        <f t="shared" si="8"/>
        <v>1</v>
      </c>
      <c r="BE44" s="12">
        <f t="shared" si="4"/>
        <v>1</v>
      </c>
      <c r="BF44" s="12">
        <f t="shared" si="9"/>
        <v>1</v>
      </c>
      <c r="BG44" s="23">
        <f t="shared" si="10"/>
        <v>-3.2592621444608601E-3</v>
      </c>
      <c r="BH44" s="23">
        <f t="shared" si="11"/>
        <v>5.071162226107E-3</v>
      </c>
      <c r="BI44" s="23">
        <f t="shared" si="12"/>
        <v>1.8119000816461399E-3</v>
      </c>
      <c r="BJ44" s="18">
        <f t="shared" si="13"/>
        <v>1.8119000816461399E-3</v>
      </c>
      <c r="BL44" s="23"/>
      <c r="BN44" s="12">
        <f t="shared" si="14"/>
        <v>0</v>
      </c>
      <c r="BO44" s="12">
        <f t="shared" si="15"/>
        <v>0</v>
      </c>
      <c r="BP44" s="12">
        <f t="shared" si="16"/>
        <v>0</v>
      </c>
      <c r="BQ44" s="12">
        <f t="shared" si="5"/>
        <v>1</v>
      </c>
      <c r="BR44" s="12">
        <f t="shared" si="17"/>
        <v>0</v>
      </c>
      <c r="BS44" s="23">
        <f t="shared" si="18"/>
        <v>0</v>
      </c>
      <c r="BT44" s="23">
        <f t="shared" si="19"/>
        <v>0</v>
      </c>
      <c r="BU44" s="23">
        <f t="shared" si="20"/>
        <v>0</v>
      </c>
      <c r="BV44" s="18">
        <f t="shared" si="21"/>
        <v>0</v>
      </c>
      <c r="BX44" s="18">
        <f t="shared" si="22"/>
        <v>1.8119000816461399E-3</v>
      </c>
      <c r="BY44" s="18">
        <f t="shared" si="23"/>
        <v>1.8119000816461399E-3</v>
      </c>
    </row>
    <row r="45" spans="1:102" x14ac:dyDescent="0.3">
      <c r="A45" s="1">
        <v>46087</v>
      </c>
      <c r="B45" s="6">
        <v>66.94</v>
      </c>
      <c r="C45" s="6">
        <v>95.75</v>
      </c>
      <c r="D45" s="7">
        <v>-6.6999431749451303E-3</v>
      </c>
      <c r="E45" s="7">
        <v>-6.55808315143128E-3</v>
      </c>
      <c r="F45" s="6">
        <v>0</v>
      </c>
      <c r="G45" s="6">
        <v>0.65920000000000001</v>
      </c>
      <c r="H45" s="6">
        <v>0</v>
      </c>
      <c r="I45" s="6">
        <v>0.81759999999999999</v>
      </c>
      <c r="J45" s="6">
        <v>0.65920000000000001</v>
      </c>
      <c r="K45" s="6">
        <v>0.81759999999999999</v>
      </c>
      <c r="L45" s="6">
        <v>67.599199999999996</v>
      </c>
      <c r="M45" s="6">
        <v>96.567599999999999</v>
      </c>
      <c r="N45" s="8">
        <v>1.4303854197789001</v>
      </c>
      <c r="O45" s="8">
        <v>1.43297833357297</v>
      </c>
      <c r="P45" s="8">
        <v>1.4305644149928201</v>
      </c>
      <c r="Q45" s="8">
        <v>1.43008021689807</v>
      </c>
      <c r="R45" s="6">
        <v>95.923569649374599</v>
      </c>
      <c r="S45" s="6">
        <v>95.757539772708995</v>
      </c>
      <c r="T45" s="6">
        <v>95.725482285843498</v>
      </c>
      <c r="U45" s="7">
        <v>1.8110968260835101E-3</v>
      </c>
      <c r="V45" s="7">
        <v>7.87412623224302E-5</v>
      </c>
      <c r="W45" s="7">
        <v>-2.5609246675138399E-4</v>
      </c>
      <c r="X45" s="8">
        <v>1.4285316985999801</v>
      </c>
      <c r="Y45" s="8">
        <v>1.4302827749172899</v>
      </c>
      <c r="Z45" s="8">
        <v>1.4291227500747301</v>
      </c>
      <c r="AA45" s="8">
        <v>1.42884091042877</v>
      </c>
      <c r="AB45" s="6">
        <v>96.685971358189093</v>
      </c>
      <c r="AC45" s="6">
        <v>96.608613866171595</v>
      </c>
      <c r="AD45" s="6">
        <v>96.587114578019694</v>
      </c>
      <c r="AE45" s="7">
        <v>1.2250368483302601E-3</v>
      </c>
      <c r="AF45" s="7">
        <v>4.2462646893281998E-4</v>
      </c>
      <c r="AG45" s="7">
        <v>2.0206162845926899E-4</v>
      </c>
      <c r="AZ45" s="23"/>
      <c r="BB45" s="12">
        <f t="shared" si="6"/>
        <v>0</v>
      </c>
      <c r="BC45" s="12">
        <f t="shared" si="7"/>
        <v>1</v>
      </c>
      <c r="BD45" s="12">
        <f t="shared" si="8"/>
        <v>0</v>
      </c>
      <c r="BE45" s="12">
        <f t="shared" si="4"/>
        <v>1</v>
      </c>
      <c r="BF45" s="12">
        <f t="shared" si="9"/>
        <v>0</v>
      </c>
      <c r="BG45" s="23">
        <f t="shared" si="10"/>
        <v>0</v>
      </c>
      <c r="BH45" s="23">
        <f t="shared" si="11"/>
        <v>0</v>
      </c>
      <c r="BI45" s="23">
        <f t="shared" si="12"/>
        <v>0</v>
      </c>
      <c r="BJ45" s="18">
        <f t="shared" si="13"/>
        <v>1.8119000816461399E-3</v>
      </c>
      <c r="BL45" s="23"/>
      <c r="BN45" s="12">
        <f t="shared" si="14"/>
        <v>0</v>
      </c>
      <c r="BO45" s="12">
        <f t="shared" si="15"/>
        <v>0</v>
      </c>
      <c r="BP45" s="12">
        <f t="shared" si="16"/>
        <v>0</v>
      </c>
      <c r="BQ45" s="12">
        <f t="shared" si="5"/>
        <v>1</v>
      </c>
      <c r="BR45" s="12">
        <f t="shared" si="17"/>
        <v>0</v>
      </c>
      <c r="BS45" s="23">
        <f t="shared" si="18"/>
        <v>0</v>
      </c>
      <c r="BT45" s="23">
        <f t="shared" si="19"/>
        <v>0</v>
      </c>
      <c r="BU45" s="23">
        <f t="shared" si="20"/>
        <v>0</v>
      </c>
      <c r="BV45" s="18">
        <f t="shared" si="21"/>
        <v>0</v>
      </c>
      <c r="BX45" s="18">
        <f t="shared" si="22"/>
        <v>0</v>
      </c>
      <c r="BY45" s="18">
        <f t="shared" si="23"/>
        <v>1.8119000816461399E-3</v>
      </c>
    </row>
    <row r="46" spans="1:102" x14ac:dyDescent="0.3">
      <c r="A46" s="1">
        <v>46090</v>
      </c>
      <c r="B46" s="6">
        <v>67.08</v>
      </c>
      <c r="C46" s="6">
        <v>95.96</v>
      </c>
      <c r="D46" s="7">
        <v>2.0892411718275599E-3</v>
      </c>
      <c r="E46" s="7">
        <v>2.1908099107383798E-3</v>
      </c>
      <c r="F46" s="6">
        <v>0</v>
      </c>
      <c r="G46" s="6">
        <v>0.65920000000000001</v>
      </c>
      <c r="H46" s="6">
        <v>0</v>
      </c>
      <c r="I46" s="6">
        <v>0.81759999999999999</v>
      </c>
      <c r="J46" s="6">
        <v>0.65920000000000001</v>
      </c>
      <c r="K46" s="6">
        <v>0.81759999999999999</v>
      </c>
      <c r="L46" s="6">
        <v>67.739199999999997</v>
      </c>
      <c r="M46" s="6">
        <v>96.777599999999893</v>
      </c>
      <c r="N46" s="8">
        <v>1.43053070960047</v>
      </c>
      <c r="O46" s="8">
        <v>1.43297833357297</v>
      </c>
      <c r="P46" s="8">
        <v>1.4307039273745401</v>
      </c>
      <c r="Q46" s="8">
        <v>1.43006931526652</v>
      </c>
      <c r="R46" s="6">
        <v>96.124186616074795</v>
      </c>
      <c r="S46" s="6">
        <v>95.962260957718698</v>
      </c>
      <c r="T46" s="6">
        <v>95.929780949522794</v>
      </c>
      <c r="U46" s="7">
        <v>1.70952808717249E-3</v>
      </c>
      <c r="V46" s="7">
        <v>2.35611826120572E-5</v>
      </c>
      <c r="W46" s="7">
        <v>-3.1496258505750002E-4</v>
      </c>
      <c r="X46" s="8">
        <v>1.4286794057207599</v>
      </c>
      <c r="Y46" s="8">
        <v>1.4302827749172899</v>
      </c>
      <c r="Z46" s="8">
        <v>1.42918007902922</v>
      </c>
      <c r="AA46" s="8">
        <v>1.4287899190836999</v>
      </c>
      <c r="AB46" s="6">
        <v>96.886210946677494</v>
      </c>
      <c r="AC46" s="6">
        <v>96.807631791862406</v>
      </c>
      <c r="AD46" s="6">
        <v>96.788540199716806</v>
      </c>
      <c r="AE46" s="7">
        <v>1.12164433337797E-3</v>
      </c>
      <c r="AF46" s="7">
        <v>3.10269454186755E-4</v>
      </c>
      <c r="AG46" s="7">
        <v>1.13038362155467E-4</v>
      </c>
      <c r="AZ46" s="23"/>
      <c r="BB46" s="12">
        <f t="shared" si="6"/>
        <v>0</v>
      </c>
      <c r="BC46" s="12">
        <f t="shared" si="7"/>
        <v>1</v>
      </c>
      <c r="BD46" s="12">
        <f t="shared" si="8"/>
        <v>0</v>
      </c>
      <c r="BE46" s="12">
        <f t="shared" si="4"/>
        <v>1</v>
      </c>
      <c r="BF46" s="12">
        <f t="shared" si="9"/>
        <v>0</v>
      </c>
      <c r="BG46" s="23">
        <f t="shared" si="10"/>
        <v>0</v>
      </c>
      <c r="BH46" s="23">
        <f t="shared" si="11"/>
        <v>0</v>
      </c>
      <c r="BI46" s="23">
        <f t="shared" si="12"/>
        <v>0</v>
      </c>
      <c r="BJ46" s="18">
        <f t="shared" si="13"/>
        <v>1.8119000816461399E-3</v>
      </c>
      <c r="BL46" s="23"/>
      <c r="BN46" s="12">
        <f t="shared" si="14"/>
        <v>0</v>
      </c>
      <c r="BO46" s="12">
        <f t="shared" si="15"/>
        <v>0</v>
      </c>
      <c r="BP46" s="12">
        <f t="shared" si="16"/>
        <v>0</v>
      </c>
      <c r="BQ46" s="12">
        <f t="shared" si="5"/>
        <v>1</v>
      </c>
      <c r="BR46" s="12">
        <f t="shared" si="17"/>
        <v>0</v>
      </c>
      <c r="BS46" s="23">
        <f t="shared" si="18"/>
        <v>0</v>
      </c>
      <c r="BT46" s="23">
        <f t="shared" si="19"/>
        <v>0</v>
      </c>
      <c r="BU46" s="23">
        <f t="shared" si="20"/>
        <v>0</v>
      </c>
      <c r="BV46" s="18">
        <f t="shared" si="21"/>
        <v>0</v>
      </c>
      <c r="BX46" s="18">
        <f t="shared" si="22"/>
        <v>0</v>
      </c>
      <c r="BY46" s="18">
        <f t="shared" si="23"/>
        <v>1.8119000816461399E-3</v>
      </c>
    </row>
    <row r="47" spans="1:102" x14ac:dyDescent="0.3">
      <c r="A47" s="1">
        <v>46091</v>
      </c>
      <c r="B47" s="6">
        <v>67.09</v>
      </c>
      <c r="C47" s="6">
        <v>95.95</v>
      </c>
      <c r="D47" s="7">
        <v>1.4906461978868199E-4</v>
      </c>
      <c r="E47" s="7">
        <v>-1.0421551778479301E-4</v>
      </c>
      <c r="F47" s="6">
        <v>0</v>
      </c>
      <c r="G47" s="6">
        <v>0.65920000000000001</v>
      </c>
      <c r="H47" s="6">
        <v>0</v>
      </c>
      <c r="I47" s="6">
        <v>0.81759999999999999</v>
      </c>
      <c r="J47" s="6">
        <v>0.65920000000000001</v>
      </c>
      <c r="K47" s="6">
        <v>0.81759999999999999</v>
      </c>
      <c r="L47" s="6">
        <v>67.749200000000002</v>
      </c>
      <c r="M47" s="6">
        <v>96.767600000000002</v>
      </c>
      <c r="N47" s="8">
        <v>1.4301684304665301</v>
      </c>
      <c r="O47" s="8">
        <v>1.43297833357297</v>
      </c>
      <c r="P47" s="8">
        <v>1.43070671066724</v>
      </c>
      <c r="Q47" s="8">
        <v>1.4300604342166501</v>
      </c>
      <c r="R47" s="6">
        <v>96.138516399410506</v>
      </c>
      <c r="S47" s="6">
        <v>95.985926487558501</v>
      </c>
      <c r="T47" s="6">
        <v>95.943350361231197</v>
      </c>
      <c r="U47" s="7">
        <v>1.96280822474598E-3</v>
      </c>
      <c r="V47" s="7">
        <v>3.7435917949903499E-4</v>
      </c>
      <c r="W47" s="7">
        <v>-6.9305567481725498E-5</v>
      </c>
      <c r="X47" s="8">
        <v>1.42832092482272</v>
      </c>
      <c r="Y47" s="8">
        <v>1.4302827749172899</v>
      </c>
      <c r="Z47" s="8">
        <v>1.42910169112396</v>
      </c>
      <c r="AA47" s="8">
        <v>1.4287410067317901</v>
      </c>
      <c r="AB47" s="6">
        <v>96.900513774426699</v>
      </c>
      <c r="AC47" s="6">
        <v>96.8258070101664</v>
      </c>
      <c r="AD47" s="6">
        <v>96.799373985985895</v>
      </c>
      <c r="AE47" s="7">
        <v>1.37259348174513E-3</v>
      </c>
      <c r="AF47" s="7">
        <v>6.0133258481631505E-4</v>
      </c>
      <c r="AG47" s="7">
        <v>3.2829966411094798E-4</v>
      </c>
      <c r="AZ47" s="23"/>
      <c r="BB47" s="12">
        <f t="shared" si="6"/>
        <v>0</v>
      </c>
      <c r="BC47" s="12">
        <f t="shared" si="7"/>
        <v>1</v>
      </c>
      <c r="BD47" s="12">
        <f t="shared" si="8"/>
        <v>0</v>
      </c>
      <c r="BE47" s="12">
        <f t="shared" si="4"/>
        <v>1</v>
      </c>
      <c r="BF47" s="12">
        <f t="shared" si="9"/>
        <v>0</v>
      </c>
      <c r="BG47" s="23">
        <f t="shared" si="10"/>
        <v>0</v>
      </c>
      <c r="BH47" s="23">
        <f t="shared" si="11"/>
        <v>0</v>
      </c>
      <c r="BI47" s="23">
        <f t="shared" si="12"/>
        <v>0</v>
      </c>
      <c r="BJ47" s="18">
        <f t="shared" si="13"/>
        <v>1.8119000816461399E-3</v>
      </c>
      <c r="BL47" s="23"/>
      <c r="BN47" s="12">
        <f t="shared" si="14"/>
        <v>0</v>
      </c>
      <c r="BO47" s="12">
        <f t="shared" si="15"/>
        <v>0</v>
      </c>
      <c r="BP47" s="12">
        <f t="shared" si="16"/>
        <v>0</v>
      </c>
      <c r="BQ47" s="12">
        <f t="shared" si="5"/>
        <v>1</v>
      </c>
      <c r="BR47" s="12">
        <f t="shared" si="17"/>
        <v>0</v>
      </c>
      <c r="BS47" s="23">
        <f t="shared" si="18"/>
        <v>0</v>
      </c>
      <c r="BT47" s="23">
        <f t="shared" si="19"/>
        <v>0</v>
      </c>
      <c r="BU47" s="23">
        <f t="shared" si="20"/>
        <v>0</v>
      </c>
      <c r="BV47" s="18">
        <f t="shared" si="21"/>
        <v>0</v>
      </c>
      <c r="BX47" s="18">
        <f t="shared" si="22"/>
        <v>0</v>
      </c>
      <c r="BY47" s="18">
        <f t="shared" si="23"/>
        <v>1.8119000816461399E-3</v>
      </c>
    </row>
    <row r="48" spans="1:102" x14ac:dyDescent="0.3">
      <c r="A48" s="1">
        <v>46092</v>
      </c>
      <c r="B48" s="6">
        <v>66.94</v>
      </c>
      <c r="C48" s="6">
        <v>95.64</v>
      </c>
      <c r="D48" s="7">
        <v>-2.2383057916162399E-3</v>
      </c>
      <c r="E48" s="7">
        <v>-3.2360798635849802E-3</v>
      </c>
      <c r="F48" s="6">
        <v>0</v>
      </c>
      <c r="G48" s="6">
        <v>0.65920000000000001</v>
      </c>
      <c r="H48" s="6">
        <v>0</v>
      </c>
      <c r="I48" s="6">
        <v>0.81759999999999999</v>
      </c>
      <c r="J48" s="6">
        <v>0.65920000000000001</v>
      </c>
      <c r="K48" s="6">
        <v>0.81759999999999999</v>
      </c>
      <c r="L48" s="6">
        <v>67.599199999999996</v>
      </c>
      <c r="M48" s="6">
        <v>96.457599999999999</v>
      </c>
      <c r="N48" s="8">
        <v>1.42874215715566</v>
      </c>
      <c r="O48" s="8">
        <v>1.43297833357297</v>
      </c>
      <c r="P48" s="8">
        <v>1.4305816579117101</v>
      </c>
      <c r="Q48" s="8">
        <v>1.4300173710586499</v>
      </c>
      <c r="R48" s="6">
        <v>95.923569649374599</v>
      </c>
      <c r="S48" s="6">
        <v>95.7715072120656</v>
      </c>
      <c r="T48" s="6">
        <v>95.728245466462496</v>
      </c>
      <c r="U48" s="7">
        <v>2.9605822967148699E-3</v>
      </c>
      <c r="V48" s="7">
        <v>1.3740786504695E-3</v>
      </c>
      <c r="W48" s="7">
        <v>9.2225826183776004E-4</v>
      </c>
      <c r="X48" s="8">
        <v>1.42690446040781</v>
      </c>
      <c r="Y48" s="8">
        <v>1.4302827749172899</v>
      </c>
      <c r="Z48" s="8">
        <v>1.4288962693769001</v>
      </c>
      <c r="AA48" s="8">
        <v>1.4286580564902001</v>
      </c>
      <c r="AB48" s="6">
        <v>96.685971358189093</v>
      </c>
      <c r="AC48" s="6">
        <v>96.606131038627097</v>
      </c>
      <c r="AD48" s="6">
        <v>96.581749062264095</v>
      </c>
      <c r="AE48" s="7">
        <v>2.3647845279878101E-3</v>
      </c>
      <c r="AF48" s="7">
        <v>1.5386739615175201E-3</v>
      </c>
      <c r="AG48" s="7">
        <v>1.2862567138129E-3</v>
      </c>
      <c r="AZ48" s="23"/>
      <c r="BB48" s="12">
        <f t="shared" si="6"/>
        <v>0</v>
      </c>
      <c r="BC48" s="12">
        <f t="shared" si="7"/>
        <v>1</v>
      </c>
      <c r="BD48" s="12">
        <f t="shared" si="8"/>
        <v>0</v>
      </c>
      <c r="BE48" s="12">
        <f t="shared" si="4"/>
        <v>1</v>
      </c>
      <c r="BF48" s="12">
        <f t="shared" si="9"/>
        <v>0</v>
      </c>
      <c r="BG48" s="23">
        <f t="shared" si="10"/>
        <v>0</v>
      </c>
      <c r="BH48" s="23">
        <f t="shared" si="11"/>
        <v>0</v>
      </c>
      <c r="BI48" s="23">
        <f t="shared" si="12"/>
        <v>0</v>
      </c>
      <c r="BJ48" s="18">
        <f t="shared" si="13"/>
        <v>1.8119000816461399E-3</v>
      </c>
      <c r="BL48" s="23"/>
      <c r="BN48" s="12">
        <f t="shared" si="14"/>
        <v>1</v>
      </c>
      <c r="BO48" s="12">
        <f t="shared" si="15"/>
        <v>0</v>
      </c>
      <c r="BP48" s="12">
        <f t="shared" si="16"/>
        <v>0</v>
      </c>
      <c r="BQ48" s="12">
        <f t="shared" si="5"/>
        <v>1</v>
      </c>
      <c r="BR48" s="12">
        <f t="shared" si="17"/>
        <v>0</v>
      </c>
      <c r="BS48" s="23">
        <f t="shared" si="18"/>
        <v>0</v>
      </c>
      <c r="BT48" s="23">
        <f t="shared" si="19"/>
        <v>0</v>
      </c>
      <c r="BU48" s="23">
        <f t="shared" si="20"/>
        <v>0</v>
      </c>
      <c r="BV48" s="18">
        <f t="shared" si="21"/>
        <v>0</v>
      </c>
      <c r="BX48" s="18">
        <f t="shared" si="22"/>
        <v>0</v>
      </c>
      <c r="BY48" s="18">
        <f t="shared" si="23"/>
        <v>1.8119000816461399E-3</v>
      </c>
    </row>
    <row r="49" spans="1:77" x14ac:dyDescent="0.3">
      <c r="A49" s="1">
        <v>46093</v>
      </c>
      <c r="B49" s="6">
        <v>66.41</v>
      </c>
      <c r="C49" s="6">
        <v>94.84</v>
      </c>
      <c r="D49" s="7">
        <v>-7.9490482305582307E-3</v>
      </c>
      <c r="E49" s="7">
        <v>-8.3998813929191604E-3</v>
      </c>
      <c r="F49" s="6">
        <v>0</v>
      </c>
      <c r="G49" s="6">
        <v>0.65920000000000001</v>
      </c>
      <c r="H49" s="6">
        <v>0</v>
      </c>
      <c r="I49" s="6">
        <v>0.81759999999999999</v>
      </c>
      <c r="J49" s="6">
        <v>0.65920000000000001</v>
      </c>
      <c r="K49" s="6">
        <v>0.81759999999999999</v>
      </c>
      <c r="L49" s="6">
        <v>67.069199999999995</v>
      </c>
      <c r="M49" s="6">
        <v>95.657600000000002</v>
      </c>
      <c r="N49" s="8">
        <v>1.42809817798524</v>
      </c>
      <c r="O49" s="8">
        <v>1.43297833357297</v>
      </c>
      <c r="P49" s="8">
        <v>1.4304381609143899</v>
      </c>
      <c r="Q49" s="8">
        <v>1.42993473757254</v>
      </c>
      <c r="R49" s="6">
        <v>95.164091132580893</v>
      </c>
      <c r="S49" s="6">
        <v>95.004927901916702</v>
      </c>
      <c r="T49" s="6">
        <v>94.9674536120055</v>
      </c>
      <c r="U49" s="7">
        <v>3.4114154590757502E-3</v>
      </c>
      <c r="V49" s="7">
        <v>1.73750170975148E-3</v>
      </c>
      <c r="W49" s="7">
        <v>1.34297814691963E-3</v>
      </c>
      <c r="X49" s="8">
        <v>1.4262522886809399</v>
      </c>
      <c r="Y49" s="8">
        <v>1.4302827749172899</v>
      </c>
      <c r="Z49" s="8">
        <v>1.42867138698761</v>
      </c>
      <c r="AA49" s="8">
        <v>1.42853516301456</v>
      </c>
      <c r="AB49" s="6">
        <v>95.927921487482905</v>
      </c>
      <c r="AC49" s="6">
        <v>95.834929670093203</v>
      </c>
      <c r="AD49" s="6">
        <v>95.818952922352906</v>
      </c>
      <c r="AE49" s="7">
        <v>2.82194254318451E-3</v>
      </c>
      <c r="AF49" s="7">
        <v>1.85207977656781E-3</v>
      </c>
      <c r="AG49" s="7">
        <v>1.6853547662400801E-3</v>
      </c>
      <c r="AZ49" s="23"/>
      <c r="BB49" s="12">
        <f t="shared" si="6"/>
        <v>0</v>
      </c>
      <c r="BC49" s="12">
        <f t="shared" si="7"/>
        <v>1</v>
      </c>
      <c r="BD49" s="12">
        <f t="shared" si="8"/>
        <v>0</v>
      </c>
      <c r="BE49" s="12">
        <f t="shared" si="4"/>
        <v>1</v>
      </c>
      <c r="BF49" s="12">
        <f t="shared" si="9"/>
        <v>0</v>
      </c>
      <c r="BG49" s="23">
        <f t="shared" si="10"/>
        <v>0</v>
      </c>
      <c r="BH49" s="23">
        <f t="shared" si="11"/>
        <v>0</v>
      </c>
      <c r="BI49" s="23">
        <f t="shared" si="12"/>
        <v>0</v>
      </c>
      <c r="BJ49" s="18">
        <f t="shared" si="13"/>
        <v>1.8119000816461399E-3</v>
      </c>
      <c r="BL49" s="23"/>
      <c r="BN49" s="12">
        <f t="shared" si="14"/>
        <v>1</v>
      </c>
      <c r="BO49" s="12">
        <f t="shared" si="15"/>
        <v>0</v>
      </c>
      <c r="BP49" s="12">
        <f t="shared" si="16"/>
        <v>1</v>
      </c>
      <c r="BQ49" s="12">
        <f t="shared" si="5"/>
        <v>1</v>
      </c>
      <c r="BR49" s="12">
        <f t="shared" si="17"/>
        <v>1</v>
      </c>
      <c r="BS49" s="23">
        <f t="shared" si="18"/>
        <v>7.9490482305582307E-3</v>
      </c>
      <c r="BT49" s="23">
        <f t="shared" si="19"/>
        <v>-8.3998813929191604E-3</v>
      </c>
      <c r="BU49" s="23">
        <f t="shared" si="20"/>
        <v>-4.508331623609297E-4</v>
      </c>
      <c r="BV49" s="18">
        <f t="shared" si="21"/>
        <v>-4.508331623609297E-4</v>
      </c>
      <c r="BX49" s="18">
        <f t="shared" si="22"/>
        <v>-4.508331623609297E-4</v>
      </c>
      <c r="BY49" s="18">
        <f t="shared" si="23"/>
        <v>1.3610669192852102E-3</v>
      </c>
    </row>
    <row r="50" spans="1:77" x14ac:dyDescent="0.3">
      <c r="A50" s="1">
        <v>46094</v>
      </c>
      <c r="B50" s="6">
        <v>65.989999999999995</v>
      </c>
      <c r="C50" s="6">
        <v>94.38</v>
      </c>
      <c r="D50" s="7">
        <v>-6.3444321572921096E-3</v>
      </c>
      <c r="E50" s="7">
        <v>-4.86207489896337E-3</v>
      </c>
      <c r="F50" s="6">
        <v>0</v>
      </c>
      <c r="G50" s="6">
        <v>0.65920000000000001</v>
      </c>
      <c r="H50" s="6">
        <v>0</v>
      </c>
      <c r="I50" s="6">
        <v>0.81759999999999999</v>
      </c>
      <c r="J50" s="6">
        <v>0.65920000000000001</v>
      </c>
      <c r="K50" s="6">
        <v>0.81759999999999999</v>
      </c>
      <c r="L50" s="6">
        <v>66.649199999999993</v>
      </c>
      <c r="M50" s="6">
        <v>95.197599999999994</v>
      </c>
      <c r="N50" s="8">
        <v>1.4302166994999199</v>
      </c>
      <c r="O50" s="8">
        <v>1.43297833357297</v>
      </c>
      <c r="P50" s="8">
        <v>1.4304751929711801</v>
      </c>
      <c r="Q50" s="8">
        <v>1.4299907599097701</v>
      </c>
      <c r="R50" s="6">
        <v>94.562240232480207</v>
      </c>
      <c r="S50" s="6">
        <v>94.394614238740601</v>
      </c>
      <c r="T50" s="6">
        <v>94.361393332412206</v>
      </c>
      <c r="U50" s="7">
        <v>1.9290582007468601E-3</v>
      </c>
      <c r="V50" s="7">
        <v>1.54832669941495E-4</v>
      </c>
      <c r="W50" s="7">
        <v>-1.97165733700087E-4</v>
      </c>
      <c r="X50" s="8">
        <v>1.4283382246148399</v>
      </c>
      <c r="Y50" s="8">
        <v>1.4302827749172899</v>
      </c>
      <c r="Z50" s="8">
        <v>1.42862389990587</v>
      </c>
      <c r="AA50" s="8">
        <v>1.4285489661703901</v>
      </c>
      <c r="AB50" s="6">
        <v>95.327202722017603</v>
      </c>
      <c r="AC50" s="6">
        <v>95.219805005614703</v>
      </c>
      <c r="AD50" s="6">
        <v>95.210725786790604</v>
      </c>
      <c r="AE50" s="7">
        <v>1.3604815767428501E-3</v>
      </c>
      <c r="AF50" s="7">
        <v>2.3322453863687301E-4</v>
      </c>
      <c r="AG50" s="7">
        <v>1.3786988312809701E-4</v>
      </c>
      <c r="AZ50" s="23"/>
      <c r="BB50" s="12">
        <f t="shared" si="6"/>
        <v>0</v>
      </c>
      <c r="BC50" s="12">
        <f t="shared" si="7"/>
        <v>1</v>
      </c>
      <c r="BD50" s="12">
        <f t="shared" si="8"/>
        <v>0</v>
      </c>
      <c r="BE50" s="12">
        <f t="shared" si="4"/>
        <v>1</v>
      </c>
      <c r="BF50" s="12">
        <f t="shared" si="9"/>
        <v>0</v>
      </c>
      <c r="BG50" s="23">
        <f t="shared" si="10"/>
        <v>0</v>
      </c>
      <c r="BH50" s="23">
        <f t="shared" si="11"/>
        <v>0</v>
      </c>
      <c r="BI50" s="23">
        <f t="shared" si="12"/>
        <v>0</v>
      </c>
      <c r="BJ50" s="18">
        <f t="shared" si="13"/>
        <v>1.8119000816461399E-3</v>
      </c>
      <c r="BL50" s="23"/>
      <c r="BN50" s="12">
        <f t="shared" si="14"/>
        <v>0</v>
      </c>
      <c r="BO50" s="12">
        <f t="shared" si="15"/>
        <v>0</v>
      </c>
      <c r="BP50" s="12">
        <f t="shared" si="16"/>
        <v>1</v>
      </c>
      <c r="BQ50" s="12">
        <f t="shared" si="5"/>
        <v>1</v>
      </c>
      <c r="BR50" s="12">
        <f t="shared" si="17"/>
        <v>1</v>
      </c>
      <c r="BS50" s="23">
        <f t="shared" si="18"/>
        <v>6.3444321572921096E-3</v>
      </c>
      <c r="BT50" s="23">
        <f t="shared" si="19"/>
        <v>-4.86207489896337E-3</v>
      </c>
      <c r="BU50" s="23">
        <f t="shared" si="20"/>
        <v>1.4823572583287396E-3</v>
      </c>
      <c r="BV50" s="18">
        <f t="shared" si="21"/>
        <v>1.0315240959678099E-3</v>
      </c>
      <c r="BX50" s="18">
        <f t="shared" si="22"/>
        <v>1.4823572583287396E-3</v>
      </c>
      <c r="BY50" s="18">
        <f t="shared" si="23"/>
        <v>2.8434241776139498E-3</v>
      </c>
    </row>
    <row r="51" spans="1:77" x14ac:dyDescent="0.3">
      <c r="A51" s="1">
        <v>46097</v>
      </c>
      <c r="B51" s="6">
        <v>66.290000000000006</v>
      </c>
      <c r="C51" s="6">
        <v>94.75</v>
      </c>
      <c r="D51" s="7">
        <v>4.5358408579701101E-3</v>
      </c>
      <c r="E51" s="7">
        <v>3.9126576642944198E-3</v>
      </c>
      <c r="F51" s="6">
        <v>0</v>
      </c>
      <c r="G51" s="6">
        <v>0.65920000000000001</v>
      </c>
      <c r="H51" s="6">
        <v>0</v>
      </c>
      <c r="I51" s="6">
        <v>0.81759999999999999</v>
      </c>
      <c r="J51" s="6">
        <v>0.65920000000000001</v>
      </c>
      <c r="K51" s="6">
        <v>0.81759999999999999</v>
      </c>
      <c r="L51" s="6">
        <v>66.949200000000005</v>
      </c>
      <c r="M51" s="6">
        <v>95.567599999999999</v>
      </c>
      <c r="N51" s="8">
        <v>1.4293256901493401</v>
      </c>
      <c r="O51" s="8">
        <v>1.43297833357297</v>
      </c>
      <c r="P51" s="8">
        <v>1.4301856710233301</v>
      </c>
      <c r="Q51" s="8">
        <v>1.42998235622942</v>
      </c>
      <c r="R51" s="6">
        <v>94.992133732552205</v>
      </c>
      <c r="S51" s="6">
        <v>94.826200542059993</v>
      </c>
      <c r="T51" s="6">
        <v>94.794087474419001</v>
      </c>
      <c r="U51" s="7">
        <v>2.55224139442289E-3</v>
      </c>
      <c r="V51" s="7">
        <v>8.0390413929507301E-4</v>
      </c>
      <c r="W51" s="7">
        <v>4.6519494014876601E-4</v>
      </c>
      <c r="X51" s="8">
        <v>1.4274644058480099</v>
      </c>
      <c r="Y51" s="8">
        <v>1.4302827749172899</v>
      </c>
      <c r="Z51" s="8">
        <v>1.4283332765882</v>
      </c>
      <c r="AA51" s="8">
        <v>1.4284992258965199</v>
      </c>
      <c r="AB51" s="6">
        <v>95.7562875544928</v>
      </c>
      <c r="AC51" s="6">
        <v>95.6452271995785</v>
      </c>
      <c r="AD51" s="6">
        <v>95.640210445935296</v>
      </c>
      <c r="AE51" s="7">
        <v>1.9724417905070601E-3</v>
      </c>
      <c r="AF51" s="7">
        <v>8.1194556850723099E-4</v>
      </c>
      <c r="AG51" s="7">
        <v>7.5949250458222102E-4</v>
      </c>
      <c r="AZ51" s="23"/>
      <c r="BB51" s="12">
        <f t="shared" si="6"/>
        <v>0</v>
      </c>
      <c r="BC51" s="12">
        <f t="shared" si="7"/>
        <v>1</v>
      </c>
      <c r="BD51" s="12">
        <f t="shared" si="8"/>
        <v>0</v>
      </c>
      <c r="BE51" s="12">
        <f t="shared" si="4"/>
        <v>1</v>
      </c>
      <c r="BF51" s="12">
        <f t="shared" si="9"/>
        <v>0</v>
      </c>
      <c r="BG51" s="23">
        <f t="shared" si="10"/>
        <v>0</v>
      </c>
      <c r="BH51" s="23">
        <f t="shared" si="11"/>
        <v>0</v>
      </c>
      <c r="BI51" s="23">
        <f t="shared" si="12"/>
        <v>0</v>
      </c>
      <c r="BJ51" s="18">
        <f t="shared" si="13"/>
        <v>1.8119000816461399E-3</v>
      </c>
      <c r="BL51" s="23"/>
      <c r="BN51" s="12">
        <f t="shared" si="14"/>
        <v>0</v>
      </c>
      <c r="BO51" s="12">
        <f t="shared" si="15"/>
        <v>0</v>
      </c>
      <c r="BP51" s="12">
        <f t="shared" si="16"/>
        <v>1</v>
      </c>
      <c r="BQ51" s="12">
        <f t="shared" si="5"/>
        <v>1</v>
      </c>
      <c r="BR51" s="12">
        <f t="shared" si="17"/>
        <v>1</v>
      </c>
      <c r="BS51" s="23">
        <f t="shared" si="18"/>
        <v>-4.5358408579701101E-3</v>
      </c>
      <c r="BT51" s="23">
        <f t="shared" si="19"/>
        <v>3.9126576642944198E-3</v>
      </c>
      <c r="BU51" s="23">
        <f t="shared" si="20"/>
        <v>-6.2318319367569031E-4</v>
      </c>
      <c r="BV51" s="18">
        <f t="shared" si="21"/>
        <v>4.0834090229211958E-4</v>
      </c>
      <c r="BX51" s="18">
        <f t="shared" si="22"/>
        <v>-6.2318319367569031E-4</v>
      </c>
      <c r="BY51" s="18">
        <f t="shared" si="23"/>
        <v>2.2202409839382595E-3</v>
      </c>
    </row>
    <row r="52" spans="1:77" x14ac:dyDescent="0.3">
      <c r="A52" s="1">
        <v>46098</v>
      </c>
      <c r="B52" s="6">
        <v>66.55</v>
      </c>
      <c r="C52" s="6">
        <v>95.1</v>
      </c>
      <c r="D52" s="7">
        <v>3.9144885878204198E-3</v>
      </c>
      <c r="E52" s="7">
        <v>3.6871255888087898E-3</v>
      </c>
      <c r="F52" s="6">
        <v>0</v>
      </c>
      <c r="G52" s="6">
        <v>0.65920000000000001</v>
      </c>
      <c r="H52" s="6">
        <v>0</v>
      </c>
      <c r="I52" s="6">
        <v>0.81759999999999999</v>
      </c>
      <c r="J52" s="6">
        <v>0.65920000000000001</v>
      </c>
      <c r="K52" s="6">
        <v>0.81759999999999999</v>
      </c>
      <c r="L52" s="6">
        <v>67.209199999999996</v>
      </c>
      <c r="M52" s="6">
        <v>95.917599999999993</v>
      </c>
      <c r="N52" s="8">
        <v>1.4290007513148</v>
      </c>
      <c r="O52" s="8">
        <v>1.43297833357297</v>
      </c>
      <c r="P52" s="8">
        <v>1.42994267721485</v>
      </c>
      <c r="Q52" s="8">
        <v>1.42997872668932</v>
      </c>
      <c r="R52" s="6">
        <v>95.364708099281103</v>
      </c>
      <c r="S52" s="6">
        <v>95.178856406602804</v>
      </c>
      <c r="T52" s="6">
        <v>95.165325807068001</v>
      </c>
      <c r="U52" s="7">
        <v>2.7796043934341999E-3</v>
      </c>
      <c r="V52" s="7">
        <v>8.2885100958189205E-4</v>
      </c>
      <c r="W52" s="7">
        <v>6.8668118437091303E-4</v>
      </c>
      <c r="X52" s="8">
        <v>1.4271498544842001</v>
      </c>
      <c r="Y52" s="8">
        <v>1.4302827749172899</v>
      </c>
      <c r="Z52" s="8">
        <v>1.4280901888247799</v>
      </c>
      <c r="AA52" s="8">
        <v>1.4284545545877301</v>
      </c>
      <c r="AB52" s="6">
        <v>96.128161075971306</v>
      </c>
      <c r="AC52" s="6">
        <v>95.997136852871904</v>
      </c>
      <c r="AD52" s="6">
        <v>96.008290173124706</v>
      </c>
      <c r="AE52" s="7">
        <v>2.1928227852023802E-3</v>
      </c>
      <c r="AF52" s="7">
        <v>8.2887701830518397E-4</v>
      </c>
      <c r="AG52" s="7">
        <v>9.4505415389994397E-4</v>
      </c>
      <c r="AZ52" s="23"/>
      <c r="BB52" s="12">
        <f t="shared" si="6"/>
        <v>0</v>
      </c>
      <c r="BC52" s="12">
        <f t="shared" si="7"/>
        <v>1</v>
      </c>
      <c r="BD52" s="12">
        <f t="shared" si="8"/>
        <v>0</v>
      </c>
      <c r="BE52" s="12">
        <f t="shared" si="4"/>
        <v>1</v>
      </c>
      <c r="BF52" s="12">
        <f t="shared" si="9"/>
        <v>0</v>
      </c>
      <c r="BG52" s="23">
        <f t="shared" si="10"/>
        <v>0</v>
      </c>
      <c r="BH52" s="23">
        <f t="shared" si="11"/>
        <v>0</v>
      </c>
      <c r="BI52" s="23">
        <f t="shared" si="12"/>
        <v>0</v>
      </c>
      <c r="BJ52" s="18">
        <f t="shared" si="13"/>
        <v>1.8119000816461399E-3</v>
      </c>
      <c r="BL52" s="23"/>
      <c r="BN52" s="12">
        <f t="shared" si="14"/>
        <v>0</v>
      </c>
      <c r="BO52" s="12">
        <f t="shared" si="15"/>
        <v>0</v>
      </c>
      <c r="BP52" s="12">
        <f t="shared" si="16"/>
        <v>1</v>
      </c>
      <c r="BQ52" s="12">
        <f t="shared" si="5"/>
        <v>1</v>
      </c>
      <c r="BR52" s="12">
        <f t="shared" si="17"/>
        <v>1</v>
      </c>
      <c r="BS52" s="23">
        <f t="shared" si="18"/>
        <v>-3.9144885878204198E-3</v>
      </c>
      <c r="BT52" s="23">
        <f t="shared" si="19"/>
        <v>3.6871255888087898E-3</v>
      </c>
      <c r="BU52" s="23">
        <f t="shared" si="20"/>
        <v>-2.2736299901162998E-4</v>
      </c>
      <c r="BV52" s="18">
        <f t="shared" si="21"/>
        <v>1.809779032804896E-4</v>
      </c>
      <c r="BX52" s="18">
        <f t="shared" si="22"/>
        <v>-2.2736299901162998E-4</v>
      </c>
      <c r="BY52" s="18">
        <f t="shared" si="23"/>
        <v>1.9928779849266295E-3</v>
      </c>
    </row>
    <row r="53" spans="1:77" x14ac:dyDescent="0.3">
      <c r="A53" s="1">
        <v>46099</v>
      </c>
      <c r="B53" s="6">
        <v>66.010000000000005</v>
      </c>
      <c r="C53" s="6">
        <v>94.36</v>
      </c>
      <c r="D53" s="7">
        <v>-8.1472991404410999E-3</v>
      </c>
      <c r="E53" s="7">
        <v>-7.8117150118702404E-3</v>
      </c>
      <c r="F53" s="6">
        <v>0</v>
      </c>
      <c r="G53" s="6">
        <v>0.65920000000000001</v>
      </c>
      <c r="H53" s="6">
        <v>0</v>
      </c>
      <c r="I53" s="6">
        <v>0.81759999999999999</v>
      </c>
      <c r="J53" s="6">
        <v>0.65920000000000001</v>
      </c>
      <c r="K53" s="6">
        <v>0.81759999999999999</v>
      </c>
      <c r="L53" s="6">
        <v>66.669200000000004</v>
      </c>
      <c r="M53" s="6">
        <v>95.177599999999998</v>
      </c>
      <c r="N53" s="8">
        <v>1.4294803817603301</v>
      </c>
      <c r="O53" s="8">
        <v>1.43297833357297</v>
      </c>
      <c r="P53" s="8">
        <v>1.42961309373729</v>
      </c>
      <c r="Q53" s="8">
        <v>1.4300011800764301</v>
      </c>
      <c r="R53" s="6">
        <v>94.5908997991517</v>
      </c>
      <c r="S53" s="6">
        <v>94.390516122952803</v>
      </c>
      <c r="T53" s="6">
        <v>94.392895748762001</v>
      </c>
      <c r="U53" s="7">
        <v>2.4440202648635398E-3</v>
      </c>
      <c r="V53" s="7">
        <v>3.2334876582600601E-4</v>
      </c>
      <c r="W53" s="7">
        <v>3.4855888133142999E-4</v>
      </c>
      <c r="X53" s="8">
        <v>1.4276097508294601</v>
      </c>
      <c r="Y53" s="8">
        <v>1.4302827749172899</v>
      </c>
      <c r="Z53" s="8">
        <v>1.4277594036410199</v>
      </c>
      <c r="AA53" s="8">
        <v>1.42843494661321</v>
      </c>
      <c r="AB53" s="6">
        <v>95.355808377515999</v>
      </c>
      <c r="AC53" s="6">
        <v>95.209630416797197</v>
      </c>
      <c r="AD53" s="6">
        <v>95.233922390720394</v>
      </c>
      <c r="AE53" s="7">
        <v>1.87062658459509E-3</v>
      </c>
      <c r="AF53" s="7">
        <v>3.3647652764689498E-4</v>
      </c>
      <c r="AG53" s="7">
        <v>5.9158596765498104E-4</v>
      </c>
      <c r="AZ53" s="23"/>
      <c r="BB53" s="12">
        <f t="shared" si="6"/>
        <v>0</v>
      </c>
      <c r="BC53" s="12">
        <f t="shared" si="7"/>
        <v>1</v>
      </c>
      <c r="BD53" s="12">
        <f t="shared" si="8"/>
        <v>0</v>
      </c>
      <c r="BE53" s="12">
        <f t="shared" si="4"/>
        <v>1</v>
      </c>
      <c r="BF53" s="12">
        <f t="shared" si="9"/>
        <v>0</v>
      </c>
      <c r="BG53" s="23">
        <f t="shared" si="10"/>
        <v>0</v>
      </c>
      <c r="BH53" s="23">
        <f t="shared" si="11"/>
        <v>0</v>
      </c>
      <c r="BI53" s="23">
        <f t="shared" si="12"/>
        <v>0</v>
      </c>
      <c r="BJ53" s="18">
        <f t="shared" si="13"/>
        <v>1.8119000816461399E-3</v>
      </c>
      <c r="BL53" s="23"/>
      <c r="BN53" s="12">
        <f t="shared" si="14"/>
        <v>0</v>
      </c>
      <c r="BO53" s="12">
        <f t="shared" si="15"/>
        <v>0</v>
      </c>
      <c r="BP53" s="12">
        <f t="shared" si="16"/>
        <v>1</v>
      </c>
      <c r="BQ53" s="12">
        <f t="shared" si="5"/>
        <v>1</v>
      </c>
      <c r="BR53" s="12">
        <f t="shared" si="17"/>
        <v>1</v>
      </c>
      <c r="BS53" s="23">
        <f t="shared" si="18"/>
        <v>8.1472991404410999E-3</v>
      </c>
      <c r="BT53" s="23">
        <f t="shared" si="19"/>
        <v>-7.8117150118702404E-3</v>
      </c>
      <c r="BU53" s="23">
        <f t="shared" si="20"/>
        <v>3.3558412857085957E-4</v>
      </c>
      <c r="BV53" s="18">
        <f t="shared" si="21"/>
        <v>5.1656203185134917E-4</v>
      </c>
      <c r="BX53" s="18">
        <f t="shared" si="22"/>
        <v>3.3558412857085957E-4</v>
      </c>
      <c r="BY53" s="18">
        <f t="shared" si="23"/>
        <v>2.3284621134974891E-3</v>
      </c>
    </row>
    <row r="54" spans="1:77" x14ac:dyDescent="0.3">
      <c r="A54" s="1">
        <v>46100</v>
      </c>
      <c r="B54" s="6">
        <v>66.14</v>
      </c>
      <c r="C54" s="6">
        <v>94.63</v>
      </c>
      <c r="D54" s="7">
        <v>1.9674618529671702E-3</v>
      </c>
      <c r="E54" s="7">
        <v>2.8572959806670499E-3</v>
      </c>
      <c r="F54" s="6">
        <v>0</v>
      </c>
      <c r="G54" s="6">
        <v>0.65920000000000001</v>
      </c>
      <c r="H54" s="6">
        <v>0</v>
      </c>
      <c r="I54" s="6">
        <v>0.81759999999999999</v>
      </c>
      <c r="J54" s="6">
        <v>0.65920000000000001</v>
      </c>
      <c r="K54" s="6">
        <v>0.81759999999999999</v>
      </c>
      <c r="L54" s="6">
        <v>66.799199999999999</v>
      </c>
      <c r="M54" s="6">
        <v>95.447599999999994</v>
      </c>
      <c r="N54" s="8">
        <v>1.4307529482915</v>
      </c>
      <c r="O54" s="8">
        <v>1.43297833357297</v>
      </c>
      <c r="P54" s="8">
        <v>1.42967013660027</v>
      </c>
      <c r="Q54" s="8">
        <v>1.4300840955835901</v>
      </c>
      <c r="R54" s="6">
        <v>94.777186982516199</v>
      </c>
      <c r="S54" s="6">
        <v>94.554610019784306</v>
      </c>
      <c r="T54" s="6">
        <v>94.580278050255103</v>
      </c>
      <c r="U54" s="7">
        <v>1.5541861371637701E-3</v>
      </c>
      <c r="V54" s="7">
        <v>-7.9699912374913405E-4</v>
      </c>
      <c r="W54" s="7">
        <v>-5.2557346674596695E-4</v>
      </c>
      <c r="X54" s="8">
        <v>1.42887339968143</v>
      </c>
      <c r="Y54" s="8">
        <v>1.4302827749172899</v>
      </c>
      <c r="Z54" s="8">
        <v>1.4278124413690201</v>
      </c>
      <c r="AA54" s="8">
        <v>1.42847543057287</v>
      </c>
      <c r="AB54" s="6">
        <v>95.541745138255195</v>
      </c>
      <c r="AC54" s="6">
        <v>95.373185955697295</v>
      </c>
      <c r="AD54" s="6">
        <v>95.418311685805506</v>
      </c>
      <c r="AE54" s="7">
        <v>9.8586804214018196E-4</v>
      </c>
      <c r="AF54" s="7">
        <v>-7.79936501174754E-4</v>
      </c>
      <c r="AG54" s="7">
        <v>-3.0689937418004498E-4</v>
      </c>
      <c r="AZ54" s="23"/>
      <c r="BB54" s="12">
        <f t="shared" si="6"/>
        <v>0</v>
      </c>
      <c r="BC54" s="12">
        <f t="shared" si="7"/>
        <v>1</v>
      </c>
      <c r="BD54" s="12">
        <f t="shared" si="8"/>
        <v>0</v>
      </c>
      <c r="BE54" s="12">
        <f t="shared" si="4"/>
        <v>1</v>
      </c>
      <c r="BF54" s="12">
        <f t="shared" si="9"/>
        <v>0</v>
      </c>
      <c r="BG54" s="23">
        <f t="shared" si="10"/>
        <v>0</v>
      </c>
      <c r="BH54" s="23">
        <f t="shared" si="11"/>
        <v>0</v>
      </c>
      <c r="BI54" s="23">
        <f t="shared" si="12"/>
        <v>0</v>
      </c>
      <c r="BJ54" s="18">
        <f t="shared" si="13"/>
        <v>1.8119000816461399E-3</v>
      </c>
      <c r="BL54" s="23"/>
      <c r="BN54" s="12">
        <f t="shared" si="14"/>
        <v>0</v>
      </c>
      <c r="BO54" s="12">
        <f t="shared" si="15"/>
        <v>1</v>
      </c>
      <c r="BP54" s="12">
        <f t="shared" si="16"/>
        <v>1</v>
      </c>
      <c r="BQ54" s="12">
        <f t="shared" si="5"/>
        <v>1</v>
      </c>
      <c r="BR54" s="12">
        <f t="shared" si="17"/>
        <v>1</v>
      </c>
      <c r="BS54" s="23">
        <f t="shared" si="18"/>
        <v>-1.9674618529671702E-3</v>
      </c>
      <c r="BT54" s="23">
        <f t="shared" si="19"/>
        <v>2.8572959806670499E-3</v>
      </c>
      <c r="BU54" s="23">
        <f t="shared" si="20"/>
        <v>8.8983412769987969E-4</v>
      </c>
      <c r="BV54" s="18">
        <f t="shared" si="21"/>
        <v>1.4063961595512289E-3</v>
      </c>
      <c r="BX54" s="18">
        <f t="shared" si="22"/>
        <v>8.8983412769987969E-4</v>
      </c>
      <c r="BY54" s="18">
        <f t="shared" si="23"/>
        <v>3.2182962411973688E-3</v>
      </c>
    </row>
    <row r="55" spans="1:77" x14ac:dyDescent="0.3">
      <c r="A55" s="1">
        <v>46101</v>
      </c>
      <c r="B55" s="6">
        <v>65.2</v>
      </c>
      <c r="C55" s="6">
        <v>93.15</v>
      </c>
      <c r="D55" s="7">
        <v>-1.43142386210394E-2</v>
      </c>
      <c r="E55" s="7">
        <v>-1.5763453472543699E-2</v>
      </c>
      <c r="F55" s="6">
        <v>0</v>
      </c>
      <c r="G55" s="6">
        <v>0.65920000000000001</v>
      </c>
      <c r="H55" s="6">
        <v>0</v>
      </c>
      <c r="I55" s="6">
        <v>0.81759999999999999</v>
      </c>
      <c r="J55" s="6">
        <v>0.65920000000000001</v>
      </c>
      <c r="K55" s="6">
        <v>0.81759999999999999</v>
      </c>
      <c r="L55" s="6">
        <v>65.859200000000001</v>
      </c>
      <c r="M55" s="6">
        <v>93.967600000000004</v>
      </c>
      <c r="N55" s="8">
        <v>1.42868098159509</v>
      </c>
      <c r="O55" s="8">
        <v>1.43297833357297</v>
      </c>
      <c r="P55" s="8">
        <v>1.4294996927818899</v>
      </c>
      <c r="Q55" s="8">
        <v>1.4300320538873501</v>
      </c>
      <c r="R55" s="6">
        <v>93.430187348957602</v>
      </c>
      <c r="S55" s="6">
        <v>93.214492906337796</v>
      </c>
      <c r="T55" s="6">
        <v>93.241483032050198</v>
      </c>
      <c r="U55" s="7">
        <v>3.0034009886680301E-3</v>
      </c>
      <c r="V55" s="7">
        <v>6.9211584145184503E-4</v>
      </c>
      <c r="W55" s="7">
        <v>9.8162252811174393E-4</v>
      </c>
      <c r="X55" s="8">
        <v>1.42679534522132</v>
      </c>
      <c r="Y55" s="8">
        <v>1.4302827749172899</v>
      </c>
      <c r="Z55" s="8">
        <v>1.42763880603115</v>
      </c>
      <c r="AA55" s="8">
        <v>1.4283807780529401</v>
      </c>
      <c r="AB55" s="6">
        <v>94.197279329832995</v>
      </c>
      <c r="AC55" s="6">
        <v>94.034585138610595</v>
      </c>
      <c r="AD55" s="6">
        <v>94.078249077185305</v>
      </c>
      <c r="AE55" s="7">
        <v>2.4412573134804999E-3</v>
      </c>
      <c r="AF55" s="7">
        <v>7.1259960511428405E-4</v>
      </c>
      <c r="AG55" s="7">
        <v>1.17683097498299E-3</v>
      </c>
      <c r="AZ55" s="23"/>
      <c r="BB55" s="12">
        <f t="shared" si="6"/>
        <v>0</v>
      </c>
      <c r="BC55" s="12">
        <f t="shared" si="7"/>
        <v>1</v>
      </c>
      <c r="BD55" s="12">
        <f t="shared" si="8"/>
        <v>0</v>
      </c>
      <c r="BE55" s="12">
        <f t="shared" si="4"/>
        <v>1</v>
      </c>
      <c r="BF55" s="12">
        <f t="shared" si="9"/>
        <v>0</v>
      </c>
      <c r="BG55" s="23">
        <f t="shared" si="10"/>
        <v>0</v>
      </c>
      <c r="BH55" s="23">
        <f t="shared" si="11"/>
        <v>0</v>
      </c>
      <c r="BI55" s="23">
        <f t="shared" si="12"/>
        <v>0</v>
      </c>
      <c r="BJ55" s="18">
        <f t="shared" si="13"/>
        <v>1.8119000816461399E-3</v>
      </c>
      <c r="BL55" s="23"/>
      <c r="BN55" s="12">
        <f t="shared" si="14"/>
        <v>1</v>
      </c>
      <c r="BO55" s="12">
        <f t="shared" si="15"/>
        <v>0</v>
      </c>
      <c r="BP55" s="12">
        <f t="shared" si="16"/>
        <v>0</v>
      </c>
      <c r="BQ55" s="12">
        <f t="shared" si="5"/>
        <v>1</v>
      </c>
      <c r="BR55" s="12">
        <f t="shared" si="17"/>
        <v>0</v>
      </c>
      <c r="BS55" s="23">
        <f t="shared" si="18"/>
        <v>0</v>
      </c>
      <c r="BT55" s="23">
        <f t="shared" si="19"/>
        <v>0</v>
      </c>
      <c r="BU55" s="23">
        <f t="shared" si="20"/>
        <v>0</v>
      </c>
      <c r="BV55" s="18">
        <f t="shared" si="21"/>
        <v>1.4063961595512289E-3</v>
      </c>
      <c r="BX55" s="18">
        <f t="shared" si="22"/>
        <v>0</v>
      </c>
      <c r="BY55" s="18">
        <f t="shared" si="23"/>
        <v>3.2182962411973688E-3</v>
      </c>
    </row>
    <row r="56" spans="1:77" x14ac:dyDescent="0.3">
      <c r="A56" s="1">
        <v>46104</v>
      </c>
      <c r="B56" s="6">
        <v>65.7</v>
      </c>
      <c r="C56" s="6">
        <v>94.06</v>
      </c>
      <c r="D56" s="7">
        <v>7.6394565579576204E-3</v>
      </c>
      <c r="E56" s="7">
        <v>9.7217794693044094E-3</v>
      </c>
      <c r="F56" s="6">
        <v>0</v>
      </c>
      <c r="G56" s="6">
        <v>0.65920000000000001</v>
      </c>
      <c r="H56" s="6">
        <v>0</v>
      </c>
      <c r="I56" s="6">
        <v>0.81759999999999999</v>
      </c>
      <c r="J56" s="6">
        <v>0.65920000000000001</v>
      </c>
      <c r="K56" s="6">
        <v>0.81759999999999999</v>
      </c>
      <c r="L56" s="6">
        <v>66.359200000000001</v>
      </c>
      <c r="M56" s="6">
        <v>94.877600000000001</v>
      </c>
      <c r="N56" s="8">
        <v>1.4316590563165901</v>
      </c>
      <c r="O56" s="8">
        <v>1.43297833357297</v>
      </c>
      <c r="P56" s="8">
        <v>1.4296125274535001</v>
      </c>
      <c r="Q56" s="8">
        <v>1.4301582274140201</v>
      </c>
      <c r="R56" s="6">
        <v>94.146676515744105</v>
      </c>
      <c r="S56" s="6">
        <v>93.9181298157703</v>
      </c>
      <c r="T56" s="6">
        <v>93.953105940399496</v>
      </c>
      <c r="U56" s="7">
        <v>9.2107807732118296E-4</v>
      </c>
      <c r="V56" s="7">
        <v>-1.5094331591126899E-3</v>
      </c>
      <c r="W56" s="7">
        <v>-1.1370916998948799E-3</v>
      </c>
      <c r="X56" s="8">
        <v>1.42975804409938</v>
      </c>
      <c r="Y56" s="8">
        <v>1.4302827749172899</v>
      </c>
      <c r="Z56" s="8">
        <v>1.42774666986901</v>
      </c>
      <c r="AA56" s="8">
        <v>1.42846337444911</v>
      </c>
      <c r="AB56" s="6">
        <v>94.912420717291596</v>
      </c>
      <c r="AC56" s="6">
        <v>94.736969057182606</v>
      </c>
      <c r="AD56" s="6">
        <v>94.786205726970906</v>
      </c>
      <c r="AE56" s="7">
        <v>3.6693939492485702E-4</v>
      </c>
      <c r="AF56" s="7">
        <v>-1.48333505492002E-3</v>
      </c>
      <c r="AG56" s="7">
        <v>-9.6375035555968898E-4</v>
      </c>
      <c r="AZ56" s="23"/>
      <c r="BB56" s="12">
        <f t="shared" si="6"/>
        <v>0</v>
      </c>
      <c r="BC56" s="12">
        <f t="shared" si="7"/>
        <v>0</v>
      </c>
      <c r="BD56" s="12">
        <f t="shared" si="8"/>
        <v>0</v>
      </c>
      <c r="BE56" s="12">
        <f t="shared" si="4"/>
        <v>1</v>
      </c>
      <c r="BF56" s="12">
        <f t="shared" si="9"/>
        <v>0</v>
      </c>
      <c r="BG56" s="23">
        <f t="shared" si="10"/>
        <v>0</v>
      </c>
      <c r="BH56" s="23">
        <f t="shared" si="11"/>
        <v>0</v>
      </c>
      <c r="BI56" s="23">
        <f t="shared" si="12"/>
        <v>0</v>
      </c>
      <c r="BJ56" s="18">
        <f t="shared" si="13"/>
        <v>1.8119000816461399E-3</v>
      </c>
      <c r="BL56" s="23"/>
      <c r="BN56" s="12">
        <f t="shared" si="14"/>
        <v>0</v>
      </c>
      <c r="BO56" s="12">
        <f t="shared" si="15"/>
        <v>1</v>
      </c>
      <c r="BP56" s="12">
        <f t="shared" si="16"/>
        <v>1</v>
      </c>
      <c r="BQ56" s="12">
        <f t="shared" si="5"/>
        <v>1</v>
      </c>
      <c r="BR56" s="12">
        <f t="shared" si="17"/>
        <v>1</v>
      </c>
      <c r="BS56" s="23">
        <f t="shared" si="18"/>
        <v>-7.6394565579576204E-3</v>
      </c>
      <c r="BT56" s="23">
        <f t="shared" si="19"/>
        <v>9.7217794693044094E-3</v>
      </c>
      <c r="BU56" s="23">
        <f t="shared" si="20"/>
        <v>2.082322911346789E-3</v>
      </c>
      <c r="BV56" s="18">
        <f t="shared" si="21"/>
        <v>3.4887190708980179E-3</v>
      </c>
      <c r="BX56" s="18">
        <f t="shared" si="22"/>
        <v>2.082322911346789E-3</v>
      </c>
      <c r="BY56" s="18">
        <f t="shared" si="23"/>
        <v>5.3006191525441573E-3</v>
      </c>
    </row>
    <row r="57" spans="1:77" x14ac:dyDescent="0.3">
      <c r="A57" s="1">
        <v>46105</v>
      </c>
      <c r="B57" s="6">
        <v>65.44</v>
      </c>
      <c r="C57" s="6">
        <v>93.58</v>
      </c>
      <c r="D57" s="7">
        <v>-3.9652331960732404E-3</v>
      </c>
      <c r="E57" s="7">
        <v>-5.1161910788317796E-3</v>
      </c>
      <c r="F57" s="6">
        <v>0</v>
      </c>
      <c r="G57" s="6">
        <v>0.65920000000000001</v>
      </c>
      <c r="H57" s="6">
        <v>0</v>
      </c>
      <c r="I57" s="6">
        <v>0.81759999999999999</v>
      </c>
      <c r="J57" s="6">
        <v>0.65920000000000001</v>
      </c>
      <c r="K57" s="6">
        <v>0.81759999999999999</v>
      </c>
      <c r="L57" s="6">
        <v>66.099199999999996</v>
      </c>
      <c r="M57" s="6">
        <v>94.397599999999997</v>
      </c>
      <c r="N57" s="8">
        <v>1.43001222493887</v>
      </c>
      <c r="O57" s="8">
        <v>1.43297833357297</v>
      </c>
      <c r="P57" s="8">
        <v>1.4295969069007299</v>
      </c>
      <c r="Q57" s="8">
        <v>1.43015180878399</v>
      </c>
      <c r="R57" s="6">
        <v>93.774102149015107</v>
      </c>
      <c r="S57" s="6">
        <v>93.553843796557203</v>
      </c>
      <c r="T57" s="6">
        <v>93.589554401973899</v>
      </c>
      <c r="U57" s="7">
        <v>2.0720359600796801E-3</v>
      </c>
      <c r="V57" s="7">
        <v>-2.7954541073275599E-4</v>
      </c>
      <c r="W57" s="7">
        <v>1.0209354841643799E-4</v>
      </c>
      <c r="X57" s="8">
        <v>1.4281201587916299</v>
      </c>
      <c r="Y57" s="8">
        <v>1.4302827749172899</v>
      </c>
      <c r="Z57" s="8">
        <v>1.4277265932659</v>
      </c>
      <c r="AA57" s="8">
        <v>1.4284141421949299</v>
      </c>
      <c r="AB57" s="6">
        <v>94.540547195813105</v>
      </c>
      <c r="AC57" s="6">
        <v>94.372912681006099</v>
      </c>
      <c r="AD57" s="6">
        <v>94.420286280387103</v>
      </c>
      <c r="AE57" s="7">
        <v>1.51316423083311E-3</v>
      </c>
      <c r="AF57" s="7">
        <v>-2.6155906220743801E-4</v>
      </c>
      <c r="AG57" s="7">
        <v>2.4029800294067801E-4</v>
      </c>
      <c r="AZ57" s="23"/>
      <c r="BB57" s="12">
        <f t="shared" si="6"/>
        <v>0</v>
      </c>
      <c r="BC57" s="12">
        <f t="shared" si="7"/>
        <v>1</v>
      </c>
      <c r="BD57" s="12">
        <f t="shared" si="8"/>
        <v>0</v>
      </c>
      <c r="BE57" s="12">
        <f t="shared" si="4"/>
        <v>1</v>
      </c>
      <c r="BF57" s="12">
        <f t="shared" si="9"/>
        <v>0</v>
      </c>
      <c r="BG57" s="23">
        <f t="shared" si="10"/>
        <v>0</v>
      </c>
      <c r="BH57" s="23">
        <f t="shared" si="11"/>
        <v>0</v>
      </c>
      <c r="BI57" s="23">
        <f t="shared" si="12"/>
        <v>0</v>
      </c>
      <c r="BJ57" s="18">
        <f t="shared" si="13"/>
        <v>1.8119000816461399E-3</v>
      </c>
      <c r="BL57" s="23"/>
      <c r="BN57" s="12">
        <f t="shared" si="14"/>
        <v>0</v>
      </c>
      <c r="BO57" s="12">
        <f t="shared" si="15"/>
        <v>0</v>
      </c>
      <c r="BP57" s="12">
        <f t="shared" si="16"/>
        <v>0</v>
      </c>
      <c r="BQ57" s="12">
        <f t="shared" si="5"/>
        <v>1</v>
      </c>
      <c r="BR57" s="12">
        <f t="shared" si="17"/>
        <v>0</v>
      </c>
      <c r="BS57" s="23">
        <f t="shared" si="18"/>
        <v>0</v>
      </c>
      <c r="BT57" s="23">
        <f t="shared" si="19"/>
        <v>0</v>
      </c>
      <c r="BU57" s="23">
        <f t="shared" si="20"/>
        <v>0</v>
      </c>
      <c r="BV57" s="18">
        <f t="shared" si="21"/>
        <v>3.4887190708980179E-3</v>
      </c>
      <c r="BX57" s="18">
        <f t="shared" si="22"/>
        <v>0</v>
      </c>
      <c r="BY57" s="18">
        <f t="shared" si="23"/>
        <v>5.3006191525441573E-3</v>
      </c>
    </row>
    <row r="58" spans="1:77" x14ac:dyDescent="0.3">
      <c r="A58" s="1">
        <v>46106</v>
      </c>
      <c r="B58" s="6">
        <v>66.010000000000005</v>
      </c>
      <c r="C58" s="6">
        <v>94.43</v>
      </c>
      <c r="D58" s="7">
        <v>8.6725534061879005E-3</v>
      </c>
      <c r="E58" s="7">
        <v>9.0421338369075996E-3</v>
      </c>
      <c r="F58" s="6">
        <v>0</v>
      </c>
      <c r="G58" s="6">
        <v>0.65920000000000001</v>
      </c>
      <c r="H58" s="6">
        <v>0</v>
      </c>
      <c r="I58" s="6">
        <v>0.81759999999999999</v>
      </c>
      <c r="J58" s="6">
        <v>0.65920000000000001</v>
      </c>
      <c r="K58" s="6">
        <v>0.81759999999999999</v>
      </c>
      <c r="L58" s="6">
        <v>66.669200000000004</v>
      </c>
      <c r="M58" s="6">
        <v>95.247600000000006</v>
      </c>
      <c r="N58" s="8">
        <v>1.4305408271474001</v>
      </c>
      <c r="O58" s="8">
        <v>1.43297833357297</v>
      </c>
      <c r="P58" s="8">
        <v>1.4297767738999101</v>
      </c>
      <c r="Q58" s="8">
        <v>1.43017921590581</v>
      </c>
      <c r="R58" s="6">
        <v>94.5908997991517</v>
      </c>
      <c r="S58" s="6">
        <v>94.367691824517607</v>
      </c>
      <c r="T58" s="6">
        <v>94.404320897831397</v>
      </c>
      <c r="U58" s="7">
        <v>1.7024555293598199E-3</v>
      </c>
      <c r="V58" s="7">
        <v>-6.6005232524126399E-4</v>
      </c>
      <c r="W58" s="7">
        <v>-2.7197494824856498E-4</v>
      </c>
      <c r="X58" s="8">
        <v>1.42865971093098</v>
      </c>
      <c r="Y58" s="8">
        <v>1.4302827749172899</v>
      </c>
      <c r="Z58" s="8">
        <v>1.4279021183182199</v>
      </c>
      <c r="AA58" s="8">
        <v>1.42839919384756</v>
      </c>
      <c r="AB58" s="6">
        <v>95.355808377515999</v>
      </c>
      <c r="AC58" s="6">
        <v>95.185389791763399</v>
      </c>
      <c r="AD58" s="6">
        <v>95.231228128822593</v>
      </c>
      <c r="AE58" s="7">
        <v>1.13542973929298E-3</v>
      </c>
      <c r="AF58" s="7">
        <v>-6.5335539307087001E-4</v>
      </c>
      <c r="AG58" s="7">
        <v>-1.71902267338628E-4</v>
      </c>
      <c r="AZ58" s="23"/>
      <c r="BB58" s="12">
        <f t="shared" si="6"/>
        <v>0</v>
      </c>
      <c r="BC58" s="12">
        <f t="shared" si="7"/>
        <v>1</v>
      </c>
      <c r="BD58" s="12">
        <f t="shared" si="8"/>
        <v>0</v>
      </c>
      <c r="BE58" s="12">
        <f t="shared" si="4"/>
        <v>1</v>
      </c>
      <c r="BF58" s="12">
        <f t="shared" si="9"/>
        <v>0</v>
      </c>
      <c r="BG58" s="23">
        <f t="shared" si="10"/>
        <v>0</v>
      </c>
      <c r="BH58" s="23">
        <f t="shared" si="11"/>
        <v>0</v>
      </c>
      <c r="BI58" s="23">
        <f t="shared" si="12"/>
        <v>0</v>
      </c>
      <c r="BJ58" s="18">
        <f t="shared" si="13"/>
        <v>1.8119000816461399E-3</v>
      </c>
      <c r="BL58" s="23"/>
      <c r="BN58" s="12">
        <f t="shared" si="14"/>
        <v>0</v>
      </c>
      <c r="BO58" s="12">
        <f t="shared" si="15"/>
        <v>1</v>
      </c>
      <c r="BP58" s="12">
        <f t="shared" si="16"/>
        <v>0</v>
      </c>
      <c r="BQ58" s="12">
        <f t="shared" si="5"/>
        <v>1</v>
      </c>
      <c r="BR58" s="12">
        <f t="shared" si="17"/>
        <v>0</v>
      </c>
      <c r="BS58" s="23">
        <f t="shared" si="18"/>
        <v>0</v>
      </c>
      <c r="BT58" s="23">
        <f t="shared" si="19"/>
        <v>0</v>
      </c>
      <c r="BU58" s="23">
        <f t="shared" si="20"/>
        <v>0</v>
      </c>
      <c r="BV58" s="18">
        <f t="shared" si="21"/>
        <v>3.4887190708980179E-3</v>
      </c>
      <c r="BX58" s="18">
        <f t="shared" si="22"/>
        <v>0</v>
      </c>
      <c r="BY58" s="18">
        <f t="shared" si="23"/>
        <v>5.3006191525441573E-3</v>
      </c>
    </row>
    <row r="59" spans="1:77" x14ac:dyDescent="0.3">
      <c r="A59" s="1">
        <v>46107</v>
      </c>
      <c r="B59" s="6">
        <v>65.33</v>
      </c>
      <c r="C59" s="6">
        <v>93.46</v>
      </c>
      <c r="D59" s="7">
        <v>-1.03548968480205E-2</v>
      </c>
      <c r="E59" s="7">
        <v>-1.03252820026978E-2</v>
      </c>
      <c r="F59" s="6">
        <v>0</v>
      </c>
      <c r="G59" s="6">
        <v>0.65920000000000001</v>
      </c>
      <c r="H59" s="6">
        <v>0</v>
      </c>
      <c r="I59" s="6">
        <v>0.81759999999999999</v>
      </c>
      <c r="J59" s="6">
        <v>0.65920000000000001</v>
      </c>
      <c r="K59" s="6">
        <v>0.81759999999999999</v>
      </c>
      <c r="L59" s="6">
        <v>65.989199999999997</v>
      </c>
      <c r="M59" s="6">
        <v>94.277599999999893</v>
      </c>
      <c r="N59" s="8">
        <v>1.4305831930200501</v>
      </c>
      <c r="O59" s="8">
        <v>1.43297833357297</v>
      </c>
      <c r="P59" s="8">
        <v>1.43002527540339</v>
      </c>
      <c r="Q59" s="8">
        <v>1.4302317181588899</v>
      </c>
      <c r="R59" s="6">
        <v>93.616474532322101</v>
      </c>
      <c r="S59" s="6">
        <v>93.407316638881198</v>
      </c>
      <c r="T59" s="6">
        <v>93.433608175126594</v>
      </c>
      <c r="U59" s="7">
        <v>1.6728406840372499E-3</v>
      </c>
      <c r="V59" s="7">
        <v>-5.63858500910944E-4</v>
      </c>
      <c r="W59" s="7">
        <v>-2.8242619216875298E-4</v>
      </c>
      <c r="X59" s="8">
        <v>1.42868226921981</v>
      </c>
      <c r="Y59" s="8">
        <v>1.4302827749172899</v>
      </c>
      <c r="Z59" s="8">
        <v>1.4281451163721099</v>
      </c>
      <c r="AA59" s="8">
        <v>1.42840825167986</v>
      </c>
      <c r="AB59" s="6">
        <v>94.383216090572205</v>
      </c>
      <c r="AC59" s="6">
        <v>94.226118466124902</v>
      </c>
      <c r="AD59" s="6">
        <v>94.258920082645503</v>
      </c>
      <c r="AE59" s="7">
        <v>1.11964003754628E-3</v>
      </c>
      <c r="AF59" s="7">
        <v>-5.4621240974849698E-4</v>
      </c>
      <c r="AG59" s="7">
        <v>-1.98157019206203E-4</v>
      </c>
      <c r="AZ59" s="23"/>
      <c r="BB59" s="12">
        <f t="shared" si="6"/>
        <v>0</v>
      </c>
      <c r="BC59" s="12">
        <f t="shared" si="7"/>
        <v>1</v>
      </c>
      <c r="BD59" s="12">
        <f t="shared" si="8"/>
        <v>0</v>
      </c>
      <c r="BE59" s="12">
        <f t="shared" si="4"/>
        <v>1</v>
      </c>
      <c r="BF59" s="12">
        <f t="shared" si="9"/>
        <v>0</v>
      </c>
      <c r="BG59" s="23">
        <f t="shared" si="10"/>
        <v>0</v>
      </c>
      <c r="BH59" s="23">
        <f t="shared" si="11"/>
        <v>0</v>
      </c>
      <c r="BI59" s="23">
        <f t="shared" si="12"/>
        <v>0</v>
      </c>
      <c r="BJ59" s="18">
        <f t="shared" si="13"/>
        <v>1.8119000816461399E-3</v>
      </c>
      <c r="BL59" s="23"/>
      <c r="BN59" s="12">
        <f t="shared" si="14"/>
        <v>0</v>
      </c>
      <c r="BO59" s="12">
        <f t="shared" si="15"/>
        <v>1</v>
      </c>
      <c r="BP59" s="12">
        <f t="shared" si="16"/>
        <v>0</v>
      </c>
      <c r="BQ59" s="12">
        <f t="shared" si="5"/>
        <v>1</v>
      </c>
      <c r="BR59" s="12">
        <f t="shared" si="17"/>
        <v>0</v>
      </c>
      <c r="BS59" s="23">
        <f t="shared" si="18"/>
        <v>0</v>
      </c>
      <c r="BT59" s="23">
        <f t="shared" si="19"/>
        <v>0</v>
      </c>
      <c r="BU59" s="23">
        <f t="shared" si="20"/>
        <v>0</v>
      </c>
      <c r="BV59" s="18">
        <f t="shared" si="21"/>
        <v>3.4887190708980179E-3</v>
      </c>
      <c r="BX59" s="18">
        <f t="shared" si="22"/>
        <v>0</v>
      </c>
      <c r="BY59" s="18">
        <f t="shared" si="23"/>
        <v>5.3006191525441573E-3</v>
      </c>
    </row>
    <row r="60" spans="1:77" x14ac:dyDescent="0.3">
      <c r="A60" s="1">
        <v>46108</v>
      </c>
      <c r="B60" s="6">
        <v>65</v>
      </c>
      <c r="C60" s="6">
        <v>92.95</v>
      </c>
      <c r="D60" s="7">
        <v>-5.0640789570218598E-3</v>
      </c>
      <c r="E60" s="7">
        <v>-5.4718231048270297E-3</v>
      </c>
      <c r="F60" s="6">
        <v>0</v>
      </c>
      <c r="G60" s="6">
        <v>0.65920000000000001</v>
      </c>
      <c r="H60" s="6">
        <v>0</v>
      </c>
      <c r="I60" s="6">
        <v>0.81759999999999999</v>
      </c>
      <c r="J60" s="6">
        <v>0.65920000000000001</v>
      </c>
      <c r="K60" s="6">
        <v>0.81759999999999999</v>
      </c>
      <c r="L60" s="6">
        <v>65.659199999999998</v>
      </c>
      <c r="M60" s="6">
        <v>93.767600000000002</v>
      </c>
      <c r="N60" s="8">
        <v>1.43</v>
      </c>
      <c r="O60" s="8">
        <v>1.43297833357297</v>
      </c>
      <c r="P60" s="8">
        <v>1.43000360545339</v>
      </c>
      <c r="Q60" s="8">
        <v>1.4302393992122899</v>
      </c>
      <c r="R60" s="6">
        <v>93.143591682242999</v>
      </c>
      <c r="S60" s="6">
        <v>92.951642901220495</v>
      </c>
      <c r="T60" s="6">
        <v>92.965061680327906</v>
      </c>
      <c r="U60" s="7">
        <v>2.0805848318424399E-3</v>
      </c>
      <c r="V60" s="7">
        <v>1.76749510644885E-5</v>
      </c>
      <c r="W60" s="7">
        <v>1.6202754338242301E-4</v>
      </c>
      <c r="X60" s="8">
        <v>1.4280953773423899</v>
      </c>
      <c r="Y60" s="8">
        <v>1.4302827749172899</v>
      </c>
      <c r="Z60" s="8">
        <v>1.4281208316448599</v>
      </c>
      <c r="AA60" s="8">
        <v>1.42837236577537</v>
      </c>
      <c r="AB60" s="6">
        <v>93.911222774849506</v>
      </c>
      <c r="AC60" s="6">
        <v>93.770865824899701</v>
      </c>
      <c r="AD60" s="6">
        <v>93.788143078698297</v>
      </c>
      <c r="AE60" s="7">
        <v>1.5305168773144401E-3</v>
      </c>
      <c r="AF60" s="7">
        <v>3.4828320533429503E-5</v>
      </c>
      <c r="AG60" s="7">
        <v>2.1906104759390299E-4</v>
      </c>
      <c r="AZ60" s="23"/>
      <c r="BB60" s="12">
        <f t="shared" si="6"/>
        <v>0</v>
      </c>
      <c r="BC60" s="12">
        <f t="shared" si="7"/>
        <v>1</v>
      </c>
      <c r="BD60" s="12">
        <f t="shared" si="8"/>
        <v>0</v>
      </c>
      <c r="BE60" s="12">
        <f t="shared" si="4"/>
        <v>1</v>
      </c>
      <c r="BF60" s="12">
        <f t="shared" si="9"/>
        <v>0</v>
      </c>
      <c r="BG60" s="23">
        <f t="shared" si="10"/>
        <v>0</v>
      </c>
      <c r="BH60" s="23">
        <f t="shared" si="11"/>
        <v>0</v>
      </c>
      <c r="BI60" s="23">
        <f t="shared" si="12"/>
        <v>0</v>
      </c>
      <c r="BJ60" s="18">
        <f t="shared" si="13"/>
        <v>1.8119000816461399E-3</v>
      </c>
      <c r="BL60" s="23"/>
      <c r="BN60" s="12">
        <f t="shared" si="14"/>
        <v>0</v>
      </c>
      <c r="BO60" s="12">
        <f t="shared" si="15"/>
        <v>0</v>
      </c>
      <c r="BP60" s="12">
        <f t="shared" si="16"/>
        <v>0</v>
      </c>
      <c r="BQ60" s="12">
        <f t="shared" si="5"/>
        <v>1</v>
      </c>
      <c r="BR60" s="12">
        <f t="shared" si="17"/>
        <v>0</v>
      </c>
      <c r="BS60" s="23">
        <f t="shared" si="18"/>
        <v>0</v>
      </c>
      <c r="BT60" s="23">
        <f t="shared" si="19"/>
        <v>0</v>
      </c>
      <c r="BU60" s="23">
        <f t="shared" si="20"/>
        <v>0</v>
      </c>
      <c r="BV60" s="18">
        <f t="shared" si="21"/>
        <v>3.4887190708980179E-3</v>
      </c>
      <c r="BX60" s="18">
        <f t="shared" si="22"/>
        <v>0</v>
      </c>
      <c r="BY60" s="18">
        <f t="shared" si="23"/>
        <v>5.3006191525441573E-3</v>
      </c>
    </row>
    <row r="61" spans="1:77" x14ac:dyDescent="0.3">
      <c r="A61" s="1">
        <v>46111</v>
      </c>
      <c r="B61" s="6">
        <v>65.13</v>
      </c>
      <c r="C61" s="6">
        <v>93.11</v>
      </c>
      <c r="D61" s="7">
        <v>1.9980026626730501E-3</v>
      </c>
      <c r="E61" s="7">
        <v>1.7198757329852799E-3</v>
      </c>
      <c r="F61" s="6">
        <v>0</v>
      </c>
      <c r="G61" s="6">
        <v>0.65920000000000001</v>
      </c>
      <c r="H61" s="6">
        <v>0</v>
      </c>
      <c r="I61" s="6">
        <v>0.81759999999999999</v>
      </c>
      <c r="J61" s="6">
        <v>0.65920000000000001</v>
      </c>
      <c r="K61" s="6">
        <v>0.81759999999999999</v>
      </c>
      <c r="L61" s="6">
        <v>65.789199999999994</v>
      </c>
      <c r="M61" s="6">
        <v>93.927599999999998</v>
      </c>
      <c r="N61" s="8">
        <v>1.4296023337939501</v>
      </c>
      <c r="O61" s="8">
        <v>1.43297833357297</v>
      </c>
      <c r="P61" s="8">
        <v>1.4300312698178601</v>
      </c>
      <c r="Q61" s="8">
        <v>1.43010847042059</v>
      </c>
      <c r="R61" s="6">
        <v>93.329878865607498</v>
      </c>
      <c r="S61" s="6">
        <v>93.136134823179901</v>
      </c>
      <c r="T61" s="6">
        <v>93.151492070696605</v>
      </c>
      <c r="U61" s="7">
        <v>2.3587117615298E-3</v>
      </c>
      <c r="V61" s="7">
        <v>2.8064822259289902E-4</v>
      </c>
      <c r="W61" s="7">
        <v>4.45524954425016E-4</v>
      </c>
      <c r="X61" s="8">
        <v>1.42770545925471</v>
      </c>
      <c r="Y61" s="8">
        <v>1.4302827749172899</v>
      </c>
      <c r="Z61" s="8">
        <v>1.4281449369855299</v>
      </c>
      <c r="AA61" s="8">
        <v>1.42823910678687</v>
      </c>
      <c r="AB61" s="6">
        <v>94.097159535588801</v>
      </c>
      <c r="AC61" s="6">
        <v>93.954927017250398</v>
      </c>
      <c r="AD61" s="6">
        <v>93.971475246468998</v>
      </c>
      <c r="AE61" s="7">
        <v>1.8035878037699299E-3</v>
      </c>
      <c r="AF61" s="7">
        <v>2.9089471891778602E-4</v>
      </c>
      <c r="AG61" s="7">
        <v>4.6700865567258799E-4</v>
      </c>
      <c r="AZ61" s="23"/>
      <c r="BB61" s="12">
        <f t="shared" si="6"/>
        <v>0</v>
      </c>
      <c r="BC61" s="12">
        <f t="shared" si="7"/>
        <v>1</v>
      </c>
      <c r="BD61" s="12">
        <f t="shared" si="8"/>
        <v>0</v>
      </c>
      <c r="BE61" s="12">
        <f t="shared" si="4"/>
        <v>1</v>
      </c>
      <c r="BF61" s="12">
        <f t="shared" si="9"/>
        <v>0</v>
      </c>
      <c r="BG61" s="23">
        <f t="shared" si="10"/>
        <v>0</v>
      </c>
      <c r="BH61" s="23">
        <f t="shared" si="11"/>
        <v>0</v>
      </c>
      <c r="BI61" s="23">
        <f t="shared" si="12"/>
        <v>0</v>
      </c>
      <c r="BJ61" s="18">
        <f t="shared" si="13"/>
        <v>1.8119000816461399E-3</v>
      </c>
      <c r="BL61" s="23"/>
      <c r="BN61" s="12">
        <f t="shared" si="14"/>
        <v>0</v>
      </c>
      <c r="BO61" s="12">
        <f t="shared" si="15"/>
        <v>0</v>
      </c>
      <c r="BP61" s="12">
        <f t="shared" si="16"/>
        <v>0</v>
      </c>
      <c r="BQ61" s="12">
        <f t="shared" si="5"/>
        <v>1</v>
      </c>
      <c r="BR61" s="12">
        <f t="shared" si="17"/>
        <v>0</v>
      </c>
      <c r="BS61" s="23">
        <f t="shared" si="18"/>
        <v>0</v>
      </c>
      <c r="BT61" s="23">
        <f t="shared" si="19"/>
        <v>0</v>
      </c>
      <c r="BU61" s="23">
        <f t="shared" si="20"/>
        <v>0</v>
      </c>
      <c r="BV61" s="18">
        <f t="shared" si="21"/>
        <v>3.4887190708980179E-3</v>
      </c>
      <c r="BX61" s="18">
        <f t="shared" si="22"/>
        <v>0</v>
      </c>
      <c r="BY61" s="18">
        <f t="shared" si="23"/>
        <v>5.3006191525441573E-3</v>
      </c>
    </row>
    <row r="62" spans="1:77" x14ac:dyDescent="0.3">
      <c r="A62" s="1">
        <v>46112</v>
      </c>
      <c r="B62" s="6">
        <v>65.69</v>
      </c>
      <c r="C62" s="6">
        <v>93.93</v>
      </c>
      <c r="D62" s="7">
        <v>8.56143434607139E-3</v>
      </c>
      <c r="E62" s="7">
        <v>8.7682341059856905E-3</v>
      </c>
      <c r="F62" s="6">
        <v>0</v>
      </c>
      <c r="G62" s="6">
        <v>0.65920000000000001</v>
      </c>
      <c r="H62" s="6">
        <v>0</v>
      </c>
      <c r="I62" s="6">
        <v>0.81759999999999999</v>
      </c>
      <c r="J62" s="6">
        <v>0.65920000000000001</v>
      </c>
      <c r="K62" s="6">
        <v>0.81759999999999999</v>
      </c>
      <c r="L62" s="6">
        <v>66.349199999999996</v>
      </c>
      <c r="M62" s="6">
        <v>94.747600000000006</v>
      </c>
      <c r="N62" s="8">
        <v>1.4298980057847399</v>
      </c>
      <c r="O62" s="8">
        <v>1.43297833357297</v>
      </c>
      <c r="P62" s="8">
        <v>1.4301209952648499</v>
      </c>
      <c r="Q62" s="8">
        <v>1.4300318362398501</v>
      </c>
      <c r="R62" s="6">
        <v>94.132346732408394</v>
      </c>
      <c r="S62" s="6">
        <v>93.938754114335197</v>
      </c>
      <c r="T62" s="6">
        <v>93.943825421929006</v>
      </c>
      <c r="U62" s="7">
        <v>2.1519120016156401E-3</v>
      </c>
      <c r="V62" s="7">
        <v>9.3193936190771797E-5</v>
      </c>
      <c r="W62" s="7">
        <v>1.47177734023516E-4</v>
      </c>
      <c r="X62" s="8">
        <v>1.4280142036377199</v>
      </c>
      <c r="Y62" s="8">
        <v>1.4302827749172899</v>
      </c>
      <c r="Z62" s="8">
        <v>1.4282313719008799</v>
      </c>
      <c r="AA62" s="8">
        <v>1.42816078036283</v>
      </c>
      <c r="AB62" s="6">
        <v>94.898117889542505</v>
      </c>
      <c r="AC62" s="6">
        <v>94.756274053040599</v>
      </c>
      <c r="AD62" s="6">
        <v>94.762522144023393</v>
      </c>
      <c r="AE62" s="7">
        <v>1.58735902737622E-3</v>
      </c>
      <c r="AF62" s="7">
        <v>9.1544862500448303E-5</v>
      </c>
      <c r="AG62" s="7">
        <v>1.5748123514894901E-4</v>
      </c>
      <c r="AZ62" s="23"/>
      <c r="BB62" s="12">
        <f t="shared" si="6"/>
        <v>0</v>
      </c>
      <c r="BC62" s="12">
        <f t="shared" si="7"/>
        <v>1</v>
      </c>
      <c r="BD62" s="12">
        <f t="shared" si="8"/>
        <v>0</v>
      </c>
      <c r="BE62" s="12">
        <f t="shared" si="4"/>
        <v>0</v>
      </c>
      <c r="BF62" s="12">
        <f t="shared" si="9"/>
        <v>0</v>
      </c>
      <c r="BG62" s="23">
        <f t="shared" si="10"/>
        <v>0</v>
      </c>
      <c r="BH62" s="23">
        <f t="shared" si="11"/>
        <v>0</v>
      </c>
      <c r="BI62" s="23">
        <f t="shared" si="12"/>
        <v>0</v>
      </c>
      <c r="BJ62" s="18">
        <f t="shared" si="13"/>
        <v>1.8119000816461399E-3</v>
      </c>
      <c r="BL62" s="23"/>
      <c r="BN62" s="12">
        <f t="shared" si="14"/>
        <v>0</v>
      </c>
      <c r="BO62" s="12">
        <f t="shared" si="15"/>
        <v>0</v>
      </c>
      <c r="BP62" s="12">
        <f t="shared" si="16"/>
        <v>0</v>
      </c>
      <c r="BQ62" s="12">
        <f t="shared" si="5"/>
        <v>0</v>
      </c>
      <c r="BR62" s="12">
        <f t="shared" si="17"/>
        <v>0</v>
      </c>
      <c r="BS62" s="23">
        <f t="shared" si="18"/>
        <v>0</v>
      </c>
      <c r="BT62" s="23">
        <f t="shared" si="19"/>
        <v>0</v>
      </c>
      <c r="BU62" s="23">
        <f t="shared" si="20"/>
        <v>0</v>
      </c>
      <c r="BV62" s="18">
        <f t="shared" si="21"/>
        <v>3.4887190708980179E-3</v>
      </c>
      <c r="BX62" s="18">
        <f t="shared" si="22"/>
        <v>0</v>
      </c>
      <c r="BY62" s="18">
        <f t="shared" si="23"/>
        <v>5.3006191525441573E-3</v>
      </c>
    </row>
    <row r="63" spans="1:77" x14ac:dyDescent="0.3">
      <c r="A63" s="1">
        <v>46113</v>
      </c>
      <c r="B63" s="6">
        <v>65.599999999999994</v>
      </c>
      <c r="C63" s="6">
        <v>93.86</v>
      </c>
      <c r="D63" s="7">
        <v>-1.37101095433828E-3</v>
      </c>
      <c r="E63" s="7">
        <v>-7.4551364015251699E-4</v>
      </c>
      <c r="F63" s="6">
        <v>0.32879999999999998</v>
      </c>
      <c r="G63" s="6">
        <v>0.98799999999999999</v>
      </c>
      <c r="H63" s="6">
        <v>0.45540000000000003</v>
      </c>
      <c r="I63" s="6">
        <v>1.2729999999999999</v>
      </c>
      <c r="J63" s="6">
        <v>0.98799999999999999</v>
      </c>
      <c r="K63" s="6">
        <v>1.2729999999999999</v>
      </c>
      <c r="L63" s="6">
        <v>66.587999999999994</v>
      </c>
      <c r="M63" s="6">
        <v>95.132999999999996</v>
      </c>
      <c r="N63" s="8">
        <v>1.43079268292682</v>
      </c>
      <c r="O63" s="8">
        <v>1.43297833357297</v>
      </c>
      <c r="P63" s="8">
        <v>1.4302522253815</v>
      </c>
      <c r="Q63" s="8">
        <v>1.42993265955939</v>
      </c>
      <c r="R63" s="6">
        <v>94.003378682386796</v>
      </c>
      <c r="S63" s="6">
        <v>93.815937289374403</v>
      </c>
      <c r="T63" s="6">
        <v>93.810088457334501</v>
      </c>
      <c r="U63" s="7">
        <v>1.5264146874300101E-3</v>
      </c>
      <c r="V63" s="7">
        <v>-4.6956165048675399E-4</v>
      </c>
      <c r="W63" s="7">
        <v>-5.3190728743681402E-4</v>
      </c>
      <c r="X63" s="8">
        <v>1.4286808433952001</v>
      </c>
      <c r="Y63" s="8">
        <v>1.4302827749172899</v>
      </c>
      <c r="Z63" s="8">
        <v>1.42833848115746</v>
      </c>
      <c r="AA63" s="8">
        <v>1.42804894239924</v>
      </c>
      <c r="AB63" s="6">
        <v>95.239669416192697</v>
      </c>
      <c r="AC63" s="6">
        <v>95.103070592136206</v>
      </c>
      <c r="AD63" s="6">
        <v>95.098370042800397</v>
      </c>
      <c r="AE63" s="7">
        <v>1.12063803783477E-3</v>
      </c>
      <c r="AF63" s="7">
        <v>-3.1465544906945502E-4</v>
      </c>
      <c r="AG63" s="7">
        <v>-3.6408251251382701E-4</v>
      </c>
      <c r="AZ63" s="23"/>
      <c r="BB63" s="12">
        <f t="shared" si="6"/>
        <v>0</v>
      </c>
      <c r="BC63" s="12">
        <f t="shared" si="7"/>
        <v>1</v>
      </c>
      <c r="BD63" s="12">
        <f t="shared" si="8"/>
        <v>0</v>
      </c>
      <c r="BE63" s="12">
        <f t="shared" si="4"/>
        <v>1</v>
      </c>
      <c r="BF63" s="12">
        <f t="shared" si="9"/>
        <v>0</v>
      </c>
      <c r="BG63" s="23">
        <f t="shared" si="10"/>
        <v>0</v>
      </c>
      <c r="BH63" s="23">
        <f t="shared" si="11"/>
        <v>0</v>
      </c>
      <c r="BI63" s="23">
        <f t="shared" si="12"/>
        <v>0</v>
      </c>
      <c r="BJ63" s="18">
        <f t="shared" si="13"/>
        <v>1.8119000816461399E-3</v>
      </c>
      <c r="BL63" s="23"/>
      <c r="BN63" s="12">
        <f t="shared" si="14"/>
        <v>0</v>
      </c>
      <c r="BO63" s="12">
        <f t="shared" si="15"/>
        <v>1</v>
      </c>
      <c r="BP63" s="12">
        <f t="shared" si="16"/>
        <v>0</v>
      </c>
      <c r="BQ63" s="12">
        <f t="shared" si="5"/>
        <v>1</v>
      </c>
      <c r="BR63" s="12">
        <f t="shared" si="17"/>
        <v>0</v>
      </c>
      <c r="BS63" s="23">
        <f t="shared" si="18"/>
        <v>0</v>
      </c>
      <c r="BT63" s="23">
        <f t="shared" si="19"/>
        <v>0</v>
      </c>
      <c r="BU63" s="23">
        <f t="shared" si="20"/>
        <v>0</v>
      </c>
      <c r="BV63" s="18">
        <f t="shared" si="21"/>
        <v>3.4887190708980179E-3</v>
      </c>
      <c r="BX63" s="18">
        <f t="shared" si="22"/>
        <v>0</v>
      </c>
      <c r="BY63" s="18">
        <f t="shared" si="23"/>
        <v>5.3006191525441573E-3</v>
      </c>
    </row>
    <row r="64" spans="1:77" x14ac:dyDescent="0.3">
      <c r="A64" s="1">
        <v>46114</v>
      </c>
      <c r="B64" s="6">
        <v>65.72</v>
      </c>
      <c r="C64" s="6">
        <v>93.97</v>
      </c>
      <c r="D64" s="7">
        <v>1.8275972190240799E-3</v>
      </c>
      <c r="E64" s="7">
        <v>1.17127202870204E-3</v>
      </c>
      <c r="F64" s="6">
        <v>0</v>
      </c>
      <c r="G64" s="6">
        <v>0.98799999999999999</v>
      </c>
      <c r="H64" s="6">
        <v>0</v>
      </c>
      <c r="I64" s="6">
        <v>1.2729999999999999</v>
      </c>
      <c r="J64" s="6">
        <v>0.98799999999999999</v>
      </c>
      <c r="K64" s="6">
        <v>1.2729999999999999</v>
      </c>
      <c r="L64" s="6">
        <v>66.707999999999998</v>
      </c>
      <c r="M64" s="6">
        <v>95.242999999999995</v>
      </c>
      <c r="N64" s="8">
        <v>1.42985392574558</v>
      </c>
      <c r="O64" s="8">
        <v>1.43297833357297</v>
      </c>
      <c r="P64" s="8">
        <v>1.4301623231269101</v>
      </c>
      <c r="Q64" s="8">
        <v>1.4299162298635899</v>
      </c>
      <c r="R64" s="6">
        <v>94.175336082415598</v>
      </c>
      <c r="S64" s="6">
        <v>93.996176252072402</v>
      </c>
      <c r="T64" s="6">
        <v>93.975174386243594</v>
      </c>
      <c r="U64" s="7">
        <v>2.1827398777518299E-3</v>
      </c>
      <c r="V64" s="7">
        <v>2.7852087820919198E-4</v>
      </c>
      <c r="W64" s="7">
        <v>5.5062719878719599E-5</v>
      </c>
      <c r="X64" s="8">
        <v>1.42775978893086</v>
      </c>
      <c r="Y64" s="8">
        <v>1.4302827749172899</v>
      </c>
      <c r="Z64" s="8">
        <v>1.4282271200823999</v>
      </c>
      <c r="AA64" s="8">
        <v>1.42801978072571</v>
      </c>
      <c r="AB64" s="6">
        <v>95.411303349182802</v>
      </c>
      <c r="AC64" s="6">
        <v>95.281603401051896</v>
      </c>
      <c r="AD64" s="6">
        <v>95.262288849568506</v>
      </c>
      <c r="AE64" s="7">
        <v>1.7655346870715E-3</v>
      </c>
      <c r="AF64" s="7">
        <v>4.0523271946071399E-4</v>
      </c>
      <c r="AG64" s="7">
        <v>2.0250198565079401E-4</v>
      </c>
      <c r="AZ64" s="23"/>
      <c r="BB64" s="12">
        <f t="shared" si="6"/>
        <v>0</v>
      </c>
      <c r="BC64" s="12">
        <f t="shared" si="7"/>
        <v>1</v>
      </c>
      <c r="BD64" s="12">
        <f t="shared" si="8"/>
        <v>0</v>
      </c>
      <c r="BE64" s="12">
        <f t="shared" si="4"/>
        <v>1</v>
      </c>
      <c r="BF64" s="12">
        <f t="shared" si="9"/>
        <v>0</v>
      </c>
      <c r="BG64" s="23">
        <f t="shared" si="10"/>
        <v>0</v>
      </c>
      <c r="BH64" s="23">
        <f t="shared" si="11"/>
        <v>0</v>
      </c>
      <c r="BI64" s="23">
        <f t="shared" si="12"/>
        <v>0</v>
      </c>
      <c r="BJ64" s="18">
        <f t="shared" si="13"/>
        <v>1.8119000816461399E-3</v>
      </c>
      <c r="BL64" s="23"/>
      <c r="BN64" s="12">
        <f t="shared" si="14"/>
        <v>0</v>
      </c>
      <c r="BO64" s="12">
        <f t="shared" si="15"/>
        <v>0</v>
      </c>
      <c r="BP64" s="12">
        <f t="shared" si="16"/>
        <v>0</v>
      </c>
      <c r="BQ64" s="12">
        <f t="shared" si="5"/>
        <v>1</v>
      </c>
      <c r="BR64" s="12">
        <f t="shared" si="17"/>
        <v>0</v>
      </c>
      <c r="BS64" s="23">
        <f t="shared" si="18"/>
        <v>0</v>
      </c>
      <c r="BT64" s="23">
        <f t="shared" si="19"/>
        <v>0</v>
      </c>
      <c r="BU64" s="23">
        <f t="shared" si="20"/>
        <v>0</v>
      </c>
      <c r="BV64" s="18">
        <f t="shared" si="21"/>
        <v>3.4887190708980179E-3</v>
      </c>
      <c r="BX64" s="18">
        <f t="shared" si="22"/>
        <v>0</v>
      </c>
      <c r="BY64" s="18">
        <f t="shared" si="23"/>
        <v>5.3006191525441573E-3</v>
      </c>
    </row>
    <row r="65" spans="1:77" x14ac:dyDescent="0.3">
      <c r="A65" s="1">
        <v>46118</v>
      </c>
      <c r="B65" s="6">
        <v>65.72</v>
      </c>
      <c r="C65" s="6">
        <v>93.94</v>
      </c>
      <c r="D65" s="7">
        <v>0</v>
      </c>
      <c r="E65" s="7">
        <v>-3.1930179612454999E-4</v>
      </c>
      <c r="F65" s="6">
        <v>0</v>
      </c>
      <c r="G65" s="6">
        <v>0.98799999999999999</v>
      </c>
      <c r="H65" s="6">
        <v>0</v>
      </c>
      <c r="I65" s="6">
        <v>1.2729999999999999</v>
      </c>
      <c r="J65" s="6">
        <v>0.98799999999999999</v>
      </c>
      <c r="K65" s="6">
        <v>1.2729999999999999</v>
      </c>
      <c r="L65" s="6">
        <v>66.707999999999998</v>
      </c>
      <c r="M65" s="6">
        <v>95.212999999999994</v>
      </c>
      <c r="N65" s="8">
        <v>1.4293974437005399</v>
      </c>
      <c r="O65" s="8">
        <v>1.43297833357297</v>
      </c>
      <c r="P65" s="8">
        <v>1.43023396933745</v>
      </c>
      <c r="Q65" s="8">
        <v>1.4298668310596701</v>
      </c>
      <c r="R65" s="6">
        <v>94.175336082415598</v>
      </c>
      <c r="S65" s="6">
        <v>93.990267875900599</v>
      </c>
      <c r="T65" s="6">
        <v>93.974094626635306</v>
      </c>
      <c r="U65" s="7">
        <v>2.5020416738764598E-3</v>
      </c>
      <c r="V65" s="7">
        <v>5.3496307612052704E-4</v>
      </c>
      <c r="W65" s="7">
        <v>3.6287461115915601E-4</v>
      </c>
      <c r="X65" s="8">
        <v>1.42731006775799</v>
      </c>
      <c r="Y65" s="8">
        <v>1.4302827749172899</v>
      </c>
      <c r="Z65" s="8">
        <v>1.4282785923360699</v>
      </c>
      <c r="AA65" s="8">
        <v>1.42795869918361</v>
      </c>
      <c r="AB65" s="6">
        <v>95.411303349182802</v>
      </c>
      <c r="AC65" s="6">
        <v>95.274174726457005</v>
      </c>
      <c r="AD65" s="6">
        <v>95.260343532650793</v>
      </c>
      <c r="AE65" s="7">
        <v>2.0805680832167101E-3</v>
      </c>
      <c r="AF65" s="7">
        <v>6.4229761030336905E-4</v>
      </c>
      <c r="AG65" s="7">
        <v>4.9711453317014204E-4</v>
      </c>
      <c r="AZ65" s="23"/>
      <c r="BB65" s="12">
        <f t="shared" si="6"/>
        <v>0</v>
      </c>
      <c r="BC65" s="12">
        <f t="shared" si="7"/>
        <v>1</v>
      </c>
      <c r="BD65" s="12">
        <f t="shared" si="8"/>
        <v>0</v>
      </c>
      <c r="BE65" s="12">
        <f t="shared" si="4"/>
        <v>1</v>
      </c>
      <c r="BF65" s="12">
        <f t="shared" si="9"/>
        <v>0</v>
      </c>
      <c r="BG65" s="23">
        <f t="shared" si="10"/>
        <v>0</v>
      </c>
      <c r="BH65" s="23">
        <f t="shared" si="11"/>
        <v>0</v>
      </c>
      <c r="BI65" s="23">
        <f t="shared" si="12"/>
        <v>0</v>
      </c>
      <c r="BJ65" s="18">
        <f t="shared" si="13"/>
        <v>1.8119000816461399E-3</v>
      </c>
      <c r="BL65" s="23"/>
      <c r="BN65" s="12">
        <f t="shared" si="14"/>
        <v>0</v>
      </c>
      <c r="BO65" s="12">
        <f t="shared" si="15"/>
        <v>0</v>
      </c>
      <c r="BP65" s="12">
        <f t="shared" si="16"/>
        <v>0</v>
      </c>
      <c r="BQ65" s="12">
        <f t="shared" si="5"/>
        <v>1</v>
      </c>
      <c r="BR65" s="12">
        <f t="shared" si="17"/>
        <v>0</v>
      </c>
      <c r="BS65" s="23">
        <f t="shared" si="18"/>
        <v>0</v>
      </c>
      <c r="BT65" s="23">
        <f t="shared" si="19"/>
        <v>0</v>
      </c>
      <c r="BU65" s="23">
        <f t="shared" si="20"/>
        <v>0</v>
      </c>
      <c r="BV65" s="18">
        <f t="shared" si="21"/>
        <v>3.4887190708980179E-3</v>
      </c>
      <c r="BX65" s="18">
        <f t="shared" si="22"/>
        <v>0</v>
      </c>
      <c r="BY65" s="18">
        <f t="shared" si="23"/>
        <v>5.3006191525441573E-3</v>
      </c>
    </row>
    <row r="66" spans="1:77" x14ac:dyDescent="0.3">
      <c r="A66" s="1">
        <v>46119</v>
      </c>
      <c r="B66" s="6">
        <v>65.81</v>
      </c>
      <c r="C66" s="6">
        <v>93.99</v>
      </c>
      <c r="D66" s="7">
        <v>1.3685092989605401E-3</v>
      </c>
      <c r="E66" s="7">
        <v>5.32113033360965E-4</v>
      </c>
      <c r="F66" s="6">
        <v>0</v>
      </c>
      <c r="G66" s="6">
        <v>0.98799999999999999</v>
      </c>
      <c r="H66" s="6">
        <v>0</v>
      </c>
      <c r="I66" s="6">
        <v>1.2729999999999999</v>
      </c>
      <c r="J66" s="6">
        <v>0.98799999999999999</v>
      </c>
      <c r="K66" s="6">
        <v>1.2729999999999999</v>
      </c>
      <c r="L66" s="6">
        <v>66.798000000000002</v>
      </c>
      <c r="M66" s="6">
        <v>95.262999999999906</v>
      </c>
      <c r="N66" s="8">
        <v>1.42820240085093</v>
      </c>
      <c r="O66" s="8">
        <v>1.43297833357297</v>
      </c>
      <c r="P66" s="8">
        <v>1.42988830379089</v>
      </c>
      <c r="Q66" s="8">
        <v>1.4297504156221901</v>
      </c>
      <c r="R66" s="6">
        <v>94.304304132437096</v>
      </c>
      <c r="S66" s="6">
        <v>94.123697522098098</v>
      </c>
      <c r="T66" s="6">
        <v>94.099536152037203</v>
      </c>
      <c r="U66" s="7">
        <v>3.33843793947604E-3</v>
      </c>
      <c r="V66" s="7">
        <v>1.42145464547165E-3</v>
      </c>
      <c r="W66" s="7">
        <v>1.1647236381251401E-3</v>
      </c>
      <c r="X66" s="8">
        <v>1.4261355130393101</v>
      </c>
      <c r="Y66" s="8">
        <v>1.4302827749172899</v>
      </c>
      <c r="Z66" s="8">
        <v>1.42791633923006</v>
      </c>
      <c r="AA66" s="8">
        <v>1.42783150454954</v>
      </c>
      <c r="AB66" s="6">
        <v>95.540028798925306</v>
      </c>
      <c r="AC66" s="6">
        <v>95.406153410864803</v>
      </c>
      <c r="AD66" s="6">
        <v>95.3847851880669</v>
      </c>
      <c r="AE66" s="7">
        <v>2.9038217614501E-3</v>
      </c>
      <c r="AF66" s="7">
        <v>1.5015899027419799E-3</v>
      </c>
      <c r="AG66" s="7">
        <v>1.27759369994382E-3</v>
      </c>
      <c r="AZ66" s="23"/>
      <c r="BB66" s="12">
        <f t="shared" si="6"/>
        <v>0</v>
      </c>
      <c r="BC66" s="12">
        <f t="shared" si="7"/>
        <v>1</v>
      </c>
      <c r="BD66" s="12">
        <f t="shared" si="8"/>
        <v>0</v>
      </c>
      <c r="BE66" s="12">
        <f t="shared" si="4"/>
        <v>1</v>
      </c>
      <c r="BF66" s="12">
        <f t="shared" si="9"/>
        <v>0</v>
      </c>
      <c r="BG66" s="23">
        <f t="shared" si="10"/>
        <v>0</v>
      </c>
      <c r="BH66" s="23">
        <f t="shared" si="11"/>
        <v>0</v>
      </c>
      <c r="BI66" s="23">
        <f t="shared" si="12"/>
        <v>0</v>
      </c>
      <c r="BJ66" s="18">
        <f t="shared" si="13"/>
        <v>1.8119000816461399E-3</v>
      </c>
      <c r="BL66" s="23"/>
      <c r="BN66" s="12">
        <f t="shared" si="14"/>
        <v>1</v>
      </c>
      <c r="BO66" s="12">
        <f t="shared" si="15"/>
        <v>0</v>
      </c>
      <c r="BP66" s="12">
        <f t="shared" si="16"/>
        <v>0</v>
      </c>
      <c r="BQ66" s="12">
        <f t="shared" si="5"/>
        <v>1</v>
      </c>
      <c r="BR66" s="12">
        <f t="shared" si="17"/>
        <v>0</v>
      </c>
      <c r="BS66" s="23">
        <f t="shared" si="18"/>
        <v>0</v>
      </c>
      <c r="BT66" s="23">
        <f t="shared" si="19"/>
        <v>0</v>
      </c>
      <c r="BU66" s="23">
        <f t="shared" si="20"/>
        <v>0</v>
      </c>
      <c r="BV66" s="18">
        <f t="shared" si="21"/>
        <v>3.4887190708980179E-3</v>
      </c>
      <c r="BX66" s="18">
        <f t="shared" si="22"/>
        <v>0</v>
      </c>
      <c r="BY66" s="18">
        <f t="shared" si="23"/>
        <v>5.3006191525441573E-3</v>
      </c>
    </row>
    <row r="67" spans="1:77" x14ac:dyDescent="0.3">
      <c r="A67" s="1">
        <v>46120</v>
      </c>
      <c r="B67" s="6">
        <v>66.38</v>
      </c>
      <c r="C67" s="6">
        <v>95.11</v>
      </c>
      <c r="D67" s="7">
        <v>8.6240038238006803E-3</v>
      </c>
      <c r="E67" s="7">
        <v>1.1845722862083999E-2</v>
      </c>
      <c r="F67" s="6">
        <v>0</v>
      </c>
      <c r="G67" s="6">
        <v>0.98799999999999999</v>
      </c>
      <c r="H67" s="6">
        <v>0</v>
      </c>
      <c r="I67" s="6">
        <v>1.2729999999999999</v>
      </c>
      <c r="J67" s="6">
        <v>0.98799999999999999</v>
      </c>
      <c r="K67" s="6">
        <v>1.2729999999999999</v>
      </c>
      <c r="L67" s="6">
        <v>67.367999999999995</v>
      </c>
      <c r="M67" s="6">
        <v>96.382999999999996</v>
      </c>
      <c r="N67" s="8">
        <v>1.4328110876770099</v>
      </c>
      <c r="O67" s="8">
        <v>1.43297833357297</v>
      </c>
      <c r="P67" s="8">
        <v>1.4301681900647001</v>
      </c>
      <c r="Q67" s="8">
        <v>1.42988254848272</v>
      </c>
      <c r="R67" s="6">
        <v>95.121101782573703</v>
      </c>
      <c r="S67" s="6">
        <v>94.915985605639406</v>
      </c>
      <c r="T67" s="6">
        <v>94.906832589001496</v>
      </c>
      <c r="U67" s="7">
        <v>1.16718901192751E-4</v>
      </c>
      <c r="V67" s="7">
        <v>-2.0419782184732198E-3</v>
      </c>
      <c r="W67" s="7">
        <v>-2.1384156935046902E-3</v>
      </c>
      <c r="X67" s="8">
        <v>1.43069409808811</v>
      </c>
      <c r="Y67" s="8">
        <v>1.4302827749172899</v>
      </c>
      <c r="Z67" s="8">
        <v>1.42817373315971</v>
      </c>
      <c r="AA67" s="8">
        <v>1.4279501632128</v>
      </c>
      <c r="AB67" s="6">
        <v>96.3552899806282</v>
      </c>
      <c r="AC67" s="6">
        <v>96.195867941250896</v>
      </c>
      <c r="AD67" s="6">
        <v>96.190152798493401</v>
      </c>
      <c r="AE67" s="7">
        <v>-2.8754036953896201E-4</v>
      </c>
      <c r="AF67" s="7">
        <v>-1.94343356203497E-3</v>
      </c>
      <c r="AG67" s="7">
        <v>-2.0028468472331699E-3</v>
      </c>
      <c r="AZ67" s="23"/>
      <c r="BB67" s="12">
        <f t="shared" si="6"/>
        <v>1</v>
      </c>
      <c r="BC67" s="12">
        <f t="shared" si="7"/>
        <v>0</v>
      </c>
      <c r="BD67" s="12">
        <f t="shared" si="8"/>
        <v>0</v>
      </c>
      <c r="BE67" s="12">
        <f t="shared" si="4"/>
        <v>1</v>
      </c>
      <c r="BF67" s="12">
        <f t="shared" si="9"/>
        <v>0</v>
      </c>
      <c r="BG67" s="23">
        <f t="shared" si="10"/>
        <v>0</v>
      </c>
      <c r="BH67" s="23">
        <f t="shared" si="11"/>
        <v>0</v>
      </c>
      <c r="BI67" s="23">
        <f t="shared" si="12"/>
        <v>0</v>
      </c>
      <c r="BJ67" s="18">
        <f t="shared" si="13"/>
        <v>1.8119000816461399E-3</v>
      </c>
      <c r="BL67" s="23"/>
      <c r="BN67" s="12">
        <f t="shared" si="14"/>
        <v>0</v>
      </c>
      <c r="BO67" s="12">
        <f t="shared" si="15"/>
        <v>1</v>
      </c>
      <c r="BP67" s="12">
        <f t="shared" si="16"/>
        <v>1</v>
      </c>
      <c r="BQ67" s="12">
        <f t="shared" si="5"/>
        <v>1</v>
      </c>
      <c r="BR67" s="12">
        <f t="shared" si="17"/>
        <v>1</v>
      </c>
      <c r="BS67" s="23">
        <f t="shared" si="18"/>
        <v>-8.6240038238006803E-3</v>
      </c>
      <c r="BT67" s="23">
        <f t="shared" si="19"/>
        <v>1.1845722862083999E-2</v>
      </c>
      <c r="BU67" s="23">
        <f t="shared" si="20"/>
        <v>3.2217190382833188E-3</v>
      </c>
      <c r="BV67" s="18">
        <f t="shared" si="21"/>
        <v>6.7104381091813367E-3</v>
      </c>
      <c r="BX67" s="18">
        <f t="shared" si="22"/>
        <v>3.2217190382833188E-3</v>
      </c>
      <c r="BY67" s="18">
        <f t="shared" si="23"/>
        <v>8.5223381908274762E-3</v>
      </c>
    </row>
    <row r="68" spans="1:77" x14ac:dyDescent="0.3">
      <c r="A68" s="1">
        <v>46121</v>
      </c>
      <c r="B68" s="6">
        <v>66.680000000000007</v>
      </c>
      <c r="C68" s="6">
        <v>95.51</v>
      </c>
      <c r="D68" s="7">
        <v>4.5092515907649098E-3</v>
      </c>
      <c r="E68" s="7">
        <v>4.1968375523522197E-3</v>
      </c>
      <c r="F68" s="6">
        <v>0</v>
      </c>
      <c r="G68" s="6">
        <v>0.98799999999999999</v>
      </c>
      <c r="H68" s="6">
        <v>0</v>
      </c>
      <c r="I68" s="6">
        <v>1.2729999999999999</v>
      </c>
      <c r="J68" s="6">
        <v>0.98799999999999999</v>
      </c>
      <c r="K68" s="6">
        <v>1.2729999999999999</v>
      </c>
      <c r="L68" s="6">
        <v>67.668000000000006</v>
      </c>
      <c r="M68" s="6">
        <v>96.783000000000001</v>
      </c>
      <c r="N68" s="8">
        <v>1.4323635272945401</v>
      </c>
      <c r="O68" s="8">
        <v>1.43297833357297</v>
      </c>
      <c r="P68" s="8">
        <v>1.4303504600794199</v>
      </c>
      <c r="Q68" s="8">
        <v>1.4300636169896599</v>
      </c>
      <c r="R68" s="6">
        <v>95.550995282645601</v>
      </c>
      <c r="S68" s="6">
        <v>95.363614913514596</v>
      </c>
      <c r="T68" s="6">
        <v>95.344568332827905</v>
      </c>
      <c r="U68" s="7">
        <v>4.2913293960521702E-4</v>
      </c>
      <c r="V68" s="7">
        <v>-1.5338433785249701E-3</v>
      </c>
      <c r="W68" s="7">
        <v>-1.7335891935793301E-3</v>
      </c>
      <c r="X68" s="8">
        <v>1.4302624578826</v>
      </c>
      <c r="Y68" s="8">
        <v>1.4302827749172899</v>
      </c>
      <c r="Z68" s="8">
        <v>1.4283340078548701</v>
      </c>
      <c r="AA68" s="8">
        <v>1.42811806308654</v>
      </c>
      <c r="AB68" s="6">
        <v>96.784374813103398</v>
      </c>
      <c r="AC68" s="6">
        <v>96.641660175451307</v>
      </c>
      <c r="AD68" s="6">
        <v>96.626531644284398</v>
      </c>
      <c r="AE68" s="7">
        <v>1.4205008512252999E-5</v>
      </c>
      <c r="AF68" s="7">
        <v>-1.46144601807096E-3</v>
      </c>
      <c r="AG68" s="7">
        <v>-1.61800081434043E-3</v>
      </c>
      <c r="AZ68" s="23"/>
      <c r="BB68" s="12">
        <f t="shared" si="6"/>
        <v>1</v>
      </c>
      <c r="BC68" s="12">
        <f t="shared" si="7"/>
        <v>0</v>
      </c>
      <c r="BD68" s="12">
        <f t="shared" si="8"/>
        <v>1</v>
      </c>
      <c r="BE68" s="12">
        <f t="shared" si="4"/>
        <v>1</v>
      </c>
      <c r="BF68" s="12">
        <f t="shared" si="9"/>
        <v>1</v>
      </c>
      <c r="BG68" s="23">
        <f t="shared" si="10"/>
        <v>4.5092515907649098E-3</v>
      </c>
      <c r="BH68" s="23">
        <f t="shared" si="11"/>
        <v>-4.1968375523522197E-3</v>
      </c>
      <c r="BI68" s="23">
        <f t="shared" si="12"/>
        <v>3.1241403841269014E-4</v>
      </c>
      <c r="BJ68" s="18">
        <f t="shared" si="13"/>
        <v>2.12431412005883E-3</v>
      </c>
      <c r="BL68" s="23"/>
      <c r="BN68" s="12">
        <f t="shared" si="14"/>
        <v>0</v>
      </c>
      <c r="BO68" s="12">
        <f t="shared" si="15"/>
        <v>1</v>
      </c>
      <c r="BP68" s="12">
        <f t="shared" si="16"/>
        <v>0</v>
      </c>
      <c r="BQ68" s="12">
        <f t="shared" si="5"/>
        <v>1</v>
      </c>
      <c r="BR68" s="12">
        <f t="shared" si="17"/>
        <v>0</v>
      </c>
      <c r="BS68" s="23">
        <f t="shared" si="18"/>
        <v>0</v>
      </c>
      <c r="BT68" s="23">
        <f t="shared" si="19"/>
        <v>0</v>
      </c>
      <c r="BU68" s="23">
        <f t="shared" si="20"/>
        <v>0</v>
      </c>
      <c r="BV68" s="18">
        <f t="shared" si="21"/>
        <v>6.7104381091813367E-3</v>
      </c>
      <c r="BX68" s="18">
        <f t="shared" si="22"/>
        <v>3.1241403841269014E-4</v>
      </c>
      <c r="BY68" s="18">
        <f t="shared" si="23"/>
        <v>8.8347522292401663E-3</v>
      </c>
    </row>
    <row r="69" spans="1:77" x14ac:dyDescent="0.3">
      <c r="A69" s="1">
        <v>46122</v>
      </c>
      <c r="B69" s="6">
        <v>66.69</v>
      </c>
      <c r="C69" s="6">
        <v>95.5</v>
      </c>
      <c r="D69" s="7">
        <v>1.4995876162143899E-4</v>
      </c>
      <c r="E69" s="7">
        <v>-1.04706559961728E-4</v>
      </c>
      <c r="F69" s="6">
        <v>0</v>
      </c>
      <c r="G69" s="6">
        <v>0.98799999999999999</v>
      </c>
      <c r="H69" s="6">
        <v>0</v>
      </c>
      <c r="I69" s="6">
        <v>1.2729999999999999</v>
      </c>
      <c r="J69" s="6">
        <v>0.98799999999999999</v>
      </c>
      <c r="K69" s="6">
        <v>1.2729999999999999</v>
      </c>
      <c r="L69" s="6">
        <v>67.677999999999997</v>
      </c>
      <c r="M69" s="6">
        <v>96.772999999999996</v>
      </c>
      <c r="N69" s="8">
        <v>1.4319988004198501</v>
      </c>
      <c r="O69" s="8">
        <v>1.43297833357297</v>
      </c>
      <c r="P69" s="8">
        <v>1.4304920208194001</v>
      </c>
      <c r="Q69" s="8">
        <v>1.4302586481113899</v>
      </c>
      <c r="R69" s="6">
        <v>95.565325065981298</v>
      </c>
      <c r="S69" s="6">
        <v>95.3900721826965</v>
      </c>
      <c r="T69" s="6">
        <v>95.370942617040797</v>
      </c>
      <c r="U69" s="7">
        <v>6.8379826118865502E-4</v>
      </c>
      <c r="V69" s="7">
        <v>-1.1517396184952699E-3</v>
      </c>
      <c r="W69" s="7">
        <v>-1.35230015482847E-3</v>
      </c>
      <c r="X69" s="8">
        <v>1.4299033659386999</v>
      </c>
      <c r="Y69" s="8">
        <v>1.4302827749172899</v>
      </c>
      <c r="Z69" s="8">
        <v>1.42845611752676</v>
      </c>
      <c r="AA69" s="8">
        <v>1.4283006169494299</v>
      </c>
      <c r="AB69" s="6">
        <v>96.798677640852603</v>
      </c>
      <c r="AC69" s="6">
        <v>96.666788983602103</v>
      </c>
      <c r="AD69" s="6">
        <v>96.652174273571404</v>
      </c>
      <c r="AE69" s="7">
        <v>2.6530369851803101E-4</v>
      </c>
      <c r="AF69" s="7">
        <v>-1.09813009649355E-3</v>
      </c>
      <c r="AG69" s="7">
        <v>-1.2493279905051E-3</v>
      </c>
      <c r="AZ69" s="23"/>
      <c r="BB69" s="12">
        <f t="shared" si="6"/>
        <v>0</v>
      </c>
      <c r="BC69" s="12">
        <f t="shared" si="7"/>
        <v>0</v>
      </c>
      <c r="BD69" s="12">
        <f t="shared" si="8"/>
        <v>1</v>
      </c>
      <c r="BE69" s="12">
        <f t="shared" si="4"/>
        <v>1</v>
      </c>
      <c r="BF69" s="12">
        <f t="shared" si="9"/>
        <v>1</v>
      </c>
      <c r="BG69" s="23">
        <f t="shared" si="10"/>
        <v>1.4995876162143899E-4</v>
      </c>
      <c r="BH69" s="23">
        <f t="shared" si="11"/>
        <v>1.04706559961728E-4</v>
      </c>
      <c r="BI69" s="23">
        <f t="shared" si="12"/>
        <v>2.54665321583167E-4</v>
      </c>
      <c r="BJ69" s="18">
        <f t="shared" si="13"/>
        <v>2.3789794416419971E-3</v>
      </c>
      <c r="BL69" s="23"/>
      <c r="BN69" s="12">
        <f t="shared" si="14"/>
        <v>0</v>
      </c>
      <c r="BO69" s="12">
        <f t="shared" si="15"/>
        <v>1</v>
      </c>
      <c r="BP69" s="12">
        <f t="shared" si="16"/>
        <v>0</v>
      </c>
      <c r="BQ69" s="12">
        <f t="shared" si="5"/>
        <v>1</v>
      </c>
      <c r="BR69" s="12">
        <f t="shared" si="17"/>
        <v>0</v>
      </c>
      <c r="BS69" s="23">
        <f t="shared" si="18"/>
        <v>0</v>
      </c>
      <c r="BT69" s="23">
        <f t="shared" si="19"/>
        <v>0</v>
      </c>
      <c r="BU69" s="23">
        <f t="shared" si="20"/>
        <v>0</v>
      </c>
      <c r="BV69" s="18">
        <f t="shared" si="21"/>
        <v>6.7104381091813367E-3</v>
      </c>
      <c r="BX69" s="18">
        <f t="shared" si="22"/>
        <v>2.54665321583167E-4</v>
      </c>
      <c r="BY69" s="18">
        <f t="shared" si="23"/>
        <v>9.0894175508233338E-3</v>
      </c>
    </row>
    <row r="70" spans="1:77" x14ac:dyDescent="0.3">
      <c r="A70" s="1">
        <v>46125</v>
      </c>
      <c r="B70" s="6">
        <v>67.040000000000006</v>
      </c>
      <c r="C70" s="6">
        <v>96.03</v>
      </c>
      <c r="D70" s="7">
        <v>5.2344395296129304E-3</v>
      </c>
      <c r="E70" s="7">
        <v>5.5343951631967696E-3</v>
      </c>
      <c r="F70" s="6">
        <v>0</v>
      </c>
      <c r="G70" s="6">
        <v>0.98799999999999999</v>
      </c>
      <c r="H70" s="6">
        <v>0</v>
      </c>
      <c r="I70" s="6">
        <v>1.2729999999999999</v>
      </c>
      <c r="J70" s="6">
        <v>0.98799999999999999</v>
      </c>
      <c r="K70" s="6">
        <v>1.2729999999999999</v>
      </c>
      <c r="L70" s="6">
        <v>68.028000000000006</v>
      </c>
      <c r="M70" s="6">
        <v>97.302999999999997</v>
      </c>
      <c r="N70" s="8">
        <v>1.43242840095465</v>
      </c>
      <c r="O70" s="8">
        <v>1.43297833357297</v>
      </c>
      <c r="P70" s="8">
        <v>1.43073486091486</v>
      </c>
      <c r="Q70" s="8">
        <v>1.43036923318413</v>
      </c>
      <c r="R70" s="6">
        <v>96.066867482731894</v>
      </c>
      <c r="S70" s="6">
        <v>95.900185075732594</v>
      </c>
      <c r="T70" s="6">
        <v>95.884539769387999</v>
      </c>
      <c r="U70" s="7">
        <v>3.8384262760455601E-4</v>
      </c>
      <c r="V70" s="7">
        <v>-1.3527308798422901E-3</v>
      </c>
      <c r="W70" s="7">
        <v>-1.51588575457943E-3</v>
      </c>
      <c r="X70" s="8">
        <v>1.4303375080848999</v>
      </c>
      <c r="Y70" s="8">
        <v>1.4302827749172899</v>
      </c>
      <c r="Z70" s="8">
        <v>1.4286803306010101</v>
      </c>
      <c r="AA70" s="8">
        <v>1.4284005811229401</v>
      </c>
      <c r="AB70" s="6">
        <v>97.299276612073598</v>
      </c>
      <c r="AC70" s="6">
        <v>97.175012763110601</v>
      </c>
      <c r="AD70" s="6">
        <v>97.1644343698363</v>
      </c>
      <c r="AE70" s="7">
        <v>-3.8266643038387799E-5</v>
      </c>
      <c r="AF70" s="7">
        <v>-1.31621311374177E-3</v>
      </c>
      <c r="AG70" s="7">
        <v>-1.4250782303285999E-3</v>
      </c>
      <c r="AZ70" s="23"/>
      <c r="BB70" s="12">
        <f t="shared" si="6"/>
        <v>0</v>
      </c>
      <c r="BC70" s="12">
        <f t="shared" si="7"/>
        <v>0</v>
      </c>
      <c r="BD70" s="12">
        <f t="shared" si="8"/>
        <v>1</v>
      </c>
      <c r="BE70" s="12">
        <f t="shared" si="4"/>
        <v>1</v>
      </c>
      <c r="BF70" s="12">
        <f t="shared" si="9"/>
        <v>1</v>
      </c>
      <c r="BG70" s="23">
        <f t="shared" si="10"/>
        <v>5.2344395296129304E-3</v>
      </c>
      <c r="BH70" s="23">
        <f t="shared" si="11"/>
        <v>-5.5343951631967696E-3</v>
      </c>
      <c r="BI70" s="23">
        <f t="shared" si="12"/>
        <v>-2.9995563358383923E-4</v>
      </c>
      <c r="BJ70" s="18">
        <f t="shared" si="13"/>
        <v>2.0790238080581579E-3</v>
      </c>
      <c r="BL70" s="23"/>
      <c r="BN70" s="12">
        <f t="shared" si="14"/>
        <v>0</v>
      </c>
      <c r="BO70" s="12">
        <f t="shared" si="15"/>
        <v>1</v>
      </c>
      <c r="BP70" s="12">
        <f t="shared" si="16"/>
        <v>0</v>
      </c>
      <c r="BQ70" s="12">
        <f t="shared" si="5"/>
        <v>1</v>
      </c>
      <c r="BR70" s="12">
        <f t="shared" si="17"/>
        <v>0</v>
      </c>
      <c r="BS70" s="23">
        <f t="shared" si="18"/>
        <v>0</v>
      </c>
      <c r="BT70" s="23">
        <f t="shared" si="19"/>
        <v>0</v>
      </c>
      <c r="BU70" s="23">
        <f t="shared" si="20"/>
        <v>0</v>
      </c>
      <c r="BV70" s="18">
        <f t="shared" si="21"/>
        <v>6.7104381091813367E-3</v>
      </c>
      <c r="BX70" s="18">
        <f t="shared" si="22"/>
        <v>-2.9995563358383923E-4</v>
      </c>
      <c r="BY70" s="18">
        <f t="shared" si="23"/>
        <v>8.7894619172394946E-3</v>
      </c>
    </row>
    <row r="71" spans="1:77" x14ac:dyDescent="0.3">
      <c r="A71" s="1">
        <v>46126</v>
      </c>
      <c r="B71" s="6">
        <v>67.319999999999993</v>
      </c>
      <c r="C71" s="6">
        <v>96.46</v>
      </c>
      <c r="D71" s="7">
        <v>4.1679131487775498E-3</v>
      </c>
      <c r="E71" s="7">
        <v>4.4677719909443497E-3</v>
      </c>
      <c r="F71" s="6">
        <v>0</v>
      </c>
      <c r="G71" s="6">
        <v>0.98799999999999999</v>
      </c>
      <c r="H71" s="6">
        <v>0</v>
      </c>
      <c r="I71" s="6">
        <v>1.2729999999999999</v>
      </c>
      <c r="J71" s="6">
        <v>0.98799999999999999</v>
      </c>
      <c r="K71" s="6">
        <v>1.2729999999999999</v>
      </c>
      <c r="L71" s="6">
        <v>68.307999999999893</v>
      </c>
      <c r="M71" s="6">
        <v>97.732999999999905</v>
      </c>
      <c r="N71" s="8">
        <v>1.4328579916815201</v>
      </c>
      <c r="O71" s="8">
        <v>1.43297833357297</v>
      </c>
      <c r="P71" s="8">
        <v>1.43106042670362</v>
      </c>
      <c r="Q71" s="8">
        <v>1.43054584826074</v>
      </c>
      <c r="R71" s="6">
        <v>96.468101416132299</v>
      </c>
      <c r="S71" s="6">
        <v>96.317070836788702</v>
      </c>
      <c r="T71" s="6">
        <v>96.292456777955806</v>
      </c>
      <c r="U71" s="7">
        <v>8.3983785437678898E-5</v>
      </c>
      <c r="V71" s="7">
        <v>-1.4828442903561899E-3</v>
      </c>
      <c r="W71" s="7">
        <v>-1.73842935171574E-3</v>
      </c>
      <c r="X71" s="8">
        <v>1.4307694559934401</v>
      </c>
      <c r="Y71" s="8">
        <v>1.4302827749172899</v>
      </c>
      <c r="Z71" s="8">
        <v>1.42898673027488</v>
      </c>
      <c r="AA71" s="8">
        <v>1.4285658336302101</v>
      </c>
      <c r="AB71" s="6">
        <v>97.6997557890504</v>
      </c>
      <c r="AC71" s="6">
        <v>97.590296022694005</v>
      </c>
      <c r="AD71" s="6">
        <v>97.571186895345704</v>
      </c>
      <c r="AE71" s="7">
        <v>-3.4021125205886601E-4</v>
      </c>
      <c r="AF71" s="7">
        <v>-1.46120821840247E-3</v>
      </c>
      <c r="AG71" s="7">
        <v>-1.6570370994255599E-3</v>
      </c>
      <c r="AZ71" s="23"/>
      <c r="BB71" s="12">
        <f t="shared" si="6"/>
        <v>1</v>
      </c>
      <c r="BC71" s="12">
        <f t="shared" si="7"/>
        <v>0</v>
      </c>
      <c r="BD71" s="12">
        <f t="shared" si="8"/>
        <v>1</v>
      </c>
      <c r="BE71" s="12">
        <f t="shared" si="4"/>
        <v>1</v>
      </c>
      <c r="BF71" s="12">
        <f t="shared" si="9"/>
        <v>1</v>
      </c>
      <c r="BG71" s="23">
        <f t="shared" si="10"/>
        <v>4.1679131487775498E-3</v>
      </c>
      <c r="BH71" s="23">
        <f t="shared" si="11"/>
        <v>-4.4677719909443497E-3</v>
      </c>
      <c r="BI71" s="23">
        <f t="shared" si="12"/>
        <v>-2.9985884216679991E-4</v>
      </c>
      <c r="BJ71" s="18">
        <f t="shared" si="13"/>
        <v>1.779164965891358E-3</v>
      </c>
      <c r="BL71" s="23"/>
      <c r="BN71" s="12">
        <f t="shared" si="14"/>
        <v>0</v>
      </c>
      <c r="BO71" s="12">
        <f t="shared" si="15"/>
        <v>1</v>
      </c>
      <c r="BP71" s="12">
        <f t="shared" si="16"/>
        <v>0</v>
      </c>
      <c r="BQ71" s="12">
        <f t="shared" si="5"/>
        <v>1</v>
      </c>
      <c r="BR71" s="12">
        <f t="shared" si="17"/>
        <v>0</v>
      </c>
      <c r="BS71" s="23">
        <f t="shared" si="18"/>
        <v>0</v>
      </c>
      <c r="BT71" s="23">
        <f t="shared" si="19"/>
        <v>0</v>
      </c>
      <c r="BU71" s="23">
        <f t="shared" si="20"/>
        <v>0</v>
      </c>
      <c r="BV71" s="18">
        <f t="shared" si="21"/>
        <v>6.7104381091813367E-3</v>
      </c>
      <c r="BX71" s="18">
        <f t="shared" si="22"/>
        <v>-2.9985884216679991E-4</v>
      </c>
      <c r="BY71" s="18">
        <f t="shared" si="23"/>
        <v>8.4896030750726947E-3</v>
      </c>
    </row>
    <row r="72" spans="1:77" x14ac:dyDescent="0.3">
      <c r="A72" s="1">
        <v>46127</v>
      </c>
      <c r="B72" s="6">
        <v>67.260000000000005</v>
      </c>
      <c r="C72" s="6">
        <v>96.25</v>
      </c>
      <c r="D72" s="7">
        <v>-8.9166301048156896E-4</v>
      </c>
      <c r="E72" s="7">
        <v>-2.1794414729321599E-3</v>
      </c>
      <c r="F72" s="6">
        <v>0</v>
      </c>
      <c r="G72" s="6">
        <v>0.98799999999999999</v>
      </c>
      <c r="H72" s="6">
        <v>0</v>
      </c>
      <c r="I72" s="6">
        <v>1.2729999999999999</v>
      </c>
      <c r="J72" s="6">
        <v>0.98799999999999999</v>
      </c>
      <c r="K72" s="6">
        <v>1.2729999999999999</v>
      </c>
      <c r="L72" s="6">
        <v>68.248000000000005</v>
      </c>
      <c r="M72" s="6">
        <v>97.522999999999996</v>
      </c>
      <c r="N72" s="8">
        <v>1.4310139756169999</v>
      </c>
      <c r="O72" s="8">
        <v>1.43297833357297</v>
      </c>
      <c r="P72" s="8">
        <v>1.4311720236868399</v>
      </c>
      <c r="Q72" s="8">
        <v>1.43064650947585</v>
      </c>
      <c r="R72" s="6">
        <v>96.382122716117905</v>
      </c>
      <c r="S72" s="6">
        <v>96.253124300085602</v>
      </c>
      <c r="T72" s="6">
        <v>96.218513754017494</v>
      </c>
      <c r="U72" s="7">
        <v>1.37176224788823E-3</v>
      </c>
      <c r="V72" s="7">
        <v>3.2459733807447398E-5</v>
      </c>
      <c r="W72" s="7">
        <v>-3.2718334702399498E-4</v>
      </c>
      <c r="X72" s="8">
        <v>1.4289502989098499</v>
      </c>
      <c r="Y72" s="8">
        <v>1.4302827749172899</v>
      </c>
      <c r="Z72" s="8">
        <v>1.4290803398020999</v>
      </c>
      <c r="AA72" s="8">
        <v>1.4286558558514899</v>
      </c>
      <c r="AB72" s="6">
        <v>97.613938822555397</v>
      </c>
      <c r="AC72" s="6">
        <v>97.525486367800397</v>
      </c>
      <c r="AD72" s="6">
        <v>97.496761013594593</v>
      </c>
      <c r="AE72" s="7">
        <v>9.3205140643849802E-4</v>
      </c>
      <c r="AF72" s="7">
        <v>2.5494868962401401E-5</v>
      </c>
      <c r="AG72" s="7">
        <v>-2.6909054166909298E-4</v>
      </c>
      <c r="AZ72" s="23"/>
      <c r="BB72" s="12">
        <f t="shared" si="6"/>
        <v>0</v>
      </c>
      <c r="BC72" s="12">
        <f t="shared" si="7"/>
        <v>1</v>
      </c>
      <c r="BD72" s="12">
        <f t="shared" si="8"/>
        <v>1</v>
      </c>
      <c r="BE72" s="12">
        <f t="shared" si="4"/>
        <v>1</v>
      </c>
      <c r="BF72" s="12">
        <f t="shared" si="9"/>
        <v>1</v>
      </c>
      <c r="BG72" s="23">
        <f t="shared" si="10"/>
        <v>-8.9166301048156896E-4</v>
      </c>
      <c r="BH72" s="23">
        <f t="shared" si="11"/>
        <v>2.1794414729321599E-3</v>
      </c>
      <c r="BI72" s="23">
        <f t="shared" si="12"/>
        <v>1.2877784624505909E-3</v>
      </c>
      <c r="BJ72" s="18">
        <f t="shared" si="13"/>
        <v>3.0669434283419486E-3</v>
      </c>
      <c r="BL72" s="23"/>
      <c r="BN72" s="12">
        <f t="shared" si="14"/>
        <v>0</v>
      </c>
      <c r="BO72" s="12">
        <f t="shared" si="15"/>
        <v>1</v>
      </c>
      <c r="BP72" s="12">
        <f t="shared" si="16"/>
        <v>0</v>
      </c>
      <c r="BQ72" s="12">
        <f t="shared" si="5"/>
        <v>1</v>
      </c>
      <c r="BR72" s="12">
        <f t="shared" si="17"/>
        <v>0</v>
      </c>
      <c r="BS72" s="23">
        <f t="shared" si="18"/>
        <v>0</v>
      </c>
      <c r="BT72" s="23">
        <f t="shared" si="19"/>
        <v>0</v>
      </c>
      <c r="BU72" s="23">
        <f t="shared" si="20"/>
        <v>0</v>
      </c>
      <c r="BV72" s="18">
        <f t="shared" si="21"/>
        <v>6.7104381091813367E-3</v>
      </c>
      <c r="BX72" s="18">
        <f t="shared" si="22"/>
        <v>1.2877784624505909E-3</v>
      </c>
      <c r="BY72" s="18">
        <f t="shared" si="23"/>
        <v>9.7773815375232862E-3</v>
      </c>
    </row>
    <row r="73" spans="1:77" x14ac:dyDescent="0.3">
      <c r="A73" s="1">
        <v>46128</v>
      </c>
      <c r="B73" s="6">
        <v>67</v>
      </c>
      <c r="C73" s="6">
        <v>95.95</v>
      </c>
      <c r="D73" s="7">
        <v>-3.8730869211575699E-3</v>
      </c>
      <c r="E73" s="7">
        <v>-3.1217507141846402E-3</v>
      </c>
      <c r="F73" s="6">
        <v>0</v>
      </c>
      <c r="G73" s="6">
        <v>0.98799999999999999</v>
      </c>
      <c r="H73" s="6">
        <v>0</v>
      </c>
      <c r="I73" s="6">
        <v>1.2729999999999999</v>
      </c>
      <c r="J73" s="6">
        <v>0.98799999999999999</v>
      </c>
      <c r="K73" s="6">
        <v>1.2729999999999999</v>
      </c>
      <c r="L73" s="6">
        <v>67.988</v>
      </c>
      <c r="M73" s="6">
        <v>97.222999999999999</v>
      </c>
      <c r="N73" s="8">
        <v>1.4320895522388</v>
      </c>
      <c r="O73" s="8">
        <v>1.43297833357297</v>
      </c>
      <c r="P73" s="8">
        <v>1.4313017106180399</v>
      </c>
      <c r="Q73" s="8">
        <v>1.4307769679997699</v>
      </c>
      <c r="R73" s="6">
        <v>96.009548349388993</v>
      </c>
      <c r="S73" s="6">
        <v>95.888525587018805</v>
      </c>
      <c r="T73" s="6">
        <v>95.853316134881993</v>
      </c>
      <c r="U73" s="7">
        <v>6.2042604091529902E-4</v>
      </c>
      <c r="V73" s="7">
        <v>-6.4089749331870303E-4</v>
      </c>
      <c r="W73" s="7">
        <v>-1.0081564308187E-3</v>
      </c>
      <c r="X73" s="8">
        <v>1.4300023533564701</v>
      </c>
      <c r="Y73" s="8">
        <v>1.4302827749172899</v>
      </c>
      <c r="Z73" s="8">
        <v>1.42921249079822</v>
      </c>
      <c r="AA73" s="8">
        <v>1.4287754859778401</v>
      </c>
      <c r="AB73" s="6">
        <v>97.242065301076906</v>
      </c>
      <c r="AC73" s="6">
        <v>97.160314142465197</v>
      </c>
      <c r="AD73" s="6">
        <v>97.131454327631303</v>
      </c>
      <c r="AE73" s="7">
        <v>1.9607944602825699E-4</v>
      </c>
      <c r="AF73" s="7">
        <v>-6.4497161172903195E-4</v>
      </c>
      <c r="AG73" s="7">
        <v>-9.4204868579488303E-4</v>
      </c>
      <c r="AZ73" s="23"/>
      <c r="BB73" s="12">
        <f t="shared" si="6"/>
        <v>0</v>
      </c>
      <c r="BC73" s="12">
        <f t="shared" si="7"/>
        <v>0</v>
      </c>
      <c r="BD73" s="12">
        <f t="shared" si="8"/>
        <v>0</v>
      </c>
      <c r="BE73" s="12">
        <f t="shared" si="4"/>
        <v>1</v>
      </c>
      <c r="BF73" s="12">
        <f t="shared" si="9"/>
        <v>0</v>
      </c>
      <c r="BG73" s="23">
        <f t="shared" si="10"/>
        <v>0</v>
      </c>
      <c r="BH73" s="23">
        <f t="shared" si="11"/>
        <v>0</v>
      </c>
      <c r="BI73" s="23">
        <f t="shared" si="12"/>
        <v>0</v>
      </c>
      <c r="BJ73" s="18">
        <f t="shared" si="13"/>
        <v>3.0669434283419486E-3</v>
      </c>
      <c r="BL73" s="23"/>
      <c r="BN73" s="12">
        <f t="shared" si="14"/>
        <v>0</v>
      </c>
      <c r="BO73" s="12">
        <f t="shared" si="15"/>
        <v>1</v>
      </c>
      <c r="BP73" s="12">
        <f t="shared" si="16"/>
        <v>0</v>
      </c>
      <c r="BQ73" s="12">
        <f t="shared" si="5"/>
        <v>1</v>
      </c>
      <c r="BR73" s="12">
        <f t="shared" si="17"/>
        <v>0</v>
      </c>
      <c r="BS73" s="23">
        <f t="shared" si="18"/>
        <v>0</v>
      </c>
      <c r="BT73" s="23">
        <f t="shared" si="19"/>
        <v>0</v>
      </c>
      <c r="BU73" s="23">
        <f t="shared" si="20"/>
        <v>0</v>
      </c>
      <c r="BV73" s="18">
        <f t="shared" si="21"/>
        <v>6.7104381091813367E-3</v>
      </c>
      <c r="BX73" s="18">
        <f t="shared" si="22"/>
        <v>0</v>
      </c>
      <c r="BY73" s="18">
        <f t="shared" si="23"/>
        <v>9.7773815375232862E-3</v>
      </c>
    </row>
    <row r="74" spans="1:77" x14ac:dyDescent="0.3">
      <c r="A74" s="1">
        <v>46129</v>
      </c>
      <c r="B74" s="6">
        <v>67.510000000000005</v>
      </c>
      <c r="C74" s="6">
        <v>96.67</v>
      </c>
      <c r="D74" s="7">
        <v>7.58311566281312E-3</v>
      </c>
      <c r="E74" s="7">
        <v>7.4758940228051999E-3</v>
      </c>
      <c r="F74" s="6">
        <v>0</v>
      </c>
      <c r="G74" s="6">
        <v>0.98799999999999999</v>
      </c>
      <c r="H74" s="6">
        <v>0</v>
      </c>
      <c r="I74" s="6">
        <v>1.2729999999999999</v>
      </c>
      <c r="J74" s="6">
        <v>0.98799999999999999</v>
      </c>
      <c r="K74" s="6">
        <v>1.2729999999999999</v>
      </c>
      <c r="L74" s="6">
        <v>68.498000000000005</v>
      </c>
      <c r="M74" s="6">
        <v>97.942999999999998</v>
      </c>
      <c r="N74" s="8">
        <v>1.4319360094800699</v>
      </c>
      <c r="O74" s="8">
        <v>1.43297833357297</v>
      </c>
      <c r="P74" s="8">
        <v>1.4315099189914899</v>
      </c>
      <c r="Q74" s="8">
        <v>1.4308361210592</v>
      </c>
      <c r="R74" s="6">
        <v>96.740367299511206</v>
      </c>
      <c r="S74" s="6">
        <v>96.627178483824295</v>
      </c>
      <c r="T74" s="6">
        <v>96.591753109664793</v>
      </c>
      <c r="U74" s="7">
        <v>7.2764768092336998E-4</v>
      </c>
      <c r="V74" s="7">
        <v>-4.4306406551901102E-4</v>
      </c>
      <c r="W74" s="7">
        <v>-8.0975043795925299E-4</v>
      </c>
      <c r="X74" s="8">
        <v>1.4298665654471601</v>
      </c>
      <c r="Y74" s="8">
        <v>1.4302827749172899</v>
      </c>
      <c r="Z74" s="8">
        <v>1.42942316844985</v>
      </c>
      <c r="AA74" s="8">
        <v>1.4288251442661299</v>
      </c>
      <c r="AB74" s="6">
        <v>97.971509516284797</v>
      </c>
      <c r="AC74" s="6">
        <v>97.898197194696905</v>
      </c>
      <c r="AD74" s="6">
        <v>97.868263238510295</v>
      </c>
      <c r="AE74" s="7">
        <v>2.91040378340737E-4</v>
      </c>
      <c r="AF74" s="7">
        <v>-4.5754219976605902E-4</v>
      </c>
      <c r="AG74" s="7">
        <v>-7.6335511944234497E-4</v>
      </c>
      <c r="AZ74" s="23"/>
      <c r="BB74" s="12">
        <f t="shared" si="6"/>
        <v>0</v>
      </c>
      <c r="BC74" s="12">
        <f t="shared" si="7"/>
        <v>0</v>
      </c>
      <c r="BD74" s="12">
        <f t="shared" si="8"/>
        <v>0</v>
      </c>
      <c r="BE74" s="12">
        <f t="shared" si="4"/>
        <v>1</v>
      </c>
      <c r="BF74" s="12">
        <f t="shared" si="9"/>
        <v>0</v>
      </c>
      <c r="BG74" s="23">
        <f t="shared" si="10"/>
        <v>0</v>
      </c>
      <c r="BH74" s="23">
        <f t="shared" si="11"/>
        <v>0</v>
      </c>
      <c r="BI74" s="23">
        <f t="shared" si="12"/>
        <v>0</v>
      </c>
      <c r="BJ74" s="18">
        <f t="shared" si="13"/>
        <v>3.0669434283419486E-3</v>
      </c>
      <c r="BL74" s="23"/>
      <c r="BN74" s="12">
        <f t="shared" si="14"/>
        <v>0</v>
      </c>
      <c r="BO74" s="12">
        <f t="shared" si="15"/>
        <v>1</v>
      </c>
      <c r="BP74" s="12">
        <f t="shared" si="16"/>
        <v>0</v>
      </c>
      <c r="BQ74" s="12">
        <f t="shared" si="5"/>
        <v>1</v>
      </c>
      <c r="BR74" s="12">
        <f t="shared" si="17"/>
        <v>0</v>
      </c>
      <c r="BS74" s="23">
        <f t="shared" si="18"/>
        <v>0</v>
      </c>
      <c r="BT74" s="23">
        <f t="shared" si="19"/>
        <v>0</v>
      </c>
      <c r="BU74" s="23">
        <f t="shared" si="20"/>
        <v>0</v>
      </c>
      <c r="BV74" s="18">
        <f t="shared" si="21"/>
        <v>6.7104381091813367E-3</v>
      </c>
      <c r="BX74" s="18">
        <f t="shared" si="22"/>
        <v>0</v>
      </c>
      <c r="BY74" s="18">
        <f t="shared" si="23"/>
        <v>9.7773815375232862E-3</v>
      </c>
    </row>
    <row r="75" spans="1:77" x14ac:dyDescent="0.3">
      <c r="A75" s="1">
        <v>46132</v>
      </c>
      <c r="B75" s="6">
        <v>67.489999999999995</v>
      </c>
      <c r="C75" s="6">
        <v>96.59</v>
      </c>
      <c r="D75" s="7">
        <v>-2.9629629846418098E-4</v>
      </c>
      <c r="E75" s="7">
        <v>-8.2790028530955898E-4</v>
      </c>
      <c r="F75" s="6">
        <v>0</v>
      </c>
      <c r="G75" s="6">
        <v>0.98799999999999999</v>
      </c>
      <c r="H75" s="6">
        <v>0</v>
      </c>
      <c r="I75" s="6">
        <v>1.2729999999999999</v>
      </c>
      <c r="J75" s="6">
        <v>0.98799999999999999</v>
      </c>
      <c r="K75" s="6">
        <v>1.2729999999999999</v>
      </c>
      <c r="L75" s="6">
        <v>68.477999999999994</v>
      </c>
      <c r="M75" s="6">
        <v>97.863</v>
      </c>
      <c r="N75" s="8">
        <v>1.43117498888724</v>
      </c>
      <c r="O75" s="8">
        <v>1.43297833357297</v>
      </c>
      <c r="P75" s="8">
        <v>1.43168767351016</v>
      </c>
      <c r="Q75" s="8">
        <v>1.4309608214238101</v>
      </c>
      <c r="R75" s="6">
        <v>96.711707732839699</v>
      </c>
      <c r="S75" s="6">
        <v>96.612604432736006</v>
      </c>
      <c r="T75" s="6">
        <v>96.567129810285607</v>
      </c>
      <c r="U75" s="7">
        <v>1.25925166776879E-3</v>
      </c>
      <c r="V75" s="7">
        <v>2.3399718555067999E-4</v>
      </c>
      <c r="W75" s="7">
        <v>-2.3680399313942199E-4</v>
      </c>
      <c r="X75" s="8">
        <v>1.4291159204416</v>
      </c>
      <c r="Y75" s="8">
        <v>1.4302827749172899</v>
      </c>
      <c r="Z75" s="8">
        <v>1.42960375371821</v>
      </c>
      <c r="AA75" s="8">
        <v>1.42894117302714</v>
      </c>
      <c r="AB75" s="6">
        <v>97.942903860786402</v>
      </c>
      <c r="AC75" s="6">
        <v>97.884039729109304</v>
      </c>
      <c r="AD75" s="6">
        <v>97.843088229055994</v>
      </c>
      <c r="AE75" s="7">
        <v>8.1615378950582705E-4</v>
      </c>
      <c r="AF75" s="7">
        <v>2.1496855553445999E-4</v>
      </c>
      <c r="AG75" s="7">
        <v>-2.03486474976984E-4</v>
      </c>
      <c r="AZ75" s="23"/>
      <c r="BB75" s="12">
        <f t="shared" si="6"/>
        <v>0</v>
      </c>
      <c r="BC75" s="12">
        <f t="shared" si="7"/>
        <v>1</v>
      </c>
      <c r="BD75" s="12">
        <f t="shared" si="8"/>
        <v>0</v>
      </c>
      <c r="BE75" s="12">
        <f t="shared" si="4"/>
        <v>1</v>
      </c>
      <c r="BF75" s="12">
        <f t="shared" si="9"/>
        <v>0</v>
      </c>
      <c r="BG75" s="23">
        <f t="shared" si="10"/>
        <v>0</v>
      </c>
      <c r="BH75" s="23">
        <f t="shared" si="11"/>
        <v>0</v>
      </c>
      <c r="BI75" s="23">
        <f t="shared" si="12"/>
        <v>0</v>
      </c>
      <c r="BJ75" s="18">
        <f t="shared" si="13"/>
        <v>3.0669434283419486E-3</v>
      </c>
      <c r="BL75" s="23"/>
      <c r="BN75" s="12">
        <f t="shared" si="14"/>
        <v>0</v>
      </c>
      <c r="BO75" s="12">
        <f t="shared" si="15"/>
        <v>1</v>
      </c>
      <c r="BP75" s="12">
        <f t="shared" si="16"/>
        <v>0</v>
      </c>
      <c r="BQ75" s="12">
        <f t="shared" si="5"/>
        <v>1</v>
      </c>
      <c r="BR75" s="12">
        <f t="shared" si="17"/>
        <v>0</v>
      </c>
      <c r="BS75" s="23">
        <f t="shared" si="18"/>
        <v>0</v>
      </c>
      <c r="BT75" s="23">
        <f t="shared" si="19"/>
        <v>0</v>
      </c>
      <c r="BU75" s="23">
        <f t="shared" si="20"/>
        <v>0</v>
      </c>
      <c r="BV75" s="18">
        <f t="shared" si="21"/>
        <v>6.7104381091813367E-3</v>
      </c>
      <c r="BX75" s="18">
        <f t="shared" si="22"/>
        <v>0</v>
      </c>
      <c r="BY75" s="18">
        <f t="shared" si="23"/>
        <v>9.7773815375232862E-3</v>
      </c>
    </row>
    <row r="76" spans="1:77" x14ac:dyDescent="0.3">
      <c r="A76" s="1">
        <v>46133</v>
      </c>
      <c r="B76" s="6">
        <v>67.17</v>
      </c>
      <c r="C76" s="6">
        <v>96.13</v>
      </c>
      <c r="D76" s="7">
        <v>-4.7527194765418796E-3</v>
      </c>
      <c r="E76" s="7">
        <v>-4.7737741134798398E-3</v>
      </c>
      <c r="F76" s="6">
        <v>0</v>
      </c>
      <c r="G76" s="6">
        <v>0.98799999999999999</v>
      </c>
      <c r="H76" s="6">
        <v>0</v>
      </c>
      <c r="I76" s="6">
        <v>1.2729999999999999</v>
      </c>
      <c r="J76" s="6">
        <v>0.98799999999999999</v>
      </c>
      <c r="K76" s="6">
        <v>1.2729999999999999</v>
      </c>
      <c r="L76" s="6">
        <v>68.158000000000001</v>
      </c>
      <c r="M76" s="6">
        <v>97.402999999999906</v>
      </c>
      <c r="N76" s="8">
        <v>1.43114485633467</v>
      </c>
      <c r="O76" s="8">
        <v>1.43297833357297</v>
      </c>
      <c r="P76" s="8">
        <v>1.4319819190585299</v>
      </c>
      <c r="Q76" s="8">
        <v>1.43093511142471</v>
      </c>
      <c r="R76" s="6">
        <v>96.253154666096407</v>
      </c>
      <c r="S76" s="6">
        <v>96.166461029677706</v>
      </c>
      <c r="T76" s="6">
        <v>96.117638375037401</v>
      </c>
      <c r="U76" s="7">
        <v>1.2803063047065999E-3</v>
      </c>
      <c r="V76" s="7">
        <v>3.7921686046105401E-4</v>
      </c>
      <c r="W76" s="7">
        <v>-1.2860105938449301E-4</v>
      </c>
      <c r="X76" s="8">
        <v>1.42907655741072</v>
      </c>
      <c r="Y76" s="8">
        <v>1.4302827749172899</v>
      </c>
      <c r="Z76" s="8">
        <v>1.4298978581553501</v>
      </c>
      <c r="AA76" s="8">
        <v>1.4289070986927099</v>
      </c>
      <c r="AB76" s="6">
        <v>97.485213372812893</v>
      </c>
      <c r="AC76" s="6">
        <v>97.4389326459263</v>
      </c>
      <c r="AD76" s="6">
        <v>97.393772471184107</v>
      </c>
      <c r="AE76" s="7">
        <v>8.4369779235895896E-4</v>
      </c>
      <c r="AF76" s="7">
        <v>3.68838943914906E-4</v>
      </c>
      <c r="AG76" s="7">
        <v>-9.4740058633387795E-5</v>
      </c>
      <c r="AZ76" s="23"/>
      <c r="BB76" s="12">
        <f t="shared" si="6"/>
        <v>0</v>
      </c>
      <c r="BC76" s="12">
        <f t="shared" si="7"/>
        <v>1</v>
      </c>
      <c r="BD76" s="12">
        <f t="shared" si="8"/>
        <v>0</v>
      </c>
      <c r="BE76" s="12">
        <f t="shared" si="4"/>
        <v>1</v>
      </c>
      <c r="BF76" s="12">
        <f t="shared" si="9"/>
        <v>0</v>
      </c>
      <c r="BG76" s="23">
        <f t="shared" si="10"/>
        <v>0</v>
      </c>
      <c r="BH76" s="23">
        <f t="shared" si="11"/>
        <v>0</v>
      </c>
      <c r="BI76" s="23">
        <f t="shared" si="12"/>
        <v>0</v>
      </c>
      <c r="BJ76" s="18">
        <f t="shared" si="13"/>
        <v>3.0669434283419486E-3</v>
      </c>
      <c r="BL76" s="23"/>
      <c r="BN76" s="12">
        <f t="shared" si="14"/>
        <v>0</v>
      </c>
      <c r="BO76" s="12">
        <f t="shared" si="15"/>
        <v>1</v>
      </c>
      <c r="BP76" s="12">
        <f t="shared" si="16"/>
        <v>0</v>
      </c>
      <c r="BQ76" s="12">
        <f t="shared" si="5"/>
        <v>1</v>
      </c>
      <c r="BR76" s="12">
        <f t="shared" si="17"/>
        <v>0</v>
      </c>
      <c r="BS76" s="23">
        <f t="shared" si="18"/>
        <v>0</v>
      </c>
      <c r="BT76" s="23">
        <f t="shared" si="19"/>
        <v>0</v>
      </c>
      <c r="BU76" s="23">
        <f t="shared" si="20"/>
        <v>0</v>
      </c>
      <c r="BV76" s="18">
        <f t="shared" si="21"/>
        <v>6.7104381091813367E-3</v>
      </c>
      <c r="BX76" s="18">
        <f t="shared" si="22"/>
        <v>0</v>
      </c>
      <c r="BY76" s="18">
        <f t="shared" si="23"/>
        <v>9.7773815375232862E-3</v>
      </c>
    </row>
    <row r="77" spans="1:77" x14ac:dyDescent="0.3">
      <c r="A77" s="1">
        <v>46134</v>
      </c>
      <c r="B77" s="6">
        <v>67.31</v>
      </c>
      <c r="C77" s="6">
        <v>96.38</v>
      </c>
      <c r="D77" s="7">
        <v>2.0820947438485202E-3</v>
      </c>
      <c r="E77" s="7">
        <v>2.5972691344618702E-3</v>
      </c>
      <c r="F77" s="6">
        <v>0</v>
      </c>
      <c r="G77" s="6">
        <v>0.98799999999999999</v>
      </c>
      <c r="H77" s="6">
        <v>0</v>
      </c>
      <c r="I77" s="6">
        <v>1.2729999999999999</v>
      </c>
      <c r="J77" s="6">
        <v>0.98799999999999999</v>
      </c>
      <c r="K77" s="6">
        <v>1.2729999999999999</v>
      </c>
      <c r="L77" s="6">
        <v>68.298000000000002</v>
      </c>
      <c r="M77" s="6">
        <v>97.652999999999906</v>
      </c>
      <c r="N77" s="8">
        <v>1.4318823354627801</v>
      </c>
      <c r="O77" s="8">
        <v>1.43297833357297</v>
      </c>
      <c r="P77" s="8">
        <v>1.4318890438371099</v>
      </c>
      <c r="Q77" s="8">
        <v>1.4310286169509101</v>
      </c>
      <c r="R77" s="6">
        <v>96.453771632796602</v>
      </c>
      <c r="S77" s="6">
        <v>96.386702971830204</v>
      </c>
      <c r="T77" s="6">
        <v>96.316242349997594</v>
      </c>
      <c r="U77" s="7">
        <v>7.6513191409348803E-4</v>
      </c>
      <c r="V77" s="7">
        <v>6.9544913406945197E-5</v>
      </c>
      <c r="W77" s="7">
        <v>-6.6174255970394996E-4</v>
      </c>
      <c r="X77" s="8">
        <v>1.4298076078362401</v>
      </c>
      <c r="Y77" s="8">
        <v>1.4302827749172899</v>
      </c>
      <c r="Z77" s="8">
        <v>1.42980920913017</v>
      </c>
      <c r="AA77" s="8">
        <v>1.4289914711449401</v>
      </c>
      <c r="AB77" s="6">
        <v>97.685452961301294</v>
      </c>
      <c r="AC77" s="6">
        <v>97.659163916294702</v>
      </c>
      <c r="AD77" s="6">
        <v>97.591497026514801</v>
      </c>
      <c r="AE77" s="7">
        <v>3.3227417446926501E-4</v>
      </c>
      <c r="AF77" s="7">
        <v>6.3118611490520994E-5</v>
      </c>
      <c r="AG77" s="7">
        <v>-6.3000982313058101E-4</v>
      </c>
      <c r="AZ77" s="23"/>
      <c r="BB77" s="12">
        <f t="shared" si="6"/>
        <v>0</v>
      </c>
      <c r="BC77" s="12">
        <f t="shared" si="7"/>
        <v>0</v>
      </c>
      <c r="BD77" s="12">
        <f t="shared" si="8"/>
        <v>0</v>
      </c>
      <c r="BE77" s="12">
        <f t="shared" si="4"/>
        <v>1</v>
      </c>
      <c r="BF77" s="12">
        <f t="shared" si="9"/>
        <v>0</v>
      </c>
      <c r="BG77" s="23">
        <f t="shared" si="10"/>
        <v>0</v>
      </c>
      <c r="BH77" s="23">
        <f t="shared" si="11"/>
        <v>0</v>
      </c>
      <c r="BI77" s="23">
        <f t="shared" si="12"/>
        <v>0</v>
      </c>
      <c r="BJ77" s="18">
        <f t="shared" si="13"/>
        <v>3.0669434283419486E-3</v>
      </c>
      <c r="BL77" s="23"/>
      <c r="BN77" s="12">
        <f t="shared" si="14"/>
        <v>0</v>
      </c>
      <c r="BO77" s="12">
        <f t="shared" si="15"/>
        <v>1</v>
      </c>
      <c r="BP77" s="12">
        <f t="shared" si="16"/>
        <v>0</v>
      </c>
      <c r="BQ77" s="12">
        <f t="shared" si="5"/>
        <v>1</v>
      </c>
      <c r="BR77" s="12">
        <f t="shared" si="17"/>
        <v>0</v>
      </c>
      <c r="BS77" s="23">
        <f t="shared" si="18"/>
        <v>0</v>
      </c>
      <c r="BT77" s="23">
        <f t="shared" si="19"/>
        <v>0</v>
      </c>
      <c r="BU77" s="23">
        <f t="shared" si="20"/>
        <v>0</v>
      </c>
      <c r="BV77" s="18">
        <f t="shared" si="21"/>
        <v>6.7104381091813367E-3</v>
      </c>
      <c r="BX77" s="18">
        <f t="shared" si="22"/>
        <v>0</v>
      </c>
      <c r="BY77" s="18">
        <f t="shared" si="23"/>
        <v>9.7773815375232862E-3</v>
      </c>
    </row>
    <row r="78" spans="1:77" x14ac:dyDescent="0.3">
      <c r="A78" s="1">
        <v>46135</v>
      </c>
      <c r="B78" s="6">
        <v>67.08</v>
      </c>
      <c r="C78" s="6">
        <v>95.93</v>
      </c>
      <c r="D78" s="7">
        <v>-3.4228770676137002E-3</v>
      </c>
      <c r="E78" s="7">
        <v>-4.6799523823303499E-3</v>
      </c>
      <c r="F78" s="6">
        <v>0</v>
      </c>
      <c r="G78" s="6">
        <v>0.98799999999999999</v>
      </c>
      <c r="H78" s="6">
        <v>0</v>
      </c>
      <c r="I78" s="6">
        <v>1.2729999999999999</v>
      </c>
      <c r="J78" s="6">
        <v>0.98799999999999999</v>
      </c>
      <c r="K78" s="6">
        <v>1.2729999999999999</v>
      </c>
      <c r="L78" s="6">
        <v>68.067999999999998</v>
      </c>
      <c r="M78" s="6">
        <v>97.203000000000003</v>
      </c>
      <c r="N78" s="8">
        <v>1.43008348240906</v>
      </c>
      <c r="O78" s="8">
        <v>1.43297833357297</v>
      </c>
      <c r="P78" s="8">
        <v>1.43166103934856</v>
      </c>
      <c r="Q78" s="8">
        <v>1.4310057497139901</v>
      </c>
      <c r="R78" s="6">
        <v>96.124186616074795</v>
      </c>
      <c r="S78" s="6">
        <v>96.051117060593697</v>
      </c>
      <c r="T78" s="6">
        <v>95.993399625067099</v>
      </c>
      <c r="U78" s="7">
        <v>2.0222072288100098E-3</v>
      </c>
      <c r="V78" s="7">
        <v>1.2617603076463999E-3</v>
      </c>
      <c r="W78" s="7">
        <v>6.6067636877099E-4</v>
      </c>
      <c r="X78" s="8">
        <v>1.4280278544984399</v>
      </c>
      <c r="Y78" s="8">
        <v>1.4302827749172899</v>
      </c>
      <c r="Z78" s="8">
        <v>1.42958574879175</v>
      </c>
      <c r="AA78" s="8">
        <v>1.42895987832331</v>
      </c>
      <c r="AB78" s="6">
        <v>97.356487923070304</v>
      </c>
      <c r="AC78" s="6">
        <v>97.324253247072605</v>
      </c>
      <c r="AD78" s="6">
        <v>97.268591457893905</v>
      </c>
      <c r="AE78" s="7">
        <v>1.57779974187389E-3</v>
      </c>
      <c r="AF78" s="7">
        <v>1.2466455034160101E-3</v>
      </c>
      <c r="AG78" s="7">
        <v>6.7456084345671695E-4</v>
      </c>
      <c r="AZ78" s="23"/>
      <c r="BB78" s="12">
        <f t="shared" si="6"/>
        <v>0</v>
      </c>
      <c r="BC78" s="12">
        <f t="shared" si="7"/>
        <v>1</v>
      </c>
      <c r="BD78" s="12">
        <f t="shared" si="8"/>
        <v>0</v>
      </c>
      <c r="BE78" s="12">
        <f t="shared" si="4"/>
        <v>1</v>
      </c>
      <c r="BF78" s="12">
        <f t="shared" si="9"/>
        <v>0</v>
      </c>
      <c r="BG78" s="23">
        <f t="shared" si="10"/>
        <v>0</v>
      </c>
      <c r="BH78" s="23">
        <f t="shared" si="11"/>
        <v>0</v>
      </c>
      <c r="BI78" s="23">
        <f t="shared" si="12"/>
        <v>0</v>
      </c>
      <c r="BJ78" s="18">
        <f t="shared" si="13"/>
        <v>3.0669434283419486E-3</v>
      </c>
      <c r="BL78" s="23"/>
      <c r="BN78" s="12">
        <f t="shared" si="14"/>
        <v>0</v>
      </c>
      <c r="BO78" s="12">
        <f t="shared" si="15"/>
        <v>0</v>
      </c>
      <c r="BP78" s="12">
        <f t="shared" si="16"/>
        <v>0</v>
      </c>
      <c r="BQ78" s="12">
        <f t="shared" si="5"/>
        <v>1</v>
      </c>
      <c r="BR78" s="12">
        <f t="shared" si="17"/>
        <v>0</v>
      </c>
      <c r="BS78" s="23">
        <f t="shared" si="18"/>
        <v>0</v>
      </c>
      <c r="BT78" s="23">
        <f t="shared" si="19"/>
        <v>0</v>
      </c>
      <c r="BU78" s="23">
        <f t="shared" si="20"/>
        <v>0</v>
      </c>
      <c r="BV78" s="18">
        <f t="shared" si="21"/>
        <v>6.7104381091813367E-3</v>
      </c>
      <c r="BX78" s="18">
        <f t="shared" si="22"/>
        <v>0</v>
      </c>
      <c r="BY78" s="18">
        <f t="shared" si="23"/>
        <v>9.7773815375232862E-3</v>
      </c>
    </row>
    <row r="79" spans="1:77" x14ac:dyDescent="0.3">
      <c r="A79" s="1">
        <v>46136</v>
      </c>
      <c r="B79" s="6">
        <v>67.2</v>
      </c>
      <c r="C79" s="6">
        <v>96.2</v>
      </c>
      <c r="D79" s="7">
        <v>1.7873105740958801E-3</v>
      </c>
      <c r="E79" s="7">
        <v>2.8105988418046499E-3</v>
      </c>
      <c r="F79" s="6">
        <v>0</v>
      </c>
      <c r="G79" s="6">
        <v>0.98799999999999999</v>
      </c>
      <c r="H79" s="6">
        <v>0</v>
      </c>
      <c r="I79" s="6">
        <v>1.2729999999999999</v>
      </c>
      <c r="J79" s="6">
        <v>0.98799999999999999</v>
      </c>
      <c r="K79" s="6">
        <v>1.2729999999999999</v>
      </c>
      <c r="L79" s="6">
        <v>68.188000000000002</v>
      </c>
      <c r="M79" s="6">
        <v>97.472999999999999</v>
      </c>
      <c r="N79" s="8">
        <v>1.43154761904761</v>
      </c>
      <c r="O79" s="8">
        <v>1.43297833357297</v>
      </c>
      <c r="P79" s="8">
        <v>1.43161592121134</v>
      </c>
      <c r="Q79" s="8">
        <v>1.43105397101537</v>
      </c>
      <c r="R79" s="6">
        <v>96.296144016103597</v>
      </c>
      <c r="S79" s="6">
        <v>96.207621844223794</v>
      </c>
      <c r="T79" s="6">
        <v>96.163586380780401</v>
      </c>
      <c r="U79" s="7">
        <v>9.9891896110126401E-4</v>
      </c>
      <c r="V79" s="7">
        <v>7.9226011472304406E-5</v>
      </c>
      <c r="W79" s="7">
        <v>-3.7859160706687898E-4</v>
      </c>
      <c r="X79" s="8">
        <v>1.42947439432158</v>
      </c>
      <c r="Y79" s="8">
        <v>1.4302827749172899</v>
      </c>
      <c r="Z79" s="8">
        <v>1.4295428516300399</v>
      </c>
      <c r="AA79" s="8">
        <v>1.4289994845784</v>
      </c>
      <c r="AB79" s="6">
        <v>97.528121856060395</v>
      </c>
      <c r="AC79" s="6">
        <v>97.480593038612298</v>
      </c>
      <c r="AD79" s="6">
        <v>97.437916183110204</v>
      </c>
      <c r="AE79" s="7">
        <v>5.6534913239397202E-4</v>
      </c>
      <c r="AF79" s="7">
        <v>7.7895857140378502E-5</v>
      </c>
      <c r="AG79" s="7">
        <v>-3.5999848500772001E-4</v>
      </c>
      <c r="AZ79" s="23"/>
      <c r="BB79" s="12">
        <f t="shared" si="6"/>
        <v>0</v>
      </c>
      <c r="BC79" s="12">
        <f t="shared" si="7"/>
        <v>1</v>
      </c>
      <c r="BD79" s="12">
        <f t="shared" si="8"/>
        <v>0</v>
      </c>
      <c r="BE79" s="12">
        <f t="shared" si="4"/>
        <v>1</v>
      </c>
      <c r="BF79" s="12">
        <f t="shared" si="9"/>
        <v>0</v>
      </c>
      <c r="BG79" s="23">
        <f t="shared" si="10"/>
        <v>0</v>
      </c>
      <c r="BH79" s="23">
        <f t="shared" si="11"/>
        <v>0</v>
      </c>
      <c r="BI79" s="23">
        <f t="shared" si="12"/>
        <v>0</v>
      </c>
      <c r="BJ79" s="18">
        <f t="shared" si="13"/>
        <v>3.0669434283419486E-3</v>
      </c>
      <c r="BL79" s="23"/>
      <c r="BN79" s="12">
        <f t="shared" si="14"/>
        <v>0</v>
      </c>
      <c r="BO79" s="12">
        <f t="shared" si="15"/>
        <v>1</v>
      </c>
      <c r="BP79" s="12">
        <f t="shared" si="16"/>
        <v>0</v>
      </c>
      <c r="BQ79" s="12">
        <f t="shared" si="5"/>
        <v>1</v>
      </c>
      <c r="BR79" s="12">
        <f t="shared" si="17"/>
        <v>0</v>
      </c>
      <c r="BS79" s="23">
        <f t="shared" si="18"/>
        <v>0</v>
      </c>
      <c r="BT79" s="23">
        <f t="shared" si="19"/>
        <v>0</v>
      </c>
      <c r="BU79" s="23">
        <f t="shared" si="20"/>
        <v>0</v>
      </c>
      <c r="BV79" s="18">
        <f t="shared" si="21"/>
        <v>6.7104381091813367E-3</v>
      </c>
      <c r="BX79" s="18">
        <f t="shared" si="22"/>
        <v>0</v>
      </c>
      <c r="BY79" s="18">
        <f t="shared" si="23"/>
        <v>9.7773815375232862E-3</v>
      </c>
    </row>
    <row r="80" spans="1:77" x14ac:dyDescent="0.3">
      <c r="A80" s="1">
        <v>46139</v>
      </c>
      <c r="B80" s="6">
        <v>67.069999999999993</v>
      </c>
      <c r="C80" s="6">
        <v>96.03</v>
      </c>
      <c r="D80" s="7">
        <v>-1.9363974174581599E-3</v>
      </c>
      <c r="E80" s="7">
        <v>-1.7687150217794601E-3</v>
      </c>
      <c r="F80" s="6">
        <v>0</v>
      </c>
      <c r="G80" s="6">
        <v>0.98799999999999999</v>
      </c>
      <c r="H80" s="6">
        <v>0</v>
      </c>
      <c r="I80" s="6">
        <v>1.2729999999999999</v>
      </c>
      <c r="J80" s="6">
        <v>0.98799999999999999</v>
      </c>
      <c r="K80" s="6">
        <v>1.2729999999999999</v>
      </c>
      <c r="L80" s="6">
        <v>68.057999999999893</v>
      </c>
      <c r="M80" s="6">
        <v>97.302999999999997</v>
      </c>
      <c r="N80" s="8">
        <v>1.4317876845087201</v>
      </c>
      <c r="O80" s="8">
        <v>1.43297833357297</v>
      </c>
      <c r="P80" s="8">
        <v>1.4315518495667501</v>
      </c>
      <c r="Q80" s="8">
        <v>1.4311433552407999</v>
      </c>
      <c r="R80" s="6">
        <v>96.109856832739098</v>
      </c>
      <c r="S80" s="6">
        <v>96.018479835644897</v>
      </c>
      <c r="T80" s="6">
        <v>95.980789836000994</v>
      </c>
      <c r="U80" s="7">
        <v>8.3123656542257005E-4</v>
      </c>
      <c r="V80" s="7">
        <v>-1.19971419495438E-4</v>
      </c>
      <c r="W80" s="7">
        <v>-5.1257708088620795E-4</v>
      </c>
      <c r="X80" s="8">
        <v>1.42970701460518</v>
      </c>
      <c r="Y80" s="8">
        <v>1.4302827749172899</v>
      </c>
      <c r="Z80" s="8">
        <v>1.4294798022820701</v>
      </c>
      <c r="AA80" s="8">
        <v>1.42908006644154</v>
      </c>
      <c r="AB80" s="6">
        <v>97.342185095321099</v>
      </c>
      <c r="AC80" s="6">
        <v>97.291827396237494</v>
      </c>
      <c r="AD80" s="6">
        <v>97.254846921436894</v>
      </c>
      <c r="AE80" s="7">
        <v>4.0263103175489703E-4</v>
      </c>
      <c r="AF80" s="7">
        <v>-1.14829401420651E-4</v>
      </c>
      <c r="AG80" s="7">
        <v>-4.9500012780971203E-4</v>
      </c>
      <c r="AZ80" s="23"/>
      <c r="BB80" s="12">
        <f t="shared" si="6"/>
        <v>0</v>
      </c>
      <c r="BC80" s="12">
        <f t="shared" si="7"/>
        <v>1</v>
      </c>
      <c r="BD80" s="12">
        <f t="shared" si="8"/>
        <v>0</v>
      </c>
      <c r="BE80" s="12">
        <f t="shared" si="4"/>
        <v>1</v>
      </c>
      <c r="BF80" s="12">
        <f t="shared" si="9"/>
        <v>0</v>
      </c>
      <c r="BG80" s="23">
        <f t="shared" si="10"/>
        <v>0</v>
      </c>
      <c r="BH80" s="23">
        <f t="shared" si="11"/>
        <v>0</v>
      </c>
      <c r="BI80" s="23">
        <f t="shared" si="12"/>
        <v>0</v>
      </c>
      <c r="BJ80" s="18">
        <f t="shared" si="13"/>
        <v>3.0669434283419486E-3</v>
      </c>
      <c r="BL80" s="23"/>
      <c r="BN80" s="12">
        <f t="shared" si="14"/>
        <v>0</v>
      </c>
      <c r="BO80" s="12">
        <f t="shared" si="15"/>
        <v>1</v>
      </c>
      <c r="BP80" s="12">
        <f t="shared" si="16"/>
        <v>0</v>
      </c>
      <c r="BQ80" s="12">
        <f t="shared" si="5"/>
        <v>1</v>
      </c>
      <c r="BR80" s="12">
        <f t="shared" si="17"/>
        <v>0</v>
      </c>
      <c r="BS80" s="23">
        <f t="shared" si="18"/>
        <v>0</v>
      </c>
      <c r="BT80" s="23">
        <f t="shared" si="19"/>
        <v>0</v>
      </c>
      <c r="BU80" s="23">
        <f t="shared" si="20"/>
        <v>0</v>
      </c>
      <c r="BV80" s="18">
        <f t="shared" si="21"/>
        <v>6.7104381091813367E-3</v>
      </c>
      <c r="BX80" s="18">
        <f t="shared" si="22"/>
        <v>0</v>
      </c>
      <c r="BY80" s="18">
        <f t="shared" si="23"/>
        <v>9.7773815375232862E-3</v>
      </c>
    </row>
    <row r="81" spans="1:77" x14ac:dyDescent="0.3">
      <c r="A81" s="1">
        <v>46140</v>
      </c>
      <c r="B81" s="6">
        <v>66.989999999999995</v>
      </c>
      <c r="C81" s="6">
        <v>95.95</v>
      </c>
      <c r="D81" s="7">
        <v>-1.1934955914696601E-3</v>
      </c>
      <c r="E81" s="7">
        <v>-8.3342019617250096E-4</v>
      </c>
      <c r="F81" s="6">
        <v>0</v>
      </c>
      <c r="G81" s="6">
        <v>0.98799999999999999</v>
      </c>
      <c r="H81" s="6">
        <v>0</v>
      </c>
      <c r="I81" s="6">
        <v>1.2729999999999999</v>
      </c>
      <c r="J81" s="6">
        <v>0.98799999999999999</v>
      </c>
      <c r="K81" s="6">
        <v>1.2729999999999999</v>
      </c>
      <c r="L81" s="6">
        <v>67.977999999999994</v>
      </c>
      <c r="M81" s="6">
        <v>97.222999999999999</v>
      </c>
      <c r="N81" s="8">
        <v>1.43230332885505</v>
      </c>
      <c r="O81" s="8">
        <v>1.43297833357297</v>
      </c>
      <c r="P81" s="8">
        <v>1.4314963832840999</v>
      </c>
      <c r="Q81" s="8">
        <v>1.4312784049938601</v>
      </c>
      <c r="R81" s="6">
        <v>95.995218566053197</v>
      </c>
      <c r="S81" s="6">
        <v>95.899658402476703</v>
      </c>
      <c r="T81" s="6">
        <v>95.872293367581705</v>
      </c>
      <c r="U81" s="7">
        <v>4.7116117012533401E-4</v>
      </c>
      <c r="V81" s="7">
        <v>-5.2480258863008499E-4</v>
      </c>
      <c r="W81" s="7">
        <v>-8.1019401139132395E-4</v>
      </c>
      <c r="X81" s="8">
        <v>1.4302127158786599</v>
      </c>
      <c r="Y81" s="8">
        <v>1.4302827749172899</v>
      </c>
      <c r="Z81" s="8">
        <v>1.42942412827059</v>
      </c>
      <c r="AA81" s="8">
        <v>1.4292054292727401</v>
      </c>
      <c r="AB81" s="6">
        <v>97.227762473327701</v>
      </c>
      <c r="AC81" s="6">
        <v>97.173177999530694</v>
      </c>
      <c r="AD81" s="6">
        <v>97.146004756563201</v>
      </c>
      <c r="AE81" s="7">
        <v>4.8983848334211901E-5</v>
      </c>
      <c r="AF81" s="7">
        <v>-5.1258211013029598E-4</v>
      </c>
      <c r="AG81" s="7">
        <v>-7.9225849368870505E-4</v>
      </c>
      <c r="AZ81" s="23"/>
      <c r="BB81" s="12">
        <f t="shared" si="6"/>
        <v>0</v>
      </c>
      <c r="BC81" s="12">
        <f t="shared" si="7"/>
        <v>0</v>
      </c>
      <c r="BD81" s="12">
        <f t="shared" si="8"/>
        <v>0</v>
      </c>
      <c r="BE81" s="12">
        <f t="shared" si="4"/>
        <v>1</v>
      </c>
      <c r="BF81" s="12">
        <f t="shared" si="9"/>
        <v>0</v>
      </c>
      <c r="BG81" s="23">
        <f t="shared" si="10"/>
        <v>0</v>
      </c>
      <c r="BH81" s="23">
        <f t="shared" si="11"/>
        <v>0</v>
      </c>
      <c r="BI81" s="23">
        <f t="shared" si="12"/>
        <v>0</v>
      </c>
      <c r="BJ81" s="18">
        <f t="shared" si="13"/>
        <v>3.0669434283419486E-3</v>
      </c>
      <c r="BL81" s="23"/>
      <c r="BN81" s="12">
        <f t="shared" si="14"/>
        <v>0</v>
      </c>
      <c r="BO81" s="12">
        <f t="shared" si="15"/>
        <v>1</v>
      </c>
      <c r="BP81" s="12">
        <f t="shared" si="16"/>
        <v>0</v>
      </c>
      <c r="BQ81" s="12">
        <f t="shared" si="5"/>
        <v>1</v>
      </c>
      <c r="BR81" s="12">
        <f t="shared" si="17"/>
        <v>0</v>
      </c>
      <c r="BS81" s="23">
        <f t="shared" si="18"/>
        <v>0</v>
      </c>
      <c r="BT81" s="23">
        <f t="shared" si="19"/>
        <v>0</v>
      </c>
      <c r="BU81" s="23">
        <f t="shared" si="20"/>
        <v>0</v>
      </c>
      <c r="BV81" s="18">
        <f t="shared" si="21"/>
        <v>6.7104381091813367E-3</v>
      </c>
      <c r="BX81" s="18">
        <f t="shared" si="22"/>
        <v>0</v>
      </c>
      <c r="BY81" s="18">
        <f t="shared" si="23"/>
        <v>9.7773815375232862E-3</v>
      </c>
    </row>
    <row r="82" spans="1:77" x14ac:dyDescent="0.3">
      <c r="A82" s="1">
        <v>46141</v>
      </c>
      <c r="B82" s="6">
        <v>66.75</v>
      </c>
      <c r="C82" s="6">
        <v>95.5</v>
      </c>
      <c r="D82" s="7">
        <v>-3.5890572398172399E-3</v>
      </c>
      <c r="E82" s="7">
        <v>-4.7009749670244199E-3</v>
      </c>
      <c r="F82" s="6">
        <v>0</v>
      </c>
      <c r="G82" s="6">
        <v>0.98799999999999999</v>
      </c>
      <c r="H82" s="6">
        <v>0</v>
      </c>
      <c r="I82" s="6">
        <v>1.2729999999999999</v>
      </c>
      <c r="J82" s="6">
        <v>0.98799999999999999</v>
      </c>
      <c r="K82" s="6">
        <v>1.2729999999999999</v>
      </c>
      <c r="L82" s="6">
        <v>67.738</v>
      </c>
      <c r="M82" s="6">
        <v>96.772999999999996</v>
      </c>
      <c r="N82" s="8">
        <v>1.43071161048689</v>
      </c>
      <c r="O82" s="8">
        <v>1.43297833357297</v>
      </c>
      <c r="P82" s="8">
        <v>1.4314661467710901</v>
      </c>
      <c r="Q82" s="8">
        <v>1.4313190852289699</v>
      </c>
      <c r="R82" s="6">
        <v>95.651303765995706</v>
      </c>
      <c r="S82" s="6">
        <v>95.552383584213999</v>
      </c>
      <c r="T82" s="6">
        <v>95.537833533340404</v>
      </c>
      <c r="U82" s="7">
        <v>1.5830788973326001E-3</v>
      </c>
      <c r="V82" s="7">
        <v>5.4836882475846403E-4</v>
      </c>
      <c r="W82" s="7">
        <v>3.9608420107443E-4</v>
      </c>
      <c r="X82" s="8">
        <v>1.4286368065192301</v>
      </c>
      <c r="Y82" s="8">
        <v>1.4302827749172899</v>
      </c>
      <c r="Z82" s="8">
        <v>1.4293927790315299</v>
      </c>
      <c r="AA82" s="8">
        <v>1.4292365594168099</v>
      </c>
      <c r="AB82" s="6">
        <v>96.884494607347605</v>
      </c>
      <c r="AC82" s="6">
        <v>96.826331600793495</v>
      </c>
      <c r="AD82" s="6">
        <v>96.811517368076906</v>
      </c>
      <c r="AE82" s="7">
        <v>1.15146196528689E-3</v>
      </c>
      <c r="AF82" s="7">
        <v>5.5094820526128095E-4</v>
      </c>
      <c r="AG82" s="7">
        <v>3.9793852430839197E-4</v>
      </c>
      <c r="AZ82" s="23"/>
      <c r="BB82" s="12">
        <f t="shared" si="6"/>
        <v>0</v>
      </c>
      <c r="BC82" s="12">
        <f t="shared" si="7"/>
        <v>1</v>
      </c>
      <c r="BD82" s="12">
        <f t="shared" si="8"/>
        <v>0</v>
      </c>
      <c r="BE82" s="12">
        <f t="shared" si="4"/>
        <v>1</v>
      </c>
      <c r="BF82" s="12">
        <f t="shared" si="9"/>
        <v>0</v>
      </c>
      <c r="BG82" s="23">
        <f t="shared" si="10"/>
        <v>0</v>
      </c>
      <c r="BH82" s="23">
        <f t="shared" si="11"/>
        <v>0</v>
      </c>
      <c r="BI82" s="23">
        <f t="shared" si="12"/>
        <v>0</v>
      </c>
      <c r="BJ82" s="18">
        <f t="shared" si="13"/>
        <v>3.0669434283419486E-3</v>
      </c>
      <c r="BL82" s="23"/>
      <c r="BN82" s="12">
        <f t="shared" si="14"/>
        <v>0</v>
      </c>
      <c r="BO82" s="12">
        <f t="shared" si="15"/>
        <v>0</v>
      </c>
      <c r="BP82" s="12">
        <f t="shared" si="16"/>
        <v>0</v>
      </c>
      <c r="BQ82" s="12">
        <f t="shared" si="5"/>
        <v>1</v>
      </c>
      <c r="BR82" s="12">
        <f t="shared" si="17"/>
        <v>0</v>
      </c>
      <c r="BS82" s="23">
        <f t="shared" si="18"/>
        <v>0</v>
      </c>
      <c r="BT82" s="23">
        <f t="shared" si="19"/>
        <v>0</v>
      </c>
      <c r="BU82" s="23">
        <f t="shared" si="20"/>
        <v>0</v>
      </c>
      <c r="BV82" s="18">
        <f t="shared" si="21"/>
        <v>6.7104381091813367E-3</v>
      </c>
      <c r="BX82" s="18">
        <f t="shared" si="22"/>
        <v>0</v>
      </c>
      <c r="BY82" s="18">
        <f t="shared" si="23"/>
        <v>9.7773815375232862E-3</v>
      </c>
    </row>
    <row r="83" spans="1:77" x14ac:dyDescent="0.3">
      <c r="A83" s="1">
        <v>46142</v>
      </c>
      <c r="B83" s="6">
        <v>66.930000000000007</v>
      </c>
      <c r="C83" s="6">
        <v>95.8</v>
      </c>
      <c r="D83" s="7">
        <v>2.6929998321921201E-3</v>
      </c>
      <c r="E83" s="7">
        <v>3.1364374901303102E-3</v>
      </c>
      <c r="F83" s="6">
        <v>0</v>
      </c>
      <c r="G83" s="6">
        <v>0.98799999999999999</v>
      </c>
      <c r="H83" s="6">
        <v>0</v>
      </c>
      <c r="I83" s="6">
        <v>1.2729999999999999</v>
      </c>
      <c r="J83" s="6">
        <v>0.98799999999999999</v>
      </c>
      <c r="K83" s="6">
        <v>1.2729999999999999</v>
      </c>
      <c r="L83" s="6">
        <v>67.918000000000006</v>
      </c>
      <c r="M83" s="6">
        <v>97.072999999999993</v>
      </c>
      <c r="N83" s="8">
        <v>1.4313461825788101</v>
      </c>
      <c r="O83" s="8">
        <v>1.43297833357297</v>
      </c>
      <c r="P83" s="8">
        <v>1.43139180980509</v>
      </c>
      <c r="Q83" s="8">
        <v>1.4313467602115699</v>
      </c>
      <c r="R83" s="6">
        <v>95.909239866038902</v>
      </c>
      <c r="S83" s="6">
        <v>95.808029203389196</v>
      </c>
      <c r="T83" s="6">
        <v>95.798186374375007</v>
      </c>
      <c r="U83" s="7">
        <v>1.13964123939437E-3</v>
      </c>
      <c r="V83" s="7">
        <v>8.3808631896652904E-5</v>
      </c>
      <c r="W83" s="7">
        <v>-1.89315531565321E-5</v>
      </c>
      <c r="X83" s="8">
        <v>1.4292676462793299</v>
      </c>
      <c r="Y83" s="8">
        <v>1.4302827749172899</v>
      </c>
      <c r="Z83" s="8">
        <v>1.42931930832381</v>
      </c>
      <c r="AA83" s="8">
        <v>1.4292658995610199</v>
      </c>
      <c r="AB83" s="6">
        <v>97.141945506832698</v>
      </c>
      <c r="AC83" s="6">
        <v>97.081498766263607</v>
      </c>
      <c r="AD83" s="6">
        <v>97.070888642471303</v>
      </c>
      <c r="AE83" s="7">
        <v>7.0999180365919701E-4</v>
      </c>
      <c r="AF83" s="7">
        <v>8.7546426408990099E-5</v>
      </c>
      <c r="AG83" s="7">
        <v>-2.1750440289170801E-5</v>
      </c>
      <c r="AZ83" s="23"/>
      <c r="BB83" s="12">
        <f t="shared" si="6"/>
        <v>0</v>
      </c>
      <c r="BC83" s="12">
        <f t="shared" si="7"/>
        <v>1</v>
      </c>
      <c r="BD83" s="12">
        <f t="shared" si="8"/>
        <v>0</v>
      </c>
      <c r="BE83" s="12">
        <f t="shared" si="4"/>
        <v>0</v>
      </c>
      <c r="BF83" s="12">
        <f t="shared" si="9"/>
        <v>0</v>
      </c>
      <c r="BG83" s="23">
        <f t="shared" si="10"/>
        <v>0</v>
      </c>
      <c r="BH83" s="23">
        <f t="shared" si="11"/>
        <v>0</v>
      </c>
      <c r="BI83" s="23">
        <f t="shared" si="12"/>
        <v>0</v>
      </c>
      <c r="BJ83" s="18">
        <f t="shared" si="13"/>
        <v>3.0669434283419486E-3</v>
      </c>
      <c r="BL83" s="23"/>
      <c r="BN83" s="12">
        <f t="shared" si="14"/>
        <v>0</v>
      </c>
      <c r="BO83" s="12">
        <f t="shared" si="15"/>
        <v>1</v>
      </c>
      <c r="BP83" s="12">
        <f t="shared" si="16"/>
        <v>0</v>
      </c>
      <c r="BQ83" s="12">
        <f t="shared" si="5"/>
        <v>0</v>
      </c>
      <c r="BR83" s="12">
        <f t="shared" si="17"/>
        <v>0</v>
      </c>
      <c r="BS83" s="23">
        <f t="shared" si="18"/>
        <v>0</v>
      </c>
      <c r="BT83" s="23">
        <f t="shared" si="19"/>
        <v>0</v>
      </c>
      <c r="BU83" s="23">
        <f t="shared" si="20"/>
        <v>0</v>
      </c>
      <c r="BV83" s="18">
        <f t="shared" si="21"/>
        <v>6.7104381091813367E-3</v>
      </c>
      <c r="BX83" s="18">
        <f t="shared" si="22"/>
        <v>0</v>
      </c>
      <c r="BY83" s="18">
        <f t="shared" si="23"/>
        <v>9.7773815375232862E-3</v>
      </c>
    </row>
    <row r="84" spans="1:77" x14ac:dyDescent="0.3">
      <c r="A84" s="1">
        <v>46143</v>
      </c>
      <c r="B84" s="6">
        <v>66.709999999999994</v>
      </c>
      <c r="C84" s="6">
        <v>95.57</v>
      </c>
      <c r="D84" s="7">
        <v>-3.2924303911269302E-3</v>
      </c>
      <c r="E84" s="7">
        <v>-2.40372169872665E-3</v>
      </c>
      <c r="F84" s="6">
        <v>0.318</v>
      </c>
      <c r="G84" s="6">
        <v>1.306</v>
      </c>
      <c r="H84" s="6">
        <v>0.41010000000000002</v>
      </c>
      <c r="I84" s="6">
        <v>1.6831</v>
      </c>
      <c r="J84" s="6">
        <v>1.306</v>
      </c>
      <c r="K84" s="6">
        <v>1.6831</v>
      </c>
      <c r="L84" s="6">
        <v>68.015999999999906</v>
      </c>
      <c r="M84" s="6">
        <v>97.253099999999904</v>
      </c>
      <c r="N84" s="8">
        <v>1.43261879778144</v>
      </c>
      <c r="O84" s="8">
        <v>1.43297833357297</v>
      </c>
      <c r="P84" s="8">
        <v>1.43146008863523</v>
      </c>
      <c r="Q84" s="8">
        <v>1.43148500381336</v>
      </c>
      <c r="R84" s="6">
        <v>95.593984632652806</v>
      </c>
      <c r="S84" s="6">
        <v>95.488147632097807</v>
      </c>
      <c r="T84" s="6">
        <v>95.485142373713799</v>
      </c>
      <c r="U84" s="7">
        <v>2.5093254699397701E-4</v>
      </c>
      <c r="V84" s="7">
        <v>-8.56832057929591E-4</v>
      </c>
      <c r="W84" s="7">
        <v>-8.8830513339616503E-4</v>
      </c>
      <c r="X84" s="8">
        <v>1.42985621030345</v>
      </c>
      <c r="Y84" s="8">
        <v>1.4302827749172899</v>
      </c>
      <c r="Z84" s="8">
        <v>1.42931827280944</v>
      </c>
      <c r="AA84" s="8">
        <v>1.42937072062965</v>
      </c>
      <c r="AB84" s="6">
        <v>97.282113218774597</v>
      </c>
      <c r="AC84" s="6">
        <v>97.216582074952797</v>
      </c>
      <c r="AD84" s="6">
        <v>97.212949424542501</v>
      </c>
      <c r="AE84" s="7">
        <v>2.9828243956158199E-4</v>
      </c>
      <c r="AF84" s="7">
        <v>-3.75564201954032E-4</v>
      </c>
      <c r="AG84" s="7">
        <v>-4.1293147206693801E-4</v>
      </c>
      <c r="AZ84" s="23"/>
      <c r="BB84" s="12">
        <f t="shared" si="6"/>
        <v>0</v>
      </c>
      <c r="BC84" s="12">
        <f t="shared" si="7"/>
        <v>1</v>
      </c>
      <c r="BD84" s="12">
        <f t="shared" si="8"/>
        <v>0</v>
      </c>
      <c r="BE84" s="12">
        <f t="shared" si="4"/>
        <v>1</v>
      </c>
      <c r="BF84" s="12">
        <f t="shared" si="9"/>
        <v>0</v>
      </c>
      <c r="BG84" s="23">
        <f t="shared" si="10"/>
        <v>0</v>
      </c>
      <c r="BH84" s="23">
        <f t="shared" si="11"/>
        <v>0</v>
      </c>
      <c r="BI84" s="23">
        <f t="shared" si="12"/>
        <v>0</v>
      </c>
      <c r="BJ84" s="18">
        <f t="shared" si="13"/>
        <v>3.0669434283419486E-3</v>
      </c>
      <c r="BL84" s="23"/>
      <c r="BN84" s="12">
        <f t="shared" si="14"/>
        <v>0</v>
      </c>
      <c r="BO84" s="12">
        <f t="shared" si="15"/>
        <v>1</v>
      </c>
      <c r="BP84" s="12">
        <f t="shared" si="16"/>
        <v>0</v>
      </c>
      <c r="BQ84" s="12">
        <f t="shared" si="5"/>
        <v>1</v>
      </c>
      <c r="BR84" s="12">
        <f t="shared" si="17"/>
        <v>0</v>
      </c>
      <c r="BS84" s="23">
        <f t="shared" si="18"/>
        <v>0</v>
      </c>
      <c r="BT84" s="23">
        <f t="shared" si="19"/>
        <v>0</v>
      </c>
      <c r="BU84" s="23">
        <f t="shared" si="20"/>
        <v>0</v>
      </c>
      <c r="BV84" s="18">
        <f t="shared" si="21"/>
        <v>6.7104381091813367E-3</v>
      </c>
      <c r="BX84" s="18">
        <f t="shared" si="22"/>
        <v>0</v>
      </c>
      <c r="BY84" s="18">
        <f t="shared" si="23"/>
        <v>9.7773815375232862E-3</v>
      </c>
    </row>
    <row r="85" spans="1:77" x14ac:dyDescent="0.3">
      <c r="A85" s="1">
        <v>46146</v>
      </c>
      <c r="B85" s="6">
        <v>66.400000000000006</v>
      </c>
      <c r="C85" s="6">
        <v>95.08</v>
      </c>
      <c r="D85" s="7">
        <v>-4.6578102390357401E-3</v>
      </c>
      <c r="E85" s="7">
        <v>-5.1403207860950401E-3</v>
      </c>
      <c r="F85" s="6">
        <v>0</v>
      </c>
      <c r="G85" s="6">
        <v>1.306</v>
      </c>
      <c r="H85" s="6">
        <v>0</v>
      </c>
      <c r="I85" s="6">
        <v>1.6831</v>
      </c>
      <c r="J85" s="6">
        <v>1.306</v>
      </c>
      <c r="K85" s="6">
        <v>1.6831</v>
      </c>
      <c r="L85" s="6">
        <v>67.706000000000003</v>
      </c>
      <c r="M85" s="6">
        <v>96.763099999999994</v>
      </c>
      <c r="N85" s="8">
        <v>1.4319277108433699</v>
      </c>
      <c r="O85" s="8">
        <v>1.43297833357297</v>
      </c>
      <c r="P85" s="8">
        <v>1.4315353608308401</v>
      </c>
      <c r="Q85" s="8">
        <v>1.4316115171704999</v>
      </c>
      <c r="R85" s="6">
        <v>95.149761349245196</v>
      </c>
      <c r="S85" s="6">
        <v>95.048949885379301</v>
      </c>
      <c r="T85" s="6">
        <v>95.050604253207297</v>
      </c>
      <c r="U85" s="7">
        <v>7.3344309405339405E-4</v>
      </c>
      <c r="V85" s="7">
        <v>-3.2662164194801501E-4</v>
      </c>
      <c r="W85" s="7">
        <v>-3.0921636358735902E-4</v>
      </c>
      <c r="X85" s="8">
        <v>1.4291658050985101</v>
      </c>
      <c r="Y85" s="8">
        <v>1.4302827749172899</v>
      </c>
      <c r="Z85" s="8">
        <v>1.4293232612751301</v>
      </c>
      <c r="AA85" s="8">
        <v>1.4294635074966699</v>
      </c>
      <c r="AB85" s="6">
        <v>96.838725558550294</v>
      </c>
      <c r="AC85" s="6">
        <v>96.773422978836507</v>
      </c>
      <c r="AD85" s="6">
        <v>96.776974010951193</v>
      </c>
      <c r="AE85" s="7">
        <v>7.8124844307237004E-4</v>
      </c>
      <c r="AF85" s="7">
        <v>1.06677320511989E-4</v>
      </c>
      <c r="AG85" s="7">
        <v>1.43370937992575E-4</v>
      </c>
      <c r="AZ85" s="23"/>
      <c r="BB85" s="12">
        <f t="shared" si="6"/>
        <v>0</v>
      </c>
      <c r="BC85" s="12">
        <f t="shared" si="7"/>
        <v>1</v>
      </c>
      <c r="BD85" s="12">
        <f t="shared" si="8"/>
        <v>0</v>
      </c>
      <c r="BE85" s="12">
        <f t="shared" si="4"/>
        <v>1</v>
      </c>
      <c r="BF85" s="12">
        <f t="shared" si="9"/>
        <v>0</v>
      </c>
      <c r="BG85" s="23">
        <f t="shared" si="10"/>
        <v>0</v>
      </c>
      <c r="BH85" s="23">
        <f t="shared" si="11"/>
        <v>0</v>
      </c>
      <c r="BI85" s="23">
        <f t="shared" si="12"/>
        <v>0</v>
      </c>
      <c r="BJ85" s="18">
        <f t="shared" si="13"/>
        <v>3.0669434283419486E-3</v>
      </c>
      <c r="BL85" s="23"/>
      <c r="BN85" s="12">
        <f t="shared" si="14"/>
        <v>0</v>
      </c>
      <c r="BO85" s="12">
        <f t="shared" si="15"/>
        <v>0</v>
      </c>
      <c r="BP85" s="12">
        <f t="shared" si="16"/>
        <v>0</v>
      </c>
      <c r="BQ85" s="12">
        <f t="shared" si="5"/>
        <v>1</v>
      </c>
      <c r="BR85" s="12">
        <f t="shared" si="17"/>
        <v>0</v>
      </c>
      <c r="BS85" s="23">
        <f t="shared" si="18"/>
        <v>0</v>
      </c>
      <c r="BT85" s="23">
        <f t="shared" si="19"/>
        <v>0</v>
      </c>
      <c r="BU85" s="23">
        <f t="shared" si="20"/>
        <v>0</v>
      </c>
      <c r="BV85" s="18">
        <f t="shared" si="21"/>
        <v>6.7104381091813367E-3</v>
      </c>
      <c r="BX85" s="18">
        <f t="shared" si="22"/>
        <v>0</v>
      </c>
      <c r="BY85" s="18">
        <f t="shared" si="23"/>
        <v>9.7773815375232862E-3</v>
      </c>
    </row>
    <row r="86" spans="1:77" x14ac:dyDescent="0.3">
      <c r="A86" s="1">
        <v>46147</v>
      </c>
      <c r="B86" s="6">
        <v>66.680000000000007</v>
      </c>
      <c r="C86" s="6">
        <v>95.52</v>
      </c>
      <c r="D86" s="7">
        <v>4.2080014002050404E-3</v>
      </c>
      <c r="E86" s="7">
        <v>4.6170071522987199E-3</v>
      </c>
      <c r="F86" s="6">
        <v>0</v>
      </c>
      <c r="G86" s="6">
        <v>1.306</v>
      </c>
      <c r="H86" s="6">
        <v>0</v>
      </c>
      <c r="I86" s="6">
        <v>1.6831</v>
      </c>
      <c r="J86" s="6">
        <v>1.306</v>
      </c>
      <c r="K86" s="6">
        <v>1.6831</v>
      </c>
      <c r="L86" s="6">
        <v>67.986000000000004</v>
      </c>
      <c r="M86" s="6">
        <v>97.203099999999907</v>
      </c>
      <c r="N86" s="8">
        <v>1.43251349730053</v>
      </c>
      <c r="O86" s="8">
        <v>1.43297833357297</v>
      </c>
      <c r="P86" s="8">
        <v>1.4316722249274301</v>
      </c>
      <c r="Q86" s="8">
        <v>1.43182707199298</v>
      </c>
      <c r="R86" s="6">
        <v>95.550995282645601</v>
      </c>
      <c r="S86" s="6">
        <v>95.454777860200593</v>
      </c>
      <c r="T86" s="6">
        <v>95.459855964929204</v>
      </c>
      <c r="U86" s="7">
        <v>3.2443734195958203E-4</v>
      </c>
      <c r="V86" s="7">
        <v>-6.8304456814580997E-4</v>
      </c>
      <c r="W86" s="7">
        <v>-6.2984692029616305E-4</v>
      </c>
      <c r="X86" s="8">
        <v>1.4297517135880899</v>
      </c>
      <c r="Y86" s="8">
        <v>1.4302827749172899</v>
      </c>
      <c r="Z86" s="8">
        <v>1.42939077689287</v>
      </c>
      <c r="AA86" s="8">
        <v>1.42964431752411</v>
      </c>
      <c r="AB86" s="6">
        <v>97.239204735527096</v>
      </c>
      <c r="AC86" s="6">
        <v>97.173971241051603</v>
      </c>
      <c r="AD86" s="6">
        <v>97.183506020669199</v>
      </c>
      <c r="AE86" s="7">
        <v>3.7136708486558098E-4</v>
      </c>
      <c r="AF86" s="7">
        <v>-2.9971394239481898E-4</v>
      </c>
      <c r="AG86" s="7">
        <v>-2.0159804009378901E-4</v>
      </c>
      <c r="AZ86" s="23"/>
      <c r="BB86" s="12">
        <f t="shared" si="6"/>
        <v>0</v>
      </c>
      <c r="BC86" s="12">
        <f t="shared" si="7"/>
        <v>1</v>
      </c>
      <c r="BD86" s="12">
        <f t="shared" si="8"/>
        <v>0</v>
      </c>
      <c r="BE86" s="12">
        <f t="shared" ref="BE86:BE149" si="24">IF(F87+H87&gt;0,0,1)</f>
        <v>1</v>
      </c>
      <c r="BF86" s="12">
        <f t="shared" si="9"/>
        <v>0</v>
      </c>
      <c r="BG86" s="23">
        <f t="shared" si="10"/>
        <v>0</v>
      </c>
      <c r="BH86" s="23">
        <f t="shared" si="11"/>
        <v>0</v>
      </c>
      <c r="BI86" s="23">
        <f t="shared" si="12"/>
        <v>0</v>
      </c>
      <c r="BJ86" s="18">
        <f t="shared" si="13"/>
        <v>3.0669434283419486E-3</v>
      </c>
      <c r="BL86" s="23"/>
      <c r="BN86" s="12">
        <f t="shared" si="14"/>
        <v>0</v>
      </c>
      <c r="BO86" s="12">
        <f t="shared" si="15"/>
        <v>1</v>
      </c>
      <c r="BP86" s="12">
        <f t="shared" si="16"/>
        <v>0</v>
      </c>
      <c r="BQ86" s="12">
        <f t="shared" ref="BQ86:BQ149" si="25">IF(F87+H87&gt;0,0,1)</f>
        <v>1</v>
      </c>
      <c r="BR86" s="12">
        <f t="shared" si="17"/>
        <v>0</v>
      </c>
      <c r="BS86" s="23">
        <f t="shared" si="18"/>
        <v>0</v>
      </c>
      <c r="BT86" s="23">
        <f t="shared" si="19"/>
        <v>0</v>
      </c>
      <c r="BU86" s="23">
        <f t="shared" si="20"/>
        <v>0</v>
      </c>
      <c r="BV86" s="18">
        <f t="shared" si="21"/>
        <v>6.7104381091813367E-3</v>
      </c>
      <c r="BX86" s="18">
        <f t="shared" si="22"/>
        <v>0</v>
      </c>
      <c r="BY86" s="18">
        <f t="shared" si="23"/>
        <v>9.7773815375232862E-3</v>
      </c>
    </row>
    <row r="87" spans="1:77" x14ac:dyDescent="0.3">
      <c r="A87" s="1">
        <v>46148</v>
      </c>
      <c r="B87" s="6">
        <v>67.16</v>
      </c>
      <c r="C87" s="6">
        <v>96.27</v>
      </c>
      <c r="D87" s="7">
        <v>7.1727743267466998E-3</v>
      </c>
      <c r="E87" s="7">
        <v>7.82109414558331E-3</v>
      </c>
      <c r="F87" s="6">
        <v>0</v>
      </c>
      <c r="G87" s="6">
        <v>1.306</v>
      </c>
      <c r="H87" s="6">
        <v>0</v>
      </c>
      <c r="I87" s="6">
        <v>1.6831</v>
      </c>
      <c r="J87" s="6">
        <v>1.306</v>
      </c>
      <c r="K87" s="6">
        <v>1.6831</v>
      </c>
      <c r="L87" s="6">
        <v>68.465999999999994</v>
      </c>
      <c r="M87" s="6">
        <v>97.953099999999907</v>
      </c>
      <c r="N87" s="8">
        <v>1.4334425253126799</v>
      </c>
      <c r="O87" s="8">
        <v>1.43297833357297</v>
      </c>
      <c r="P87" s="8">
        <v>1.4318282439124199</v>
      </c>
      <c r="Q87" s="8">
        <v>1.43185864387476</v>
      </c>
      <c r="R87" s="6">
        <v>96.238824882760596</v>
      </c>
      <c r="S87" s="6">
        <v>96.151106626126193</v>
      </c>
      <c r="T87" s="6">
        <v>96.161506155048798</v>
      </c>
      <c r="U87" s="7">
        <v>-3.2388247687683002E-4</v>
      </c>
      <c r="V87" s="7">
        <v>-1.2357624492312801E-3</v>
      </c>
      <c r="W87" s="7">
        <v>-1.12761011556606E-3</v>
      </c>
      <c r="X87" s="8">
        <v>1.4306823824964201</v>
      </c>
      <c r="Y87" s="8">
        <v>1.4302827749172899</v>
      </c>
      <c r="Z87" s="8">
        <v>1.42947825435889</v>
      </c>
      <c r="AA87" s="8">
        <v>1.4296437317445301</v>
      </c>
      <c r="AB87" s="6">
        <v>97.925740467487401</v>
      </c>
      <c r="AC87" s="6">
        <v>97.864668930747598</v>
      </c>
      <c r="AD87" s="6">
        <v>97.882027843606195</v>
      </c>
      <c r="AE87" s="7">
        <v>-2.7935158922924998E-4</v>
      </c>
      <c r="AF87" s="7">
        <v>-9.0319765919904995E-4</v>
      </c>
      <c r="AG87" s="7">
        <v>-7.2583668003421795E-4</v>
      </c>
      <c r="AZ87" s="23"/>
      <c r="BB87" s="12">
        <f t="shared" ref="BB87:BB150" si="26">IF($AG87&lt;BA$20,1,0)</f>
        <v>0</v>
      </c>
      <c r="BC87" s="12">
        <f t="shared" ref="BC87:BC150" si="27">IF($AG87&gt;BA$21,1,0)</f>
        <v>0</v>
      </c>
      <c r="BD87" s="12">
        <f t="shared" ref="BD87:BD150" si="28">BF87</f>
        <v>0</v>
      </c>
      <c r="BE87" s="12">
        <f t="shared" si="24"/>
        <v>1</v>
      </c>
      <c r="BF87" s="12">
        <f t="shared" ref="BF87:BF150" si="29">IF(BB86,1,IF(BC86,0,BD86))*BE86</f>
        <v>0</v>
      </c>
      <c r="BG87" s="23">
        <f t="shared" ref="BG87:BG150" si="30">BF87*D87</f>
        <v>0</v>
      </c>
      <c r="BH87" s="23">
        <f t="shared" ref="BH87:BH150" si="31">-BF87*$E87</f>
        <v>0</v>
      </c>
      <c r="BI87" s="23">
        <f t="shared" ref="BI87:BI150" si="32">BG87+BH87</f>
        <v>0</v>
      </c>
      <c r="BJ87" s="18">
        <f t="shared" ref="BJ87:BJ150" si="33">BJ86+BI87</f>
        <v>3.0669434283419486E-3</v>
      </c>
      <c r="BL87" s="23"/>
      <c r="BN87" s="12">
        <f t="shared" ref="BN87:BN150" si="34">IF($AG87&gt;BM$20,1,0)</f>
        <v>0</v>
      </c>
      <c r="BO87" s="12">
        <f t="shared" ref="BO87:BO150" si="35">IF($AG87&lt;BM$21,1,0)</f>
        <v>1</v>
      </c>
      <c r="BP87" s="12">
        <f t="shared" ref="BP87:BP150" si="36">BR87</f>
        <v>0</v>
      </c>
      <c r="BQ87" s="12">
        <f t="shared" si="25"/>
        <v>1</v>
      </c>
      <c r="BR87" s="12">
        <f t="shared" ref="BR87:BR150" si="37">IF(BN86,1,IF(BO86,0,BP86))*BQ86</f>
        <v>0</v>
      </c>
      <c r="BS87" s="23">
        <f t="shared" ref="BS87:BS150" si="38">-BR87*D87</f>
        <v>0</v>
      </c>
      <c r="BT87" s="23">
        <f t="shared" ref="BT87:BT150" si="39">BR87*$E87</f>
        <v>0</v>
      </c>
      <c r="BU87" s="23">
        <f t="shared" ref="BU87:BU150" si="40">BS87+BT87</f>
        <v>0</v>
      </c>
      <c r="BV87" s="18">
        <f t="shared" ref="BV87:BV150" si="41">BV86+BU87</f>
        <v>6.7104381091813367E-3</v>
      </c>
      <c r="BX87" s="18">
        <f t="shared" ref="BX87:BX150" si="42">BI87+BU87</f>
        <v>0</v>
      </c>
      <c r="BY87" s="18">
        <f t="shared" ref="BY87:BY150" si="43">BY86+BX87</f>
        <v>9.7773815375232862E-3</v>
      </c>
    </row>
    <row r="88" spans="1:77" x14ac:dyDescent="0.3">
      <c r="A88" s="1">
        <v>46149</v>
      </c>
      <c r="B88" s="6">
        <v>66.94</v>
      </c>
      <c r="C88" s="6">
        <v>95.9</v>
      </c>
      <c r="D88" s="7">
        <v>-3.2811364261595001E-3</v>
      </c>
      <c r="E88" s="7">
        <v>-3.85076190048252E-3</v>
      </c>
      <c r="F88" s="6">
        <v>0</v>
      </c>
      <c r="G88" s="6">
        <v>1.306</v>
      </c>
      <c r="H88" s="6">
        <v>0</v>
      </c>
      <c r="I88" s="6">
        <v>1.6831</v>
      </c>
      <c r="J88" s="6">
        <v>1.306</v>
      </c>
      <c r="K88" s="6">
        <v>1.6831</v>
      </c>
      <c r="L88" s="6">
        <v>68.245999999999995</v>
      </c>
      <c r="M88" s="6">
        <v>97.583100000000002</v>
      </c>
      <c r="N88" s="8">
        <v>1.4326262324469601</v>
      </c>
      <c r="O88" s="8">
        <v>1.43297833357297</v>
      </c>
      <c r="P88" s="8">
        <v>1.4320825189162101</v>
      </c>
      <c r="Q88" s="8">
        <v>1.4318717791323801</v>
      </c>
      <c r="R88" s="6">
        <v>95.923569649374599</v>
      </c>
      <c r="S88" s="6">
        <v>95.846582647497399</v>
      </c>
      <c r="T88" s="6">
        <v>95.848617620976896</v>
      </c>
      <c r="U88" s="7">
        <v>2.4574299744613298E-4</v>
      </c>
      <c r="V88" s="7">
        <v>-5.57166163244341E-4</v>
      </c>
      <c r="W88" s="7">
        <v>-5.3593481810079203E-4</v>
      </c>
      <c r="X88" s="8">
        <v>1.42987281305864</v>
      </c>
      <c r="Y88" s="8">
        <v>1.4302827749172899</v>
      </c>
      <c r="Z88" s="8">
        <v>1.42966275021491</v>
      </c>
      <c r="AA88" s="8">
        <v>1.42962424950333</v>
      </c>
      <c r="AB88" s="6">
        <v>97.611078257005602</v>
      </c>
      <c r="AC88" s="6">
        <v>97.556172946977</v>
      </c>
      <c r="AD88" s="6">
        <v>97.567466116637405</v>
      </c>
      <c r="AE88" s="7">
        <v>2.86671021103828E-4</v>
      </c>
      <c r="AF88" s="7">
        <v>-2.75977795624643E-4</v>
      </c>
      <c r="AG88" s="7">
        <v>-1.60223807771978E-4</v>
      </c>
      <c r="AZ88" s="23"/>
      <c r="BB88" s="12">
        <f t="shared" si="26"/>
        <v>0</v>
      </c>
      <c r="BC88" s="12">
        <f t="shared" si="27"/>
        <v>1</v>
      </c>
      <c r="BD88" s="12">
        <f t="shared" si="28"/>
        <v>0</v>
      </c>
      <c r="BE88" s="12">
        <f t="shared" si="24"/>
        <v>1</v>
      </c>
      <c r="BF88" s="12">
        <f t="shared" si="29"/>
        <v>0</v>
      </c>
      <c r="BG88" s="23">
        <f t="shared" si="30"/>
        <v>0</v>
      </c>
      <c r="BH88" s="23">
        <f t="shared" si="31"/>
        <v>0</v>
      </c>
      <c r="BI88" s="23">
        <f t="shared" si="32"/>
        <v>0</v>
      </c>
      <c r="BJ88" s="18">
        <f t="shared" si="33"/>
        <v>3.0669434283419486E-3</v>
      </c>
      <c r="BL88" s="23"/>
      <c r="BN88" s="12">
        <f t="shared" si="34"/>
        <v>0</v>
      </c>
      <c r="BO88" s="12">
        <f t="shared" si="35"/>
        <v>1</v>
      </c>
      <c r="BP88" s="12">
        <f t="shared" si="36"/>
        <v>0</v>
      </c>
      <c r="BQ88" s="12">
        <f t="shared" si="25"/>
        <v>1</v>
      </c>
      <c r="BR88" s="12">
        <f t="shared" si="37"/>
        <v>0</v>
      </c>
      <c r="BS88" s="23">
        <f t="shared" si="38"/>
        <v>0</v>
      </c>
      <c r="BT88" s="23">
        <f t="shared" si="39"/>
        <v>0</v>
      </c>
      <c r="BU88" s="23">
        <f t="shared" si="40"/>
        <v>0</v>
      </c>
      <c r="BV88" s="18">
        <f t="shared" si="41"/>
        <v>6.7104381091813367E-3</v>
      </c>
      <c r="BX88" s="18">
        <f t="shared" si="42"/>
        <v>0</v>
      </c>
      <c r="BY88" s="18">
        <f t="shared" si="43"/>
        <v>9.7773815375232862E-3</v>
      </c>
    </row>
    <row r="89" spans="1:77" x14ac:dyDescent="0.3">
      <c r="A89" s="1">
        <v>46150</v>
      </c>
      <c r="B89" s="6">
        <v>67.08</v>
      </c>
      <c r="C89" s="6">
        <v>96.15</v>
      </c>
      <c r="D89" s="7">
        <v>2.0892411718275599E-3</v>
      </c>
      <c r="E89" s="7">
        <v>2.6034901453962501E-3</v>
      </c>
      <c r="F89" s="6">
        <v>0</v>
      </c>
      <c r="G89" s="6">
        <v>1.306</v>
      </c>
      <c r="H89" s="6">
        <v>0</v>
      </c>
      <c r="I89" s="6">
        <v>1.6831</v>
      </c>
      <c r="J89" s="6">
        <v>1.306</v>
      </c>
      <c r="K89" s="6">
        <v>1.6831</v>
      </c>
      <c r="L89" s="6">
        <v>68.385999999999996</v>
      </c>
      <c r="M89" s="6">
        <v>97.833100000000002</v>
      </c>
      <c r="N89" s="8">
        <v>1.43336314847942</v>
      </c>
      <c r="O89" s="8">
        <v>1.43297833357297</v>
      </c>
      <c r="P89" s="8">
        <v>1.43226407185939</v>
      </c>
      <c r="Q89" s="8">
        <v>1.4319399965353601</v>
      </c>
      <c r="R89" s="6">
        <v>96.124186616074795</v>
      </c>
      <c r="S89" s="6">
        <v>96.064095368899402</v>
      </c>
      <c r="T89" s="6">
        <v>96.049958944200597</v>
      </c>
      <c r="U89" s="7">
        <v>-2.68505976122477E-4</v>
      </c>
      <c r="V89" s="7">
        <v>-8.9384326009190999E-4</v>
      </c>
      <c r="W89" s="7">
        <v>-1.0410102622647099E-3</v>
      </c>
      <c r="X89" s="8">
        <v>1.43060129266224</v>
      </c>
      <c r="Y89" s="8">
        <v>1.4302827749172899</v>
      </c>
      <c r="Z89" s="8">
        <v>1.4297754400489699</v>
      </c>
      <c r="AA89" s="8">
        <v>1.42965914583951</v>
      </c>
      <c r="AB89" s="6">
        <v>97.811317845494003</v>
      </c>
      <c r="AC89" s="6">
        <v>97.768916836196993</v>
      </c>
      <c r="AD89" s="6">
        <v>97.766283926534996</v>
      </c>
      <c r="AE89" s="7">
        <v>-2.2267085190397199E-4</v>
      </c>
      <c r="AF89" s="7">
        <v>-6.5626282534915503E-4</v>
      </c>
      <c r="AG89" s="7">
        <v>-6.8319311362354505E-4</v>
      </c>
      <c r="AZ89" s="23"/>
      <c r="BB89" s="12">
        <f t="shared" si="26"/>
        <v>0</v>
      </c>
      <c r="BC89" s="12">
        <f t="shared" si="27"/>
        <v>0</v>
      </c>
      <c r="BD89" s="12">
        <f t="shared" si="28"/>
        <v>0</v>
      </c>
      <c r="BE89" s="12">
        <f t="shared" si="24"/>
        <v>1</v>
      </c>
      <c r="BF89" s="12">
        <f t="shared" si="29"/>
        <v>0</v>
      </c>
      <c r="BG89" s="23">
        <f t="shared" si="30"/>
        <v>0</v>
      </c>
      <c r="BH89" s="23">
        <f t="shared" si="31"/>
        <v>0</v>
      </c>
      <c r="BI89" s="23">
        <f t="shared" si="32"/>
        <v>0</v>
      </c>
      <c r="BJ89" s="18">
        <f t="shared" si="33"/>
        <v>3.0669434283419486E-3</v>
      </c>
      <c r="BL89" s="23"/>
      <c r="BN89" s="12">
        <f t="shared" si="34"/>
        <v>0</v>
      </c>
      <c r="BO89" s="12">
        <f t="shared" si="35"/>
        <v>1</v>
      </c>
      <c r="BP89" s="12">
        <f t="shared" si="36"/>
        <v>0</v>
      </c>
      <c r="BQ89" s="12">
        <f t="shared" si="25"/>
        <v>1</v>
      </c>
      <c r="BR89" s="12">
        <f t="shared" si="37"/>
        <v>0</v>
      </c>
      <c r="BS89" s="23">
        <f t="shared" si="38"/>
        <v>0</v>
      </c>
      <c r="BT89" s="23">
        <f t="shared" si="39"/>
        <v>0</v>
      </c>
      <c r="BU89" s="23">
        <f t="shared" si="40"/>
        <v>0</v>
      </c>
      <c r="BV89" s="18">
        <f t="shared" si="41"/>
        <v>6.7104381091813367E-3</v>
      </c>
      <c r="BX89" s="18">
        <f t="shared" si="42"/>
        <v>0</v>
      </c>
      <c r="BY89" s="18">
        <f t="shared" si="43"/>
        <v>9.7773815375232862E-3</v>
      </c>
    </row>
    <row r="90" spans="1:77" x14ac:dyDescent="0.3">
      <c r="A90" s="1">
        <v>46153</v>
      </c>
      <c r="B90" s="6">
        <v>66.959999999999994</v>
      </c>
      <c r="C90" s="6">
        <v>95.97</v>
      </c>
      <c r="D90" s="7">
        <v>-1.79051077378834E-3</v>
      </c>
      <c r="E90" s="7">
        <v>-1.87382940525243E-3</v>
      </c>
      <c r="F90" s="6">
        <v>0</v>
      </c>
      <c r="G90" s="6">
        <v>1.306</v>
      </c>
      <c r="H90" s="6">
        <v>0</v>
      </c>
      <c r="I90" s="6">
        <v>1.6831</v>
      </c>
      <c r="J90" s="6">
        <v>1.306</v>
      </c>
      <c r="K90" s="6">
        <v>1.6831</v>
      </c>
      <c r="L90" s="6">
        <v>68.265999999999906</v>
      </c>
      <c r="M90" s="6">
        <v>97.653099999999995</v>
      </c>
      <c r="N90" s="8">
        <v>1.4332437275985599</v>
      </c>
      <c r="O90" s="8">
        <v>1.43297833357297</v>
      </c>
      <c r="P90" s="8">
        <v>1.43240967616837</v>
      </c>
      <c r="Q90" s="8">
        <v>1.43198076286756</v>
      </c>
      <c r="R90" s="6">
        <v>95.952229216046007</v>
      </c>
      <c r="S90" s="6">
        <v>95.904402251704795</v>
      </c>
      <c r="T90" s="6">
        <v>95.882702168008194</v>
      </c>
      <c r="U90" s="7">
        <v>-1.8518734465824201E-4</v>
      </c>
      <c r="V90" s="7">
        <v>-6.8375718783782505E-4</v>
      </c>
      <c r="W90" s="7">
        <v>-9.1005064854645301E-4</v>
      </c>
      <c r="X90" s="8">
        <v>1.43047930155567</v>
      </c>
      <c r="Y90" s="8">
        <v>1.4302827749172899</v>
      </c>
      <c r="Z90" s="8">
        <v>1.4298526687440201</v>
      </c>
      <c r="AA90" s="8">
        <v>1.4296662355130501</v>
      </c>
      <c r="AB90" s="6">
        <v>97.639683912503898</v>
      </c>
      <c r="AC90" s="6">
        <v>97.605050190383594</v>
      </c>
      <c r="AD90" s="6">
        <v>97.597111249880101</v>
      </c>
      <c r="AE90" s="7">
        <v>-1.3739460566200199E-4</v>
      </c>
      <c r="AF90" s="7">
        <v>-4.9216701622378605E-4</v>
      </c>
      <c r="AG90" s="7">
        <v>-5.7350771910663796E-4</v>
      </c>
      <c r="AZ90" s="23"/>
      <c r="BB90" s="12">
        <f t="shared" si="26"/>
        <v>0</v>
      </c>
      <c r="BC90" s="12">
        <f t="shared" si="27"/>
        <v>0</v>
      </c>
      <c r="BD90" s="12">
        <f t="shared" si="28"/>
        <v>0</v>
      </c>
      <c r="BE90" s="12">
        <f t="shared" si="24"/>
        <v>1</v>
      </c>
      <c r="BF90" s="12">
        <f t="shared" si="29"/>
        <v>0</v>
      </c>
      <c r="BG90" s="23">
        <f t="shared" si="30"/>
        <v>0</v>
      </c>
      <c r="BH90" s="23">
        <f t="shared" si="31"/>
        <v>0</v>
      </c>
      <c r="BI90" s="23">
        <f t="shared" si="32"/>
        <v>0</v>
      </c>
      <c r="BJ90" s="18">
        <f t="shared" si="33"/>
        <v>3.0669434283419486E-3</v>
      </c>
      <c r="BL90" s="23"/>
      <c r="BN90" s="12">
        <f t="shared" si="34"/>
        <v>0</v>
      </c>
      <c r="BO90" s="12">
        <f t="shared" si="35"/>
        <v>1</v>
      </c>
      <c r="BP90" s="12">
        <f t="shared" si="36"/>
        <v>0</v>
      </c>
      <c r="BQ90" s="12">
        <f t="shared" si="25"/>
        <v>1</v>
      </c>
      <c r="BR90" s="12">
        <f t="shared" si="37"/>
        <v>0</v>
      </c>
      <c r="BS90" s="23">
        <f t="shared" si="38"/>
        <v>0</v>
      </c>
      <c r="BT90" s="23">
        <f t="shared" si="39"/>
        <v>0</v>
      </c>
      <c r="BU90" s="23">
        <f t="shared" si="40"/>
        <v>0</v>
      </c>
      <c r="BV90" s="18">
        <f t="shared" si="41"/>
        <v>6.7104381091813367E-3</v>
      </c>
      <c r="BX90" s="18">
        <f t="shared" si="42"/>
        <v>0</v>
      </c>
      <c r="BY90" s="18">
        <f t="shared" si="43"/>
        <v>9.7773815375232862E-3</v>
      </c>
    </row>
    <row r="91" spans="1:77" x14ac:dyDescent="0.3">
      <c r="A91" s="1">
        <v>46154</v>
      </c>
      <c r="B91" s="6">
        <v>66.760000000000005</v>
      </c>
      <c r="C91" s="6">
        <v>95.72</v>
      </c>
      <c r="D91" s="7">
        <v>-2.9913273875853399E-3</v>
      </c>
      <c r="E91" s="7">
        <v>-2.6083795893637402E-3</v>
      </c>
      <c r="F91" s="6">
        <v>0</v>
      </c>
      <c r="G91" s="6">
        <v>1.306</v>
      </c>
      <c r="H91" s="6">
        <v>0</v>
      </c>
      <c r="I91" s="6">
        <v>1.6831</v>
      </c>
      <c r="J91" s="6">
        <v>1.306</v>
      </c>
      <c r="K91" s="6">
        <v>1.6831</v>
      </c>
      <c r="L91" s="6">
        <v>68.066000000000003</v>
      </c>
      <c r="M91" s="6">
        <v>97.403099999999995</v>
      </c>
      <c r="N91" s="8">
        <v>1.43379269023367</v>
      </c>
      <c r="O91" s="8">
        <v>1.43297833357297</v>
      </c>
      <c r="P91" s="8">
        <v>1.4325586123062299</v>
      </c>
      <c r="Q91" s="8">
        <v>1.4320274977951699</v>
      </c>
      <c r="R91" s="6">
        <v>95.665633549331503</v>
      </c>
      <c r="S91" s="6">
        <v>95.627669981000693</v>
      </c>
      <c r="T91" s="6">
        <v>95.599035729038505</v>
      </c>
      <c r="U91" s="7">
        <v>-5.6813514287985703E-4</v>
      </c>
      <c r="V91" s="7">
        <v>-9.6504991332389801E-4</v>
      </c>
      <c r="W91" s="7">
        <v>-1.26452955001929E-3</v>
      </c>
      <c r="X91" s="8">
        <v>1.43100960832133</v>
      </c>
      <c r="Y91" s="8">
        <v>1.4302827749172899</v>
      </c>
      <c r="Z91" s="8">
        <v>1.4299323579882901</v>
      </c>
      <c r="AA91" s="8">
        <v>1.4296782431294399</v>
      </c>
      <c r="AB91" s="6">
        <v>97.353627357520494</v>
      </c>
      <c r="AC91" s="6">
        <v>97.324351750730997</v>
      </c>
      <c r="AD91" s="6">
        <v>97.311661986431304</v>
      </c>
      <c r="AE91" s="7">
        <v>-5.0804554189050604E-4</v>
      </c>
      <c r="AF91" s="7">
        <v>-8.0880484855923502E-4</v>
      </c>
      <c r="AG91" s="7">
        <v>-9.3919967194360898E-4</v>
      </c>
      <c r="AZ91" s="23"/>
      <c r="BB91" s="12">
        <f t="shared" si="26"/>
        <v>0</v>
      </c>
      <c r="BC91" s="12">
        <f t="shared" si="27"/>
        <v>0</v>
      </c>
      <c r="BD91" s="12">
        <f t="shared" si="28"/>
        <v>0</v>
      </c>
      <c r="BE91" s="12">
        <f t="shared" si="24"/>
        <v>1</v>
      </c>
      <c r="BF91" s="12">
        <f t="shared" si="29"/>
        <v>0</v>
      </c>
      <c r="BG91" s="23">
        <f t="shared" si="30"/>
        <v>0</v>
      </c>
      <c r="BH91" s="23">
        <f t="shared" si="31"/>
        <v>0</v>
      </c>
      <c r="BI91" s="23">
        <f t="shared" si="32"/>
        <v>0</v>
      </c>
      <c r="BJ91" s="18">
        <f t="shared" si="33"/>
        <v>3.0669434283419486E-3</v>
      </c>
      <c r="BL91" s="23"/>
      <c r="BN91" s="12">
        <f t="shared" si="34"/>
        <v>0</v>
      </c>
      <c r="BO91" s="12">
        <f t="shared" si="35"/>
        <v>1</v>
      </c>
      <c r="BP91" s="12">
        <f t="shared" si="36"/>
        <v>0</v>
      </c>
      <c r="BQ91" s="12">
        <f t="shared" si="25"/>
        <v>1</v>
      </c>
      <c r="BR91" s="12">
        <f t="shared" si="37"/>
        <v>0</v>
      </c>
      <c r="BS91" s="23">
        <f t="shared" si="38"/>
        <v>0</v>
      </c>
      <c r="BT91" s="23">
        <f t="shared" si="39"/>
        <v>0</v>
      </c>
      <c r="BU91" s="23">
        <f t="shared" si="40"/>
        <v>0</v>
      </c>
      <c r="BV91" s="18">
        <f t="shared" si="41"/>
        <v>6.7104381091813367E-3</v>
      </c>
      <c r="BX91" s="18">
        <f t="shared" si="42"/>
        <v>0</v>
      </c>
      <c r="BY91" s="18">
        <f t="shared" si="43"/>
        <v>9.7773815375232862E-3</v>
      </c>
    </row>
    <row r="92" spans="1:77" x14ac:dyDescent="0.3">
      <c r="A92" s="1">
        <v>46155</v>
      </c>
      <c r="B92" s="6">
        <v>66.599999999999994</v>
      </c>
      <c r="C92" s="6">
        <v>95.54</v>
      </c>
      <c r="D92" s="7">
        <v>-2.3995212472910001E-3</v>
      </c>
      <c r="E92" s="7">
        <v>-1.8822550783566801E-3</v>
      </c>
      <c r="F92" s="6">
        <v>0</v>
      </c>
      <c r="G92" s="6">
        <v>1.306</v>
      </c>
      <c r="H92" s="6">
        <v>0</v>
      </c>
      <c r="I92" s="6">
        <v>1.6831</v>
      </c>
      <c r="J92" s="6">
        <v>1.306</v>
      </c>
      <c r="K92" s="6">
        <v>1.6831</v>
      </c>
      <c r="L92" s="6">
        <v>67.905999999999906</v>
      </c>
      <c r="M92" s="6">
        <v>97.223100000000002</v>
      </c>
      <c r="N92" s="8">
        <v>1.4345345345345299</v>
      </c>
      <c r="O92" s="8">
        <v>1.43297833357297</v>
      </c>
      <c r="P92" s="8">
        <v>1.432940904711</v>
      </c>
      <c r="Q92" s="8">
        <v>1.4322035257410399</v>
      </c>
      <c r="R92" s="6">
        <v>95.4363570159598</v>
      </c>
      <c r="S92" s="6">
        <v>95.408403579595401</v>
      </c>
      <c r="T92" s="6">
        <v>95.373031353158396</v>
      </c>
      <c r="U92" s="7">
        <v>-1.08540131181414E-3</v>
      </c>
      <c r="V92" s="7">
        <v>-1.3783455506502201E-3</v>
      </c>
      <c r="W92" s="7">
        <v>-1.7491596904519399E-3</v>
      </c>
      <c r="X92" s="8">
        <v>1.4317306276323101</v>
      </c>
      <c r="Y92" s="8">
        <v>1.4302827749172899</v>
      </c>
      <c r="Z92" s="8">
        <v>1.4302417400995999</v>
      </c>
      <c r="AA92" s="8">
        <v>1.4298172595655601</v>
      </c>
      <c r="AB92" s="6">
        <v>97.124782113533698</v>
      </c>
      <c r="AC92" s="6">
        <v>97.100986701553097</v>
      </c>
      <c r="AD92" s="6">
        <v>97.083730777948006</v>
      </c>
      <c r="AE92" s="7">
        <v>-1.01177222807109E-3</v>
      </c>
      <c r="AF92" s="7">
        <v>-1.2568006014407999E-3</v>
      </c>
      <c r="AG92" s="7">
        <v>-1.4345274985363701E-3</v>
      </c>
      <c r="AZ92" s="23"/>
      <c r="BB92" s="12">
        <f t="shared" si="26"/>
        <v>0</v>
      </c>
      <c r="BC92" s="12">
        <f t="shared" si="27"/>
        <v>0</v>
      </c>
      <c r="BD92" s="12">
        <f t="shared" si="28"/>
        <v>0</v>
      </c>
      <c r="BE92" s="12">
        <f t="shared" si="24"/>
        <v>1</v>
      </c>
      <c r="BF92" s="12">
        <f t="shared" si="29"/>
        <v>0</v>
      </c>
      <c r="BG92" s="23">
        <f t="shared" si="30"/>
        <v>0</v>
      </c>
      <c r="BH92" s="23">
        <f t="shared" si="31"/>
        <v>0</v>
      </c>
      <c r="BI92" s="23">
        <f t="shared" si="32"/>
        <v>0</v>
      </c>
      <c r="BJ92" s="18">
        <f t="shared" si="33"/>
        <v>3.0669434283419486E-3</v>
      </c>
      <c r="BL92" s="23"/>
      <c r="BN92" s="12">
        <f t="shared" si="34"/>
        <v>0</v>
      </c>
      <c r="BO92" s="12">
        <f t="shared" si="35"/>
        <v>1</v>
      </c>
      <c r="BP92" s="12">
        <f t="shared" si="36"/>
        <v>0</v>
      </c>
      <c r="BQ92" s="12">
        <f t="shared" si="25"/>
        <v>1</v>
      </c>
      <c r="BR92" s="12">
        <f t="shared" si="37"/>
        <v>0</v>
      </c>
      <c r="BS92" s="23">
        <f t="shared" si="38"/>
        <v>0</v>
      </c>
      <c r="BT92" s="23">
        <f t="shared" si="39"/>
        <v>0</v>
      </c>
      <c r="BU92" s="23">
        <f t="shared" si="40"/>
        <v>0</v>
      </c>
      <c r="BV92" s="18">
        <f t="shared" si="41"/>
        <v>6.7104381091813367E-3</v>
      </c>
      <c r="BX92" s="18">
        <f t="shared" si="42"/>
        <v>0</v>
      </c>
      <c r="BY92" s="18">
        <f t="shared" si="43"/>
        <v>9.7773815375232862E-3</v>
      </c>
    </row>
    <row r="93" spans="1:77" x14ac:dyDescent="0.3">
      <c r="A93" s="1">
        <v>46156</v>
      </c>
      <c r="B93" s="6">
        <v>66.61</v>
      </c>
      <c r="C93" s="6">
        <v>95.54</v>
      </c>
      <c r="D93" s="7">
        <v>1.5013887874464499E-4</v>
      </c>
      <c r="E93" s="7">
        <v>0</v>
      </c>
      <c r="F93" s="6">
        <v>0</v>
      </c>
      <c r="G93" s="6">
        <v>1.306</v>
      </c>
      <c r="H93" s="6">
        <v>0</v>
      </c>
      <c r="I93" s="6">
        <v>1.6831</v>
      </c>
      <c r="J93" s="6">
        <v>1.306</v>
      </c>
      <c r="K93" s="6">
        <v>1.6831</v>
      </c>
      <c r="L93" s="6">
        <v>67.915999999999997</v>
      </c>
      <c r="M93" s="6">
        <v>97.223100000000002</v>
      </c>
      <c r="N93" s="8">
        <v>1.4343191712956</v>
      </c>
      <c r="O93" s="8">
        <v>1.43297833357297</v>
      </c>
      <c r="P93" s="8">
        <v>1.4332382035826801</v>
      </c>
      <c r="Q93" s="8">
        <v>1.4323150066938799</v>
      </c>
      <c r="R93" s="6">
        <v>95.450686799295497</v>
      </c>
      <c r="S93" s="6">
        <v>95.448193662799795</v>
      </c>
      <c r="T93" s="6">
        <v>95.399076849611205</v>
      </c>
      <c r="U93" s="7">
        <v>-9.3526243306956401E-4</v>
      </c>
      <c r="V93" s="7">
        <v>-9.6138240286492696E-4</v>
      </c>
      <c r="W93" s="7">
        <v>-1.4761061832071899E-3</v>
      </c>
      <c r="X93" s="8">
        <v>1.43151981859944</v>
      </c>
      <c r="Y93" s="8">
        <v>1.4302827749172899</v>
      </c>
      <c r="Z93" s="8">
        <v>1.43046695733161</v>
      </c>
      <c r="AA93" s="8">
        <v>1.42989313282771</v>
      </c>
      <c r="AB93" s="6">
        <v>97.139084941282903</v>
      </c>
      <c r="AC93" s="6">
        <v>97.136298020604599</v>
      </c>
      <c r="AD93" s="6">
        <v>97.107469000655101</v>
      </c>
      <c r="AE93" s="7">
        <v>-8.6452067798242099E-4</v>
      </c>
      <c r="AF93" s="7">
        <v>-8.9321109295895595E-4</v>
      </c>
      <c r="AG93" s="7">
        <v>-1.1900445059772301E-3</v>
      </c>
      <c r="AZ93" s="23"/>
      <c r="BB93" s="12">
        <f t="shared" si="26"/>
        <v>0</v>
      </c>
      <c r="BC93" s="12">
        <f t="shared" si="27"/>
        <v>0</v>
      </c>
      <c r="BD93" s="12">
        <f t="shared" si="28"/>
        <v>0</v>
      </c>
      <c r="BE93" s="12">
        <f t="shared" si="24"/>
        <v>1</v>
      </c>
      <c r="BF93" s="12">
        <f t="shared" si="29"/>
        <v>0</v>
      </c>
      <c r="BG93" s="23">
        <f t="shared" si="30"/>
        <v>0</v>
      </c>
      <c r="BH93" s="23">
        <f t="shared" si="31"/>
        <v>0</v>
      </c>
      <c r="BI93" s="23">
        <f t="shared" si="32"/>
        <v>0</v>
      </c>
      <c r="BJ93" s="18">
        <f t="shared" si="33"/>
        <v>3.0669434283419486E-3</v>
      </c>
      <c r="BL93" s="23"/>
      <c r="BN93" s="12">
        <f t="shared" si="34"/>
        <v>0</v>
      </c>
      <c r="BO93" s="12">
        <f t="shared" si="35"/>
        <v>1</v>
      </c>
      <c r="BP93" s="12">
        <f t="shared" si="36"/>
        <v>0</v>
      </c>
      <c r="BQ93" s="12">
        <f t="shared" si="25"/>
        <v>1</v>
      </c>
      <c r="BR93" s="12">
        <f t="shared" si="37"/>
        <v>0</v>
      </c>
      <c r="BS93" s="23">
        <f t="shared" si="38"/>
        <v>0</v>
      </c>
      <c r="BT93" s="23">
        <f t="shared" si="39"/>
        <v>0</v>
      </c>
      <c r="BU93" s="23">
        <f t="shared" si="40"/>
        <v>0</v>
      </c>
      <c r="BV93" s="18">
        <f t="shared" si="41"/>
        <v>6.7104381091813367E-3</v>
      </c>
      <c r="BX93" s="18">
        <f t="shared" si="42"/>
        <v>0</v>
      </c>
      <c r="BY93" s="18">
        <f t="shared" si="43"/>
        <v>9.7773815375232862E-3</v>
      </c>
    </row>
    <row r="94" spans="1:77" x14ac:dyDescent="0.3">
      <c r="A94" s="1">
        <v>46157</v>
      </c>
      <c r="B94" s="6">
        <v>66.14</v>
      </c>
      <c r="C94" s="6">
        <v>94.71</v>
      </c>
      <c r="D94" s="7">
        <v>-7.0810088714413398E-3</v>
      </c>
      <c r="E94" s="7">
        <v>-8.7254167238059802E-3</v>
      </c>
      <c r="F94" s="6">
        <v>0</v>
      </c>
      <c r="G94" s="6">
        <v>1.306</v>
      </c>
      <c r="H94" s="6">
        <v>0</v>
      </c>
      <c r="I94" s="6">
        <v>1.6831</v>
      </c>
      <c r="J94" s="6">
        <v>1.306</v>
      </c>
      <c r="K94" s="6">
        <v>1.6831</v>
      </c>
      <c r="L94" s="6">
        <v>67.445999999999998</v>
      </c>
      <c r="M94" s="6">
        <v>96.393099999999905</v>
      </c>
      <c r="N94" s="8">
        <v>1.43196250377986</v>
      </c>
      <c r="O94" s="8">
        <v>1.43297833357297</v>
      </c>
      <c r="P94" s="8">
        <v>1.4331725741825201</v>
      </c>
      <c r="Q94" s="8">
        <v>1.43231633140887</v>
      </c>
      <c r="R94" s="6">
        <v>94.777186982516199</v>
      </c>
      <c r="S94" s="6">
        <v>94.794374784958507</v>
      </c>
      <c r="T94" s="6">
        <v>94.733314542733694</v>
      </c>
      <c r="U94" s="7">
        <v>7.0914541929518798E-4</v>
      </c>
      <c r="V94" s="7">
        <v>8.9047855100671605E-4</v>
      </c>
      <c r="W94" s="7">
        <v>2.4613740429661399E-4</v>
      </c>
      <c r="X94" s="8">
        <v>1.4291892773478001</v>
      </c>
      <c r="Y94" s="8">
        <v>1.4302827749172899</v>
      </c>
      <c r="Z94" s="8">
        <v>1.43040026403604</v>
      </c>
      <c r="AA94" s="8">
        <v>1.42985926842274</v>
      </c>
      <c r="AB94" s="6">
        <v>96.466852037071703</v>
      </c>
      <c r="AC94" s="6">
        <v>96.479274404188004</v>
      </c>
      <c r="AD94" s="6">
        <v>96.440572236698102</v>
      </c>
      <c r="AE94" s="7">
        <v>7.6482483675796695E-4</v>
      </c>
      <c r="AF94" s="7">
        <v>8.9358997304289504E-4</v>
      </c>
      <c r="AG94" s="7">
        <v>4.9236460734873198E-4</v>
      </c>
      <c r="AZ94" s="23"/>
      <c r="BB94" s="12">
        <f t="shared" si="26"/>
        <v>0</v>
      </c>
      <c r="BC94" s="12">
        <f t="shared" si="27"/>
        <v>1</v>
      </c>
      <c r="BD94" s="12">
        <f t="shared" si="28"/>
        <v>0</v>
      </c>
      <c r="BE94" s="12">
        <f t="shared" si="24"/>
        <v>1</v>
      </c>
      <c r="BF94" s="12">
        <f t="shared" si="29"/>
        <v>0</v>
      </c>
      <c r="BG94" s="23">
        <f t="shared" si="30"/>
        <v>0</v>
      </c>
      <c r="BH94" s="23">
        <f t="shared" si="31"/>
        <v>0</v>
      </c>
      <c r="BI94" s="23">
        <f t="shared" si="32"/>
        <v>0</v>
      </c>
      <c r="BJ94" s="18">
        <f t="shared" si="33"/>
        <v>3.0669434283419486E-3</v>
      </c>
      <c r="BL94" s="23"/>
      <c r="BN94" s="12">
        <f t="shared" si="34"/>
        <v>0</v>
      </c>
      <c r="BO94" s="12">
        <f t="shared" si="35"/>
        <v>0</v>
      </c>
      <c r="BP94" s="12">
        <f t="shared" si="36"/>
        <v>0</v>
      </c>
      <c r="BQ94" s="12">
        <f t="shared" si="25"/>
        <v>1</v>
      </c>
      <c r="BR94" s="12">
        <f t="shared" si="37"/>
        <v>0</v>
      </c>
      <c r="BS94" s="23">
        <f t="shared" si="38"/>
        <v>0</v>
      </c>
      <c r="BT94" s="23">
        <f t="shared" si="39"/>
        <v>0</v>
      </c>
      <c r="BU94" s="23">
        <f t="shared" si="40"/>
        <v>0</v>
      </c>
      <c r="BV94" s="18">
        <f t="shared" si="41"/>
        <v>6.7104381091813367E-3</v>
      </c>
      <c r="BX94" s="18">
        <f t="shared" si="42"/>
        <v>0</v>
      </c>
      <c r="BY94" s="18">
        <f t="shared" si="43"/>
        <v>9.7773815375232862E-3</v>
      </c>
    </row>
    <row r="95" spans="1:77" x14ac:dyDescent="0.3">
      <c r="A95" s="1">
        <v>46160</v>
      </c>
      <c r="B95" s="6">
        <v>66.040000000000006</v>
      </c>
      <c r="C95" s="6">
        <v>94.62</v>
      </c>
      <c r="D95" s="7">
        <v>-1.51308850171936E-3</v>
      </c>
      <c r="E95" s="7">
        <v>-9.5072103500784099E-4</v>
      </c>
      <c r="F95" s="6">
        <v>0</v>
      </c>
      <c r="G95" s="6">
        <v>1.306</v>
      </c>
      <c r="H95" s="6">
        <v>0</v>
      </c>
      <c r="I95" s="6">
        <v>1.6831</v>
      </c>
      <c r="J95" s="6">
        <v>1.306</v>
      </c>
      <c r="K95" s="6">
        <v>1.6831</v>
      </c>
      <c r="L95" s="6">
        <v>67.346000000000004</v>
      </c>
      <c r="M95" s="6">
        <v>96.303100000000001</v>
      </c>
      <c r="N95" s="8">
        <v>1.4327680193821899</v>
      </c>
      <c r="O95" s="8">
        <v>1.43297833357297</v>
      </c>
      <c r="P95" s="8">
        <v>1.4332566050364</v>
      </c>
      <c r="Q95" s="8">
        <v>1.4323959829336199</v>
      </c>
      <c r="R95" s="6">
        <v>94.633889149158904</v>
      </c>
      <c r="S95" s="6">
        <v>94.646716799013802</v>
      </c>
      <c r="T95" s="6">
        <v>94.590170526242204</v>
      </c>
      <c r="U95" s="7">
        <v>1.46777952583457E-4</v>
      </c>
      <c r="V95" s="7">
        <v>2.8231904312750998E-4</v>
      </c>
      <c r="W95" s="7">
        <v>-3.1530518599418001E-4</v>
      </c>
      <c r="X95" s="8">
        <v>1.4299750541977201</v>
      </c>
      <c r="Y95" s="8">
        <v>1.4302827749172899</v>
      </c>
      <c r="Z95" s="8">
        <v>1.4304811889459701</v>
      </c>
      <c r="AA95" s="8">
        <v>1.42990222511055</v>
      </c>
      <c r="AB95" s="6">
        <v>96.323823759579994</v>
      </c>
      <c r="AC95" s="6">
        <v>96.331736181771703</v>
      </c>
      <c r="AD95" s="6">
        <v>96.295302291198396</v>
      </c>
      <c r="AE95" s="7">
        <v>2.15169917637133E-4</v>
      </c>
      <c r="AF95" s="7">
        <v>2.9731052337459498E-4</v>
      </c>
      <c r="AG95" s="7">
        <v>-8.0973764195918106E-5</v>
      </c>
      <c r="AZ95" s="23"/>
      <c r="BB95" s="12">
        <f t="shared" si="26"/>
        <v>0</v>
      </c>
      <c r="BC95" s="12">
        <f t="shared" si="27"/>
        <v>1</v>
      </c>
      <c r="BD95" s="12">
        <f t="shared" si="28"/>
        <v>0</v>
      </c>
      <c r="BE95" s="12">
        <f t="shared" si="24"/>
        <v>1</v>
      </c>
      <c r="BF95" s="12">
        <f t="shared" si="29"/>
        <v>0</v>
      </c>
      <c r="BG95" s="23">
        <f t="shared" si="30"/>
        <v>0</v>
      </c>
      <c r="BH95" s="23">
        <f t="shared" si="31"/>
        <v>0</v>
      </c>
      <c r="BI95" s="23">
        <f t="shared" si="32"/>
        <v>0</v>
      </c>
      <c r="BJ95" s="18">
        <f t="shared" si="33"/>
        <v>3.0669434283419486E-3</v>
      </c>
      <c r="BL95" s="23"/>
      <c r="BN95" s="12">
        <f t="shared" si="34"/>
        <v>0</v>
      </c>
      <c r="BO95" s="12">
        <f t="shared" si="35"/>
        <v>1</v>
      </c>
      <c r="BP95" s="12">
        <f t="shared" si="36"/>
        <v>0</v>
      </c>
      <c r="BQ95" s="12">
        <f t="shared" si="25"/>
        <v>1</v>
      </c>
      <c r="BR95" s="12">
        <f t="shared" si="37"/>
        <v>0</v>
      </c>
      <c r="BS95" s="23">
        <f t="shared" si="38"/>
        <v>0</v>
      </c>
      <c r="BT95" s="23">
        <f t="shared" si="39"/>
        <v>0</v>
      </c>
      <c r="BU95" s="23">
        <f t="shared" si="40"/>
        <v>0</v>
      </c>
      <c r="BV95" s="18">
        <f t="shared" si="41"/>
        <v>6.7104381091813367E-3</v>
      </c>
      <c r="BX95" s="18">
        <f t="shared" si="42"/>
        <v>0</v>
      </c>
      <c r="BY95" s="18">
        <f t="shared" si="43"/>
        <v>9.7773815375232862E-3</v>
      </c>
    </row>
    <row r="96" spans="1:77" x14ac:dyDescent="0.3">
      <c r="A96" s="1">
        <v>46161</v>
      </c>
      <c r="B96" s="6">
        <v>65.75</v>
      </c>
      <c r="C96" s="6">
        <v>94.25</v>
      </c>
      <c r="D96" s="7">
        <v>-4.4009479940534599E-3</v>
      </c>
      <c r="E96" s="7">
        <v>-3.9180438748819303E-3</v>
      </c>
      <c r="F96" s="6">
        <v>0</v>
      </c>
      <c r="G96" s="6">
        <v>1.306</v>
      </c>
      <c r="H96" s="6">
        <v>0</v>
      </c>
      <c r="I96" s="6">
        <v>1.6831</v>
      </c>
      <c r="J96" s="6">
        <v>1.306</v>
      </c>
      <c r="K96" s="6">
        <v>1.6831</v>
      </c>
      <c r="L96" s="6">
        <v>67.055999999999997</v>
      </c>
      <c r="M96" s="6">
        <v>95.933099999999996</v>
      </c>
      <c r="N96" s="8">
        <v>1.43346007604562</v>
      </c>
      <c r="O96" s="8">
        <v>1.43297833357297</v>
      </c>
      <c r="P96" s="8">
        <v>1.43335126291091</v>
      </c>
      <c r="Q96" s="8">
        <v>1.4325117439191699</v>
      </c>
      <c r="R96" s="6">
        <v>94.218325432422702</v>
      </c>
      <c r="S96" s="6">
        <v>94.236621781143597</v>
      </c>
      <c r="T96" s="6">
        <v>94.1800358778858</v>
      </c>
      <c r="U96" s="7">
        <v>-3.3612616658803402E-4</v>
      </c>
      <c r="V96" s="7">
        <v>-1.41954041644253E-4</v>
      </c>
      <c r="W96" s="7">
        <v>-7.4260056262707302E-4</v>
      </c>
      <c r="X96" s="8">
        <v>1.4306415533285599</v>
      </c>
      <c r="Y96" s="8">
        <v>1.4302827749172899</v>
      </c>
      <c r="Z96" s="8">
        <v>1.43057017292001</v>
      </c>
      <c r="AA96" s="8">
        <v>1.42998047490644</v>
      </c>
      <c r="AB96" s="6">
        <v>95.909041754854002</v>
      </c>
      <c r="AC96" s="6">
        <v>95.922346605960897</v>
      </c>
      <c r="AD96" s="6">
        <v>95.883523607013302</v>
      </c>
      <c r="AE96" s="7">
        <v>-2.5081293455126E-4</v>
      </c>
      <c r="AF96" s="7">
        <v>-1.12098918644491E-4</v>
      </c>
      <c r="AG96" s="7">
        <v>-5.1691446922886002E-4</v>
      </c>
      <c r="AZ96" s="23"/>
      <c r="BB96" s="12">
        <f t="shared" si="26"/>
        <v>0</v>
      </c>
      <c r="BC96" s="12">
        <f t="shared" si="27"/>
        <v>0</v>
      </c>
      <c r="BD96" s="12">
        <f t="shared" si="28"/>
        <v>0</v>
      </c>
      <c r="BE96" s="12">
        <f t="shared" si="24"/>
        <v>1</v>
      </c>
      <c r="BF96" s="12">
        <f t="shared" si="29"/>
        <v>0</v>
      </c>
      <c r="BG96" s="23">
        <f t="shared" si="30"/>
        <v>0</v>
      </c>
      <c r="BH96" s="23">
        <f t="shared" si="31"/>
        <v>0</v>
      </c>
      <c r="BI96" s="23">
        <f t="shared" si="32"/>
        <v>0</v>
      </c>
      <c r="BJ96" s="18">
        <f t="shared" si="33"/>
        <v>3.0669434283419486E-3</v>
      </c>
      <c r="BL96" s="23"/>
      <c r="BN96" s="12">
        <f t="shared" si="34"/>
        <v>0</v>
      </c>
      <c r="BO96" s="12">
        <f t="shared" si="35"/>
        <v>1</v>
      </c>
      <c r="BP96" s="12">
        <f t="shared" si="36"/>
        <v>0</v>
      </c>
      <c r="BQ96" s="12">
        <f t="shared" si="25"/>
        <v>1</v>
      </c>
      <c r="BR96" s="12">
        <f t="shared" si="37"/>
        <v>0</v>
      </c>
      <c r="BS96" s="23">
        <f t="shared" si="38"/>
        <v>0</v>
      </c>
      <c r="BT96" s="23">
        <f t="shared" si="39"/>
        <v>0</v>
      </c>
      <c r="BU96" s="23">
        <f t="shared" si="40"/>
        <v>0</v>
      </c>
      <c r="BV96" s="18">
        <f t="shared" si="41"/>
        <v>6.7104381091813367E-3</v>
      </c>
      <c r="BX96" s="18">
        <f t="shared" si="42"/>
        <v>0</v>
      </c>
      <c r="BY96" s="18">
        <f t="shared" si="43"/>
        <v>9.7773815375232862E-3</v>
      </c>
    </row>
    <row r="97" spans="1:77" x14ac:dyDescent="0.3">
      <c r="A97" s="1">
        <v>46162</v>
      </c>
      <c r="B97" s="6">
        <v>66.180000000000007</v>
      </c>
      <c r="C97" s="6">
        <v>94.92</v>
      </c>
      <c r="D97" s="7">
        <v>6.5186314355921799E-3</v>
      </c>
      <c r="E97" s="7">
        <v>7.0836052394427701E-3</v>
      </c>
      <c r="F97" s="6">
        <v>0</v>
      </c>
      <c r="G97" s="6">
        <v>1.306</v>
      </c>
      <c r="H97" s="6">
        <v>0</v>
      </c>
      <c r="I97" s="6">
        <v>1.6831</v>
      </c>
      <c r="J97" s="6">
        <v>1.306</v>
      </c>
      <c r="K97" s="6">
        <v>1.6831</v>
      </c>
      <c r="L97" s="6">
        <v>67.486000000000004</v>
      </c>
      <c r="M97" s="6">
        <v>96.603099999999998</v>
      </c>
      <c r="N97" s="8">
        <v>1.43427017225747</v>
      </c>
      <c r="O97" s="8">
        <v>1.43297833357297</v>
      </c>
      <c r="P97" s="8">
        <v>1.4334340276053901</v>
      </c>
      <c r="Q97" s="8">
        <v>1.4326311357589001</v>
      </c>
      <c r="R97" s="6">
        <v>94.834506115859099</v>
      </c>
      <c r="S97" s="6">
        <v>94.859186579444199</v>
      </c>
      <c r="T97" s="6">
        <v>94.803627212570802</v>
      </c>
      <c r="U97" s="7">
        <v>-9.0109997043830495E-4</v>
      </c>
      <c r="V97" s="7">
        <v>-6.4088611331225098E-4</v>
      </c>
      <c r="W97" s="7">
        <v>-1.22676130256938E-3</v>
      </c>
      <c r="X97" s="8">
        <v>1.43145393118572</v>
      </c>
      <c r="Y97" s="8">
        <v>1.4302827749172899</v>
      </c>
      <c r="Z97" s="8">
        <v>1.43064732778894</v>
      </c>
      <c r="AA97" s="8">
        <v>1.4300627910739201</v>
      </c>
      <c r="AB97" s="6">
        <v>96.524063348068495</v>
      </c>
      <c r="AC97" s="6">
        <v>96.543458689680193</v>
      </c>
      <c r="AD97" s="6">
        <v>96.503662329536397</v>
      </c>
      <c r="AE97" s="7">
        <v>-8.1849342136798304E-4</v>
      </c>
      <c r="AF97" s="7">
        <v>-6.1757571680210702E-4</v>
      </c>
      <c r="AG97" s="7">
        <v>-1.02987257466194E-3</v>
      </c>
      <c r="AZ97" s="23"/>
      <c r="BB97" s="12">
        <f t="shared" si="26"/>
        <v>0</v>
      </c>
      <c r="BC97" s="12">
        <f t="shared" si="27"/>
        <v>0</v>
      </c>
      <c r="BD97" s="12">
        <f t="shared" si="28"/>
        <v>0</v>
      </c>
      <c r="BE97" s="12">
        <f t="shared" si="24"/>
        <v>1</v>
      </c>
      <c r="BF97" s="12">
        <f t="shared" si="29"/>
        <v>0</v>
      </c>
      <c r="BG97" s="23">
        <f t="shared" si="30"/>
        <v>0</v>
      </c>
      <c r="BH97" s="23">
        <f t="shared" si="31"/>
        <v>0</v>
      </c>
      <c r="BI97" s="23">
        <f t="shared" si="32"/>
        <v>0</v>
      </c>
      <c r="BJ97" s="18">
        <f t="shared" si="33"/>
        <v>3.0669434283419486E-3</v>
      </c>
      <c r="BL97" s="23"/>
      <c r="BN97" s="12">
        <f t="shared" si="34"/>
        <v>0</v>
      </c>
      <c r="BO97" s="12">
        <f t="shared" si="35"/>
        <v>1</v>
      </c>
      <c r="BP97" s="12">
        <f t="shared" si="36"/>
        <v>0</v>
      </c>
      <c r="BQ97" s="12">
        <f t="shared" si="25"/>
        <v>1</v>
      </c>
      <c r="BR97" s="12">
        <f t="shared" si="37"/>
        <v>0</v>
      </c>
      <c r="BS97" s="23">
        <f t="shared" si="38"/>
        <v>0</v>
      </c>
      <c r="BT97" s="23">
        <f t="shared" si="39"/>
        <v>0</v>
      </c>
      <c r="BU97" s="23">
        <f t="shared" si="40"/>
        <v>0</v>
      </c>
      <c r="BV97" s="18">
        <f t="shared" si="41"/>
        <v>6.7104381091813367E-3</v>
      </c>
      <c r="BX97" s="18">
        <f t="shared" si="42"/>
        <v>0</v>
      </c>
      <c r="BY97" s="18">
        <f t="shared" si="43"/>
        <v>9.7773815375232862E-3</v>
      </c>
    </row>
    <row r="98" spans="1:77" x14ac:dyDescent="0.3">
      <c r="A98" s="1">
        <v>46163</v>
      </c>
      <c r="B98" s="6">
        <v>66.22</v>
      </c>
      <c r="C98" s="6">
        <v>94.99</v>
      </c>
      <c r="D98" s="7">
        <v>6.04229625633923E-4</v>
      </c>
      <c r="E98" s="7">
        <v>7.3719133452813403E-4</v>
      </c>
      <c r="F98" s="6">
        <v>0</v>
      </c>
      <c r="G98" s="6">
        <v>1.306</v>
      </c>
      <c r="H98" s="6">
        <v>0</v>
      </c>
      <c r="I98" s="6">
        <v>1.6831</v>
      </c>
      <c r="J98" s="6">
        <v>1.306</v>
      </c>
      <c r="K98" s="6">
        <v>1.6831</v>
      </c>
      <c r="L98" s="6">
        <v>67.525999999999996</v>
      </c>
      <c r="M98" s="6">
        <v>96.673099999999906</v>
      </c>
      <c r="N98" s="8">
        <v>1.43446088794926</v>
      </c>
      <c r="O98" s="8">
        <v>1.43297833357297</v>
      </c>
      <c r="P98" s="8">
        <v>1.43361749315562</v>
      </c>
      <c r="Q98" s="8">
        <v>1.43285000603591</v>
      </c>
      <c r="R98" s="6">
        <v>94.891825249202</v>
      </c>
      <c r="S98" s="6">
        <v>94.922001308029095</v>
      </c>
      <c r="T98" s="6">
        <v>94.868833809954793</v>
      </c>
      <c r="U98" s="7">
        <v>-1.0340616793326101E-3</v>
      </c>
      <c r="V98" s="7">
        <v>-7.1610740141098399E-4</v>
      </c>
      <c r="W98" s="7">
        <v>-1.2763820788693301E-3</v>
      </c>
      <c r="X98" s="8">
        <v>1.43164262654384</v>
      </c>
      <c r="Y98" s="8">
        <v>1.4302827749172899</v>
      </c>
      <c r="Z98" s="8">
        <v>1.4308243091374599</v>
      </c>
      <c r="AA98" s="8">
        <v>1.43024352967619</v>
      </c>
      <c r="AB98" s="6">
        <v>96.581274659065102</v>
      </c>
      <c r="AC98" s="6">
        <v>96.605891456276396</v>
      </c>
      <c r="AD98" s="6">
        <v>96.5664200300575</v>
      </c>
      <c r="AE98" s="7">
        <v>-9.5030550286152296E-4</v>
      </c>
      <c r="AF98" s="7">
        <v>-6.9545630309817905E-4</v>
      </c>
      <c r="AG98" s="7">
        <v>-1.10412177347047E-3</v>
      </c>
      <c r="AZ98" s="23"/>
      <c r="BB98" s="12">
        <f t="shared" si="26"/>
        <v>0</v>
      </c>
      <c r="BC98" s="12">
        <f t="shared" si="27"/>
        <v>0</v>
      </c>
      <c r="BD98" s="12">
        <f t="shared" si="28"/>
        <v>0</v>
      </c>
      <c r="BE98" s="12">
        <f t="shared" si="24"/>
        <v>1</v>
      </c>
      <c r="BF98" s="12">
        <f t="shared" si="29"/>
        <v>0</v>
      </c>
      <c r="BG98" s="23">
        <f t="shared" si="30"/>
        <v>0</v>
      </c>
      <c r="BH98" s="23">
        <f t="shared" si="31"/>
        <v>0</v>
      </c>
      <c r="BI98" s="23">
        <f t="shared" si="32"/>
        <v>0</v>
      </c>
      <c r="BJ98" s="18">
        <f t="shared" si="33"/>
        <v>3.0669434283419486E-3</v>
      </c>
      <c r="BL98" s="23"/>
      <c r="BN98" s="12">
        <f t="shared" si="34"/>
        <v>0</v>
      </c>
      <c r="BO98" s="12">
        <f t="shared" si="35"/>
        <v>1</v>
      </c>
      <c r="BP98" s="12">
        <f t="shared" si="36"/>
        <v>0</v>
      </c>
      <c r="BQ98" s="12">
        <f t="shared" si="25"/>
        <v>1</v>
      </c>
      <c r="BR98" s="12">
        <f t="shared" si="37"/>
        <v>0</v>
      </c>
      <c r="BS98" s="23">
        <f t="shared" si="38"/>
        <v>0</v>
      </c>
      <c r="BT98" s="23">
        <f t="shared" si="39"/>
        <v>0</v>
      </c>
      <c r="BU98" s="23">
        <f t="shared" si="40"/>
        <v>0</v>
      </c>
      <c r="BV98" s="18">
        <f t="shared" si="41"/>
        <v>6.7104381091813367E-3</v>
      </c>
      <c r="BX98" s="18">
        <f t="shared" si="42"/>
        <v>0</v>
      </c>
      <c r="BY98" s="18">
        <f t="shared" si="43"/>
        <v>9.7773815375232862E-3</v>
      </c>
    </row>
    <row r="99" spans="1:77" x14ac:dyDescent="0.3">
      <c r="A99" s="1">
        <v>46164</v>
      </c>
      <c r="B99" s="6">
        <v>66.31</v>
      </c>
      <c r="C99" s="6">
        <v>95.17</v>
      </c>
      <c r="D99" s="7">
        <v>1.35818326167613E-3</v>
      </c>
      <c r="E99" s="7">
        <v>1.893143182161E-3</v>
      </c>
      <c r="F99" s="6">
        <v>0</v>
      </c>
      <c r="G99" s="6">
        <v>1.306</v>
      </c>
      <c r="H99" s="6">
        <v>0</v>
      </c>
      <c r="I99" s="6">
        <v>1.6831</v>
      </c>
      <c r="J99" s="6">
        <v>1.306</v>
      </c>
      <c r="K99" s="6">
        <v>1.6831</v>
      </c>
      <c r="L99" s="6">
        <v>67.616</v>
      </c>
      <c r="M99" s="6">
        <v>96.853099999999998</v>
      </c>
      <c r="N99" s="8">
        <v>1.43522847232694</v>
      </c>
      <c r="O99" s="8">
        <v>1.43297833357297</v>
      </c>
      <c r="P99" s="8">
        <v>1.4338040255403699</v>
      </c>
      <c r="Q99" s="8">
        <v>1.43303404869988</v>
      </c>
      <c r="R99" s="6">
        <v>95.020793299223598</v>
      </c>
      <c r="S99" s="6">
        <v>95.063175971149306</v>
      </c>
      <c r="T99" s="6">
        <v>95.012283900241599</v>
      </c>
      <c r="U99" s="7">
        <v>-1.56902159981749E-3</v>
      </c>
      <c r="V99" s="7">
        <v>-1.1230852824027199E-3</v>
      </c>
      <c r="W99" s="7">
        <v>-1.65857862971063E-3</v>
      </c>
      <c r="X99" s="8">
        <v>1.4323991362991</v>
      </c>
      <c r="Y99" s="8">
        <v>1.4302827749172899</v>
      </c>
      <c r="Z99" s="8">
        <v>1.4310040935011501</v>
      </c>
      <c r="AA99" s="8">
        <v>1.43038976677506</v>
      </c>
      <c r="AB99" s="6">
        <v>96.710000108807705</v>
      </c>
      <c r="AC99" s="6">
        <v>96.746616486638999</v>
      </c>
      <c r="AD99" s="6">
        <v>96.707346502585295</v>
      </c>
      <c r="AE99" s="7">
        <v>-1.4785867469828599E-3</v>
      </c>
      <c r="AF99" s="7">
        <v>-1.1000380169060801E-3</v>
      </c>
      <c r="AG99" s="7">
        <v>-1.5060259221039501E-3</v>
      </c>
      <c r="AZ99" s="23"/>
      <c r="BB99" s="12">
        <f t="shared" si="26"/>
        <v>1</v>
      </c>
      <c r="BC99" s="12">
        <f t="shared" si="27"/>
        <v>0</v>
      </c>
      <c r="BD99" s="12">
        <f t="shared" si="28"/>
        <v>0</v>
      </c>
      <c r="BE99" s="12">
        <f t="shared" si="24"/>
        <v>1</v>
      </c>
      <c r="BF99" s="12">
        <f t="shared" si="29"/>
        <v>0</v>
      </c>
      <c r="BG99" s="23">
        <f t="shared" si="30"/>
        <v>0</v>
      </c>
      <c r="BH99" s="23">
        <f t="shared" si="31"/>
        <v>0</v>
      </c>
      <c r="BI99" s="23">
        <f t="shared" si="32"/>
        <v>0</v>
      </c>
      <c r="BJ99" s="18">
        <f t="shared" si="33"/>
        <v>3.0669434283419486E-3</v>
      </c>
      <c r="BL99" s="23"/>
      <c r="BN99" s="12">
        <f t="shared" si="34"/>
        <v>0</v>
      </c>
      <c r="BO99" s="12">
        <f t="shared" si="35"/>
        <v>1</v>
      </c>
      <c r="BP99" s="12">
        <f t="shared" si="36"/>
        <v>0</v>
      </c>
      <c r="BQ99" s="12">
        <f t="shared" si="25"/>
        <v>1</v>
      </c>
      <c r="BR99" s="12">
        <f t="shared" si="37"/>
        <v>0</v>
      </c>
      <c r="BS99" s="23">
        <f t="shared" si="38"/>
        <v>0</v>
      </c>
      <c r="BT99" s="23">
        <f t="shared" si="39"/>
        <v>0</v>
      </c>
      <c r="BU99" s="23">
        <f t="shared" si="40"/>
        <v>0</v>
      </c>
      <c r="BV99" s="18">
        <f t="shared" si="41"/>
        <v>6.7104381091813367E-3</v>
      </c>
      <c r="BX99" s="18">
        <f t="shared" si="42"/>
        <v>0</v>
      </c>
      <c r="BY99" s="18">
        <f t="shared" si="43"/>
        <v>9.7773815375232862E-3</v>
      </c>
    </row>
    <row r="100" spans="1:77" x14ac:dyDescent="0.3">
      <c r="A100" s="1">
        <v>46168</v>
      </c>
      <c r="B100" s="6">
        <v>66.64</v>
      </c>
      <c r="C100" s="6">
        <v>95.64</v>
      </c>
      <c r="D100" s="7">
        <v>4.9642824778110698E-3</v>
      </c>
      <c r="E100" s="7">
        <v>4.9263765058719499E-3</v>
      </c>
      <c r="F100" s="6">
        <v>0</v>
      </c>
      <c r="G100" s="6">
        <v>1.306</v>
      </c>
      <c r="H100" s="6">
        <v>0</v>
      </c>
      <c r="I100" s="6">
        <v>1.6831</v>
      </c>
      <c r="J100" s="6">
        <v>1.306</v>
      </c>
      <c r="K100" s="6">
        <v>1.6831</v>
      </c>
      <c r="L100" s="6">
        <v>67.945999999999998</v>
      </c>
      <c r="M100" s="6">
        <v>97.323099999999997</v>
      </c>
      <c r="N100" s="8">
        <v>1.4351740696278501</v>
      </c>
      <c r="O100" s="8">
        <v>1.43297833357297</v>
      </c>
      <c r="P100" s="8">
        <v>1.4339970597433001</v>
      </c>
      <c r="Q100" s="8">
        <v>1.43320336795583</v>
      </c>
      <c r="R100" s="6">
        <v>95.493676149302701</v>
      </c>
      <c r="S100" s="6">
        <v>95.548700262010499</v>
      </c>
      <c r="T100" s="6">
        <v>95.497389005360205</v>
      </c>
      <c r="U100" s="7">
        <v>-1.53111562787836E-3</v>
      </c>
      <c r="V100" s="7">
        <v>-9.5507469640620395E-4</v>
      </c>
      <c r="W100" s="7">
        <v>-1.49223573519939E-3</v>
      </c>
      <c r="X100" s="8">
        <v>1.4323595207959201</v>
      </c>
      <c r="Y100" s="8">
        <v>1.4302827749172899</v>
      </c>
      <c r="Z100" s="8">
        <v>1.4311921154251701</v>
      </c>
      <c r="AA100" s="8">
        <v>1.4305223920846</v>
      </c>
      <c r="AB100" s="6">
        <v>97.181993424530404</v>
      </c>
      <c r="AC100" s="6">
        <v>97.231004137029402</v>
      </c>
      <c r="AD100" s="6">
        <v>97.189263093298706</v>
      </c>
      <c r="AE100" s="7">
        <v>-1.45092961567167E-3</v>
      </c>
      <c r="AF100" s="7">
        <v>-9.4673787795885298E-4</v>
      </c>
      <c r="AG100" s="7">
        <v>-1.3761277246730299E-3</v>
      </c>
      <c r="AZ100" s="23"/>
      <c r="BB100" s="12">
        <f t="shared" si="26"/>
        <v>0</v>
      </c>
      <c r="BC100" s="12">
        <f t="shared" si="27"/>
        <v>0</v>
      </c>
      <c r="BD100" s="12">
        <f t="shared" si="28"/>
        <v>1</v>
      </c>
      <c r="BE100" s="12">
        <f t="shared" si="24"/>
        <v>1</v>
      </c>
      <c r="BF100" s="12">
        <f t="shared" si="29"/>
        <v>1</v>
      </c>
      <c r="BG100" s="23">
        <f t="shared" si="30"/>
        <v>4.9642824778110698E-3</v>
      </c>
      <c r="BH100" s="23">
        <f t="shared" si="31"/>
        <v>-4.9263765058719499E-3</v>
      </c>
      <c r="BI100" s="23">
        <f t="shared" si="32"/>
        <v>3.7905971939119869E-5</v>
      </c>
      <c r="BJ100" s="18">
        <f t="shared" si="33"/>
        <v>3.1048494002810685E-3</v>
      </c>
      <c r="BL100" s="23"/>
      <c r="BN100" s="12">
        <f t="shared" si="34"/>
        <v>0</v>
      </c>
      <c r="BO100" s="12">
        <f t="shared" si="35"/>
        <v>1</v>
      </c>
      <c r="BP100" s="12">
        <f t="shared" si="36"/>
        <v>0</v>
      </c>
      <c r="BQ100" s="12">
        <f t="shared" si="25"/>
        <v>1</v>
      </c>
      <c r="BR100" s="12">
        <f t="shared" si="37"/>
        <v>0</v>
      </c>
      <c r="BS100" s="23">
        <f t="shared" si="38"/>
        <v>0</v>
      </c>
      <c r="BT100" s="23">
        <f t="shared" si="39"/>
        <v>0</v>
      </c>
      <c r="BU100" s="23">
        <f t="shared" si="40"/>
        <v>0</v>
      </c>
      <c r="BV100" s="18">
        <f t="shared" si="41"/>
        <v>6.7104381091813367E-3</v>
      </c>
      <c r="BX100" s="18">
        <f t="shared" si="42"/>
        <v>3.7905971939119869E-5</v>
      </c>
      <c r="BY100" s="18">
        <f t="shared" si="43"/>
        <v>9.8152875094624052E-3</v>
      </c>
    </row>
    <row r="101" spans="1:77" x14ac:dyDescent="0.3">
      <c r="A101" s="1">
        <v>46169</v>
      </c>
      <c r="B101" s="6">
        <v>66.89</v>
      </c>
      <c r="C101" s="6">
        <v>95.98</v>
      </c>
      <c r="D101" s="7">
        <v>3.7444812717293101E-3</v>
      </c>
      <c r="E101" s="7">
        <v>3.5486938399754602E-3</v>
      </c>
      <c r="F101" s="6">
        <v>0</v>
      </c>
      <c r="G101" s="6">
        <v>1.306</v>
      </c>
      <c r="H101" s="6">
        <v>0</v>
      </c>
      <c r="I101" s="6">
        <v>1.6831</v>
      </c>
      <c r="J101" s="6">
        <v>1.306</v>
      </c>
      <c r="K101" s="6">
        <v>1.6831</v>
      </c>
      <c r="L101" s="6">
        <v>68.195999999999998</v>
      </c>
      <c r="M101" s="6">
        <v>97.6631</v>
      </c>
      <c r="N101" s="8">
        <v>1.4348931080878999</v>
      </c>
      <c r="O101" s="8">
        <v>1.43297833357297</v>
      </c>
      <c r="P101" s="8">
        <v>1.4341071015287199</v>
      </c>
      <c r="Q101" s="8">
        <v>1.4333328569174799</v>
      </c>
      <c r="R101" s="6">
        <v>95.851920732695902</v>
      </c>
      <c r="S101" s="6">
        <v>95.920063326229496</v>
      </c>
      <c r="T101" s="6">
        <v>95.866973282566093</v>
      </c>
      <c r="U101" s="7">
        <v>-1.33532819612462E-3</v>
      </c>
      <c r="V101" s="7">
        <v>-6.2466551266897796E-4</v>
      </c>
      <c r="W101" s="7">
        <v>-1.17830089864952E-3</v>
      </c>
      <c r="X101" s="8">
        <v>1.43209425772772</v>
      </c>
      <c r="Y101" s="8">
        <v>1.4302827749172899</v>
      </c>
      <c r="Z101" s="8">
        <v>1.4313005803658101</v>
      </c>
      <c r="AA101" s="8">
        <v>1.43061646917705</v>
      </c>
      <c r="AB101" s="6">
        <v>97.539564118259705</v>
      </c>
      <c r="AC101" s="6">
        <v>97.601577503535495</v>
      </c>
      <c r="AD101" s="6">
        <v>97.555905050601595</v>
      </c>
      <c r="AE101" s="7">
        <v>-1.2657193874967801E-3</v>
      </c>
      <c r="AF101" s="7">
        <v>-6.3014467631153002E-4</v>
      </c>
      <c r="AG101" s="7">
        <v>-1.0982020950685201E-3</v>
      </c>
      <c r="AZ101" s="23"/>
      <c r="BB101" s="12">
        <f t="shared" si="26"/>
        <v>0</v>
      </c>
      <c r="BC101" s="12">
        <f t="shared" si="27"/>
        <v>0</v>
      </c>
      <c r="BD101" s="12">
        <f t="shared" si="28"/>
        <v>1</v>
      </c>
      <c r="BE101" s="12">
        <f t="shared" si="24"/>
        <v>1</v>
      </c>
      <c r="BF101" s="12">
        <f t="shared" si="29"/>
        <v>1</v>
      </c>
      <c r="BG101" s="23">
        <f t="shared" si="30"/>
        <v>3.7444812717293101E-3</v>
      </c>
      <c r="BH101" s="23">
        <f t="shared" si="31"/>
        <v>-3.5486938399754602E-3</v>
      </c>
      <c r="BI101" s="23">
        <f t="shared" si="32"/>
        <v>1.957874317538499E-4</v>
      </c>
      <c r="BJ101" s="18">
        <f t="shared" si="33"/>
        <v>3.3006368320349184E-3</v>
      </c>
      <c r="BL101" s="23"/>
      <c r="BN101" s="12">
        <f t="shared" si="34"/>
        <v>0</v>
      </c>
      <c r="BO101" s="12">
        <f t="shared" si="35"/>
        <v>1</v>
      </c>
      <c r="BP101" s="12">
        <f t="shared" si="36"/>
        <v>0</v>
      </c>
      <c r="BQ101" s="12">
        <f t="shared" si="25"/>
        <v>1</v>
      </c>
      <c r="BR101" s="12">
        <f t="shared" si="37"/>
        <v>0</v>
      </c>
      <c r="BS101" s="23">
        <f t="shared" si="38"/>
        <v>0</v>
      </c>
      <c r="BT101" s="23">
        <f t="shared" si="39"/>
        <v>0</v>
      </c>
      <c r="BU101" s="23">
        <f t="shared" si="40"/>
        <v>0</v>
      </c>
      <c r="BV101" s="18">
        <f t="shared" si="41"/>
        <v>6.7104381091813367E-3</v>
      </c>
      <c r="BX101" s="18">
        <f t="shared" si="42"/>
        <v>1.957874317538499E-4</v>
      </c>
      <c r="BY101" s="18">
        <f t="shared" si="43"/>
        <v>1.0011074941216256E-2</v>
      </c>
    </row>
    <row r="102" spans="1:77" x14ac:dyDescent="0.3">
      <c r="A102" s="1">
        <v>46170</v>
      </c>
      <c r="B102" s="6">
        <v>67.09</v>
      </c>
      <c r="C102" s="6">
        <v>96.23</v>
      </c>
      <c r="D102" s="7">
        <v>2.9855224444799498E-3</v>
      </c>
      <c r="E102" s="7">
        <v>2.6013229382100601E-3</v>
      </c>
      <c r="F102" s="6">
        <v>0</v>
      </c>
      <c r="G102" s="6">
        <v>1.306</v>
      </c>
      <c r="H102" s="6">
        <v>0</v>
      </c>
      <c r="I102" s="6">
        <v>1.6831</v>
      </c>
      <c r="J102" s="6">
        <v>1.306</v>
      </c>
      <c r="K102" s="6">
        <v>1.6831</v>
      </c>
      <c r="L102" s="6">
        <v>68.396000000000001</v>
      </c>
      <c r="M102" s="6">
        <v>97.9131</v>
      </c>
      <c r="N102" s="8">
        <v>1.4343419287524199</v>
      </c>
      <c r="O102" s="8">
        <v>1.43297833357297</v>
      </c>
      <c r="P102" s="8">
        <v>1.43408784095051</v>
      </c>
      <c r="Q102" s="8">
        <v>1.43351437283075</v>
      </c>
      <c r="R102" s="6">
        <v>96.138516399410506</v>
      </c>
      <c r="S102" s="6">
        <v>96.214245441562198</v>
      </c>
      <c r="T102" s="6">
        <v>96.162301370593795</v>
      </c>
      <c r="U102" s="7">
        <v>-9.5112868985453404E-4</v>
      </c>
      <c r="V102" s="7">
        <v>-1.6373114651258E-4</v>
      </c>
      <c r="W102" s="7">
        <v>-7.03756145312985E-4</v>
      </c>
      <c r="X102" s="8">
        <v>1.4315617872390101</v>
      </c>
      <c r="Y102" s="8">
        <v>1.4302827749172899</v>
      </c>
      <c r="Z102" s="8">
        <v>1.4312836963264799</v>
      </c>
      <c r="AA102" s="8">
        <v>1.43076271821304</v>
      </c>
      <c r="AB102" s="6">
        <v>97.825620673243193</v>
      </c>
      <c r="AC102" s="6">
        <v>97.895234494700503</v>
      </c>
      <c r="AD102" s="6">
        <v>97.848444025833899</v>
      </c>
      <c r="AE102" s="7">
        <v>-8.9383778825325095E-4</v>
      </c>
      <c r="AF102" s="7">
        <v>-1.8247951901702699E-4</v>
      </c>
      <c r="AG102" s="7">
        <v>-6.6055850589809696E-4</v>
      </c>
      <c r="AZ102" s="23"/>
      <c r="BB102" s="12">
        <f t="shared" si="26"/>
        <v>0</v>
      </c>
      <c r="BC102" s="12">
        <f t="shared" si="27"/>
        <v>0</v>
      </c>
      <c r="BD102" s="12">
        <f t="shared" si="28"/>
        <v>1</v>
      </c>
      <c r="BE102" s="12">
        <f t="shared" si="24"/>
        <v>1</v>
      </c>
      <c r="BF102" s="12">
        <f t="shared" si="29"/>
        <v>1</v>
      </c>
      <c r="BG102" s="23">
        <f t="shared" si="30"/>
        <v>2.9855224444799498E-3</v>
      </c>
      <c r="BH102" s="23">
        <f t="shared" si="31"/>
        <v>-2.6013229382100601E-3</v>
      </c>
      <c r="BI102" s="23">
        <f t="shared" si="32"/>
        <v>3.8419950626988972E-4</v>
      </c>
      <c r="BJ102" s="18">
        <f t="shared" si="33"/>
        <v>3.6848363383048081E-3</v>
      </c>
      <c r="BL102" s="23"/>
      <c r="BN102" s="12">
        <f t="shared" si="34"/>
        <v>0</v>
      </c>
      <c r="BO102" s="12">
        <f t="shared" si="35"/>
        <v>1</v>
      </c>
      <c r="BP102" s="12">
        <f t="shared" si="36"/>
        <v>0</v>
      </c>
      <c r="BQ102" s="12">
        <f t="shared" si="25"/>
        <v>1</v>
      </c>
      <c r="BR102" s="12">
        <f t="shared" si="37"/>
        <v>0</v>
      </c>
      <c r="BS102" s="23">
        <f t="shared" si="38"/>
        <v>0</v>
      </c>
      <c r="BT102" s="23">
        <f t="shared" si="39"/>
        <v>0</v>
      </c>
      <c r="BU102" s="23">
        <f t="shared" si="40"/>
        <v>0</v>
      </c>
      <c r="BV102" s="18">
        <f t="shared" si="41"/>
        <v>6.7104381091813367E-3</v>
      </c>
      <c r="BX102" s="18">
        <f t="shared" si="42"/>
        <v>3.8419950626988972E-4</v>
      </c>
      <c r="BY102" s="18">
        <f t="shared" si="43"/>
        <v>1.0395274447486145E-2</v>
      </c>
    </row>
    <row r="103" spans="1:77" x14ac:dyDescent="0.3">
      <c r="A103" s="1">
        <v>46171</v>
      </c>
      <c r="B103" s="6">
        <v>67.25</v>
      </c>
      <c r="C103" s="6">
        <v>96.43</v>
      </c>
      <c r="D103" s="7">
        <v>2.3820169071517498E-3</v>
      </c>
      <c r="E103" s="7">
        <v>2.0761971539835799E-3</v>
      </c>
      <c r="F103" s="6">
        <v>0</v>
      </c>
      <c r="G103" s="6">
        <v>1.306</v>
      </c>
      <c r="H103" s="6">
        <v>0</v>
      </c>
      <c r="I103" s="6">
        <v>1.6831</v>
      </c>
      <c r="J103" s="6">
        <v>1.306</v>
      </c>
      <c r="K103" s="6">
        <v>1.6831</v>
      </c>
      <c r="L103" s="6">
        <v>68.555999999999997</v>
      </c>
      <c r="M103" s="6">
        <v>98.113100000000003</v>
      </c>
      <c r="N103" s="8">
        <v>1.4339033457249</v>
      </c>
      <c r="O103" s="8">
        <v>1.43297833357297</v>
      </c>
      <c r="P103" s="8">
        <v>1.4340462583934399</v>
      </c>
      <c r="Q103" s="8">
        <v>1.4336422309880601</v>
      </c>
      <c r="R103" s="6">
        <v>96.367792932782194</v>
      </c>
      <c r="S103" s="6">
        <v>96.442407303922096</v>
      </c>
      <c r="T103" s="6">
        <v>96.403841572868501</v>
      </c>
      <c r="U103" s="7">
        <v>-6.4530893668631004E-4</v>
      </c>
      <c r="V103" s="7">
        <v>1.2865815398542199E-4</v>
      </c>
      <c r="W103" s="7">
        <v>-2.7130535883728102E-4</v>
      </c>
      <c r="X103" s="8">
        <v>1.4311380477274001</v>
      </c>
      <c r="Y103" s="8">
        <v>1.4302827749172899</v>
      </c>
      <c r="Z103" s="8">
        <v>1.4312455192392799</v>
      </c>
      <c r="AA103" s="8">
        <v>1.43085623828544</v>
      </c>
      <c r="AB103" s="6">
        <v>98.054465917229905</v>
      </c>
      <c r="AC103" s="6">
        <v>98.123085085358696</v>
      </c>
      <c r="AD103" s="6">
        <v>98.087368909813506</v>
      </c>
      <c r="AE103" s="7">
        <v>-5.9779591230560295E-4</v>
      </c>
      <c r="AF103" s="7">
        <v>1.01765995532756E-4</v>
      </c>
      <c r="AG103" s="7">
        <v>-2.62293871945569E-4</v>
      </c>
      <c r="AZ103" s="23"/>
      <c r="BB103" s="12">
        <f t="shared" si="26"/>
        <v>0</v>
      </c>
      <c r="BC103" s="12">
        <f t="shared" si="27"/>
        <v>1</v>
      </c>
      <c r="BD103" s="12">
        <f t="shared" si="28"/>
        <v>1</v>
      </c>
      <c r="BE103" s="12">
        <f t="shared" si="24"/>
        <v>0</v>
      </c>
      <c r="BF103" s="12">
        <f t="shared" si="29"/>
        <v>1</v>
      </c>
      <c r="BG103" s="23">
        <f t="shared" si="30"/>
        <v>2.3820169071517498E-3</v>
      </c>
      <c r="BH103" s="23">
        <f t="shared" si="31"/>
        <v>-2.0761971539835799E-3</v>
      </c>
      <c r="BI103" s="23">
        <f t="shared" si="32"/>
        <v>3.058197531681699E-4</v>
      </c>
      <c r="BJ103" s="18">
        <f t="shared" si="33"/>
        <v>3.990656091472978E-3</v>
      </c>
      <c r="BL103" s="23"/>
      <c r="BN103" s="12">
        <f t="shared" si="34"/>
        <v>0</v>
      </c>
      <c r="BO103" s="12">
        <f t="shared" si="35"/>
        <v>1</v>
      </c>
      <c r="BP103" s="12">
        <f t="shared" si="36"/>
        <v>0</v>
      </c>
      <c r="BQ103" s="12">
        <f t="shared" si="25"/>
        <v>0</v>
      </c>
      <c r="BR103" s="12">
        <f t="shared" si="37"/>
        <v>0</v>
      </c>
      <c r="BS103" s="23">
        <f t="shared" si="38"/>
        <v>0</v>
      </c>
      <c r="BT103" s="23">
        <f t="shared" si="39"/>
        <v>0</v>
      </c>
      <c r="BU103" s="23">
        <f t="shared" si="40"/>
        <v>0</v>
      </c>
      <c r="BV103" s="18">
        <f t="shared" si="41"/>
        <v>6.7104381091813367E-3</v>
      </c>
      <c r="BX103" s="18">
        <f t="shared" si="42"/>
        <v>3.058197531681699E-4</v>
      </c>
      <c r="BY103" s="18">
        <f t="shared" si="43"/>
        <v>1.0701094200654314E-2</v>
      </c>
    </row>
    <row r="104" spans="1:77" x14ac:dyDescent="0.3">
      <c r="A104" s="1">
        <v>46174</v>
      </c>
      <c r="B104" s="6">
        <v>66.87</v>
      </c>
      <c r="C104" s="6">
        <v>96.01</v>
      </c>
      <c r="D104" s="7">
        <v>-5.6665824160612504E-3</v>
      </c>
      <c r="E104" s="7">
        <v>-4.3650038127606202E-3</v>
      </c>
      <c r="F104" s="6">
        <v>0.31890000000000002</v>
      </c>
      <c r="G104" s="6">
        <v>1.6249</v>
      </c>
      <c r="H104" s="6">
        <v>0.40699999999999997</v>
      </c>
      <c r="I104" s="6">
        <v>2.0901000000000001</v>
      </c>
      <c r="J104" s="6">
        <v>1.6249</v>
      </c>
      <c r="K104" s="6">
        <v>2.0901000000000001</v>
      </c>
      <c r="L104" s="6">
        <v>68.494900000000001</v>
      </c>
      <c r="M104" s="6">
        <v>98.100099999999998</v>
      </c>
      <c r="N104" s="8">
        <v>1.4357708987587801</v>
      </c>
      <c r="O104" s="8">
        <v>1.43297833357297</v>
      </c>
      <c r="P104" s="8">
        <v>1.43442709789133</v>
      </c>
      <c r="Q104" s="8">
        <v>1.43379983603693</v>
      </c>
      <c r="R104" s="6">
        <v>95.823261166024494</v>
      </c>
      <c r="S104" s="6">
        <v>95.894673298769703</v>
      </c>
      <c r="T104" s="6">
        <v>95.867655986171798</v>
      </c>
      <c r="U104" s="7">
        <v>-1.94688753998702E-3</v>
      </c>
      <c r="V104" s="7">
        <v>-1.20191669260901E-3</v>
      </c>
      <c r="W104" s="7">
        <v>-1.4836958395083001E-3</v>
      </c>
      <c r="X104" s="8">
        <v>1.4322248809765401</v>
      </c>
      <c r="Y104" s="8">
        <v>1.4302827749172899</v>
      </c>
      <c r="Z104" s="8">
        <v>1.4315490796021499</v>
      </c>
      <c r="AA104" s="8">
        <v>1.4309746718191001</v>
      </c>
      <c r="AB104" s="6">
        <v>97.967075639682506</v>
      </c>
      <c r="AC104" s="6">
        <v>98.033018715742799</v>
      </c>
      <c r="AD104" s="6">
        <v>98.006354955738004</v>
      </c>
      <c r="AE104" s="7">
        <v>-1.35692657676515E-3</v>
      </c>
      <c r="AF104" s="7">
        <v>-6.8403834408014902E-4</v>
      </c>
      <c r="AG104" s="7">
        <v>-9.5606288353785305E-4</v>
      </c>
      <c r="AZ104" s="23"/>
      <c r="BB104" s="12">
        <f t="shared" si="26"/>
        <v>0</v>
      </c>
      <c r="BC104" s="12">
        <f t="shared" si="27"/>
        <v>0</v>
      </c>
      <c r="BD104" s="12">
        <f t="shared" si="28"/>
        <v>0</v>
      </c>
      <c r="BE104" s="12">
        <f t="shared" si="24"/>
        <v>1</v>
      </c>
      <c r="BF104" s="12">
        <f t="shared" si="29"/>
        <v>0</v>
      </c>
      <c r="BG104" s="23">
        <f t="shared" si="30"/>
        <v>0</v>
      </c>
      <c r="BH104" s="23">
        <f t="shared" si="31"/>
        <v>0</v>
      </c>
      <c r="BI104" s="23">
        <f t="shared" si="32"/>
        <v>0</v>
      </c>
      <c r="BJ104" s="18">
        <f t="shared" si="33"/>
        <v>3.990656091472978E-3</v>
      </c>
      <c r="BL104" s="23"/>
      <c r="BN104" s="12">
        <f t="shared" si="34"/>
        <v>0</v>
      </c>
      <c r="BO104" s="12">
        <f t="shared" si="35"/>
        <v>1</v>
      </c>
      <c r="BP104" s="12">
        <f t="shared" si="36"/>
        <v>0</v>
      </c>
      <c r="BQ104" s="12">
        <f t="shared" si="25"/>
        <v>1</v>
      </c>
      <c r="BR104" s="12">
        <f t="shared" si="37"/>
        <v>0</v>
      </c>
      <c r="BS104" s="23">
        <f t="shared" si="38"/>
        <v>0</v>
      </c>
      <c r="BT104" s="23">
        <f t="shared" si="39"/>
        <v>0</v>
      </c>
      <c r="BU104" s="23">
        <f t="shared" si="40"/>
        <v>0</v>
      </c>
      <c r="BV104" s="18">
        <f t="shared" si="41"/>
        <v>6.7104381091813367E-3</v>
      </c>
      <c r="BX104" s="18">
        <f t="shared" si="42"/>
        <v>0</v>
      </c>
      <c r="BY104" s="18">
        <f t="shared" si="43"/>
        <v>1.0701094200654314E-2</v>
      </c>
    </row>
    <row r="105" spans="1:77" x14ac:dyDescent="0.3">
      <c r="A105" s="1">
        <v>46175</v>
      </c>
      <c r="B105" s="6">
        <v>67.040000000000006</v>
      </c>
      <c r="C105" s="6">
        <v>96.26</v>
      </c>
      <c r="D105" s="7">
        <v>2.53902010794042E-3</v>
      </c>
      <c r="E105" s="7">
        <v>2.6005111654308299E-3</v>
      </c>
      <c r="F105" s="6">
        <v>0</v>
      </c>
      <c r="G105" s="6">
        <v>1.6249</v>
      </c>
      <c r="H105" s="6">
        <v>0</v>
      </c>
      <c r="I105" s="6">
        <v>2.0901000000000001</v>
      </c>
      <c r="J105" s="6">
        <v>1.6249</v>
      </c>
      <c r="K105" s="6">
        <v>2.0901000000000001</v>
      </c>
      <c r="L105" s="6">
        <v>68.664900000000003</v>
      </c>
      <c r="M105" s="6">
        <v>98.350099999999998</v>
      </c>
      <c r="N105" s="8">
        <v>1.4358591885441501</v>
      </c>
      <c r="O105" s="8">
        <v>1.43297833357297</v>
      </c>
      <c r="P105" s="8">
        <v>1.43473621480753</v>
      </c>
      <c r="Q105" s="8">
        <v>1.43399640992196</v>
      </c>
      <c r="R105" s="6">
        <v>96.066867482731894</v>
      </c>
      <c r="S105" s="6">
        <v>96.163992642635293</v>
      </c>
      <c r="T105" s="6">
        <v>96.121941007915794</v>
      </c>
      <c r="U105" s="7">
        <v>-2.0083785974773899E-3</v>
      </c>
      <c r="V105" s="7">
        <v>-9.9787312395726701E-4</v>
      </c>
      <c r="W105" s="7">
        <v>-1.4352596201145499E-3</v>
      </c>
      <c r="X105" s="8">
        <v>1.4323198606566001</v>
      </c>
      <c r="Y105" s="8">
        <v>1.4302827749172899</v>
      </c>
      <c r="Z105" s="8">
        <v>1.43178356024804</v>
      </c>
      <c r="AA105" s="8">
        <v>1.4311323745969999</v>
      </c>
      <c r="AB105" s="6">
        <v>98.210223711418394</v>
      </c>
      <c r="AC105" s="6">
        <v>98.297174395974196</v>
      </c>
      <c r="AD105" s="6">
        <v>98.257732742991493</v>
      </c>
      <c r="AE105" s="7">
        <v>-1.42324055589339E-3</v>
      </c>
      <c r="AF105" s="7">
        <v>-5.3827957154501196E-4</v>
      </c>
      <c r="AG105" s="7">
        <v>-9.3960919578246305E-4</v>
      </c>
      <c r="AZ105" s="23"/>
      <c r="BB105" s="12">
        <f t="shared" si="26"/>
        <v>0</v>
      </c>
      <c r="BC105" s="12">
        <f t="shared" si="27"/>
        <v>0</v>
      </c>
      <c r="BD105" s="12">
        <f t="shared" si="28"/>
        <v>0</v>
      </c>
      <c r="BE105" s="12">
        <f t="shared" si="24"/>
        <v>1</v>
      </c>
      <c r="BF105" s="12">
        <f t="shared" si="29"/>
        <v>0</v>
      </c>
      <c r="BG105" s="23">
        <f t="shared" si="30"/>
        <v>0</v>
      </c>
      <c r="BH105" s="23">
        <f t="shared" si="31"/>
        <v>0</v>
      </c>
      <c r="BI105" s="23">
        <f t="shared" si="32"/>
        <v>0</v>
      </c>
      <c r="BJ105" s="18">
        <f t="shared" si="33"/>
        <v>3.990656091472978E-3</v>
      </c>
      <c r="BL105" s="23"/>
      <c r="BN105" s="12">
        <f t="shared" si="34"/>
        <v>0</v>
      </c>
      <c r="BO105" s="12">
        <f t="shared" si="35"/>
        <v>1</v>
      </c>
      <c r="BP105" s="12">
        <f t="shared" si="36"/>
        <v>0</v>
      </c>
      <c r="BQ105" s="12">
        <f t="shared" si="25"/>
        <v>1</v>
      </c>
      <c r="BR105" s="12">
        <f t="shared" si="37"/>
        <v>0</v>
      </c>
      <c r="BS105" s="23">
        <f t="shared" si="38"/>
        <v>0</v>
      </c>
      <c r="BT105" s="23">
        <f t="shared" si="39"/>
        <v>0</v>
      </c>
      <c r="BU105" s="23">
        <f t="shared" si="40"/>
        <v>0</v>
      </c>
      <c r="BV105" s="18">
        <f t="shared" si="41"/>
        <v>6.7104381091813367E-3</v>
      </c>
      <c r="BX105" s="18">
        <f t="shared" si="42"/>
        <v>0</v>
      </c>
      <c r="BY105" s="18">
        <f t="shared" si="43"/>
        <v>1.0701094200654314E-2</v>
      </c>
    </row>
    <row r="106" spans="1:77" x14ac:dyDescent="0.3">
      <c r="A106" s="1">
        <v>46176</v>
      </c>
      <c r="B106" s="6">
        <v>66.83</v>
      </c>
      <c r="C106" s="6">
        <v>95.9</v>
      </c>
      <c r="D106" s="7">
        <v>-3.13737465084891E-3</v>
      </c>
      <c r="E106" s="7">
        <v>-3.74688198557079E-3</v>
      </c>
      <c r="F106" s="6">
        <v>0</v>
      </c>
      <c r="G106" s="6">
        <v>1.6249</v>
      </c>
      <c r="H106" s="6">
        <v>0</v>
      </c>
      <c r="I106" s="6">
        <v>2.0901000000000001</v>
      </c>
      <c r="J106" s="6">
        <v>1.6249</v>
      </c>
      <c r="K106" s="6">
        <v>2.0901000000000001</v>
      </c>
      <c r="L106" s="6">
        <v>68.454899999999995</v>
      </c>
      <c r="M106" s="6">
        <v>97.990099999999998</v>
      </c>
      <c r="N106" s="8">
        <v>1.43498428849319</v>
      </c>
      <c r="O106" s="8">
        <v>1.43297833357297</v>
      </c>
      <c r="P106" s="8">
        <v>1.4348886360522899</v>
      </c>
      <c r="Q106" s="8">
        <v>1.4341199494815999</v>
      </c>
      <c r="R106" s="6">
        <v>95.765942032681593</v>
      </c>
      <c r="S106" s="6">
        <v>95.883421235587406</v>
      </c>
      <c r="T106" s="6">
        <v>95.833980075085194</v>
      </c>
      <c r="U106" s="7">
        <v>-1.39887126275565E-3</v>
      </c>
      <c r="V106" s="7">
        <v>-1.7289048601808299E-4</v>
      </c>
      <c r="W106" s="7">
        <v>-6.8866173328395095E-4</v>
      </c>
      <c r="X106" s="8">
        <v>1.4314548702868599</v>
      </c>
      <c r="Y106" s="8">
        <v>1.4302827749172899</v>
      </c>
      <c r="Z106" s="8">
        <v>1.4318648919438699</v>
      </c>
      <c r="AA106" s="8">
        <v>1.4312175324319401</v>
      </c>
      <c r="AB106" s="6">
        <v>97.909864328685799</v>
      </c>
      <c r="AC106" s="6">
        <v>98.012600438423902</v>
      </c>
      <c r="AD106" s="6">
        <v>97.968023589800694</v>
      </c>
      <c r="AE106" s="7">
        <v>-8.1914946820616104E-4</v>
      </c>
      <c r="AF106" s="7">
        <v>2.2959314818102799E-4</v>
      </c>
      <c r="AG106" s="7">
        <v>-2.2531763305608699E-4</v>
      </c>
      <c r="AZ106" s="23"/>
      <c r="BB106" s="12">
        <f t="shared" si="26"/>
        <v>0</v>
      </c>
      <c r="BC106" s="12">
        <f t="shared" si="27"/>
        <v>1</v>
      </c>
      <c r="BD106" s="12">
        <f t="shared" si="28"/>
        <v>0</v>
      </c>
      <c r="BE106" s="12">
        <f t="shared" si="24"/>
        <v>1</v>
      </c>
      <c r="BF106" s="12">
        <f t="shared" si="29"/>
        <v>0</v>
      </c>
      <c r="BG106" s="23">
        <f t="shared" si="30"/>
        <v>0</v>
      </c>
      <c r="BH106" s="23">
        <f t="shared" si="31"/>
        <v>0</v>
      </c>
      <c r="BI106" s="23">
        <f t="shared" si="32"/>
        <v>0</v>
      </c>
      <c r="BJ106" s="18">
        <f t="shared" si="33"/>
        <v>3.990656091472978E-3</v>
      </c>
      <c r="BL106" s="23"/>
      <c r="BN106" s="12">
        <f t="shared" si="34"/>
        <v>0</v>
      </c>
      <c r="BO106" s="12">
        <f t="shared" si="35"/>
        <v>1</v>
      </c>
      <c r="BP106" s="12">
        <f t="shared" si="36"/>
        <v>0</v>
      </c>
      <c r="BQ106" s="12">
        <f t="shared" si="25"/>
        <v>1</v>
      </c>
      <c r="BR106" s="12">
        <f t="shared" si="37"/>
        <v>0</v>
      </c>
      <c r="BS106" s="23">
        <f t="shared" si="38"/>
        <v>0</v>
      </c>
      <c r="BT106" s="23">
        <f t="shared" si="39"/>
        <v>0</v>
      </c>
      <c r="BU106" s="23">
        <f t="shared" si="40"/>
        <v>0</v>
      </c>
      <c r="BV106" s="18">
        <f t="shared" si="41"/>
        <v>6.7104381091813367E-3</v>
      </c>
      <c r="BX106" s="18">
        <f t="shared" si="42"/>
        <v>0</v>
      </c>
      <c r="BY106" s="18">
        <f t="shared" si="43"/>
        <v>1.0701094200654314E-2</v>
      </c>
    </row>
    <row r="107" spans="1:77" x14ac:dyDescent="0.3">
      <c r="A107" s="1">
        <v>46177</v>
      </c>
      <c r="B107" s="6">
        <v>66.989999999999995</v>
      </c>
      <c r="C107" s="6">
        <v>96.1</v>
      </c>
      <c r="D107" s="7">
        <v>2.3912729971974798E-3</v>
      </c>
      <c r="E107" s="7">
        <v>2.0833340868540401E-3</v>
      </c>
      <c r="F107" s="6">
        <v>0</v>
      </c>
      <c r="G107" s="6">
        <v>1.6249</v>
      </c>
      <c r="H107" s="6">
        <v>0</v>
      </c>
      <c r="I107" s="6">
        <v>2.0901000000000001</v>
      </c>
      <c r="J107" s="6">
        <v>1.6249</v>
      </c>
      <c r="K107" s="6">
        <v>2.0901000000000001</v>
      </c>
      <c r="L107" s="6">
        <v>68.614899999999906</v>
      </c>
      <c r="M107" s="6">
        <v>98.190100000000001</v>
      </c>
      <c r="N107" s="8">
        <v>1.43454246902522</v>
      </c>
      <c r="O107" s="8">
        <v>1.43297833357297</v>
      </c>
      <c r="P107" s="8">
        <v>1.4349158657290599</v>
      </c>
      <c r="Q107" s="8">
        <v>1.43417494666722</v>
      </c>
      <c r="R107" s="6">
        <v>95.995218566053197</v>
      </c>
      <c r="S107" s="6">
        <v>96.123189729142894</v>
      </c>
      <c r="T107" s="6">
        <v>96.071695415772496</v>
      </c>
      <c r="U107" s="7">
        <v>-1.09093235241239E-3</v>
      </c>
      <c r="V107" s="7">
        <v>2.4127920557461501E-4</v>
      </c>
      <c r="W107" s="7">
        <v>-2.9457599747877801E-4</v>
      </c>
      <c r="X107" s="8">
        <v>1.4310317438340601</v>
      </c>
      <c r="Y107" s="8">
        <v>1.4302827749172899</v>
      </c>
      <c r="Z107" s="8">
        <v>1.43182267320871</v>
      </c>
      <c r="AA107" s="8">
        <v>1.4312350004988199</v>
      </c>
      <c r="AB107" s="6">
        <v>98.138709572672596</v>
      </c>
      <c r="AC107" s="6">
        <v>98.2472663742398</v>
      </c>
      <c r="AD107" s="6">
        <v>98.202847866064701</v>
      </c>
      <c r="AE107" s="7">
        <v>-5.2351388074885902E-4</v>
      </c>
      <c r="AF107" s="7">
        <v>5.8203158501721902E-4</v>
      </c>
      <c r="AG107" s="7">
        <v>1.2981999833685799E-4</v>
      </c>
      <c r="AZ107" s="23"/>
      <c r="BB107" s="12">
        <f t="shared" si="26"/>
        <v>0</v>
      </c>
      <c r="BC107" s="12">
        <f t="shared" si="27"/>
        <v>1</v>
      </c>
      <c r="BD107" s="12">
        <f t="shared" si="28"/>
        <v>0</v>
      </c>
      <c r="BE107" s="12">
        <f t="shared" si="24"/>
        <v>1</v>
      </c>
      <c r="BF107" s="12">
        <f t="shared" si="29"/>
        <v>0</v>
      </c>
      <c r="BG107" s="23">
        <f t="shared" si="30"/>
        <v>0</v>
      </c>
      <c r="BH107" s="23">
        <f t="shared" si="31"/>
        <v>0</v>
      </c>
      <c r="BI107" s="23">
        <f t="shared" si="32"/>
        <v>0</v>
      </c>
      <c r="BJ107" s="18">
        <f t="shared" si="33"/>
        <v>3.990656091472978E-3</v>
      </c>
      <c r="BL107" s="23"/>
      <c r="BN107" s="12">
        <f t="shared" si="34"/>
        <v>0</v>
      </c>
      <c r="BO107" s="12">
        <f t="shared" si="35"/>
        <v>0</v>
      </c>
      <c r="BP107" s="12">
        <f t="shared" si="36"/>
        <v>0</v>
      </c>
      <c r="BQ107" s="12">
        <f t="shared" si="25"/>
        <v>1</v>
      </c>
      <c r="BR107" s="12">
        <f t="shared" si="37"/>
        <v>0</v>
      </c>
      <c r="BS107" s="23">
        <f t="shared" si="38"/>
        <v>0</v>
      </c>
      <c r="BT107" s="23">
        <f t="shared" si="39"/>
        <v>0</v>
      </c>
      <c r="BU107" s="23">
        <f t="shared" si="40"/>
        <v>0</v>
      </c>
      <c r="BV107" s="18">
        <f t="shared" si="41"/>
        <v>6.7104381091813367E-3</v>
      </c>
      <c r="BX107" s="18">
        <f t="shared" si="42"/>
        <v>0</v>
      </c>
      <c r="BY107" s="18">
        <f t="shared" si="43"/>
        <v>1.0701094200654314E-2</v>
      </c>
    </row>
    <row r="108" spans="1:77" x14ac:dyDescent="0.3">
      <c r="A108" s="1">
        <v>46178</v>
      </c>
      <c r="B108" s="6">
        <v>66.56</v>
      </c>
      <c r="C108" s="6">
        <v>95.4</v>
      </c>
      <c r="D108" s="7">
        <v>-6.4395580072229399E-3</v>
      </c>
      <c r="E108" s="7">
        <v>-7.3107375220058399E-3</v>
      </c>
      <c r="F108" s="6">
        <v>0</v>
      </c>
      <c r="G108" s="6">
        <v>1.6249</v>
      </c>
      <c r="H108" s="6">
        <v>0</v>
      </c>
      <c r="I108" s="6">
        <v>2.0901000000000001</v>
      </c>
      <c r="J108" s="6">
        <v>1.6249</v>
      </c>
      <c r="K108" s="6">
        <v>2.0901000000000001</v>
      </c>
      <c r="L108" s="6">
        <v>68.184899999999999</v>
      </c>
      <c r="M108" s="6">
        <v>97.490099999999998</v>
      </c>
      <c r="N108" s="8">
        <v>1.4332932692307601</v>
      </c>
      <c r="O108" s="8">
        <v>1.43297833357297</v>
      </c>
      <c r="P108" s="8">
        <v>1.4347991038572101</v>
      </c>
      <c r="Q108" s="8">
        <v>1.43420829850641</v>
      </c>
      <c r="R108" s="6">
        <v>95.379037882616899</v>
      </c>
      <c r="S108" s="6">
        <v>95.508000022926495</v>
      </c>
      <c r="T108" s="6">
        <v>95.458684450170693</v>
      </c>
      <c r="U108" s="7">
        <v>-2.1975283762943199E-4</v>
      </c>
      <c r="V108" s="7">
        <v>1.13143539752045E-3</v>
      </c>
      <c r="W108" s="7">
        <v>6.1495186545179397E-4</v>
      </c>
      <c r="X108" s="8">
        <v>1.4297901734841501</v>
      </c>
      <c r="Y108" s="8">
        <v>1.4302827749172899</v>
      </c>
      <c r="Z108" s="8">
        <v>1.43163742790274</v>
      </c>
      <c r="AA108" s="8">
        <v>1.4312308685201001</v>
      </c>
      <c r="AB108" s="6">
        <v>97.523687979458103</v>
      </c>
      <c r="AC108" s="6">
        <v>97.628685790468495</v>
      </c>
      <c r="AD108" s="6">
        <v>97.588615385512597</v>
      </c>
      <c r="AE108" s="7">
        <v>3.4446774393020498E-4</v>
      </c>
      <c r="AF108" s="7">
        <v>1.42052763614188E-3</v>
      </c>
      <c r="AG108" s="7">
        <v>1.0100065882907301E-3</v>
      </c>
      <c r="AZ108" s="23"/>
      <c r="BB108" s="12">
        <f t="shared" si="26"/>
        <v>0</v>
      </c>
      <c r="BC108" s="12">
        <f t="shared" si="27"/>
        <v>1</v>
      </c>
      <c r="BD108" s="12">
        <f t="shared" si="28"/>
        <v>0</v>
      </c>
      <c r="BE108" s="12">
        <f t="shared" si="24"/>
        <v>1</v>
      </c>
      <c r="BF108" s="12">
        <f t="shared" si="29"/>
        <v>0</v>
      </c>
      <c r="BG108" s="23">
        <f t="shared" si="30"/>
        <v>0</v>
      </c>
      <c r="BH108" s="23">
        <f t="shared" si="31"/>
        <v>0</v>
      </c>
      <c r="BI108" s="23">
        <f t="shared" si="32"/>
        <v>0</v>
      </c>
      <c r="BJ108" s="18">
        <f t="shared" si="33"/>
        <v>3.990656091472978E-3</v>
      </c>
      <c r="BL108" s="23"/>
      <c r="BN108" s="12">
        <f t="shared" si="34"/>
        <v>1</v>
      </c>
      <c r="BO108" s="12">
        <f t="shared" si="35"/>
        <v>0</v>
      </c>
      <c r="BP108" s="12">
        <f t="shared" si="36"/>
        <v>0</v>
      </c>
      <c r="BQ108" s="12">
        <f t="shared" si="25"/>
        <v>1</v>
      </c>
      <c r="BR108" s="12">
        <f t="shared" si="37"/>
        <v>0</v>
      </c>
      <c r="BS108" s="23">
        <f t="shared" si="38"/>
        <v>0</v>
      </c>
      <c r="BT108" s="23">
        <f t="shared" si="39"/>
        <v>0</v>
      </c>
      <c r="BU108" s="23">
        <f t="shared" si="40"/>
        <v>0</v>
      </c>
      <c r="BV108" s="18">
        <f t="shared" si="41"/>
        <v>6.7104381091813367E-3</v>
      </c>
      <c r="BX108" s="18">
        <f t="shared" si="42"/>
        <v>0</v>
      </c>
      <c r="BY108" s="18">
        <f t="shared" si="43"/>
        <v>1.0701094200654314E-2</v>
      </c>
    </row>
    <row r="109" spans="1:77" x14ac:dyDescent="0.3">
      <c r="A109" s="1">
        <v>46181</v>
      </c>
      <c r="B109" s="6">
        <v>66.44</v>
      </c>
      <c r="C109" s="6">
        <v>95.28</v>
      </c>
      <c r="D109" s="7">
        <v>-1.8045117678591001E-3</v>
      </c>
      <c r="E109" s="7">
        <v>-1.25865340719617E-3</v>
      </c>
      <c r="F109" s="6">
        <v>0</v>
      </c>
      <c r="G109" s="6">
        <v>1.6249</v>
      </c>
      <c r="H109" s="6">
        <v>0</v>
      </c>
      <c r="I109" s="6">
        <v>2.0901000000000001</v>
      </c>
      <c r="J109" s="6">
        <v>1.6249</v>
      </c>
      <c r="K109" s="6">
        <v>2.0901000000000001</v>
      </c>
      <c r="L109" s="6">
        <v>68.064899999999994</v>
      </c>
      <c r="M109" s="6">
        <v>97.370099999999994</v>
      </c>
      <c r="N109" s="8">
        <v>1.4340758579169099</v>
      </c>
      <c r="O109" s="8">
        <v>1.43297833357297</v>
      </c>
      <c r="P109" s="8">
        <v>1.4346838424162101</v>
      </c>
      <c r="Q109" s="8">
        <v>1.43424393397829</v>
      </c>
      <c r="R109" s="6">
        <v>95.207080482588097</v>
      </c>
      <c r="S109" s="6">
        <v>95.328052460273398</v>
      </c>
      <c r="T109" s="6">
        <v>95.288799352766404</v>
      </c>
      <c r="U109" s="7">
        <v>-7.6561119829227802E-4</v>
      </c>
      <c r="V109" s="7">
        <v>5.0420179705103099E-4</v>
      </c>
      <c r="W109" s="7">
        <v>9.2348304681866695E-5</v>
      </c>
      <c r="X109" s="8">
        <v>1.43054790354499</v>
      </c>
      <c r="Y109" s="8">
        <v>1.4302827749172899</v>
      </c>
      <c r="Z109" s="8">
        <v>1.43145230462733</v>
      </c>
      <c r="AA109" s="8">
        <v>1.4312281990642399</v>
      </c>
      <c r="AB109" s="6">
        <v>97.352054046468098</v>
      </c>
      <c r="AC109" s="6">
        <v>97.444258366457206</v>
      </c>
      <c r="AD109" s="6">
        <v>97.416585942734002</v>
      </c>
      <c r="AE109" s="7">
        <v>-1.8535080070315301E-4</v>
      </c>
      <c r="AF109" s="7">
        <v>7.6132345337423903E-4</v>
      </c>
      <c r="AG109" s="7">
        <v>4.7730103719993998E-4</v>
      </c>
      <c r="AZ109" s="23"/>
      <c r="BB109" s="12">
        <f t="shared" si="26"/>
        <v>0</v>
      </c>
      <c r="BC109" s="12">
        <f t="shared" si="27"/>
        <v>1</v>
      </c>
      <c r="BD109" s="12">
        <f t="shared" si="28"/>
        <v>0</v>
      </c>
      <c r="BE109" s="12">
        <f t="shared" si="24"/>
        <v>1</v>
      </c>
      <c r="BF109" s="12">
        <f t="shared" si="29"/>
        <v>0</v>
      </c>
      <c r="BG109" s="23">
        <f t="shared" si="30"/>
        <v>0</v>
      </c>
      <c r="BH109" s="23">
        <f t="shared" si="31"/>
        <v>0</v>
      </c>
      <c r="BI109" s="23">
        <f t="shared" si="32"/>
        <v>0</v>
      </c>
      <c r="BJ109" s="18">
        <f t="shared" si="33"/>
        <v>3.990656091472978E-3</v>
      </c>
      <c r="BL109" s="23"/>
      <c r="BN109" s="12">
        <f t="shared" si="34"/>
        <v>0</v>
      </c>
      <c r="BO109" s="12">
        <f t="shared" si="35"/>
        <v>0</v>
      </c>
      <c r="BP109" s="12">
        <f t="shared" si="36"/>
        <v>1</v>
      </c>
      <c r="BQ109" s="12">
        <f t="shared" si="25"/>
        <v>1</v>
      </c>
      <c r="BR109" s="12">
        <f t="shared" si="37"/>
        <v>1</v>
      </c>
      <c r="BS109" s="23">
        <f t="shared" si="38"/>
        <v>1.8045117678591001E-3</v>
      </c>
      <c r="BT109" s="23">
        <f t="shared" si="39"/>
        <v>-1.25865340719617E-3</v>
      </c>
      <c r="BU109" s="23">
        <f t="shared" si="40"/>
        <v>5.4585836066293005E-4</v>
      </c>
      <c r="BV109" s="18">
        <f t="shared" si="41"/>
        <v>7.2562964698442665E-3</v>
      </c>
      <c r="BX109" s="18">
        <f t="shared" si="42"/>
        <v>5.4585836066293005E-4</v>
      </c>
      <c r="BY109" s="18">
        <f t="shared" si="43"/>
        <v>1.1246952561317244E-2</v>
      </c>
    </row>
    <row r="110" spans="1:77" x14ac:dyDescent="0.3">
      <c r="A110" s="1">
        <v>46182</v>
      </c>
      <c r="B110" s="6">
        <v>66.67</v>
      </c>
      <c r="C110" s="6">
        <v>95.67</v>
      </c>
      <c r="D110" s="7">
        <v>3.45579188487459E-3</v>
      </c>
      <c r="E110" s="7">
        <v>4.08484464303126E-3</v>
      </c>
      <c r="F110" s="6">
        <v>0</v>
      </c>
      <c r="G110" s="6">
        <v>1.6249</v>
      </c>
      <c r="H110" s="6">
        <v>0</v>
      </c>
      <c r="I110" s="6">
        <v>2.0901000000000001</v>
      </c>
      <c r="J110" s="6">
        <v>1.6249</v>
      </c>
      <c r="K110" s="6">
        <v>2.0901000000000001</v>
      </c>
      <c r="L110" s="6">
        <v>68.294899999999998</v>
      </c>
      <c r="M110" s="6">
        <v>97.760099999999994</v>
      </c>
      <c r="N110" s="8">
        <v>1.43497825108744</v>
      </c>
      <c r="O110" s="8">
        <v>1.43297833357297</v>
      </c>
      <c r="P110" s="8">
        <v>1.43466426056217</v>
      </c>
      <c r="Q110" s="8">
        <v>1.4343306601527299</v>
      </c>
      <c r="R110" s="6">
        <v>95.536665499309905</v>
      </c>
      <c r="S110" s="6">
        <v>95.650371773888907</v>
      </c>
      <c r="T110" s="6">
        <v>95.621043078332804</v>
      </c>
      <c r="U110" s="7">
        <v>-1.39466395644894E-3</v>
      </c>
      <c r="V110" s="7">
        <v>-2.0518699601031499E-4</v>
      </c>
      <c r="W110" s="7">
        <v>-5.11857972524086E-4</v>
      </c>
      <c r="X110" s="8">
        <v>1.4314407078713001</v>
      </c>
      <c r="Y110" s="8">
        <v>1.4302827749172899</v>
      </c>
      <c r="Z110" s="8">
        <v>1.43136042333486</v>
      </c>
      <c r="AA110" s="8">
        <v>1.4312762693800201</v>
      </c>
      <c r="AB110" s="6">
        <v>97.681019084699003</v>
      </c>
      <c r="AC110" s="6">
        <v>97.760891999293094</v>
      </c>
      <c r="AD110" s="6">
        <v>97.7455867322725</v>
      </c>
      <c r="AE110" s="7">
        <v>-8.0925569795233996E-4</v>
      </c>
      <c r="AF110" s="7">
        <v>8.1014246604649492E-6</v>
      </c>
      <c r="AG110" s="7">
        <v>-1.4846900871983299E-4</v>
      </c>
      <c r="AZ110" s="23"/>
      <c r="BB110" s="12">
        <f t="shared" si="26"/>
        <v>0</v>
      </c>
      <c r="BC110" s="12">
        <f t="shared" si="27"/>
        <v>1</v>
      </c>
      <c r="BD110" s="12">
        <f t="shared" si="28"/>
        <v>0</v>
      </c>
      <c r="BE110" s="12">
        <f t="shared" si="24"/>
        <v>1</v>
      </c>
      <c r="BF110" s="12">
        <f t="shared" si="29"/>
        <v>0</v>
      </c>
      <c r="BG110" s="23">
        <f t="shared" si="30"/>
        <v>0</v>
      </c>
      <c r="BH110" s="23">
        <f t="shared" si="31"/>
        <v>0</v>
      </c>
      <c r="BI110" s="23">
        <f t="shared" si="32"/>
        <v>0</v>
      </c>
      <c r="BJ110" s="18">
        <f t="shared" si="33"/>
        <v>3.990656091472978E-3</v>
      </c>
      <c r="BL110" s="23"/>
      <c r="BN110" s="12">
        <f t="shared" si="34"/>
        <v>0</v>
      </c>
      <c r="BO110" s="12">
        <f t="shared" si="35"/>
        <v>1</v>
      </c>
      <c r="BP110" s="12">
        <f t="shared" si="36"/>
        <v>1</v>
      </c>
      <c r="BQ110" s="12">
        <f t="shared" si="25"/>
        <v>1</v>
      </c>
      <c r="BR110" s="12">
        <f t="shared" si="37"/>
        <v>1</v>
      </c>
      <c r="BS110" s="23">
        <f t="shared" si="38"/>
        <v>-3.45579188487459E-3</v>
      </c>
      <c r="BT110" s="23">
        <f t="shared" si="39"/>
        <v>4.08484464303126E-3</v>
      </c>
      <c r="BU110" s="23">
        <f t="shared" si="40"/>
        <v>6.2905275815666999E-4</v>
      </c>
      <c r="BV110" s="18">
        <f t="shared" si="41"/>
        <v>7.8853492280009374E-3</v>
      </c>
      <c r="BX110" s="18">
        <f t="shared" si="42"/>
        <v>6.2905275815666999E-4</v>
      </c>
      <c r="BY110" s="18">
        <f t="shared" si="43"/>
        <v>1.1876005319473915E-2</v>
      </c>
    </row>
    <row r="111" spans="1:77" x14ac:dyDescent="0.3">
      <c r="A111" s="1">
        <v>46183</v>
      </c>
      <c r="B111" s="6">
        <v>66.44</v>
      </c>
      <c r="C111" s="6">
        <v>95.35</v>
      </c>
      <c r="D111" s="7">
        <v>-3.4557918848746099E-3</v>
      </c>
      <c r="E111" s="7">
        <v>-3.3504376436479699E-3</v>
      </c>
      <c r="F111" s="6">
        <v>0</v>
      </c>
      <c r="G111" s="6">
        <v>1.6249</v>
      </c>
      <c r="H111" s="6">
        <v>0</v>
      </c>
      <c r="I111" s="6">
        <v>2.0901000000000001</v>
      </c>
      <c r="J111" s="6">
        <v>1.6249</v>
      </c>
      <c r="K111" s="6">
        <v>2.0901000000000001</v>
      </c>
      <c r="L111" s="6">
        <v>68.064899999999994</v>
      </c>
      <c r="M111" s="6">
        <v>97.440100000000001</v>
      </c>
      <c r="N111" s="8">
        <v>1.4351294400963199</v>
      </c>
      <c r="O111" s="8">
        <v>1.43297833357297</v>
      </c>
      <c r="P111" s="8">
        <v>1.4346878937630101</v>
      </c>
      <c r="Q111" s="8">
        <v>1.43439749764587</v>
      </c>
      <c r="R111" s="6">
        <v>95.207080482588097</v>
      </c>
      <c r="S111" s="6">
        <v>95.319093471750705</v>
      </c>
      <c r="T111" s="6">
        <v>95.296929060547797</v>
      </c>
      <c r="U111" s="7">
        <v>-1.5000181976756099E-3</v>
      </c>
      <c r="V111" s="7">
        <v>-3.2419022881151598E-4</v>
      </c>
      <c r="W111" s="7">
        <v>-5.5674582417328104E-4</v>
      </c>
      <c r="X111" s="8">
        <v>1.4315763337637999</v>
      </c>
      <c r="Y111" s="8">
        <v>1.4302827749172899</v>
      </c>
      <c r="Z111" s="8">
        <v>1.4313086309384699</v>
      </c>
      <c r="AA111" s="8">
        <v>1.4313046056521399</v>
      </c>
      <c r="AB111" s="6">
        <v>97.352054046468098</v>
      </c>
      <c r="AC111" s="6">
        <v>97.425404078245506</v>
      </c>
      <c r="AD111" s="6">
        <v>97.419676147724303</v>
      </c>
      <c r="AE111" s="7">
        <v>-9.0399903383107905E-4</v>
      </c>
      <c r="AF111" s="7">
        <v>-1.50831434756758E-4</v>
      </c>
      <c r="AG111" s="7">
        <v>-2.0962615019036601E-4</v>
      </c>
      <c r="AZ111" s="23"/>
      <c r="BB111" s="12">
        <f t="shared" si="26"/>
        <v>0</v>
      </c>
      <c r="BC111" s="12">
        <f t="shared" si="27"/>
        <v>1</v>
      </c>
      <c r="BD111" s="12">
        <f t="shared" si="28"/>
        <v>0</v>
      </c>
      <c r="BE111" s="12">
        <f t="shared" si="24"/>
        <v>1</v>
      </c>
      <c r="BF111" s="12">
        <f t="shared" si="29"/>
        <v>0</v>
      </c>
      <c r="BG111" s="23">
        <f t="shared" si="30"/>
        <v>0</v>
      </c>
      <c r="BH111" s="23">
        <f t="shared" si="31"/>
        <v>0</v>
      </c>
      <c r="BI111" s="23">
        <f t="shared" si="32"/>
        <v>0</v>
      </c>
      <c r="BJ111" s="18">
        <f t="shared" si="33"/>
        <v>3.990656091472978E-3</v>
      </c>
      <c r="BL111" s="23"/>
      <c r="BN111" s="12">
        <f t="shared" si="34"/>
        <v>0</v>
      </c>
      <c r="BO111" s="12">
        <f t="shared" si="35"/>
        <v>1</v>
      </c>
      <c r="BP111" s="12">
        <f t="shared" si="36"/>
        <v>0</v>
      </c>
      <c r="BQ111" s="12">
        <f t="shared" si="25"/>
        <v>1</v>
      </c>
      <c r="BR111" s="12">
        <f t="shared" si="37"/>
        <v>0</v>
      </c>
      <c r="BS111" s="23">
        <f t="shared" si="38"/>
        <v>0</v>
      </c>
      <c r="BT111" s="23">
        <f t="shared" si="39"/>
        <v>0</v>
      </c>
      <c r="BU111" s="23">
        <f t="shared" si="40"/>
        <v>0</v>
      </c>
      <c r="BV111" s="18">
        <f t="shared" si="41"/>
        <v>7.8853492280009374E-3</v>
      </c>
      <c r="BX111" s="18">
        <f t="shared" si="42"/>
        <v>0</v>
      </c>
      <c r="BY111" s="18">
        <f t="shared" si="43"/>
        <v>1.1876005319473915E-2</v>
      </c>
    </row>
    <row r="112" spans="1:77" x14ac:dyDescent="0.3">
      <c r="A112" s="1">
        <v>46184</v>
      </c>
      <c r="B112" s="6">
        <v>67.069999999999993</v>
      </c>
      <c r="C112" s="6">
        <v>96.27</v>
      </c>
      <c r="D112" s="7">
        <v>9.4375653665516399E-3</v>
      </c>
      <c r="E112" s="7">
        <v>9.6024117434471597E-3</v>
      </c>
      <c r="F112" s="6">
        <v>0</v>
      </c>
      <c r="G112" s="6">
        <v>1.6249</v>
      </c>
      <c r="H112" s="6">
        <v>0</v>
      </c>
      <c r="I112" s="6">
        <v>2.0901000000000001</v>
      </c>
      <c r="J112" s="6">
        <v>1.6249</v>
      </c>
      <c r="K112" s="6">
        <v>2.0901000000000001</v>
      </c>
      <c r="L112" s="6">
        <v>68.694899999999905</v>
      </c>
      <c r="M112" s="6">
        <v>98.360100000000003</v>
      </c>
      <c r="N112" s="8">
        <v>1.4353660354853099</v>
      </c>
      <c r="O112" s="8">
        <v>1.43297833357297</v>
      </c>
      <c r="P112" s="8">
        <v>1.4347903044363</v>
      </c>
      <c r="Q112" s="8">
        <v>1.4344390726934</v>
      </c>
      <c r="R112" s="6">
        <v>96.109856832739098</v>
      </c>
      <c r="S112" s="6">
        <v>96.224517034685306</v>
      </c>
      <c r="T112" s="6">
        <v>96.205040167108507</v>
      </c>
      <c r="U112" s="7">
        <v>-1.66486457457115E-3</v>
      </c>
      <c r="V112" s="7">
        <v>-4.7256375778066602E-4</v>
      </c>
      <c r="W112" s="7">
        <v>-6.74994901172422E-4</v>
      </c>
      <c r="X112" s="8">
        <v>1.4318399182471999</v>
      </c>
      <c r="Y112" s="8">
        <v>1.4302827749172899</v>
      </c>
      <c r="Z112" s="8">
        <v>1.4313364440392899</v>
      </c>
      <c r="AA112" s="8">
        <v>1.43131007018289</v>
      </c>
      <c r="AB112" s="6">
        <v>98.253132194665895</v>
      </c>
      <c r="AC112" s="6">
        <v>98.323603271455497</v>
      </c>
      <c r="AD112" s="6">
        <v>98.323326754813607</v>
      </c>
      <c r="AE112" s="7">
        <v>-1.0881039357717899E-3</v>
      </c>
      <c r="AF112" s="7">
        <v>-3.7112102686996201E-4</v>
      </c>
      <c r="AG112" s="7">
        <v>-3.7393334274824598E-4</v>
      </c>
      <c r="AZ112" s="23"/>
      <c r="BB112" s="12">
        <f t="shared" si="26"/>
        <v>0</v>
      </c>
      <c r="BC112" s="12">
        <f t="shared" si="27"/>
        <v>1</v>
      </c>
      <c r="BD112" s="12">
        <f t="shared" si="28"/>
        <v>0</v>
      </c>
      <c r="BE112" s="12">
        <f t="shared" si="24"/>
        <v>1</v>
      </c>
      <c r="BF112" s="12">
        <f t="shared" si="29"/>
        <v>0</v>
      </c>
      <c r="BG112" s="23">
        <f t="shared" si="30"/>
        <v>0</v>
      </c>
      <c r="BH112" s="23">
        <f t="shared" si="31"/>
        <v>0</v>
      </c>
      <c r="BI112" s="23">
        <f t="shared" si="32"/>
        <v>0</v>
      </c>
      <c r="BJ112" s="18">
        <f t="shared" si="33"/>
        <v>3.990656091472978E-3</v>
      </c>
      <c r="BL112" s="23"/>
      <c r="BN112" s="12">
        <f t="shared" si="34"/>
        <v>0</v>
      </c>
      <c r="BO112" s="12">
        <f t="shared" si="35"/>
        <v>1</v>
      </c>
      <c r="BP112" s="12">
        <f t="shared" si="36"/>
        <v>0</v>
      </c>
      <c r="BQ112" s="12">
        <f t="shared" si="25"/>
        <v>1</v>
      </c>
      <c r="BR112" s="12">
        <f t="shared" si="37"/>
        <v>0</v>
      </c>
      <c r="BS112" s="23">
        <f t="shared" si="38"/>
        <v>0</v>
      </c>
      <c r="BT112" s="23">
        <f t="shared" si="39"/>
        <v>0</v>
      </c>
      <c r="BU112" s="23">
        <f t="shared" si="40"/>
        <v>0</v>
      </c>
      <c r="BV112" s="18">
        <f t="shared" si="41"/>
        <v>7.8853492280009374E-3</v>
      </c>
      <c r="BX112" s="18">
        <f t="shared" si="42"/>
        <v>0</v>
      </c>
      <c r="BY112" s="18">
        <f t="shared" si="43"/>
        <v>1.1876005319473915E-2</v>
      </c>
    </row>
    <row r="113" spans="1:77" x14ac:dyDescent="0.3">
      <c r="A113" s="1">
        <v>46185</v>
      </c>
      <c r="B113" s="6">
        <v>67.180000000000007</v>
      </c>
      <c r="C113" s="6">
        <v>96.36</v>
      </c>
      <c r="D113" s="7">
        <v>1.6387340725009701E-3</v>
      </c>
      <c r="E113" s="7">
        <v>9.3443395679540899E-4</v>
      </c>
      <c r="F113" s="6">
        <v>0</v>
      </c>
      <c r="G113" s="6">
        <v>1.6249</v>
      </c>
      <c r="H113" s="6">
        <v>0</v>
      </c>
      <c r="I113" s="6">
        <v>2.0901000000000001</v>
      </c>
      <c r="J113" s="6">
        <v>1.6249</v>
      </c>
      <c r="K113" s="6">
        <v>2.0901000000000001</v>
      </c>
      <c r="L113" s="6">
        <v>68.804900000000004</v>
      </c>
      <c r="M113" s="6">
        <v>98.450100000000006</v>
      </c>
      <c r="N113" s="8">
        <v>1.4343554629353901</v>
      </c>
      <c r="O113" s="8">
        <v>1.43297833357297</v>
      </c>
      <c r="P113" s="8">
        <v>1.4348355161573501</v>
      </c>
      <c r="Q113" s="8">
        <v>1.43444088727539</v>
      </c>
      <c r="R113" s="6">
        <v>96.267484449432104</v>
      </c>
      <c r="S113" s="6">
        <v>96.389212652030807</v>
      </c>
      <c r="T113" s="6">
        <v>96.365616903543199</v>
      </c>
      <c r="U113" s="7">
        <v>-9.6056445886560102E-4</v>
      </c>
      <c r="V113" s="7">
        <v>3.0311565845198999E-4</v>
      </c>
      <c r="W113" s="7">
        <v>5.8289122484780203E-5</v>
      </c>
      <c r="X113" s="8">
        <v>1.4308588487157099</v>
      </c>
      <c r="Y113" s="8">
        <v>1.4302827749172899</v>
      </c>
      <c r="Z113" s="8">
        <v>1.43130852413812</v>
      </c>
      <c r="AA113" s="8">
        <v>1.4312770216887001</v>
      </c>
      <c r="AB113" s="6">
        <v>98.410463299906894</v>
      </c>
      <c r="AC113" s="6">
        <v>98.482960898479305</v>
      </c>
      <c r="AD113" s="6">
        <v>98.481146247926802</v>
      </c>
      <c r="AE113" s="7">
        <v>-4.02688074892163E-4</v>
      </c>
      <c r="AF113" s="7">
        <v>3.3372658338220101E-4</v>
      </c>
      <c r="AG113" s="7">
        <v>3.1530037792977501E-4</v>
      </c>
      <c r="AZ113" s="23"/>
      <c r="BB113" s="12">
        <f t="shared" si="26"/>
        <v>0</v>
      </c>
      <c r="BC113" s="12">
        <f t="shared" si="27"/>
        <v>1</v>
      </c>
      <c r="BD113" s="12">
        <f t="shared" si="28"/>
        <v>0</v>
      </c>
      <c r="BE113" s="12">
        <f t="shared" si="24"/>
        <v>1</v>
      </c>
      <c r="BF113" s="12">
        <f t="shared" si="29"/>
        <v>0</v>
      </c>
      <c r="BG113" s="23">
        <f t="shared" si="30"/>
        <v>0</v>
      </c>
      <c r="BH113" s="23">
        <f t="shared" si="31"/>
        <v>0</v>
      </c>
      <c r="BI113" s="23">
        <f t="shared" si="32"/>
        <v>0</v>
      </c>
      <c r="BJ113" s="18">
        <f t="shared" si="33"/>
        <v>3.990656091472978E-3</v>
      </c>
      <c r="BL113" s="23"/>
      <c r="BN113" s="12">
        <f t="shared" si="34"/>
        <v>0</v>
      </c>
      <c r="BO113" s="12">
        <f t="shared" si="35"/>
        <v>0</v>
      </c>
      <c r="BP113" s="12">
        <f t="shared" si="36"/>
        <v>0</v>
      </c>
      <c r="BQ113" s="12">
        <f t="shared" si="25"/>
        <v>1</v>
      </c>
      <c r="BR113" s="12">
        <f t="shared" si="37"/>
        <v>0</v>
      </c>
      <c r="BS113" s="23">
        <f t="shared" si="38"/>
        <v>0</v>
      </c>
      <c r="BT113" s="23">
        <f t="shared" si="39"/>
        <v>0</v>
      </c>
      <c r="BU113" s="23">
        <f t="shared" si="40"/>
        <v>0</v>
      </c>
      <c r="BV113" s="18">
        <f t="shared" si="41"/>
        <v>7.8853492280009374E-3</v>
      </c>
      <c r="BX113" s="18">
        <f t="shared" si="42"/>
        <v>0</v>
      </c>
      <c r="BY113" s="18">
        <f t="shared" si="43"/>
        <v>1.1876005319473915E-2</v>
      </c>
    </row>
    <row r="114" spans="1:77" x14ac:dyDescent="0.3">
      <c r="A114" s="1">
        <v>46188</v>
      </c>
      <c r="B114" s="6">
        <v>67.37</v>
      </c>
      <c r="C114" s="6">
        <v>96.71</v>
      </c>
      <c r="D114" s="7">
        <v>2.82423078842168E-3</v>
      </c>
      <c r="E114" s="7">
        <v>3.6256319822012698E-3</v>
      </c>
      <c r="F114" s="6">
        <v>0</v>
      </c>
      <c r="G114" s="6">
        <v>1.6249</v>
      </c>
      <c r="H114" s="6">
        <v>0</v>
      </c>
      <c r="I114" s="6">
        <v>2.0901000000000001</v>
      </c>
      <c r="J114" s="6">
        <v>1.6249</v>
      </c>
      <c r="K114" s="6">
        <v>2.0901000000000001</v>
      </c>
      <c r="L114" s="6">
        <v>68.994900000000001</v>
      </c>
      <c r="M114" s="6">
        <v>98.8001</v>
      </c>
      <c r="N114" s="8">
        <v>1.4355054178417599</v>
      </c>
      <c r="O114" s="8">
        <v>1.43297833357297</v>
      </c>
      <c r="P114" s="8">
        <v>1.4348089680656499</v>
      </c>
      <c r="Q114" s="8">
        <v>1.4346180329784901</v>
      </c>
      <c r="R114" s="6">
        <v>96.539750332810996</v>
      </c>
      <c r="S114" s="6">
        <v>96.664868723520797</v>
      </c>
      <c r="T114" s="6">
        <v>96.638282575743602</v>
      </c>
      <c r="U114" s="7">
        <v>-1.7619656526449701E-3</v>
      </c>
      <c r="V114" s="7">
        <v>-4.6677500128602598E-4</v>
      </c>
      <c r="W114" s="7">
        <v>-7.4184706054800998E-4</v>
      </c>
      <c r="X114" s="8">
        <v>1.4319913500852901</v>
      </c>
      <c r="Y114" s="8">
        <v>1.4302827749172899</v>
      </c>
      <c r="Z114" s="8">
        <v>1.431285171049</v>
      </c>
      <c r="AA114" s="8">
        <v>1.4314171253255801</v>
      </c>
      <c r="AB114" s="6">
        <v>98.682217027141107</v>
      </c>
      <c r="AC114" s="6">
        <v>98.752988492057597</v>
      </c>
      <c r="AD114" s="6">
        <v>98.750814983710001</v>
      </c>
      <c r="AE114" s="7">
        <v>-1.19385865666287E-3</v>
      </c>
      <c r="AF114" s="7">
        <v>-4.76950365039077E-4</v>
      </c>
      <c r="AG114" s="7">
        <v>-4.9896015228782396E-4</v>
      </c>
      <c r="AZ114" s="23"/>
      <c r="BB114" s="12">
        <f t="shared" si="26"/>
        <v>0</v>
      </c>
      <c r="BC114" s="12">
        <f t="shared" si="27"/>
        <v>1</v>
      </c>
      <c r="BD114" s="12">
        <f t="shared" si="28"/>
        <v>0</v>
      </c>
      <c r="BE114" s="12">
        <f t="shared" si="24"/>
        <v>1</v>
      </c>
      <c r="BF114" s="12">
        <f t="shared" si="29"/>
        <v>0</v>
      </c>
      <c r="BG114" s="23">
        <f t="shared" si="30"/>
        <v>0</v>
      </c>
      <c r="BH114" s="23">
        <f t="shared" si="31"/>
        <v>0</v>
      </c>
      <c r="BI114" s="23">
        <f t="shared" si="32"/>
        <v>0</v>
      </c>
      <c r="BJ114" s="18">
        <f t="shared" si="33"/>
        <v>3.990656091472978E-3</v>
      </c>
      <c r="BL114" s="23"/>
      <c r="BN114" s="12">
        <f t="shared" si="34"/>
        <v>0</v>
      </c>
      <c r="BO114" s="12">
        <f t="shared" si="35"/>
        <v>1</v>
      </c>
      <c r="BP114" s="12">
        <f t="shared" si="36"/>
        <v>0</v>
      </c>
      <c r="BQ114" s="12">
        <f t="shared" si="25"/>
        <v>1</v>
      </c>
      <c r="BR114" s="12">
        <f t="shared" si="37"/>
        <v>0</v>
      </c>
      <c r="BS114" s="23">
        <f t="shared" si="38"/>
        <v>0</v>
      </c>
      <c r="BT114" s="23">
        <f t="shared" si="39"/>
        <v>0</v>
      </c>
      <c r="BU114" s="23">
        <f t="shared" si="40"/>
        <v>0</v>
      </c>
      <c r="BV114" s="18">
        <f t="shared" si="41"/>
        <v>7.8853492280009374E-3</v>
      </c>
      <c r="BX114" s="18">
        <f t="shared" si="42"/>
        <v>0</v>
      </c>
      <c r="BY114" s="18">
        <f t="shared" si="43"/>
        <v>1.1876005319473915E-2</v>
      </c>
    </row>
    <row r="115" spans="1:77" x14ac:dyDescent="0.3">
      <c r="A115" s="1">
        <v>46189</v>
      </c>
      <c r="B115" s="6">
        <v>67.39</v>
      </c>
      <c r="C115" s="6">
        <v>96.67</v>
      </c>
      <c r="D115" s="7">
        <v>2.96823985557006E-4</v>
      </c>
      <c r="E115" s="7">
        <v>-4.1369325235774502E-4</v>
      </c>
      <c r="F115" s="6">
        <v>0</v>
      </c>
      <c r="G115" s="6">
        <v>1.6249</v>
      </c>
      <c r="H115" s="6">
        <v>0</v>
      </c>
      <c r="I115" s="6">
        <v>2.0901000000000001</v>
      </c>
      <c r="J115" s="6">
        <v>1.6249</v>
      </c>
      <c r="K115" s="6">
        <v>2.0901000000000001</v>
      </c>
      <c r="L115" s="6">
        <v>69.014899999999997</v>
      </c>
      <c r="M115" s="6">
        <v>98.760099999999994</v>
      </c>
      <c r="N115" s="8">
        <v>1.43448582875797</v>
      </c>
      <c r="O115" s="8">
        <v>1.43297833357297</v>
      </c>
      <c r="P115" s="8">
        <v>1.4346716320870301</v>
      </c>
      <c r="Q115" s="8">
        <v>1.43470392344728</v>
      </c>
      <c r="R115" s="6">
        <v>96.568409899482404</v>
      </c>
      <c r="S115" s="6">
        <v>96.691776357944207</v>
      </c>
      <c r="T115" s="6">
        <v>96.678909242420701</v>
      </c>
      <c r="U115" s="7">
        <v>-1.0514484147302399E-3</v>
      </c>
      <c r="V115" s="7">
        <v>2.2523953230527699E-4</v>
      </c>
      <c r="W115" s="7">
        <v>9.2157152186182796E-5</v>
      </c>
      <c r="X115" s="8">
        <v>1.43099678475227</v>
      </c>
      <c r="Y115" s="8">
        <v>1.4302827749172899</v>
      </c>
      <c r="Z115" s="8">
        <v>1.43115286345856</v>
      </c>
      <c r="AA115" s="8">
        <v>1.4314682118533</v>
      </c>
      <c r="AB115" s="6">
        <v>98.710822682639503</v>
      </c>
      <c r="AC115" s="6">
        <v>98.780002951429694</v>
      </c>
      <c r="AD115" s="6">
        <v>98.789109762632293</v>
      </c>
      <c r="AE115" s="7">
        <v>-4.990842977174E-4</v>
      </c>
      <c r="AF115" s="7">
        <v>2.01507959140909E-4</v>
      </c>
      <c r="AG115" s="7">
        <v>2.9369657186445198E-4</v>
      </c>
      <c r="AZ115" s="23"/>
      <c r="BB115" s="12">
        <f t="shared" si="26"/>
        <v>0</v>
      </c>
      <c r="BC115" s="12">
        <f t="shared" si="27"/>
        <v>1</v>
      </c>
      <c r="BD115" s="12">
        <f t="shared" si="28"/>
        <v>0</v>
      </c>
      <c r="BE115" s="12">
        <f t="shared" si="24"/>
        <v>1</v>
      </c>
      <c r="BF115" s="12">
        <f t="shared" si="29"/>
        <v>0</v>
      </c>
      <c r="BG115" s="23">
        <f t="shared" si="30"/>
        <v>0</v>
      </c>
      <c r="BH115" s="23">
        <f t="shared" si="31"/>
        <v>0</v>
      </c>
      <c r="BI115" s="23">
        <f t="shared" si="32"/>
        <v>0</v>
      </c>
      <c r="BJ115" s="18">
        <f t="shared" si="33"/>
        <v>3.990656091472978E-3</v>
      </c>
      <c r="BL115" s="23"/>
      <c r="BN115" s="12">
        <f t="shared" si="34"/>
        <v>0</v>
      </c>
      <c r="BO115" s="12">
        <f t="shared" si="35"/>
        <v>0</v>
      </c>
      <c r="BP115" s="12">
        <f t="shared" si="36"/>
        <v>0</v>
      </c>
      <c r="BQ115" s="12">
        <f t="shared" si="25"/>
        <v>1</v>
      </c>
      <c r="BR115" s="12">
        <f t="shared" si="37"/>
        <v>0</v>
      </c>
      <c r="BS115" s="23">
        <f t="shared" si="38"/>
        <v>0</v>
      </c>
      <c r="BT115" s="23">
        <f t="shared" si="39"/>
        <v>0</v>
      </c>
      <c r="BU115" s="23">
        <f t="shared" si="40"/>
        <v>0</v>
      </c>
      <c r="BV115" s="18">
        <f t="shared" si="41"/>
        <v>7.8853492280009374E-3</v>
      </c>
      <c r="BX115" s="18">
        <f t="shared" si="42"/>
        <v>0</v>
      </c>
      <c r="BY115" s="18">
        <f t="shared" si="43"/>
        <v>1.1876005319473915E-2</v>
      </c>
    </row>
    <row r="116" spans="1:77" x14ac:dyDescent="0.3">
      <c r="A116" s="1">
        <v>46190</v>
      </c>
      <c r="B116" s="6">
        <v>67.12</v>
      </c>
      <c r="C116" s="6">
        <v>96.28</v>
      </c>
      <c r="D116" s="7">
        <v>-4.0145767991748797E-3</v>
      </c>
      <c r="E116" s="7">
        <v>-4.0425035616428696E-3</v>
      </c>
      <c r="F116" s="6">
        <v>0</v>
      </c>
      <c r="G116" s="6">
        <v>1.6249</v>
      </c>
      <c r="H116" s="6">
        <v>0</v>
      </c>
      <c r="I116" s="6">
        <v>2.0901000000000001</v>
      </c>
      <c r="J116" s="6">
        <v>1.6249</v>
      </c>
      <c r="K116" s="6">
        <v>2.0901000000000001</v>
      </c>
      <c r="L116" s="6">
        <v>68.744900000000001</v>
      </c>
      <c r="M116" s="6">
        <v>98.370099999999994</v>
      </c>
      <c r="N116" s="8">
        <v>1.43444576877234</v>
      </c>
      <c r="O116" s="8">
        <v>1.43297833357297</v>
      </c>
      <c r="P116" s="8">
        <v>1.43461778011494</v>
      </c>
      <c r="Q116" s="8">
        <v>1.4347532080836101</v>
      </c>
      <c r="R116" s="6">
        <v>96.181505749417695</v>
      </c>
      <c r="S116" s="6">
        <v>96.295159945681704</v>
      </c>
      <c r="T116" s="6">
        <v>96.297327341781696</v>
      </c>
      <c r="U116" s="7">
        <v>-1.0235216522621301E-3</v>
      </c>
      <c r="V116" s="7">
        <v>1.5744445667124099E-4</v>
      </c>
      <c r="W116" s="7">
        <v>1.7995204386349599E-4</v>
      </c>
      <c r="X116" s="8">
        <v>1.4309439682070899</v>
      </c>
      <c r="Y116" s="8">
        <v>1.4302827749172899</v>
      </c>
      <c r="Z116" s="8">
        <v>1.43110177325059</v>
      </c>
      <c r="AA116" s="8">
        <v>1.43148333259723</v>
      </c>
      <c r="AB116" s="6">
        <v>98.324646333411806</v>
      </c>
      <c r="AC116" s="6">
        <v>98.384460483172901</v>
      </c>
      <c r="AD116" s="6">
        <v>98.406139077034396</v>
      </c>
      <c r="AE116" s="7">
        <v>-4.6217469703221698E-4</v>
      </c>
      <c r="AF116" s="7">
        <v>1.45973574012264E-4</v>
      </c>
      <c r="AG116" s="7">
        <v>3.6629501210545497E-4</v>
      </c>
      <c r="AZ116" s="23"/>
      <c r="BB116" s="12">
        <f t="shared" si="26"/>
        <v>0</v>
      </c>
      <c r="BC116" s="12">
        <f t="shared" si="27"/>
        <v>1</v>
      </c>
      <c r="BD116" s="12">
        <f t="shared" si="28"/>
        <v>0</v>
      </c>
      <c r="BE116" s="12">
        <f t="shared" si="24"/>
        <v>1</v>
      </c>
      <c r="BF116" s="12">
        <f t="shared" si="29"/>
        <v>0</v>
      </c>
      <c r="BG116" s="23">
        <f t="shared" si="30"/>
        <v>0</v>
      </c>
      <c r="BH116" s="23">
        <f t="shared" si="31"/>
        <v>0</v>
      </c>
      <c r="BI116" s="23">
        <f t="shared" si="32"/>
        <v>0</v>
      </c>
      <c r="BJ116" s="18">
        <f t="shared" si="33"/>
        <v>3.990656091472978E-3</v>
      </c>
      <c r="BL116" s="23"/>
      <c r="BN116" s="12">
        <f t="shared" si="34"/>
        <v>0</v>
      </c>
      <c r="BO116" s="12">
        <f t="shared" si="35"/>
        <v>0</v>
      </c>
      <c r="BP116" s="12">
        <f t="shared" si="36"/>
        <v>0</v>
      </c>
      <c r="BQ116" s="12">
        <f t="shared" si="25"/>
        <v>1</v>
      </c>
      <c r="BR116" s="12">
        <f t="shared" si="37"/>
        <v>0</v>
      </c>
      <c r="BS116" s="23">
        <f t="shared" si="38"/>
        <v>0</v>
      </c>
      <c r="BT116" s="23">
        <f t="shared" si="39"/>
        <v>0</v>
      </c>
      <c r="BU116" s="23">
        <f t="shared" si="40"/>
        <v>0</v>
      </c>
      <c r="BV116" s="18">
        <f t="shared" si="41"/>
        <v>7.8853492280009374E-3</v>
      </c>
      <c r="BX116" s="18">
        <f t="shared" si="42"/>
        <v>0</v>
      </c>
      <c r="BY116" s="18">
        <f t="shared" si="43"/>
        <v>1.1876005319473915E-2</v>
      </c>
    </row>
    <row r="117" spans="1:77" x14ac:dyDescent="0.3">
      <c r="A117" s="1">
        <v>46191</v>
      </c>
      <c r="B117" s="6">
        <v>67.44</v>
      </c>
      <c r="C117" s="6">
        <v>96.73</v>
      </c>
      <c r="D117" s="7">
        <v>4.7562515346492697E-3</v>
      </c>
      <c r="E117" s="7">
        <v>4.6629792795844002E-3</v>
      </c>
      <c r="F117" s="6">
        <v>0</v>
      </c>
      <c r="G117" s="6">
        <v>1.6249</v>
      </c>
      <c r="H117" s="6">
        <v>0</v>
      </c>
      <c r="I117" s="6">
        <v>2.0901000000000001</v>
      </c>
      <c r="J117" s="6">
        <v>1.6249</v>
      </c>
      <c r="K117" s="6">
        <v>2.0901000000000001</v>
      </c>
      <c r="L117" s="6">
        <v>69.064899999999994</v>
      </c>
      <c r="M117" s="6">
        <v>98.820099999999996</v>
      </c>
      <c r="N117" s="8">
        <v>1.4343119810201601</v>
      </c>
      <c r="O117" s="8">
        <v>1.43297833357297</v>
      </c>
      <c r="P117" s="8">
        <v>1.43459473131444</v>
      </c>
      <c r="Q117" s="8">
        <v>1.43475529852175</v>
      </c>
      <c r="R117" s="6">
        <v>96.640058816161101</v>
      </c>
      <c r="S117" s="6">
        <v>96.750623090952104</v>
      </c>
      <c r="T117" s="6">
        <v>96.759756353159304</v>
      </c>
      <c r="U117" s="7">
        <v>-9.3024939719741598E-4</v>
      </c>
      <c r="V117" s="7">
        <v>2.13179911257289E-4</v>
      </c>
      <c r="W117" s="7">
        <v>3.07575490865631E-4</v>
      </c>
      <c r="X117" s="8">
        <v>1.4308295530725399</v>
      </c>
      <c r="Y117" s="8">
        <v>1.4302827749172899</v>
      </c>
      <c r="Z117" s="8">
        <v>1.4310815541744399</v>
      </c>
      <c r="AA117" s="8">
        <v>1.4314521136915701</v>
      </c>
      <c r="AB117" s="6">
        <v>98.7823368213853</v>
      </c>
      <c r="AC117" s="6">
        <v>98.838900859374803</v>
      </c>
      <c r="AD117" s="6">
        <v>98.865253217494697</v>
      </c>
      <c r="AE117" s="7">
        <v>-3.8221369818923902E-4</v>
      </c>
      <c r="AF117" s="7">
        <v>1.90235297657241E-4</v>
      </c>
      <c r="AG117" s="7">
        <v>4.56819056597309E-4</v>
      </c>
      <c r="AZ117" s="23"/>
      <c r="BB117" s="12">
        <f t="shared" si="26"/>
        <v>0</v>
      </c>
      <c r="BC117" s="12">
        <f t="shared" si="27"/>
        <v>1</v>
      </c>
      <c r="BD117" s="12">
        <f t="shared" si="28"/>
        <v>0</v>
      </c>
      <c r="BE117" s="12">
        <f t="shared" si="24"/>
        <v>1</v>
      </c>
      <c r="BF117" s="12">
        <f t="shared" si="29"/>
        <v>0</v>
      </c>
      <c r="BG117" s="23">
        <f t="shared" si="30"/>
        <v>0</v>
      </c>
      <c r="BH117" s="23">
        <f t="shared" si="31"/>
        <v>0</v>
      </c>
      <c r="BI117" s="23">
        <f t="shared" si="32"/>
        <v>0</v>
      </c>
      <c r="BJ117" s="18">
        <f t="shared" si="33"/>
        <v>3.990656091472978E-3</v>
      </c>
      <c r="BL117" s="23"/>
      <c r="BN117" s="12">
        <f t="shared" si="34"/>
        <v>0</v>
      </c>
      <c r="BO117" s="12">
        <f t="shared" si="35"/>
        <v>0</v>
      </c>
      <c r="BP117" s="12">
        <f t="shared" si="36"/>
        <v>0</v>
      </c>
      <c r="BQ117" s="12">
        <f t="shared" si="25"/>
        <v>1</v>
      </c>
      <c r="BR117" s="12">
        <f t="shared" si="37"/>
        <v>0</v>
      </c>
      <c r="BS117" s="23">
        <f t="shared" si="38"/>
        <v>0</v>
      </c>
      <c r="BT117" s="23">
        <f t="shared" si="39"/>
        <v>0</v>
      </c>
      <c r="BU117" s="23">
        <f t="shared" si="40"/>
        <v>0</v>
      </c>
      <c r="BV117" s="18">
        <f t="shared" si="41"/>
        <v>7.8853492280009374E-3</v>
      </c>
      <c r="BX117" s="18">
        <f t="shared" si="42"/>
        <v>0</v>
      </c>
      <c r="BY117" s="18">
        <f t="shared" si="43"/>
        <v>1.1876005319473915E-2</v>
      </c>
    </row>
    <row r="118" spans="1:77" x14ac:dyDescent="0.3">
      <c r="A118" s="1">
        <v>46195</v>
      </c>
      <c r="B118" s="6">
        <v>67.19</v>
      </c>
      <c r="C118" s="6">
        <v>96.4</v>
      </c>
      <c r="D118" s="7">
        <v>-3.7138867615413899E-3</v>
      </c>
      <c r="E118" s="7">
        <v>-3.4173905779556601E-3</v>
      </c>
      <c r="F118" s="6">
        <v>0</v>
      </c>
      <c r="G118" s="6">
        <v>1.6249</v>
      </c>
      <c r="H118" s="6">
        <v>0</v>
      </c>
      <c r="I118" s="6">
        <v>2.0901000000000001</v>
      </c>
      <c r="J118" s="6">
        <v>1.6249</v>
      </c>
      <c r="K118" s="6">
        <v>2.0901000000000001</v>
      </c>
      <c r="L118" s="6">
        <v>68.814899999999994</v>
      </c>
      <c r="M118" s="6">
        <v>98.490099999999998</v>
      </c>
      <c r="N118" s="8">
        <v>1.43473731210001</v>
      </c>
      <c r="O118" s="8">
        <v>1.43297833357297</v>
      </c>
      <c r="P118" s="8">
        <v>1.4347391356013599</v>
      </c>
      <c r="Q118" s="8">
        <v>1.43476911972929</v>
      </c>
      <c r="R118" s="6">
        <v>96.2818142327678</v>
      </c>
      <c r="S118" s="6">
        <v>96.390419997017403</v>
      </c>
      <c r="T118" s="6">
        <v>96.4012085076766</v>
      </c>
      <c r="U118" s="7">
        <v>-1.2267455807831501E-3</v>
      </c>
      <c r="V118" s="7">
        <v>-9.9382562583956707E-5</v>
      </c>
      <c r="W118" s="7">
        <v>1.25363081073508E-5</v>
      </c>
      <c r="X118" s="8">
        <v>1.4312321895403399</v>
      </c>
      <c r="Y118" s="8">
        <v>1.4302827749172899</v>
      </c>
      <c r="Z118" s="8">
        <v>1.4312257557800501</v>
      </c>
      <c r="AA118" s="8">
        <v>1.4314315918414</v>
      </c>
      <c r="AB118" s="6">
        <v>98.424766127656</v>
      </c>
      <c r="AC118" s="6">
        <v>98.4797340423587</v>
      </c>
      <c r="AD118" s="6">
        <v>98.505234058474301</v>
      </c>
      <c r="AE118" s="7">
        <v>-6.6357483338986504E-4</v>
      </c>
      <c r="AF118" s="7">
        <v>-1.0525426597698E-4</v>
      </c>
      <c r="AG118" s="7">
        <v>1.5364890317303901E-4</v>
      </c>
      <c r="AZ118" s="23"/>
      <c r="BB118" s="12">
        <f t="shared" si="26"/>
        <v>0</v>
      </c>
      <c r="BC118" s="12">
        <f t="shared" si="27"/>
        <v>1</v>
      </c>
      <c r="BD118" s="12">
        <f t="shared" si="28"/>
        <v>0</v>
      </c>
      <c r="BE118" s="12">
        <f t="shared" si="24"/>
        <v>1</v>
      </c>
      <c r="BF118" s="12">
        <f t="shared" si="29"/>
        <v>0</v>
      </c>
      <c r="BG118" s="23">
        <f t="shared" si="30"/>
        <v>0</v>
      </c>
      <c r="BH118" s="23">
        <f t="shared" si="31"/>
        <v>0</v>
      </c>
      <c r="BI118" s="23">
        <f t="shared" si="32"/>
        <v>0</v>
      </c>
      <c r="BJ118" s="18">
        <f t="shared" si="33"/>
        <v>3.990656091472978E-3</v>
      </c>
      <c r="BL118" s="23"/>
      <c r="BN118" s="12">
        <f t="shared" si="34"/>
        <v>0</v>
      </c>
      <c r="BO118" s="12">
        <f t="shared" si="35"/>
        <v>0</v>
      </c>
      <c r="BP118" s="12">
        <f t="shared" si="36"/>
        <v>0</v>
      </c>
      <c r="BQ118" s="12">
        <f t="shared" si="25"/>
        <v>1</v>
      </c>
      <c r="BR118" s="12">
        <f t="shared" si="37"/>
        <v>0</v>
      </c>
      <c r="BS118" s="23">
        <f t="shared" si="38"/>
        <v>0</v>
      </c>
      <c r="BT118" s="23">
        <f t="shared" si="39"/>
        <v>0</v>
      </c>
      <c r="BU118" s="23">
        <f t="shared" si="40"/>
        <v>0</v>
      </c>
      <c r="BV118" s="18">
        <f t="shared" si="41"/>
        <v>7.8853492280009374E-3</v>
      </c>
      <c r="BX118" s="18">
        <f t="shared" si="42"/>
        <v>0</v>
      </c>
      <c r="BY118" s="18">
        <f t="shared" si="43"/>
        <v>1.1876005319473915E-2</v>
      </c>
    </row>
    <row r="119" spans="1:77" x14ac:dyDescent="0.3">
      <c r="A119" s="1">
        <v>46196</v>
      </c>
      <c r="B119" s="6">
        <v>67.08</v>
      </c>
      <c r="C119" s="6">
        <v>96.26</v>
      </c>
      <c r="D119" s="7">
        <v>-1.6384899770504899E-3</v>
      </c>
      <c r="E119" s="7">
        <v>-1.45333774153661E-3</v>
      </c>
      <c r="F119" s="6">
        <v>0</v>
      </c>
      <c r="G119" s="6">
        <v>1.6249</v>
      </c>
      <c r="H119" s="6">
        <v>0</v>
      </c>
      <c r="I119" s="6">
        <v>2.0901000000000001</v>
      </c>
      <c r="J119" s="6">
        <v>1.6249</v>
      </c>
      <c r="K119" s="6">
        <v>2.0901000000000001</v>
      </c>
      <c r="L119" s="6">
        <v>68.704899999999995</v>
      </c>
      <c r="M119" s="6">
        <v>98.350099999999998</v>
      </c>
      <c r="N119" s="8">
        <v>1.4350029815145999</v>
      </c>
      <c r="O119" s="8">
        <v>1.43297833357297</v>
      </c>
      <c r="P119" s="8">
        <v>1.4348318479611299</v>
      </c>
      <c r="Q119" s="8">
        <v>1.43475784518867</v>
      </c>
      <c r="R119" s="6">
        <v>96.124186616074795</v>
      </c>
      <c r="S119" s="6">
        <v>96.242301216139694</v>
      </c>
      <c r="T119" s="6">
        <v>96.244312551440899</v>
      </c>
      <c r="U119" s="7">
        <v>-1.4118978162970201E-3</v>
      </c>
      <c r="V119" s="7">
        <v>-1.8388127101151799E-4</v>
      </c>
      <c r="W119" s="7">
        <v>-1.6298282761470899E-4</v>
      </c>
      <c r="X119" s="8">
        <v>1.43148596388321</v>
      </c>
      <c r="Y119" s="8">
        <v>1.4302827749172899</v>
      </c>
      <c r="Z119" s="8">
        <v>1.4313195618138801</v>
      </c>
      <c r="AA119" s="8">
        <v>1.4313859332206</v>
      </c>
      <c r="AB119" s="6">
        <v>98.2674350224151</v>
      </c>
      <c r="AC119" s="6">
        <v>98.332222428293306</v>
      </c>
      <c r="AD119" s="6">
        <v>98.346364374304201</v>
      </c>
      <c r="AE119" s="7">
        <v>-8.4087090651607202E-4</v>
      </c>
      <c r="AF119" s="7">
        <v>-1.81791342863309E-4</v>
      </c>
      <c r="AG119" s="7">
        <v>-3.7983658812761403E-5</v>
      </c>
      <c r="AZ119" s="23"/>
      <c r="BB119" s="12">
        <f t="shared" si="26"/>
        <v>0</v>
      </c>
      <c r="BC119" s="12">
        <f t="shared" si="27"/>
        <v>1</v>
      </c>
      <c r="BD119" s="12">
        <f t="shared" si="28"/>
        <v>0</v>
      </c>
      <c r="BE119" s="12">
        <f t="shared" si="24"/>
        <v>1</v>
      </c>
      <c r="BF119" s="12">
        <f t="shared" si="29"/>
        <v>0</v>
      </c>
      <c r="BG119" s="23">
        <f t="shared" si="30"/>
        <v>0</v>
      </c>
      <c r="BH119" s="23">
        <f t="shared" si="31"/>
        <v>0</v>
      </c>
      <c r="BI119" s="23">
        <f t="shared" si="32"/>
        <v>0</v>
      </c>
      <c r="BJ119" s="18">
        <f t="shared" si="33"/>
        <v>3.990656091472978E-3</v>
      </c>
      <c r="BL119" s="23"/>
      <c r="BN119" s="12">
        <f t="shared" si="34"/>
        <v>0</v>
      </c>
      <c r="BO119" s="12">
        <f t="shared" si="35"/>
        <v>1</v>
      </c>
      <c r="BP119" s="12">
        <f t="shared" si="36"/>
        <v>0</v>
      </c>
      <c r="BQ119" s="12">
        <f t="shared" si="25"/>
        <v>1</v>
      </c>
      <c r="BR119" s="12">
        <f t="shared" si="37"/>
        <v>0</v>
      </c>
      <c r="BS119" s="23">
        <f t="shared" si="38"/>
        <v>0</v>
      </c>
      <c r="BT119" s="23">
        <f t="shared" si="39"/>
        <v>0</v>
      </c>
      <c r="BU119" s="23">
        <f t="shared" si="40"/>
        <v>0</v>
      </c>
      <c r="BV119" s="18">
        <f t="shared" si="41"/>
        <v>7.8853492280009374E-3</v>
      </c>
      <c r="BX119" s="18">
        <f t="shared" si="42"/>
        <v>0</v>
      </c>
      <c r="BY119" s="18">
        <f t="shared" si="43"/>
        <v>1.1876005319473915E-2</v>
      </c>
    </row>
    <row r="120" spans="1:77" x14ac:dyDescent="0.3">
      <c r="A120" s="1">
        <v>46197</v>
      </c>
      <c r="B120" s="6">
        <v>67.290000000000006</v>
      </c>
      <c r="C120" s="6">
        <v>96.57</v>
      </c>
      <c r="D120" s="7">
        <v>3.1257002452186899E-3</v>
      </c>
      <c r="E120" s="7">
        <v>3.2152701038630199E-3</v>
      </c>
      <c r="F120" s="6">
        <v>0</v>
      </c>
      <c r="G120" s="6">
        <v>1.6249</v>
      </c>
      <c r="H120" s="6">
        <v>0</v>
      </c>
      <c r="I120" s="6">
        <v>2.0901000000000001</v>
      </c>
      <c r="J120" s="6">
        <v>1.6249</v>
      </c>
      <c r="K120" s="6">
        <v>2.0901000000000001</v>
      </c>
      <c r="L120" s="6">
        <v>68.914900000000003</v>
      </c>
      <c r="M120" s="6">
        <v>98.6601</v>
      </c>
      <c r="N120" s="8">
        <v>1.4351315202853301</v>
      </c>
      <c r="O120" s="8">
        <v>1.43297833357297</v>
      </c>
      <c r="P120" s="8">
        <v>1.43484717488092</v>
      </c>
      <c r="Q120" s="8">
        <v>1.43475571772154</v>
      </c>
      <c r="R120" s="6">
        <v>96.425112066125095</v>
      </c>
      <c r="S120" s="6">
        <v>96.549835049304903</v>
      </c>
      <c r="T120" s="6">
        <v>96.544855402745895</v>
      </c>
      <c r="U120" s="7">
        <v>-1.5014676749413201E-3</v>
      </c>
      <c r="V120" s="7">
        <v>-2.0883355418383501E-4</v>
      </c>
      <c r="W120" s="7">
        <v>-2.6041080416848802E-4</v>
      </c>
      <c r="X120" s="8">
        <v>1.4316221891056899</v>
      </c>
      <c r="Y120" s="8">
        <v>1.4302827749172899</v>
      </c>
      <c r="Z120" s="8">
        <v>1.4313377099373199</v>
      </c>
      <c r="AA120" s="8">
        <v>1.43134906663609</v>
      </c>
      <c r="AB120" s="6">
        <v>98.567794405147794</v>
      </c>
      <c r="AC120" s="6">
        <v>98.639244470447395</v>
      </c>
      <c r="AD120" s="6">
        <v>98.643818449304703</v>
      </c>
      <c r="AE120" s="7">
        <v>-9.3602988431300597E-4</v>
      </c>
      <c r="AF120" s="7">
        <v>-2.1141002456147E-4</v>
      </c>
      <c r="AG120" s="7">
        <v>-1.6504031810595901E-4</v>
      </c>
      <c r="AZ120" s="23"/>
      <c r="BB120" s="12">
        <f t="shared" si="26"/>
        <v>0</v>
      </c>
      <c r="BC120" s="12">
        <f t="shared" si="27"/>
        <v>1</v>
      </c>
      <c r="BD120" s="12">
        <f t="shared" si="28"/>
        <v>0</v>
      </c>
      <c r="BE120" s="12">
        <f t="shared" si="24"/>
        <v>1</v>
      </c>
      <c r="BF120" s="12">
        <f t="shared" si="29"/>
        <v>0</v>
      </c>
      <c r="BG120" s="23">
        <f t="shared" si="30"/>
        <v>0</v>
      </c>
      <c r="BH120" s="23">
        <f t="shared" si="31"/>
        <v>0</v>
      </c>
      <c r="BI120" s="23">
        <f t="shared" si="32"/>
        <v>0</v>
      </c>
      <c r="BJ120" s="18">
        <f t="shared" si="33"/>
        <v>3.990656091472978E-3</v>
      </c>
      <c r="BL120" s="23"/>
      <c r="BN120" s="12">
        <f t="shared" si="34"/>
        <v>0</v>
      </c>
      <c r="BO120" s="12">
        <f t="shared" si="35"/>
        <v>1</v>
      </c>
      <c r="BP120" s="12">
        <f t="shared" si="36"/>
        <v>0</v>
      </c>
      <c r="BQ120" s="12">
        <f t="shared" si="25"/>
        <v>1</v>
      </c>
      <c r="BR120" s="12">
        <f t="shared" si="37"/>
        <v>0</v>
      </c>
      <c r="BS120" s="23">
        <f t="shared" si="38"/>
        <v>0</v>
      </c>
      <c r="BT120" s="23">
        <f t="shared" si="39"/>
        <v>0</v>
      </c>
      <c r="BU120" s="23">
        <f t="shared" si="40"/>
        <v>0</v>
      </c>
      <c r="BV120" s="18">
        <f t="shared" si="41"/>
        <v>7.8853492280009374E-3</v>
      </c>
      <c r="BX120" s="18">
        <f t="shared" si="42"/>
        <v>0</v>
      </c>
      <c r="BY120" s="18">
        <f t="shared" si="43"/>
        <v>1.1876005319473915E-2</v>
      </c>
    </row>
    <row r="121" spans="1:77" x14ac:dyDescent="0.3">
      <c r="A121" s="1">
        <v>46198</v>
      </c>
      <c r="B121" s="6">
        <v>67.290000000000006</v>
      </c>
      <c r="C121" s="6">
        <v>96.56</v>
      </c>
      <c r="D121" s="7">
        <v>0</v>
      </c>
      <c r="E121" s="7">
        <v>-1.03557189550284E-4</v>
      </c>
      <c r="F121" s="6">
        <v>0</v>
      </c>
      <c r="G121" s="6">
        <v>1.6249</v>
      </c>
      <c r="H121" s="6">
        <v>0</v>
      </c>
      <c r="I121" s="6">
        <v>2.0901000000000001</v>
      </c>
      <c r="J121" s="6">
        <v>1.6249</v>
      </c>
      <c r="K121" s="6">
        <v>2.0901000000000001</v>
      </c>
      <c r="L121" s="6">
        <v>68.914900000000003</v>
      </c>
      <c r="M121" s="6">
        <v>98.650099999999995</v>
      </c>
      <c r="N121" s="8">
        <v>1.4349829097934299</v>
      </c>
      <c r="O121" s="8">
        <v>1.43297833357297</v>
      </c>
      <c r="P121" s="8">
        <v>1.4348325218506299</v>
      </c>
      <c r="Q121" s="8">
        <v>1.43476020780682</v>
      </c>
      <c r="R121" s="6">
        <v>96.425112066125095</v>
      </c>
      <c r="S121" s="6">
        <v>96.550866397737394</v>
      </c>
      <c r="T121" s="6">
        <v>96.544712245482998</v>
      </c>
      <c r="U121" s="7">
        <v>-1.39791048539101E-3</v>
      </c>
      <c r="V121" s="7">
        <v>-9.4594389634400505E-5</v>
      </c>
      <c r="W121" s="7">
        <v>-1.5833642142802699E-4</v>
      </c>
      <c r="X121" s="8">
        <v>1.43147708260477</v>
      </c>
      <c r="Y121" s="8">
        <v>1.4302827749172899</v>
      </c>
      <c r="Z121" s="8">
        <v>1.4313277848214101</v>
      </c>
      <c r="AA121" s="8">
        <v>1.43131820787994</v>
      </c>
      <c r="AB121" s="6">
        <v>98.567794405147794</v>
      </c>
      <c r="AC121" s="6">
        <v>98.640495146559402</v>
      </c>
      <c r="AD121" s="6">
        <v>98.641277792319798</v>
      </c>
      <c r="AE121" s="7">
        <v>-8.3466665009032605E-4</v>
      </c>
      <c r="AF121" s="7">
        <v>-9.7367575388327294E-5</v>
      </c>
      <c r="AG121" s="7">
        <v>-8.94332817259031E-5</v>
      </c>
      <c r="AZ121" s="23"/>
      <c r="BB121" s="12">
        <f t="shared" si="26"/>
        <v>0</v>
      </c>
      <c r="BC121" s="12">
        <f t="shared" si="27"/>
        <v>1</v>
      </c>
      <c r="BD121" s="12">
        <f t="shared" si="28"/>
        <v>0</v>
      </c>
      <c r="BE121" s="12">
        <f t="shared" si="24"/>
        <v>1</v>
      </c>
      <c r="BF121" s="12">
        <f t="shared" si="29"/>
        <v>0</v>
      </c>
      <c r="BG121" s="23">
        <f t="shared" si="30"/>
        <v>0</v>
      </c>
      <c r="BH121" s="23">
        <f t="shared" si="31"/>
        <v>0</v>
      </c>
      <c r="BI121" s="23">
        <f t="shared" si="32"/>
        <v>0</v>
      </c>
      <c r="BJ121" s="18">
        <f t="shared" si="33"/>
        <v>3.990656091472978E-3</v>
      </c>
      <c r="BL121" s="23"/>
      <c r="BN121" s="12">
        <f t="shared" si="34"/>
        <v>0</v>
      </c>
      <c r="BO121" s="12">
        <f t="shared" si="35"/>
        <v>1</v>
      </c>
      <c r="BP121" s="12">
        <f t="shared" si="36"/>
        <v>0</v>
      </c>
      <c r="BQ121" s="12">
        <f t="shared" si="25"/>
        <v>1</v>
      </c>
      <c r="BR121" s="12">
        <f t="shared" si="37"/>
        <v>0</v>
      </c>
      <c r="BS121" s="23">
        <f t="shared" si="38"/>
        <v>0</v>
      </c>
      <c r="BT121" s="23">
        <f t="shared" si="39"/>
        <v>0</v>
      </c>
      <c r="BU121" s="23">
        <f t="shared" si="40"/>
        <v>0</v>
      </c>
      <c r="BV121" s="18">
        <f t="shared" si="41"/>
        <v>7.8853492280009374E-3</v>
      </c>
      <c r="BX121" s="18">
        <f t="shared" si="42"/>
        <v>0</v>
      </c>
      <c r="BY121" s="18">
        <f t="shared" si="43"/>
        <v>1.1876005319473915E-2</v>
      </c>
    </row>
    <row r="122" spans="1:77" x14ac:dyDescent="0.3">
      <c r="A122" s="1">
        <v>46199</v>
      </c>
      <c r="B122" s="6">
        <v>67.239999999999995</v>
      </c>
      <c r="C122" s="6">
        <v>96.54</v>
      </c>
      <c r="D122" s="7">
        <v>-7.4332865981193103E-4</v>
      </c>
      <c r="E122" s="7">
        <v>-2.0714655692913401E-4</v>
      </c>
      <c r="F122" s="6">
        <v>0</v>
      </c>
      <c r="G122" s="6">
        <v>1.6249</v>
      </c>
      <c r="H122" s="6">
        <v>0</v>
      </c>
      <c r="I122" s="6">
        <v>2.0901000000000001</v>
      </c>
      <c r="J122" s="6">
        <v>1.6249</v>
      </c>
      <c r="K122" s="6">
        <v>2.0901000000000001</v>
      </c>
      <c r="L122" s="6">
        <v>68.864899999999906</v>
      </c>
      <c r="M122" s="6">
        <v>98.630099999999999</v>
      </c>
      <c r="N122" s="8">
        <v>1.4357525282569901</v>
      </c>
      <c r="O122" s="8">
        <v>1.43297833357297</v>
      </c>
      <c r="P122" s="8">
        <v>1.4348711711277999</v>
      </c>
      <c r="Q122" s="8">
        <v>1.4348307377820499</v>
      </c>
      <c r="R122" s="6">
        <v>96.353463149446497</v>
      </c>
      <c r="S122" s="6">
        <v>96.478138769236693</v>
      </c>
      <c r="T122" s="6">
        <v>96.473276372930897</v>
      </c>
      <c r="U122" s="7">
        <v>-1.9340925882738601E-3</v>
      </c>
      <c r="V122" s="7">
        <v>-6.4098880318474104E-4</v>
      </c>
      <c r="W122" s="7">
        <v>-6.9138901717925502E-4</v>
      </c>
      <c r="X122" s="8">
        <v>1.4322259961170301</v>
      </c>
      <c r="Y122" s="8">
        <v>1.4302827749172899</v>
      </c>
      <c r="Z122" s="8">
        <v>1.4313663926083999</v>
      </c>
      <c r="AA122" s="8">
        <v>1.4313514183238401</v>
      </c>
      <c r="AB122" s="6">
        <v>98.496280266401897</v>
      </c>
      <c r="AC122" s="6">
        <v>98.568244768948404</v>
      </c>
      <c r="AD122" s="6">
        <v>98.567585253831695</v>
      </c>
      <c r="AE122" s="7">
        <v>-1.3577051835860299E-3</v>
      </c>
      <c r="AF122" s="7">
        <v>-6.2734028678273796E-4</v>
      </c>
      <c r="AG122" s="7">
        <v>-6.3403125834872703E-4</v>
      </c>
      <c r="AZ122" s="23"/>
      <c r="BB122" s="12">
        <f t="shared" si="26"/>
        <v>0</v>
      </c>
      <c r="BC122" s="12">
        <f t="shared" si="27"/>
        <v>0</v>
      </c>
      <c r="BD122" s="12">
        <f t="shared" si="28"/>
        <v>0</v>
      </c>
      <c r="BE122" s="12">
        <f t="shared" si="24"/>
        <v>1</v>
      </c>
      <c r="BF122" s="12">
        <f t="shared" si="29"/>
        <v>0</v>
      </c>
      <c r="BG122" s="23">
        <f t="shared" si="30"/>
        <v>0</v>
      </c>
      <c r="BH122" s="23">
        <f t="shared" si="31"/>
        <v>0</v>
      </c>
      <c r="BI122" s="23">
        <f t="shared" si="32"/>
        <v>0</v>
      </c>
      <c r="BJ122" s="18">
        <f t="shared" si="33"/>
        <v>3.990656091472978E-3</v>
      </c>
      <c r="BL122" s="23"/>
      <c r="BN122" s="12">
        <f t="shared" si="34"/>
        <v>0</v>
      </c>
      <c r="BO122" s="12">
        <f t="shared" si="35"/>
        <v>1</v>
      </c>
      <c r="BP122" s="12">
        <f t="shared" si="36"/>
        <v>0</v>
      </c>
      <c r="BQ122" s="12">
        <f t="shared" si="25"/>
        <v>1</v>
      </c>
      <c r="BR122" s="12">
        <f t="shared" si="37"/>
        <v>0</v>
      </c>
      <c r="BS122" s="23">
        <f t="shared" si="38"/>
        <v>0</v>
      </c>
      <c r="BT122" s="23">
        <f t="shared" si="39"/>
        <v>0</v>
      </c>
      <c r="BU122" s="23">
        <f t="shared" si="40"/>
        <v>0</v>
      </c>
      <c r="BV122" s="18">
        <f t="shared" si="41"/>
        <v>7.8853492280009374E-3</v>
      </c>
      <c r="BX122" s="18">
        <f t="shared" si="42"/>
        <v>0</v>
      </c>
      <c r="BY122" s="18">
        <f t="shared" si="43"/>
        <v>1.1876005319473915E-2</v>
      </c>
    </row>
    <row r="123" spans="1:77" x14ac:dyDescent="0.3">
      <c r="A123" s="1">
        <v>46202</v>
      </c>
      <c r="B123" s="6">
        <v>67.48</v>
      </c>
      <c r="C123" s="6">
        <v>96.82</v>
      </c>
      <c r="D123" s="7">
        <v>3.5629491373528701E-3</v>
      </c>
      <c r="E123" s="7">
        <v>2.8961542792012599E-3</v>
      </c>
      <c r="F123" s="6">
        <v>0</v>
      </c>
      <c r="G123" s="6">
        <v>1.6249</v>
      </c>
      <c r="H123" s="6">
        <v>0</v>
      </c>
      <c r="I123" s="6">
        <v>2.0901000000000001</v>
      </c>
      <c r="J123" s="6">
        <v>1.6249</v>
      </c>
      <c r="K123" s="6">
        <v>2.0901000000000001</v>
      </c>
      <c r="L123" s="6">
        <v>69.104900000000001</v>
      </c>
      <c r="M123" s="6">
        <v>98.9101</v>
      </c>
      <c r="N123" s="8">
        <v>1.4347954949614601</v>
      </c>
      <c r="O123" s="8">
        <v>1.43297833357297</v>
      </c>
      <c r="P123" s="8">
        <v>1.43491517433041</v>
      </c>
      <c r="Q123" s="8">
        <v>1.4348753452438801</v>
      </c>
      <c r="R123" s="6">
        <v>96.697377949504002</v>
      </c>
      <c r="S123" s="6">
        <v>96.825106627704102</v>
      </c>
      <c r="T123" s="6">
        <v>96.822378185532997</v>
      </c>
      <c r="U123" s="7">
        <v>-1.26729773012239E-3</v>
      </c>
      <c r="V123" s="7">
        <v>5.2742130119215103E-5</v>
      </c>
      <c r="W123" s="7">
        <v>2.4562655710020999E-5</v>
      </c>
      <c r="X123" s="8">
        <v>1.4313037136295601</v>
      </c>
      <c r="Y123" s="8">
        <v>1.4302827749172899</v>
      </c>
      <c r="Z123" s="8">
        <v>1.4314108790997799</v>
      </c>
      <c r="AA123" s="8">
        <v>1.4313597016189501</v>
      </c>
      <c r="AB123" s="6">
        <v>98.839548132382006</v>
      </c>
      <c r="AC123" s="6">
        <v>98.914431424564199</v>
      </c>
      <c r="AD123" s="6">
        <v>98.9133966281276</v>
      </c>
      <c r="AE123" s="7">
        <v>-7.1354736939032402E-4</v>
      </c>
      <c r="AF123" s="7">
        <v>4.3790570701570697E-5</v>
      </c>
      <c r="AG123" s="7">
        <v>3.3328984515849999E-5</v>
      </c>
      <c r="AZ123" s="23"/>
      <c r="BB123" s="12">
        <f t="shared" si="26"/>
        <v>0</v>
      </c>
      <c r="BC123" s="12">
        <f t="shared" si="27"/>
        <v>1</v>
      </c>
      <c r="BD123" s="12">
        <f t="shared" si="28"/>
        <v>0</v>
      </c>
      <c r="BE123" s="12">
        <f t="shared" si="24"/>
        <v>1</v>
      </c>
      <c r="BF123" s="12">
        <f t="shared" si="29"/>
        <v>0</v>
      </c>
      <c r="BG123" s="23">
        <f t="shared" si="30"/>
        <v>0</v>
      </c>
      <c r="BH123" s="23">
        <f t="shared" si="31"/>
        <v>0</v>
      </c>
      <c r="BI123" s="23">
        <f t="shared" si="32"/>
        <v>0</v>
      </c>
      <c r="BJ123" s="18">
        <f t="shared" si="33"/>
        <v>3.990656091472978E-3</v>
      </c>
      <c r="BL123" s="23"/>
      <c r="BN123" s="12">
        <f t="shared" si="34"/>
        <v>0</v>
      </c>
      <c r="BO123" s="12">
        <f t="shared" si="35"/>
        <v>0</v>
      </c>
      <c r="BP123" s="12">
        <f t="shared" si="36"/>
        <v>0</v>
      </c>
      <c r="BQ123" s="12">
        <f t="shared" si="25"/>
        <v>1</v>
      </c>
      <c r="BR123" s="12">
        <f t="shared" si="37"/>
        <v>0</v>
      </c>
      <c r="BS123" s="23">
        <f t="shared" si="38"/>
        <v>0</v>
      </c>
      <c r="BT123" s="23">
        <f t="shared" si="39"/>
        <v>0</v>
      </c>
      <c r="BU123" s="23">
        <f t="shared" si="40"/>
        <v>0</v>
      </c>
      <c r="BV123" s="18">
        <f t="shared" si="41"/>
        <v>7.8853492280009374E-3</v>
      </c>
      <c r="BX123" s="18">
        <f t="shared" si="42"/>
        <v>0</v>
      </c>
      <c r="BY123" s="18">
        <f t="shared" si="43"/>
        <v>1.1876005319473915E-2</v>
      </c>
    </row>
    <row r="124" spans="1:77" x14ac:dyDescent="0.3">
      <c r="A124" s="1">
        <v>46203</v>
      </c>
      <c r="B124" s="6">
        <v>67.239999999999995</v>
      </c>
      <c r="C124" s="6">
        <v>96.44</v>
      </c>
      <c r="D124" s="7">
        <v>-3.5629491373527899E-3</v>
      </c>
      <c r="E124" s="7">
        <v>-3.9325311985779201E-3</v>
      </c>
      <c r="F124" s="6">
        <v>0</v>
      </c>
      <c r="G124" s="6">
        <v>1.6249</v>
      </c>
      <c r="H124" s="6">
        <v>0</v>
      </c>
      <c r="I124" s="6">
        <v>2.0901000000000001</v>
      </c>
      <c r="J124" s="6">
        <v>1.6249</v>
      </c>
      <c r="K124" s="6">
        <v>2.0901000000000001</v>
      </c>
      <c r="L124" s="6">
        <v>68.864899999999906</v>
      </c>
      <c r="M124" s="6">
        <v>98.530100000000004</v>
      </c>
      <c r="N124" s="8">
        <v>1.4342653182629299</v>
      </c>
      <c r="O124" s="8">
        <v>1.43297833357297</v>
      </c>
      <c r="P124" s="8">
        <v>1.43479116437252</v>
      </c>
      <c r="Q124" s="8">
        <v>1.4348000662190801</v>
      </c>
      <c r="R124" s="6">
        <v>96.353463149446497</v>
      </c>
      <c r="S124" s="6">
        <v>96.483696321976794</v>
      </c>
      <c r="T124" s="6">
        <v>96.481018214198599</v>
      </c>
      <c r="U124" s="7">
        <v>-8.9771566889726396E-4</v>
      </c>
      <c r="V124" s="7">
        <v>4.5299072697721401E-4</v>
      </c>
      <c r="W124" s="7">
        <v>4.2523323996936102E-4</v>
      </c>
      <c r="X124" s="8">
        <v>1.43077387754864</v>
      </c>
      <c r="Y124" s="8">
        <v>1.4302827749172899</v>
      </c>
      <c r="Z124" s="8">
        <v>1.4312891318461201</v>
      </c>
      <c r="AA124" s="8">
        <v>1.43128715144756</v>
      </c>
      <c r="AB124" s="6">
        <v>98.496280266401897</v>
      </c>
      <c r="AC124" s="6">
        <v>98.573967048118803</v>
      </c>
      <c r="AD124" s="6">
        <v>98.570442716019201</v>
      </c>
      <c r="AE124" s="7">
        <v>-3.4330158108276899E-4</v>
      </c>
      <c r="AF124" s="7">
        <v>4.4511561329037898E-4</v>
      </c>
      <c r="AG124" s="7">
        <v>4.0936180110625399E-4</v>
      </c>
      <c r="AZ124" s="23"/>
      <c r="BB124" s="12">
        <f t="shared" si="26"/>
        <v>0</v>
      </c>
      <c r="BC124" s="12">
        <f t="shared" si="27"/>
        <v>1</v>
      </c>
      <c r="BD124" s="12">
        <f t="shared" si="28"/>
        <v>0</v>
      </c>
      <c r="BE124" s="12">
        <f t="shared" si="24"/>
        <v>0</v>
      </c>
      <c r="BF124" s="12">
        <f t="shared" si="29"/>
        <v>0</v>
      </c>
      <c r="BG124" s="23">
        <f t="shared" si="30"/>
        <v>0</v>
      </c>
      <c r="BH124" s="23">
        <f t="shared" si="31"/>
        <v>0</v>
      </c>
      <c r="BI124" s="23">
        <f t="shared" si="32"/>
        <v>0</v>
      </c>
      <c r="BJ124" s="18">
        <f t="shared" si="33"/>
        <v>3.990656091472978E-3</v>
      </c>
      <c r="BL124" s="23"/>
      <c r="BN124" s="12">
        <f t="shared" si="34"/>
        <v>0</v>
      </c>
      <c r="BO124" s="12">
        <f t="shared" si="35"/>
        <v>0</v>
      </c>
      <c r="BP124" s="12">
        <f t="shared" si="36"/>
        <v>0</v>
      </c>
      <c r="BQ124" s="12">
        <f t="shared" si="25"/>
        <v>0</v>
      </c>
      <c r="BR124" s="12">
        <f t="shared" si="37"/>
        <v>0</v>
      </c>
      <c r="BS124" s="23">
        <f t="shared" si="38"/>
        <v>0</v>
      </c>
      <c r="BT124" s="23">
        <f t="shared" si="39"/>
        <v>0</v>
      </c>
      <c r="BU124" s="23">
        <f t="shared" si="40"/>
        <v>0</v>
      </c>
      <c r="BV124" s="18">
        <f t="shared" si="41"/>
        <v>7.8853492280009374E-3</v>
      </c>
      <c r="BX124" s="18">
        <f t="shared" si="42"/>
        <v>0</v>
      </c>
      <c r="BY124" s="18">
        <f t="shared" si="43"/>
        <v>1.1876005319473915E-2</v>
      </c>
    </row>
    <row r="125" spans="1:77" x14ac:dyDescent="0.3">
      <c r="A125" s="1">
        <v>46204</v>
      </c>
      <c r="B125" s="6">
        <v>66.87</v>
      </c>
      <c r="C125" s="6">
        <v>96.02</v>
      </c>
      <c r="D125" s="7">
        <v>-5.5178724745274998E-3</v>
      </c>
      <c r="E125" s="7">
        <v>-4.3645502101760597E-3</v>
      </c>
      <c r="F125" s="6">
        <v>0.31369999999999998</v>
      </c>
      <c r="G125" s="6">
        <v>1.9386000000000001</v>
      </c>
      <c r="H125" s="6">
        <v>0.3997</v>
      </c>
      <c r="I125" s="6">
        <v>2.4897999999999998</v>
      </c>
      <c r="J125" s="6">
        <v>1.9386000000000001</v>
      </c>
      <c r="K125" s="6">
        <v>2.4897999999999998</v>
      </c>
      <c r="L125" s="6">
        <v>68.808599999999998</v>
      </c>
      <c r="M125" s="6">
        <v>98.509799999999998</v>
      </c>
      <c r="N125" s="8">
        <v>1.4359204426499099</v>
      </c>
      <c r="O125" s="8">
        <v>1.43297833357297</v>
      </c>
      <c r="P125" s="8">
        <v>1.4349346257617199</v>
      </c>
      <c r="Q125" s="8">
        <v>1.4348031289243699</v>
      </c>
      <c r="R125" s="6">
        <v>95.823261166024494</v>
      </c>
      <c r="S125" s="6">
        <v>95.944485161590904</v>
      </c>
      <c r="T125" s="6">
        <v>95.945080428070497</v>
      </c>
      <c r="U125" s="7">
        <v>-2.0510379332487399E-3</v>
      </c>
      <c r="V125" s="7">
        <v>-7.8675846983611503E-4</v>
      </c>
      <c r="W125" s="7">
        <v>-7.8055420877838101E-4</v>
      </c>
      <c r="X125" s="8">
        <v>1.43164953218057</v>
      </c>
      <c r="Y125" s="8">
        <v>1.4302827749172899</v>
      </c>
      <c r="Z125" s="8">
        <v>1.4313544065889501</v>
      </c>
      <c r="AA125" s="8">
        <v>1.4312536350237499</v>
      </c>
      <c r="AB125" s="6">
        <v>98.415755346174095</v>
      </c>
      <c r="AC125" s="6">
        <v>98.485001357546906</v>
      </c>
      <c r="AD125" s="6">
        <v>98.484865089094598</v>
      </c>
      <c r="AE125" s="7">
        <v>-9.5512906702342E-4</v>
      </c>
      <c r="AF125" s="7">
        <v>-2.5176951283085498E-4</v>
      </c>
      <c r="AG125" s="7">
        <v>-2.5315316054066702E-4</v>
      </c>
      <c r="AZ125" s="23"/>
      <c r="BB125" s="12">
        <f t="shared" si="26"/>
        <v>0</v>
      </c>
      <c r="BC125" s="12">
        <f t="shared" si="27"/>
        <v>1</v>
      </c>
      <c r="BD125" s="12">
        <f t="shared" si="28"/>
        <v>0</v>
      </c>
      <c r="BE125" s="12">
        <f t="shared" si="24"/>
        <v>1</v>
      </c>
      <c r="BF125" s="12">
        <f t="shared" si="29"/>
        <v>0</v>
      </c>
      <c r="BG125" s="23">
        <f t="shared" si="30"/>
        <v>0</v>
      </c>
      <c r="BH125" s="23">
        <f t="shared" si="31"/>
        <v>0</v>
      </c>
      <c r="BI125" s="23">
        <f t="shared" si="32"/>
        <v>0</v>
      </c>
      <c r="BJ125" s="18">
        <f t="shared" si="33"/>
        <v>3.990656091472978E-3</v>
      </c>
      <c r="BL125" s="23"/>
      <c r="BN125" s="12">
        <f t="shared" si="34"/>
        <v>0</v>
      </c>
      <c r="BO125" s="12">
        <f t="shared" si="35"/>
        <v>1</v>
      </c>
      <c r="BP125" s="12">
        <f t="shared" si="36"/>
        <v>0</v>
      </c>
      <c r="BQ125" s="12">
        <f t="shared" si="25"/>
        <v>1</v>
      </c>
      <c r="BR125" s="12">
        <f t="shared" si="37"/>
        <v>0</v>
      </c>
      <c r="BS125" s="23">
        <f t="shared" si="38"/>
        <v>0</v>
      </c>
      <c r="BT125" s="23">
        <f t="shared" si="39"/>
        <v>0</v>
      </c>
      <c r="BU125" s="23">
        <f t="shared" si="40"/>
        <v>0</v>
      </c>
      <c r="BV125" s="18">
        <f t="shared" si="41"/>
        <v>7.8853492280009374E-3</v>
      </c>
      <c r="BX125" s="18">
        <f t="shared" si="42"/>
        <v>0</v>
      </c>
      <c r="BY125" s="18">
        <f t="shared" si="43"/>
        <v>1.1876005319473915E-2</v>
      </c>
    </row>
    <row r="126" spans="1:77" x14ac:dyDescent="0.3">
      <c r="A126" s="1">
        <v>46205</v>
      </c>
      <c r="B126" s="6">
        <v>67</v>
      </c>
      <c r="C126" s="6">
        <v>96.2</v>
      </c>
      <c r="D126" s="7">
        <v>1.9421833250787199E-3</v>
      </c>
      <c r="E126" s="7">
        <v>1.8728545688665599E-3</v>
      </c>
      <c r="F126" s="6">
        <v>0</v>
      </c>
      <c r="G126" s="6">
        <v>1.9386000000000001</v>
      </c>
      <c r="H126" s="6">
        <v>0</v>
      </c>
      <c r="I126" s="6">
        <v>2.4897999999999998</v>
      </c>
      <c r="J126" s="6">
        <v>1.9386000000000001</v>
      </c>
      <c r="K126" s="6">
        <v>2.4897999999999998</v>
      </c>
      <c r="L126" s="6">
        <v>68.938599999999994</v>
      </c>
      <c r="M126" s="6">
        <v>98.689800000000005</v>
      </c>
      <c r="N126" s="8">
        <v>1.4358208955223799</v>
      </c>
      <c r="O126" s="8">
        <v>1.43297833357297</v>
      </c>
      <c r="P126" s="8">
        <v>1.43507213843672</v>
      </c>
      <c r="Q126" s="8">
        <v>1.4348449592758299</v>
      </c>
      <c r="R126" s="6">
        <v>96.009548349388993</v>
      </c>
      <c r="S126" s="6">
        <v>96.140619926035299</v>
      </c>
      <c r="T126" s="6">
        <v>96.131809637933301</v>
      </c>
      <c r="U126" s="7">
        <v>-1.98170917703649E-3</v>
      </c>
      <c r="V126" s="7">
        <v>-6.1744706733273403E-4</v>
      </c>
      <c r="W126" s="7">
        <v>-7.09090868039996E-4</v>
      </c>
      <c r="X126" s="8">
        <v>1.4315608381951399</v>
      </c>
      <c r="Y126" s="8">
        <v>1.4302827749172899</v>
      </c>
      <c r="Z126" s="8">
        <v>1.43141609358775</v>
      </c>
      <c r="AA126" s="8">
        <v>1.4312589334191701</v>
      </c>
      <c r="AB126" s="6">
        <v>98.601692106913305</v>
      </c>
      <c r="AC126" s="6">
        <v>98.675568894072896</v>
      </c>
      <c r="AD126" s="6">
        <v>98.668621843448904</v>
      </c>
      <c r="AE126" s="7">
        <v>-8.9317484502924802E-4</v>
      </c>
      <c r="AF126" s="7">
        <v>-1.4421077042468E-4</v>
      </c>
      <c r="AG126" s="7">
        <v>-2.14616193568299E-4</v>
      </c>
      <c r="AZ126" s="23"/>
      <c r="BB126" s="12">
        <f t="shared" si="26"/>
        <v>0</v>
      </c>
      <c r="BC126" s="12">
        <f t="shared" si="27"/>
        <v>1</v>
      </c>
      <c r="BD126" s="12">
        <f t="shared" si="28"/>
        <v>0</v>
      </c>
      <c r="BE126" s="12">
        <f t="shared" si="24"/>
        <v>1</v>
      </c>
      <c r="BF126" s="12">
        <f t="shared" si="29"/>
        <v>0</v>
      </c>
      <c r="BG126" s="23">
        <f t="shared" si="30"/>
        <v>0</v>
      </c>
      <c r="BH126" s="23">
        <f t="shared" si="31"/>
        <v>0</v>
      </c>
      <c r="BI126" s="23">
        <f t="shared" si="32"/>
        <v>0</v>
      </c>
      <c r="BJ126" s="18">
        <f t="shared" si="33"/>
        <v>3.990656091472978E-3</v>
      </c>
      <c r="BL126" s="23"/>
      <c r="BN126" s="12">
        <f t="shared" si="34"/>
        <v>0</v>
      </c>
      <c r="BO126" s="12">
        <f t="shared" si="35"/>
        <v>1</v>
      </c>
      <c r="BP126" s="12">
        <f t="shared" si="36"/>
        <v>0</v>
      </c>
      <c r="BQ126" s="12">
        <f t="shared" si="25"/>
        <v>1</v>
      </c>
      <c r="BR126" s="12">
        <f t="shared" si="37"/>
        <v>0</v>
      </c>
      <c r="BS126" s="23">
        <f t="shared" si="38"/>
        <v>0</v>
      </c>
      <c r="BT126" s="23">
        <f t="shared" si="39"/>
        <v>0</v>
      </c>
      <c r="BU126" s="23">
        <f t="shared" si="40"/>
        <v>0</v>
      </c>
      <c r="BV126" s="18">
        <f t="shared" si="41"/>
        <v>7.8853492280009374E-3</v>
      </c>
      <c r="BX126" s="18">
        <f t="shared" si="42"/>
        <v>0</v>
      </c>
      <c r="BY126" s="18">
        <f t="shared" si="43"/>
        <v>1.1876005319473915E-2</v>
      </c>
    </row>
    <row r="127" spans="1:77" x14ac:dyDescent="0.3">
      <c r="A127" s="1">
        <v>46209</v>
      </c>
      <c r="B127" s="6">
        <v>67.05</v>
      </c>
      <c r="C127" s="6">
        <v>96.35</v>
      </c>
      <c r="D127" s="7">
        <v>7.4599033672139499E-4</v>
      </c>
      <c r="E127" s="7">
        <v>1.55803718871455E-3</v>
      </c>
      <c r="F127" s="6">
        <v>0</v>
      </c>
      <c r="G127" s="6">
        <v>1.9386000000000001</v>
      </c>
      <c r="H127" s="6">
        <v>0</v>
      </c>
      <c r="I127" s="6">
        <v>2.4897999999999998</v>
      </c>
      <c r="J127" s="6">
        <v>1.9386000000000001</v>
      </c>
      <c r="K127" s="6">
        <v>2.4897999999999998</v>
      </c>
      <c r="L127" s="6">
        <v>68.988599999999906</v>
      </c>
      <c r="M127" s="6">
        <v>98.839799999999997</v>
      </c>
      <c r="N127" s="8">
        <v>1.4369873228933601</v>
      </c>
      <c r="O127" s="8">
        <v>1.43297833357297</v>
      </c>
      <c r="P127" s="8">
        <v>1.4353396726240399</v>
      </c>
      <c r="Q127" s="8">
        <v>1.4349672019692401</v>
      </c>
      <c r="R127" s="6">
        <v>96.081197266067605</v>
      </c>
      <c r="S127" s="6">
        <v>96.221586882182393</v>
      </c>
      <c r="T127" s="6">
        <v>96.206354519444901</v>
      </c>
      <c r="U127" s="7">
        <v>-2.7937560290296499E-3</v>
      </c>
      <c r="V127" s="7">
        <v>-1.33366649701825E-3</v>
      </c>
      <c r="W127" s="7">
        <v>-1.49198407458427E-3</v>
      </c>
      <c r="X127" s="8">
        <v>1.4326975761212699</v>
      </c>
      <c r="Y127" s="8">
        <v>1.4302827749172899</v>
      </c>
      <c r="Z127" s="8">
        <v>1.4316028958926199</v>
      </c>
      <c r="AA127" s="8">
        <v>1.4313422250335299</v>
      </c>
      <c r="AB127" s="6">
        <v>98.673206245659202</v>
      </c>
      <c r="AC127" s="6">
        <v>98.751392314088207</v>
      </c>
      <c r="AD127" s="6">
        <v>98.740550054081993</v>
      </c>
      <c r="AE127" s="7">
        <v>-1.68691466970682E-3</v>
      </c>
      <c r="AF127" s="7">
        <v>-8.9485458107598501E-4</v>
      </c>
      <c r="AG127" s="7">
        <v>-1.0046540988393499E-3</v>
      </c>
      <c r="AZ127" s="23"/>
      <c r="BB127" s="12">
        <f t="shared" si="26"/>
        <v>0</v>
      </c>
      <c r="BC127" s="12">
        <f t="shared" si="27"/>
        <v>0</v>
      </c>
      <c r="BD127" s="12">
        <f t="shared" si="28"/>
        <v>0</v>
      </c>
      <c r="BE127" s="12">
        <f t="shared" si="24"/>
        <v>1</v>
      </c>
      <c r="BF127" s="12">
        <f t="shared" si="29"/>
        <v>0</v>
      </c>
      <c r="BG127" s="23">
        <f t="shared" si="30"/>
        <v>0</v>
      </c>
      <c r="BH127" s="23">
        <f t="shared" si="31"/>
        <v>0</v>
      </c>
      <c r="BI127" s="23">
        <f t="shared" si="32"/>
        <v>0</v>
      </c>
      <c r="BJ127" s="18">
        <f t="shared" si="33"/>
        <v>3.990656091472978E-3</v>
      </c>
      <c r="BL127" s="23"/>
      <c r="BN127" s="12">
        <f t="shared" si="34"/>
        <v>0</v>
      </c>
      <c r="BO127" s="12">
        <f t="shared" si="35"/>
        <v>1</v>
      </c>
      <c r="BP127" s="12">
        <f t="shared" si="36"/>
        <v>0</v>
      </c>
      <c r="BQ127" s="12">
        <f t="shared" si="25"/>
        <v>1</v>
      </c>
      <c r="BR127" s="12">
        <f t="shared" si="37"/>
        <v>0</v>
      </c>
      <c r="BS127" s="23">
        <f t="shared" si="38"/>
        <v>0</v>
      </c>
      <c r="BT127" s="23">
        <f t="shared" si="39"/>
        <v>0</v>
      </c>
      <c r="BU127" s="23">
        <f t="shared" si="40"/>
        <v>0</v>
      </c>
      <c r="BV127" s="18">
        <f t="shared" si="41"/>
        <v>7.8853492280009374E-3</v>
      </c>
      <c r="BX127" s="18">
        <f t="shared" si="42"/>
        <v>0</v>
      </c>
      <c r="BY127" s="18">
        <f t="shared" si="43"/>
        <v>1.1876005319473915E-2</v>
      </c>
    </row>
    <row r="128" spans="1:77" x14ac:dyDescent="0.3">
      <c r="A128" s="1">
        <v>46210</v>
      </c>
      <c r="B128" s="6">
        <v>66.680000000000007</v>
      </c>
      <c r="C128" s="6">
        <v>95.94</v>
      </c>
      <c r="D128" s="7">
        <v>-5.5335518450941503E-3</v>
      </c>
      <c r="E128" s="7">
        <v>-4.2643987864575397E-3</v>
      </c>
      <c r="F128" s="6">
        <v>0</v>
      </c>
      <c r="G128" s="6">
        <v>1.9386000000000001</v>
      </c>
      <c r="H128" s="6">
        <v>0</v>
      </c>
      <c r="I128" s="6">
        <v>2.4897999999999998</v>
      </c>
      <c r="J128" s="6">
        <v>1.9386000000000001</v>
      </c>
      <c r="K128" s="6">
        <v>2.4897999999999998</v>
      </c>
      <c r="L128" s="6">
        <v>68.618600000000001</v>
      </c>
      <c r="M128" s="6">
        <v>98.4298</v>
      </c>
      <c r="N128" s="8">
        <v>1.4388122375524799</v>
      </c>
      <c r="O128" s="8">
        <v>1.43297833357297</v>
      </c>
      <c r="P128" s="8">
        <v>1.4357471651692899</v>
      </c>
      <c r="Q128" s="8">
        <v>1.43524315038533</v>
      </c>
      <c r="R128" s="6">
        <v>95.550995282645601</v>
      </c>
      <c r="S128" s="6">
        <v>95.708449370571302</v>
      </c>
      <c r="T128" s="6">
        <v>95.683613027309207</v>
      </c>
      <c r="U128" s="7">
        <v>-4.0629090876663099E-3</v>
      </c>
      <c r="V128" s="7">
        <v>-2.41641132874936E-3</v>
      </c>
      <c r="W128" s="7">
        <v>-2.67594501149864E-3</v>
      </c>
      <c r="X128" s="8">
        <v>1.43444780278233</v>
      </c>
      <c r="Y128" s="8">
        <v>1.4302827749172899</v>
      </c>
      <c r="Z128" s="8">
        <v>1.4319244572168199</v>
      </c>
      <c r="AA128" s="8">
        <v>1.4315751064984401</v>
      </c>
      <c r="AB128" s="6">
        <v>98.144001618939797</v>
      </c>
      <c r="AC128" s="6">
        <v>98.234586472097803</v>
      </c>
      <c r="AD128" s="6">
        <v>98.216699602686006</v>
      </c>
      <c r="AE128" s="7">
        <v>-2.90779931081588E-3</v>
      </c>
      <c r="AF128" s="7">
        <v>-1.9852459870203999E-3</v>
      </c>
      <c r="AG128" s="7">
        <v>-2.1673457820241401E-3</v>
      </c>
      <c r="AZ128" s="23"/>
      <c r="BB128" s="12">
        <f t="shared" si="26"/>
        <v>1</v>
      </c>
      <c r="BC128" s="12">
        <f t="shared" si="27"/>
        <v>0</v>
      </c>
      <c r="BD128" s="12">
        <f t="shared" si="28"/>
        <v>0</v>
      </c>
      <c r="BE128" s="12">
        <f t="shared" si="24"/>
        <v>1</v>
      </c>
      <c r="BF128" s="12">
        <f t="shared" si="29"/>
        <v>0</v>
      </c>
      <c r="BG128" s="23">
        <f t="shared" si="30"/>
        <v>0</v>
      </c>
      <c r="BH128" s="23">
        <f t="shared" si="31"/>
        <v>0</v>
      </c>
      <c r="BI128" s="23">
        <f t="shared" si="32"/>
        <v>0</v>
      </c>
      <c r="BJ128" s="18">
        <f t="shared" si="33"/>
        <v>3.990656091472978E-3</v>
      </c>
      <c r="BL128" s="23"/>
      <c r="BN128" s="12">
        <f t="shared" si="34"/>
        <v>0</v>
      </c>
      <c r="BO128" s="12">
        <f t="shared" si="35"/>
        <v>1</v>
      </c>
      <c r="BP128" s="12">
        <f t="shared" si="36"/>
        <v>0</v>
      </c>
      <c r="BQ128" s="12">
        <f t="shared" si="25"/>
        <v>1</v>
      </c>
      <c r="BR128" s="12">
        <f t="shared" si="37"/>
        <v>0</v>
      </c>
      <c r="BS128" s="23">
        <f t="shared" si="38"/>
        <v>0</v>
      </c>
      <c r="BT128" s="23">
        <f t="shared" si="39"/>
        <v>0</v>
      </c>
      <c r="BU128" s="23">
        <f t="shared" si="40"/>
        <v>0</v>
      </c>
      <c r="BV128" s="18">
        <f t="shared" si="41"/>
        <v>7.8853492280009374E-3</v>
      </c>
      <c r="BX128" s="18">
        <f t="shared" si="42"/>
        <v>0</v>
      </c>
      <c r="BY128" s="18">
        <f t="shared" si="43"/>
        <v>1.1876005319473915E-2</v>
      </c>
    </row>
    <row r="129" spans="1:77" x14ac:dyDescent="0.3">
      <c r="A129" s="1">
        <v>46211</v>
      </c>
      <c r="B129" s="6">
        <v>66.62</v>
      </c>
      <c r="C129" s="6">
        <v>95.79</v>
      </c>
      <c r="D129" s="7">
        <v>-9.0022511705972795E-4</v>
      </c>
      <c r="E129" s="7">
        <v>-1.56470067911738E-3</v>
      </c>
      <c r="F129" s="6">
        <v>0</v>
      </c>
      <c r="G129" s="6">
        <v>1.9386000000000001</v>
      </c>
      <c r="H129" s="6">
        <v>0</v>
      </c>
      <c r="I129" s="6">
        <v>2.4897999999999998</v>
      </c>
      <c r="J129" s="6">
        <v>1.9386000000000001</v>
      </c>
      <c r="K129" s="6">
        <v>2.4897999999999998</v>
      </c>
      <c r="L129" s="6">
        <v>68.558599999999998</v>
      </c>
      <c r="M129" s="6">
        <v>98.279799999999994</v>
      </c>
      <c r="N129" s="8">
        <v>1.4378564995496801</v>
      </c>
      <c r="O129" s="8">
        <v>1.43297833357297</v>
      </c>
      <c r="P129" s="8">
        <v>1.4360325169728001</v>
      </c>
      <c r="Q129" s="8">
        <v>1.43543218246696</v>
      </c>
      <c r="R129" s="6">
        <v>95.465016582631193</v>
      </c>
      <c r="S129" s="6">
        <v>95.649476143578298</v>
      </c>
      <c r="T129" s="6">
        <v>95.615898678670703</v>
      </c>
      <c r="U129" s="7">
        <v>-3.39843352560851E-3</v>
      </c>
      <c r="V129" s="7">
        <v>-1.46807632878136E-3</v>
      </c>
      <c r="W129" s="7">
        <v>-1.8191849942547299E-3</v>
      </c>
      <c r="X129" s="8">
        <v>1.4335152701484499</v>
      </c>
      <c r="Y129" s="8">
        <v>1.4302827749172899</v>
      </c>
      <c r="Z129" s="8">
        <v>1.43212738784335</v>
      </c>
      <c r="AA129" s="8">
        <v>1.4317234748286101</v>
      </c>
      <c r="AB129" s="6">
        <v>98.058184652444695</v>
      </c>
      <c r="AC129" s="6">
        <v>98.170736092545496</v>
      </c>
      <c r="AD129" s="6">
        <v>98.146785096384093</v>
      </c>
      <c r="AE129" s="7">
        <v>-2.25748921753419E-3</v>
      </c>
      <c r="AF129" s="7">
        <v>-1.11034483110978E-3</v>
      </c>
      <c r="AG129" s="7">
        <v>-1.3543474665869699E-3</v>
      </c>
      <c r="AZ129" s="23"/>
      <c r="BB129" s="12">
        <f t="shared" si="26"/>
        <v>0</v>
      </c>
      <c r="BC129" s="12">
        <f t="shared" si="27"/>
        <v>0</v>
      </c>
      <c r="BD129" s="12">
        <f t="shared" si="28"/>
        <v>1</v>
      </c>
      <c r="BE129" s="12">
        <f t="shared" si="24"/>
        <v>1</v>
      </c>
      <c r="BF129" s="12">
        <f t="shared" si="29"/>
        <v>1</v>
      </c>
      <c r="BG129" s="23">
        <f t="shared" si="30"/>
        <v>-9.0022511705972795E-4</v>
      </c>
      <c r="BH129" s="23">
        <f t="shared" si="31"/>
        <v>1.56470067911738E-3</v>
      </c>
      <c r="BI129" s="23">
        <f t="shared" si="32"/>
        <v>6.6447556205765203E-4</v>
      </c>
      <c r="BJ129" s="18">
        <f t="shared" si="33"/>
        <v>4.6551316535306305E-3</v>
      </c>
      <c r="BL129" s="23"/>
      <c r="BN129" s="12">
        <f t="shared" si="34"/>
        <v>0</v>
      </c>
      <c r="BO129" s="12">
        <f t="shared" si="35"/>
        <v>1</v>
      </c>
      <c r="BP129" s="12">
        <f t="shared" si="36"/>
        <v>0</v>
      </c>
      <c r="BQ129" s="12">
        <f t="shared" si="25"/>
        <v>1</v>
      </c>
      <c r="BR129" s="12">
        <f t="shared" si="37"/>
        <v>0</v>
      </c>
      <c r="BS129" s="23">
        <f t="shared" si="38"/>
        <v>0</v>
      </c>
      <c r="BT129" s="23">
        <f t="shared" si="39"/>
        <v>0</v>
      </c>
      <c r="BU129" s="23">
        <f t="shared" si="40"/>
        <v>0</v>
      </c>
      <c r="BV129" s="18">
        <f t="shared" si="41"/>
        <v>7.8853492280009374E-3</v>
      </c>
      <c r="BX129" s="18">
        <f t="shared" si="42"/>
        <v>6.6447556205765203E-4</v>
      </c>
      <c r="BY129" s="18">
        <f t="shared" si="43"/>
        <v>1.2540480881531566E-2</v>
      </c>
    </row>
    <row r="130" spans="1:77" x14ac:dyDescent="0.3">
      <c r="A130" s="1">
        <v>46212</v>
      </c>
      <c r="B130" s="6">
        <v>66.7</v>
      </c>
      <c r="C130" s="6">
        <v>95.96</v>
      </c>
      <c r="D130" s="7">
        <v>1.2001201560444001E-3</v>
      </c>
      <c r="E130" s="7">
        <v>1.7731425766934299E-3</v>
      </c>
      <c r="F130" s="6">
        <v>0</v>
      </c>
      <c r="G130" s="6">
        <v>1.9386000000000001</v>
      </c>
      <c r="H130" s="6">
        <v>0</v>
      </c>
      <c r="I130" s="6">
        <v>2.4897999999999998</v>
      </c>
      <c r="J130" s="6">
        <v>1.9386000000000001</v>
      </c>
      <c r="K130" s="6">
        <v>2.4897999999999998</v>
      </c>
      <c r="L130" s="6">
        <v>68.638599999999997</v>
      </c>
      <c r="M130" s="6">
        <v>98.449799999999996</v>
      </c>
      <c r="N130" s="8">
        <v>1.43868065967016</v>
      </c>
      <c r="O130" s="8">
        <v>1.43297833357297</v>
      </c>
      <c r="P130" s="8">
        <v>1.4363874309112801</v>
      </c>
      <c r="Q130" s="8">
        <v>1.4356173028960999</v>
      </c>
      <c r="R130" s="6">
        <v>95.579654849317095</v>
      </c>
      <c r="S130" s="6">
        <v>95.783368882085696</v>
      </c>
      <c r="T130" s="6">
        <v>95.743326570546799</v>
      </c>
      <c r="U130" s="7">
        <v>-3.9714559462574297E-3</v>
      </c>
      <c r="V130" s="7">
        <v>-1.8423705487811701E-3</v>
      </c>
      <c r="W130" s="7">
        <v>-2.2605087308007399E-3</v>
      </c>
      <c r="X130" s="8">
        <v>1.43432121284525</v>
      </c>
      <c r="Y130" s="8">
        <v>1.4302827749172899</v>
      </c>
      <c r="Z130" s="8">
        <v>1.4323972902172999</v>
      </c>
      <c r="AA130" s="8">
        <v>1.43186750007731</v>
      </c>
      <c r="AB130" s="6">
        <v>98.172607274438107</v>
      </c>
      <c r="AC130" s="6">
        <v>98.299218923224601</v>
      </c>
      <c r="AD130" s="6">
        <v>98.271494899371405</v>
      </c>
      <c r="AE130" s="7">
        <v>-2.8195454733837199E-3</v>
      </c>
      <c r="AF130" s="7">
        <v>-1.5306923206090399E-3</v>
      </c>
      <c r="AG130" s="7">
        <v>-1.81276917221995E-3</v>
      </c>
      <c r="AZ130" s="23"/>
      <c r="BB130" s="12">
        <f t="shared" si="26"/>
        <v>1</v>
      </c>
      <c r="BC130" s="12">
        <f t="shared" si="27"/>
        <v>0</v>
      </c>
      <c r="BD130" s="12">
        <f t="shared" si="28"/>
        <v>1</v>
      </c>
      <c r="BE130" s="12">
        <f t="shared" si="24"/>
        <v>1</v>
      </c>
      <c r="BF130" s="12">
        <f t="shared" si="29"/>
        <v>1</v>
      </c>
      <c r="BG130" s="23">
        <f t="shared" si="30"/>
        <v>1.2001201560444001E-3</v>
      </c>
      <c r="BH130" s="23">
        <f t="shared" si="31"/>
        <v>-1.7731425766934299E-3</v>
      </c>
      <c r="BI130" s="23">
        <f t="shared" si="32"/>
        <v>-5.7302242064902979E-4</v>
      </c>
      <c r="BJ130" s="18">
        <f t="shared" si="33"/>
        <v>4.0821092328816007E-3</v>
      </c>
      <c r="BL130" s="23"/>
      <c r="BN130" s="12">
        <f t="shared" si="34"/>
        <v>0</v>
      </c>
      <c r="BO130" s="12">
        <f t="shared" si="35"/>
        <v>1</v>
      </c>
      <c r="BP130" s="12">
        <f t="shared" si="36"/>
        <v>0</v>
      </c>
      <c r="BQ130" s="12">
        <f t="shared" si="25"/>
        <v>1</v>
      </c>
      <c r="BR130" s="12">
        <f t="shared" si="37"/>
        <v>0</v>
      </c>
      <c r="BS130" s="23">
        <f t="shared" si="38"/>
        <v>0</v>
      </c>
      <c r="BT130" s="23">
        <f t="shared" si="39"/>
        <v>0</v>
      </c>
      <c r="BU130" s="23">
        <f t="shared" si="40"/>
        <v>0</v>
      </c>
      <c r="BV130" s="18">
        <f t="shared" si="41"/>
        <v>7.8853492280009374E-3</v>
      </c>
      <c r="BX130" s="18">
        <f t="shared" si="42"/>
        <v>-5.7302242064902979E-4</v>
      </c>
      <c r="BY130" s="18">
        <f t="shared" si="43"/>
        <v>1.1967458460882537E-2</v>
      </c>
    </row>
    <row r="131" spans="1:77" x14ac:dyDescent="0.3">
      <c r="A131" s="1">
        <v>46213</v>
      </c>
      <c r="B131" s="6">
        <v>66.8</v>
      </c>
      <c r="C131" s="6">
        <v>95.99</v>
      </c>
      <c r="D131" s="7">
        <v>1.49812762102199E-3</v>
      </c>
      <c r="E131" s="7">
        <v>3.1258140395184E-4</v>
      </c>
      <c r="F131" s="6">
        <v>0</v>
      </c>
      <c r="G131" s="6">
        <v>1.9386000000000001</v>
      </c>
      <c r="H131" s="6">
        <v>0</v>
      </c>
      <c r="I131" s="6">
        <v>2.4897999999999998</v>
      </c>
      <c r="J131" s="6">
        <v>1.9386000000000001</v>
      </c>
      <c r="K131" s="6">
        <v>2.4897999999999998</v>
      </c>
      <c r="L131" s="6">
        <v>68.738599999999906</v>
      </c>
      <c r="M131" s="6">
        <v>98.479799999999997</v>
      </c>
      <c r="N131" s="8">
        <v>1.43697604790419</v>
      </c>
      <c r="O131" s="8">
        <v>1.43297833357297</v>
      </c>
      <c r="P131" s="8">
        <v>1.4365867447223599</v>
      </c>
      <c r="Q131" s="8">
        <v>1.43570963328649</v>
      </c>
      <c r="R131" s="6">
        <v>95.722952682674403</v>
      </c>
      <c r="S131" s="6">
        <v>95.950680384873706</v>
      </c>
      <c r="T131" s="6">
        <v>95.899235833459699</v>
      </c>
      <c r="U131" s="7">
        <v>-2.7859097291872401E-3</v>
      </c>
      <c r="V131" s="7">
        <v>-4.0970591119504298E-4</v>
      </c>
      <c r="W131" s="7">
        <v>-9.4600588631173102E-4</v>
      </c>
      <c r="X131" s="8">
        <v>1.4326710174487101</v>
      </c>
      <c r="Y131" s="8">
        <v>1.4302827749172899</v>
      </c>
      <c r="Z131" s="8">
        <v>1.4325166837017</v>
      </c>
      <c r="AA131" s="8">
        <v>1.4319222342615501</v>
      </c>
      <c r="AB131" s="6">
        <v>98.315635551929802</v>
      </c>
      <c r="AC131" s="6">
        <v>98.4609843733313</v>
      </c>
      <c r="AD131" s="6">
        <v>98.424567340814306</v>
      </c>
      <c r="AE131" s="7">
        <v>-1.6683769690976E-3</v>
      </c>
      <c r="AF131" s="7">
        <v>-1.9107902698562199E-4</v>
      </c>
      <c r="AG131" s="7">
        <v>-5.6101001090165905E-4</v>
      </c>
      <c r="AZ131" s="23"/>
      <c r="BB131" s="12">
        <f t="shared" si="26"/>
        <v>0</v>
      </c>
      <c r="BC131" s="12">
        <f t="shared" si="27"/>
        <v>0</v>
      </c>
      <c r="BD131" s="12">
        <f t="shared" si="28"/>
        <v>1</v>
      </c>
      <c r="BE131" s="12">
        <f t="shared" si="24"/>
        <v>1</v>
      </c>
      <c r="BF131" s="12">
        <f t="shared" si="29"/>
        <v>1</v>
      </c>
      <c r="BG131" s="23">
        <f t="shared" si="30"/>
        <v>1.49812762102199E-3</v>
      </c>
      <c r="BH131" s="23">
        <f t="shared" si="31"/>
        <v>-3.1258140395184E-4</v>
      </c>
      <c r="BI131" s="23">
        <f t="shared" si="32"/>
        <v>1.18554621707015E-3</v>
      </c>
      <c r="BJ131" s="18">
        <f t="shared" si="33"/>
        <v>5.2676554499517508E-3</v>
      </c>
      <c r="BL131" s="23"/>
      <c r="BN131" s="12">
        <f t="shared" si="34"/>
        <v>0</v>
      </c>
      <c r="BO131" s="12">
        <f t="shared" si="35"/>
        <v>1</v>
      </c>
      <c r="BP131" s="12">
        <f t="shared" si="36"/>
        <v>0</v>
      </c>
      <c r="BQ131" s="12">
        <f t="shared" si="25"/>
        <v>1</v>
      </c>
      <c r="BR131" s="12">
        <f t="shared" si="37"/>
        <v>0</v>
      </c>
      <c r="BS131" s="23">
        <f t="shared" si="38"/>
        <v>0</v>
      </c>
      <c r="BT131" s="23">
        <f t="shared" si="39"/>
        <v>0</v>
      </c>
      <c r="BU131" s="23">
        <f t="shared" si="40"/>
        <v>0</v>
      </c>
      <c r="BV131" s="18">
        <f t="shared" si="41"/>
        <v>7.8853492280009374E-3</v>
      </c>
      <c r="BX131" s="18">
        <f t="shared" si="42"/>
        <v>1.18554621707015E-3</v>
      </c>
      <c r="BY131" s="18">
        <f t="shared" si="43"/>
        <v>1.3153004677952686E-2</v>
      </c>
    </row>
    <row r="132" spans="1:77" x14ac:dyDescent="0.3">
      <c r="A132" s="1">
        <v>46216</v>
      </c>
      <c r="B132" s="6">
        <v>66.39</v>
      </c>
      <c r="C132" s="6">
        <v>95.38</v>
      </c>
      <c r="D132" s="7">
        <v>-6.1566378115319696E-3</v>
      </c>
      <c r="E132" s="7">
        <v>-6.3751065053672803E-3</v>
      </c>
      <c r="F132" s="6">
        <v>0</v>
      </c>
      <c r="G132" s="6">
        <v>1.9386000000000001</v>
      </c>
      <c r="H132" s="6">
        <v>0</v>
      </c>
      <c r="I132" s="6">
        <v>2.4897999999999998</v>
      </c>
      <c r="J132" s="6">
        <v>1.9386000000000001</v>
      </c>
      <c r="K132" s="6">
        <v>2.4897999999999998</v>
      </c>
      <c r="L132" s="6">
        <v>68.328599999999994</v>
      </c>
      <c r="M132" s="6">
        <v>97.869799999999998</v>
      </c>
      <c r="N132" s="8">
        <v>1.4366621479138399</v>
      </c>
      <c r="O132" s="8">
        <v>1.43297833357297</v>
      </c>
      <c r="P132" s="8">
        <v>1.4366777066880401</v>
      </c>
      <c r="Q132" s="8">
        <v>1.4357744389079199</v>
      </c>
      <c r="R132" s="6">
        <v>95.135431565909499</v>
      </c>
      <c r="S132" s="6">
        <v>95.374993982117402</v>
      </c>
      <c r="T132" s="6">
        <v>95.316762553890499</v>
      </c>
      <c r="U132" s="7">
        <v>-2.56744103535188E-3</v>
      </c>
      <c r="V132" s="7">
        <v>-5.2486362523683997E-5</v>
      </c>
      <c r="W132" s="7">
        <v>-6.6322519145610296E-4</v>
      </c>
      <c r="X132" s="8">
        <v>1.4323401913693501</v>
      </c>
      <c r="Y132" s="8">
        <v>1.4302827749172899</v>
      </c>
      <c r="Z132" s="8">
        <v>1.4325281032269299</v>
      </c>
      <c r="AA132" s="8">
        <v>1.43194724791766</v>
      </c>
      <c r="AB132" s="6">
        <v>97.729219614213704</v>
      </c>
      <c r="AC132" s="6">
        <v>97.881859473979901</v>
      </c>
      <c r="AD132" s="6">
        <v>97.841241575964304</v>
      </c>
      <c r="AE132" s="7">
        <v>-1.43743470973722E-3</v>
      </c>
      <c r="AF132" s="7">
        <v>1.23211972022481E-4</v>
      </c>
      <c r="AG132" s="7">
        <v>-2.9184274947797898E-4</v>
      </c>
      <c r="AZ132" s="23"/>
      <c r="BB132" s="12">
        <f t="shared" si="26"/>
        <v>0</v>
      </c>
      <c r="BC132" s="12">
        <f t="shared" si="27"/>
        <v>1</v>
      </c>
      <c r="BD132" s="12">
        <f t="shared" si="28"/>
        <v>1</v>
      </c>
      <c r="BE132" s="12">
        <f t="shared" si="24"/>
        <v>1</v>
      </c>
      <c r="BF132" s="12">
        <f t="shared" si="29"/>
        <v>1</v>
      </c>
      <c r="BG132" s="23">
        <f t="shared" si="30"/>
        <v>-6.1566378115319696E-3</v>
      </c>
      <c r="BH132" s="23">
        <f t="shared" si="31"/>
        <v>6.3751065053672803E-3</v>
      </c>
      <c r="BI132" s="23">
        <f t="shared" si="32"/>
        <v>2.1846869383531069E-4</v>
      </c>
      <c r="BJ132" s="18">
        <f t="shared" si="33"/>
        <v>5.4861241437870615E-3</v>
      </c>
      <c r="BL132" s="23"/>
      <c r="BN132" s="12">
        <f t="shared" si="34"/>
        <v>0</v>
      </c>
      <c r="BO132" s="12">
        <f t="shared" si="35"/>
        <v>1</v>
      </c>
      <c r="BP132" s="12">
        <f t="shared" si="36"/>
        <v>0</v>
      </c>
      <c r="BQ132" s="12">
        <f t="shared" si="25"/>
        <v>1</v>
      </c>
      <c r="BR132" s="12">
        <f t="shared" si="37"/>
        <v>0</v>
      </c>
      <c r="BS132" s="23">
        <f t="shared" si="38"/>
        <v>0</v>
      </c>
      <c r="BT132" s="23">
        <f t="shared" si="39"/>
        <v>0</v>
      </c>
      <c r="BU132" s="23">
        <f t="shared" si="40"/>
        <v>0</v>
      </c>
      <c r="BV132" s="18">
        <f t="shared" si="41"/>
        <v>7.8853492280009374E-3</v>
      </c>
      <c r="BX132" s="18">
        <f t="shared" si="42"/>
        <v>2.1846869383531069E-4</v>
      </c>
      <c r="BY132" s="18">
        <f t="shared" si="43"/>
        <v>1.3371473371787998E-2</v>
      </c>
    </row>
    <row r="133" spans="1:77" x14ac:dyDescent="0.3">
      <c r="A133" s="1">
        <v>46217</v>
      </c>
      <c r="B133" s="6">
        <v>66.510000000000005</v>
      </c>
      <c r="C133" s="6">
        <v>95.57</v>
      </c>
      <c r="D133" s="7">
        <v>1.8058695652619001E-3</v>
      </c>
      <c r="E133" s="7">
        <v>1.9900504080100001E-3</v>
      </c>
      <c r="F133" s="6">
        <v>0</v>
      </c>
      <c r="G133" s="6">
        <v>1.9386000000000001</v>
      </c>
      <c r="H133" s="6">
        <v>0</v>
      </c>
      <c r="I133" s="6">
        <v>2.4897999999999998</v>
      </c>
      <c r="J133" s="6">
        <v>1.9386000000000001</v>
      </c>
      <c r="K133" s="6">
        <v>2.4897999999999998</v>
      </c>
      <c r="L133" s="6">
        <v>68.448599999999999</v>
      </c>
      <c r="M133" s="6">
        <v>98.059799999999996</v>
      </c>
      <c r="N133" s="8">
        <v>1.4369267779281301</v>
      </c>
      <c r="O133" s="8">
        <v>1.43297833357297</v>
      </c>
      <c r="P133" s="8">
        <v>1.43689083498471</v>
      </c>
      <c r="Q133" s="8">
        <v>1.43590300465756</v>
      </c>
      <c r="R133" s="6">
        <v>95.307388965938202</v>
      </c>
      <c r="S133" s="6">
        <v>95.5534342718218</v>
      </c>
      <c r="T133" s="6">
        <v>95.493357931765999</v>
      </c>
      <c r="U133" s="7">
        <v>-2.7516218781000498E-3</v>
      </c>
      <c r="V133" s="7">
        <v>-1.7335109410025E-4</v>
      </c>
      <c r="W133" s="7">
        <v>-8.0226866286016104E-4</v>
      </c>
      <c r="X133" s="8">
        <v>1.43260490353345</v>
      </c>
      <c r="Y133" s="8">
        <v>1.4302827749172899</v>
      </c>
      <c r="Z133" s="8">
        <v>1.4326582222173201</v>
      </c>
      <c r="AA133" s="8">
        <v>1.4320345506585499</v>
      </c>
      <c r="AB133" s="6">
        <v>97.900853547203795</v>
      </c>
      <c r="AC133" s="6">
        <v>98.054543126538903</v>
      </c>
      <c r="AD133" s="6">
        <v>98.014784393817095</v>
      </c>
      <c r="AE133" s="7">
        <v>-1.6222285931000401E-3</v>
      </c>
      <c r="AF133" s="7">
        <v>-5.3610290593577003E-5</v>
      </c>
      <c r="AG133" s="7">
        <v>-4.5916819982482398E-4</v>
      </c>
      <c r="AZ133" s="23"/>
      <c r="BB133" s="12">
        <f t="shared" si="26"/>
        <v>0</v>
      </c>
      <c r="BC133" s="12">
        <f t="shared" si="27"/>
        <v>1</v>
      </c>
      <c r="BD133" s="12">
        <f t="shared" si="28"/>
        <v>0</v>
      </c>
      <c r="BE133" s="12">
        <f t="shared" si="24"/>
        <v>1</v>
      </c>
      <c r="BF133" s="12">
        <f t="shared" si="29"/>
        <v>0</v>
      </c>
      <c r="BG133" s="23">
        <f t="shared" si="30"/>
        <v>0</v>
      </c>
      <c r="BH133" s="23">
        <f t="shared" si="31"/>
        <v>0</v>
      </c>
      <c r="BI133" s="23">
        <f t="shared" si="32"/>
        <v>0</v>
      </c>
      <c r="BJ133" s="18">
        <f t="shared" si="33"/>
        <v>5.4861241437870615E-3</v>
      </c>
      <c r="BL133" s="23"/>
      <c r="BN133" s="12">
        <f t="shared" si="34"/>
        <v>0</v>
      </c>
      <c r="BO133" s="12">
        <f t="shared" si="35"/>
        <v>1</v>
      </c>
      <c r="BP133" s="12">
        <f t="shared" si="36"/>
        <v>0</v>
      </c>
      <c r="BQ133" s="12">
        <f t="shared" si="25"/>
        <v>1</v>
      </c>
      <c r="BR133" s="12">
        <f t="shared" si="37"/>
        <v>0</v>
      </c>
      <c r="BS133" s="23">
        <f t="shared" si="38"/>
        <v>0</v>
      </c>
      <c r="BT133" s="23">
        <f t="shared" si="39"/>
        <v>0</v>
      </c>
      <c r="BU133" s="23">
        <f t="shared" si="40"/>
        <v>0</v>
      </c>
      <c r="BV133" s="18">
        <f t="shared" si="41"/>
        <v>7.8853492280009374E-3</v>
      </c>
      <c r="BX133" s="18">
        <f t="shared" si="42"/>
        <v>0</v>
      </c>
      <c r="BY133" s="18">
        <f t="shared" si="43"/>
        <v>1.3371473371787998E-2</v>
      </c>
    </row>
    <row r="134" spans="1:77" x14ac:dyDescent="0.3">
      <c r="A134" s="1">
        <v>46218</v>
      </c>
      <c r="B134" s="6">
        <v>66.599999999999994</v>
      </c>
      <c r="C134" s="6">
        <v>95.73</v>
      </c>
      <c r="D134" s="7">
        <v>1.3522652500135299E-3</v>
      </c>
      <c r="E134" s="7">
        <v>1.67276568017361E-3</v>
      </c>
      <c r="F134" s="6">
        <v>0</v>
      </c>
      <c r="G134" s="6">
        <v>1.9386000000000001</v>
      </c>
      <c r="H134" s="6">
        <v>0</v>
      </c>
      <c r="I134" s="6">
        <v>2.4897999999999998</v>
      </c>
      <c r="J134" s="6">
        <v>1.9386000000000001</v>
      </c>
      <c r="K134" s="6">
        <v>2.4897999999999998</v>
      </c>
      <c r="L134" s="6">
        <v>68.538599999999903</v>
      </c>
      <c r="M134" s="6">
        <v>98.219800000000006</v>
      </c>
      <c r="N134" s="8">
        <v>1.4373873873873799</v>
      </c>
      <c r="O134" s="8">
        <v>1.43297833357297</v>
      </c>
      <c r="P134" s="8">
        <v>1.43720304189715</v>
      </c>
      <c r="Q134" s="8">
        <v>1.43599710313484</v>
      </c>
      <c r="R134" s="6">
        <v>95.4363570159598</v>
      </c>
      <c r="S134" s="6">
        <v>95.696929609981694</v>
      </c>
      <c r="T134" s="6">
        <v>95.631140110193499</v>
      </c>
      <c r="U134" s="7">
        <v>-3.0721223082601601E-3</v>
      </c>
      <c r="V134" s="7">
        <v>-3.4551450430331298E-4</v>
      </c>
      <c r="W134" s="7">
        <v>-1.0332285702775001E-3</v>
      </c>
      <c r="X134" s="8">
        <v>1.4330581599273899</v>
      </c>
      <c r="Y134" s="8">
        <v>1.4302827749172899</v>
      </c>
      <c r="Z134" s="8">
        <v>1.43288665045519</v>
      </c>
      <c r="AA134" s="8">
        <v>1.43208789115065</v>
      </c>
      <c r="AB134" s="6">
        <v>98.029578996946398</v>
      </c>
      <c r="AC134" s="6">
        <v>98.192388829264004</v>
      </c>
      <c r="AD134" s="6">
        <v>98.1496432537662</v>
      </c>
      <c r="AE134" s="7">
        <v>-1.9385647342909701E-3</v>
      </c>
      <c r="AF134" s="7">
        <v>-2.7911883755605502E-4</v>
      </c>
      <c r="AG134" s="7">
        <v>-7.1453835236513102E-4</v>
      </c>
      <c r="AZ134" s="23"/>
      <c r="BB134" s="12">
        <f t="shared" si="26"/>
        <v>0</v>
      </c>
      <c r="BC134" s="12">
        <f t="shared" si="27"/>
        <v>0</v>
      </c>
      <c r="BD134" s="12">
        <f t="shared" si="28"/>
        <v>0</v>
      </c>
      <c r="BE134" s="12">
        <f t="shared" si="24"/>
        <v>1</v>
      </c>
      <c r="BF134" s="12">
        <f t="shared" si="29"/>
        <v>0</v>
      </c>
      <c r="BG134" s="23">
        <f t="shared" si="30"/>
        <v>0</v>
      </c>
      <c r="BH134" s="23">
        <f t="shared" si="31"/>
        <v>0</v>
      </c>
      <c r="BI134" s="23">
        <f t="shared" si="32"/>
        <v>0</v>
      </c>
      <c r="BJ134" s="18">
        <f t="shared" si="33"/>
        <v>5.4861241437870615E-3</v>
      </c>
      <c r="BL134" s="23"/>
      <c r="BN134" s="12">
        <f t="shared" si="34"/>
        <v>0</v>
      </c>
      <c r="BO134" s="12">
        <f t="shared" si="35"/>
        <v>1</v>
      </c>
      <c r="BP134" s="12">
        <f t="shared" si="36"/>
        <v>0</v>
      </c>
      <c r="BQ134" s="12">
        <f t="shared" si="25"/>
        <v>1</v>
      </c>
      <c r="BR134" s="12">
        <f t="shared" si="37"/>
        <v>0</v>
      </c>
      <c r="BS134" s="23">
        <f t="shared" si="38"/>
        <v>0</v>
      </c>
      <c r="BT134" s="23">
        <f t="shared" si="39"/>
        <v>0</v>
      </c>
      <c r="BU134" s="23">
        <f t="shared" si="40"/>
        <v>0</v>
      </c>
      <c r="BV134" s="18">
        <f t="shared" si="41"/>
        <v>7.8853492280009374E-3</v>
      </c>
      <c r="BX134" s="18">
        <f t="shared" si="42"/>
        <v>0</v>
      </c>
      <c r="BY134" s="18">
        <f t="shared" si="43"/>
        <v>1.3371473371787998E-2</v>
      </c>
    </row>
    <row r="135" spans="1:77" x14ac:dyDescent="0.3">
      <c r="A135" s="1">
        <v>46219</v>
      </c>
      <c r="B135" s="6">
        <v>66.56</v>
      </c>
      <c r="C135" s="6">
        <v>95.59</v>
      </c>
      <c r="D135" s="7">
        <v>-6.0078103339021897E-4</v>
      </c>
      <c r="E135" s="7">
        <v>-1.4635168825906299E-3</v>
      </c>
      <c r="F135" s="6">
        <v>0</v>
      </c>
      <c r="G135" s="6">
        <v>1.9386000000000001</v>
      </c>
      <c r="H135" s="6">
        <v>0</v>
      </c>
      <c r="I135" s="6">
        <v>2.4897999999999998</v>
      </c>
      <c r="J135" s="6">
        <v>1.9386000000000001</v>
      </c>
      <c r="K135" s="6">
        <v>2.4897999999999998</v>
      </c>
      <c r="L135" s="6">
        <v>68.498599999999996</v>
      </c>
      <c r="M135" s="6">
        <v>98.079800000000006</v>
      </c>
      <c r="N135" s="8">
        <v>1.4361478365384599</v>
      </c>
      <c r="O135" s="8">
        <v>1.43297833357297</v>
      </c>
      <c r="P135" s="8">
        <v>1.4372257812860101</v>
      </c>
      <c r="Q135" s="8">
        <v>1.43608020352386</v>
      </c>
      <c r="R135" s="6">
        <v>95.379037882616899</v>
      </c>
      <c r="S135" s="6">
        <v>95.660234468674702</v>
      </c>
      <c r="T135" s="6">
        <v>95.579967184655004</v>
      </c>
      <c r="U135" s="7">
        <v>-2.2093864590598802E-3</v>
      </c>
      <c r="V135" s="7">
        <v>7.34477236351504E-4</v>
      </c>
      <c r="W135" s="7">
        <v>-1.04962254290149E-4</v>
      </c>
      <c r="X135" s="8">
        <v>1.4318511619215499</v>
      </c>
      <c r="Y135" s="8">
        <v>1.4302827749172899</v>
      </c>
      <c r="Z135" s="8">
        <v>1.4329068134292899</v>
      </c>
      <c r="AA135" s="8">
        <v>1.43213061000912</v>
      </c>
      <c r="AB135" s="6">
        <v>97.972367685949706</v>
      </c>
      <c r="AC135" s="6">
        <v>98.150729514870207</v>
      </c>
      <c r="AD135" s="6">
        <v>98.096015620772405</v>
      </c>
      <c r="AE135" s="7">
        <v>-1.09595651067356E-3</v>
      </c>
      <c r="AF135" s="7">
        <v>7.2292031351733703E-4</v>
      </c>
      <c r="AG135" s="7">
        <v>1.65317225857651E-4</v>
      </c>
      <c r="AZ135" s="23"/>
      <c r="BB135" s="12">
        <f t="shared" si="26"/>
        <v>0</v>
      </c>
      <c r="BC135" s="12">
        <f t="shared" si="27"/>
        <v>1</v>
      </c>
      <c r="BD135" s="12">
        <f t="shared" si="28"/>
        <v>0</v>
      </c>
      <c r="BE135" s="12">
        <f t="shared" si="24"/>
        <v>1</v>
      </c>
      <c r="BF135" s="12">
        <f t="shared" si="29"/>
        <v>0</v>
      </c>
      <c r="BG135" s="23">
        <f t="shared" si="30"/>
        <v>0</v>
      </c>
      <c r="BH135" s="23">
        <f t="shared" si="31"/>
        <v>0</v>
      </c>
      <c r="BI135" s="23">
        <f t="shared" si="32"/>
        <v>0</v>
      </c>
      <c r="BJ135" s="18">
        <f t="shared" si="33"/>
        <v>5.4861241437870615E-3</v>
      </c>
      <c r="BL135" s="23"/>
      <c r="BN135" s="12">
        <f t="shared" si="34"/>
        <v>0</v>
      </c>
      <c r="BO135" s="12">
        <f t="shared" si="35"/>
        <v>0</v>
      </c>
      <c r="BP135" s="12">
        <f t="shared" si="36"/>
        <v>0</v>
      </c>
      <c r="BQ135" s="12">
        <f t="shared" si="25"/>
        <v>1</v>
      </c>
      <c r="BR135" s="12">
        <f t="shared" si="37"/>
        <v>0</v>
      </c>
      <c r="BS135" s="23">
        <f t="shared" si="38"/>
        <v>0</v>
      </c>
      <c r="BT135" s="23">
        <f t="shared" si="39"/>
        <v>0</v>
      </c>
      <c r="BU135" s="23">
        <f t="shared" si="40"/>
        <v>0</v>
      </c>
      <c r="BV135" s="18">
        <f t="shared" si="41"/>
        <v>7.8853492280009374E-3</v>
      </c>
      <c r="BX135" s="18">
        <f t="shared" si="42"/>
        <v>0</v>
      </c>
      <c r="BY135" s="18">
        <f t="shared" si="43"/>
        <v>1.3371473371787998E-2</v>
      </c>
    </row>
    <row r="136" spans="1:77" x14ac:dyDescent="0.3">
      <c r="A136" s="1">
        <v>46220</v>
      </c>
      <c r="B136" s="6">
        <v>66.48</v>
      </c>
      <c r="C136" s="6">
        <v>95.53</v>
      </c>
      <c r="D136" s="7">
        <v>-1.20264596576034E-3</v>
      </c>
      <c r="E136" s="7">
        <v>-6.27877793754274E-4</v>
      </c>
      <c r="F136" s="6">
        <v>0</v>
      </c>
      <c r="G136" s="6">
        <v>1.9386000000000001</v>
      </c>
      <c r="H136" s="6">
        <v>0</v>
      </c>
      <c r="I136" s="6">
        <v>2.4897999999999998</v>
      </c>
      <c r="J136" s="6">
        <v>1.9386000000000001</v>
      </c>
      <c r="K136" s="6">
        <v>2.4897999999999998</v>
      </c>
      <c r="L136" s="6">
        <v>68.418599999999998</v>
      </c>
      <c r="M136" s="6">
        <v>98.019800000000004</v>
      </c>
      <c r="N136" s="8">
        <v>1.4369735258724401</v>
      </c>
      <c r="O136" s="8">
        <v>1.43297833357297</v>
      </c>
      <c r="P136" s="8">
        <v>1.43734104432101</v>
      </c>
      <c r="Q136" s="8">
        <v>1.43620659137887</v>
      </c>
      <c r="R136" s="6">
        <v>95.264399615930998</v>
      </c>
      <c r="S136" s="6">
        <v>95.546769939893906</v>
      </c>
      <c r="T136" s="6">
        <v>95.4706119302666</v>
      </c>
      <c r="U136" s="7">
        <v>-2.7841546310659699E-3</v>
      </c>
      <c r="V136" s="7">
        <v>1.7553091296561399E-4</v>
      </c>
      <c r="W136" s="7">
        <v>-6.2186263224020804E-4</v>
      </c>
      <c r="X136" s="8">
        <v>1.4326484318591699</v>
      </c>
      <c r="Y136" s="8">
        <v>1.4302827749172899</v>
      </c>
      <c r="Z136" s="8">
        <v>1.4330155727956899</v>
      </c>
      <c r="AA136" s="8">
        <v>1.4322158331917201</v>
      </c>
      <c r="AB136" s="6">
        <v>97.857945063956294</v>
      </c>
      <c r="AC136" s="6">
        <v>98.037478105293403</v>
      </c>
      <c r="AD136" s="6">
        <v>97.984371353970104</v>
      </c>
      <c r="AE136" s="7">
        <v>-1.65261217223021E-3</v>
      </c>
      <c r="AF136" s="7">
        <v>1.8033612944383999E-4</v>
      </c>
      <c r="AG136" s="7">
        <v>-3.6150910637255598E-4</v>
      </c>
      <c r="AZ136" s="23"/>
      <c r="BB136" s="12">
        <f t="shared" si="26"/>
        <v>0</v>
      </c>
      <c r="BC136" s="12">
        <f t="shared" si="27"/>
        <v>1</v>
      </c>
      <c r="BD136" s="12">
        <f t="shared" si="28"/>
        <v>0</v>
      </c>
      <c r="BE136" s="12">
        <f t="shared" si="24"/>
        <v>1</v>
      </c>
      <c r="BF136" s="12">
        <f t="shared" si="29"/>
        <v>0</v>
      </c>
      <c r="BG136" s="23">
        <f t="shared" si="30"/>
        <v>0</v>
      </c>
      <c r="BH136" s="23">
        <f t="shared" si="31"/>
        <v>0</v>
      </c>
      <c r="BI136" s="23">
        <f t="shared" si="32"/>
        <v>0</v>
      </c>
      <c r="BJ136" s="18">
        <f t="shared" si="33"/>
        <v>5.4861241437870615E-3</v>
      </c>
      <c r="BL136" s="23"/>
      <c r="BN136" s="12">
        <f t="shared" si="34"/>
        <v>0</v>
      </c>
      <c r="BO136" s="12">
        <f t="shared" si="35"/>
        <v>1</v>
      </c>
      <c r="BP136" s="12">
        <f t="shared" si="36"/>
        <v>0</v>
      </c>
      <c r="BQ136" s="12">
        <f t="shared" si="25"/>
        <v>1</v>
      </c>
      <c r="BR136" s="12">
        <f t="shared" si="37"/>
        <v>0</v>
      </c>
      <c r="BS136" s="23">
        <f t="shared" si="38"/>
        <v>0</v>
      </c>
      <c r="BT136" s="23">
        <f t="shared" si="39"/>
        <v>0</v>
      </c>
      <c r="BU136" s="23">
        <f t="shared" si="40"/>
        <v>0</v>
      </c>
      <c r="BV136" s="18">
        <f t="shared" si="41"/>
        <v>7.8853492280009374E-3</v>
      </c>
      <c r="BX136" s="18">
        <f t="shared" si="42"/>
        <v>0</v>
      </c>
      <c r="BY136" s="18">
        <f t="shared" si="43"/>
        <v>1.3371473371787998E-2</v>
      </c>
    </row>
    <row r="137" spans="1:77" x14ac:dyDescent="0.3">
      <c r="A137" s="1">
        <v>46223</v>
      </c>
      <c r="B137" s="6">
        <v>66.36</v>
      </c>
      <c r="C137" s="6">
        <v>95.37</v>
      </c>
      <c r="D137" s="7">
        <v>-1.80668522494903E-3</v>
      </c>
      <c r="E137" s="7">
        <v>-1.67627069109591E-3</v>
      </c>
      <c r="F137" s="6">
        <v>0</v>
      </c>
      <c r="G137" s="6">
        <v>1.9386000000000001</v>
      </c>
      <c r="H137" s="6">
        <v>0</v>
      </c>
      <c r="I137" s="6">
        <v>2.4897999999999998</v>
      </c>
      <c r="J137" s="6">
        <v>1.9386000000000001</v>
      </c>
      <c r="K137" s="6">
        <v>2.4897999999999998</v>
      </c>
      <c r="L137" s="6">
        <v>68.298599999999993</v>
      </c>
      <c r="M137" s="6">
        <v>97.859800000000007</v>
      </c>
      <c r="N137" s="8">
        <v>1.4371609403254899</v>
      </c>
      <c r="O137" s="8">
        <v>1.43297833357297</v>
      </c>
      <c r="P137" s="8">
        <v>1.4373584060642199</v>
      </c>
      <c r="Q137" s="8">
        <v>1.4363490393441301</v>
      </c>
      <c r="R137" s="6">
        <v>95.092442215902295</v>
      </c>
      <c r="S137" s="6">
        <v>95.381951701142597</v>
      </c>
      <c r="T137" s="6">
        <v>95.306669403901793</v>
      </c>
      <c r="U137" s="7">
        <v>-2.9145691649190598E-3</v>
      </c>
      <c r="V137" s="7">
        <v>1.25311442967267E-4</v>
      </c>
      <c r="W137" s="7">
        <v>-6.6427212752235296E-4</v>
      </c>
      <c r="X137" s="8">
        <v>1.43282292755634</v>
      </c>
      <c r="Y137" s="8">
        <v>1.4302827749172899</v>
      </c>
      <c r="Z137" s="8">
        <v>1.4330281079392</v>
      </c>
      <c r="AA137" s="8">
        <v>1.4323155019159099</v>
      </c>
      <c r="AB137" s="6">
        <v>97.686311130966203</v>
      </c>
      <c r="AC137" s="6">
        <v>97.872957400144102</v>
      </c>
      <c r="AD137" s="6">
        <v>97.818336304828406</v>
      </c>
      <c r="AE137" s="7">
        <v>-1.7744041397665001E-3</v>
      </c>
      <c r="AF137" s="7">
        <v>1.3444249535653801E-4</v>
      </c>
      <c r="AG137" s="7">
        <v>-4.2379487637381799E-4</v>
      </c>
      <c r="AZ137" s="23"/>
      <c r="BB137" s="12">
        <f t="shared" si="26"/>
        <v>0</v>
      </c>
      <c r="BC137" s="12">
        <f t="shared" si="27"/>
        <v>1</v>
      </c>
      <c r="BD137" s="12">
        <f t="shared" si="28"/>
        <v>0</v>
      </c>
      <c r="BE137" s="12">
        <f t="shared" si="24"/>
        <v>1</v>
      </c>
      <c r="BF137" s="12">
        <f t="shared" si="29"/>
        <v>0</v>
      </c>
      <c r="BG137" s="23">
        <f t="shared" si="30"/>
        <v>0</v>
      </c>
      <c r="BH137" s="23">
        <f t="shared" si="31"/>
        <v>0</v>
      </c>
      <c r="BI137" s="23">
        <f t="shared" si="32"/>
        <v>0</v>
      </c>
      <c r="BJ137" s="18">
        <f t="shared" si="33"/>
        <v>5.4861241437870615E-3</v>
      </c>
      <c r="BL137" s="23"/>
      <c r="BN137" s="12">
        <f t="shared" si="34"/>
        <v>0</v>
      </c>
      <c r="BO137" s="12">
        <f t="shared" si="35"/>
        <v>1</v>
      </c>
      <c r="BP137" s="12">
        <f t="shared" si="36"/>
        <v>0</v>
      </c>
      <c r="BQ137" s="12">
        <f t="shared" si="25"/>
        <v>1</v>
      </c>
      <c r="BR137" s="12">
        <f t="shared" si="37"/>
        <v>0</v>
      </c>
      <c r="BS137" s="23">
        <f t="shared" si="38"/>
        <v>0</v>
      </c>
      <c r="BT137" s="23">
        <f t="shared" si="39"/>
        <v>0</v>
      </c>
      <c r="BU137" s="23">
        <f t="shared" si="40"/>
        <v>0</v>
      </c>
      <c r="BV137" s="18">
        <f t="shared" si="41"/>
        <v>7.8853492280009374E-3</v>
      </c>
      <c r="BX137" s="18">
        <f t="shared" si="42"/>
        <v>0</v>
      </c>
      <c r="BY137" s="18">
        <f t="shared" si="43"/>
        <v>1.3371473371787998E-2</v>
      </c>
    </row>
    <row r="138" spans="1:77" x14ac:dyDescent="0.3">
      <c r="A138" s="1">
        <v>46224</v>
      </c>
      <c r="B138" s="6">
        <v>66.3</v>
      </c>
      <c r="C138" s="6">
        <v>95.38</v>
      </c>
      <c r="D138" s="7">
        <v>-9.0456813042693804E-4</v>
      </c>
      <c r="E138" s="7">
        <v>1.04849279257072E-4</v>
      </c>
      <c r="F138" s="6">
        <v>0</v>
      </c>
      <c r="G138" s="6">
        <v>1.9386000000000001</v>
      </c>
      <c r="H138" s="6">
        <v>0</v>
      </c>
      <c r="I138" s="6">
        <v>2.4897999999999998</v>
      </c>
      <c r="J138" s="6">
        <v>1.9386000000000001</v>
      </c>
      <c r="K138" s="6">
        <v>2.4897999999999998</v>
      </c>
      <c r="L138" s="6">
        <v>68.238599999999906</v>
      </c>
      <c r="M138" s="6">
        <v>97.869799999999998</v>
      </c>
      <c r="N138" s="8">
        <v>1.4386123680241301</v>
      </c>
      <c r="O138" s="8">
        <v>1.43297833357297</v>
      </c>
      <c r="P138" s="8">
        <v>1.43733841911139</v>
      </c>
      <c r="Q138" s="8">
        <v>1.43654279214034</v>
      </c>
      <c r="R138" s="6">
        <v>95.006463515887901</v>
      </c>
      <c r="S138" s="6">
        <v>95.296862322058402</v>
      </c>
      <c r="T138" s="6">
        <v>95.229941308516302</v>
      </c>
      <c r="U138" s="7">
        <v>-3.9239865746032998E-3</v>
      </c>
      <c r="V138" s="7">
        <v>-8.7202696958107203E-4</v>
      </c>
      <c r="W138" s="7">
        <v>-1.5745109772789499E-3</v>
      </c>
      <c r="X138" s="8">
        <v>1.4342293071663199</v>
      </c>
      <c r="Y138" s="8">
        <v>1.4302827749172899</v>
      </c>
      <c r="Z138" s="8">
        <v>1.4330062583776</v>
      </c>
      <c r="AA138" s="8">
        <v>1.43246535779721</v>
      </c>
      <c r="AB138" s="6">
        <v>97.600494164471201</v>
      </c>
      <c r="AC138" s="6">
        <v>97.787831846420104</v>
      </c>
      <c r="AD138" s="6">
        <v>97.739204609039405</v>
      </c>
      <c r="AE138" s="7">
        <v>-2.7554673417173599E-3</v>
      </c>
      <c r="AF138" s="7">
        <v>-8.3787335665546096E-4</v>
      </c>
      <c r="AG138" s="7">
        <v>-1.3352699240538699E-3</v>
      </c>
      <c r="AZ138" s="23"/>
      <c r="BB138" s="12">
        <f t="shared" si="26"/>
        <v>0</v>
      </c>
      <c r="BC138" s="12">
        <f t="shared" si="27"/>
        <v>0</v>
      </c>
      <c r="BD138" s="12">
        <f t="shared" si="28"/>
        <v>0</v>
      </c>
      <c r="BE138" s="12">
        <f t="shared" si="24"/>
        <v>1</v>
      </c>
      <c r="BF138" s="12">
        <f t="shared" si="29"/>
        <v>0</v>
      </c>
      <c r="BG138" s="23">
        <f t="shared" si="30"/>
        <v>0</v>
      </c>
      <c r="BH138" s="23">
        <f t="shared" si="31"/>
        <v>0</v>
      </c>
      <c r="BI138" s="23">
        <f t="shared" si="32"/>
        <v>0</v>
      </c>
      <c r="BJ138" s="18">
        <f t="shared" si="33"/>
        <v>5.4861241437870615E-3</v>
      </c>
      <c r="BL138" s="23"/>
      <c r="BN138" s="12">
        <f t="shared" si="34"/>
        <v>0</v>
      </c>
      <c r="BO138" s="12">
        <f t="shared" si="35"/>
        <v>1</v>
      </c>
      <c r="BP138" s="12">
        <f t="shared" si="36"/>
        <v>0</v>
      </c>
      <c r="BQ138" s="12">
        <f t="shared" si="25"/>
        <v>1</v>
      </c>
      <c r="BR138" s="12">
        <f t="shared" si="37"/>
        <v>0</v>
      </c>
      <c r="BS138" s="23">
        <f t="shared" si="38"/>
        <v>0</v>
      </c>
      <c r="BT138" s="23">
        <f t="shared" si="39"/>
        <v>0</v>
      </c>
      <c r="BU138" s="23">
        <f t="shared" si="40"/>
        <v>0</v>
      </c>
      <c r="BV138" s="18">
        <f t="shared" si="41"/>
        <v>7.8853492280009374E-3</v>
      </c>
      <c r="BX138" s="18">
        <f t="shared" si="42"/>
        <v>0</v>
      </c>
      <c r="BY138" s="18">
        <f t="shared" si="43"/>
        <v>1.3371473371787998E-2</v>
      </c>
    </row>
    <row r="139" spans="1:77" x14ac:dyDescent="0.3">
      <c r="A139" s="1">
        <v>46225</v>
      </c>
      <c r="B139" s="6">
        <v>66.12</v>
      </c>
      <c r="C139" s="6">
        <v>95.09</v>
      </c>
      <c r="D139" s="7">
        <v>-2.7186242389932698E-3</v>
      </c>
      <c r="E139" s="7">
        <v>-3.0451013187253301E-3</v>
      </c>
      <c r="F139" s="6">
        <v>0</v>
      </c>
      <c r="G139" s="6">
        <v>1.9386000000000001</v>
      </c>
      <c r="H139" s="6">
        <v>0</v>
      </c>
      <c r="I139" s="6">
        <v>2.4897999999999998</v>
      </c>
      <c r="J139" s="6">
        <v>1.9386000000000001</v>
      </c>
      <c r="K139" s="6">
        <v>2.4897999999999998</v>
      </c>
      <c r="L139" s="6">
        <v>68.058599999999998</v>
      </c>
      <c r="M139" s="6">
        <v>97.579800000000006</v>
      </c>
      <c r="N139" s="8">
        <v>1.4381427707198999</v>
      </c>
      <c r="O139" s="8">
        <v>1.43297833357297</v>
      </c>
      <c r="P139" s="8">
        <v>1.4373670462284101</v>
      </c>
      <c r="Q139" s="8">
        <v>1.4366997816006</v>
      </c>
      <c r="R139" s="6">
        <v>94.748527415844706</v>
      </c>
      <c r="S139" s="6">
        <v>95.036816271645307</v>
      </c>
      <c r="T139" s="6">
        <v>94.984209416319501</v>
      </c>
      <c r="U139" s="7">
        <v>-3.5975094948711901E-3</v>
      </c>
      <c r="V139" s="7">
        <v>-5.5945532339671895E-4</v>
      </c>
      <c r="W139" s="7">
        <v>-1.1131504366547901E-3</v>
      </c>
      <c r="X139" s="8">
        <v>1.4337614937715399</v>
      </c>
      <c r="Y139" s="8">
        <v>1.4302827749172899</v>
      </c>
      <c r="Z139" s="8">
        <v>1.4330308807399099</v>
      </c>
      <c r="AA139" s="8">
        <v>1.4325791342916301</v>
      </c>
      <c r="AB139" s="6">
        <v>97.343043264986093</v>
      </c>
      <c r="AC139" s="6">
        <v>97.528399736417896</v>
      </c>
      <c r="AD139" s="6">
        <v>97.491586800177501</v>
      </c>
      <c r="AE139" s="7">
        <v>-2.4292365889707402E-3</v>
      </c>
      <c r="AF139" s="7">
        <v>-5.2688984717831101E-4</v>
      </c>
      <c r="AG139" s="7">
        <v>-9.0441973353932905E-4</v>
      </c>
      <c r="AZ139" s="23"/>
      <c r="BB139" s="12">
        <f t="shared" si="26"/>
        <v>0</v>
      </c>
      <c r="BC139" s="12">
        <f t="shared" si="27"/>
        <v>0</v>
      </c>
      <c r="BD139" s="12">
        <f t="shared" si="28"/>
        <v>0</v>
      </c>
      <c r="BE139" s="12">
        <f t="shared" si="24"/>
        <v>1</v>
      </c>
      <c r="BF139" s="12">
        <f t="shared" si="29"/>
        <v>0</v>
      </c>
      <c r="BG139" s="23">
        <f t="shared" si="30"/>
        <v>0</v>
      </c>
      <c r="BH139" s="23">
        <f t="shared" si="31"/>
        <v>0</v>
      </c>
      <c r="BI139" s="23">
        <f t="shared" si="32"/>
        <v>0</v>
      </c>
      <c r="BJ139" s="18">
        <f t="shared" si="33"/>
        <v>5.4861241437870615E-3</v>
      </c>
      <c r="BL139" s="23"/>
      <c r="BN139" s="12">
        <f t="shared" si="34"/>
        <v>0</v>
      </c>
      <c r="BO139" s="12">
        <f t="shared" si="35"/>
        <v>1</v>
      </c>
      <c r="BP139" s="12">
        <f t="shared" si="36"/>
        <v>0</v>
      </c>
      <c r="BQ139" s="12">
        <f t="shared" si="25"/>
        <v>1</v>
      </c>
      <c r="BR139" s="12">
        <f t="shared" si="37"/>
        <v>0</v>
      </c>
      <c r="BS139" s="23">
        <f t="shared" si="38"/>
        <v>0</v>
      </c>
      <c r="BT139" s="23">
        <f t="shared" si="39"/>
        <v>0</v>
      </c>
      <c r="BU139" s="23">
        <f t="shared" si="40"/>
        <v>0</v>
      </c>
      <c r="BV139" s="18">
        <f t="shared" si="41"/>
        <v>7.8853492280009374E-3</v>
      </c>
      <c r="BX139" s="18">
        <f t="shared" si="42"/>
        <v>0</v>
      </c>
      <c r="BY139" s="18">
        <f t="shared" si="43"/>
        <v>1.3371473371787998E-2</v>
      </c>
    </row>
    <row r="140" spans="1:77" x14ac:dyDescent="0.3">
      <c r="A140" s="1">
        <v>46226</v>
      </c>
      <c r="B140" s="6">
        <v>65.72</v>
      </c>
      <c r="C140" s="6">
        <v>94.53</v>
      </c>
      <c r="D140" s="7">
        <v>-6.0679797837561601E-3</v>
      </c>
      <c r="E140" s="7">
        <v>-5.90656711405996E-3</v>
      </c>
      <c r="F140" s="6">
        <v>0</v>
      </c>
      <c r="G140" s="6">
        <v>1.9386000000000001</v>
      </c>
      <c r="H140" s="6">
        <v>0</v>
      </c>
      <c r="I140" s="6">
        <v>2.4897999999999998</v>
      </c>
      <c r="J140" s="6">
        <v>1.9386000000000001</v>
      </c>
      <c r="K140" s="6">
        <v>2.4897999999999998</v>
      </c>
      <c r="L140" s="6">
        <v>67.658599999999893</v>
      </c>
      <c r="M140" s="6">
        <v>97.019800000000004</v>
      </c>
      <c r="N140" s="8">
        <v>1.4383749239196499</v>
      </c>
      <c r="O140" s="8">
        <v>1.43297833357297</v>
      </c>
      <c r="P140" s="8">
        <v>1.43733647265336</v>
      </c>
      <c r="Q140" s="8">
        <v>1.43686195178232</v>
      </c>
      <c r="R140" s="6">
        <v>94.175336082415598</v>
      </c>
      <c r="S140" s="6">
        <v>94.463762278131398</v>
      </c>
      <c r="T140" s="6">
        <v>94.419909646791893</v>
      </c>
      <c r="U140" s="7">
        <v>-3.75892216456744E-3</v>
      </c>
      <c r="V140" s="7">
        <v>-7.0095143651500405E-4</v>
      </c>
      <c r="W140" s="7">
        <v>-1.16528624831219E-3</v>
      </c>
      <c r="X140" s="8">
        <v>1.4339610928987501</v>
      </c>
      <c r="Y140" s="8">
        <v>1.4302827749172899</v>
      </c>
      <c r="Z140" s="8">
        <v>1.4329948687452601</v>
      </c>
      <c r="AA140" s="8">
        <v>1.43269607948128</v>
      </c>
      <c r="AB140" s="6">
        <v>96.770930155019201</v>
      </c>
      <c r="AC140" s="6">
        <v>96.956863147629306</v>
      </c>
      <c r="AD140" s="6">
        <v>96.926298615383701</v>
      </c>
      <c r="AE140" s="7">
        <v>-2.5684405192710502E-3</v>
      </c>
      <c r="AF140" s="7">
        <v>-6.4891161192116495E-4</v>
      </c>
      <c r="AG140" s="7">
        <v>-9.6419977022133604E-4</v>
      </c>
      <c r="AZ140" s="23"/>
      <c r="BB140" s="12">
        <f t="shared" si="26"/>
        <v>0</v>
      </c>
      <c r="BC140" s="12">
        <f t="shared" si="27"/>
        <v>0</v>
      </c>
      <c r="BD140" s="12">
        <f t="shared" si="28"/>
        <v>0</v>
      </c>
      <c r="BE140" s="12">
        <f t="shared" si="24"/>
        <v>1</v>
      </c>
      <c r="BF140" s="12">
        <f t="shared" si="29"/>
        <v>0</v>
      </c>
      <c r="BG140" s="23">
        <f t="shared" si="30"/>
        <v>0</v>
      </c>
      <c r="BH140" s="23">
        <f t="shared" si="31"/>
        <v>0</v>
      </c>
      <c r="BI140" s="23">
        <f t="shared" si="32"/>
        <v>0</v>
      </c>
      <c r="BJ140" s="18">
        <f t="shared" si="33"/>
        <v>5.4861241437870615E-3</v>
      </c>
      <c r="BL140" s="23"/>
      <c r="BN140" s="12">
        <f t="shared" si="34"/>
        <v>0</v>
      </c>
      <c r="BO140" s="12">
        <f t="shared" si="35"/>
        <v>1</v>
      </c>
      <c r="BP140" s="12">
        <f t="shared" si="36"/>
        <v>0</v>
      </c>
      <c r="BQ140" s="12">
        <f t="shared" si="25"/>
        <v>1</v>
      </c>
      <c r="BR140" s="12">
        <f t="shared" si="37"/>
        <v>0</v>
      </c>
      <c r="BS140" s="23">
        <f t="shared" si="38"/>
        <v>0</v>
      </c>
      <c r="BT140" s="23">
        <f t="shared" si="39"/>
        <v>0</v>
      </c>
      <c r="BU140" s="23">
        <f t="shared" si="40"/>
        <v>0</v>
      </c>
      <c r="BV140" s="18">
        <f t="shared" si="41"/>
        <v>7.8853492280009374E-3</v>
      </c>
      <c r="BX140" s="18">
        <f t="shared" si="42"/>
        <v>0</v>
      </c>
      <c r="BY140" s="18">
        <f t="shared" si="43"/>
        <v>1.3371473371787998E-2</v>
      </c>
    </row>
    <row r="141" spans="1:77" x14ac:dyDescent="0.3">
      <c r="A141" s="1">
        <v>46227</v>
      </c>
      <c r="B141" s="6">
        <v>65.849999999999994</v>
      </c>
      <c r="C141" s="6">
        <v>94.64</v>
      </c>
      <c r="D141" s="7">
        <v>1.9761350202225302E-3</v>
      </c>
      <c r="E141" s="7">
        <v>1.16297523283839E-3</v>
      </c>
      <c r="F141" s="6">
        <v>0</v>
      </c>
      <c r="G141" s="6">
        <v>1.9386000000000001</v>
      </c>
      <c r="H141" s="6">
        <v>0</v>
      </c>
      <c r="I141" s="6">
        <v>2.4897999999999998</v>
      </c>
      <c r="J141" s="6">
        <v>1.9386000000000001</v>
      </c>
      <c r="K141" s="6">
        <v>2.4897999999999998</v>
      </c>
      <c r="L141" s="6">
        <v>67.788599999999903</v>
      </c>
      <c r="M141" s="6">
        <v>97.129800000000003</v>
      </c>
      <c r="N141" s="8">
        <v>1.43720577069096</v>
      </c>
      <c r="O141" s="8">
        <v>1.43297833357297</v>
      </c>
      <c r="P141" s="8">
        <v>1.4373594449320399</v>
      </c>
      <c r="Q141" s="8">
        <v>1.4369730948271999</v>
      </c>
      <c r="R141" s="6">
        <v>94.361623265779997</v>
      </c>
      <c r="S141" s="6">
        <v>94.648606724223995</v>
      </c>
      <c r="T141" s="6">
        <v>94.617359524866004</v>
      </c>
      <c r="U141" s="7">
        <v>-2.9457623771831001E-3</v>
      </c>
      <c r="V141" s="7">
        <v>9.0937583396740598E-5</v>
      </c>
      <c r="W141" s="7">
        <v>-2.39255956003845E-4</v>
      </c>
      <c r="X141" s="8">
        <v>1.4328338393181099</v>
      </c>
      <c r="Y141" s="8">
        <v>1.4302827749172899</v>
      </c>
      <c r="Z141" s="8">
        <v>1.4330111509322001</v>
      </c>
      <c r="AA141" s="8">
        <v>1.43276391731695</v>
      </c>
      <c r="AB141" s="6">
        <v>96.956866915758397</v>
      </c>
      <c r="AC141" s="6">
        <v>97.140715959425094</v>
      </c>
      <c r="AD141" s="6">
        <v>97.120461453524896</v>
      </c>
      <c r="AE141" s="7">
        <v>-1.78201967969701E-3</v>
      </c>
      <c r="AF141" s="7">
        <v>1.12378961703676E-4</v>
      </c>
      <c r="AG141" s="7">
        <v>-9.6149641316675997E-5</v>
      </c>
      <c r="AZ141" s="23"/>
      <c r="BB141" s="12">
        <f t="shared" si="26"/>
        <v>0</v>
      </c>
      <c r="BC141" s="12">
        <f t="shared" si="27"/>
        <v>1</v>
      </c>
      <c r="BD141" s="12">
        <f t="shared" si="28"/>
        <v>0</v>
      </c>
      <c r="BE141" s="12">
        <f t="shared" si="24"/>
        <v>1</v>
      </c>
      <c r="BF141" s="12">
        <f t="shared" si="29"/>
        <v>0</v>
      </c>
      <c r="BG141" s="23">
        <f t="shared" si="30"/>
        <v>0</v>
      </c>
      <c r="BH141" s="23">
        <f t="shared" si="31"/>
        <v>0</v>
      </c>
      <c r="BI141" s="23">
        <f t="shared" si="32"/>
        <v>0</v>
      </c>
      <c r="BJ141" s="18">
        <f t="shared" si="33"/>
        <v>5.4861241437870615E-3</v>
      </c>
      <c r="BL141" s="23"/>
      <c r="BN141" s="12">
        <f t="shared" si="34"/>
        <v>0</v>
      </c>
      <c r="BO141" s="12">
        <f t="shared" si="35"/>
        <v>1</v>
      </c>
      <c r="BP141" s="12">
        <f t="shared" si="36"/>
        <v>0</v>
      </c>
      <c r="BQ141" s="12">
        <f t="shared" si="25"/>
        <v>1</v>
      </c>
      <c r="BR141" s="12">
        <f t="shared" si="37"/>
        <v>0</v>
      </c>
      <c r="BS141" s="23">
        <f t="shared" si="38"/>
        <v>0</v>
      </c>
      <c r="BT141" s="23">
        <f t="shared" si="39"/>
        <v>0</v>
      </c>
      <c r="BU141" s="23">
        <f t="shared" si="40"/>
        <v>0</v>
      </c>
      <c r="BV141" s="18">
        <f t="shared" si="41"/>
        <v>7.8853492280009374E-3</v>
      </c>
      <c r="BX141" s="18">
        <f t="shared" si="42"/>
        <v>0</v>
      </c>
      <c r="BY141" s="18">
        <f t="shared" si="43"/>
        <v>1.3371473371787998E-2</v>
      </c>
    </row>
    <row r="142" spans="1:77" x14ac:dyDescent="0.3">
      <c r="A142" s="1">
        <v>46230</v>
      </c>
      <c r="B142" s="6">
        <v>66.02</v>
      </c>
      <c r="C142" s="6">
        <v>94.96</v>
      </c>
      <c r="D142" s="7">
        <v>2.57829823575698E-3</v>
      </c>
      <c r="E142" s="7">
        <v>3.3755306312812099E-3</v>
      </c>
      <c r="F142" s="6">
        <v>0</v>
      </c>
      <c r="G142" s="6">
        <v>1.9386000000000001</v>
      </c>
      <c r="H142" s="6">
        <v>0</v>
      </c>
      <c r="I142" s="6">
        <v>2.4897999999999998</v>
      </c>
      <c r="J142" s="6">
        <v>1.9386000000000001</v>
      </c>
      <c r="K142" s="6">
        <v>2.4897999999999998</v>
      </c>
      <c r="L142" s="6">
        <v>67.958599999999905</v>
      </c>
      <c r="M142" s="6">
        <v>97.449799999999996</v>
      </c>
      <c r="N142" s="8">
        <v>1.43835201454104</v>
      </c>
      <c r="O142" s="8">
        <v>1.43297833357297</v>
      </c>
      <c r="P142" s="8">
        <v>1.4375284315947601</v>
      </c>
      <c r="Q142" s="8">
        <v>1.4371030691414</v>
      </c>
      <c r="R142" s="6">
        <v>94.605229582487397</v>
      </c>
      <c r="S142" s="6">
        <v>94.894470554413402</v>
      </c>
      <c r="T142" s="6">
        <v>94.868963720491806</v>
      </c>
      <c r="U142" s="7">
        <v>-3.7429947727074401E-3</v>
      </c>
      <c r="V142" s="7">
        <v>-6.9031240610187598E-4</v>
      </c>
      <c r="W142" s="7">
        <v>-9.5914010910681596E-4</v>
      </c>
      <c r="X142" s="8">
        <v>1.4339583216840801</v>
      </c>
      <c r="Y142" s="8">
        <v>1.4302827749172899</v>
      </c>
      <c r="Z142" s="8">
        <v>1.4331729639636701</v>
      </c>
      <c r="AA142" s="8">
        <v>1.4328505335952999</v>
      </c>
      <c r="AB142" s="6">
        <v>97.200014987494299</v>
      </c>
      <c r="AC142" s="6">
        <v>97.385431601741104</v>
      </c>
      <c r="AD142" s="6">
        <v>97.368629951375695</v>
      </c>
      <c r="AE142" s="7">
        <v>-2.5665079582226401E-3</v>
      </c>
      <c r="AF142" s="7">
        <v>-6.6074703298266699E-4</v>
      </c>
      <c r="AG142" s="7">
        <v>-8.3328926674275101E-4</v>
      </c>
      <c r="AZ142" s="23"/>
      <c r="BB142" s="12">
        <f t="shared" si="26"/>
        <v>0</v>
      </c>
      <c r="BC142" s="12">
        <f t="shared" si="27"/>
        <v>0</v>
      </c>
      <c r="BD142" s="12">
        <f t="shared" si="28"/>
        <v>0</v>
      </c>
      <c r="BE142" s="12">
        <f t="shared" si="24"/>
        <v>1</v>
      </c>
      <c r="BF142" s="12">
        <f t="shared" si="29"/>
        <v>0</v>
      </c>
      <c r="BG142" s="23">
        <f t="shared" si="30"/>
        <v>0</v>
      </c>
      <c r="BH142" s="23">
        <f t="shared" si="31"/>
        <v>0</v>
      </c>
      <c r="BI142" s="23">
        <f t="shared" si="32"/>
        <v>0</v>
      </c>
      <c r="BJ142" s="18">
        <f t="shared" si="33"/>
        <v>5.4861241437870615E-3</v>
      </c>
      <c r="BL142" s="23"/>
      <c r="BN142" s="12">
        <f t="shared" si="34"/>
        <v>0</v>
      </c>
      <c r="BO142" s="12">
        <f t="shared" si="35"/>
        <v>1</v>
      </c>
      <c r="BP142" s="12">
        <f t="shared" si="36"/>
        <v>0</v>
      </c>
      <c r="BQ142" s="12">
        <f t="shared" si="25"/>
        <v>1</v>
      </c>
      <c r="BR142" s="12">
        <f t="shared" si="37"/>
        <v>0</v>
      </c>
      <c r="BS142" s="23">
        <f t="shared" si="38"/>
        <v>0</v>
      </c>
      <c r="BT142" s="23">
        <f t="shared" si="39"/>
        <v>0</v>
      </c>
      <c r="BU142" s="23">
        <f t="shared" si="40"/>
        <v>0</v>
      </c>
      <c r="BV142" s="18">
        <f t="shared" si="41"/>
        <v>7.8853492280009374E-3</v>
      </c>
      <c r="BX142" s="18">
        <f t="shared" si="42"/>
        <v>0</v>
      </c>
      <c r="BY142" s="18">
        <f t="shared" si="43"/>
        <v>1.3371473371787998E-2</v>
      </c>
    </row>
    <row r="143" spans="1:77" x14ac:dyDescent="0.3">
      <c r="A143" s="1">
        <v>46231</v>
      </c>
      <c r="B143" s="6">
        <v>66.13</v>
      </c>
      <c r="C143" s="6">
        <v>95.19</v>
      </c>
      <c r="D143" s="7">
        <v>1.66477526152409E-3</v>
      </c>
      <c r="E143" s="7">
        <v>2.4191439618014101E-3</v>
      </c>
      <c r="F143" s="6">
        <v>0</v>
      </c>
      <c r="G143" s="6">
        <v>1.9386000000000001</v>
      </c>
      <c r="H143" s="6">
        <v>0</v>
      </c>
      <c r="I143" s="6">
        <v>2.4897999999999998</v>
      </c>
      <c r="J143" s="6">
        <v>1.9386000000000001</v>
      </c>
      <c r="K143" s="6">
        <v>2.4897999999999998</v>
      </c>
      <c r="L143" s="6">
        <v>68.068599999999904</v>
      </c>
      <c r="M143" s="6">
        <v>97.6798</v>
      </c>
      <c r="N143" s="8">
        <v>1.43943747164675</v>
      </c>
      <c r="O143" s="8">
        <v>1.43297833357297</v>
      </c>
      <c r="P143" s="8">
        <v>1.4377795009666201</v>
      </c>
      <c r="Q143" s="8">
        <v>1.4373351679756601</v>
      </c>
      <c r="R143" s="6">
        <v>94.762857199180502</v>
      </c>
      <c r="S143" s="6">
        <v>95.0637551813616</v>
      </c>
      <c r="T143" s="6">
        <v>95.035625962321006</v>
      </c>
      <c r="U143" s="7">
        <v>-4.4973634729846296E-3</v>
      </c>
      <c r="V143" s="7">
        <v>-1.3271205821618799E-3</v>
      </c>
      <c r="W143" s="7">
        <v>-1.6230628317021999E-3</v>
      </c>
      <c r="X143" s="8">
        <v>1.4350199651527999</v>
      </c>
      <c r="Y143" s="8">
        <v>1.4302827749172899</v>
      </c>
      <c r="Z143" s="8">
        <v>1.43341447012561</v>
      </c>
      <c r="AA143" s="8">
        <v>1.4330363461714599</v>
      </c>
      <c r="AB143" s="6">
        <v>97.357346092735199</v>
      </c>
      <c r="AC143" s="6">
        <v>97.554077214857799</v>
      </c>
      <c r="AD143" s="6">
        <v>97.5321298310852</v>
      </c>
      <c r="AE143" s="7">
        <v>-3.3065926929493599E-3</v>
      </c>
      <c r="AF143" s="7">
        <v>-1.28791994825958E-3</v>
      </c>
      <c r="AG143" s="7">
        <v>-1.51292185072654E-3</v>
      </c>
      <c r="AZ143" s="23"/>
      <c r="BB143" s="12">
        <f t="shared" si="26"/>
        <v>1</v>
      </c>
      <c r="BC143" s="12">
        <f t="shared" si="27"/>
        <v>0</v>
      </c>
      <c r="BD143" s="12">
        <f t="shared" si="28"/>
        <v>0</v>
      </c>
      <c r="BE143" s="12">
        <f t="shared" si="24"/>
        <v>1</v>
      </c>
      <c r="BF143" s="12">
        <f t="shared" si="29"/>
        <v>0</v>
      </c>
      <c r="BG143" s="23">
        <f t="shared" si="30"/>
        <v>0</v>
      </c>
      <c r="BH143" s="23">
        <f t="shared" si="31"/>
        <v>0</v>
      </c>
      <c r="BI143" s="23">
        <f t="shared" si="32"/>
        <v>0</v>
      </c>
      <c r="BJ143" s="18">
        <f t="shared" si="33"/>
        <v>5.4861241437870615E-3</v>
      </c>
      <c r="BL143" s="23"/>
      <c r="BN143" s="12">
        <f t="shared" si="34"/>
        <v>0</v>
      </c>
      <c r="BO143" s="12">
        <f t="shared" si="35"/>
        <v>1</v>
      </c>
      <c r="BP143" s="12">
        <f t="shared" si="36"/>
        <v>0</v>
      </c>
      <c r="BQ143" s="12">
        <f t="shared" si="25"/>
        <v>1</v>
      </c>
      <c r="BR143" s="12">
        <f t="shared" si="37"/>
        <v>0</v>
      </c>
      <c r="BS143" s="23">
        <f t="shared" si="38"/>
        <v>0</v>
      </c>
      <c r="BT143" s="23">
        <f t="shared" si="39"/>
        <v>0</v>
      </c>
      <c r="BU143" s="23">
        <f t="shared" si="40"/>
        <v>0</v>
      </c>
      <c r="BV143" s="18">
        <f t="shared" si="41"/>
        <v>7.8853492280009374E-3</v>
      </c>
      <c r="BX143" s="18">
        <f t="shared" si="42"/>
        <v>0</v>
      </c>
      <c r="BY143" s="18">
        <f t="shared" si="43"/>
        <v>1.3371473371787998E-2</v>
      </c>
    </row>
    <row r="144" spans="1:77" x14ac:dyDescent="0.3">
      <c r="A144" s="1">
        <v>46232</v>
      </c>
      <c r="B144" s="6">
        <v>65.739999999999995</v>
      </c>
      <c r="C144" s="6">
        <v>94.56</v>
      </c>
      <c r="D144" s="7">
        <v>-5.9149334504976303E-3</v>
      </c>
      <c r="E144" s="7">
        <v>-6.6403406054257198E-3</v>
      </c>
      <c r="F144" s="6">
        <v>0</v>
      </c>
      <c r="G144" s="6">
        <v>1.9386000000000001</v>
      </c>
      <c r="H144" s="6">
        <v>0</v>
      </c>
      <c r="I144" s="6">
        <v>2.4897999999999998</v>
      </c>
      <c r="J144" s="6">
        <v>1.9386000000000001</v>
      </c>
      <c r="K144" s="6">
        <v>2.4897999999999998</v>
      </c>
      <c r="L144" s="6">
        <v>67.678599999999904</v>
      </c>
      <c r="M144" s="6">
        <v>97.049800000000005</v>
      </c>
      <c r="N144" s="8">
        <v>1.4383936720413699</v>
      </c>
      <c r="O144" s="8">
        <v>1.43297833357297</v>
      </c>
      <c r="P144" s="8">
        <v>1.43788012943202</v>
      </c>
      <c r="Q144" s="8">
        <v>1.4375415856645899</v>
      </c>
      <c r="R144" s="6">
        <v>94.203995649087005</v>
      </c>
      <c r="S144" s="6">
        <v>94.519624393545897</v>
      </c>
      <c r="T144" s="6">
        <v>94.490413942720394</v>
      </c>
      <c r="U144" s="7">
        <v>-3.77195631805663E-3</v>
      </c>
      <c r="V144" s="7">
        <v>-4.2707517742595702E-4</v>
      </c>
      <c r="W144" s="7">
        <v>-7.3616406302377704E-4</v>
      </c>
      <c r="X144" s="8">
        <v>1.4339806083459099</v>
      </c>
      <c r="Y144" s="8">
        <v>1.4302827749172899</v>
      </c>
      <c r="Z144" s="8">
        <v>1.4335067149674601</v>
      </c>
      <c r="AA144" s="8">
        <v>1.4331966827113201</v>
      </c>
      <c r="AB144" s="6">
        <v>96.799535810517497</v>
      </c>
      <c r="AC144" s="6">
        <v>97.011484557843104</v>
      </c>
      <c r="AD144" s="6">
        <v>96.985893658000094</v>
      </c>
      <c r="AE144" s="7">
        <v>-2.5820498943500201E-3</v>
      </c>
      <c r="AF144" s="7">
        <v>-3.9487982100123601E-4</v>
      </c>
      <c r="AG144" s="7">
        <v>-6.5870709770778101E-4</v>
      </c>
      <c r="AZ144" s="23"/>
      <c r="BB144" s="12">
        <f t="shared" si="26"/>
        <v>0</v>
      </c>
      <c r="BC144" s="12">
        <f t="shared" si="27"/>
        <v>0</v>
      </c>
      <c r="BD144" s="12">
        <f t="shared" si="28"/>
        <v>1</v>
      </c>
      <c r="BE144" s="12">
        <f t="shared" si="24"/>
        <v>1</v>
      </c>
      <c r="BF144" s="12">
        <f t="shared" si="29"/>
        <v>1</v>
      </c>
      <c r="BG144" s="23">
        <f t="shared" si="30"/>
        <v>-5.9149334504976303E-3</v>
      </c>
      <c r="BH144" s="23">
        <f t="shared" si="31"/>
        <v>6.6403406054257198E-3</v>
      </c>
      <c r="BI144" s="23">
        <f t="shared" si="32"/>
        <v>7.2540715492808942E-4</v>
      </c>
      <c r="BJ144" s="18">
        <f t="shared" si="33"/>
        <v>6.2115312987151509E-3</v>
      </c>
      <c r="BL144" s="23"/>
      <c r="BN144" s="12">
        <f t="shared" si="34"/>
        <v>0</v>
      </c>
      <c r="BO144" s="12">
        <f t="shared" si="35"/>
        <v>1</v>
      </c>
      <c r="BP144" s="12">
        <f t="shared" si="36"/>
        <v>0</v>
      </c>
      <c r="BQ144" s="12">
        <f t="shared" si="25"/>
        <v>1</v>
      </c>
      <c r="BR144" s="12">
        <f t="shared" si="37"/>
        <v>0</v>
      </c>
      <c r="BS144" s="23">
        <f t="shared" si="38"/>
        <v>0</v>
      </c>
      <c r="BT144" s="23">
        <f t="shared" si="39"/>
        <v>0</v>
      </c>
      <c r="BU144" s="23">
        <f t="shared" si="40"/>
        <v>0</v>
      </c>
      <c r="BV144" s="18">
        <f t="shared" si="41"/>
        <v>7.8853492280009374E-3</v>
      </c>
      <c r="BX144" s="18">
        <f t="shared" si="42"/>
        <v>7.2540715492808942E-4</v>
      </c>
      <c r="BY144" s="18">
        <f t="shared" si="43"/>
        <v>1.4096880526716087E-2</v>
      </c>
    </row>
    <row r="145" spans="1:77" x14ac:dyDescent="0.3">
      <c r="A145" s="1">
        <v>46233</v>
      </c>
      <c r="B145" s="6">
        <v>65.87</v>
      </c>
      <c r="C145" s="6">
        <v>94.79</v>
      </c>
      <c r="D145" s="7">
        <v>1.9755344165282699E-3</v>
      </c>
      <c r="E145" s="7">
        <v>2.4293648071622999E-3</v>
      </c>
      <c r="F145" s="6">
        <v>0</v>
      </c>
      <c r="G145" s="6">
        <v>1.9386000000000001</v>
      </c>
      <c r="H145" s="6">
        <v>0</v>
      </c>
      <c r="I145" s="6">
        <v>2.4897999999999998</v>
      </c>
      <c r="J145" s="6">
        <v>1.9386000000000001</v>
      </c>
      <c r="K145" s="6">
        <v>2.4897999999999998</v>
      </c>
      <c r="L145" s="6">
        <v>67.808599999999998</v>
      </c>
      <c r="M145" s="6">
        <v>97.279799999999994</v>
      </c>
      <c r="N145" s="8">
        <v>1.4390466069530801</v>
      </c>
      <c r="O145" s="8">
        <v>1.43297833357297</v>
      </c>
      <c r="P145" s="8">
        <v>1.4381700064734799</v>
      </c>
      <c r="Q145" s="8">
        <v>1.43769789387974</v>
      </c>
      <c r="R145" s="6">
        <v>94.390282832451504</v>
      </c>
      <c r="S145" s="6">
        <v>94.713164125687399</v>
      </c>
      <c r="T145" s="6">
        <v>94.690864247726495</v>
      </c>
      <c r="U145" s="7">
        <v>-4.2257867086903404E-3</v>
      </c>
      <c r="V145" s="7">
        <v>-8.1091921475424998E-4</v>
      </c>
      <c r="W145" s="7">
        <v>-1.0463933834445199E-3</v>
      </c>
      <c r="X145" s="8">
        <v>1.43462333686287</v>
      </c>
      <c r="Y145" s="8">
        <v>1.4302827749172899</v>
      </c>
      <c r="Z145" s="8">
        <v>1.43378393246159</v>
      </c>
      <c r="AA145" s="8">
        <v>1.43334537294544</v>
      </c>
      <c r="AB145" s="6">
        <v>96.985472571256807</v>
      </c>
      <c r="AC145" s="6">
        <v>97.204083432542603</v>
      </c>
      <c r="AD145" s="6">
        <v>97.183060579299394</v>
      </c>
      <c r="AE145" s="7">
        <v>-3.0301623141819399E-3</v>
      </c>
      <c r="AF145" s="7">
        <v>-7.78641087851876E-4</v>
      </c>
      <c r="AG145" s="7">
        <v>-9.9493989127414197E-4</v>
      </c>
      <c r="AZ145" s="23"/>
      <c r="BB145" s="12">
        <f t="shared" si="26"/>
        <v>0</v>
      </c>
      <c r="BC145" s="12">
        <f t="shared" si="27"/>
        <v>0</v>
      </c>
      <c r="BD145" s="12">
        <f t="shared" si="28"/>
        <v>1</v>
      </c>
      <c r="BE145" s="12">
        <f t="shared" si="24"/>
        <v>1</v>
      </c>
      <c r="BF145" s="12">
        <f t="shared" si="29"/>
        <v>1</v>
      </c>
      <c r="BG145" s="23">
        <f t="shared" si="30"/>
        <v>1.9755344165282699E-3</v>
      </c>
      <c r="BH145" s="23">
        <f t="shared" si="31"/>
        <v>-2.4293648071622999E-3</v>
      </c>
      <c r="BI145" s="23">
        <f t="shared" si="32"/>
        <v>-4.5383039063403002E-4</v>
      </c>
      <c r="BJ145" s="18">
        <f t="shared" si="33"/>
        <v>5.7577009080811209E-3</v>
      </c>
      <c r="BL145" s="23"/>
      <c r="BN145" s="12">
        <f t="shared" si="34"/>
        <v>0</v>
      </c>
      <c r="BO145" s="12">
        <f t="shared" si="35"/>
        <v>1</v>
      </c>
      <c r="BP145" s="12">
        <f t="shared" si="36"/>
        <v>0</v>
      </c>
      <c r="BQ145" s="12">
        <f t="shared" si="25"/>
        <v>1</v>
      </c>
      <c r="BR145" s="12">
        <f t="shared" si="37"/>
        <v>0</v>
      </c>
      <c r="BS145" s="23">
        <f t="shared" si="38"/>
        <v>0</v>
      </c>
      <c r="BT145" s="23">
        <f t="shared" si="39"/>
        <v>0</v>
      </c>
      <c r="BU145" s="23">
        <f t="shared" si="40"/>
        <v>0</v>
      </c>
      <c r="BV145" s="18">
        <f t="shared" si="41"/>
        <v>7.8853492280009374E-3</v>
      </c>
      <c r="BX145" s="18">
        <f t="shared" si="42"/>
        <v>-4.5383039063403002E-4</v>
      </c>
      <c r="BY145" s="18">
        <f t="shared" si="43"/>
        <v>1.3643050136082056E-2</v>
      </c>
    </row>
    <row r="146" spans="1:77" x14ac:dyDescent="0.3">
      <c r="A146" s="1">
        <v>46234</v>
      </c>
      <c r="B146" s="6">
        <v>65.84</v>
      </c>
      <c r="C146" s="6">
        <v>94.66</v>
      </c>
      <c r="D146" s="7">
        <v>-4.5554628378719202E-4</v>
      </c>
      <c r="E146" s="7">
        <v>-1.37239398684841E-3</v>
      </c>
      <c r="F146" s="6">
        <v>0</v>
      </c>
      <c r="G146" s="6">
        <v>1.9386000000000001</v>
      </c>
      <c r="H146" s="6">
        <v>0</v>
      </c>
      <c r="I146" s="6">
        <v>2.4897999999999998</v>
      </c>
      <c r="J146" s="6">
        <v>1.9386000000000001</v>
      </c>
      <c r="K146" s="6">
        <v>2.4897999999999998</v>
      </c>
      <c r="L146" s="6">
        <v>67.778599999999997</v>
      </c>
      <c r="M146" s="6">
        <v>97.149799999999999</v>
      </c>
      <c r="N146" s="8">
        <v>1.43772782503037</v>
      </c>
      <c r="O146" s="8">
        <v>1.43297833357297</v>
      </c>
      <c r="P146" s="8">
        <v>1.43824543638928</v>
      </c>
      <c r="Q146" s="8">
        <v>1.4377932403551399</v>
      </c>
      <c r="R146" s="6">
        <v>94.3472934824443</v>
      </c>
      <c r="S146" s="6">
        <v>94.689113226214303</v>
      </c>
      <c r="T146" s="6">
        <v>94.658029333042606</v>
      </c>
      <c r="U146" s="7">
        <v>-3.3089390056291099E-3</v>
      </c>
      <c r="V146" s="7">
        <v>3.0750845301320199E-4</v>
      </c>
      <c r="W146" s="7">
        <v>-2.08185872666214E-5</v>
      </c>
      <c r="X146" s="8">
        <v>1.4333403168551699</v>
      </c>
      <c r="Y146" s="8">
        <v>1.4302827749172899</v>
      </c>
      <c r="Z146" s="8">
        <v>1.43385312096119</v>
      </c>
      <c r="AA146" s="8">
        <v>1.4334343468784401</v>
      </c>
      <c r="AB146" s="6">
        <v>96.942564088009206</v>
      </c>
      <c r="AC146" s="6">
        <v>97.179867644741407</v>
      </c>
      <c r="AD146" s="6">
        <v>97.150142694720003</v>
      </c>
      <c r="AE146" s="7">
        <v>-2.1354368237583399E-3</v>
      </c>
      <c r="AF146" s="7">
        <v>3.0944986780239098E-4</v>
      </c>
      <c r="AG146" s="7">
        <v>3.5274814321839299E-6</v>
      </c>
      <c r="AZ146" s="23"/>
      <c r="BB146" s="12">
        <f t="shared" si="26"/>
        <v>0</v>
      </c>
      <c r="BC146" s="12">
        <f t="shared" si="27"/>
        <v>1</v>
      </c>
      <c r="BD146" s="12">
        <f t="shared" si="28"/>
        <v>1</v>
      </c>
      <c r="BE146" s="12">
        <f t="shared" si="24"/>
        <v>0</v>
      </c>
      <c r="BF146" s="12">
        <f t="shared" si="29"/>
        <v>1</v>
      </c>
      <c r="BG146" s="23">
        <f t="shared" si="30"/>
        <v>-4.5554628378719202E-4</v>
      </c>
      <c r="BH146" s="23">
        <f t="shared" si="31"/>
        <v>1.37239398684841E-3</v>
      </c>
      <c r="BI146" s="23">
        <f t="shared" si="32"/>
        <v>9.1684770306121801E-4</v>
      </c>
      <c r="BJ146" s="18">
        <f t="shared" si="33"/>
        <v>6.6745486111423388E-3</v>
      </c>
      <c r="BL146" s="23"/>
      <c r="BN146" s="12">
        <f t="shared" si="34"/>
        <v>0</v>
      </c>
      <c r="BO146" s="12">
        <f t="shared" si="35"/>
        <v>0</v>
      </c>
      <c r="BP146" s="12">
        <f t="shared" si="36"/>
        <v>0</v>
      </c>
      <c r="BQ146" s="12">
        <f t="shared" si="25"/>
        <v>0</v>
      </c>
      <c r="BR146" s="12">
        <f t="shared" si="37"/>
        <v>0</v>
      </c>
      <c r="BS146" s="23">
        <f t="shared" si="38"/>
        <v>0</v>
      </c>
      <c r="BT146" s="23">
        <f t="shared" si="39"/>
        <v>0</v>
      </c>
      <c r="BU146" s="23">
        <f t="shared" si="40"/>
        <v>0</v>
      </c>
      <c r="BV146" s="18">
        <f t="shared" si="41"/>
        <v>7.8853492280009374E-3</v>
      </c>
      <c r="BX146" s="18">
        <f t="shared" si="42"/>
        <v>9.1684770306121801E-4</v>
      </c>
      <c r="BY146" s="18">
        <f t="shared" si="43"/>
        <v>1.4559897839143274E-2</v>
      </c>
    </row>
    <row r="147" spans="1:77" x14ac:dyDescent="0.3">
      <c r="A147" s="1">
        <v>46237</v>
      </c>
      <c r="B147" s="6">
        <v>65.81</v>
      </c>
      <c r="C147" s="6">
        <v>94.75</v>
      </c>
      <c r="D147" s="7">
        <v>-4.5575390078659602E-4</v>
      </c>
      <c r="E147" s="7">
        <v>9.5031948443394503E-4</v>
      </c>
      <c r="F147" s="6">
        <v>0.34660000000000002</v>
      </c>
      <c r="G147" s="6">
        <v>2.2852000000000001</v>
      </c>
      <c r="H147" s="6">
        <v>0.41360000000000002</v>
      </c>
      <c r="I147" s="6">
        <v>2.9034</v>
      </c>
      <c r="J147" s="6">
        <v>2.2852000000000001</v>
      </c>
      <c r="K147" s="6">
        <v>2.9034</v>
      </c>
      <c r="L147" s="6">
        <v>68.095200000000006</v>
      </c>
      <c r="M147" s="6">
        <v>97.653400000000005</v>
      </c>
      <c r="N147" s="8">
        <v>1.4397507977510999</v>
      </c>
      <c r="O147" s="8">
        <v>1.43297833357297</v>
      </c>
      <c r="P147" s="8">
        <v>1.4385044221318399</v>
      </c>
      <c r="Q147" s="8">
        <v>1.4379314140980299</v>
      </c>
      <c r="R147" s="6">
        <v>94.304304132437096</v>
      </c>
      <c r="S147" s="6">
        <v>94.650932168778496</v>
      </c>
      <c r="T147" s="6">
        <v>94.621173147772197</v>
      </c>
      <c r="U147" s="7">
        <v>-4.7150123908497E-3</v>
      </c>
      <c r="V147" s="7">
        <v>-1.0461177685004599E-3</v>
      </c>
      <c r="W147" s="7">
        <v>-1.3605753184040301E-3</v>
      </c>
      <c r="X147" s="8">
        <v>1.43407171136878</v>
      </c>
      <c r="Y147" s="8">
        <v>1.4302827749172899</v>
      </c>
      <c r="Z147" s="8">
        <v>1.43397799934243</v>
      </c>
      <c r="AA147" s="8">
        <v>1.43350305364082</v>
      </c>
      <c r="AB147" s="6">
        <v>97.395391614548103</v>
      </c>
      <c r="AC147" s="6">
        <v>97.638515042476698</v>
      </c>
      <c r="AD147" s="6">
        <v>97.609998537557104</v>
      </c>
      <c r="AE147" s="7">
        <v>-2.6455794347815201E-3</v>
      </c>
      <c r="AF147" s="7">
        <v>-1.5243803153685499E-4</v>
      </c>
      <c r="AG147" s="7">
        <v>-4.4454274055121901E-4</v>
      </c>
      <c r="AZ147" s="23"/>
      <c r="BB147" s="12">
        <f t="shared" si="26"/>
        <v>0</v>
      </c>
      <c r="BC147" s="12">
        <f t="shared" si="27"/>
        <v>1</v>
      </c>
      <c r="BD147" s="12">
        <f t="shared" si="28"/>
        <v>0</v>
      </c>
      <c r="BE147" s="12">
        <f t="shared" si="24"/>
        <v>1</v>
      </c>
      <c r="BF147" s="12">
        <f t="shared" si="29"/>
        <v>0</v>
      </c>
      <c r="BG147" s="23">
        <f t="shared" si="30"/>
        <v>0</v>
      </c>
      <c r="BH147" s="23">
        <f t="shared" si="31"/>
        <v>0</v>
      </c>
      <c r="BI147" s="23">
        <f t="shared" si="32"/>
        <v>0</v>
      </c>
      <c r="BJ147" s="18">
        <f t="shared" si="33"/>
        <v>6.6745486111423388E-3</v>
      </c>
      <c r="BL147" s="23"/>
      <c r="BN147" s="12">
        <f t="shared" si="34"/>
        <v>0</v>
      </c>
      <c r="BO147" s="12">
        <f t="shared" si="35"/>
        <v>1</v>
      </c>
      <c r="BP147" s="12">
        <f t="shared" si="36"/>
        <v>0</v>
      </c>
      <c r="BQ147" s="12">
        <f t="shared" si="25"/>
        <v>1</v>
      </c>
      <c r="BR147" s="12">
        <f t="shared" si="37"/>
        <v>0</v>
      </c>
      <c r="BS147" s="23">
        <f t="shared" si="38"/>
        <v>0</v>
      </c>
      <c r="BT147" s="23">
        <f t="shared" si="39"/>
        <v>0</v>
      </c>
      <c r="BU147" s="23">
        <f t="shared" si="40"/>
        <v>0</v>
      </c>
      <c r="BV147" s="18">
        <f t="shared" si="41"/>
        <v>7.8853492280009374E-3</v>
      </c>
      <c r="BX147" s="18">
        <f t="shared" si="42"/>
        <v>0</v>
      </c>
      <c r="BY147" s="18">
        <f t="shared" si="43"/>
        <v>1.4559897839143274E-2</v>
      </c>
    </row>
    <row r="148" spans="1:77" x14ac:dyDescent="0.3">
      <c r="A148" s="1">
        <v>46238</v>
      </c>
      <c r="B148" s="6">
        <v>66.13</v>
      </c>
      <c r="C148" s="6">
        <v>95.22</v>
      </c>
      <c r="D148" s="7">
        <v>4.8506992185431298E-3</v>
      </c>
      <c r="E148" s="7">
        <v>4.9481598038369698E-3</v>
      </c>
      <c r="F148" s="6">
        <v>0</v>
      </c>
      <c r="G148" s="6">
        <v>2.2852000000000001</v>
      </c>
      <c r="H148" s="6">
        <v>0</v>
      </c>
      <c r="I148" s="6">
        <v>2.9034</v>
      </c>
      <c r="J148" s="6">
        <v>2.2852000000000001</v>
      </c>
      <c r="K148" s="6">
        <v>2.9034</v>
      </c>
      <c r="L148" s="6">
        <v>68.415199999999999</v>
      </c>
      <c r="M148" s="6">
        <v>98.123400000000004</v>
      </c>
      <c r="N148" s="8">
        <v>1.43989112354453</v>
      </c>
      <c r="O148" s="8">
        <v>1.43297833357297</v>
      </c>
      <c r="P148" s="8">
        <v>1.4386322976838799</v>
      </c>
      <c r="Q148" s="8">
        <v>1.4379853583976301</v>
      </c>
      <c r="R148" s="6">
        <v>94.762857199180502</v>
      </c>
      <c r="S148" s="6">
        <v>95.128297435578602</v>
      </c>
      <c r="T148" s="6">
        <v>95.090404414302995</v>
      </c>
      <c r="U148" s="7">
        <v>-4.8124729761434299E-3</v>
      </c>
      <c r="V148" s="7">
        <v>-9.6352394795611702E-4</v>
      </c>
      <c r="W148" s="7">
        <v>-1.3619392605232501E-3</v>
      </c>
      <c r="X148" s="8">
        <v>1.4342339129316199</v>
      </c>
      <c r="Y148" s="8">
        <v>1.4302827749172899</v>
      </c>
      <c r="Z148" s="8">
        <v>1.43397845991896</v>
      </c>
      <c r="AA148" s="8">
        <v>1.43349235914828</v>
      </c>
      <c r="AB148" s="6">
        <v>97.853082102521597</v>
      </c>
      <c r="AC148" s="6">
        <v>98.105891620612795</v>
      </c>
      <c r="AD148" s="6">
        <v>98.073398115447503</v>
      </c>
      <c r="AE148" s="7">
        <v>-2.7586786538037998E-3</v>
      </c>
      <c r="AF148" s="7">
        <v>-1.784481744702E-4</v>
      </c>
      <c r="AG148" s="7">
        <v>-5.09711535716552E-4</v>
      </c>
      <c r="AZ148" s="23"/>
      <c r="BB148" s="12">
        <f t="shared" si="26"/>
        <v>0</v>
      </c>
      <c r="BC148" s="12">
        <f t="shared" si="27"/>
        <v>0</v>
      </c>
      <c r="BD148" s="12">
        <f t="shared" si="28"/>
        <v>0</v>
      </c>
      <c r="BE148" s="12">
        <f t="shared" si="24"/>
        <v>1</v>
      </c>
      <c r="BF148" s="12">
        <f t="shared" si="29"/>
        <v>0</v>
      </c>
      <c r="BG148" s="23">
        <f t="shared" si="30"/>
        <v>0</v>
      </c>
      <c r="BH148" s="23">
        <f t="shared" si="31"/>
        <v>0</v>
      </c>
      <c r="BI148" s="23">
        <f t="shared" si="32"/>
        <v>0</v>
      </c>
      <c r="BJ148" s="18">
        <f t="shared" si="33"/>
        <v>6.6745486111423388E-3</v>
      </c>
      <c r="BL148" s="23"/>
      <c r="BN148" s="12">
        <f t="shared" si="34"/>
        <v>0</v>
      </c>
      <c r="BO148" s="12">
        <f t="shared" si="35"/>
        <v>1</v>
      </c>
      <c r="BP148" s="12">
        <f t="shared" si="36"/>
        <v>0</v>
      </c>
      <c r="BQ148" s="12">
        <f t="shared" si="25"/>
        <v>1</v>
      </c>
      <c r="BR148" s="12">
        <f t="shared" si="37"/>
        <v>0</v>
      </c>
      <c r="BS148" s="23">
        <f t="shared" si="38"/>
        <v>0</v>
      </c>
      <c r="BT148" s="23">
        <f t="shared" si="39"/>
        <v>0</v>
      </c>
      <c r="BU148" s="23">
        <f t="shared" si="40"/>
        <v>0</v>
      </c>
      <c r="BV148" s="18">
        <f t="shared" si="41"/>
        <v>7.8853492280009374E-3</v>
      </c>
      <c r="BX148" s="18">
        <f t="shared" si="42"/>
        <v>0</v>
      </c>
      <c r="BY148" s="18">
        <f t="shared" si="43"/>
        <v>1.4559897839143274E-2</v>
      </c>
    </row>
    <row r="149" spans="1:77" x14ac:dyDescent="0.3">
      <c r="A149" s="1">
        <v>46239</v>
      </c>
      <c r="B149" s="6">
        <v>66.16</v>
      </c>
      <c r="C149" s="6">
        <v>95.17</v>
      </c>
      <c r="D149" s="7">
        <v>4.5354902886489298E-4</v>
      </c>
      <c r="E149" s="7">
        <v>-5.2523768212066595E-4</v>
      </c>
      <c r="F149" s="6">
        <v>0</v>
      </c>
      <c r="G149" s="6">
        <v>2.2852000000000001</v>
      </c>
      <c r="H149" s="6">
        <v>0</v>
      </c>
      <c r="I149" s="6">
        <v>2.9034</v>
      </c>
      <c r="J149" s="6">
        <v>2.2852000000000001</v>
      </c>
      <c r="K149" s="6">
        <v>2.9034</v>
      </c>
      <c r="L149" s="6">
        <v>68.4452</v>
      </c>
      <c r="M149" s="6">
        <v>98.073400000000007</v>
      </c>
      <c r="N149" s="8">
        <v>1.43848246674727</v>
      </c>
      <c r="O149" s="8">
        <v>1.43297833357297</v>
      </c>
      <c r="P149" s="8">
        <v>1.43866626728661</v>
      </c>
      <c r="Q149" s="8">
        <v>1.4380166567575099</v>
      </c>
      <c r="R149" s="6">
        <v>94.805846549187706</v>
      </c>
      <c r="S149" s="6">
        <v>95.179912814765501</v>
      </c>
      <c r="T149" s="6">
        <v>95.137111311587603</v>
      </c>
      <c r="U149" s="7">
        <v>-3.83368626515799E-3</v>
      </c>
      <c r="V149" s="7">
        <v>1.04153604568846E-4</v>
      </c>
      <c r="W149" s="7">
        <v>-3.4563804277294399E-4</v>
      </c>
      <c r="X149" s="8">
        <v>1.43287476696685</v>
      </c>
      <c r="Y149" s="8">
        <v>1.4302827749172899</v>
      </c>
      <c r="Z149" s="8">
        <v>1.4338897872384999</v>
      </c>
      <c r="AA149" s="8">
        <v>1.4334603339892</v>
      </c>
      <c r="AB149" s="6">
        <v>97.895990585769098</v>
      </c>
      <c r="AC149" s="6">
        <v>98.148942484845804</v>
      </c>
      <c r="AD149" s="6">
        <v>98.1156712203762</v>
      </c>
      <c r="AE149" s="7">
        <v>-1.8105833994383901E-3</v>
      </c>
      <c r="AF149" s="7">
        <v>7.69968267846548E-4</v>
      </c>
      <c r="AG149" s="7">
        <v>4.30923300339198E-4</v>
      </c>
      <c r="AZ149" s="23"/>
      <c r="BB149" s="12">
        <f t="shared" si="26"/>
        <v>0</v>
      </c>
      <c r="BC149" s="12">
        <f t="shared" si="27"/>
        <v>1</v>
      </c>
      <c r="BD149" s="12">
        <f t="shared" si="28"/>
        <v>0</v>
      </c>
      <c r="BE149" s="12">
        <f t="shared" si="24"/>
        <v>1</v>
      </c>
      <c r="BF149" s="12">
        <f t="shared" si="29"/>
        <v>0</v>
      </c>
      <c r="BG149" s="23">
        <f t="shared" si="30"/>
        <v>0</v>
      </c>
      <c r="BH149" s="23">
        <f t="shared" si="31"/>
        <v>0</v>
      </c>
      <c r="BI149" s="23">
        <f t="shared" si="32"/>
        <v>0</v>
      </c>
      <c r="BJ149" s="18">
        <f t="shared" si="33"/>
        <v>6.6745486111423388E-3</v>
      </c>
      <c r="BL149" s="23"/>
      <c r="BN149" s="12">
        <f t="shared" si="34"/>
        <v>0</v>
      </c>
      <c r="BO149" s="12">
        <f t="shared" si="35"/>
        <v>0</v>
      </c>
      <c r="BP149" s="12">
        <f t="shared" si="36"/>
        <v>0</v>
      </c>
      <c r="BQ149" s="12">
        <f t="shared" si="25"/>
        <v>1</v>
      </c>
      <c r="BR149" s="12">
        <f t="shared" si="37"/>
        <v>0</v>
      </c>
      <c r="BS149" s="23">
        <f t="shared" si="38"/>
        <v>0</v>
      </c>
      <c r="BT149" s="23">
        <f t="shared" si="39"/>
        <v>0</v>
      </c>
      <c r="BU149" s="23">
        <f t="shared" si="40"/>
        <v>0</v>
      </c>
      <c r="BV149" s="18">
        <f t="shared" si="41"/>
        <v>7.8853492280009374E-3</v>
      </c>
      <c r="BX149" s="18">
        <f t="shared" si="42"/>
        <v>0</v>
      </c>
      <c r="BY149" s="18">
        <f t="shared" si="43"/>
        <v>1.4559897839143274E-2</v>
      </c>
    </row>
    <row r="150" spans="1:77" x14ac:dyDescent="0.3">
      <c r="A150" s="1">
        <v>46240</v>
      </c>
      <c r="B150" s="6">
        <v>66.03</v>
      </c>
      <c r="C150" s="6">
        <v>94.95</v>
      </c>
      <c r="D150" s="7">
        <v>-1.96686650895585E-3</v>
      </c>
      <c r="E150" s="7">
        <v>-2.31432882595712E-3</v>
      </c>
      <c r="F150" s="6">
        <v>0</v>
      </c>
      <c r="G150" s="6">
        <v>2.2852000000000001</v>
      </c>
      <c r="H150" s="6">
        <v>0</v>
      </c>
      <c r="I150" s="6">
        <v>2.9034</v>
      </c>
      <c r="J150" s="6">
        <v>2.2852000000000001</v>
      </c>
      <c r="K150" s="6">
        <v>2.9034</v>
      </c>
      <c r="L150" s="6">
        <v>68.315200000000004</v>
      </c>
      <c r="M150" s="6">
        <v>97.853399999999993</v>
      </c>
      <c r="N150" s="8">
        <v>1.43798273512039</v>
      </c>
      <c r="O150" s="8">
        <v>1.43297833357297</v>
      </c>
      <c r="P150" s="8">
        <v>1.4386270484066901</v>
      </c>
      <c r="Q150" s="8">
        <v>1.43798176053002</v>
      </c>
      <c r="R150" s="6">
        <v>94.619559365823207</v>
      </c>
      <c r="S150" s="6">
        <v>94.995133628935406</v>
      </c>
      <c r="T150" s="6">
        <v>94.952239845698799</v>
      </c>
      <c r="U150" s="7">
        <v>-3.4862239481567299E-3</v>
      </c>
      <c r="V150" s="7">
        <v>4.7522807162850397E-4</v>
      </c>
      <c r="W150" s="7">
        <v>2.35894605641675E-5</v>
      </c>
      <c r="X150" s="8">
        <v>1.43238108063798</v>
      </c>
      <c r="Y150" s="8">
        <v>1.4302827749172899</v>
      </c>
      <c r="Z150" s="8">
        <v>1.4337317860124199</v>
      </c>
      <c r="AA150" s="8">
        <v>1.43336332737884</v>
      </c>
      <c r="AB150" s="6">
        <v>97.710053825029902</v>
      </c>
      <c r="AC150" s="6">
        <v>97.956467593155594</v>
      </c>
      <c r="AD150" s="6">
        <v>97.9271294085394</v>
      </c>
      <c r="AE150" s="7">
        <v>-1.4659814790391899E-3</v>
      </c>
      <c r="AF150" s="7">
        <v>1.05273144751224E-3</v>
      </c>
      <c r="AG150" s="7">
        <v>7.5318431559694002E-4</v>
      </c>
      <c r="AZ150" s="23"/>
      <c r="BB150" s="12">
        <f t="shared" si="26"/>
        <v>0</v>
      </c>
      <c r="BC150" s="12">
        <f t="shared" si="27"/>
        <v>1</v>
      </c>
      <c r="BD150" s="12">
        <f t="shared" si="28"/>
        <v>0</v>
      </c>
      <c r="BE150" s="12">
        <f t="shared" ref="BE150:BE167" si="44">IF(F151+H151&gt;0,0,1)</f>
        <v>1</v>
      </c>
      <c r="BF150" s="12">
        <f t="shared" si="29"/>
        <v>0</v>
      </c>
      <c r="BG150" s="23">
        <f t="shared" si="30"/>
        <v>0</v>
      </c>
      <c r="BH150" s="23">
        <f t="shared" si="31"/>
        <v>0</v>
      </c>
      <c r="BI150" s="23">
        <f t="shared" si="32"/>
        <v>0</v>
      </c>
      <c r="BJ150" s="18">
        <f t="shared" si="33"/>
        <v>6.6745486111423388E-3</v>
      </c>
      <c r="BL150" s="23"/>
      <c r="BN150" s="12">
        <f t="shared" si="34"/>
        <v>0</v>
      </c>
      <c r="BO150" s="12">
        <f t="shared" si="35"/>
        <v>0</v>
      </c>
      <c r="BP150" s="12">
        <f t="shared" si="36"/>
        <v>0</v>
      </c>
      <c r="BQ150" s="12">
        <f t="shared" ref="BQ150:BQ167" si="45">IF(F151+H151&gt;0,0,1)</f>
        <v>1</v>
      </c>
      <c r="BR150" s="12">
        <f t="shared" si="37"/>
        <v>0</v>
      </c>
      <c r="BS150" s="23">
        <f t="shared" si="38"/>
        <v>0</v>
      </c>
      <c r="BT150" s="23">
        <f t="shared" si="39"/>
        <v>0</v>
      </c>
      <c r="BU150" s="23">
        <f t="shared" si="40"/>
        <v>0</v>
      </c>
      <c r="BV150" s="18">
        <f t="shared" si="41"/>
        <v>7.8853492280009374E-3</v>
      </c>
      <c r="BX150" s="18">
        <f t="shared" si="42"/>
        <v>0</v>
      </c>
      <c r="BY150" s="18">
        <f t="shared" si="43"/>
        <v>1.4559897839143274E-2</v>
      </c>
    </row>
    <row r="151" spans="1:77" x14ac:dyDescent="0.3">
      <c r="A151" s="1">
        <v>46241</v>
      </c>
      <c r="B151" s="6">
        <v>66.209999999999994</v>
      </c>
      <c r="C151" s="6">
        <v>95.24</v>
      </c>
      <c r="D151" s="7">
        <v>2.7223247302746601E-3</v>
      </c>
      <c r="E151" s="7">
        <v>3.0495843603669599E-3</v>
      </c>
      <c r="F151" s="6">
        <v>0</v>
      </c>
      <c r="G151" s="6">
        <v>2.2852000000000001</v>
      </c>
      <c r="H151" s="6">
        <v>0</v>
      </c>
      <c r="I151" s="6">
        <v>2.9034</v>
      </c>
      <c r="J151" s="6">
        <v>2.2852000000000001</v>
      </c>
      <c r="K151" s="6">
        <v>2.9034</v>
      </c>
      <c r="L151" s="6">
        <v>68.495199999999997</v>
      </c>
      <c r="M151" s="6">
        <v>98.1434</v>
      </c>
      <c r="N151" s="8">
        <v>1.4384534058299301</v>
      </c>
      <c r="O151" s="8">
        <v>1.43297833357297</v>
      </c>
      <c r="P151" s="8">
        <v>1.43875181192058</v>
      </c>
      <c r="Q151" s="8">
        <v>1.43805562842631</v>
      </c>
      <c r="R151" s="6">
        <v>94.877495465866303</v>
      </c>
      <c r="S151" s="6">
        <v>95.251496875007106</v>
      </c>
      <c r="T151" s="6">
        <v>95.208772364693104</v>
      </c>
      <c r="U151" s="7">
        <v>-3.81348357824907E-3</v>
      </c>
      <c r="V151" s="7">
        <v>1.2070748783718601E-4</v>
      </c>
      <c r="W151" s="7">
        <v>-3.2793737863410599E-4</v>
      </c>
      <c r="X151" s="8">
        <v>1.4328507691049801</v>
      </c>
      <c r="Y151" s="8">
        <v>1.4302827749172899</v>
      </c>
      <c r="Z151" s="8">
        <v>1.43373347899111</v>
      </c>
      <c r="AA151" s="8">
        <v>1.43337231496165</v>
      </c>
      <c r="AB151" s="6">
        <v>97.967504724514995</v>
      </c>
      <c r="AC151" s="6">
        <v>98.203745429278101</v>
      </c>
      <c r="AD151" s="6">
        <v>98.178507781479297</v>
      </c>
      <c r="AE151" s="7">
        <v>-1.7938352066556201E-3</v>
      </c>
      <c r="AF151" s="7">
        <v>6.1468101353045405E-4</v>
      </c>
      <c r="AG151" s="7">
        <v>3.5765526374790998E-4</v>
      </c>
      <c r="AZ151" s="23"/>
      <c r="BB151" s="12">
        <f t="shared" ref="BB151:BB167" si="46">IF($AG151&lt;BA$20,1,0)</f>
        <v>0</v>
      </c>
      <c r="BC151" s="12">
        <f t="shared" ref="BC151:BC167" si="47">IF($AG151&gt;BA$21,1,0)</f>
        <v>1</v>
      </c>
      <c r="BD151" s="12">
        <f t="shared" ref="BD151:BD167" si="48">BF151</f>
        <v>0</v>
      </c>
      <c r="BE151" s="12">
        <f t="shared" si="44"/>
        <v>1</v>
      </c>
      <c r="BF151" s="12">
        <f t="shared" ref="BF151:BF167" si="49">IF(BB150,1,IF(BC150,0,BD150))*BE150</f>
        <v>0</v>
      </c>
      <c r="BG151" s="23">
        <f t="shared" ref="BG151:BG167" si="50">BF151*D151</f>
        <v>0</v>
      </c>
      <c r="BH151" s="23">
        <f t="shared" ref="BH151:BH167" si="51">-BF151*$E151</f>
        <v>0</v>
      </c>
      <c r="BI151" s="23">
        <f t="shared" ref="BI151:BI167" si="52">BG151+BH151</f>
        <v>0</v>
      </c>
      <c r="BJ151" s="18">
        <f t="shared" ref="BJ151:BJ167" si="53">BJ150+BI151</f>
        <v>6.6745486111423388E-3</v>
      </c>
      <c r="BL151" s="23"/>
      <c r="BN151" s="12">
        <f t="shared" ref="BN151:BN167" si="54">IF($AG151&gt;BM$20,1,0)</f>
        <v>0</v>
      </c>
      <c r="BO151" s="12">
        <f t="shared" ref="BO151:BO167" si="55">IF($AG151&lt;BM$21,1,0)</f>
        <v>0</v>
      </c>
      <c r="BP151" s="12">
        <f t="shared" ref="BP151:BP167" si="56">BR151</f>
        <v>0</v>
      </c>
      <c r="BQ151" s="12">
        <f t="shared" si="45"/>
        <v>1</v>
      </c>
      <c r="BR151" s="12">
        <f t="shared" ref="BR151:BR167" si="57">IF(BN150,1,IF(BO150,0,BP150))*BQ150</f>
        <v>0</v>
      </c>
      <c r="BS151" s="23">
        <f t="shared" ref="BS151:BS167" si="58">-BR151*D151</f>
        <v>0</v>
      </c>
      <c r="BT151" s="23">
        <f t="shared" ref="BT151:BT167" si="59">BR151*$E151</f>
        <v>0</v>
      </c>
      <c r="BU151" s="23">
        <f t="shared" ref="BU151:BU167" si="60">BS151+BT151</f>
        <v>0</v>
      </c>
      <c r="BV151" s="18">
        <f t="shared" ref="BV151:BV167" si="61">BV150+BU151</f>
        <v>7.8853492280009374E-3</v>
      </c>
      <c r="BX151" s="18">
        <f t="shared" ref="BX151:BX167" si="62">BI151+BU151</f>
        <v>0</v>
      </c>
      <c r="BY151" s="18">
        <f t="shared" ref="BY151:BY167" si="63">BY150+BX151</f>
        <v>1.4559897839143274E-2</v>
      </c>
    </row>
    <row r="152" spans="1:77" x14ac:dyDescent="0.3">
      <c r="A152" s="1">
        <v>46244</v>
      </c>
      <c r="B152" s="6">
        <v>65.959999999999994</v>
      </c>
      <c r="C152" s="6">
        <v>94.84</v>
      </c>
      <c r="D152" s="7">
        <v>-3.7830112453566102E-3</v>
      </c>
      <c r="E152" s="7">
        <v>-4.20876042145723E-3</v>
      </c>
      <c r="F152" s="6">
        <v>0</v>
      </c>
      <c r="G152" s="6">
        <v>2.2852000000000001</v>
      </c>
      <c r="H152" s="6">
        <v>0</v>
      </c>
      <c r="I152" s="6">
        <v>2.9034</v>
      </c>
      <c r="J152" s="6">
        <v>2.2852000000000001</v>
      </c>
      <c r="K152" s="6">
        <v>2.9034</v>
      </c>
      <c r="L152" s="6">
        <v>68.245199999999997</v>
      </c>
      <c r="M152" s="6">
        <v>97.743399999999994</v>
      </c>
      <c r="N152" s="8">
        <v>1.43784111582777</v>
      </c>
      <c r="O152" s="8">
        <v>1.43297833357297</v>
      </c>
      <c r="P152" s="8">
        <v>1.43870072204926</v>
      </c>
      <c r="Q152" s="8">
        <v>1.43811457682201</v>
      </c>
      <c r="R152" s="6">
        <v>94.519250882473102</v>
      </c>
      <c r="S152" s="6">
        <v>94.900069514281995</v>
      </c>
      <c r="T152" s="6">
        <v>94.854149250999797</v>
      </c>
      <c r="U152" s="7">
        <v>-3.3877344021484902E-3</v>
      </c>
      <c r="V152" s="7">
        <v>6.33176918747245E-4</v>
      </c>
      <c r="W152" s="7">
        <v>1.49179625011206E-4</v>
      </c>
      <c r="X152" s="8">
        <v>1.4322384577962901</v>
      </c>
      <c r="Y152" s="8">
        <v>1.4302827749172899</v>
      </c>
      <c r="Z152" s="8">
        <v>1.4335614926023299</v>
      </c>
      <c r="AA152" s="8">
        <v>1.4333672282829999</v>
      </c>
      <c r="AB152" s="6">
        <v>97.609934030785695</v>
      </c>
      <c r="AC152" s="6">
        <v>97.845428020444103</v>
      </c>
      <c r="AD152" s="6">
        <v>97.820780309021202</v>
      </c>
      <c r="AE152" s="7">
        <v>-1.3664060625562799E-3</v>
      </c>
      <c r="AF152" s="7">
        <v>1.04329097659778E-3</v>
      </c>
      <c r="AG152" s="7">
        <v>7.9135466359113698E-4</v>
      </c>
      <c r="AZ152" s="23"/>
      <c r="BB152" s="12">
        <f t="shared" si="46"/>
        <v>0</v>
      </c>
      <c r="BC152" s="12">
        <f t="shared" si="47"/>
        <v>1</v>
      </c>
      <c r="BD152" s="12">
        <f t="shared" si="48"/>
        <v>0</v>
      </c>
      <c r="BE152" s="12">
        <f t="shared" si="44"/>
        <v>1</v>
      </c>
      <c r="BF152" s="12">
        <f t="shared" si="49"/>
        <v>0</v>
      </c>
      <c r="BG152" s="23">
        <f t="shared" si="50"/>
        <v>0</v>
      </c>
      <c r="BH152" s="23">
        <f t="shared" si="51"/>
        <v>0</v>
      </c>
      <c r="BI152" s="23">
        <f t="shared" si="52"/>
        <v>0</v>
      </c>
      <c r="BJ152" s="18">
        <f t="shared" si="53"/>
        <v>6.6745486111423388E-3</v>
      </c>
      <c r="BL152" s="23"/>
      <c r="BN152" s="12">
        <f t="shared" si="54"/>
        <v>0</v>
      </c>
      <c r="BO152" s="12">
        <f t="shared" si="55"/>
        <v>0</v>
      </c>
      <c r="BP152" s="12">
        <f t="shared" si="56"/>
        <v>0</v>
      </c>
      <c r="BQ152" s="12">
        <f t="shared" si="45"/>
        <v>1</v>
      </c>
      <c r="BR152" s="12">
        <f t="shared" si="57"/>
        <v>0</v>
      </c>
      <c r="BS152" s="23">
        <f t="shared" si="58"/>
        <v>0</v>
      </c>
      <c r="BT152" s="23">
        <f t="shared" si="59"/>
        <v>0</v>
      </c>
      <c r="BU152" s="23">
        <f t="shared" si="60"/>
        <v>0</v>
      </c>
      <c r="BV152" s="18">
        <f t="shared" si="61"/>
        <v>7.8853492280009374E-3</v>
      </c>
      <c r="BX152" s="18">
        <f t="shared" si="62"/>
        <v>0</v>
      </c>
      <c r="BY152" s="18">
        <f t="shared" si="63"/>
        <v>1.4559897839143274E-2</v>
      </c>
    </row>
    <row r="153" spans="1:77" x14ac:dyDescent="0.3">
      <c r="A153" s="1">
        <v>46245</v>
      </c>
      <c r="B153" s="6">
        <v>65.94</v>
      </c>
      <c r="C153" s="6">
        <v>94.83</v>
      </c>
      <c r="D153" s="7">
        <v>-3.0326004781304499E-4</v>
      </c>
      <c r="E153" s="7">
        <v>-1.0544630156875201E-4</v>
      </c>
      <c r="F153" s="6">
        <v>0</v>
      </c>
      <c r="G153" s="6">
        <v>2.2852000000000001</v>
      </c>
      <c r="H153" s="6">
        <v>0</v>
      </c>
      <c r="I153" s="6">
        <v>2.9034</v>
      </c>
      <c r="J153" s="6">
        <v>2.2852000000000001</v>
      </c>
      <c r="K153" s="6">
        <v>2.9034</v>
      </c>
      <c r="L153" s="6">
        <v>68.225200000000001</v>
      </c>
      <c r="M153" s="6">
        <v>97.733400000000003</v>
      </c>
      <c r="N153" s="8">
        <v>1.4381255686988099</v>
      </c>
      <c r="O153" s="8">
        <v>1.43297833357297</v>
      </c>
      <c r="P153" s="8">
        <v>1.43856953175446</v>
      </c>
      <c r="Q153" s="8">
        <v>1.4381745163605399</v>
      </c>
      <c r="R153" s="6">
        <v>94.490591315801595</v>
      </c>
      <c r="S153" s="6">
        <v>94.8679256119283</v>
      </c>
      <c r="T153" s="6">
        <v>94.829275195643504</v>
      </c>
      <c r="U153" s="7">
        <v>-3.5855481483928202E-3</v>
      </c>
      <c r="V153" s="7">
        <v>3.9985268485480201E-4</v>
      </c>
      <c r="W153" s="7">
        <v>-7.6432260510335193E-6</v>
      </c>
      <c r="X153" s="8">
        <v>1.4325117405298899</v>
      </c>
      <c r="Y153" s="8">
        <v>1.4302827749172899</v>
      </c>
      <c r="Z153" s="8">
        <v>1.43331067014004</v>
      </c>
      <c r="AA153" s="8">
        <v>1.4333625701328201</v>
      </c>
      <c r="AB153" s="6">
        <v>97.581328375287299</v>
      </c>
      <c r="AC153" s="6">
        <v>97.805019545092605</v>
      </c>
      <c r="AD153" s="6">
        <v>97.791765823053595</v>
      </c>
      <c r="AE153" s="7">
        <v>-1.55719598523879E-3</v>
      </c>
      <c r="AF153" s="7">
        <v>7.32536843264567E-4</v>
      </c>
      <c r="AG153" s="7">
        <v>5.9701598555386801E-4</v>
      </c>
      <c r="AZ153" s="23"/>
      <c r="BB153" s="12">
        <f t="shared" si="46"/>
        <v>0</v>
      </c>
      <c r="BC153" s="12">
        <f t="shared" si="47"/>
        <v>1</v>
      </c>
      <c r="BD153" s="12">
        <f t="shared" si="48"/>
        <v>0</v>
      </c>
      <c r="BE153" s="12">
        <f t="shared" si="44"/>
        <v>1</v>
      </c>
      <c r="BF153" s="12">
        <f t="shared" si="49"/>
        <v>0</v>
      </c>
      <c r="BG153" s="23">
        <f t="shared" si="50"/>
        <v>0</v>
      </c>
      <c r="BH153" s="23">
        <f t="shared" si="51"/>
        <v>0</v>
      </c>
      <c r="BI153" s="23">
        <f t="shared" si="52"/>
        <v>0</v>
      </c>
      <c r="BJ153" s="18">
        <f t="shared" si="53"/>
        <v>6.6745486111423388E-3</v>
      </c>
      <c r="BL153" s="23"/>
      <c r="BN153" s="12">
        <f t="shared" si="54"/>
        <v>0</v>
      </c>
      <c r="BO153" s="12">
        <f t="shared" si="55"/>
        <v>0</v>
      </c>
      <c r="BP153" s="12">
        <f t="shared" si="56"/>
        <v>0</v>
      </c>
      <c r="BQ153" s="12">
        <f t="shared" si="45"/>
        <v>1</v>
      </c>
      <c r="BR153" s="12">
        <f t="shared" si="57"/>
        <v>0</v>
      </c>
      <c r="BS153" s="23">
        <f t="shared" si="58"/>
        <v>0</v>
      </c>
      <c r="BT153" s="23">
        <f t="shared" si="59"/>
        <v>0</v>
      </c>
      <c r="BU153" s="23">
        <f t="shared" si="60"/>
        <v>0</v>
      </c>
      <c r="BV153" s="18">
        <f t="shared" si="61"/>
        <v>7.8853492280009374E-3</v>
      </c>
      <c r="BX153" s="18">
        <f t="shared" si="62"/>
        <v>0</v>
      </c>
      <c r="BY153" s="18">
        <f t="shared" si="63"/>
        <v>1.4559897839143274E-2</v>
      </c>
    </row>
    <row r="154" spans="1:77" x14ac:dyDescent="0.3">
      <c r="A154" s="1">
        <v>46246</v>
      </c>
      <c r="B154" s="6">
        <v>65.989999999999995</v>
      </c>
      <c r="C154" s="6">
        <v>94.94</v>
      </c>
      <c r="D154" s="7">
        <v>7.5797775174527601E-4</v>
      </c>
      <c r="E154" s="7">
        <v>1.1592982275358901E-3</v>
      </c>
      <c r="F154" s="6">
        <v>0</v>
      </c>
      <c r="G154" s="6">
        <v>2.2852000000000001</v>
      </c>
      <c r="H154" s="6">
        <v>0</v>
      </c>
      <c r="I154" s="6">
        <v>2.9034</v>
      </c>
      <c r="J154" s="6">
        <v>2.2852000000000001</v>
      </c>
      <c r="K154" s="6">
        <v>2.9034</v>
      </c>
      <c r="L154" s="6">
        <v>68.275199999999998</v>
      </c>
      <c r="M154" s="6">
        <v>97.843400000000003</v>
      </c>
      <c r="N154" s="8">
        <v>1.4387028337626899</v>
      </c>
      <c r="O154" s="8">
        <v>1.43297833357297</v>
      </c>
      <c r="P154" s="8">
        <v>1.4386004479265999</v>
      </c>
      <c r="Q154" s="8">
        <v>1.43824028867931</v>
      </c>
      <c r="R154" s="6">
        <v>94.562240232480207</v>
      </c>
      <c r="S154" s="6">
        <v>94.931203400477301</v>
      </c>
      <c r="T154" s="6">
        <v>94.905136334632402</v>
      </c>
      <c r="U154" s="7">
        <v>-3.98686862418358E-3</v>
      </c>
      <c r="V154" s="7">
        <v>-9.2658595631216705E-5</v>
      </c>
      <c r="W154" s="7">
        <v>-3.6728531931411401E-4</v>
      </c>
      <c r="X154" s="8">
        <v>1.4330737954630599</v>
      </c>
      <c r="Y154" s="8">
        <v>1.4302827749172899</v>
      </c>
      <c r="Z154" s="8">
        <v>1.4332199888517501</v>
      </c>
      <c r="AA154" s="8">
        <v>1.4333633519096001</v>
      </c>
      <c r="AB154" s="6">
        <v>97.652842514033196</v>
      </c>
      <c r="AC154" s="6">
        <v>97.859572665945294</v>
      </c>
      <c r="AD154" s="6">
        <v>97.863116148332693</v>
      </c>
      <c r="AE154" s="7">
        <v>-1.94947528266197E-3</v>
      </c>
      <c r="AF154" s="7">
        <v>1.65277673219096E-4</v>
      </c>
      <c r="AG154" s="7">
        <v>2.01486887482644E-4</v>
      </c>
      <c r="AZ154" s="23"/>
      <c r="BB154" s="12">
        <f t="shared" si="46"/>
        <v>0</v>
      </c>
      <c r="BC154" s="12">
        <f t="shared" si="47"/>
        <v>1</v>
      </c>
      <c r="BD154" s="12">
        <f t="shared" si="48"/>
        <v>0</v>
      </c>
      <c r="BE154" s="12">
        <f t="shared" si="44"/>
        <v>1</v>
      </c>
      <c r="BF154" s="12">
        <f t="shared" si="49"/>
        <v>0</v>
      </c>
      <c r="BG154" s="23">
        <f t="shared" si="50"/>
        <v>0</v>
      </c>
      <c r="BH154" s="23">
        <f t="shared" si="51"/>
        <v>0</v>
      </c>
      <c r="BI154" s="23">
        <f t="shared" si="52"/>
        <v>0</v>
      </c>
      <c r="BJ154" s="18">
        <f t="shared" si="53"/>
        <v>6.6745486111423388E-3</v>
      </c>
      <c r="BL154" s="23"/>
      <c r="BN154" s="12">
        <f t="shared" si="54"/>
        <v>0</v>
      </c>
      <c r="BO154" s="12">
        <f t="shared" si="55"/>
        <v>0</v>
      </c>
      <c r="BP154" s="12">
        <f t="shared" si="56"/>
        <v>0</v>
      </c>
      <c r="BQ154" s="12">
        <f t="shared" si="45"/>
        <v>1</v>
      </c>
      <c r="BR154" s="12">
        <f t="shared" si="57"/>
        <v>0</v>
      </c>
      <c r="BS154" s="23">
        <f t="shared" si="58"/>
        <v>0</v>
      </c>
      <c r="BT154" s="23">
        <f t="shared" si="59"/>
        <v>0</v>
      </c>
      <c r="BU154" s="23">
        <f t="shared" si="60"/>
        <v>0</v>
      </c>
      <c r="BV154" s="18">
        <f t="shared" si="61"/>
        <v>7.8853492280009374E-3</v>
      </c>
      <c r="BX154" s="18">
        <f t="shared" si="62"/>
        <v>0</v>
      </c>
      <c r="BY154" s="18">
        <f t="shared" si="63"/>
        <v>1.4559897839143274E-2</v>
      </c>
    </row>
    <row r="155" spans="1:77" x14ac:dyDescent="0.3">
      <c r="A155" s="1">
        <v>46247</v>
      </c>
      <c r="B155" s="6">
        <v>66.28</v>
      </c>
      <c r="C155" s="6">
        <v>95.36</v>
      </c>
      <c r="D155" s="7">
        <v>4.3849771630318996E-3</v>
      </c>
      <c r="E155" s="7">
        <v>4.4140901938675703E-3</v>
      </c>
      <c r="F155" s="6">
        <v>0</v>
      </c>
      <c r="G155" s="6">
        <v>2.2852000000000001</v>
      </c>
      <c r="H155" s="6">
        <v>0</v>
      </c>
      <c r="I155" s="6">
        <v>2.9034</v>
      </c>
      <c r="J155" s="6">
        <v>2.2852000000000001</v>
      </c>
      <c r="K155" s="6">
        <v>2.9034</v>
      </c>
      <c r="L155" s="6">
        <v>68.565200000000004</v>
      </c>
      <c r="M155" s="6">
        <v>98.263400000000004</v>
      </c>
      <c r="N155" s="8">
        <v>1.4387447193723499</v>
      </c>
      <c r="O155" s="8">
        <v>1.43297833357297</v>
      </c>
      <c r="P155" s="8">
        <v>1.4385702591685201</v>
      </c>
      <c r="Q155" s="8">
        <v>1.4383701328209999</v>
      </c>
      <c r="R155" s="6">
        <v>94.977803949216394</v>
      </c>
      <c r="S155" s="6">
        <v>95.350437688574999</v>
      </c>
      <c r="T155" s="6">
        <v>95.3265663336648</v>
      </c>
      <c r="U155" s="7">
        <v>-4.0159816550192698E-3</v>
      </c>
      <c r="V155" s="7">
        <v>-1.0028094475438601E-4</v>
      </c>
      <c r="W155" s="7">
        <v>-3.5066619868019699E-4</v>
      </c>
      <c r="X155" s="8">
        <v>1.4331380933768101</v>
      </c>
      <c r="Y155" s="8">
        <v>1.4302827749172899</v>
      </c>
      <c r="Z155" s="8">
        <v>1.4330714645031399</v>
      </c>
      <c r="AA155" s="8">
        <v>1.4334276984823699</v>
      </c>
      <c r="AB155" s="6">
        <v>98.067624518759203</v>
      </c>
      <c r="AC155" s="6">
        <v>98.269015179618407</v>
      </c>
      <c r="AD155" s="6">
        <v>98.278844896352695</v>
      </c>
      <c r="AE155" s="7">
        <v>-1.9943414099772398E-3</v>
      </c>
      <c r="AF155" s="7">
        <v>5.7142529030699798E-5</v>
      </c>
      <c r="AG155" s="7">
        <v>1.5716617455627401E-4</v>
      </c>
      <c r="AZ155" s="23"/>
      <c r="BB155" s="12">
        <f t="shared" si="46"/>
        <v>0</v>
      </c>
      <c r="BC155" s="12">
        <f t="shared" si="47"/>
        <v>1</v>
      </c>
      <c r="BD155" s="12">
        <f t="shared" si="48"/>
        <v>0</v>
      </c>
      <c r="BE155" s="12">
        <f t="shared" si="44"/>
        <v>1</v>
      </c>
      <c r="BF155" s="12">
        <f t="shared" si="49"/>
        <v>0</v>
      </c>
      <c r="BG155" s="23">
        <f t="shared" si="50"/>
        <v>0</v>
      </c>
      <c r="BH155" s="23">
        <f t="shared" si="51"/>
        <v>0</v>
      </c>
      <c r="BI155" s="23">
        <f t="shared" si="52"/>
        <v>0</v>
      </c>
      <c r="BJ155" s="18">
        <f t="shared" si="53"/>
        <v>6.6745486111423388E-3</v>
      </c>
      <c r="BL155" s="23"/>
      <c r="BN155" s="12">
        <f t="shared" si="54"/>
        <v>0</v>
      </c>
      <c r="BO155" s="12">
        <f t="shared" si="55"/>
        <v>0</v>
      </c>
      <c r="BP155" s="12">
        <f t="shared" si="56"/>
        <v>0</v>
      </c>
      <c r="BQ155" s="12">
        <f t="shared" si="45"/>
        <v>1</v>
      </c>
      <c r="BR155" s="12">
        <f t="shared" si="57"/>
        <v>0</v>
      </c>
      <c r="BS155" s="23">
        <f t="shared" si="58"/>
        <v>0</v>
      </c>
      <c r="BT155" s="23">
        <f t="shared" si="59"/>
        <v>0</v>
      </c>
      <c r="BU155" s="23">
        <f t="shared" si="60"/>
        <v>0</v>
      </c>
      <c r="BV155" s="18">
        <f t="shared" si="61"/>
        <v>7.8853492280009374E-3</v>
      </c>
      <c r="BX155" s="18">
        <f t="shared" si="62"/>
        <v>0</v>
      </c>
      <c r="BY155" s="18">
        <f t="shared" si="63"/>
        <v>1.4559897839143274E-2</v>
      </c>
    </row>
    <row r="156" spans="1:77" x14ac:dyDescent="0.3">
      <c r="A156" s="1">
        <v>46248</v>
      </c>
      <c r="B156" s="6">
        <v>66.13</v>
      </c>
      <c r="C156" s="6">
        <v>95.05</v>
      </c>
      <c r="D156" s="7">
        <v>-2.2656908717911899E-3</v>
      </c>
      <c r="E156" s="7">
        <v>-3.25613438260146E-3</v>
      </c>
      <c r="F156" s="6">
        <v>0</v>
      </c>
      <c r="G156" s="6">
        <v>2.2852000000000001</v>
      </c>
      <c r="H156" s="6">
        <v>0</v>
      </c>
      <c r="I156" s="6">
        <v>2.9034</v>
      </c>
      <c r="J156" s="6">
        <v>2.2852000000000001</v>
      </c>
      <c r="K156" s="6">
        <v>2.9034</v>
      </c>
      <c r="L156" s="6">
        <v>68.415199999999999</v>
      </c>
      <c r="M156" s="6">
        <v>97.953400000000002</v>
      </c>
      <c r="N156" s="8">
        <v>1.43732042945713</v>
      </c>
      <c r="O156" s="8">
        <v>1.43297833357297</v>
      </c>
      <c r="P156" s="8">
        <v>1.4385295196112</v>
      </c>
      <c r="Q156" s="8">
        <v>1.4383874780002399</v>
      </c>
      <c r="R156" s="6">
        <v>94.762857199180502</v>
      </c>
      <c r="S156" s="6">
        <v>95.132651238814603</v>
      </c>
      <c r="T156" s="6">
        <v>95.119416883453098</v>
      </c>
      <c r="U156" s="7">
        <v>-3.0255381442089399E-3</v>
      </c>
      <c r="V156" s="7">
        <v>8.6917753517131401E-4</v>
      </c>
      <c r="W156" s="7">
        <v>7.3005310395262801E-4</v>
      </c>
      <c r="X156" s="8">
        <v>1.4317490849986501</v>
      </c>
      <c r="Y156" s="8">
        <v>1.4302827749172899</v>
      </c>
      <c r="Z156" s="8">
        <v>1.43291234131749</v>
      </c>
      <c r="AA156" s="8">
        <v>1.4333827311393399</v>
      </c>
      <c r="AB156" s="6">
        <v>97.853082102521597</v>
      </c>
      <c r="AC156" s="6">
        <v>98.043870858275795</v>
      </c>
      <c r="AD156" s="6">
        <v>98.068242677211103</v>
      </c>
      <c r="AE156" s="7">
        <v>-1.02466379231642E-3</v>
      </c>
      <c r="AF156" s="7">
        <v>9.2318494339390896E-4</v>
      </c>
      <c r="AG156" s="7">
        <v>1.17173480215997E-3</v>
      </c>
      <c r="AZ156" s="23"/>
      <c r="BB156" s="12">
        <f t="shared" si="46"/>
        <v>0</v>
      </c>
      <c r="BC156" s="12">
        <f t="shared" si="47"/>
        <v>1</v>
      </c>
      <c r="BD156" s="12">
        <f t="shared" si="48"/>
        <v>0</v>
      </c>
      <c r="BE156" s="12">
        <f t="shared" si="44"/>
        <v>1</v>
      </c>
      <c r="BF156" s="12">
        <f t="shared" si="49"/>
        <v>0</v>
      </c>
      <c r="BG156" s="23">
        <f t="shared" si="50"/>
        <v>0</v>
      </c>
      <c r="BH156" s="23">
        <f t="shared" si="51"/>
        <v>0</v>
      </c>
      <c r="BI156" s="23">
        <f t="shared" si="52"/>
        <v>0</v>
      </c>
      <c r="BJ156" s="18">
        <f t="shared" si="53"/>
        <v>6.6745486111423388E-3</v>
      </c>
      <c r="BL156" s="23"/>
      <c r="BN156" s="12">
        <f t="shared" si="54"/>
        <v>1</v>
      </c>
      <c r="BO156" s="12">
        <f t="shared" si="55"/>
        <v>0</v>
      </c>
      <c r="BP156" s="12">
        <f t="shared" si="56"/>
        <v>0</v>
      </c>
      <c r="BQ156" s="12">
        <f t="shared" si="45"/>
        <v>1</v>
      </c>
      <c r="BR156" s="12">
        <f t="shared" si="57"/>
        <v>0</v>
      </c>
      <c r="BS156" s="23">
        <f t="shared" si="58"/>
        <v>0</v>
      </c>
      <c r="BT156" s="23">
        <f t="shared" si="59"/>
        <v>0</v>
      </c>
      <c r="BU156" s="23">
        <f t="shared" si="60"/>
        <v>0</v>
      </c>
      <c r="BV156" s="18">
        <f t="shared" si="61"/>
        <v>7.8853492280009374E-3</v>
      </c>
      <c r="BX156" s="18">
        <f t="shared" si="62"/>
        <v>0</v>
      </c>
      <c r="BY156" s="18">
        <f t="shared" si="63"/>
        <v>1.4559897839143274E-2</v>
      </c>
    </row>
    <row r="157" spans="1:77" x14ac:dyDescent="0.3">
      <c r="A157" s="1">
        <v>46251</v>
      </c>
      <c r="B157" s="6">
        <v>65.900000000000006</v>
      </c>
      <c r="C157" s="6">
        <v>94.7</v>
      </c>
      <c r="D157" s="7">
        <v>-3.48406017810932E-3</v>
      </c>
      <c r="E157" s="7">
        <v>-3.6890687424055899E-3</v>
      </c>
      <c r="F157" s="6">
        <v>0</v>
      </c>
      <c r="G157" s="6">
        <v>2.2852000000000001</v>
      </c>
      <c r="H157" s="6">
        <v>0</v>
      </c>
      <c r="I157" s="6">
        <v>2.9034</v>
      </c>
      <c r="J157" s="6">
        <v>2.2852000000000001</v>
      </c>
      <c r="K157" s="6">
        <v>2.9034</v>
      </c>
      <c r="L157" s="6">
        <v>68.185199999999995</v>
      </c>
      <c r="M157" s="6">
        <v>97.603399999999993</v>
      </c>
      <c r="N157" s="8">
        <v>1.4370257966616</v>
      </c>
      <c r="O157" s="8">
        <v>1.43297833357297</v>
      </c>
      <c r="P157" s="8">
        <v>1.4382570195022499</v>
      </c>
      <c r="Q157" s="8">
        <v>1.43838072081704</v>
      </c>
      <c r="R157" s="6">
        <v>94.433272182458694</v>
      </c>
      <c r="S157" s="6">
        <v>94.799095342378195</v>
      </c>
      <c r="T157" s="6">
        <v>94.789734800215896</v>
      </c>
      <c r="U157" s="7">
        <v>-2.8205295799126002E-3</v>
      </c>
      <c r="V157" s="7">
        <v>1.04586622149344E-3</v>
      </c>
      <c r="W157" s="7">
        <v>9.4712050780462504E-4</v>
      </c>
      <c r="X157" s="8">
        <v>1.4314455336348599</v>
      </c>
      <c r="Y157" s="8">
        <v>1.4302827749172899</v>
      </c>
      <c r="Z157" s="8">
        <v>1.4326497235441</v>
      </c>
      <c r="AA157" s="8">
        <v>1.4333138614432701</v>
      </c>
      <c r="AB157" s="6">
        <v>97.524117064290607</v>
      </c>
      <c r="AC157" s="6">
        <v>97.703414575201805</v>
      </c>
      <c r="AD157" s="6">
        <v>97.7354881992825</v>
      </c>
      <c r="AE157" s="7">
        <v>-8.1262695559420901E-4</v>
      </c>
      <c r="AF157" s="7">
        <v>1.0241791528048699E-3</v>
      </c>
      <c r="AG157" s="7">
        <v>1.3524006472290899E-3</v>
      </c>
      <c r="BB157" s="12">
        <f t="shared" si="46"/>
        <v>0</v>
      </c>
      <c r="BC157" s="12">
        <f t="shared" si="47"/>
        <v>1</v>
      </c>
      <c r="BD157" s="12">
        <f t="shared" si="48"/>
        <v>0</v>
      </c>
      <c r="BE157" s="12">
        <f t="shared" si="44"/>
        <v>1</v>
      </c>
      <c r="BF157" s="12">
        <f t="shared" si="49"/>
        <v>0</v>
      </c>
      <c r="BG157" s="23">
        <f t="shared" si="50"/>
        <v>0</v>
      </c>
      <c r="BH157" s="23">
        <f t="shared" si="51"/>
        <v>0</v>
      </c>
      <c r="BI157" s="23">
        <f t="shared" si="52"/>
        <v>0</v>
      </c>
      <c r="BJ157" s="18">
        <f t="shared" si="53"/>
        <v>6.6745486111423388E-3</v>
      </c>
      <c r="BL157" s="23"/>
      <c r="BN157" s="12">
        <f t="shared" si="54"/>
        <v>1</v>
      </c>
      <c r="BO157" s="12">
        <f t="shared" si="55"/>
        <v>0</v>
      </c>
      <c r="BP157" s="12">
        <f t="shared" si="56"/>
        <v>1</v>
      </c>
      <c r="BQ157" s="12">
        <f t="shared" si="45"/>
        <v>1</v>
      </c>
      <c r="BR157" s="12">
        <f t="shared" si="57"/>
        <v>1</v>
      </c>
      <c r="BS157" s="23">
        <f t="shared" si="58"/>
        <v>3.48406017810932E-3</v>
      </c>
      <c r="BT157" s="23">
        <f t="shared" si="59"/>
        <v>-3.6890687424055899E-3</v>
      </c>
      <c r="BU157" s="23">
        <f t="shared" si="60"/>
        <v>-2.0500856429626988E-4</v>
      </c>
      <c r="BV157" s="18">
        <f t="shared" si="61"/>
        <v>7.6803406637046675E-3</v>
      </c>
      <c r="BX157" s="18">
        <f t="shared" si="62"/>
        <v>-2.0500856429626988E-4</v>
      </c>
      <c r="BY157" s="18">
        <f t="shared" si="63"/>
        <v>1.4354889274847005E-2</v>
      </c>
    </row>
    <row r="158" spans="1:77" x14ac:dyDescent="0.3">
      <c r="A158" s="1">
        <v>46252</v>
      </c>
      <c r="B158" s="6">
        <v>65.83</v>
      </c>
      <c r="C158" s="6">
        <v>94.64</v>
      </c>
      <c r="D158" s="7">
        <v>-1.0627800286763501E-3</v>
      </c>
      <c r="E158" s="7">
        <v>-6.33780521901299E-4</v>
      </c>
      <c r="F158" s="6">
        <v>0</v>
      </c>
      <c r="G158" s="6">
        <v>2.2852000000000001</v>
      </c>
      <c r="H158" s="6">
        <v>0</v>
      </c>
      <c r="I158" s="6">
        <v>2.9034</v>
      </c>
      <c r="J158" s="6">
        <v>2.2852000000000001</v>
      </c>
      <c r="K158" s="6">
        <v>2.9034</v>
      </c>
      <c r="L158" s="6">
        <v>68.115200000000002</v>
      </c>
      <c r="M158" s="6">
        <v>97.543400000000005</v>
      </c>
      <c r="N158" s="8">
        <v>1.4376424122740299</v>
      </c>
      <c r="O158" s="8">
        <v>1.43297833357297</v>
      </c>
      <c r="P158" s="8">
        <v>1.4380321483752001</v>
      </c>
      <c r="Q158" s="8">
        <v>1.4383322230295399</v>
      </c>
      <c r="R158" s="6">
        <v>94.332963699108603</v>
      </c>
      <c r="S158" s="6">
        <v>94.680459593833305</v>
      </c>
      <c r="T158" s="6">
        <v>94.688602851386193</v>
      </c>
      <c r="U158" s="7">
        <v>-3.2495290866877799E-3</v>
      </c>
      <c r="V158" s="7">
        <v>4.2741914461929002E-4</v>
      </c>
      <c r="W158" s="7">
        <v>5.1342324109360303E-4</v>
      </c>
      <c r="X158" s="8">
        <v>1.43203572770835</v>
      </c>
      <c r="Y158" s="8">
        <v>1.4302827749172899</v>
      </c>
      <c r="Z158" s="8">
        <v>1.4324299050217699</v>
      </c>
      <c r="AA158" s="8">
        <v>1.4332041824703701</v>
      </c>
      <c r="AB158" s="6">
        <v>97.423997270046399</v>
      </c>
      <c r="AC158" s="6">
        <v>97.585222449151402</v>
      </c>
      <c r="AD158" s="6">
        <v>97.630460334980697</v>
      </c>
      <c r="AE158" s="7">
        <v>-1.22484832390758E-3</v>
      </c>
      <c r="AF158" s="7">
        <v>4.2866545427250303E-4</v>
      </c>
      <c r="AG158" s="7">
        <v>8.9213115532577796E-4</v>
      </c>
      <c r="BB158" s="12">
        <f t="shared" si="46"/>
        <v>0</v>
      </c>
      <c r="BC158" s="12">
        <f t="shared" si="47"/>
        <v>1</v>
      </c>
      <c r="BD158" s="12">
        <f t="shared" si="48"/>
        <v>0</v>
      </c>
      <c r="BE158" s="12">
        <f t="shared" si="44"/>
        <v>1</v>
      </c>
      <c r="BF158" s="12">
        <f t="shared" si="49"/>
        <v>0</v>
      </c>
      <c r="BG158" s="23">
        <f t="shared" si="50"/>
        <v>0</v>
      </c>
      <c r="BH158" s="23">
        <f t="shared" si="51"/>
        <v>0</v>
      </c>
      <c r="BI158" s="23">
        <f t="shared" si="52"/>
        <v>0</v>
      </c>
      <c r="BJ158" s="18">
        <f t="shared" si="53"/>
        <v>6.6745486111423388E-3</v>
      </c>
      <c r="BL158" s="23"/>
      <c r="BN158" s="12">
        <f t="shared" si="54"/>
        <v>0</v>
      </c>
      <c r="BO158" s="12">
        <f t="shared" si="55"/>
        <v>0</v>
      </c>
      <c r="BP158" s="12">
        <f t="shared" si="56"/>
        <v>1</v>
      </c>
      <c r="BQ158" s="12">
        <f t="shared" si="45"/>
        <v>1</v>
      </c>
      <c r="BR158" s="12">
        <f t="shared" si="57"/>
        <v>1</v>
      </c>
      <c r="BS158" s="23">
        <f t="shared" si="58"/>
        <v>1.0627800286763501E-3</v>
      </c>
      <c r="BT158" s="23">
        <f t="shared" si="59"/>
        <v>-6.33780521901299E-4</v>
      </c>
      <c r="BU158" s="23">
        <f t="shared" si="60"/>
        <v>4.2899950677505107E-4</v>
      </c>
      <c r="BV158" s="18">
        <f t="shared" si="61"/>
        <v>8.1093401704797185E-3</v>
      </c>
      <c r="BX158" s="18">
        <f t="shared" si="62"/>
        <v>4.2899950677505107E-4</v>
      </c>
      <c r="BY158" s="18">
        <f t="shared" si="63"/>
        <v>1.4783888781622057E-2</v>
      </c>
    </row>
    <row r="159" spans="1:77" x14ac:dyDescent="0.3">
      <c r="A159" s="1">
        <v>46253</v>
      </c>
      <c r="B159" s="6">
        <v>66.11</v>
      </c>
      <c r="C159" s="6">
        <v>95.11</v>
      </c>
      <c r="D159" s="7">
        <v>4.2443598657013696E-3</v>
      </c>
      <c r="E159" s="7">
        <v>4.9538968241628796E-3</v>
      </c>
      <c r="F159" s="6">
        <v>0</v>
      </c>
      <c r="G159" s="6">
        <v>2.2852000000000001</v>
      </c>
      <c r="H159" s="6">
        <v>0</v>
      </c>
      <c r="I159" s="6">
        <v>2.9034</v>
      </c>
      <c r="J159" s="6">
        <v>2.2852000000000001</v>
      </c>
      <c r="K159" s="6">
        <v>2.9034</v>
      </c>
      <c r="L159" s="6">
        <v>68.395200000000003</v>
      </c>
      <c r="M159" s="6">
        <v>98.013400000000004</v>
      </c>
      <c r="N159" s="8">
        <v>1.4386628346694901</v>
      </c>
      <c r="O159" s="8">
        <v>1.43297833357297</v>
      </c>
      <c r="P159" s="8">
        <v>1.4380501851674199</v>
      </c>
      <c r="Q159" s="8">
        <v>1.43835822622702</v>
      </c>
      <c r="R159" s="6">
        <v>94.734197632508995</v>
      </c>
      <c r="S159" s="6">
        <v>95.068305329084694</v>
      </c>
      <c r="T159" s="6">
        <v>95.088143264482994</v>
      </c>
      <c r="U159" s="7">
        <v>-3.9590660451491004E-3</v>
      </c>
      <c r="V159" s="7">
        <v>-4.38479788861221E-4</v>
      </c>
      <c r="W159" s="7">
        <v>-2.2983121956973601E-4</v>
      </c>
      <c r="X159" s="8">
        <v>1.4330450090064799</v>
      </c>
      <c r="Y159" s="8">
        <v>1.4302827749172899</v>
      </c>
      <c r="Z159" s="8">
        <v>1.43244692922574</v>
      </c>
      <c r="AA159" s="8">
        <v>1.43316835823212</v>
      </c>
      <c r="AB159" s="6">
        <v>97.824476447023201</v>
      </c>
      <c r="AC159" s="6">
        <v>97.971329839945497</v>
      </c>
      <c r="AD159" s="6">
        <v>98.024286700897605</v>
      </c>
      <c r="AE159" s="7">
        <v>-1.92938786929781E-3</v>
      </c>
      <c r="AF159" s="7">
        <v>-4.2932080203444799E-4</v>
      </c>
      <c r="AG159" s="7">
        <v>1.11067428840742E-4</v>
      </c>
      <c r="BB159" s="12">
        <f t="shared" si="46"/>
        <v>0</v>
      </c>
      <c r="BC159" s="12">
        <f t="shared" si="47"/>
        <v>1</v>
      </c>
      <c r="BD159" s="12">
        <f t="shared" si="48"/>
        <v>0</v>
      </c>
      <c r="BE159" s="12">
        <f t="shared" si="44"/>
        <v>1</v>
      </c>
      <c r="BF159" s="12">
        <f t="shared" si="49"/>
        <v>0</v>
      </c>
      <c r="BG159" s="23">
        <f t="shared" si="50"/>
        <v>0</v>
      </c>
      <c r="BH159" s="23">
        <f t="shared" si="51"/>
        <v>0</v>
      </c>
      <c r="BI159" s="23">
        <f t="shared" si="52"/>
        <v>0</v>
      </c>
      <c r="BJ159" s="18">
        <f t="shared" si="53"/>
        <v>6.6745486111423388E-3</v>
      </c>
      <c r="BL159" s="23"/>
      <c r="BN159" s="12">
        <f t="shared" si="54"/>
        <v>0</v>
      </c>
      <c r="BO159" s="12">
        <f t="shared" si="55"/>
        <v>0</v>
      </c>
      <c r="BP159" s="12">
        <f t="shared" si="56"/>
        <v>1</v>
      </c>
      <c r="BQ159" s="12">
        <f t="shared" si="45"/>
        <v>1</v>
      </c>
      <c r="BR159" s="12">
        <f t="shared" si="57"/>
        <v>1</v>
      </c>
      <c r="BS159" s="23">
        <f t="shared" si="58"/>
        <v>-4.2443598657013696E-3</v>
      </c>
      <c r="BT159" s="23">
        <f t="shared" si="59"/>
        <v>4.9538968241628796E-3</v>
      </c>
      <c r="BU159" s="23">
        <f t="shared" si="60"/>
        <v>7.0953695846151001E-4</v>
      </c>
      <c r="BV159" s="18">
        <f t="shared" si="61"/>
        <v>8.8188771289412285E-3</v>
      </c>
      <c r="BX159" s="18">
        <f t="shared" si="62"/>
        <v>7.0953695846151001E-4</v>
      </c>
      <c r="BY159" s="18">
        <f t="shared" si="63"/>
        <v>1.5493425740083567E-2</v>
      </c>
    </row>
    <row r="160" spans="1:77" x14ac:dyDescent="0.3">
      <c r="A160" s="1">
        <v>46254</v>
      </c>
      <c r="B160" s="6">
        <v>65.88</v>
      </c>
      <c r="C160" s="6">
        <v>94.67</v>
      </c>
      <c r="D160" s="7">
        <v>-3.4851160360472901E-3</v>
      </c>
      <c r="E160" s="7">
        <v>-4.6369563534942402E-3</v>
      </c>
      <c r="F160" s="6">
        <v>0</v>
      </c>
      <c r="G160" s="6">
        <v>2.2852000000000001</v>
      </c>
      <c r="H160" s="6">
        <v>0</v>
      </c>
      <c r="I160" s="6">
        <v>2.9034</v>
      </c>
      <c r="J160" s="6">
        <v>2.2852000000000001</v>
      </c>
      <c r="K160" s="6">
        <v>2.9034</v>
      </c>
      <c r="L160" s="6">
        <v>68.165199999999999</v>
      </c>
      <c r="M160" s="6">
        <v>97.573400000000007</v>
      </c>
      <c r="N160" s="8">
        <v>1.43700667880995</v>
      </c>
      <c r="O160" s="8">
        <v>1.43297833357297</v>
      </c>
      <c r="P160" s="8">
        <v>1.4379525795363799</v>
      </c>
      <c r="Q160" s="8">
        <v>1.4382898139715301</v>
      </c>
      <c r="R160" s="6">
        <v>94.404612615787201</v>
      </c>
      <c r="S160" s="6">
        <v>94.738746198829901</v>
      </c>
      <c r="T160" s="6">
        <v>94.7590399438361</v>
      </c>
      <c r="U160" s="7">
        <v>-2.8072257277021E-3</v>
      </c>
      <c r="V160" s="7">
        <v>7.2590314046536305E-4</v>
      </c>
      <c r="W160" s="7">
        <v>9.4008764886427604E-4</v>
      </c>
      <c r="X160" s="8">
        <v>1.43142541942222</v>
      </c>
      <c r="Y160" s="8">
        <v>1.4302827749172899</v>
      </c>
      <c r="Z160" s="8">
        <v>1.43235136310416</v>
      </c>
      <c r="AA160" s="8">
        <v>1.4330415745582901</v>
      </c>
      <c r="AB160" s="6">
        <v>97.495511408792296</v>
      </c>
      <c r="AC160" s="6">
        <v>97.643031420058406</v>
      </c>
      <c r="AD160" s="6">
        <v>97.692207772564103</v>
      </c>
      <c r="AE160" s="7">
        <v>-7.9857517822247805E-4</v>
      </c>
      <c r="AF160" s="7">
        <v>7.13376661020482E-4</v>
      </c>
      <c r="AG160" s="7">
        <v>1.2168839006552799E-3</v>
      </c>
      <c r="BB160" s="12">
        <f t="shared" si="46"/>
        <v>0</v>
      </c>
      <c r="BC160" s="12">
        <f t="shared" si="47"/>
        <v>1</v>
      </c>
      <c r="BD160" s="12">
        <f t="shared" si="48"/>
        <v>0</v>
      </c>
      <c r="BE160" s="12">
        <f t="shared" si="44"/>
        <v>1</v>
      </c>
      <c r="BF160" s="12">
        <f t="shared" si="49"/>
        <v>0</v>
      </c>
      <c r="BG160" s="23">
        <f t="shared" si="50"/>
        <v>0</v>
      </c>
      <c r="BH160" s="23">
        <f t="shared" si="51"/>
        <v>0</v>
      </c>
      <c r="BI160" s="23">
        <f t="shared" si="52"/>
        <v>0</v>
      </c>
      <c r="BJ160" s="18">
        <f t="shared" si="53"/>
        <v>6.6745486111423388E-3</v>
      </c>
      <c r="BL160" s="23"/>
      <c r="BN160" s="12">
        <f t="shared" si="54"/>
        <v>1</v>
      </c>
      <c r="BO160" s="12">
        <f t="shared" si="55"/>
        <v>0</v>
      </c>
      <c r="BP160" s="12">
        <f t="shared" si="56"/>
        <v>1</v>
      </c>
      <c r="BQ160" s="12">
        <f t="shared" si="45"/>
        <v>1</v>
      </c>
      <c r="BR160" s="12">
        <f t="shared" si="57"/>
        <v>1</v>
      </c>
      <c r="BS160" s="23">
        <f t="shared" si="58"/>
        <v>3.4851160360472901E-3</v>
      </c>
      <c r="BT160" s="23">
        <f t="shared" si="59"/>
        <v>-4.6369563534942402E-3</v>
      </c>
      <c r="BU160" s="23">
        <f t="shared" si="60"/>
        <v>-1.1518403174469501E-3</v>
      </c>
      <c r="BV160" s="18">
        <f t="shared" si="61"/>
        <v>7.6670368114942784E-3</v>
      </c>
      <c r="BX160" s="18">
        <f t="shared" si="62"/>
        <v>-1.1518403174469501E-3</v>
      </c>
      <c r="BY160" s="18">
        <f t="shared" si="63"/>
        <v>1.4341585422636617E-2</v>
      </c>
    </row>
    <row r="161" spans="1:77" x14ac:dyDescent="0.3">
      <c r="A161" s="1">
        <v>46255</v>
      </c>
      <c r="B161" s="6">
        <v>65.91</v>
      </c>
      <c r="C161" s="6">
        <v>94.72</v>
      </c>
      <c r="D161" s="7">
        <v>4.5526975518904997E-4</v>
      </c>
      <c r="E161" s="7">
        <v>5.2801099489561899E-4</v>
      </c>
      <c r="F161" s="6">
        <v>0</v>
      </c>
      <c r="G161" s="6">
        <v>2.2852000000000001</v>
      </c>
      <c r="H161" s="6">
        <v>0</v>
      </c>
      <c r="I161" s="6">
        <v>2.9034</v>
      </c>
      <c r="J161" s="6">
        <v>2.2852000000000001</v>
      </c>
      <c r="K161" s="6">
        <v>2.9034</v>
      </c>
      <c r="L161" s="6">
        <v>68.1952</v>
      </c>
      <c r="M161" s="6">
        <v>97.623400000000004</v>
      </c>
      <c r="N161" s="8">
        <v>1.4371112122591401</v>
      </c>
      <c r="O161" s="8">
        <v>1.43297833357297</v>
      </c>
      <c r="P161" s="8">
        <v>1.4378183601793</v>
      </c>
      <c r="Q161" s="8">
        <v>1.4382850860499401</v>
      </c>
      <c r="R161" s="6">
        <v>94.447601965794405</v>
      </c>
      <c r="S161" s="6">
        <v>94.775454517242807</v>
      </c>
      <c r="T161" s="6">
        <v>94.797681638863907</v>
      </c>
      <c r="U161" s="7">
        <v>-2.87996696740882E-3</v>
      </c>
      <c r="V161" s="7">
        <v>5.8528600558920799E-4</v>
      </c>
      <c r="W161" s="7">
        <v>8.1978253999996599E-4</v>
      </c>
      <c r="X161" s="8">
        <v>1.4315289052601901</v>
      </c>
      <c r="Y161" s="8">
        <v>1.4302827749172899</v>
      </c>
      <c r="Z161" s="8">
        <v>1.4322191767196799</v>
      </c>
      <c r="AA161" s="8">
        <v>1.43297632785539</v>
      </c>
      <c r="AB161" s="6">
        <v>97.538419892039798</v>
      </c>
      <c r="AC161" s="6">
        <v>97.679487677161106</v>
      </c>
      <c r="AD161" s="6">
        <v>97.726556785317698</v>
      </c>
      <c r="AE161" s="7">
        <v>-8.7086821979847804E-4</v>
      </c>
      <c r="AF161" s="7">
        <v>5.7436609739995495E-4</v>
      </c>
      <c r="AG161" s="7">
        <v>1.05612303789236E-3</v>
      </c>
      <c r="BB161" s="12">
        <f t="shared" si="46"/>
        <v>0</v>
      </c>
      <c r="BC161" s="12">
        <f t="shared" si="47"/>
        <v>1</v>
      </c>
      <c r="BD161" s="12">
        <f t="shared" si="48"/>
        <v>0</v>
      </c>
      <c r="BE161" s="12">
        <f t="shared" si="44"/>
        <v>1</v>
      </c>
      <c r="BF161" s="12">
        <f t="shared" si="49"/>
        <v>0</v>
      </c>
      <c r="BG161" s="23">
        <f t="shared" si="50"/>
        <v>0</v>
      </c>
      <c r="BH161" s="23">
        <f t="shared" si="51"/>
        <v>0</v>
      </c>
      <c r="BI161" s="23">
        <f t="shared" si="52"/>
        <v>0</v>
      </c>
      <c r="BJ161" s="18">
        <f t="shared" si="53"/>
        <v>6.6745486111423388E-3</v>
      </c>
      <c r="BL161" s="23"/>
      <c r="BN161" s="12">
        <f t="shared" si="54"/>
        <v>1</v>
      </c>
      <c r="BO161" s="12">
        <f t="shared" si="55"/>
        <v>0</v>
      </c>
      <c r="BP161" s="12">
        <f t="shared" si="56"/>
        <v>1</v>
      </c>
      <c r="BQ161" s="12">
        <f t="shared" si="45"/>
        <v>1</v>
      </c>
      <c r="BR161" s="12">
        <f t="shared" si="57"/>
        <v>1</v>
      </c>
      <c r="BS161" s="23">
        <f t="shared" si="58"/>
        <v>-4.5526975518904997E-4</v>
      </c>
      <c r="BT161" s="23">
        <f t="shared" si="59"/>
        <v>5.2801099489561899E-4</v>
      </c>
      <c r="BU161" s="23">
        <f t="shared" si="60"/>
        <v>7.274123970656902E-5</v>
      </c>
      <c r="BV161" s="18">
        <f t="shared" si="61"/>
        <v>7.7397780512008475E-3</v>
      </c>
      <c r="BX161" s="18">
        <f t="shared" si="62"/>
        <v>7.274123970656902E-5</v>
      </c>
      <c r="BY161" s="18">
        <f t="shared" si="63"/>
        <v>1.4414326662343185E-2</v>
      </c>
    </row>
    <row r="162" spans="1:77" x14ac:dyDescent="0.3">
      <c r="A162" s="1">
        <v>46258</v>
      </c>
      <c r="B162" s="6">
        <v>65.989999999999995</v>
      </c>
      <c r="C162" s="6">
        <v>94.85</v>
      </c>
      <c r="D162" s="7">
        <v>1.21304033070164E-3</v>
      </c>
      <c r="E162" s="7">
        <v>1.37152524532767E-3</v>
      </c>
      <c r="F162" s="6">
        <v>0</v>
      </c>
      <c r="G162" s="6">
        <v>2.2852000000000001</v>
      </c>
      <c r="H162" s="6">
        <v>0</v>
      </c>
      <c r="I162" s="6">
        <v>2.9034</v>
      </c>
      <c r="J162" s="6">
        <v>2.2852000000000001</v>
      </c>
      <c r="K162" s="6">
        <v>2.9034</v>
      </c>
      <c r="L162" s="6">
        <v>68.275199999999998</v>
      </c>
      <c r="M162" s="6">
        <v>97.753399999999999</v>
      </c>
      <c r="N162" s="8">
        <v>1.43733899075617</v>
      </c>
      <c r="O162" s="8">
        <v>1.43297833357297</v>
      </c>
      <c r="P162" s="8">
        <v>1.43776814767214</v>
      </c>
      <c r="Q162" s="8">
        <v>1.4382344348606999</v>
      </c>
      <c r="R162" s="6">
        <v>94.562240232480207</v>
      </c>
      <c r="S162" s="6">
        <v>94.881633588232006</v>
      </c>
      <c r="T162" s="6">
        <v>94.912432828435897</v>
      </c>
      <c r="U162" s="7">
        <v>-3.03845188203478E-3</v>
      </c>
      <c r="V162" s="7">
        <v>3.33456134087354E-4</v>
      </c>
      <c r="W162" s="7">
        <v>6.5801043713456704E-4</v>
      </c>
      <c r="X162" s="8">
        <v>1.43175560086239</v>
      </c>
      <c r="Y162" s="8">
        <v>1.4302827749172899</v>
      </c>
      <c r="Z162" s="8">
        <v>1.43217089102629</v>
      </c>
      <c r="AA162" s="8">
        <v>1.43286619181431</v>
      </c>
      <c r="AB162" s="6">
        <v>97.652842514033196</v>
      </c>
      <c r="AC162" s="6">
        <v>97.785050734371794</v>
      </c>
      <c r="AD162" s="6">
        <v>97.836745379592799</v>
      </c>
      <c r="AE162" s="7">
        <v>-1.02921476355736E-3</v>
      </c>
      <c r="AF162" s="7">
        <v>3.2372901114209699E-4</v>
      </c>
      <c r="AG162" s="7">
        <v>8.5224523429573305E-4</v>
      </c>
      <c r="BB162" s="12">
        <f t="shared" si="46"/>
        <v>0</v>
      </c>
      <c r="BC162" s="12">
        <f t="shared" si="47"/>
        <v>1</v>
      </c>
      <c r="BD162" s="12">
        <f t="shared" si="48"/>
        <v>0</v>
      </c>
      <c r="BE162" s="12">
        <f t="shared" si="44"/>
        <v>1</v>
      </c>
      <c r="BF162" s="12">
        <f t="shared" si="49"/>
        <v>0</v>
      </c>
      <c r="BG162" s="23">
        <f t="shared" si="50"/>
        <v>0</v>
      </c>
      <c r="BH162" s="23">
        <f t="shared" si="51"/>
        <v>0</v>
      </c>
      <c r="BI162" s="23">
        <f t="shared" si="52"/>
        <v>0</v>
      </c>
      <c r="BJ162" s="18">
        <f t="shared" si="53"/>
        <v>6.6745486111423388E-3</v>
      </c>
      <c r="BL162" s="23"/>
      <c r="BN162" s="12">
        <f t="shared" si="54"/>
        <v>0</v>
      </c>
      <c r="BO162" s="12">
        <f t="shared" si="55"/>
        <v>0</v>
      </c>
      <c r="BP162" s="12">
        <f t="shared" si="56"/>
        <v>1</v>
      </c>
      <c r="BQ162" s="12">
        <f t="shared" si="45"/>
        <v>1</v>
      </c>
      <c r="BR162" s="12">
        <f t="shared" si="57"/>
        <v>1</v>
      </c>
      <c r="BS162" s="23">
        <f t="shared" si="58"/>
        <v>-1.21304033070164E-3</v>
      </c>
      <c r="BT162" s="23">
        <f t="shared" si="59"/>
        <v>1.37152524532767E-3</v>
      </c>
      <c r="BU162" s="23">
        <f t="shared" si="60"/>
        <v>1.5848491462603005E-4</v>
      </c>
      <c r="BV162" s="18">
        <f t="shared" si="61"/>
        <v>7.8982629658268782E-3</v>
      </c>
      <c r="BX162" s="18">
        <f t="shared" si="62"/>
        <v>1.5848491462603005E-4</v>
      </c>
      <c r="BY162" s="18">
        <f t="shared" si="63"/>
        <v>1.4572811576969215E-2</v>
      </c>
    </row>
    <row r="163" spans="1:77" x14ac:dyDescent="0.3">
      <c r="A163" s="1">
        <v>46259</v>
      </c>
      <c r="B163" s="6">
        <v>66.31</v>
      </c>
      <c r="C163" s="6">
        <v>95.38</v>
      </c>
      <c r="D163" s="7">
        <v>4.8374999854461399E-3</v>
      </c>
      <c r="E163" s="7">
        <v>5.5722164890550903E-3</v>
      </c>
      <c r="F163" s="6">
        <v>0</v>
      </c>
      <c r="G163" s="6">
        <v>2.2852000000000001</v>
      </c>
      <c r="H163" s="6">
        <v>0</v>
      </c>
      <c r="I163" s="6">
        <v>2.9034</v>
      </c>
      <c r="J163" s="6">
        <v>2.2852000000000001</v>
      </c>
      <c r="K163" s="6">
        <v>2.9034</v>
      </c>
      <c r="L163" s="6">
        <v>68.595200000000006</v>
      </c>
      <c r="M163" s="6">
        <v>98.2834</v>
      </c>
      <c r="N163" s="8">
        <v>1.4383954154727701</v>
      </c>
      <c r="O163" s="8">
        <v>1.43297833357297</v>
      </c>
      <c r="P163" s="8">
        <v>1.4377951323495299</v>
      </c>
      <c r="Q163" s="8">
        <v>1.438182332052</v>
      </c>
      <c r="R163" s="6">
        <v>95.020793299223598</v>
      </c>
      <c r="S163" s="6">
        <v>95.338405872139603</v>
      </c>
      <c r="T163" s="6">
        <v>95.369325375613101</v>
      </c>
      <c r="U163" s="7">
        <v>-3.7731683856436901E-3</v>
      </c>
      <c r="V163" s="7">
        <v>-4.3618368483728902E-4</v>
      </c>
      <c r="W163" s="7">
        <v>-1.1192306318245699E-4</v>
      </c>
      <c r="X163" s="8">
        <v>1.43280287833551</v>
      </c>
      <c r="Y163" s="8">
        <v>1.4302827749172899</v>
      </c>
      <c r="Z163" s="8">
        <v>1.4322000048068499</v>
      </c>
      <c r="AA163" s="8">
        <v>1.4327553374734401</v>
      </c>
      <c r="AB163" s="6">
        <v>98.110533002006704</v>
      </c>
      <c r="AC163" s="6">
        <v>98.240048704126806</v>
      </c>
      <c r="AD163" s="6">
        <v>98.287743000741102</v>
      </c>
      <c r="AE163" s="7">
        <v>-1.76041123057577E-3</v>
      </c>
      <c r="AF163" s="7">
        <v>-4.4118192370586599E-4</v>
      </c>
      <c r="AG163" s="7">
        <v>4.4187571741996102E-5</v>
      </c>
      <c r="BB163" s="12">
        <f t="shared" si="46"/>
        <v>0</v>
      </c>
      <c r="BC163" s="12">
        <f t="shared" si="47"/>
        <v>1</v>
      </c>
      <c r="BD163" s="12">
        <f t="shared" si="48"/>
        <v>0</v>
      </c>
      <c r="BE163" s="12">
        <f t="shared" si="44"/>
        <v>1</v>
      </c>
      <c r="BF163" s="12">
        <f t="shared" si="49"/>
        <v>0</v>
      </c>
      <c r="BG163" s="23">
        <f t="shared" si="50"/>
        <v>0</v>
      </c>
      <c r="BH163" s="23">
        <f t="shared" si="51"/>
        <v>0</v>
      </c>
      <c r="BI163" s="23">
        <f t="shared" si="52"/>
        <v>0</v>
      </c>
      <c r="BJ163" s="18">
        <f t="shared" si="53"/>
        <v>6.6745486111423388E-3</v>
      </c>
      <c r="BL163" s="23"/>
      <c r="BN163" s="12">
        <f t="shared" si="54"/>
        <v>0</v>
      </c>
      <c r="BO163" s="12">
        <f t="shared" si="55"/>
        <v>0</v>
      </c>
      <c r="BP163" s="12">
        <f t="shared" si="56"/>
        <v>1</v>
      </c>
      <c r="BQ163" s="12">
        <f t="shared" si="45"/>
        <v>1</v>
      </c>
      <c r="BR163" s="12">
        <f t="shared" si="57"/>
        <v>1</v>
      </c>
      <c r="BS163" s="23">
        <f t="shared" si="58"/>
        <v>-4.8374999854461399E-3</v>
      </c>
      <c r="BT163" s="23">
        <f t="shared" si="59"/>
        <v>5.5722164890550903E-3</v>
      </c>
      <c r="BU163" s="23">
        <f t="shared" si="60"/>
        <v>7.3471650360895039E-4</v>
      </c>
      <c r="BV163" s="18">
        <f t="shared" si="61"/>
        <v>8.6329794694358294E-3</v>
      </c>
      <c r="BX163" s="18">
        <f t="shared" si="62"/>
        <v>7.3471650360895039E-4</v>
      </c>
      <c r="BY163" s="18">
        <f t="shared" si="63"/>
        <v>1.5307528080578166E-2</v>
      </c>
    </row>
    <row r="164" spans="1:77" x14ac:dyDescent="0.3">
      <c r="A164" s="1">
        <v>46260</v>
      </c>
      <c r="B164" s="6">
        <v>66.239999999999995</v>
      </c>
      <c r="C164" s="6">
        <v>95.31</v>
      </c>
      <c r="D164" s="7">
        <v>-1.05620530377215E-3</v>
      </c>
      <c r="E164" s="7">
        <v>-7.3417592054371905E-4</v>
      </c>
      <c r="F164" s="6">
        <v>0</v>
      </c>
      <c r="G164" s="6">
        <v>2.2852000000000001</v>
      </c>
      <c r="H164" s="6">
        <v>0</v>
      </c>
      <c r="I164" s="6">
        <v>2.9034</v>
      </c>
      <c r="J164" s="6">
        <v>2.2852000000000001</v>
      </c>
      <c r="K164" s="6">
        <v>2.9034</v>
      </c>
      <c r="L164" s="6">
        <v>68.525199999999998</v>
      </c>
      <c r="M164" s="6">
        <v>98.213399999999993</v>
      </c>
      <c r="N164" s="8">
        <v>1.4388586956521701</v>
      </c>
      <c r="O164" s="8">
        <v>1.43297833357297</v>
      </c>
      <c r="P164" s="8">
        <v>1.4378107185384801</v>
      </c>
      <c r="Q164" s="8">
        <v>1.43820558323254</v>
      </c>
      <c r="R164" s="6">
        <v>94.920484815873493</v>
      </c>
      <c r="S164" s="6">
        <v>95.239549566833304</v>
      </c>
      <c r="T164" s="6">
        <v>95.265197675124597</v>
      </c>
      <c r="U164" s="7">
        <v>-4.0951977688721396E-3</v>
      </c>
      <c r="V164" s="7">
        <v>-7.39444795717193E-4</v>
      </c>
      <c r="W164" s="7">
        <v>-4.7018002601872298E-4</v>
      </c>
      <c r="X164" s="8">
        <v>1.4332449960014699</v>
      </c>
      <c r="Y164" s="8">
        <v>1.4302827749172899</v>
      </c>
      <c r="Z164" s="8">
        <v>1.4322171248606901</v>
      </c>
      <c r="AA164" s="8">
        <v>1.43271855685622</v>
      </c>
      <c r="AB164" s="6">
        <v>98.010413207762497</v>
      </c>
      <c r="AC164" s="6">
        <v>98.141791769390693</v>
      </c>
      <c r="AD164" s="6">
        <v>98.179846051435504</v>
      </c>
      <c r="AE164" s="7">
        <v>-2.0689320151909499E-3</v>
      </c>
      <c r="AF164" s="7">
        <v>-7.2937448853312799E-4</v>
      </c>
      <c r="AG164" s="7">
        <v>-3.4170165792932899E-4</v>
      </c>
      <c r="BB164" s="12">
        <f t="shared" si="46"/>
        <v>0</v>
      </c>
      <c r="BC164" s="12">
        <f t="shared" si="47"/>
        <v>1</v>
      </c>
      <c r="BD164" s="12">
        <f t="shared" si="48"/>
        <v>0</v>
      </c>
      <c r="BE164" s="12">
        <f t="shared" si="44"/>
        <v>1</v>
      </c>
      <c r="BF164" s="12">
        <f t="shared" si="49"/>
        <v>0</v>
      </c>
      <c r="BG164" s="23">
        <f t="shared" si="50"/>
        <v>0</v>
      </c>
      <c r="BH164" s="23">
        <f t="shared" si="51"/>
        <v>0</v>
      </c>
      <c r="BI164" s="23">
        <f t="shared" si="52"/>
        <v>0</v>
      </c>
      <c r="BJ164" s="18">
        <f t="shared" si="53"/>
        <v>6.6745486111423388E-3</v>
      </c>
      <c r="BL164" s="23"/>
      <c r="BN164" s="12">
        <f t="shared" si="54"/>
        <v>0</v>
      </c>
      <c r="BO164" s="12">
        <f t="shared" si="55"/>
        <v>1</v>
      </c>
      <c r="BP164" s="12">
        <f t="shared" si="56"/>
        <v>1</v>
      </c>
      <c r="BQ164" s="12">
        <f t="shared" si="45"/>
        <v>1</v>
      </c>
      <c r="BR164" s="12">
        <f t="shared" si="57"/>
        <v>1</v>
      </c>
      <c r="BS164" s="23">
        <f t="shared" si="58"/>
        <v>1.05620530377215E-3</v>
      </c>
      <c r="BT164" s="23">
        <f t="shared" si="59"/>
        <v>-7.3417592054371905E-4</v>
      </c>
      <c r="BU164" s="23">
        <f t="shared" si="60"/>
        <v>3.2202938322843091E-4</v>
      </c>
      <c r="BV164" s="18">
        <f t="shared" si="61"/>
        <v>8.9550088526642608E-3</v>
      </c>
      <c r="BX164" s="18">
        <f t="shared" si="62"/>
        <v>3.2202938322843091E-4</v>
      </c>
      <c r="BY164" s="18">
        <f t="shared" si="63"/>
        <v>1.5629557463806596E-2</v>
      </c>
    </row>
    <row r="165" spans="1:77" x14ac:dyDescent="0.3">
      <c r="A165" s="1">
        <v>46261</v>
      </c>
      <c r="B165" s="6">
        <v>66.2</v>
      </c>
      <c r="C165" s="6">
        <v>95.13</v>
      </c>
      <c r="D165" s="7">
        <v>-6.04047134041618E-4</v>
      </c>
      <c r="E165" s="7">
        <v>-1.8903597311688901E-3</v>
      </c>
      <c r="F165" s="6">
        <v>0</v>
      </c>
      <c r="G165" s="6">
        <v>2.2852000000000001</v>
      </c>
      <c r="H165" s="6">
        <v>0</v>
      </c>
      <c r="I165" s="6">
        <v>2.9034</v>
      </c>
      <c r="J165" s="6">
        <v>2.2852000000000001</v>
      </c>
      <c r="K165" s="6">
        <v>2.9034</v>
      </c>
      <c r="L165" s="6">
        <v>68.485200000000006</v>
      </c>
      <c r="M165" s="6">
        <v>98.0334</v>
      </c>
      <c r="N165" s="8">
        <v>1.4370090634441</v>
      </c>
      <c r="O165" s="8">
        <v>1.43297833357297</v>
      </c>
      <c r="P165" s="8">
        <v>1.43763715294566</v>
      </c>
      <c r="Q165" s="8">
        <v>1.43810370605709</v>
      </c>
      <c r="R165" s="6">
        <v>94.863165682530607</v>
      </c>
      <c r="S165" s="6">
        <v>95.183069567247699</v>
      </c>
      <c r="T165" s="6">
        <v>95.209209609994303</v>
      </c>
      <c r="U165" s="7">
        <v>-2.8088851717447899E-3</v>
      </c>
      <c r="V165" s="7">
        <v>5.5770808325429405E-4</v>
      </c>
      <c r="W165" s="7">
        <v>8.3229950076137604E-4</v>
      </c>
      <c r="X165" s="8">
        <v>1.43145380315747</v>
      </c>
      <c r="Y165" s="8">
        <v>1.4302827749172899</v>
      </c>
      <c r="Z165" s="8">
        <v>1.4320486958387599</v>
      </c>
      <c r="AA165" s="8">
        <v>1.4325600801709499</v>
      </c>
      <c r="AB165" s="6">
        <v>97.953201896765805</v>
      </c>
      <c r="AC165" s="6">
        <v>98.085676239509695</v>
      </c>
      <c r="AD165" s="6">
        <v>98.120016910009994</v>
      </c>
      <c r="AE165" s="7">
        <v>-8.1840398205062104E-4</v>
      </c>
      <c r="AF165" s="7">
        <v>5.3310714847566297E-4</v>
      </c>
      <c r="AG165" s="7">
        <v>8.8315479795671495E-4</v>
      </c>
      <c r="BB165" s="12">
        <f t="shared" si="46"/>
        <v>0</v>
      </c>
      <c r="BC165" s="12">
        <f t="shared" si="47"/>
        <v>1</v>
      </c>
      <c r="BD165" s="12">
        <f t="shared" si="48"/>
        <v>0</v>
      </c>
      <c r="BE165" s="12">
        <f t="shared" si="44"/>
        <v>1</v>
      </c>
      <c r="BF165" s="12">
        <f t="shared" si="49"/>
        <v>0</v>
      </c>
      <c r="BG165" s="23">
        <f t="shared" si="50"/>
        <v>0</v>
      </c>
      <c r="BH165" s="23">
        <f t="shared" si="51"/>
        <v>0</v>
      </c>
      <c r="BI165" s="23">
        <f t="shared" si="52"/>
        <v>0</v>
      </c>
      <c r="BJ165" s="18">
        <f t="shared" si="53"/>
        <v>6.6745486111423388E-3</v>
      </c>
      <c r="BL165" s="23"/>
      <c r="BN165" s="12">
        <f t="shared" si="54"/>
        <v>0</v>
      </c>
      <c r="BO165" s="12">
        <f t="shared" si="55"/>
        <v>0</v>
      </c>
      <c r="BP165" s="12">
        <f t="shared" si="56"/>
        <v>0</v>
      </c>
      <c r="BQ165" s="12">
        <f t="shared" si="45"/>
        <v>1</v>
      </c>
      <c r="BR165" s="12">
        <f t="shared" si="57"/>
        <v>0</v>
      </c>
      <c r="BS165" s="23">
        <f t="shared" si="58"/>
        <v>0</v>
      </c>
      <c r="BT165" s="23">
        <f t="shared" si="59"/>
        <v>0</v>
      </c>
      <c r="BU165" s="23">
        <f t="shared" si="60"/>
        <v>0</v>
      </c>
      <c r="BV165" s="18">
        <f t="shared" si="61"/>
        <v>8.9550088526642608E-3</v>
      </c>
      <c r="BX165" s="18">
        <f t="shared" si="62"/>
        <v>0</v>
      </c>
      <c r="BY165" s="18">
        <f t="shared" si="63"/>
        <v>1.5629557463806596E-2</v>
      </c>
    </row>
    <row r="166" spans="1:77" x14ac:dyDescent="0.3">
      <c r="A166" s="1">
        <v>46262</v>
      </c>
      <c r="B166" s="6">
        <v>66.010000000000005</v>
      </c>
      <c r="C166" s="6">
        <v>94.89</v>
      </c>
      <c r="D166" s="7">
        <v>-2.8742172422830999E-3</v>
      </c>
      <c r="E166" s="7">
        <v>-2.52605123269845E-3</v>
      </c>
      <c r="F166" s="6">
        <v>0</v>
      </c>
      <c r="G166" s="6">
        <v>2.2852000000000001</v>
      </c>
      <c r="H166" s="6">
        <v>0</v>
      </c>
      <c r="I166" s="6">
        <v>2.9034</v>
      </c>
      <c r="J166" s="6">
        <v>2.2852000000000001</v>
      </c>
      <c r="K166" s="6">
        <v>2.9034</v>
      </c>
      <c r="L166" s="6">
        <v>68.295199999999994</v>
      </c>
      <c r="M166" s="6">
        <v>97.793400000000005</v>
      </c>
      <c r="N166" s="8">
        <v>1.4375094682623799</v>
      </c>
      <c r="O166" s="8">
        <v>1.43297833357297</v>
      </c>
      <c r="P166" s="8">
        <v>1.43765605682618</v>
      </c>
      <c r="Q166" s="8">
        <v>1.43809278821869</v>
      </c>
      <c r="R166" s="6">
        <v>94.5908997991517</v>
      </c>
      <c r="S166" s="6">
        <v>94.898428465942999</v>
      </c>
      <c r="T166" s="6">
        <v>94.929225636828704</v>
      </c>
      <c r="U166" s="7">
        <v>-3.15705118132938E-3</v>
      </c>
      <c r="V166" s="7">
        <v>8.8819597872610894E-5</v>
      </c>
      <c r="W166" s="7">
        <v>4.1329467292374698E-4</v>
      </c>
      <c r="X166" s="8">
        <v>1.43192200916023</v>
      </c>
      <c r="Y166" s="8">
        <v>1.4302827749172899</v>
      </c>
      <c r="Z166" s="8">
        <v>1.43206598825491</v>
      </c>
      <c r="AA166" s="8">
        <v>1.4324891647861999</v>
      </c>
      <c r="AB166" s="6">
        <v>97.681448169531507</v>
      </c>
      <c r="AC166" s="6">
        <v>97.802052092047404</v>
      </c>
      <c r="AD166" s="6">
        <v>97.836977187291396</v>
      </c>
      <c r="AE166" s="7">
        <v>-1.14543475804735E-3</v>
      </c>
      <c r="AF166" s="7">
        <v>8.8469255910807407E-5</v>
      </c>
      <c r="AG166" s="7">
        <v>4.4550533141886198E-4</v>
      </c>
      <c r="BB166" s="12">
        <f t="shared" si="46"/>
        <v>0</v>
      </c>
      <c r="BC166" s="12">
        <f t="shared" si="47"/>
        <v>1</v>
      </c>
      <c r="BD166" s="12">
        <f t="shared" si="48"/>
        <v>0</v>
      </c>
      <c r="BE166" s="12">
        <f t="shared" si="44"/>
        <v>1</v>
      </c>
      <c r="BF166" s="12">
        <f t="shared" si="49"/>
        <v>0</v>
      </c>
      <c r="BG166" s="23">
        <f t="shared" si="50"/>
        <v>0</v>
      </c>
      <c r="BH166" s="23">
        <f t="shared" si="51"/>
        <v>0</v>
      </c>
      <c r="BI166" s="23">
        <f t="shared" si="52"/>
        <v>0</v>
      </c>
      <c r="BJ166" s="18">
        <f t="shared" si="53"/>
        <v>6.6745486111423388E-3</v>
      </c>
      <c r="BL166" s="23"/>
      <c r="BN166" s="12">
        <f t="shared" si="54"/>
        <v>0</v>
      </c>
      <c r="BO166" s="12">
        <f t="shared" si="55"/>
        <v>0</v>
      </c>
      <c r="BP166" s="12">
        <f t="shared" si="56"/>
        <v>0</v>
      </c>
      <c r="BQ166" s="12">
        <f t="shared" si="45"/>
        <v>1</v>
      </c>
      <c r="BR166" s="12">
        <f t="shared" si="57"/>
        <v>0</v>
      </c>
      <c r="BS166" s="23">
        <f t="shared" si="58"/>
        <v>0</v>
      </c>
      <c r="BT166" s="23">
        <f t="shared" si="59"/>
        <v>0</v>
      </c>
      <c r="BU166" s="23">
        <f t="shared" si="60"/>
        <v>0</v>
      </c>
      <c r="BV166" s="18">
        <f t="shared" si="61"/>
        <v>8.9550088526642608E-3</v>
      </c>
      <c r="BX166" s="18">
        <f t="shared" si="62"/>
        <v>0</v>
      </c>
      <c r="BY166" s="18">
        <f t="shared" si="63"/>
        <v>1.5629557463806596E-2</v>
      </c>
    </row>
    <row r="167" spans="1:77" x14ac:dyDescent="0.3">
      <c r="A167" s="1">
        <v>46265</v>
      </c>
      <c r="B167" s="6">
        <v>65.94</v>
      </c>
      <c r="C167" s="6">
        <v>94.77</v>
      </c>
      <c r="D167" s="7">
        <v>-1.0610080570944899E-3</v>
      </c>
      <c r="E167" s="7">
        <v>-1.26542250356374E-3</v>
      </c>
      <c r="F167" s="6">
        <v>0</v>
      </c>
      <c r="G167" s="6">
        <v>2.2852000000000001</v>
      </c>
      <c r="H167" s="6">
        <v>0</v>
      </c>
      <c r="I167" s="6">
        <v>2.9034</v>
      </c>
      <c r="J167" s="6">
        <v>2.2852000000000001</v>
      </c>
      <c r="K167" s="6">
        <v>2.9034</v>
      </c>
      <c r="L167" s="6">
        <v>68.225200000000001</v>
      </c>
      <c r="M167" s="6">
        <v>97.673400000000001</v>
      </c>
      <c r="N167" s="8">
        <v>1.43721565059144</v>
      </c>
      <c r="O167" s="8">
        <v>1.43297833357297</v>
      </c>
      <c r="P167" s="8">
        <v>1.43767504221916</v>
      </c>
      <c r="Q167" s="8">
        <v>1.4379660308607101</v>
      </c>
      <c r="R167" s="6">
        <v>94.490591315801595</v>
      </c>
      <c r="S167" s="6">
        <v>94.799040387118694</v>
      </c>
      <c r="T167" s="6">
        <v>94.827838455140594</v>
      </c>
      <c r="U167" s="7">
        <v>-2.9526367348603E-3</v>
      </c>
      <c r="V167" s="7">
        <v>3.06383228891964E-4</v>
      </c>
      <c r="W167" s="7">
        <v>6.1011726089400104E-4</v>
      </c>
      <c r="X167" s="8">
        <v>1.43163230008853</v>
      </c>
      <c r="Y167" s="8">
        <v>1.4302827749172899</v>
      </c>
      <c r="Z167" s="8">
        <v>1.4320846649002801</v>
      </c>
      <c r="AA167" s="8">
        <v>1.4323671942221901</v>
      </c>
      <c r="AB167" s="6">
        <v>97.581328375287299</v>
      </c>
      <c r="AC167" s="6">
        <v>97.702988461889504</v>
      </c>
      <c r="AD167" s="6">
        <v>97.731859765371993</v>
      </c>
      <c r="AE167" s="7">
        <v>-9.4309246493537902E-4</v>
      </c>
      <c r="AF167" s="7">
        <v>3.0288677509809198E-4</v>
      </c>
      <c r="AG167" s="7">
        <v>5.9834384382873496E-4</v>
      </c>
      <c r="BB167" s="12">
        <f t="shared" si="46"/>
        <v>0</v>
      </c>
      <c r="BC167" s="12">
        <f t="shared" si="47"/>
        <v>1</v>
      </c>
      <c r="BD167" s="12">
        <f t="shared" si="48"/>
        <v>0</v>
      </c>
      <c r="BE167" s="12">
        <f t="shared" si="44"/>
        <v>1</v>
      </c>
      <c r="BF167" s="12">
        <f t="shared" si="49"/>
        <v>0</v>
      </c>
      <c r="BG167" s="23">
        <f t="shared" si="50"/>
        <v>0</v>
      </c>
      <c r="BH167" s="23">
        <f t="shared" si="51"/>
        <v>0</v>
      </c>
      <c r="BI167" s="23">
        <f t="shared" si="52"/>
        <v>0</v>
      </c>
      <c r="BJ167" s="18">
        <f t="shared" si="53"/>
        <v>6.6745486111423388E-3</v>
      </c>
      <c r="BL167" s="23"/>
      <c r="BN167" s="12">
        <f t="shared" si="54"/>
        <v>0</v>
      </c>
      <c r="BO167" s="12">
        <f t="shared" si="55"/>
        <v>0</v>
      </c>
      <c r="BP167" s="12">
        <f t="shared" si="56"/>
        <v>0</v>
      </c>
      <c r="BQ167" s="12">
        <f t="shared" si="45"/>
        <v>1</v>
      </c>
      <c r="BR167" s="12">
        <f t="shared" si="57"/>
        <v>0</v>
      </c>
      <c r="BS167" s="23">
        <f t="shared" si="58"/>
        <v>0</v>
      </c>
      <c r="BT167" s="23">
        <f t="shared" si="59"/>
        <v>0</v>
      </c>
      <c r="BU167" s="23">
        <f t="shared" si="60"/>
        <v>0</v>
      </c>
      <c r="BV167" s="18">
        <f t="shared" si="61"/>
        <v>8.9550088526642608E-3</v>
      </c>
      <c r="BX167" s="18">
        <f t="shared" si="62"/>
        <v>0</v>
      </c>
      <c r="BY167" s="18">
        <f t="shared" si="63"/>
        <v>1.5629557463806596E-2</v>
      </c>
    </row>
  </sheetData>
  <conditionalFormatting sqref="CM4:CT11">
    <cfRule type="top10" dxfId="2" priority="3" rank="3"/>
  </conditionalFormatting>
  <conditionalFormatting sqref="CM15:CT22">
    <cfRule type="top10" dxfId="1" priority="2" rank="3"/>
  </conditionalFormatting>
  <conditionalFormatting sqref="CM26:CT33">
    <cfRule type="top10" dxfId="0" priority="1" rank="3"/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VWOB_EMB_2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Michael Hyland</cp:lastModifiedBy>
  <dcterms:created xsi:type="dcterms:W3CDTF">2026-09-03T20:52:47Z</dcterms:created>
  <dcterms:modified xsi:type="dcterms:W3CDTF">2026-09-07T18:51:22Z</dcterms:modified>
</cp:coreProperties>
</file>