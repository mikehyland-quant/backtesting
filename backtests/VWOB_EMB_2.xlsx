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CCBD5752-629B-4EE8-A852-89DD3CF60FE0}" xr6:coauthVersionLast="47" xr6:coauthVersionMax="47" xr10:uidLastSave="{00000000-0000-0000-0000-000000000000}"/>
  <bookViews>
    <workbookView xWindow="1635" yWindow="2850" windowWidth="27210" windowHeight="10515" xr2:uid="{D3B760D7-434F-4D95-92B2-4CEE7CB28E51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M174" i="1"/>
  <c r="AK174" i="1"/>
  <c r="AJ174" i="1"/>
  <c r="AN175" i="1" s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X164" i="1"/>
  <c r="AV164" i="1"/>
  <c r="AU164" i="1"/>
  <c r="AM164" i="1"/>
  <c r="AK164" i="1"/>
  <c r="AJ164" i="1"/>
  <c r="AN165" i="1" s="1"/>
  <c r="AX163" i="1"/>
  <c r="AV163" i="1"/>
  <c r="AU163" i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M155" i="1"/>
  <c r="AK155" i="1"/>
  <c r="AJ155" i="1"/>
  <c r="AN156" i="1" s="1"/>
  <c r="AX154" i="1"/>
  <c r="AV154" i="1"/>
  <c r="AU154" i="1"/>
  <c r="AM154" i="1"/>
  <c r="AK154" i="1"/>
  <c r="AJ154" i="1"/>
  <c r="AN155" i="1" s="1"/>
  <c r="AX153" i="1"/>
  <c r="AV153" i="1"/>
  <c r="AU153" i="1"/>
  <c r="AM153" i="1"/>
  <c r="AK153" i="1"/>
  <c r="AJ153" i="1"/>
  <c r="AN154" i="1" s="1"/>
  <c r="AX152" i="1"/>
  <c r="AV152" i="1"/>
  <c r="AU152" i="1"/>
  <c r="AM152" i="1"/>
  <c r="AK152" i="1"/>
  <c r="AJ152" i="1"/>
  <c r="AN153" i="1" s="1"/>
  <c r="AX151" i="1"/>
  <c r="AV151" i="1"/>
  <c r="AU151" i="1"/>
  <c r="AM151" i="1"/>
  <c r="AK151" i="1"/>
  <c r="AJ151" i="1"/>
  <c r="AN152" i="1" s="1"/>
  <c r="AX150" i="1"/>
  <c r="AV150" i="1"/>
  <c r="AU150" i="1"/>
  <c r="AM150" i="1"/>
  <c r="AK150" i="1"/>
  <c r="AJ150" i="1"/>
  <c r="AN151" i="1" s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N148" i="1" s="1"/>
  <c r="AX146" i="1"/>
  <c r="AV146" i="1"/>
  <c r="AU146" i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N137" i="1" s="1"/>
  <c r="AX135" i="1"/>
  <c r="AV135" i="1"/>
  <c r="AU135" i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M124" i="1"/>
  <c r="AK124" i="1"/>
  <c r="AJ124" i="1"/>
  <c r="AN125" i="1" s="1"/>
  <c r="AX123" i="1"/>
  <c r="AV123" i="1"/>
  <c r="AU123" i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M107" i="1"/>
  <c r="AK107" i="1"/>
  <c r="AJ107" i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N100" i="1" s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Y96" i="1" s="1"/>
  <c r="AM95" i="1"/>
  <c r="AK95" i="1"/>
  <c r="AJ95" i="1"/>
  <c r="AN96" i="1" s="1"/>
  <c r="AX94" i="1"/>
  <c r="AV94" i="1"/>
  <c r="AU94" i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M82" i="1"/>
  <c r="AK82" i="1"/>
  <c r="AJ82" i="1"/>
  <c r="AN83" i="1" s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Y71" i="1" s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N69" i="1" s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N64" i="1" s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N62" i="1" s="1"/>
  <c r="AX60" i="1"/>
  <c r="AV60" i="1"/>
  <c r="AU60" i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N58" i="1" s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N33" i="1" s="1"/>
  <c r="AX31" i="1"/>
  <c r="AV31" i="1"/>
  <c r="AU31" i="1"/>
  <c r="AY32" i="1" s="1"/>
  <c r="AM31" i="1"/>
  <c r="AK31" i="1"/>
  <c r="AJ31" i="1"/>
  <c r="AN32" i="1" s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28" i="1" l="1"/>
  <c r="AY103" i="1"/>
  <c r="AY99" i="1"/>
  <c r="AY75" i="1"/>
  <c r="AY70" i="1"/>
  <c r="AY26" i="1"/>
  <c r="AY39" i="1"/>
  <c r="AY36" i="1"/>
  <c r="AY29" i="1"/>
  <c r="AY23" i="1"/>
  <c r="AY57" i="1"/>
  <c r="AY38" i="1"/>
  <c r="AY30" i="1"/>
  <c r="AY40" i="1"/>
  <c r="AY104" i="1"/>
  <c r="AY175" i="1"/>
  <c r="AY174" i="1"/>
  <c r="AN161" i="1"/>
  <c r="AN29" i="1"/>
  <c r="AN166" i="1"/>
  <c r="AN138" i="1"/>
  <c r="AN136" i="1"/>
  <c r="AN127" i="1"/>
  <c r="AN117" i="1"/>
  <c r="AN111" i="1"/>
  <c r="AN86" i="1"/>
  <c r="AN80" i="1"/>
  <c r="AN63" i="1"/>
  <c r="AN49" i="1"/>
  <c r="AN84" i="1"/>
  <c r="AN66" i="1"/>
  <c r="AN50" i="1"/>
  <c r="AN30" i="1"/>
  <c r="AN119" i="1"/>
  <c r="AN115" i="1"/>
  <c r="AN113" i="1"/>
  <c r="AN104" i="1"/>
  <c r="AN89" i="1"/>
  <c r="AN87" i="1"/>
  <c r="AN40" i="1"/>
  <c r="AN38" i="1"/>
  <c r="AN36" i="1"/>
  <c r="AN34" i="1"/>
  <c r="AN31" i="1"/>
  <c r="AN124" i="1"/>
  <c r="AN116" i="1"/>
  <c r="AN114" i="1"/>
  <c r="AN112" i="1"/>
  <c r="AN95" i="1"/>
  <c r="AN79" i="1"/>
  <c r="AN60" i="1"/>
  <c r="AN54" i="1"/>
  <c r="AN41" i="1"/>
  <c r="AN81" i="1"/>
  <c r="AN65" i="1"/>
  <c r="AN61" i="1"/>
  <c r="AP61" i="1" s="1"/>
  <c r="AN55" i="1"/>
  <c r="AN39" i="1"/>
  <c r="AN37" i="1"/>
  <c r="AN118" i="1"/>
  <c r="AN108" i="1"/>
  <c r="AN85" i="1"/>
  <c r="AN59" i="1"/>
  <c r="AN52" i="1"/>
  <c r="AN48" i="1"/>
  <c r="AN46" i="1"/>
  <c r="AY49" i="1"/>
  <c r="AY91" i="1"/>
  <c r="AY98" i="1"/>
  <c r="AY90" i="1"/>
  <c r="AN122" i="1"/>
  <c r="AN129" i="1"/>
  <c r="AN110" i="1"/>
  <c r="AN68" i="1"/>
  <c r="AY165" i="1"/>
  <c r="AN162" i="1"/>
  <c r="AN150" i="1"/>
  <c r="AY144" i="1"/>
  <c r="AY102" i="1"/>
  <c r="AY56" i="1"/>
  <c r="AY162" i="1"/>
  <c r="AY78" i="1"/>
  <c r="AY50" i="1"/>
  <c r="AY158" i="1"/>
  <c r="AY25" i="1"/>
  <c r="AY69" i="1"/>
  <c r="AP176" i="1"/>
  <c r="AO176" i="1"/>
  <c r="AQ176" i="1" s="1"/>
  <c r="AL176" i="1"/>
  <c r="AZ175" i="1"/>
  <c r="BA175" i="1"/>
  <c r="AW175" i="1"/>
  <c r="AY176" i="1" s="1"/>
  <c r="AL175" i="1"/>
  <c r="AO175" i="1"/>
  <c r="AP175" i="1"/>
  <c r="BA174" i="1"/>
  <c r="AZ174" i="1"/>
  <c r="BB174" i="1" s="1"/>
  <c r="AW174" i="1"/>
  <c r="AW173" i="1"/>
  <c r="AZ173" i="1"/>
  <c r="BA173" i="1"/>
  <c r="AL172" i="1"/>
  <c r="AN173" i="1" s="1"/>
  <c r="AO172" i="1"/>
  <c r="AP172" i="1"/>
  <c r="AZ171" i="1"/>
  <c r="AW171" i="1"/>
  <c r="AY172" i="1" s="1"/>
  <c r="BA171" i="1"/>
  <c r="AP170" i="1"/>
  <c r="AO170" i="1"/>
  <c r="AQ170" i="1" s="1"/>
  <c r="AL170" i="1"/>
  <c r="AN171" i="1" s="1"/>
  <c r="AP169" i="1"/>
  <c r="AL169" i="1"/>
  <c r="AO169" i="1"/>
  <c r="AL168" i="1"/>
  <c r="AP168" i="1"/>
  <c r="AO168" i="1"/>
  <c r="AQ168" i="1" s="1"/>
  <c r="AL167" i="1"/>
  <c r="AO167" i="1"/>
  <c r="AP167" i="1"/>
  <c r="AP166" i="1"/>
  <c r="AL166" i="1"/>
  <c r="AO166" i="1"/>
  <c r="AQ166" i="1" s="1"/>
  <c r="AZ165" i="1"/>
  <c r="AW165" i="1"/>
  <c r="AY166" i="1" s="1"/>
  <c r="BA165" i="1"/>
  <c r="AO165" i="1"/>
  <c r="AP165" i="1"/>
  <c r="AL165" i="1"/>
  <c r="AP164" i="1"/>
  <c r="AL164" i="1"/>
  <c r="AO164" i="1"/>
  <c r="AQ164" i="1" s="1"/>
  <c r="AP163" i="1"/>
  <c r="AL163" i="1"/>
  <c r="AO163" i="1"/>
  <c r="AQ163" i="1" s="1"/>
  <c r="AW162" i="1"/>
  <c r="AY163" i="1" s="1"/>
  <c r="AZ162" i="1"/>
  <c r="BA162" i="1"/>
  <c r="AL162" i="1"/>
  <c r="AO162" i="1"/>
  <c r="AP162" i="1"/>
  <c r="AZ161" i="1"/>
  <c r="AW161" i="1"/>
  <c r="BA161" i="1"/>
  <c r="AO161" i="1"/>
  <c r="AP161" i="1"/>
  <c r="AL161" i="1"/>
  <c r="AO160" i="1"/>
  <c r="AL160" i="1"/>
  <c r="AP160" i="1"/>
  <c r="AP159" i="1"/>
  <c r="AL159" i="1"/>
  <c r="AO159" i="1"/>
  <c r="AQ159" i="1" s="1"/>
  <c r="AZ158" i="1"/>
  <c r="AW158" i="1"/>
  <c r="AY159" i="1" s="1"/>
  <c r="BA158" i="1"/>
  <c r="AL158" i="1"/>
  <c r="AO158" i="1"/>
  <c r="AP158" i="1"/>
  <c r="BA157" i="1"/>
  <c r="AW157" i="1"/>
  <c r="AZ157" i="1"/>
  <c r="BB157" i="1" s="1"/>
  <c r="AO157" i="1"/>
  <c r="AL157" i="1"/>
  <c r="AP157" i="1"/>
  <c r="AP156" i="1"/>
  <c r="AL156" i="1"/>
  <c r="AO156" i="1"/>
  <c r="AQ156" i="1" s="1"/>
  <c r="AL155" i="1"/>
  <c r="AO155" i="1"/>
  <c r="AP155" i="1"/>
  <c r="AO154" i="1"/>
  <c r="AL154" i="1"/>
  <c r="AP154" i="1"/>
  <c r="AL153" i="1"/>
  <c r="AO153" i="1"/>
  <c r="AP153" i="1"/>
  <c r="AL152" i="1"/>
  <c r="AO152" i="1"/>
  <c r="AP152" i="1"/>
  <c r="AL151" i="1"/>
  <c r="AP151" i="1"/>
  <c r="AO151" i="1"/>
  <c r="AQ151" i="1" s="1"/>
  <c r="AP150" i="1"/>
  <c r="AL150" i="1"/>
  <c r="AO150" i="1"/>
  <c r="BA149" i="1"/>
  <c r="AW149" i="1"/>
  <c r="AY150" i="1" s="1"/>
  <c r="AZ149" i="1"/>
  <c r="BB149" i="1" s="1"/>
  <c r="AZ148" i="1"/>
  <c r="AW148" i="1"/>
  <c r="BA148" i="1"/>
  <c r="AP148" i="1"/>
  <c r="AL148" i="1"/>
  <c r="AN149" i="1" s="1"/>
  <c r="AO148" i="1"/>
  <c r="AQ148" i="1" s="1"/>
  <c r="AP147" i="1"/>
  <c r="AL147" i="1"/>
  <c r="AO147" i="1"/>
  <c r="AQ147" i="1" s="1"/>
  <c r="AW146" i="1"/>
  <c r="AY147" i="1" s="1"/>
  <c r="AZ146" i="1"/>
  <c r="BA146" i="1"/>
  <c r="AW145" i="1"/>
  <c r="BA145" i="1"/>
  <c r="AZ145" i="1"/>
  <c r="BB145" i="1" s="1"/>
  <c r="AZ144" i="1"/>
  <c r="AW144" i="1"/>
  <c r="BA144" i="1"/>
  <c r="AL144" i="1"/>
  <c r="AN145" i="1" s="1"/>
  <c r="AO144" i="1"/>
  <c r="AP144" i="1"/>
  <c r="AW143" i="1"/>
  <c r="BA143" i="1"/>
  <c r="AZ143" i="1"/>
  <c r="BB143" i="1" s="1"/>
  <c r="BA142" i="1"/>
  <c r="AW142" i="1"/>
  <c r="AZ142" i="1"/>
  <c r="AP142" i="1"/>
  <c r="AL142" i="1"/>
  <c r="AN143" i="1" s="1"/>
  <c r="AO142" i="1"/>
  <c r="AQ142" i="1" s="1"/>
  <c r="AZ141" i="1"/>
  <c r="BA141" i="1"/>
  <c r="AW141" i="1"/>
  <c r="AZ140" i="1"/>
  <c r="BA140" i="1"/>
  <c r="AW140" i="1"/>
  <c r="AW139" i="1"/>
  <c r="AZ139" i="1"/>
  <c r="BA139" i="1"/>
  <c r="BA138" i="1"/>
  <c r="AW138" i="1"/>
  <c r="AZ138" i="1"/>
  <c r="BB138" i="1" s="1"/>
  <c r="AO138" i="1"/>
  <c r="AP138" i="1"/>
  <c r="AL138" i="1"/>
  <c r="AN139" i="1" s="1"/>
  <c r="AZ137" i="1"/>
  <c r="AW137" i="1"/>
  <c r="BA137" i="1"/>
  <c r="AP137" i="1"/>
  <c r="AL137" i="1"/>
  <c r="AO137" i="1"/>
  <c r="AQ137" i="1" s="1"/>
  <c r="AO136" i="1"/>
  <c r="AL136" i="1"/>
  <c r="AP136" i="1"/>
  <c r="BA135" i="1"/>
  <c r="AW135" i="1"/>
  <c r="AY136" i="1" s="1"/>
  <c r="AZ135" i="1"/>
  <c r="BB135" i="1" s="1"/>
  <c r="AZ134" i="1"/>
  <c r="BA134" i="1"/>
  <c r="AW134" i="1"/>
  <c r="AO134" i="1"/>
  <c r="AP134" i="1"/>
  <c r="AL134" i="1"/>
  <c r="AN135" i="1" s="1"/>
  <c r="BA133" i="1"/>
  <c r="AW133" i="1"/>
  <c r="AZ133" i="1"/>
  <c r="BB133" i="1" s="1"/>
  <c r="AP133" i="1"/>
  <c r="AL133" i="1"/>
  <c r="AO133" i="1"/>
  <c r="AQ133" i="1" s="1"/>
  <c r="AZ132" i="1"/>
  <c r="AW132" i="1"/>
  <c r="BA132" i="1"/>
  <c r="AZ131" i="1"/>
  <c r="BA131" i="1"/>
  <c r="AW131" i="1"/>
  <c r="AP131" i="1"/>
  <c r="AL131" i="1"/>
  <c r="AN132" i="1" s="1"/>
  <c r="AO131" i="1"/>
  <c r="AQ131" i="1" s="1"/>
  <c r="AW130" i="1"/>
  <c r="AZ130" i="1"/>
  <c r="BA130" i="1"/>
  <c r="BA129" i="1"/>
  <c r="AZ129" i="1"/>
  <c r="BB129" i="1" s="1"/>
  <c r="AW129" i="1"/>
  <c r="BA128" i="1"/>
  <c r="AZ128" i="1"/>
  <c r="BB128" i="1" s="1"/>
  <c r="AW128" i="1"/>
  <c r="AW127" i="1"/>
  <c r="BA127" i="1"/>
  <c r="AZ127" i="1"/>
  <c r="BB127" i="1" s="1"/>
  <c r="AL127" i="1"/>
  <c r="AN128" i="1" s="1"/>
  <c r="AP127" i="1"/>
  <c r="AO127" i="1"/>
  <c r="BA126" i="1"/>
  <c r="AW126" i="1"/>
  <c r="AZ126" i="1"/>
  <c r="AL126" i="1"/>
  <c r="AO126" i="1"/>
  <c r="AP126" i="1"/>
  <c r="AO125" i="1"/>
  <c r="AP125" i="1"/>
  <c r="AL125" i="1"/>
  <c r="AP124" i="1"/>
  <c r="AO124" i="1"/>
  <c r="AQ124" i="1" s="1"/>
  <c r="AL124" i="1"/>
  <c r="AW123" i="1"/>
  <c r="AY124" i="1" s="1"/>
  <c r="BA123" i="1"/>
  <c r="AZ123" i="1"/>
  <c r="AZ122" i="1"/>
  <c r="AW122" i="1"/>
  <c r="BA122" i="1"/>
  <c r="BA121" i="1"/>
  <c r="AW121" i="1"/>
  <c r="AZ121" i="1"/>
  <c r="BB121" i="1" s="1"/>
  <c r="AP121" i="1"/>
  <c r="AL121" i="1"/>
  <c r="AO121" i="1"/>
  <c r="AQ121" i="1" s="1"/>
  <c r="AW120" i="1"/>
  <c r="AZ120" i="1"/>
  <c r="BA120" i="1"/>
  <c r="AL120" i="1"/>
  <c r="AO120" i="1"/>
  <c r="AP120" i="1"/>
  <c r="AP119" i="1"/>
  <c r="AL119" i="1"/>
  <c r="AO119" i="1"/>
  <c r="AQ119" i="1" s="1"/>
  <c r="AL118" i="1"/>
  <c r="AP118" i="1"/>
  <c r="AO118" i="1"/>
  <c r="AL117" i="1"/>
  <c r="AO117" i="1"/>
  <c r="AP117" i="1"/>
  <c r="AO116" i="1"/>
  <c r="AP116" i="1"/>
  <c r="AL116" i="1"/>
  <c r="BA115" i="1"/>
  <c r="AW115" i="1"/>
  <c r="AY116" i="1" s="1"/>
  <c r="AZ115" i="1"/>
  <c r="BB115" i="1" s="1"/>
  <c r="AP115" i="1"/>
  <c r="AO115" i="1"/>
  <c r="AQ115" i="1" s="1"/>
  <c r="BE115" i="1" s="1"/>
  <c r="AL115" i="1"/>
  <c r="AP114" i="1"/>
  <c r="AL114" i="1"/>
  <c r="AO114" i="1"/>
  <c r="AQ114" i="1" s="1"/>
  <c r="BA113" i="1"/>
  <c r="AZ113" i="1"/>
  <c r="BB113" i="1" s="1"/>
  <c r="AW113" i="1"/>
  <c r="AY114" i="1" s="1"/>
  <c r="AL113" i="1"/>
  <c r="AP113" i="1"/>
  <c r="AO113" i="1"/>
  <c r="AQ113" i="1" s="1"/>
  <c r="BE113" i="1" s="1"/>
  <c r="AZ112" i="1"/>
  <c r="AW112" i="1"/>
  <c r="BA112" i="1"/>
  <c r="AL112" i="1"/>
  <c r="AO112" i="1"/>
  <c r="AP112" i="1"/>
  <c r="AW111" i="1"/>
  <c r="AZ111" i="1"/>
  <c r="BA111" i="1"/>
  <c r="AL111" i="1"/>
  <c r="AP111" i="1"/>
  <c r="AO111" i="1"/>
  <c r="AQ111" i="1" s="1"/>
  <c r="BA109" i="1"/>
  <c r="AW109" i="1"/>
  <c r="AY110" i="1" s="1"/>
  <c r="AZ109" i="1"/>
  <c r="BB109" i="1" s="1"/>
  <c r="AO109" i="1"/>
  <c r="AP109" i="1"/>
  <c r="AL109" i="1"/>
  <c r="AP108" i="1"/>
  <c r="AO108" i="1"/>
  <c r="AQ108" i="1" s="1"/>
  <c r="AL108" i="1"/>
  <c r="AW107" i="1"/>
  <c r="AY108" i="1" s="1"/>
  <c r="BA107" i="1"/>
  <c r="AZ107" i="1"/>
  <c r="BB107" i="1" s="1"/>
  <c r="AP107" i="1"/>
  <c r="AL107" i="1"/>
  <c r="AO107" i="1"/>
  <c r="AQ107" i="1" s="1"/>
  <c r="BE107" i="1" s="1"/>
  <c r="BA106" i="1"/>
  <c r="AZ106" i="1"/>
  <c r="BB106" i="1" s="1"/>
  <c r="AW106" i="1"/>
  <c r="BA105" i="1"/>
  <c r="AW105" i="1"/>
  <c r="AZ105" i="1"/>
  <c r="BB105" i="1" s="1"/>
  <c r="BA104" i="1"/>
  <c r="AZ104" i="1"/>
  <c r="BB104" i="1" s="1"/>
  <c r="AW104" i="1"/>
  <c r="AP104" i="1"/>
  <c r="AO104" i="1"/>
  <c r="AQ104" i="1" s="1"/>
  <c r="BE104" i="1" s="1"/>
  <c r="AL104" i="1"/>
  <c r="AN105" i="1" s="1"/>
  <c r="BA103" i="1"/>
  <c r="AZ103" i="1"/>
  <c r="BB103" i="1" s="1"/>
  <c r="AW103" i="1"/>
  <c r="AZ102" i="1"/>
  <c r="AW102" i="1"/>
  <c r="BA102" i="1"/>
  <c r="AZ101" i="1"/>
  <c r="AW101" i="1"/>
  <c r="BA101" i="1"/>
  <c r="BA100" i="1"/>
  <c r="AW100" i="1"/>
  <c r="AZ100" i="1"/>
  <c r="BB100" i="1" s="1"/>
  <c r="AO100" i="1"/>
  <c r="AL100" i="1"/>
  <c r="AN101" i="1" s="1"/>
  <c r="AP100" i="1"/>
  <c r="AZ99" i="1"/>
  <c r="BA99" i="1"/>
  <c r="AW99" i="1"/>
  <c r="AZ98" i="1"/>
  <c r="BA98" i="1"/>
  <c r="AW98" i="1"/>
  <c r="AZ97" i="1"/>
  <c r="BA97" i="1"/>
  <c r="AW97" i="1"/>
  <c r="BA96" i="1"/>
  <c r="AW96" i="1"/>
  <c r="AZ96" i="1"/>
  <c r="BB96" i="1" s="1"/>
  <c r="AL96" i="1"/>
  <c r="AN97" i="1" s="1"/>
  <c r="AP96" i="1"/>
  <c r="AO96" i="1"/>
  <c r="AQ96" i="1" s="1"/>
  <c r="BE96" i="1" s="1"/>
  <c r="AL95" i="1"/>
  <c r="AP95" i="1"/>
  <c r="AO95" i="1"/>
  <c r="AQ95" i="1" s="1"/>
  <c r="AW94" i="1"/>
  <c r="AY95" i="1" s="1"/>
  <c r="BA94" i="1"/>
  <c r="AZ94" i="1"/>
  <c r="BB94" i="1" s="1"/>
  <c r="AZ93" i="1"/>
  <c r="AW93" i="1"/>
  <c r="BA93" i="1"/>
  <c r="BA92" i="1"/>
  <c r="AW92" i="1"/>
  <c r="AZ92" i="1"/>
  <c r="BB92" i="1" s="1"/>
  <c r="AZ91" i="1"/>
  <c r="AW91" i="1"/>
  <c r="BA91" i="1"/>
  <c r="AZ90" i="1"/>
  <c r="AW90" i="1"/>
  <c r="BA90" i="1"/>
  <c r="BA89" i="1"/>
  <c r="AW89" i="1"/>
  <c r="AZ89" i="1"/>
  <c r="BB89" i="1" s="1"/>
  <c r="AL89" i="1"/>
  <c r="AN90" i="1" s="1"/>
  <c r="AP89" i="1"/>
  <c r="AO89" i="1"/>
  <c r="AQ89" i="1" s="1"/>
  <c r="AZ88" i="1"/>
  <c r="AW88" i="1"/>
  <c r="BA88" i="1"/>
  <c r="BA87" i="1"/>
  <c r="AZ87" i="1"/>
  <c r="AW87" i="1"/>
  <c r="AO87" i="1"/>
  <c r="AP87" i="1"/>
  <c r="AL87" i="1"/>
  <c r="AN88" i="1" s="1"/>
  <c r="AL86" i="1"/>
  <c r="AO86" i="1"/>
  <c r="AP86" i="1"/>
  <c r="BA85" i="1"/>
  <c r="AZ85" i="1"/>
  <c r="BB85" i="1" s="1"/>
  <c r="AW85" i="1"/>
  <c r="AY86" i="1" s="1"/>
  <c r="AO85" i="1"/>
  <c r="AL85" i="1"/>
  <c r="AP85" i="1"/>
  <c r="AZ84" i="1"/>
  <c r="AW84" i="1"/>
  <c r="BA84" i="1"/>
  <c r="AP84" i="1"/>
  <c r="AL84" i="1"/>
  <c r="AO84" i="1"/>
  <c r="AQ84" i="1" s="1"/>
  <c r="AP83" i="1"/>
  <c r="AO83" i="1"/>
  <c r="AQ83" i="1" s="1"/>
  <c r="AL83" i="1"/>
  <c r="AW82" i="1"/>
  <c r="AY83" i="1" s="1"/>
  <c r="AZ82" i="1"/>
  <c r="BA82" i="1"/>
  <c r="AZ81" i="1"/>
  <c r="AW81" i="1"/>
  <c r="BA81" i="1"/>
  <c r="AL81" i="1"/>
  <c r="AN82" i="1" s="1"/>
  <c r="AP81" i="1"/>
  <c r="AO81" i="1"/>
  <c r="BA80" i="1"/>
  <c r="AW80" i="1"/>
  <c r="AZ80" i="1"/>
  <c r="BB80" i="1" s="1"/>
  <c r="AL80" i="1"/>
  <c r="AP80" i="1"/>
  <c r="AO80" i="1"/>
  <c r="AQ80" i="1" s="1"/>
  <c r="AL79" i="1"/>
  <c r="AP79" i="1"/>
  <c r="AO79" i="1"/>
  <c r="AZ78" i="1"/>
  <c r="BA78" i="1"/>
  <c r="AW78" i="1"/>
  <c r="AY79" i="1" s="1"/>
  <c r="AZ77" i="1"/>
  <c r="AW77" i="1"/>
  <c r="BA77" i="1"/>
  <c r="AO77" i="1"/>
  <c r="AL77" i="1"/>
  <c r="AN78" i="1" s="1"/>
  <c r="AP77" i="1"/>
  <c r="AW76" i="1"/>
  <c r="BA76" i="1"/>
  <c r="AZ76" i="1"/>
  <c r="BB76" i="1" s="1"/>
  <c r="AL76" i="1"/>
  <c r="AP76" i="1"/>
  <c r="AO76" i="1"/>
  <c r="AQ76" i="1" s="1"/>
  <c r="AZ75" i="1"/>
  <c r="BA75" i="1"/>
  <c r="AW75" i="1"/>
  <c r="AZ74" i="1"/>
  <c r="BA74" i="1"/>
  <c r="AW74" i="1"/>
  <c r="BA73" i="1"/>
  <c r="AZ73" i="1"/>
  <c r="BB73" i="1" s="1"/>
  <c r="AW73" i="1"/>
  <c r="AL73" i="1"/>
  <c r="AN74" i="1" s="1"/>
  <c r="AP73" i="1"/>
  <c r="AO73" i="1"/>
  <c r="AQ73" i="1" s="1"/>
  <c r="AZ72" i="1"/>
  <c r="AW72" i="1"/>
  <c r="BA72" i="1"/>
  <c r="AL72" i="1"/>
  <c r="AP72" i="1"/>
  <c r="AO72" i="1"/>
  <c r="AQ72" i="1" s="1"/>
  <c r="BA71" i="1"/>
  <c r="AW71" i="1"/>
  <c r="AZ71" i="1"/>
  <c r="BB71" i="1" s="1"/>
  <c r="AZ70" i="1"/>
  <c r="AW70" i="1"/>
  <c r="BA70" i="1"/>
  <c r="AW69" i="1"/>
  <c r="AZ69" i="1"/>
  <c r="BA69" i="1"/>
  <c r="AP69" i="1"/>
  <c r="AL69" i="1"/>
  <c r="AN70" i="1" s="1"/>
  <c r="AO69" i="1"/>
  <c r="AW68" i="1"/>
  <c r="BA68" i="1"/>
  <c r="AZ68" i="1"/>
  <c r="BB68" i="1" s="1"/>
  <c r="BA67" i="1"/>
  <c r="AZ67" i="1"/>
  <c r="BB67" i="1" s="1"/>
  <c r="AW67" i="1"/>
  <c r="AL67" i="1"/>
  <c r="AP67" i="1"/>
  <c r="AO67" i="1"/>
  <c r="AQ67" i="1" s="1"/>
  <c r="AO66" i="1"/>
  <c r="AP66" i="1"/>
  <c r="AL66" i="1"/>
  <c r="AZ64" i="1"/>
  <c r="BA64" i="1"/>
  <c r="AW64" i="1"/>
  <c r="AY65" i="1" s="1"/>
  <c r="AL64" i="1"/>
  <c r="AP64" i="1"/>
  <c r="AO64" i="1"/>
  <c r="AQ64" i="1" s="1"/>
  <c r="AL63" i="1"/>
  <c r="AO63" i="1"/>
  <c r="AP63" i="1"/>
  <c r="AP62" i="1"/>
  <c r="AO62" i="1"/>
  <c r="AQ62" i="1" s="1"/>
  <c r="AL62" i="1"/>
  <c r="AO61" i="1"/>
  <c r="AL61" i="1"/>
  <c r="AW60" i="1"/>
  <c r="AY61" i="1" s="1"/>
  <c r="BA60" i="1"/>
  <c r="AZ60" i="1"/>
  <c r="BB60" i="1" s="1"/>
  <c r="AO60" i="1"/>
  <c r="AL60" i="1"/>
  <c r="AP60" i="1"/>
  <c r="BA59" i="1"/>
  <c r="AW59" i="1"/>
  <c r="AZ59" i="1"/>
  <c r="BB59" i="1" s="1"/>
  <c r="AO59" i="1"/>
  <c r="AP59" i="1"/>
  <c r="AL59" i="1"/>
  <c r="AL58" i="1"/>
  <c r="AP58" i="1"/>
  <c r="AO58" i="1"/>
  <c r="AQ58" i="1" s="1"/>
  <c r="AZ57" i="1"/>
  <c r="BA57" i="1"/>
  <c r="AW57" i="1"/>
  <c r="AY58" i="1" s="1"/>
  <c r="AO56" i="1"/>
  <c r="AL56" i="1"/>
  <c r="AN57" i="1" s="1"/>
  <c r="AP56" i="1"/>
  <c r="AW55" i="1"/>
  <c r="AZ55" i="1"/>
  <c r="BA55" i="1"/>
  <c r="AO55" i="1"/>
  <c r="AL55" i="1"/>
  <c r="AP55" i="1"/>
  <c r="AL54" i="1"/>
  <c r="AO54" i="1"/>
  <c r="AP54" i="1"/>
  <c r="AP53" i="1"/>
  <c r="AO53" i="1"/>
  <c r="AQ53" i="1" s="1"/>
  <c r="AL53" i="1"/>
  <c r="AL52" i="1"/>
  <c r="AO52" i="1"/>
  <c r="AP52" i="1"/>
  <c r="AO51" i="1"/>
  <c r="AL51" i="1"/>
  <c r="AP51" i="1"/>
  <c r="AW50" i="1"/>
  <c r="AY51" i="1" s="1"/>
  <c r="AZ50" i="1"/>
  <c r="BA50" i="1"/>
  <c r="AO50" i="1"/>
  <c r="AL50" i="1"/>
  <c r="AP50" i="1"/>
  <c r="AZ49" i="1"/>
  <c r="BA49" i="1"/>
  <c r="AW49" i="1"/>
  <c r="AL49" i="1"/>
  <c r="AP49" i="1"/>
  <c r="AO49" i="1"/>
  <c r="AQ49" i="1" s="1"/>
  <c r="AP47" i="1"/>
  <c r="AO47" i="1"/>
  <c r="AQ47" i="1" s="1"/>
  <c r="AL47" i="1"/>
  <c r="AL45" i="1"/>
  <c r="AO45" i="1"/>
  <c r="AP45" i="1"/>
  <c r="AW44" i="1"/>
  <c r="AY45" i="1" s="1"/>
  <c r="BA44" i="1"/>
  <c r="AZ44" i="1"/>
  <c r="BB44" i="1" s="1"/>
  <c r="AL44" i="1"/>
  <c r="AO44" i="1"/>
  <c r="AP44" i="1"/>
  <c r="AZ43" i="1"/>
  <c r="BA43" i="1"/>
  <c r="AW43" i="1"/>
  <c r="AW42" i="1"/>
  <c r="AZ42" i="1"/>
  <c r="BA42" i="1"/>
  <c r="BA41" i="1"/>
  <c r="AZ41" i="1"/>
  <c r="BB41" i="1" s="1"/>
  <c r="AW41" i="1"/>
  <c r="AO41" i="1"/>
  <c r="AL41" i="1"/>
  <c r="AN42" i="1" s="1"/>
  <c r="AP41" i="1"/>
  <c r="BA40" i="1"/>
  <c r="AW40" i="1"/>
  <c r="AZ40" i="1"/>
  <c r="BB40" i="1" s="1"/>
  <c r="AP40" i="1"/>
  <c r="AO40" i="1"/>
  <c r="AQ40" i="1" s="1"/>
  <c r="AL40" i="1"/>
  <c r="BA39" i="1"/>
  <c r="AZ39" i="1"/>
  <c r="BB39" i="1" s="1"/>
  <c r="AW39" i="1"/>
  <c r="AL39" i="1"/>
  <c r="AP39" i="1"/>
  <c r="AO39" i="1"/>
  <c r="AQ39" i="1" s="1"/>
  <c r="BA38" i="1"/>
  <c r="AW38" i="1"/>
  <c r="AZ38" i="1"/>
  <c r="BB38" i="1" s="1"/>
  <c r="AL38" i="1"/>
  <c r="AP38" i="1"/>
  <c r="AO38" i="1"/>
  <c r="AQ38" i="1" s="1"/>
  <c r="AP37" i="1"/>
  <c r="AL37" i="1"/>
  <c r="AO37" i="1"/>
  <c r="AQ37" i="1" s="1"/>
  <c r="BA36" i="1"/>
  <c r="AZ36" i="1"/>
  <c r="AW36" i="1"/>
  <c r="AY37" i="1" s="1"/>
  <c r="AL36" i="1"/>
  <c r="AP36" i="1"/>
  <c r="AO36" i="1"/>
  <c r="AQ36" i="1" s="1"/>
  <c r="AL35" i="1"/>
  <c r="AO35" i="1"/>
  <c r="AP35" i="1"/>
  <c r="AL34" i="1"/>
  <c r="AO34" i="1"/>
  <c r="AP34" i="1"/>
  <c r="AO33" i="1"/>
  <c r="AL33" i="1"/>
  <c r="AP33" i="1"/>
  <c r="BA32" i="1"/>
  <c r="AZ32" i="1"/>
  <c r="BB32" i="1" s="1"/>
  <c r="AW32" i="1"/>
  <c r="AY33" i="1" s="1"/>
  <c r="AO32" i="1"/>
  <c r="AP32" i="1"/>
  <c r="AL32" i="1"/>
  <c r="AP31" i="1"/>
  <c r="AL31" i="1"/>
  <c r="AO31" i="1"/>
  <c r="AQ31" i="1" s="1"/>
  <c r="AZ30" i="1"/>
  <c r="AW30" i="1"/>
  <c r="AY31" i="1" s="1"/>
  <c r="BA30" i="1"/>
  <c r="AL30" i="1"/>
  <c r="AO30" i="1"/>
  <c r="AP30" i="1"/>
  <c r="AW29" i="1"/>
  <c r="BA29" i="1"/>
  <c r="AZ29" i="1"/>
  <c r="BB29" i="1" s="1"/>
  <c r="AL29" i="1"/>
  <c r="AO29" i="1"/>
  <c r="AP29" i="1"/>
  <c r="AW28" i="1"/>
  <c r="AZ28" i="1"/>
  <c r="BA28" i="1"/>
  <c r="AZ27" i="1"/>
  <c r="BA27" i="1"/>
  <c r="AW27" i="1"/>
  <c r="AW26" i="1"/>
  <c r="BA26" i="1"/>
  <c r="AZ26" i="1"/>
  <c r="BB26" i="1" s="1"/>
  <c r="AO26" i="1"/>
  <c r="AP26" i="1"/>
  <c r="AL26" i="1"/>
  <c r="AN27" i="1" s="1"/>
  <c r="AZ25" i="1"/>
  <c r="AW25" i="1"/>
  <c r="BA25" i="1"/>
  <c r="BA24" i="1"/>
  <c r="AZ24" i="1"/>
  <c r="BB24" i="1" s="1"/>
  <c r="AW24" i="1"/>
  <c r="AP24" i="1"/>
  <c r="AL24" i="1"/>
  <c r="AN25" i="1" s="1"/>
  <c r="AO24" i="1"/>
  <c r="AQ24" i="1" s="1"/>
  <c r="AZ23" i="1"/>
  <c r="BA23" i="1"/>
  <c r="AW23" i="1"/>
  <c r="AO23" i="1"/>
  <c r="AL23" i="1"/>
  <c r="AP23" i="1"/>
  <c r="AZ22" i="1"/>
  <c r="BA22" i="1"/>
  <c r="AO22" i="1"/>
  <c r="AP22" i="1"/>
  <c r="BE121" i="1" l="1"/>
  <c r="BE133" i="1"/>
  <c r="BB36" i="1"/>
  <c r="BB142" i="1"/>
  <c r="BE142" i="1" s="1"/>
  <c r="BE24" i="1"/>
  <c r="BE73" i="1"/>
  <c r="AZ56" i="1"/>
  <c r="AW56" i="1"/>
  <c r="BA56" i="1"/>
  <c r="AZ176" i="1"/>
  <c r="BA176" i="1"/>
  <c r="AW176" i="1"/>
  <c r="BA172" i="1"/>
  <c r="AZ172" i="1"/>
  <c r="AW172" i="1"/>
  <c r="BA166" i="1"/>
  <c r="AZ166" i="1"/>
  <c r="AW166" i="1"/>
  <c r="AY167" i="1" s="1"/>
  <c r="BA163" i="1"/>
  <c r="AW163" i="1"/>
  <c r="AY164" i="1" s="1"/>
  <c r="AZ163" i="1"/>
  <c r="BB163" i="1" s="1"/>
  <c r="BE163" i="1" s="1"/>
  <c r="BA159" i="1"/>
  <c r="AW159" i="1"/>
  <c r="AY160" i="1" s="1"/>
  <c r="AZ159" i="1"/>
  <c r="BB159" i="1" s="1"/>
  <c r="BE159" i="1" s="1"/>
  <c r="BA150" i="1"/>
  <c r="AZ150" i="1"/>
  <c r="BB150" i="1" s="1"/>
  <c r="AW150" i="1"/>
  <c r="AY151" i="1" s="1"/>
  <c r="BA147" i="1"/>
  <c r="AW147" i="1"/>
  <c r="AZ147" i="1"/>
  <c r="BA136" i="1"/>
  <c r="AZ136" i="1"/>
  <c r="AW136" i="1"/>
  <c r="AZ124" i="1"/>
  <c r="BB124" i="1" s="1"/>
  <c r="BE124" i="1" s="1"/>
  <c r="BA124" i="1"/>
  <c r="AW124" i="1"/>
  <c r="AY125" i="1" s="1"/>
  <c r="BA116" i="1"/>
  <c r="AZ116" i="1"/>
  <c r="AW116" i="1"/>
  <c r="AY117" i="1" s="1"/>
  <c r="BA114" i="1"/>
  <c r="AW114" i="1"/>
  <c r="AZ114" i="1"/>
  <c r="AZ110" i="1"/>
  <c r="BB110" i="1" s="1"/>
  <c r="BA110" i="1"/>
  <c r="AW110" i="1"/>
  <c r="AZ108" i="1"/>
  <c r="BB108" i="1" s="1"/>
  <c r="BE108" i="1" s="1"/>
  <c r="BA108" i="1"/>
  <c r="AW108" i="1"/>
  <c r="AZ95" i="1"/>
  <c r="BA95" i="1"/>
  <c r="AW95" i="1"/>
  <c r="AZ86" i="1"/>
  <c r="AW86" i="1"/>
  <c r="BA86" i="1"/>
  <c r="AW83" i="1"/>
  <c r="BA83" i="1"/>
  <c r="AZ83" i="1"/>
  <c r="BA79" i="1"/>
  <c r="AW79" i="1"/>
  <c r="AZ79" i="1"/>
  <c r="BB79" i="1" s="1"/>
  <c r="BA65" i="1"/>
  <c r="AW65" i="1"/>
  <c r="AY66" i="1" s="1"/>
  <c r="AZ65" i="1"/>
  <c r="BB65" i="1" s="1"/>
  <c r="AW61" i="1"/>
  <c r="AY62" i="1" s="1"/>
  <c r="AZ61" i="1"/>
  <c r="BA61" i="1"/>
  <c r="AZ58" i="1"/>
  <c r="AW58" i="1"/>
  <c r="BA58" i="1"/>
  <c r="BA51" i="1"/>
  <c r="AW51" i="1"/>
  <c r="AY52" i="1" s="1"/>
  <c r="AZ51" i="1"/>
  <c r="BA45" i="1"/>
  <c r="AW45" i="1"/>
  <c r="AY46" i="1" s="1"/>
  <c r="AZ45" i="1"/>
  <c r="BA37" i="1"/>
  <c r="AW37" i="1"/>
  <c r="AZ37" i="1"/>
  <c r="BA33" i="1"/>
  <c r="AZ33" i="1"/>
  <c r="AW33" i="1"/>
  <c r="AY34" i="1" s="1"/>
  <c r="BA31" i="1"/>
  <c r="AZ31" i="1"/>
  <c r="AW31" i="1"/>
  <c r="BB126" i="1"/>
  <c r="BE40" i="1"/>
  <c r="BE38" i="1"/>
  <c r="AQ61" i="1"/>
  <c r="AP74" i="1"/>
  <c r="AL74" i="1"/>
  <c r="AN75" i="1" s="1"/>
  <c r="AO74" i="1"/>
  <c r="AQ74" i="1" s="1"/>
  <c r="AO70" i="1"/>
  <c r="AP70" i="1"/>
  <c r="AL70" i="1"/>
  <c r="AN71" i="1" s="1"/>
  <c r="AO65" i="1"/>
  <c r="AP65" i="1"/>
  <c r="AL65" i="1"/>
  <c r="AP129" i="1"/>
  <c r="AL129" i="1"/>
  <c r="AN130" i="1" s="1"/>
  <c r="AO129" i="1"/>
  <c r="AQ129" i="1" s="1"/>
  <c r="BE129" i="1" s="1"/>
  <c r="AO173" i="1"/>
  <c r="AL173" i="1"/>
  <c r="AN174" i="1" s="1"/>
  <c r="AP173" i="1"/>
  <c r="AP171" i="1"/>
  <c r="AL171" i="1"/>
  <c r="AO171" i="1"/>
  <c r="AQ171" i="1" s="1"/>
  <c r="AP149" i="1"/>
  <c r="AL149" i="1"/>
  <c r="AO149" i="1"/>
  <c r="AQ149" i="1" s="1"/>
  <c r="BE149" i="1" s="1"/>
  <c r="AP145" i="1"/>
  <c r="AL145" i="1"/>
  <c r="AN146" i="1" s="1"/>
  <c r="AO145" i="1"/>
  <c r="AO143" i="1"/>
  <c r="AL143" i="1"/>
  <c r="AP143" i="1"/>
  <c r="AP139" i="1"/>
  <c r="AO139" i="1"/>
  <c r="AL139" i="1"/>
  <c r="AN140" i="1" s="1"/>
  <c r="AO135" i="1"/>
  <c r="AP135" i="1"/>
  <c r="AL135" i="1"/>
  <c r="AP132" i="1"/>
  <c r="AO132" i="1"/>
  <c r="AL132" i="1"/>
  <c r="AO128" i="1"/>
  <c r="AL128" i="1"/>
  <c r="AP128" i="1"/>
  <c r="AP105" i="1"/>
  <c r="AO105" i="1"/>
  <c r="AL105" i="1"/>
  <c r="AN106" i="1" s="1"/>
  <c r="AP97" i="1"/>
  <c r="AO97" i="1"/>
  <c r="AL97" i="1"/>
  <c r="AN98" i="1" s="1"/>
  <c r="AP90" i="1"/>
  <c r="AL90" i="1"/>
  <c r="AN91" i="1" s="1"/>
  <c r="AO90" i="1"/>
  <c r="AP88" i="1"/>
  <c r="AL88" i="1"/>
  <c r="AO88" i="1"/>
  <c r="AO82" i="1"/>
  <c r="AP82" i="1"/>
  <c r="AL82" i="1"/>
  <c r="AL78" i="1"/>
  <c r="AP78" i="1"/>
  <c r="AO78" i="1"/>
  <c r="AQ78" i="1" s="1"/>
  <c r="AL57" i="1"/>
  <c r="AP57" i="1"/>
  <c r="AO57" i="1"/>
  <c r="AL42" i="1"/>
  <c r="AN43" i="1" s="1"/>
  <c r="AP42" i="1"/>
  <c r="AO42" i="1"/>
  <c r="AP27" i="1"/>
  <c r="AO27" i="1"/>
  <c r="AL27" i="1"/>
  <c r="AN28" i="1" s="1"/>
  <c r="AO25" i="1"/>
  <c r="AL25" i="1"/>
  <c r="AP25" i="1"/>
  <c r="AQ150" i="1"/>
  <c r="BE150" i="1" s="1"/>
  <c r="AO48" i="1"/>
  <c r="AP48" i="1"/>
  <c r="AL48" i="1"/>
  <c r="AO46" i="1"/>
  <c r="AP46" i="1"/>
  <c r="AL46" i="1"/>
  <c r="AP122" i="1"/>
  <c r="AO122" i="1"/>
  <c r="AQ122" i="1" s="1"/>
  <c r="AL122" i="1"/>
  <c r="AN123" i="1" s="1"/>
  <c r="AL110" i="1"/>
  <c r="AP110" i="1"/>
  <c r="AO110" i="1"/>
  <c r="AO101" i="1"/>
  <c r="AP101" i="1"/>
  <c r="AL101" i="1"/>
  <c r="AN102" i="1" s="1"/>
  <c r="BB140" i="1"/>
  <c r="BE89" i="1"/>
  <c r="BE76" i="1"/>
  <c r="BE80" i="1"/>
  <c r="BE67" i="1"/>
  <c r="BE39" i="1"/>
  <c r="BE36" i="1"/>
  <c r="AQ69" i="1"/>
  <c r="AQ81" i="1"/>
  <c r="AP68" i="1"/>
  <c r="AL68" i="1"/>
  <c r="AO68" i="1"/>
  <c r="AQ68" i="1" s="1"/>
  <c r="BE68" i="1" s="1"/>
  <c r="BB144" i="1"/>
  <c r="AQ143" i="1"/>
  <c r="BE143" i="1" s="1"/>
  <c r="BB130" i="1"/>
  <c r="AQ118" i="1"/>
  <c r="AQ86" i="1"/>
  <c r="AQ85" i="1"/>
  <c r="BE85" i="1" s="1"/>
  <c r="BB84" i="1"/>
  <c r="BE84" i="1" s="1"/>
  <c r="BB77" i="1"/>
  <c r="AQ77" i="1"/>
  <c r="BE77" i="1" s="1"/>
  <c r="BB75" i="1"/>
  <c r="BB72" i="1"/>
  <c r="BE72" i="1" s="1"/>
  <c r="BB70" i="1"/>
  <c r="AQ169" i="1"/>
  <c r="BB137" i="1"/>
  <c r="BE137" i="1" s="1"/>
  <c r="AQ134" i="1"/>
  <c r="AQ126" i="1"/>
  <c r="BE126" i="1" s="1"/>
  <c r="AQ132" i="1"/>
  <c r="AQ125" i="1"/>
  <c r="AQ160" i="1"/>
  <c r="BB158" i="1"/>
  <c r="AQ157" i="1"/>
  <c r="BE157" i="1" s="1"/>
  <c r="AQ153" i="1"/>
  <c r="BB147" i="1"/>
  <c r="BE147" i="1" s="1"/>
  <c r="AQ144" i="1"/>
  <c r="BE144" i="1" s="1"/>
  <c r="AQ139" i="1"/>
  <c r="BB136" i="1"/>
  <c r="BB134" i="1"/>
  <c r="BE134" i="1" s="1"/>
  <c r="BB131" i="1"/>
  <c r="BE131" i="1" s="1"/>
  <c r="AQ82" i="1"/>
  <c r="BB74" i="1"/>
  <c r="BE74" i="1" s="1"/>
  <c r="BB123" i="1"/>
  <c r="BB122" i="1"/>
  <c r="BE122" i="1" s="1"/>
  <c r="BB120" i="1"/>
  <c r="AQ120" i="1"/>
  <c r="AQ117" i="1"/>
  <c r="BB116" i="1"/>
  <c r="AQ116" i="1"/>
  <c r="BE116" i="1" s="1"/>
  <c r="BB114" i="1"/>
  <c r="BE114" i="1" s="1"/>
  <c r="BB112" i="1"/>
  <c r="AQ112" i="1"/>
  <c r="BE112" i="1" s="1"/>
  <c r="BB111" i="1"/>
  <c r="BE111" i="1" s="1"/>
  <c r="AQ109" i="1"/>
  <c r="BE109" i="1" s="1"/>
  <c r="AQ105" i="1"/>
  <c r="BE105" i="1" s="1"/>
  <c r="BB102" i="1"/>
  <c r="BB101" i="1"/>
  <c r="AQ101" i="1"/>
  <c r="BE101" i="1" s="1"/>
  <c r="AQ100" i="1"/>
  <c r="BE100" i="1" s="1"/>
  <c r="BB99" i="1"/>
  <c r="BB98" i="1"/>
  <c r="BB97" i="1"/>
  <c r="AQ97" i="1"/>
  <c r="BE97" i="1" s="1"/>
  <c r="BB95" i="1"/>
  <c r="BE95" i="1" s="1"/>
  <c r="BB93" i="1"/>
  <c r="BB91" i="1"/>
  <c r="BB90" i="1"/>
  <c r="AQ90" i="1"/>
  <c r="BE90" i="1" s="1"/>
  <c r="BB88" i="1"/>
  <c r="BB87" i="1"/>
  <c r="BB78" i="1"/>
  <c r="BE78" i="1" s="1"/>
  <c r="AQ70" i="1"/>
  <c r="BE70" i="1" s="1"/>
  <c r="BB69" i="1"/>
  <c r="BE69" i="1" s="1"/>
  <c r="AQ66" i="1"/>
  <c r="AQ65" i="1"/>
  <c r="BE65" i="1" s="1"/>
  <c r="BB64" i="1"/>
  <c r="BE64" i="1" s="1"/>
  <c r="AQ63" i="1"/>
  <c r="AQ60" i="1"/>
  <c r="BE60" i="1" s="1"/>
  <c r="AQ59" i="1"/>
  <c r="BE59" i="1" s="1"/>
  <c r="BB57" i="1"/>
  <c r="AQ57" i="1"/>
  <c r="BE57" i="1" s="1"/>
  <c r="BB56" i="1"/>
  <c r="AQ56" i="1"/>
  <c r="BB55" i="1"/>
  <c r="AQ55" i="1"/>
  <c r="AQ54" i="1"/>
  <c r="AQ52" i="1"/>
  <c r="BB51" i="1"/>
  <c r="AQ51" i="1"/>
  <c r="BB50" i="1"/>
  <c r="AQ50" i="1"/>
  <c r="BE50" i="1" s="1"/>
  <c r="BB49" i="1"/>
  <c r="BE49" i="1" s="1"/>
  <c r="AQ48" i="1"/>
  <c r="AQ46" i="1"/>
  <c r="BB45" i="1"/>
  <c r="AQ45" i="1"/>
  <c r="BE45" i="1" s="1"/>
  <c r="AQ44" i="1"/>
  <c r="BE44" i="1" s="1"/>
  <c r="BB43" i="1"/>
  <c r="BB42" i="1"/>
  <c r="AQ42" i="1"/>
  <c r="AQ41" i="1"/>
  <c r="BE41" i="1" s="1"/>
  <c r="BB37" i="1"/>
  <c r="BE37" i="1" s="1"/>
  <c r="AQ35" i="1"/>
  <c r="AQ34" i="1"/>
  <c r="BB33" i="1"/>
  <c r="AQ33" i="1"/>
  <c r="BE33" i="1" s="1"/>
  <c r="AQ32" i="1"/>
  <c r="BE32" i="1" s="1"/>
  <c r="BB31" i="1"/>
  <c r="BE31" i="1" s="1"/>
  <c r="BB30" i="1"/>
  <c r="AQ30" i="1"/>
  <c r="AQ29" i="1"/>
  <c r="BE29" i="1" s="1"/>
  <c r="BB28" i="1"/>
  <c r="BB27" i="1"/>
  <c r="AQ27" i="1"/>
  <c r="AQ26" i="1"/>
  <c r="BE26" i="1" s="1"/>
  <c r="BB25" i="1"/>
  <c r="BB23" i="1"/>
  <c r="AQ23" i="1"/>
  <c r="BB22" i="1"/>
  <c r="AQ22" i="1"/>
  <c r="BB83" i="1"/>
  <c r="BE83" i="1" s="1"/>
  <c r="AQ87" i="1"/>
  <c r="BE87" i="1" s="1"/>
  <c r="BB81" i="1"/>
  <c r="BE81" i="1" s="1"/>
  <c r="AQ79" i="1"/>
  <c r="BE79" i="1" s="1"/>
  <c r="BB175" i="1"/>
  <c r="AQ175" i="1"/>
  <c r="BE175" i="1" s="1"/>
  <c r="BB173" i="1"/>
  <c r="AQ173" i="1"/>
  <c r="BB172" i="1"/>
  <c r="AQ172" i="1"/>
  <c r="BB171" i="1"/>
  <c r="BE171" i="1" s="1"/>
  <c r="AQ167" i="1"/>
  <c r="BB166" i="1"/>
  <c r="BE166" i="1" s="1"/>
  <c r="BB165" i="1"/>
  <c r="AQ165" i="1"/>
  <c r="BE165" i="1" s="1"/>
  <c r="BB162" i="1"/>
  <c r="AQ162" i="1"/>
  <c r="BE162" i="1" s="1"/>
  <c r="BB161" i="1"/>
  <c r="AQ161" i="1"/>
  <c r="BE161" i="1" s="1"/>
  <c r="AQ158" i="1"/>
  <c r="BE158" i="1" s="1"/>
  <c r="AQ155" i="1"/>
  <c r="AQ154" i="1"/>
  <c r="AQ152" i="1"/>
  <c r="BB148" i="1"/>
  <c r="BE148" i="1" s="1"/>
  <c r="BB146" i="1"/>
  <c r="AQ145" i="1"/>
  <c r="BE145" i="1" s="1"/>
  <c r="BB141" i="1"/>
  <c r="BB139" i="1"/>
  <c r="AQ138" i="1"/>
  <c r="BE138" i="1" s="1"/>
  <c r="AQ136" i="1"/>
  <c r="BE136" i="1" s="1"/>
  <c r="AQ135" i="1"/>
  <c r="BE135" i="1" s="1"/>
  <c r="BB132" i="1"/>
  <c r="BE132" i="1" s="1"/>
  <c r="AQ127" i="1"/>
  <c r="BE127" i="1" s="1"/>
  <c r="AQ88" i="1"/>
  <c r="BB82" i="1"/>
  <c r="BE56" i="1" l="1"/>
  <c r="BB86" i="1"/>
  <c r="BE86" i="1" s="1"/>
  <c r="BE55" i="1"/>
  <c r="BA167" i="1"/>
  <c r="AZ167" i="1"/>
  <c r="BB167" i="1" s="1"/>
  <c r="BE167" i="1" s="1"/>
  <c r="AW167" i="1"/>
  <c r="AY168" i="1" s="1"/>
  <c r="AW164" i="1"/>
  <c r="BA164" i="1"/>
  <c r="AZ164" i="1"/>
  <c r="BB164" i="1" s="1"/>
  <c r="BE164" i="1" s="1"/>
  <c r="AW160" i="1"/>
  <c r="BA160" i="1"/>
  <c r="AZ160" i="1"/>
  <c r="BB160" i="1" s="1"/>
  <c r="AZ151" i="1"/>
  <c r="BA151" i="1"/>
  <c r="AW151" i="1"/>
  <c r="AY152" i="1" s="1"/>
  <c r="BA125" i="1"/>
  <c r="AZ125" i="1"/>
  <c r="BB125" i="1" s="1"/>
  <c r="BE125" i="1" s="1"/>
  <c r="AW125" i="1"/>
  <c r="BA117" i="1"/>
  <c r="AZ117" i="1"/>
  <c r="BB117" i="1" s="1"/>
  <c r="AW117" i="1"/>
  <c r="AY118" i="1" s="1"/>
  <c r="BA66" i="1"/>
  <c r="AZ66" i="1"/>
  <c r="BB66" i="1" s="1"/>
  <c r="BE66" i="1" s="1"/>
  <c r="AW66" i="1"/>
  <c r="AZ62" i="1"/>
  <c r="AW62" i="1"/>
  <c r="AY63" i="1" s="1"/>
  <c r="BA62" i="1"/>
  <c r="AZ52" i="1"/>
  <c r="AW52" i="1"/>
  <c r="AY53" i="1" s="1"/>
  <c r="BA52" i="1"/>
  <c r="BA46" i="1"/>
  <c r="AZ46" i="1"/>
  <c r="BB46" i="1" s="1"/>
  <c r="BE46" i="1" s="1"/>
  <c r="AW46" i="1"/>
  <c r="AY47" i="1" s="1"/>
  <c r="BA34" i="1"/>
  <c r="AZ34" i="1"/>
  <c r="BB34" i="1" s="1"/>
  <c r="AW34" i="1"/>
  <c r="AY35" i="1" s="1"/>
  <c r="BE88" i="1"/>
  <c r="BB176" i="1"/>
  <c r="BE176" i="1" s="1"/>
  <c r="BB61" i="1"/>
  <c r="BE61" i="1" s="1"/>
  <c r="BB58" i="1"/>
  <c r="BE58" i="1" s="1"/>
  <c r="BE160" i="1"/>
  <c r="BE117" i="1"/>
  <c r="BE34" i="1"/>
  <c r="BE27" i="1"/>
  <c r="BE173" i="1"/>
  <c r="BE30" i="1"/>
  <c r="BE23" i="1"/>
  <c r="BE51" i="1"/>
  <c r="BE42" i="1"/>
  <c r="AQ110" i="1"/>
  <c r="BE110" i="1" s="1"/>
  <c r="AL75" i="1"/>
  <c r="AP75" i="1"/>
  <c r="AO75" i="1"/>
  <c r="AQ75" i="1" s="1"/>
  <c r="BE75" i="1" s="1"/>
  <c r="AO71" i="1"/>
  <c r="AL71" i="1"/>
  <c r="AP71" i="1"/>
  <c r="AP130" i="1"/>
  <c r="AL130" i="1"/>
  <c r="AO130" i="1"/>
  <c r="AQ130" i="1" s="1"/>
  <c r="BE130" i="1" s="1"/>
  <c r="AP174" i="1"/>
  <c r="AO174" i="1"/>
  <c r="AQ174" i="1" s="1"/>
  <c r="BE174" i="1" s="1"/>
  <c r="AL174" i="1"/>
  <c r="AO146" i="1"/>
  <c r="AL146" i="1"/>
  <c r="AP146" i="1"/>
  <c r="AL140" i="1"/>
  <c r="AN141" i="1" s="1"/>
  <c r="AO140" i="1"/>
  <c r="AP140" i="1"/>
  <c r="AO106" i="1"/>
  <c r="AP106" i="1"/>
  <c r="AL106" i="1"/>
  <c r="AP98" i="1"/>
  <c r="AL98" i="1"/>
  <c r="AN99" i="1" s="1"/>
  <c r="AO98" i="1"/>
  <c r="AQ98" i="1" s="1"/>
  <c r="BE98" i="1" s="1"/>
  <c r="AP91" i="1"/>
  <c r="AO91" i="1"/>
  <c r="AQ91" i="1" s="1"/>
  <c r="BE91" i="1" s="1"/>
  <c r="AL91" i="1"/>
  <c r="AN92" i="1" s="1"/>
  <c r="AO43" i="1"/>
  <c r="AL43" i="1"/>
  <c r="AP43" i="1"/>
  <c r="AL28" i="1"/>
  <c r="AO28" i="1"/>
  <c r="AP28" i="1"/>
  <c r="AQ128" i="1"/>
  <c r="BE128" i="1" s="1"/>
  <c r="AQ25" i="1"/>
  <c r="AP123" i="1"/>
  <c r="AL123" i="1"/>
  <c r="AO123" i="1"/>
  <c r="AQ123" i="1" s="1"/>
  <c r="BE123" i="1" s="1"/>
  <c r="AL102" i="1"/>
  <c r="AN103" i="1" s="1"/>
  <c r="AO102" i="1"/>
  <c r="AP102" i="1"/>
  <c r="BE172" i="1"/>
  <c r="BE120" i="1"/>
  <c r="BC22" i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AR22" i="1"/>
  <c r="AR23" i="1" s="1"/>
  <c r="AR24" i="1" s="1"/>
  <c r="BE22" i="1"/>
  <c r="BE139" i="1"/>
  <c r="BE82" i="1"/>
  <c r="AZ168" i="1" l="1"/>
  <c r="BA168" i="1"/>
  <c r="AW168" i="1"/>
  <c r="AY169" i="1" s="1"/>
  <c r="BA152" i="1"/>
  <c r="AZ152" i="1"/>
  <c r="AW152" i="1"/>
  <c r="AY153" i="1" s="1"/>
  <c r="AZ118" i="1"/>
  <c r="BA118" i="1"/>
  <c r="AW118" i="1"/>
  <c r="AY119" i="1" s="1"/>
  <c r="AW63" i="1"/>
  <c r="BA63" i="1"/>
  <c r="AZ63" i="1"/>
  <c r="BB63" i="1" s="1"/>
  <c r="BE63" i="1" s="1"/>
  <c r="AZ53" i="1"/>
  <c r="BA53" i="1"/>
  <c r="AW53" i="1"/>
  <c r="AY54" i="1" s="1"/>
  <c r="AW47" i="1"/>
  <c r="AY48" i="1" s="1"/>
  <c r="BA47" i="1"/>
  <c r="AZ47" i="1"/>
  <c r="BB47" i="1" s="1"/>
  <c r="BE47" i="1" s="1"/>
  <c r="BA35" i="1"/>
  <c r="AZ35" i="1"/>
  <c r="BB35" i="1" s="1"/>
  <c r="AW35" i="1"/>
  <c r="BB151" i="1"/>
  <c r="BE151" i="1" s="1"/>
  <c r="BB62" i="1"/>
  <c r="BE62" i="1" s="1"/>
  <c r="BB52" i="1"/>
  <c r="BE52" i="1" s="1"/>
  <c r="AL141" i="1"/>
  <c r="AO141" i="1"/>
  <c r="AP141" i="1"/>
  <c r="AO99" i="1"/>
  <c r="AL99" i="1"/>
  <c r="AP99" i="1"/>
  <c r="AP92" i="1"/>
  <c r="AL92" i="1"/>
  <c r="AN93" i="1" s="1"/>
  <c r="AO92" i="1"/>
  <c r="AQ92" i="1" s="1"/>
  <c r="BE92" i="1" s="1"/>
  <c r="AL103" i="1"/>
  <c r="AP103" i="1"/>
  <c r="AO103" i="1"/>
  <c r="AQ103" i="1" s="1"/>
  <c r="BE103" i="1" s="1"/>
  <c r="AR25" i="1"/>
  <c r="AR26" i="1" s="1"/>
  <c r="AR27" i="1" s="1"/>
  <c r="AQ71" i="1"/>
  <c r="BE71" i="1" s="1"/>
  <c r="AQ146" i="1"/>
  <c r="BE146" i="1" s="1"/>
  <c r="AQ140" i="1"/>
  <c r="BE140" i="1" s="1"/>
  <c r="AQ106" i="1"/>
  <c r="BE106" i="1" s="1"/>
  <c r="AQ43" i="1"/>
  <c r="BE43" i="1" s="1"/>
  <c r="AQ28" i="1"/>
  <c r="AQ102" i="1"/>
  <c r="BE102" i="1" s="1"/>
  <c r="BE25" i="1"/>
  <c r="BF22" i="1"/>
  <c r="BF23" i="1" s="1"/>
  <c r="BF24" i="1" s="1"/>
  <c r="BF25" i="1" s="1"/>
  <c r="BF26" i="1" s="1"/>
  <c r="BF27" i="1" s="1"/>
  <c r="BB152" i="1" l="1"/>
  <c r="BE152" i="1" s="1"/>
  <c r="BA169" i="1"/>
  <c r="AW169" i="1"/>
  <c r="AY170" i="1" s="1"/>
  <c r="AZ169" i="1"/>
  <c r="BB169" i="1" s="1"/>
  <c r="BE169" i="1" s="1"/>
  <c r="BA153" i="1"/>
  <c r="AW153" i="1"/>
  <c r="AY154" i="1" s="1"/>
  <c r="AZ153" i="1"/>
  <c r="BB153" i="1" s="1"/>
  <c r="BE153" i="1" s="1"/>
  <c r="AZ119" i="1"/>
  <c r="BA119" i="1"/>
  <c r="AW119" i="1"/>
  <c r="AZ54" i="1"/>
  <c r="BA54" i="1"/>
  <c r="AW54" i="1"/>
  <c r="AZ48" i="1"/>
  <c r="BA48" i="1"/>
  <c r="AW48" i="1"/>
  <c r="BC35" i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E35" i="1"/>
  <c r="BB168" i="1"/>
  <c r="BE168" i="1" s="1"/>
  <c r="BB118" i="1"/>
  <c r="BE118" i="1" s="1"/>
  <c r="BB53" i="1"/>
  <c r="BE53" i="1" s="1"/>
  <c r="AQ141" i="1"/>
  <c r="BE141" i="1" s="1"/>
  <c r="AL93" i="1"/>
  <c r="AN94" i="1" s="1"/>
  <c r="AP93" i="1"/>
  <c r="AO93" i="1"/>
  <c r="AQ93" i="1" s="1"/>
  <c r="BE28" i="1"/>
  <c r="AQ99" i="1"/>
  <c r="BE99" i="1" s="1"/>
  <c r="AR28" i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W170" i="1" l="1"/>
  <c r="AZ170" i="1"/>
  <c r="BA170" i="1"/>
  <c r="AW154" i="1"/>
  <c r="AY155" i="1" s="1"/>
  <c r="BA154" i="1"/>
  <c r="AZ154" i="1"/>
  <c r="BB154" i="1" s="1"/>
  <c r="BE154" i="1" s="1"/>
  <c r="BB119" i="1"/>
  <c r="BE119" i="1" s="1"/>
  <c r="BB54" i="1"/>
  <c r="BE54" i="1" s="1"/>
  <c r="BB48" i="1"/>
  <c r="AO94" i="1"/>
  <c r="AP94" i="1"/>
  <c r="AL94" i="1"/>
  <c r="BE93" i="1"/>
  <c r="BF28" i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AW155" i="1" l="1"/>
  <c r="AY156" i="1" s="1"/>
  <c r="AZ155" i="1"/>
  <c r="BA155" i="1"/>
  <c r="BC48" i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E48" i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B170" i="1"/>
  <c r="BE170" i="1" s="1"/>
  <c r="AQ94" i="1"/>
  <c r="BA156" i="1" l="1"/>
  <c r="AW156" i="1"/>
  <c r="AZ156" i="1"/>
  <c r="BB156" i="1" s="1"/>
  <c r="BE156" i="1" s="1"/>
  <c r="BB155" i="1"/>
  <c r="BE94" i="1"/>
  <c r="AQ14" i="1"/>
  <c r="AR94" i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AQ19" i="1"/>
  <c r="BB19" i="1" l="1"/>
  <c r="BB14" i="1"/>
  <c r="BC155" i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5" i="1"/>
  <c r="BE155" i="1"/>
  <c r="BF94" i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AQ16" i="1"/>
  <c r="AI1" i="1" s="1"/>
  <c r="BB16" i="1" l="1"/>
  <c r="AT1" i="1" s="1"/>
  <c r="BE18" i="1"/>
  <c r="BE14" i="1"/>
  <c r="BE16" i="1" s="1"/>
  <c r="BE15" i="1"/>
</calcChain>
</file>

<file path=xl/sharedStrings.xml><?xml version="1.0" encoding="utf-8"?>
<sst xmlns="http://schemas.openxmlformats.org/spreadsheetml/2006/main" count="74" uniqueCount="53">
  <si>
    <t>date</t>
  </si>
  <si>
    <t>VWOB</t>
  </si>
  <si>
    <t>EMB</t>
  </si>
  <si>
    <t>VWOB log rtn</t>
  </si>
  <si>
    <t>EMB log rtn</t>
  </si>
  <si>
    <t>VWOB div</t>
  </si>
  <si>
    <t>VWOB div cumsum</t>
  </si>
  <si>
    <t>EMB div</t>
  </si>
  <si>
    <t>EMB div cumsum</t>
  </si>
  <si>
    <t>VWOB div adjustment</t>
  </si>
  <si>
    <t>EMB div adjustment</t>
  </si>
  <si>
    <t>VWOB*</t>
  </si>
  <si>
    <t>EMB*</t>
  </si>
  <si>
    <t>EMB/VWOB</t>
  </si>
  <si>
    <t>EMB/VWOB avg</t>
  </si>
  <si>
    <t>EMB/VWOB 10 dma</t>
  </si>
  <si>
    <t>EMB/VWOB 20 dma</t>
  </si>
  <si>
    <t>VWOB x avg</t>
  </si>
  <si>
    <t>VWOB x 10 dma</t>
  </si>
  <si>
    <t>VWOB x 20 dma</t>
  </si>
  <si>
    <t>log diff VWOB x avg / EMB</t>
  </si>
  <si>
    <t>log diff VWOB x 10 dma / EMB</t>
  </si>
  <si>
    <t>log diff VWOB x 20 dma / EMB</t>
  </si>
  <si>
    <t>EMB*/VWOB*</t>
  </si>
  <si>
    <t>EMB*/VWOB* avg</t>
  </si>
  <si>
    <t>EMB*/VWOB* 10 dma</t>
  </si>
  <si>
    <t>EMB*/VWOB* 20 dma</t>
  </si>
  <si>
    <t>VWOB* x avg</t>
  </si>
  <si>
    <t>VWOB* x 10 dma</t>
  </si>
  <si>
    <t>VWOB* x 20 dma</t>
  </si>
  <si>
    <t>log diff VWOB* x avg / EMB*</t>
  </si>
  <si>
    <t>log diff VWOB* x 10 dma / EMB*</t>
  </si>
  <si>
    <t>log diff VWOB* x 20 dma / EMB*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</si>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</sst>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43" fontId="0" fillId="0" borderId="10" xfId="1" applyFont="1" applyBorder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EMB/VWOB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1.43329336478799</c:v>
                </c:pt>
                <c:pt idx="1">
                  <c:v>1.43329336478799</c:v>
                </c:pt>
                <c:pt idx="2">
                  <c:v>1.43329336478799</c:v>
                </c:pt>
                <c:pt idx="3">
                  <c:v>1.43329336478799</c:v>
                </c:pt>
                <c:pt idx="4">
                  <c:v>1.43329336478799</c:v>
                </c:pt>
                <c:pt idx="5">
                  <c:v>1.43329336478799</c:v>
                </c:pt>
                <c:pt idx="6">
                  <c:v>1.43329336478799</c:v>
                </c:pt>
                <c:pt idx="7">
                  <c:v>1.43329336478799</c:v>
                </c:pt>
                <c:pt idx="8">
                  <c:v>1.43329336478799</c:v>
                </c:pt>
                <c:pt idx="9">
                  <c:v>1.43329336478799</c:v>
                </c:pt>
                <c:pt idx="10">
                  <c:v>1.43329336478799</c:v>
                </c:pt>
                <c:pt idx="11">
                  <c:v>1.43329336478799</c:v>
                </c:pt>
                <c:pt idx="12">
                  <c:v>1.43329336478799</c:v>
                </c:pt>
                <c:pt idx="13">
                  <c:v>1.43329336478799</c:v>
                </c:pt>
                <c:pt idx="14">
                  <c:v>1.43329336478799</c:v>
                </c:pt>
                <c:pt idx="15">
                  <c:v>1.43329336478799</c:v>
                </c:pt>
                <c:pt idx="16">
                  <c:v>1.43329336478799</c:v>
                </c:pt>
                <c:pt idx="17">
                  <c:v>1.43329336478799</c:v>
                </c:pt>
                <c:pt idx="18">
                  <c:v>1.43329336478799</c:v>
                </c:pt>
                <c:pt idx="19">
                  <c:v>1.43329336478799</c:v>
                </c:pt>
                <c:pt idx="20">
                  <c:v>1.43329336478799</c:v>
                </c:pt>
                <c:pt idx="21">
                  <c:v>1.43329336478799</c:v>
                </c:pt>
                <c:pt idx="22">
                  <c:v>1.43329336478799</c:v>
                </c:pt>
                <c:pt idx="23">
                  <c:v>1.43329336478799</c:v>
                </c:pt>
                <c:pt idx="24">
                  <c:v>1.43329336478799</c:v>
                </c:pt>
                <c:pt idx="25">
                  <c:v>1.43329336478799</c:v>
                </c:pt>
                <c:pt idx="26">
                  <c:v>1.43329336478799</c:v>
                </c:pt>
                <c:pt idx="27">
                  <c:v>1.43329336478799</c:v>
                </c:pt>
                <c:pt idx="28">
                  <c:v>1.43329336478799</c:v>
                </c:pt>
                <c:pt idx="29">
                  <c:v>1.43329336478799</c:v>
                </c:pt>
                <c:pt idx="30">
                  <c:v>1.43329336478799</c:v>
                </c:pt>
                <c:pt idx="31">
                  <c:v>1.43329336478799</c:v>
                </c:pt>
                <c:pt idx="32">
                  <c:v>1.43329336478799</c:v>
                </c:pt>
                <c:pt idx="33">
                  <c:v>1.43329336478799</c:v>
                </c:pt>
                <c:pt idx="34">
                  <c:v>1.43329336478799</c:v>
                </c:pt>
                <c:pt idx="35">
                  <c:v>1.43329336478799</c:v>
                </c:pt>
                <c:pt idx="36">
                  <c:v>1.43329336478799</c:v>
                </c:pt>
                <c:pt idx="37">
                  <c:v>1.43329336478799</c:v>
                </c:pt>
                <c:pt idx="38">
                  <c:v>1.43329336478799</c:v>
                </c:pt>
                <c:pt idx="39">
                  <c:v>1.43329336478799</c:v>
                </c:pt>
                <c:pt idx="40">
                  <c:v>1.43329336478799</c:v>
                </c:pt>
                <c:pt idx="41">
                  <c:v>1.43329336478799</c:v>
                </c:pt>
                <c:pt idx="42">
                  <c:v>1.43329336478799</c:v>
                </c:pt>
                <c:pt idx="43">
                  <c:v>1.43329336478799</c:v>
                </c:pt>
                <c:pt idx="44">
                  <c:v>1.43329336478799</c:v>
                </c:pt>
                <c:pt idx="45">
                  <c:v>1.43329336478799</c:v>
                </c:pt>
                <c:pt idx="46">
                  <c:v>1.43329336478799</c:v>
                </c:pt>
                <c:pt idx="47">
                  <c:v>1.43329336478799</c:v>
                </c:pt>
                <c:pt idx="48">
                  <c:v>1.43329336478799</c:v>
                </c:pt>
                <c:pt idx="49">
                  <c:v>1.43329336478799</c:v>
                </c:pt>
                <c:pt idx="50">
                  <c:v>1.43329336478799</c:v>
                </c:pt>
                <c:pt idx="51">
                  <c:v>1.43329336478799</c:v>
                </c:pt>
                <c:pt idx="52">
                  <c:v>1.43329336478799</c:v>
                </c:pt>
                <c:pt idx="53">
                  <c:v>1.43329336478799</c:v>
                </c:pt>
                <c:pt idx="54">
                  <c:v>1.43329336478799</c:v>
                </c:pt>
                <c:pt idx="55">
                  <c:v>1.43329336478799</c:v>
                </c:pt>
                <c:pt idx="56">
                  <c:v>1.43329336478799</c:v>
                </c:pt>
                <c:pt idx="57">
                  <c:v>1.43329336478799</c:v>
                </c:pt>
                <c:pt idx="58">
                  <c:v>1.43329336478799</c:v>
                </c:pt>
                <c:pt idx="59">
                  <c:v>1.43329336478799</c:v>
                </c:pt>
                <c:pt idx="60">
                  <c:v>1.43329336478799</c:v>
                </c:pt>
                <c:pt idx="61">
                  <c:v>1.43329336478799</c:v>
                </c:pt>
                <c:pt idx="62">
                  <c:v>1.43329336478799</c:v>
                </c:pt>
                <c:pt idx="63">
                  <c:v>1.43329336478799</c:v>
                </c:pt>
                <c:pt idx="64">
                  <c:v>1.43329336478799</c:v>
                </c:pt>
                <c:pt idx="65">
                  <c:v>1.43329336478799</c:v>
                </c:pt>
                <c:pt idx="66">
                  <c:v>1.43329336478799</c:v>
                </c:pt>
                <c:pt idx="67">
                  <c:v>1.43329336478799</c:v>
                </c:pt>
                <c:pt idx="68">
                  <c:v>1.43329336478799</c:v>
                </c:pt>
                <c:pt idx="69">
                  <c:v>1.43329336478799</c:v>
                </c:pt>
                <c:pt idx="70">
                  <c:v>1.43329336478799</c:v>
                </c:pt>
                <c:pt idx="71">
                  <c:v>1.43329336478799</c:v>
                </c:pt>
                <c:pt idx="72">
                  <c:v>1.43329336478799</c:v>
                </c:pt>
                <c:pt idx="73">
                  <c:v>1.43329336478799</c:v>
                </c:pt>
                <c:pt idx="74">
                  <c:v>1.43329336478799</c:v>
                </c:pt>
                <c:pt idx="75">
                  <c:v>1.43329336478799</c:v>
                </c:pt>
                <c:pt idx="76">
                  <c:v>1.43329336478799</c:v>
                </c:pt>
                <c:pt idx="77">
                  <c:v>1.43329336478799</c:v>
                </c:pt>
                <c:pt idx="78">
                  <c:v>1.43329336478799</c:v>
                </c:pt>
                <c:pt idx="79">
                  <c:v>1.43329336478799</c:v>
                </c:pt>
                <c:pt idx="80">
                  <c:v>1.43329336478799</c:v>
                </c:pt>
                <c:pt idx="81">
                  <c:v>1.43329336478799</c:v>
                </c:pt>
                <c:pt idx="82">
                  <c:v>1.43329336478799</c:v>
                </c:pt>
                <c:pt idx="83">
                  <c:v>1.43329336478799</c:v>
                </c:pt>
                <c:pt idx="84">
                  <c:v>1.43329336478799</c:v>
                </c:pt>
                <c:pt idx="85">
                  <c:v>1.43329336478799</c:v>
                </c:pt>
                <c:pt idx="86">
                  <c:v>1.43329336478799</c:v>
                </c:pt>
                <c:pt idx="87">
                  <c:v>1.43329336478799</c:v>
                </c:pt>
                <c:pt idx="88">
                  <c:v>1.43329336478799</c:v>
                </c:pt>
                <c:pt idx="89">
                  <c:v>1.43329336478799</c:v>
                </c:pt>
                <c:pt idx="90">
                  <c:v>1.43329336478799</c:v>
                </c:pt>
                <c:pt idx="91">
                  <c:v>1.43329336478799</c:v>
                </c:pt>
                <c:pt idx="92">
                  <c:v>1.43329336478799</c:v>
                </c:pt>
                <c:pt idx="93">
                  <c:v>1.43329336478799</c:v>
                </c:pt>
                <c:pt idx="94">
                  <c:v>1.43329336478799</c:v>
                </c:pt>
                <c:pt idx="95">
                  <c:v>1.43329336478799</c:v>
                </c:pt>
                <c:pt idx="96">
                  <c:v>1.43329336478799</c:v>
                </c:pt>
                <c:pt idx="97">
                  <c:v>1.43329336478799</c:v>
                </c:pt>
                <c:pt idx="98">
                  <c:v>1.43329336478799</c:v>
                </c:pt>
                <c:pt idx="99">
                  <c:v>1.43329336478799</c:v>
                </c:pt>
                <c:pt idx="100">
                  <c:v>1.43329336478799</c:v>
                </c:pt>
                <c:pt idx="101">
                  <c:v>1.43329336478799</c:v>
                </c:pt>
                <c:pt idx="102">
                  <c:v>1.43329336478799</c:v>
                </c:pt>
                <c:pt idx="103">
                  <c:v>1.43329336478799</c:v>
                </c:pt>
                <c:pt idx="104">
                  <c:v>1.43329336478799</c:v>
                </c:pt>
                <c:pt idx="105">
                  <c:v>1.43329336478799</c:v>
                </c:pt>
                <c:pt idx="106">
                  <c:v>1.43329336478799</c:v>
                </c:pt>
                <c:pt idx="107">
                  <c:v>1.43329336478799</c:v>
                </c:pt>
                <c:pt idx="108">
                  <c:v>1.43329336478799</c:v>
                </c:pt>
                <c:pt idx="109">
                  <c:v>1.43329336478799</c:v>
                </c:pt>
                <c:pt idx="110">
                  <c:v>1.43329336478799</c:v>
                </c:pt>
                <c:pt idx="111">
                  <c:v>1.43329336478799</c:v>
                </c:pt>
                <c:pt idx="112">
                  <c:v>1.43329336478799</c:v>
                </c:pt>
                <c:pt idx="113">
                  <c:v>1.43329336478799</c:v>
                </c:pt>
                <c:pt idx="114">
                  <c:v>1.43329336478799</c:v>
                </c:pt>
                <c:pt idx="115">
                  <c:v>1.43329336478799</c:v>
                </c:pt>
                <c:pt idx="116">
                  <c:v>1.43329336478799</c:v>
                </c:pt>
                <c:pt idx="117">
                  <c:v>1.43329336478799</c:v>
                </c:pt>
                <c:pt idx="118">
                  <c:v>1.43329336478799</c:v>
                </c:pt>
                <c:pt idx="119">
                  <c:v>1.43329336478799</c:v>
                </c:pt>
                <c:pt idx="120">
                  <c:v>1.43329336478799</c:v>
                </c:pt>
                <c:pt idx="121">
                  <c:v>1.43329336478799</c:v>
                </c:pt>
                <c:pt idx="122">
                  <c:v>1.43329336478799</c:v>
                </c:pt>
                <c:pt idx="123">
                  <c:v>1.43329336478799</c:v>
                </c:pt>
                <c:pt idx="124">
                  <c:v>1.43329336478799</c:v>
                </c:pt>
                <c:pt idx="125">
                  <c:v>1.43329336478799</c:v>
                </c:pt>
                <c:pt idx="126">
                  <c:v>1.43329336478799</c:v>
                </c:pt>
                <c:pt idx="127">
                  <c:v>1.43329336478799</c:v>
                </c:pt>
                <c:pt idx="128">
                  <c:v>1.43329336478799</c:v>
                </c:pt>
                <c:pt idx="129">
                  <c:v>1.43329336478799</c:v>
                </c:pt>
                <c:pt idx="130">
                  <c:v>1.43329336478799</c:v>
                </c:pt>
                <c:pt idx="131">
                  <c:v>1.43329336478799</c:v>
                </c:pt>
                <c:pt idx="132">
                  <c:v>1.43329336478799</c:v>
                </c:pt>
                <c:pt idx="133">
                  <c:v>1.43329336478799</c:v>
                </c:pt>
                <c:pt idx="134">
                  <c:v>1.43329336478799</c:v>
                </c:pt>
                <c:pt idx="135">
                  <c:v>1.43329336478799</c:v>
                </c:pt>
                <c:pt idx="136">
                  <c:v>1.43329336478799</c:v>
                </c:pt>
                <c:pt idx="137">
                  <c:v>1.43329336478799</c:v>
                </c:pt>
                <c:pt idx="138">
                  <c:v>1.43329336478799</c:v>
                </c:pt>
                <c:pt idx="139">
                  <c:v>1.43329336478799</c:v>
                </c:pt>
                <c:pt idx="140">
                  <c:v>1.43329336478799</c:v>
                </c:pt>
                <c:pt idx="141">
                  <c:v>1.43329336478799</c:v>
                </c:pt>
                <c:pt idx="142">
                  <c:v>1.43329336478799</c:v>
                </c:pt>
                <c:pt idx="143">
                  <c:v>1.43329336478799</c:v>
                </c:pt>
                <c:pt idx="144">
                  <c:v>1.43329336478799</c:v>
                </c:pt>
                <c:pt idx="145">
                  <c:v>1.43329336478799</c:v>
                </c:pt>
                <c:pt idx="146">
                  <c:v>1.43329336478799</c:v>
                </c:pt>
                <c:pt idx="147">
                  <c:v>1.43329336478799</c:v>
                </c:pt>
                <c:pt idx="148">
                  <c:v>1.43329336478799</c:v>
                </c:pt>
                <c:pt idx="149">
                  <c:v>1.43329336478799</c:v>
                </c:pt>
                <c:pt idx="150">
                  <c:v>1.43329336478799</c:v>
                </c:pt>
                <c:pt idx="151">
                  <c:v>1.43329336478799</c:v>
                </c:pt>
                <c:pt idx="152">
                  <c:v>1.43329336478799</c:v>
                </c:pt>
                <c:pt idx="153">
                  <c:v>1.43329336478799</c:v>
                </c:pt>
                <c:pt idx="154">
                  <c:v>1.43329336478799</c:v>
                </c:pt>
                <c:pt idx="155">
                  <c:v>1.43329336478799</c:v>
                </c:pt>
                <c:pt idx="156">
                  <c:v>1.43329336478799</c:v>
                </c:pt>
                <c:pt idx="157">
                  <c:v>1.43329336478799</c:v>
                </c:pt>
                <c:pt idx="158">
                  <c:v>1.43329336478799</c:v>
                </c:pt>
                <c:pt idx="159">
                  <c:v>1.43329336478799</c:v>
                </c:pt>
                <c:pt idx="160">
                  <c:v>1.43329336478799</c:v>
                </c:pt>
                <c:pt idx="161">
                  <c:v>1.43329336478799</c:v>
                </c:pt>
                <c:pt idx="162">
                  <c:v>1.43329336478799</c:v>
                </c:pt>
                <c:pt idx="163">
                  <c:v>1.43329336478799</c:v>
                </c:pt>
                <c:pt idx="164">
                  <c:v>1.43329336478799</c:v>
                </c:pt>
                <c:pt idx="165">
                  <c:v>1.43329336478799</c:v>
                </c:pt>
                <c:pt idx="166">
                  <c:v>1.43329336478799</c:v>
                </c:pt>
                <c:pt idx="167">
                  <c:v>1.43329336478799</c:v>
                </c:pt>
                <c:pt idx="168">
                  <c:v>1.43329336478799</c:v>
                </c:pt>
                <c:pt idx="169">
                  <c:v>1.43329336478799</c:v>
                </c:pt>
                <c:pt idx="170">
                  <c:v>1.43329336478799</c:v>
                </c:pt>
                <c:pt idx="171">
                  <c:v>1.43329336478799</c:v>
                </c:pt>
                <c:pt idx="172">
                  <c:v>1.43329336478799</c:v>
                </c:pt>
                <c:pt idx="173">
                  <c:v>1.43329336478799</c:v>
                </c:pt>
                <c:pt idx="174">
                  <c:v>1.43329336478799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F-4A47-8F46-4FCFF8A3720A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EMB/VWOB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1.42793758172053</c:v>
                </c:pt>
                <c:pt idx="10">
                  <c:v>1.42788878921141</c:v>
                </c:pt>
                <c:pt idx="11">
                  <c:v>1.42773103849158</c:v>
                </c:pt>
                <c:pt idx="12">
                  <c:v>1.4277839720705301</c:v>
                </c:pt>
                <c:pt idx="13">
                  <c:v>1.42783507713292</c:v>
                </c:pt>
                <c:pt idx="14">
                  <c:v>1.4279775342902199</c:v>
                </c:pt>
                <c:pt idx="15">
                  <c:v>1.4279393569891601</c:v>
                </c:pt>
                <c:pt idx="16">
                  <c:v>1.4279392912717199</c:v>
                </c:pt>
                <c:pt idx="17">
                  <c:v>1.4280453907781401</c:v>
                </c:pt>
                <c:pt idx="18">
                  <c:v>1.4279760054760799</c:v>
                </c:pt>
                <c:pt idx="19">
                  <c:v>1.42790431806298</c:v>
                </c:pt>
                <c:pt idx="20">
                  <c:v>1.4280548134676601</c:v>
                </c:pt>
                <c:pt idx="21">
                  <c:v>1.4283122424385699</c:v>
                </c:pt>
                <c:pt idx="22">
                  <c:v>1.4285459816281301</c:v>
                </c:pt>
                <c:pt idx="23">
                  <c:v>1.42867714157738</c:v>
                </c:pt>
                <c:pt idx="24">
                  <c:v>1.4289286253693401</c:v>
                </c:pt>
                <c:pt idx="25">
                  <c:v>1.42909765577766</c:v>
                </c:pt>
                <c:pt idx="26">
                  <c:v>1.42918820152932</c:v>
                </c:pt>
                <c:pt idx="27">
                  <c:v>1.4293230321254</c:v>
                </c:pt>
                <c:pt idx="28">
                  <c:v>1.4295041766686101</c:v>
                </c:pt>
                <c:pt idx="29">
                  <c:v>1.4297104256425399</c:v>
                </c:pt>
                <c:pt idx="30">
                  <c:v>1.4297436329408599</c:v>
                </c:pt>
                <c:pt idx="31">
                  <c:v>1.4297216751631301</c:v>
                </c:pt>
                <c:pt idx="32">
                  <c:v>1.4295402569312501</c:v>
                </c:pt>
                <c:pt idx="33">
                  <c:v>1.4295960188033201</c:v>
                </c:pt>
                <c:pt idx="34">
                  <c:v>1.4294347031585</c:v>
                </c:pt>
                <c:pt idx="35">
                  <c:v>1.42941415776605</c:v>
                </c:pt>
                <c:pt idx="36">
                  <c:v>1.4294530842055999</c:v>
                </c:pt>
                <c:pt idx="37">
                  <c:v>1.42943131423069</c:v>
                </c:pt>
                <c:pt idx="38">
                  <c:v>1.4295063268483601</c:v>
                </c:pt>
                <c:pt idx="39">
                  <c:v>1.42977904143551</c:v>
                </c:pt>
                <c:pt idx="40">
                  <c:v>1.43001477616378</c:v>
                </c:pt>
                <c:pt idx="41">
                  <c:v>1.43038926641557</c:v>
                </c:pt>
                <c:pt idx="42">
                  <c:v>1.4304980545669099</c:v>
                </c:pt>
                <c:pt idx="43">
                  <c:v>1.4305644149928201</c:v>
                </c:pt>
                <c:pt idx="44">
                  <c:v>1.4307039273745401</c:v>
                </c:pt>
                <c:pt idx="45">
                  <c:v>1.43070671066724</c:v>
                </c:pt>
                <c:pt idx="46">
                  <c:v>1.4305816579117101</c:v>
                </c:pt>
                <c:pt idx="47">
                  <c:v>1.4304381609143899</c:v>
                </c:pt>
                <c:pt idx="48">
                  <c:v>1.4304751929711801</c:v>
                </c:pt>
                <c:pt idx="49">
                  <c:v>1.4301856710233301</c:v>
                </c:pt>
                <c:pt idx="50">
                  <c:v>1.42994267721485</c:v>
                </c:pt>
                <c:pt idx="51">
                  <c:v>1.42961309373729</c:v>
                </c:pt>
                <c:pt idx="52">
                  <c:v>1.42967013660027</c:v>
                </c:pt>
                <c:pt idx="53">
                  <c:v>1.4294996927818899</c:v>
                </c:pt>
                <c:pt idx="54">
                  <c:v>1.4296125274535001</c:v>
                </c:pt>
                <c:pt idx="55">
                  <c:v>1.4295969069007299</c:v>
                </c:pt>
                <c:pt idx="56">
                  <c:v>1.4297767738999101</c:v>
                </c:pt>
                <c:pt idx="57">
                  <c:v>1.43002527540339</c:v>
                </c:pt>
                <c:pt idx="58">
                  <c:v>1.43000360545339</c:v>
                </c:pt>
                <c:pt idx="59">
                  <c:v>1.4300312698178601</c:v>
                </c:pt>
                <c:pt idx="60">
                  <c:v>1.4301209952648499</c:v>
                </c:pt>
                <c:pt idx="61">
                  <c:v>1.4302522253815</c:v>
                </c:pt>
                <c:pt idx="62">
                  <c:v>1.4301623231269101</c:v>
                </c:pt>
                <c:pt idx="63">
                  <c:v>1.43023396933745</c:v>
                </c:pt>
                <c:pt idx="64">
                  <c:v>1.42988830379089</c:v>
                </c:pt>
                <c:pt idx="65">
                  <c:v>1.4301681900647001</c:v>
                </c:pt>
                <c:pt idx="66">
                  <c:v>1.4303504600794199</c:v>
                </c:pt>
                <c:pt idx="67">
                  <c:v>1.4304920208194001</c:v>
                </c:pt>
                <c:pt idx="68">
                  <c:v>1.43073486091486</c:v>
                </c:pt>
                <c:pt idx="69">
                  <c:v>1.43106042670362</c:v>
                </c:pt>
                <c:pt idx="70">
                  <c:v>1.4311720236868399</c:v>
                </c:pt>
                <c:pt idx="71">
                  <c:v>1.4313017106180399</c:v>
                </c:pt>
                <c:pt idx="72">
                  <c:v>1.4315099189914899</c:v>
                </c:pt>
                <c:pt idx="73">
                  <c:v>1.43168767351016</c:v>
                </c:pt>
                <c:pt idx="74">
                  <c:v>1.4319819190585299</c:v>
                </c:pt>
                <c:pt idx="75">
                  <c:v>1.4318890438371099</c:v>
                </c:pt>
                <c:pt idx="76">
                  <c:v>1.43166103934856</c:v>
                </c:pt>
                <c:pt idx="77">
                  <c:v>1.43161592121134</c:v>
                </c:pt>
                <c:pt idx="78">
                  <c:v>1.4315518495667501</c:v>
                </c:pt>
                <c:pt idx="79">
                  <c:v>1.4314963832840999</c:v>
                </c:pt>
                <c:pt idx="80">
                  <c:v>1.4314661467710901</c:v>
                </c:pt>
                <c:pt idx="81">
                  <c:v>1.43139180980509</c:v>
                </c:pt>
                <c:pt idx="82">
                  <c:v>1.43146008863523</c:v>
                </c:pt>
                <c:pt idx="83">
                  <c:v>1.4315353608308401</c:v>
                </c:pt>
                <c:pt idx="84">
                  <c:v>1.4316722249274301</c:v>
                </c:pt>
                <c:pt idx="85">
                  <c:v>1.4318282439124199</c:v>
                </c:pt>
                <c:pt idx="86">
                  <c:v>1.4320825189162101</c:v>
                </c:pt>
                <c:pt idx="87">
                  <c:v>1.43226407185939</c:v>
                </c:pt>
                <c:pt idx="88">
                  <c:v>1.43240967616837</c:v>
                </c:pt>
                <c:pt idx="89">
                  <c:v>1.4325586123062299</c:v>
                </c:pt>
                <c:pt idx="90">
                  <c:v>1.432940904711</c:v>
                </c:pt>
                <c:pt idx="91">
                  <c:v>1.4332382035826801</c:v>
                </c:pt>
                <c:pt idx="92">
                  <c:v>1.4331725741825201</c:v>
                </c:pt>
                <c:pt idx="93">
                  <c:v>1.4332566050364</c:v>
                </c:pt>
                <c:pt idx="94">
                  <c:v>1.43335126291091</c:v>
                </c:pt>
                <c:pt idx="95">
                  <c:v>1.4334340276053901</c:v>
                </c:pt>
                <c:pt idx="96">
                  <c:v>1.43361749315562</c:v>
                </c:pt>
                <c:pt idx="97">
                  <c:v>1.4338040255403699</c:v>
                </c:pt>
                <c:pt idx="98">
                  <c:v>1.4339970597433001</c:v>
                </c:pt>
                <c:pt idx="99">
                  <c:v>1.4341071015287199</c:v>
                </c:pt>
                <c:pt idx="100">
                  <c:v>1.43408784095051</c:v>
                </c:pt>
                <c:pt idx="101">
                  <c:v>1.4340462583934399</c:v>
                </c:pt>
                <c:pt idx="102">
                  <c:v>1.43442709789133</c:v>
                </c:pt>
                <c:pt idx="103">
                  <c:v>1.43473621480753</c:v>
                </c:pt>
                <c:pt idx="104">
                  <c:v>1.4348886360522899</c:v>
                </c:pt>
                <c:pt idx="105">
                  <c:v>1.4349158657290599</c:v>
                </c:pt>
                <c:pt idx="106">
                  <c:v>1.4347991038572101</c:v>
                </c:pt>
                <c:pt idx="107">
                  <c:v>1.4346838424162101</c:v>
                </c:pt>
                <c:pt idx="108">
                  <c:v>1.43466426056217</c:v>
                </c:pt>
                <c:pt idx="109">
                  <c:v>1.4346878937630101</c:v>
                </c:pt>
                <c:pt idx="110">
                  <c:v>1.4347903044363</c:v>
                </c:pt>
                <c:pt idx="111">
                  <c:v>1.4348355161573501</c:v>
                </c:pt>
                <c:pt idx="112">
                  <c:v>1.4348089680656499</c:v>
                </c:pt>
                <c:pt idx="113">
                  <c:v>1.4346716320870301</c:v>
                </c:pt>
                <c:pt idx="114">
                  <c:v>1.43461778011494</c:v>
                </c:pt>
                <c:pt idx="115">
                  <c:v>1.43459473131444</c:v>
                </c:pt>
                <c:pt idx="116">
                  <c:v>1.4347391356013599</c:v>
                </c:pt>
                <c:pt idx="117">
                  <c:v>1.4348318479611299</c:v>
                </c:pt>
                <c:pt idx="118">
                  <c:v>1.43484717488092</c:v>
                </c:pt>
                <c:pt idx="119">
                  <c:v>1.4348325218506299</c:v>
                </c:pt>
                <c:pt idx="120">
                  <c:v>1.4348711711277999</c:v>
                </c:pt>
                <c:pt idx="121">
                  <c:v>1.43491517433041</c:v>
                </c:pt>
                <c:pt idx="122">
                  <c:v>1.43479116437252</c:v>
                </c:pt>
                <c:pt idx="123">
                  <c:v>1.4349346257617199</c:v>
                </c:pt>
                <c:pt idx="124">
                  <c:v>1.43507213843672</c:v>
                </c:pt>
                <c:pt idx="125">
                  <c:v>1.4353396726240399</c:v>
                </c:pt>
                <c:pt idx="126">
                  <c:v>1.4357471651692899</c:v>
                </c:pt>
                <c:pt idx="127">
                  <c:v>1.4360325169728001</c:v>
                </c:pt>
                <c:pt idx="128">
                  <c:v>1.4363874309112801</c:v>
                </c:pt>
                <c:pt idx="129">
                  <c:v>1.4365867447223599</c:v>
                </c:pt>
                <c:pt idx="130">
                  <c:v>1.4366777066880401</c:v>
                </c:pt>
                <c:pt idx="131">
                  <c:v>1.43689083498471</c:v>
                </c:pt>
                <c:pt idx="132">
                  <c:v>1.43720304189715</c:v>
                </c:pt>
                <c:pt idx="133">
                  <c:v>1.4372257812860101</c:v>
                </c:pt>
                <c:pt idx="134">
                  <c:v>1.43734104432101</c:v>
                </c:pt>
                <c:pt idx="135">
                  <c:v>1.4373584060642199</c:v>
                </c:pt>
                <c:pt idx="136">
                  <c:v>1.43733841911139</c:v>
                </c:pt>
                <c:pt idx="137">
                  <c:v>1.4373670462284101</c:v>
                </c:pt>
                <c:pt idx="138">
                  <c:v>1.43733647265336</c:v>
                </c:pt>
                <c:pt idx="139">
                  <c:v>1.4373594449320399</c:v>
                </c:pt>
                <c:pt idx="140">
                  <c:v>1.4375284315947601</c:v>
                </c:pt>
                <c:pt idx="141">
                  <c:v>1.4377795009666201</c:v>
                </c:pt>
                <c:pt idx="142">
                  <c:v>1.43788012943202</c:v>
                </c:pt>
                <c:pt idx="143">
                  <c:v>1.4381700064734799</c:v>
                </c:pt>
                <c:pt idx="144">
                  <c:v>1.43824543638928</c:v>
                </c:pt>
                <c:pt idx="145">
                  <c:v>1.4385044221318399</c:v>
                </c:pt>
                <c:pt idx="146">
                  <c:v>1.4386322976838799</c:v>
                </c:pt>
                <c:pt idx="147">
                  <c:v>1.43866626728661</c:v>
                </c:pt>
                <c:pt idx="148">
                  <c:v>1.4386270484066901</c:v>
                </c:pt>
                <c:pt idx="149">
                  <c:v>1.43875181192058</c:v>
                </c:pt>
                <c:pt idx="150">
                  <c:v>1.43870072204926</c:v>
                </c:pt>
                <c:pt idx="151">
                  <c:v>1.43856953175446</c:v>
                </c:pt>
                <c:pt idx="152">
                  <c:v>1.4386004479265999</c:v>
                </c:pt>
                <c:pt idx="153">
                  <c:v>1.4385702591685201</c:v>
                </c:pt>
                <c:pt idx="154">
                  <c:v>1.4385295196112</c:v>
                </c:pt>
                <c:pt idx="155">
                  <c:v>1.4382570195022499</c:v>
                </c:pt>
                <c:pt idx="156">
                  <c:v>1.4380321483752001</c:v>
                </c:pt>
                <c:pt idx="157">
                  <c:v>1.4380501851674199</c:v>
                </c:pt>
                <c:pt idx="158">
                  <c:v>1.4379525795363799</c:v>
                </c:pt>
                <c:pt idx="159">
                  <c:v>1.4378183601793</c:v>
                </c:pt>
                <c:pt idx="160">
                  <c:v>1.43776814767214</c:v>
                </c:pt>
                <c:pt idx="161">
                  <c:v>1.4377951323495299</c:v>
                </c:pt>
                <c:pt idx="162">
                  <c:v>1.4378107185384801</c:v>
                </c:pt>
                <c:pt idx="163">
                  <c:v>1.43763715294566</c:v>
                </c:pt>
                <c:pt idx="164">
                  <c:v>1.43765605682618</c:v>
                </c:pt>
                <c:pt idx="165">
                  <c:v>1.43767504221916</c:v>
                </c:pt>
                <c:pt idx="166">
                  <c:v>1.4377133380542699</c:v>
                </c:pt>
                <c:pt idx="167">
                  <c:v>1.437697321967</c:v>
                </c:pt>
                <c:pt idx="168">
                  <c:v>1.4379314300689401</c:v>
                </c:pt>
                <c:pt idx="169">
                  <c:v>1.43807595068861</c:v>
                </c:pt>
                <c:pt idx="170">
                  <c:v>1.4382712767502801</c:v>
                </c:pt>
                <c:pt idx="171">
                  <c:v>1.4384666082528601</c:v>
                </c:pt>
                <c:pt idx="172">
                  <c:v>1.4384655199569001</c:v>
                </c:pt>
                <c:pt idx="173">
                  <c:v>1.4386302116396099</c:v>
                </c:pt>
                <c:pt idx="174">
                  <c:v>1.4389151115377301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F-4A47-8F46-4FCFF8A3720A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EMB/VWOB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1.42792094989175</c:v>
                </c:pt>
                <c:pt idx="20">
                  <c:v>1.4279718013395399</c:v>
                </c:pt>
                <c:pt idx="21">
                  <c:v>1.4280216404650701</c:v>
                </c:pt>
                <c:pt idx="22">
                  <c:v>1.4281649768493301</c:v>
                </c:pt>
                <c:pt idx="23">
                  <c:v>1.42825610935515</c:v>
                </c:pt>
                <c:pt idx="24">
                  <c:v>1.4284530798297801</c:v>
                </c:pt>
                <c:pt idx="25">
                  <c:v>1.42851850638341</c:v>
                </c:pt>
                <c:pt idx="26">
                  <c:v>1.4285637464005201</c:v>
                </c:pt>
                <c:pt idx="27">
                  <c:v>1.4286842114517699</c:v>
                </c:pt>
                <c:pt idx="28">
                  <c:v>1.42874009107235</c:v>
                </c:pt>
                <c:pt idx="29">
                  <c:v>1.4288073718527601</c:v>
                </c:pt>
                <c:pt idx="30">
                  <c:v>1.4288992232042601</c:v>
                </c:pt>
                <c:pt idx="31">
                  <c:v>1.4290169588008499</c:v>
                </c:pt>
                <c:pt idx="32">
                  <c:v>1.42904311927969</c:v>
                </c:pt>
                <c:pt idx="33">
                  <c:v>1.4291365801903499</c:v>
                </c:pt>
                <c:pt idx="34">
                  <c:v>1.4291816642639199</c:v>
                </c:pt>
                <c:pt idx="35">
                  <c:v>1.42925590677185</c:v>
                </c:pt>
                <c:pt idx="36">
                  <c:v>1.4293206428674601</c:v>
                </c:pt>
                <c:pt idx="37">
                  <c:v>1.42937717317805</c:v>
                </c:pt>
                <c:pt idx="38">
                  <c:v>1.4295052517584801</c:v>
                </c:pt>
                <c:pt idx="39">
                  <c:v>1.4297447335390201</c:v>
                </c:pt>
                <c:pt idx="40">
                  <c:v>1.4298792045523201</c:v>
                </c:pt>
                <c:pt idx="41">
                  <c:v>1.43005547078935</c:v>
                </c:pt>
                <c:pt idx="42">
                  <c:v>1.43001915574908</c:v>
                </c:pt>
                <c:pt idx="43">
                  <c:v>1.43008021689807</c:v>
                </c:pt>
                <c:pt idx="44">
                  <c:v>1.43006931526652</c:v>
                </c:pt>
                <c:pt idx="45">
                  <c:v>1.4300604342166501</c:v>
                </c:pt>
                <c:pt idx="46">
                  <c:v>1.4300173710586499</c:v>
                </c:pt>
                <c:pt idx="47">
                  <c:v>1.42993473757254</c:v>
                </c:pt>
                <c:pt idx="48">
                  <c:v>1.4299907599097701</c:v>
                </c:pt>
                <c:pt idx="49">
                  <c:v>1.42998235622942</c:v>
                </c:pt>
                <c:pt idx="50">
                  <c:v>1.42997872668932</c:v>
                </c:pt>
                <c:pt idx="51">
                  <c:v>1.4300011800764301</c:v>
                </c:pt>
                <c:pt idx="52">
                  <c:v>1.4300840955835901</c:v>
                </c:pt>
                <c:pt idx="53">
                  <c:v>1.4300320538873501</c:v>
                </c:pt>
                <c:pt idx="54">
                  <c:v>1.4301582274140201</c:v>
                </c:pt>
                <c:pt idx="55">
                  <c:v>1.43015180878399</c:v>
                </c:pt>
                <c:pt idx="56">
                  <c:v>1.43017921590581</c:v>
                </c:pt>
                <c:pt idx="57">
                  <c:v>1.4302317181588899</c:v>
                </c:pt>
                <c:pt idx="58">
                  <c:v>1.4302393992122899</c:v>
                </c:pt>
                <c:pt idx="59">
                  <c:v>1.43010847042059</c:v>
                </c:pt>
                <c:pt idx="60">
                  <c:v>1.4300318362398501</c:v>
                </c:pt>
                <c:pt idx="61">
                  <c:v>1.42993265955939</c:v>
                </c:pt>
                <c:pt idx="62">
                  <c:v>1.4299162298635899</c:v>
                </c:pt>
                <c:pt idx="63">
                  <c:v>1.4298668310596701</c:v>
                </c:pt>
                <c:pt idx="64">
                  <c:v>1.4297504156221901</c:v>
                </c:pt>
                <c:pt idx="65">
                  <c:v>1.42988254848272</c:v>
                </c:pt>
                <c:pt idx="66">
                  <c:v>1.4300636169896599</c:v>
                </c:pt>
                <c:pt idx="67">
                  <c:v>1.4302586481113899</c:v>
                </c:pt>
                <c:pt idx="68">
                  <c:v>1.43036923318413</c:v>
                </c:pt>
                <c:pt idx="69">
                  <c:v>1.43054584826074</c:v>
                </c:pt>
                <c:pt idx="70">
                  <c:v>1.43064650947585</c:v>
                </c:pt>
                <c:pt idx="71">
                  <c:v>1.4307769679997699</c:v>
                </c:pt>
                <c:pt idx="72">
                  <c:v>1.4308361210592</c:v>
                </c:pt>
                <c:pt idx="73">
                  <c:v>1.4309608214238101</c:v>
                </c:pt>
                <c:pt idx="74">
                  <c:v>1.43093511142471</c:v>
                </c:pt>
                <c:pt idx="75">
                  <c:v>1.4310286169509101</c:v>
                </c:pt>
                <c:pt idx="76">
                  <c:v>1.4310057497139901</c:v>
                </c:pt>
                <c:pt idx="77">
                  <c:v>1.43105397101537</c:v>
                </c:pt>
                <c:pt idx="78">
                  <c:v>1.4311433552407999</c:v>
                </c:pt>
                <c:pt idx="79">
                  <c:v>1.4312784049938601</c:v>
                </c:pt>
                <c:pt idx="80">
                  <c:v>1.4313190852289699</c:v>
                </c:pt>
                <c:pt idx="81">
                  <c:v>1.4313467602115699</c:v>
                </c:pt>
                <c:pt idx="82">
                  <c:v>1.43148500381336</c:v>
                </c:pt>
                <c:pt idx="83">
                  <c:v>1.4316115171704999</c:v>
                </c:pt>
                <c:pt idx="84">
                  <c:v>1.43182707199298</c:v>
                </c:pt>
                <c:pt idx="85">
                  <c:v>1.43185864387476</c:v>
                </c:pt>
                <c:pt idx="86">
                  <c:v>1.4318717791323801</c:v>
                </c:pt>
                <c:pt idx="87">
                  <c:v>1.4319399965353601</c:v>
                </c:pt>
                <c:pt idx="88">
                  <c:v>1.43198076286756</c:v>
                </c:pt>
                <c:pt idx="89">
                  <c:v>1.4320274977951699</c:v>
                </c:pt>
                <c:pt idx="90">
                  <c:v>1.4322035257410399</c:v>
                </c:pt>
                <c:pt idx="91">
                  <c:v>1.4323150066938799</c:v>
                </c:pt>
                <c:pt idx="92">
                  <c:v>1.43231633140887</c:v>
                </c:pt>
                <c:pt idx="93">
                  <c:v>1.4323959829336199</c:v>
                </c:pt>
                <c:pt idx="94">
                  <c:v>1.4325117439191699</c:v>
                </c:pt>
                <c:pt idx="95">
                  <c:v>1.4326311357589001</c:v>
                </c:pt>
                <c:pt idx="96">
                  <c:v>1.43285000603591</c:v>
                </c:pt>
                <c:pt idx="97">
                  <c:v>1.43303404869988</c:v>
                </c:pt>
                <c:pt idx="98">
                  <c:v>1.43320336795583</c:v>
                </c:pt>
                <c:pt idx="99">
                  <c:v>1.4333328569174799</c:v>
                </c:pt>
                <c:pt idx="100">
                  <c:v>1.43351437283075</c:v>
                </c:pt>
                <c:pt idx="101">
                  <c:v>1.4336422309880601</c:v>
                </c:pt>
                <c:pt idx="102">
                  <c:v>1.43379983603693</c:v>
                </c:pt>
                <c:pt idx="103">
                  <c:v>1.43399640992196</c:v>
                </c:pt>
                <c:pt idx="104">
                  <c:v>1.4341199494815999</c:v>
                </c:pt>
                <c:pt idx="105">
                  <c:v>1.43417494666722</c:v>
                </c:pt>
                <c:pt idx="106">
                  <c:v>1.43420829850641</c:v>
                </c:pt>
                <c:pt idx="107">
                  <c:v>1.43424393397829</c:v>
                </c:pt>
                <c:pt idx="108">
                  <c:v>1.4343306601527299</c:v>
                </c:pt>
                <c:pt idx="109">
                  <c:v>1.43439749764587</c:v>
                </c:pt>
                <c:pt idx="110">
                  <c:v>1.4344390726934</c:v>
                </c:pt>
                <c:pt idx="111">
                  <c:v>1.43444088727539</c:v>
                </c:pt>
                <c:pt idx="112">
                  <c:v>1.4346180329784901</c:v>
                </c:pt>
                <c:pt idx="113">
                  <c:v>1.43470392344728</c:v>
                </c:pt>
                <c:pt idx="114">
                  <c:v>1.4347532080836101</c:v>
                </c:pt>
                <c:pt idx="115">
                  <c:v>1.43475529852175</c:v>
                </c:pt>
                <c:pt idx="116">
                  <c:v>1.43476911972929</c:v>
                </c:pt>
                <c:pt idx="117">
                  <c:v>1.43475784518867</c:v>
                </c:pt>
                <c:pt idx="118">
                  <c:v>1.43475571772154</c:v>
                </c:pt>
                <c:pt idx="119">
                  <c:v>1.43476020780682</c:v>
                </c:pt>
                <c:pt idx="120">
                  <c:v>1.4348307377820499</c:v>
                </c:pt>
                <c:pt idx="121">
                  <c:v>1.4348753452438801</c:v>
                </c:pt>
                <c:pt idx="122">
                  <c:v>1.4348000662190801</c:v>
                </c:pt>
                <c:pt idx="123">
                  <c:v>1.4348031289243699</c:v>
                </c:pt>
                <c:pt idx="124">
                  <c:v>1.4348449592758299</c:v>
                </c:pt>
                <c:pt idx="125">
                  <c:v>1.4349672019692401</c:v>
                </c:pt>
                <c:pt idx="126">
                  <c:v>1.43524315038533</c:v>
                </c:pt>
                <c:pt idx="127">
                  <c:v>1.43543218246696</c:v>
                </c:pt>
                <c:pt idx="128">
                  <c:v>1.4356173028960999</c:v>
                </c:pt>
                <c:pt idx="129">
                  <c:v>1.43570963328649</c:v>
                </c:pt>
                <c:pt idx="130">
                  <c:v>1.4357744389079199</c:v>
                </c:pt>
                <c:pt idx="131">
                  <c:v>1.43590300465756</c:v>
                </c:pt>
                <c:pt idx="132">
                  <c:v>1.43599710313484</c:v>
                </c:pt>
                <c:pt idx="133">
                  <c:v>1.43608020352386</c:v>
                </c:pt>
                <c:pt idx="134">
                  <c:v>1.43620659137887</c:v>
                </c:pt>
                <c:pt idx="135">
                  <c:v>1.4363490393441301</c:v>
                </c:pt>
                <c:pt idx="136">
                  <c:v>1.43654279214034</c:v>
                </c:pt>
                <c:pt idx="137">
                  <c:v>1.4366997816006</c:v>
                </c:pt>
                <c:pt idx="138">
                  <c:v>1.43686195178232</c:v>
                </c:pt>
                <c:pt idx="139">
                  <c:v>1.4369730948271999</c:v>
                </c:pt>
                <c:pt idx="140">
                  <c:v>1.4371030691414</c:v>
                </c:pt>
                <c:pt idx="141">
                  <c:v>1.4373351679756601</c:v>
                </c:pt>
                <c:pt idx="142">
                  <c:v>1.4375415856645899</c:v>
                </c:pt>
                <c:pt idx="143">
                  <c:v>1.43769789387974</c:v>
                </c:pt>
                <c:pt idx="144">
                  <c:v>1.4377932403551399</c:v>
                </c:pt>
                <c:pt idx="145">
                  <c:v>1.4379314140980299</c:v>
                </c:pt>
                <c:pt idx="146">
                  <c:v>1.4379853583976301</c:v>
                </c:pt>
                <c:pt idx="147">
                  <c:v>1.4380166567575099</c:v>
                </c:pt>
                <c:pt idx="148">
                  <c:v>1.43798176053002</c:v>
                </c:pt>
                <c:pt idx="149">
                  <c:v>1.43805562842631</c:v>
                </c:pt>
                <c:pt idx="150">
                  <c:v>1.43811457682201</c:v>
                </c:pt>
                <c:pt idx="151">
                  <c:v>1.4381745163605399</c:v>
                </c:pt>
                <c:pt idx="152">
                  <c:v>1.43824028867931</c:v>
                </c:pt>
                <c:pt idx="153">
                  <c:v>1.4383701328209999</c:v>
                </c:pt>
                <c:pt idx="154">
                  <c:v>1.4383874780002399</c:v>
                </c:pt>
                <c:pt idx="155">
                  <c:v>1.43838072081704</c:v>
                </c:pt>
                <c:pt idx="156">
                  <c:v>1.4383322230295399</c:v>
                </c:pt>
                <c:pt idx="157">
                  <c:v>1.43835822622702</c:v>
                </c:pt>
                <c:pt idx="158">
                  <c:v>1.4382898139715301</c:v>
                </c:pt>
                <c:pt idx="159">
                  <c:v>1.4382850860499401</c:v>
                </c:pt>
                <c:pt idx="160">
                  <c:v>1.4382344348606999</c:v>
                </c:pt>
                <c:pt idx="161">
                  <c:v>1.438182332052</c:v>
                </c:pt>
                <c:pt idx="162">
                  <c:v>1.43820558323254</c:v>
                </c:pt>
                <c:pt idx="163">
                  <c:v>1.43810370605709</c:v>
                </c:pt>
                <c:pt idx="164">
                  <c:v>1.43809278821869</c:v>
                </c:pt>
                <c:pt idx="165">
                  <c:v>1.4379660308607101</c:v>
                </c:pt>
                <c:pt idx="166">
                  <c:v>1.43787274321473</c:v>
                </c:pt>
                <c:pt idx="167">
                  <c:v>1.4378737535672099</c:v>
                </c:pt>
                <c:pt idx="168">
                  <c:v>1.4379420048026601</c:v>
                </c:pt>
                <c:pt idx="169">
                  <c:v>1.43794715543396</c:v>
                </c:pt>
                <c:pt idx="170">
                  <c:v>1.4380197122112099</c:v>
                </c:pt>
                <c:pt idx="171">
                  <c:v>1.4381308703011999</c:v>
                </c:pt>
                <c:pt idx="172">
                  <c:v>1.4381381192476901</c:v>
                </c:pt>
                <c:pt idx="173">
                  <c:v>1.4381336822926301</c:v>
                </c:pt>
                <c:pt idx="174">
                  <c:v>1.43828558418195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CF-4A47-8F46-4FCFF8A37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VWOB* x 10 dma / EMB*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4.9122517450385795E-4</c:v>
                </c:pt>
                <c:pt idx="11">
                  <c:v>8.4929720057384101E-4</c:v>
                </c:pt>
                <c:pt idx="12">
                  <c:v>-5.8844615637519302E-4</c:v>
                </c:pt>
                <c:pt idx="13">
                  <c:v>-4.8063004036398301E-5</c:v>
                </c:pt>
                <c:pt idx="14">
                  <c:v>-2.7928399777874398E-4</c:v>
                </c:pt>
                <c:pt idx="15">
                  <c:v>-4.7483385964414198E-4</c:v>
                </c:pt>
                <c:pt idx="16">
                  <c:v>-5.3111805433210004E-4</c:v>
                </c:pt>
                <c:pt idx="17">
                  <c:v>-3.2436627415734101E-4</c:v>
                </c:pt>
                <c:pt idx="18">
                  <c:v>5.3274642172497098E-4</c:v>
                </c:pt>
                <c:pt idx="19">
                  <c:v>3.8154379549399297E-4</c:v>
                </c:pt>
                <c:pt idx="20">
                  <c:v>1.45170238516172E-4</c:v>
                </c:pt>
                <c:pt idx="21">
                  <c:v>-1.7755465998100999E-4</c:v>
                </c:pt>
                <c:pt idx="22">
                  <c:v>-1.22440534624995E-3</c:v>
                </c:pt>
                <c:pt idx="23">
                  <c:v>7.7358326941487406E-5</c:v>
                </c:pt>
                <c:pt idx="24">
                  <c:v>-1.00831434828429E-3</c:v>
                </c:pt>
                <c:pt idx="25">
                  <c:v>-6.2588402253424503E-4</c:v>
                </c:pt>
                <c:pt idx="26">
                  <c:v>-6.5996253066255298E-5</c:v>
                </c:pt>
                <c:pt idx="27">
                  <c:v>-1.7811273051920401E-4</c:v>
                </c:pt>
                <c:pt idx="28">
                  <c:v>2.9705736022110602E-4</c:v>
                </c:pt>
                <c:pt idx="29">
                  <c:v>7.3457743225427896E-5</c:v>
                </c:pt>
                <c:pt idx="30">
                  <c:v>4.3660702850669699E-4</c:v>
                </c:pt>
                <c:pt idx="31">
                  <c:v>4.8979158666516203E-4</c:v>
                </c:pt>
                <c:pt idx="32">
                  <c:v>4.3234621386685501E-4</c:v>
                </c:pt>
                <c:pt idx="33">
                  <c:v>-1.3023879822523401E-4</c:v>
                </c:pt>
                <c:pt idx="34">
                  <c:v>3.1712028426948501E-4</c:v>
                </c:pt>
                <c:pt idx="35">
                  <c:v>-4.9346947637838299E-4</c:v>
                </c:pt>
                <c:pt idx="36">
                  <c:v>-4.0482170543746802E-4</c:v>
                </c:pt>
                <c:pt idx="37">
                  <c:v>-5.6893025786221098E-5</c:v>
                </c:pt>
                <c:pt idx="38">
                  <c:v>-2.8990274162927397E-4</c:v>
                </c:pt>
                <c:pt idx="39">
                  <c:v>-1.3264250152019701E-3</c:v>
                </c:pt>
                <c:pt idx="40">
                  <c:v>-6.40271225772458E-4</c:v>
                </c:pt>
                <c:pt idx="41">
                  <c:v>-1.46741744373571E-3</c:v>
                </c:pt>
                <c:pt idx="42">
                  <c:v>5.3745871638944905E-4</c:v>
                </c:pt>
                <c:pt idx="43">
                  <c:v>4.2487928775844302E-4</c:v>
                </c:pt>
                <c:pt idx="44">
                  <c:v>3.1047920230079299E-4</c:v>
                </c:pt>
                <c:pt idx="45">
                  <c:v>6.0150080427042298E-4</c:v>
                </c:pt>
                <c:pt idx="46">
                  <c:v>1.5388025733056501E-3</c:v>
                </c:pt>
                <c:pt idx="47">
                  <c:v>1.8521717797021001E-3</c:v>
                </c:pt>
                <c:pt idx="48">
                  <c:v>2.33277256888341E-4</c:v>
                </c:pt>
                <c:pt idx="49">
                  <c:v>8.119531939834E-4</c:v>
                </c:pt>
                <c:pt idx="50">
                  <c:v>8.2888091449959903E-4</c:v>
                </c:pt>
                <c:pt idx="51">
                  <c:v>3.36484355495241E-4</c:v>
                </c:pt>
                <c:pt idx="52">
                  <c:v>-7.7993207812039297E-4</c:v>
                </c:pt>
                <c:pt idx="53">
                  <c:v>7.12612796581009E-4</c:v>
                </c:pt>
                <c:pt idx="54">
                  <c:v>-1.4833297063047901E-3</c:v>
                </c:pt>
                <c:pt idx="55">
                  <c:v>-2.6155174071854499E-4</c:v>
                </c:pt>
                <c:pt idx="56">
                  <c:v>-6.5335530109321101E-4</c:v>
                </c:pt>
                <c:pt idx="57">
                  <c:v>-5.4620662616806101E-4</c:v>
                </c:pt>
                <c:pt idx="58">
                  <c:v>3.4836647688546801E-5</c:v>
                </c:pt>
                <c:pt idx="59">
                  <c:v>2.9090099488147801E-4</c:v>
                </c:pt>
                <c:pt idx="60">
                  <c:v>9.1544514219621002E-5</c:v>
                </c:pt>
                <c:pt idx="61">
                  <c:v>-3.1465913464673702E-4</c:v>
                </c:pt>
                <c:pt idx="62">
                  <c:v>4.0522827620352299E-4</c:v>
                </c:pt>
                <c:pt idx="63">
                  <c:v>6.4229323009216402E-4</c:v>
                </c:pt>
                <c:pt idx="64">
                  <c:v>1.5015860262618599E-3</c:v>
                </c:pt>
                <c:pt idx="65">
                  <c:v>-1.94344450220864E-3</c:v>
                </c:pt>
                <c:pt idx="66">
                  <c:v>-1.46145821986021E-3</c:v>
                </c:pt>
                <c:pt idx="67">
                  <c:v>-1.0981412332686899E-3</c:v>
                </c:pt>
                <c:pt idx="68">
                  <c:v>-1.3162259853517001E-3</c:v>
                </c:pt>
                <c:pt idx="69">
                  <c:v>-1.4612214770250401E-3</c:v>
                </c:pt>
                <c:pt idx="70">
                  <c:v>2.5485420163482901E-5</c:v>
                </c:pt>
                <c:pt idx="71">
                  <c:v>-6.4497736061905299E-4</c:v>
                </c:pt>
                <c:pt idx="72">
                  <c:v>-4.5755112953854601E-4</c:v>
                </c:pt>
                <c:pt idx="73">
                  <c:v>2.1496186247621E-4</c:v>
                </c:pt>
                <c:pt idx="74">
                  <c:v>3.6883685083751599E-4</c:v>
                </c:pt>
                <c:pt idx="75">
                  <c:v>6.3116321981233596E-5</c:v>
                </c:pt>
                <c:pt idx="76">
                  <c:v>1.24664686831623E-3</c:v>
                </c:pt>
                <c:pt idx="77">
                  <c:v>7.7895780425946698E-5</c:v>
                </c:pt>
                <c:pt idx="78">
                  <c:v>-1.14827957318754E-4</c:v>
                </c:pt>
                <c:pt idx="79">
                  <c:v>-5.1258015856961697E-4</c:v>
                </c:pt>
                <c:pt idx="80">
                  <c:v>5.5095270428214395E-4</c:v>
                </c:pt>
                <c:pt idx="81">
                  <c:v>8.7548532750641802E-5</c:v>
                </c:pt>
                <c:pt idx="82">
                  <c:v>-3.7535768641693999E-4</c:v>
                </c:pt>
                <c:pt idx="83">
                  <c:v>1.0686699422046501E-4</c:v>
                </c:pt>
                <c:pt idx="84">
                  <c:v>-2.9954937463352697E-4</c:v>
                </c:pt>
                <c:pt idx="85">
                  <c:v>-9.0306009846614801E-4</c:v>
                </c:pt>
                <c:pt idx="86">
                  <c:v>-2.7585738097776898E-4</c:v>
                </c:pt>
                <c:pt idx="87">
                  <c:v>-6.5616475294414105E-4</c:v>
                </c:pt>
                <c:pt idx="88">
                  <c:v>-4.9208765644474101E-4</c:v>
                </c:pt>
                <c:pt idx="89">
                  <c:v>-8.0874364793605497E-4</c:v>
                </c:pt>
                <c:pt idx="90">
                  <c:v>-1.2567583067452899E-3</c:v>
                </c:pt>
                <c:pt idx="91">
                  <c:v>-8.9318906887320604E-4</c:v>
                </c:pt>
                <c:pt idx="92">
                  <c:v>8.9359862020896102E-4</c:v>
                </c:pt>
                <c:pt idx="93">
                  <c:v>2.97319212934569E-4</c:v>
                </c:pt>
                <c:pt idx="94">
                  <c:v>-1.12087420190889E-4</c:v>
                </c:pt>
                <c:pt idx="95">
                  <c:v>-6.1757109168384403E-4</c:v>
                </c:pt>
                <c:pt idx="96">
                  <c:v>-6.9545341923852699E-4</c:v>
                </c:pt>
                <c:pt idx="97">
                  <c:v>-1.10003744255033E-3</c:v>
                </c:pt>
                <c:pt idx="98">
                  <c:v>-9.4674211979707296E-4</c:v>
                </c:pt>
                <c:pt idx="99">
                  <c:v>-6.3015205692623004E-4</c:v>
                </c:pt>
                <c:pt idx="100">
                  <c:v>-1.8248877196714599E-4</c:v>
                </c:pt>
                <c:pt idx="101">
                  <c:v>1.0175565699213E-4</c:v>
                </c:pt>
                <c:pt idx="102">
                  <c:v>-6.8445557530955503E-4</c:v>
                </c:pt>
                <c:pt idx="103">
                  <c:v>-5.3865560151498699E-4</c:v>
                </c:pt>
                <c:pt idx="104">
                  <c:v>2.29261020480922E-4</c:v>
                </c:pt>
                <c:pt idx="105">
                  <c:v>5.8174117938026302E-4</c:v>
                </c:pt>
                <c:pt idx="106">
                  <c:v>1.4202822119354201E-3</c:v>
                </c:pt>
                <c:pt idx="107">
                  <c:v>7.6112022655158902E-4</c:v>
                </c:pt>
                <c:pt idx="108">
                  <c:v>7.9380791441733394E-6</c:v>
                </c:pt>
                <c:pt idx="109">
                  <c:v>-1.5095213425824099E-4</c:v>
                </c:pt>
                <c:pt idx="110">
                  <c:v>-3.7120468454266499E-4</c:v>
                </c:pt>
                <c:pt idx="111">
                  <c:v>3.3368360025825303E-4</c:v>
                </c:pt>
                <c:pt idx="112">
                  <c:v>-4.7695388433663198E-4</c:v>
                </c:pt>
                <c:pt idx="113">
                  <c:v>2.0150489284146301E-4</c:v>
                </c:pt>
                <c:pt idx="114">
                  <c:v>1.4597228217014699E-4</c:v>
                </c:pt>
                <c:pt idx="115">
                  <c:v>1.9023231182239899E-4</c:v>
                </c:pt>
                <c:pt idx="116">
                  <c:v>-1.05255635914222E-4</c:v>
                </c:pt>
                <c:pt idx="117">
                  <c:v>-1.8179171836835899E-4</c:v>
                </c:pt>
                <c:pt idx="118">
                  <c:v>-2.1141126884638301E-4</c:v>
                </c:pt>
                <c:pt idx="119">
                  <c:v>-9.7368405282790706E-5</c:v>
                </c:pt>
                <c:pt idx="120">
                  <c:v>-6.2734053086213495E-4</c:v>
                </c:pt>
                <c:pt idx="121">
                  <c:v>4.3789289921997397E-5</c:v>
                </c:pt>
                <c:pt idx="122">
                  <c:v>4.4511608110949402E-4</c:v>
                </c:pt>
                <c:pt idx="123">
                  <c:v>-2.5176907231091701E-4</c:v>
                </c:pt>
                <c:pt idx="124">
                  <c:v>-1.4421117340515199E-4</c:v>
                </c:pt>
                <c:pt idx="125">
                  <c:v>-8.9485546746008297E-4</c:v>
                </c:pt>
                <c:pt idx="126">
                  <c:v>-1.9852451795047601E-3</c:v>
                </c:pt>
                <c:pt idx="127">
                  <c:v>-1.1103434284028501E-3</c:v>
                </c:pt>
                <c:pt idx="128">
                  <c:v>-1.53069164997693E-3</c:v>
                </c:pt>
                <c:pt idx="129">
                  <c:v>-1.91078566809177E-4</c:v>
                </c:pt>
                <c:pt idx="130">
                  <c:v>1.2321489368775901E-4</c:v>
                </c:pt>
                <c:pt idx="131">
                  <c:v>-5.3608475847416502E-5</c:v>
                </c:pt>
                <c:pt idx="132">
                  <c:v>-2.7911803780763801E-4</c:v>
                </c:pt>
                <c:pt idx="133">
                  <c:v>7.2292156638503703E-4</c:v>
                </c:pt>
                <c:pt idx="134">
                  <c:v>1.80337454071822E-4</c:v>
                </c:pt>
                <c:pt idx="135">
                  <c:v>1.34444210330601E-4</c:v>
                </c:pt>
                <c:pt idx="136">
                  <c:v>-8.3787208864248401E-4</c:v>
                </c:pt>
                <c:pt idx="137">
                  <c:v>-5.2688759726141098E-4</c:v>
                </c:pt>
                <c:pt idx="138">
                  <c:v>-6.4890728803710502E-4</c:v>
                </c:pt>
                <c:pt idx="139">
                  <c:v>1.12382219370734E-4</c:v>
                </c:pt>
                <c:pt idx="140">
                  <c:v>-6.6074569206920101E-4</c:v>
                </c:pt>
                <c:pt idx="141">
                  <c:v>-1.28791975004537E-3</c:v>
                </c:pt>
                <c:pt idx="142">
                  <c:v>-3.9487712313622297E-4</c:v>
                </c:pt>
                <c:pt idx="143">
                  <c:v>-7.7863985544892602E-4</c:v>
                </c:pt>
                <c:pt idx="144">
                  <c:v>3.09451315253985E-4</c:v>
                </c:pt>
                <c:pt idx="145">
                  <c:v>-1.52336669584566E-4</c:v>
                </c:pt>
                <c:pt idx="146">
                  <c:v>-1.7835959221801801E-4</c:v>
                </c:pt>
                <c:pt idx="147">
                  <c:v>7.7004702246960598E-4</c:v>
                </c:pt>
                <c:pt idx="148">
                  <c:v>1.0528013639765901E-3</c:v>
                </c:pt>
                <c:pt idx="149">
                  <c:v>6.1473955812868595E-4</c:v>
                </c:pt>
                <c:pt idx="150">
                  <c:v>1.0433418482767699E-3</c:v>
                </c:pt>
                <c:pt idx="151">
                  <c:v>7.3257766301090897E-4</c:v>
                </c:pt>
                <c:pt idx="152">
                  <c:v>1.6530770331026301E-4</c:v>
                </c:pt>
                <c:pt idx="153">
                  <c:v>5.7160485437308801E-5</c:v>
                </c:pt>
                <c:pt idx="154">
                  <c:v>9.2319473629384101E-4</c:v>
                </c:pt>
                <c:pt idx="155">
                  <c:v>1.0241809031191101E-3</c:v>
                </c:pt>
                <c:pt idx="156">
                  <c:v>4.28667493759713E-4</c:v>
                </c:pt>
                <c:pt idx="157">
                  <c:v>-4.2932152362165599E-4</c:v>
                </c:pt>
                <c:pt idx="158">
                  <c:v>7.1337820863720503E-4</c:v>
                </c:pt>
                <c:pt idx="159">
                  <c:v>5.7436723603244001E-4</c:v>
                </c:pt>
                <c:pt idx="160">
                  <c:v>3.2372919726556898E-4</c:v>
                </c:pt>
                <c:pt idx="161">
                  <c:v>-4.4118449059558001E-4</c:v>
                </c:pt>
                <c:pt idx="162">
                  <c:v>-7.2937640642466704E-4</c:v>
                </c:pt>
                <c:pt idx="163">
                  <c:v>5.3310635799473205E-4</c:v>
                </c:pt>
                <c:pt idx="164">
                  <c:v>8.8469597559044004E-5</c:v>
                </c:pt>
                <c:pt idx="165">
                  <c:v>3.0288766139952998E-4</c:v>
                </c:pt>
                <c:pt idx="166">
                  <c:v>2.6783254120506299E-4</c:v>
                </c:pt>
                <c:pt idx="167">
                  <c:v>-7.7393140035781496E-5</c:v>
                </c:pt>
                <c:pt idx="168">
                  <c:v>-7.1745744109891695E-4</c:v>
                </c:pt>
                <c:pt idx="169">
                  <c:v>-8.0112374782360495E-5</c:v>
                </c:pt>
                <c:pt idx="170">
                  <c:v>-5.1774993543051697E-4</c:v>
                </c:pt>
                <c:pt idx="171">
                  <c:v>-1.13266502201387E-3</c:v>
                </c:pt>
                <c:pt idx="172">
                  <c:v>-1.6565614290207001E-5</c:v>
                </c:pt>
                <c:pt idx="173">
                  <c:v>5.8927126022471897E-5</c:v>
                </c:pt>
                <c:pt idx="174">
                  <c:v>-1.0164837691312499E-3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5-4F33-B32B-8794F5D09E00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VWOB* x 20 dma / EMB*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1.5681789004386E-4</c:v>
                </c:pt>
                <c:pt idx="21">
                  <c:v>-1.9912487609585901E-4</c:v>
                </c:pt>
                <c:pt idx="22">
                  <c:v>-1.35468716755272E-3</c:v>
                </c:pt>
                <c:pt idx="23">
                  <c:v>-7.9242188928357006E-5</c:v>
                </c:pt>
                <c:pt idx="24">
                  <c:v>-1.15640835911042E-3</c:v>
                </c:pt>
                <c:pt idx="25">
                  <c:v>-7.7537939873842496E-4</c:v>
                </c:pt>
                <c:pt idx="26">
                  <c:v>-2.51365091757308E-4</c:v>
                </c:pt>
                <c:pt idx="27">
                  <c:v>-3.5878739589572203E-4</c:v>
                </c:pt>
                <c:pt idx="28">
                  <c:v>1.42771095581024E-4</c:v>
                </c:pt>
                <c:pt idx="29">
                  <c:v>-1.3231168660801E-4</c:v>
                </c:pt>
                <c:pt idx="30">
                  <c:v>1.6978386155653901E-4</c:v>
                </c:pt>
                <c:pt idx="31">
                  <c:v>2.26992998793302E-4</c:v>
                </c:pt>
                <c:pt idx="32">
                  <c:v>2.30092286138027E-4</c:v>
                </c:pt>
                <c:pt idx="33">
                  <c:v>-2.25022708562312E-4</c:v>
                </c:pt>
                <c:pt idx="34">
                  <c:v>2.1186899116121101E-4</c:v>
                </c:pt>
                <c:pt idx="35">
                  <c:v>-4.9167894318527202E-4</c:v>
                </c:pt>
                <c:pt idx="36">
                  <c:v>-3.73715365335698E-4</c:v>
                </c:pt>
                <c:pt idx="37">
                  <c:v>-4.4339316864484402E-5</c:v>
                </c:pt>
                <c:pt idx="38">
                  <c:v>-2.5927422406711099E-4</c:v>
                </c:pt>
                <c:pt idx="39">
                  <c:v>-1.29488364535896E-3</c:v>
                </c:pt>
                <c:pt idx="40">
                  <c:v>-6.3964345025304401E-4</c:v>
                </c:pt>
                <c:pt idx="41">
                  <c:v>-1.5084654449465801E-3</c:v>
                </c:pt>
                <c:pt idx="42">
                  <c:v>3.8733944449237802E-4</c:v>
                </c:pt>
                <c:pt idx="43">
                  <c:v>2.0239616385030499E-4</c:v>
                </c:pt>
                <c:pt idx="44">
                  <c:v>1.1335081338538399E-4</c:v>
                </c:pt>
                <c:pt idx="45">
                  <c:v>3.2859147664412899E-4</c:v>
                </c:pt>
                <c:pt idx="46">
                  <c:v>1.2865298138424099E-3</c:v>
                </c:pt>
                <c:pt idx="47">
                  <c:v>1.6856122524959399E-3</c:v>
                </c:pt>
                <c:pt idx="48">
                  <c:v>1.3810932544125701E-4</c:v>
                </c:pt>
                <c:pt idx="49">
                  <c:v>7.5970823739816297E-4</c:v>
                </c:pt>
                <c:pt idx="50">
                  <c:v>9.4524643382869699E-4</c:v>
                </c:pt>
                <c:pt idx="51">
                  <c:v>5.9176204680415399E-4</c:v>
                </c:pt>
                <c:pt idx="52">
                  <c:v>-3.0674639312457E-4</c:v>
                </c:pt>
                <c:pt idx="53">
                  <c:v>1.17697263551529E-3</c:v>
                </c:pt>
                <c:pt idx="54">
                  <c:v>-9.6363654309282703E-4</c:v>
                </c:pt>
                <c:pt idx="55">
                  <c:v>2.40393601257033E-4</c:v>
                </c:pt>
                <c:pt idx="56">
                  <c:v>-1.7183393153537101E-4</c:v>
                </c:pt>
                <c:pt idx="57">
                  <c:v>-1.98103518614842E-4</c:v>
                </c:pt>
                <c:pt idx="58">
                  <c:v>2.1909638121648999E-4</c:v>
                </c:pt>
                <c:pt idx="59">
                  <c:v>4.67021088497708E-4</c:v>
                </c:pt>
                <c:pt idx="60">
                  <c:v>1.5748687175478701E-4</c:v>
                </c:pt>
                <c:pt idx="61">
                  <c:v>-3.6408029389872401E-4</c:v>
                </c:pt>
                <c:pt idx="62">
                  <c:v>2.02502649708342E-4</c:v>
                </c:pt>
                <c:pt idx="63">
                  <c:v>4.9711476217144499E-4</c:v>
                </c:pt>
                <c:pt idx="64">
                  <c:v>1.2775931560443301E-3</c:v>
                </c:pt>
                <c:pt idx="65">
                  <c:v>-2.0028552032138199E-3</c:v>
                </c:pt>
                <c:pt idx="66">
                  <c:v>-1.6180118662030101E-3</c:v>
                </c:pt>
                <c:pt idx="67">
                  <c:v>-1.24933887252637E-3</c:v>
                </c:pt>
                <c:pt idx="68">
                  <c:v>-1.4250921271257099E-3</c:v>
                </c:pt>
                <c:pt idx="69">
                  <c:v>-1.65705302642327E-3</c:v>
                </c:pt>
                <c:pt idx="70">
                  <c:v>-2.6910444987083599E-4</c:v>
                </c:pt>
                <c:pt idx="71">
                  <c:v>-9.4206018035157904E-4</c:v>
                </c:pt>
                <c:pt idx="72">
                  <c:v>-7.63370487167603E-4</c:v>
                </c:pt>
                <c:pt idx="73">
                  <c:v>-2.0350054055938001E-4</c:v>
                </c:pt>
                <c:pt idx="74">
                  <c:v>-9.47499587169412E-5</c:v>
                </c:pt>
                <c:pt idx="75">
                  <c:v>-6.30020480154296E-4</c:v>
                </c:pt>
                <c:pt idx="76">
                  <c:v>6.7455409031656603E-4</c:v>
                </c:pt>
                <c:pt idx="77">
                  <c:v>-3.6000631464153901E-4</c:v>
                </c:pt>
                <c:pt idx="78">
                  <c:v>-4.9500583884178799E-4</c:v>
                </c:pt>
                <c:pt idx="79">
                  <c:v>-7.9226253533671795E-4</c:v>
                </c:pt>
                <c:pt idx="80">
                  <c:v>3.97938434205913E-4</c:v>
                </c:pt>
                <c:pt idx="81">
                  <c:v>-2.1751784376048798E-5</c:v>
                </c:pt>
                <c:pt idx="82">
                  <c:v>-4.1272768166775799E-4</c:v>
                </c:pt>
                <c:pt idx="83">
                  <c:v>1.4356925843767401E-4</c:v>
                </c:pt>
                <c:pt idx="84">
                  <c:v>-2.0141328991462299E-4</c:v>
                </c:pt>
                <c:pt idx="85">
                  <c:v>-7.2566789034208905E-4</c:v>
                </c:pt>
                <c:pt idx="86">
                  <c:v>-1.60061638498602E-4</c:v>
                </c:pt>
                <c:pt idx="87">
                  <c:v>-6.8304303506517303E-4</c:v>
                </c:pt>
                <c:pt idx="88">
                  <c:v>-5.7336602421261397E-4</c:v>
                </c:pt>
                <c:pt idx="89">
                  <c:v>-9.3906600963828497E-4</c:v>
                </c:pt>
                <c:pt idx="90">
                  <c:v>-1.4344026952358201E-3</c:v>
                </c:pt>
                <c:pt idx="91">
                  <c:v>-1.1899300890356201E-3</c:v>
                </c:pt>
                <c:pt idx="92">
                  <c:v>4.9247581705119496E-4</c:v>
                </c:pt>
                <c:pt idx="93">
                  <c:v>-8.0872642992907596E-5</c:v>
                </c:pt>
                <c:pt idx="94">
                  <c:v>-5.1682102158368503E-4</c:v>
                </c:pt>
                <c:pt idx="95">
                  <c:v>-1.02979580479951E-3</c:v>
                </c:pt>
                <c:pt idx="96">
                  <c:v>-1.10405629128629E-3</c:v>
                </c:pt>
                <c:pt idx="97">
                  <c:v>-1.50597248318293E-3</c:v>
                </c:pt>
                <c:pt idx="98">
                  <c:v>-1.3760887953465401E-3</c:v>
                </c:pt>
                <c:pt idx="99">
                  <c:v>-1.0981762938830999E-3</c:v>
                </c:pt>
                <c:pt idx="100">
                  <c:v>-6.6054489530372297E-4</c:v>
                </c:pt>
                <c:pt idx="101">
                  <c:v>-2.6229176581139699E-4</c:v>
                </c:pt>
                <c:pt idx="102">
                  <c:v>-9.5647827027259096E-4</c:v>
                </c:pt>
                <c:pt idx="103">
                  <c:v>-9.4000485834681803E-4</c:v>
                </c:pt>
                <c:pt idx="104">
                  <c:v>-2.2569078411819899E-4</c:v>
                </c:pt>
                <c:pt idx="105">
                  <c:v>1.29466757518976E-4</c:v>
                </c:pt>
                <c:pt idx="106">
                  <c:v>1.0096767361415201E-3</c:v>
                </c:pt>
                <c:pt idx="107">
                  <c:v>4.76992146141284E-4</c:v>
                </c:pt>
                <c:pt idx="108">
                  <c:v>-1.48759202324134E-4</c:v>
                </c:pt>
                <c:pt idx="109">
                  <c:v>-2.0989449864735501E-4</c:v>
                </c:pt>
                <c:pt idx="110">
                  <c:v>-3.7418498873535098E-4</c:v>
                </c:pt>
                <c:pt idx="111">
                  <c:v>3.1506917630428201E-4</c:v>
                </c:pt>
                <c:pt idx="112">
                  <c:v>-4.9917196739084101E-4</c:v>
                </c:pt>
                <c:pt idx="113">
                  <c:v>2.9350616225471598E-4</c:v>
                </c:pt>
                <c:pt idx="114">
                  <c:v>3.66127477293774E-4</c:v>
                </c:pt>
                <c:pt idx="115">
                  <c:v>4.5667102367312397E-4</c:v>
                </c:pt>
                <c:pt idx="116">
                  <c:v>1.5352339103906799E-4</c:v>
                </c:pt>
                <c:pt idx="117">
                  <c:v>-3.8087521558286803E-5</c:v>
                </c:pt>
                <c:pt idx="118">
                  <c:v>-1.65124483096394E-4</c:v>
                </c:pt>
                <c:pt idx="119">
                  <c:v>-8.9496564480135403E-5</c:v>
                </c:pt>
                <c:pt idx="120">
                  <c:v>-6.3407376556973497E-4</c:v>
                </c:pt>
                <c:pt idx="121">
                  <c:v>3.3305908011287498E-5</c:v>
                </c:pt>
                <c:pt idx="122">
                  <c:v>4.0936083013038901E-4</c:v>
                </c:pt>
                <c:pt idx="123">
                  <c:v>-2.5315395887596902E-4</c:v>
                </c:pt>
                <c:pt idx="124">
                  <c:v>-2.1461769952575301E-4</c:v>
                </c:pt>
                <c:pt idx="125">
                  <c:v>-1.00465607516745E-3</c:v>
                </c:pt>
                <c:pt idx="126">
                  <c:v>-2.1673459386572298E-3</c:v>
                </c:pt>
                <c:pt idx="127">
                  <c:v>-1.3543468073436899E-3</c:v>
                </c:pt>
                <c:pt idx="128">
                  <c:v>-1.81276902587353E-3</c:v>
                </c:pt>
                <c:pt idx="129">
                  <c:v>-5.6100984506145301E-4</c:v>
                </c:pt>
                <c:pt idx="130">
                  <c:v>-2.9183983540477098E-4</c:v>
                </c:pt>
                <c:pt idx="131">
                  <c:v>-4.5916617956636498E-4</c:v>
                </c:pt>
                <c:pt idx="132">
                  <c:v>-7.1453707751368504E-4</c:v>
                </c:pt>
                <c:pt idx="133">
                  <c:v>1.6531896238324199E-4</c:v>
                </c:pt>
                <c:pt idx="134">
                  <c:v>-3.61507260610786E-4</c:v>
                </c:pt>
                <c:pt idx="135">
                  <c:v>-4.23792436108052E-4</c:v>
                </c:pt>
                <c:pt idx="136">
                  <c:v>-1.3352677241199699E-3</c:v>
                </c:pt>
                <c:pt idx="137">
                  <c:v>-9.0441644778282103E-4</c:v>
                </c:pt>
                <c:pt idx="138">
                  <c:v>-9.6419427906101196E-4</c:v>
                </c:pt>
                <c:pt idx="139">
                  <c:v>-9.6144959994688798E-5</c:v>
                </c:pt>
                <c:pt idx="140">
                  <c:v>-8.3328625499761897E-4</c:v>
                </c:pt>
                <c:pt idx="141">
                  <c:v>-1.51292005115955E-3</c:v>
                </c:pt>
                <c:pt idx="142">
                  <c:v>-6.58702894463028E-4</c:v>
                </c:pt>
                <c:pt idx="143">
                  <c:v>-9.9493697206240093E-4</c:v>
                </c:pt>
                <c:pt idx="144">
                  <c:v>3.53069416425054E-6</c:v>
                </c:pt>
                <c:pt idx="145">
                  <c:v>-4.4443956913432E-4</c:v>
                </c:pt>
                <c:pt idx="146">
                  <c:v>-5.0961618471012898E-4</c:v>
                </c:pt>
                <c:pt idx="147">
                  <c:v>4.3101374933012698E-4</c:v>
                </c:pt>
                <c:pt idx="148">
                  <c:v>7.5327077157320897E-4</c:v>
                </c:pt>
                <c:pt idx="149">
                  <c:v>3.5773497873450199E-4</c:v>
                </c:pt>
                <c:pt idx="150">
                  <c:v>7.9143130128824998E-4</c:v>
                </c:pt>
                <c:pt idx="151">
                  <c:v>5.9708753768393595E-4</c:v>
                </c:pt>
                <c:pt idx="152">
                  <c:v>2.0155268334984199E-4</c:v>
                </c:pt>
                <c:pt idx="153">
                  <c:v>1.5722459873058201E-4</c:v>
                </c:pt>
                <c:pt idx="154">
                  <c:v>1.17178978935129E-3</c:v>
                </c:pt>
                <c:pt idx="155">
                  <c:v>1.35245235089841E-3</c:v>
                </c:pt>
                <c:pt idx="156">
                  <c:v>8.9217800189681103E-4</c:v>
                </c:pt>
                <c:pt idx="157">
                  <c:v>1.1110662295878801E-4</c:v>
                </c:pt>
                <c:pt idx="158">
                  <c:v>1.2169203834198001E-3</c:v>
                </c:pt>
                <c:pt idx="159">
                  <c:v>1.0561542508258301E-3</c:v>
                </c:pt>
                <c:pt idx="160">
                  <c:v>8.5227075040886105E-4</c:v>
                </c:pt>
                <c:pt idx="161">
                  <c:v>4.4205276540935497E-5</c:v>
                </c:pt>
                <c:pt idx="162">
                  <c:v>-3.4168855859713999E-4</c:v>
                </c:pt>
                <c:pt idx="163">
                  <c:v>8.8316398131035401E-4</c:v>
                </c:pt>
                <c:pt idx="164">
                  <c:v>4.4551081810066499E-4</c:v>
                </c:pt>
                <c:pt idx="165">
                  <c:v>5.9834497864211104E-4</c:v>
                </c:pt>
                <c:pt idx="166">
                  <c:v>4.6509864848080898E-4</c:v>
                </c:pt>
                <c:pt idx="167">
                  <c:v>5.4820036377156597E-5</c:v>
                </c:pt>
                <c:pt idx="168">
                  <c:v>-5.4846665882441598E-4</c:v>
                </c:pt>
                <c:pt idx="169">
                  <c:v>8.5808084371156501E-7</c:v>
                </c:pt>
                <c:pt idx="170">
                  <c:v>-5.0755067757353705E-4</c:v>
                </c:pt>
                <c:pt idx="171">
                  <c:v>-1.1803786622363299E-3</c:v>
                </c:pt>
                <c:pt idx="172">
                  <c:v>-9.3486231654821796E-5</c:v>
                </c:pt>
                <c:pt idx="173">
                  <c:v>1.5938611524652499E-5</c:v>
                </c:pt>
                <c:pt idx="174">
                  <c:v>-1.1462660316234601E-3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5-4F33-B32B-8794F5D09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EMB*/VWOB*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1.43040773636679</c:v>
                </c:pt>
                <c:pt idx="1">
                  <c:v>1.43040773636679</c:v>
                </c:pt>
                <c:pt idx="2">
                  <c:v>1.43040773636679</c:v>
                </c:pt>
                <c:pt idx="3">
                  <c:v>1.43040773636679</c:v>
                </c:pt>
                <c:pt idx="4">
                  <c:v>1.43040773636679</c:v>
                </c:pt>
                <c:pt idx="5">
                  <c:v>1.43040773636679</c:v>
                </c:pt>
                <c:pt idx="6">
                  <c:v>1.43040773636679</c:v>
                </c:pt>
                <c:pt idx="7">
                  <c:v>1.43040773636679</c:v>
                </c:pt>
                <c:pt idx="8">
                  <c:v>1.43040773636679</c:v>
                </c:pt>
                <c:pt idx="9">
                  <c:v>1.43040773636679</c:v>
                </c:pt>
                <c:pt idx="10">
                  <c:v>1.43040773636679</c:v>
                </c:pt>
                <c:pt idx="11">
                  <c:v>1.43040773636679</c:v>
                </c:pt>
                <c:pt idx="12">
                  <c:v>1.43040773636679</c:v>
                </c:pt>
                <c:pt idx="13">
                  <c:v>1.43040773636679</c:v>
                </c:pt>
                <c:pt idx="14">
                  <c:v>1.43040773636679</c:v>
                </c:pt>
                <c:pt idx="15">
                  <c:v>1.43040773636679</c:v>
                </c:pt>
                <c:pt idx="16">
                  <c:v>1.43040773636679</c:v>
                </c:pt>
                <c:pt idx="17">
                  <c:v>1.43040773636679</c:v>
                </c:pt>
                <c:pt idx="18">
                  <c:v>1.43040773636679</c:v>
                </c:pt>
                <c:pt idx="19">
                  <c:v>1.43040773636679</c:v>
                </c:pt>
                <c:pt idx="20">
                  <c:v>1.43040773636679</c:v>
                </c:pt>
                <c:pt idx="21">
                  <c:v>1.43040773636679</c:v>
                </c:pt>
                <c:pt idx="22">
                  <c:v>1.43040773636679</c:v>
                </c:pt>
                <c:pt idx="23">
                  <c:v>1.43040773636679</c:v>
                </c:pt>
                <c:pt idx="24">
                  <c:v>1.43040773636679</c:v>
                </c:pt>
                <c:pt idx="25">
                  <c:v>1.43040773636679</c:v>
                </c:pt>
                <c:pt idx="26">
                  <c:v>1.43040773636679</c:v>
                </c:pt>
                <c:pt idx="27">
                  <c:v>1.43040773636679</c:v>
                </c:pt>
                <c:pt idx="28">
                  <c:v>1.43040773636679</c:v>
                </c:pt>
                <c:pt idx="29">
                  <c:v>1.43040773636679</c:v>
                </c:pt>
                <c:pt idx="30">
                  <c:v>1.43040773636679</c:v>
                </c:pt>
                <c:pt idx="31">
                  <c:v>1.43040773636679</c:v>
                </c:pt>
                <c:pt idx="32">
                  <c:v>1.43040773636679</c:v>
                </c:pt>
                <c:pt idx="33">
                  <c:v>1.43040773636679</c:v>
                </c:pt>
                <c:pt idx="34">
                  <c:v>1.43040773636679</c:v>
                </c:pt>
                <c:pt idx="35">
                  <c:v>1.43040773636679</c:v>
                </c:pt>
                <c:pt idx="36">
                  <c:v>1.43040773636679</c:v>
                </c:pt>
                <c:pt idx="37">
                  <c:v>1.43040773636679</c:v>
                </c:pt>
                <c:pt idx="38">
                  <c:v>1.43040773636679</c:v>
                </c:pt>
                <c:pt idx="39">
                  <c:v>1.43040773636679</c:v>
                </c:pt>
                <c:pt idx="40">
                  <c:v>1.43040773636679</c:v>
                </c:pt>
                <c:pt idx="41">
                  <c:v>1.43040773636679</c:v>
                </c:pt>
                <c:pt idx="42">
                  <c:v>1.43040773636679</c:v>
                </c:pt>
                <c:pt idx="43">
                  <c:v>1.43040773636679</c:v>
                </c:pt>
                <c:pt idx="44">
                  <c:v>1.43040773636679</c:v>
                </c:pt>
                <c:pt idx="45">
                  <c:v>1.43040773636679</c:v>
                </c:pt>
                <c:pt idx="46">
                  <c:v>1.43040773636679</c:v>
                </c:pt>
                <c:pt idx="47">
                  <c:v>1.43040773636679</c:v>
                </c:pt>
                <c:pt idx="48">
                  <c:v>1.43040773636679</c:v>
                </c:pt>
                <c:pt idx="49">
                  <c:v>1.43040773636679</c:v>
                </c:pt>
                <c:pt idx="50">
                  <c:v>1.43040773636679</c:v>
                </c:pt>
                <c:pt idx="51">
                  <c:v>1.43040773636679</c:v>
                </c:pt>
                <c:pt idx="52">
                  <c:v>1.43040773636679</c:v>
                </c:pt>
                <c:pt idx="53">
                  <c:v>1.43040773636679</c:v>
                </c:pt>
                <c:pt idx="54">
                  <c:v>1.43040773636679</c:v>
                </c:pt>
                <c:pt idx="55">
                  <c:v>1.43040773636679</c:v>
                </c:pt>
                <c:pt idx="56">
                  <c:v>1.43040773636679</c:v>
                </c:pt>
                <c:pt idx="57">
                  <c:v>1.43040773636679</c:v>
                </c:pt>
                <c:pt idx="58">
                  <c:v>1.43040773636679</c:v>
                </c:pt>
                <c:pt idx="59">
                  <c:v>1.43040773636679</c:v>
                </c:pt>
                <c:pt idx="60">
                  <c:v>1.43040773636679</c:v>
                </c:pt>
                <c:pt idx="61">
                  <c:v>1.43040773636679</c:v>
                </c:pt>
                <c:pt idx="62">
                  <c:v>1.43040773636679</c:v>
                </c:pt>
                <c:pt idx="63">
                  <c:v>1.43040773636679</c:v>
                </c:pt>
                <c:pt idx="64">
                  <c:v>1.43040773636679</c:v>
                </c:pt>
                <c:pt idx="65">
                  <c:v>1.43040773636679</c:v>
                </c:pt>
                <c:pt idx="66">
                  <c:v>1.43040773636679</c:v>
                </c:pt>
                <c:pt idx="67">
                  <c:v>1.43040773636679</c:v>
                </c:pt>
                <c:pt idx="68">
                  <c:v>1.43040773636679</c:v>
                </c:pt>
                <c:pt idx="69">
                  <c:v>1.43040773636679</c:v>
                </c:pt>
                <c:pt idx="70">
                  <c:v>1.43040773636679</c:v>
                </c:pt>
                <c:pt idx="71">
                  <c:v>1.43040773636679</c:v>
                </c:pt>
                <c:pt idx="72">
                  <c:v>1.43040773636679</c:v>
                </c:pt>
                <c:pt idx="73">
                  <c:v>1.43040773636679</c:v>
                </c:pt>
                <c:pt idx="74">
                  <c:v>1.43040773636679</c:v>
                </c:pt>
                <c:pt idx="75">
                  <c:v>1.43040773636679</c:v>
                </c:pt>
                <c:pt idx="76">
                  <c:v>1.43040773636679</c:v>
                </c:pt>
                <c:pt idx="77">
                  <c:v>1.43040773636679</c:v>
                </c:pt>
                <c:pt idx="78">
                  <c:v>1.43040773636679</c:v>
                </c:pt>
                <c:pt idx="79">
                  <c:v>1.43040773636679</c:v>
                </c:pt>
                <c:pt idx="80">
                  <c:v>1.43040773636679</c:v>
                </c:pt>
                <c:pt idx="81">
                  <c:v>1.43040773636679</c:v>
                </c:pt>
                <c:pt idx="82">
                  <c:v>1.43040773636679</c:v>
                </c:pt>
                <c:pt idx="83">
                  <c:v>1.43040773636679</c:v>
                </c:pt>
                <c:pt idx="84">
                  <c:v>1.43040773636679</c:v>
                </c:pt>
                <c:pt idx="85">
                  <c:v>1.43040773636679</c:v>
                </c:pt>
                <c:pt idx="86">
                  <c:v>1.43040773636679</c:v>
                </c:pt>
                <c:pt idx="87">
                  <c:v>1.43040773636679</c:v>
                </c:pt>
                <c:pt idx="88">
                  <c:v>1.43040773636679</c:v>
                </c:pt>
                <c:pt idx="89">
                  <c:v>1.43040773636679</c:v>
                </c:pt>
                <c:pt idx="90">
                  <c:v>1.43040773636679</c:v>
                </c:pt>
                <c:pt idx="91">
                  <c:v>1.43040773636679</c:v>
                </c:pt>
                <c:pt idx="92">
                  <c:v>1.43040773636679</c:v>
                </c:pt>
                <c:pt idx="93">
                  <c:v>1.43040773636679</c:v>
                </c:pt>
                <c:pt idx="94">
                  <c:v>1.43040773636679</c:v>
                </c:pt>
                <c:pt idx="95">
                  <c:v>1.43040773636679</c:v>
                </c:pt>
                <c:pt idx="96">
                  <c:v>1.43040773636679</c:v>
                </c:pt>
                <c:pt idx="97">
                  <c:v>1.43040773636679</c:v>
                </c:pt>
                <c:pt idx="98">
                  <c:v>1.43040773636679</c:v>
                </c:pt>
                <c:pt idx="99">
                  <c:v>1.43040773636679</c:v>
                </c:pt>
                <c:pt idx="100">
                  <c:v>1.43040773636679</c:v>
                </c:pt>
                <c:pt idx="101">
                  <c:v>1.43040773636679</c:v>
                </c:pt>
                <c:pt idx="102">
                  <c:v>1.43040773636679</c:v>
                </c:pt>
                <c:pt idx="103">
                  <c:v>1.43040773636679</c:v>
                </c:pt>
                <c:pt idx="104">
                  <c:v>1.43040773636679</c:v>
                </c:pt>
                <c:pt idx="105">
                  <c:v>1.43040773636679</c:v>
                </c:pt>
                <c:pt idx="106">
                  <c:v>1.43040773636679</c:v>
                </c:pt>
                <c:pt idx="107">
                  <c:v>1.43040773636679</c:v>
                </c:pt>
                <c:pt idx="108">
                  <c:v>1.43040773636679</c:v>
                </c:pt>
                <c:pt idx="109">
                  <c:v>1.43040773636679</c:v>
                </c:pt>
                <c:pt idx="110">
                  <c:v>1.43040773636679</c:v>
                </c:pt>
                <c:pt idx="111">
                  <c:v>1.43040773636679</c:v>
                </c:pt>
                <c:pt idx="112">
                  <c:v>1.43040773636679</c:v>
                </c:pt>
                <c:pt idx="113">
                  <c:v>1.43040773636679</c:v>
                </c:pt>
                <c:pt idx="114">
                  <c:v>1.43040773636679</c:v>
                </c:pt>
                <c:pt idx="115">
                  <c:v>1.43040773636679</c:v>
                </c:pt>
                <c:pt idx="116">
                  <c:v>1.43040773636679</c:v>
                </c:pt>
                <c:pt idx="117">
                  <c:v>1.43040773636679</c:v>
                </c:pt>
                <c:pt idx="118">
                  <c:v>1.43040773636679</c:v>
                </c:pt>
                <c:pt idx="119">
                  <c:v>1.43040773636679</c:v>
                </c:pt>
                <c:pt idx="120">
                  <c:v>1.43040773636679</c:v>
                </c:pt>
                <c:pt idx="121">
                  <c:v>1.43040773636679</c:v>
                </c:pt>
                <c:pt idx="122">
                  <c:v>1.43040773636679</c:v>
                </c:pt>
                <c:pt idx="123">
                  <c:v>1.43040773636679</c:v>
                </c:pt>
                <c:pt idx="124">
                  <c:v>1.43040773636679</c:v>
                </c:pt>
                <c:pt idx="125">
                  <c:v>1.43040773636679</c:v>
                </c:pt>
                <c:pt idx="126">
                  <c:v>1.43040773636679</c:v>
                </c:pt>
                <c:pt idx="127">
                  <c:v>1.43040773636679</c:v>
                </c:pt>
                <c:pt idx="128">
                  <c:v>1.43040773636679</c:v>
                </c:pt>
                <c:pt idx="129">
                  <c:v>1.43040773636679</c:v>
                </c:pt>
                <c:pt idx="130">
                  <c:v>1.43040773636679</c:v>
                </c:pt>
                <c:pt idx="131">
                  <c:v>1.43040773636679</c:v>
                </c:pt>
                <c:pt idx="132">
                  <c:v>1.43040773636679</c:v>
                </c:pt>
                <c:pt idx="133">
                  <c:v>1.43040773636679</c:v>
                </c:pt>
                <c:pt idx="134">
                  <c:v>1.43040773636679</c:v>
                </c:pt>
                <c:pt idx="135">
                  <c:v>1.43040773636679</c:v>
                </c:pt>
                <c:pt idx="136">
                  <c:v>1.43040773636679</c:v>
                </c:pt>
                <c:pt idx="137">
                  <c:v>1.43040773636679</c:v>
                </c:pt>
                <c:pt idx="138">
                  <c:v>1.43040773636679</c:v>
                </c:pt>
                <c:pt idx="139">
                  <c:v>1.43040773636679</c:v>
                </c:pt>
                <c:pt idx="140">
                  <c:v>1.43040773636679</c:v>
                </c:pt>
                <c:pt idx="141">
                  <c:v>1.43040773636679</c:v>
                </c:pt>
                <c:pt idx="142">
                  <c:v>1.43040773636679</c:v>
                </c:pt>
                <c:pt idx="143">
                  <c:v>1.43040773636679</c:v>
                </c:pt>
                <c:pt idx="144">
                  <c:v>1.43040773636679</c:v>
                </c:pt>
                <c:pt idx="145">
                  <c:v>1.43040773636679</c:v>
                </c:pt>
                <c:pt idx="146">
                  <c:v>1.43040773636679</c:v>
                </c:pt>
                <c:pt idx="147">
                  <c:v>1.43040773636679</c:v>
                </c:pt>
                <c:pt idx="148">
                  <c:v>1.43040773636679</c:v>
                </c:pt>
                <c:pt idx="149">
                  <c:v>1.43040773636679</c:v>
                </c:pt>
                <c:pt idx="150">
                  <c:v>1.43040773636679</c:v>
                </c:pt>
                <c:pt idx="151">
                  <c:v>1.43040773636679</c:v>
                </c:pt>
                <c:pt idx="152">
                  <c:v>1.43040773636679</c:v>
                </c:pt>
                <c:pt idx="153">
                  <c:v>1.43040773636679</c:v>
                </c:pt>
                <c:pt idx="154">
                  <c:v>1.43040773636679</c:v>
                </c:pt>
                <c:pt idx="155">
                  <c:v>1.43040773636679</c:v>
                </c:pt>
                <c:pt idx="156">
                  <c:v>1.43040773636679</c:v>
                </c:pt>
                <c:pt idx="157">
                  <c:v>1.43040773636679</c:v>
                </c:pt>
                <c:pt idx="158">
                  <c:v>1.43040773636679</c:v>
                </c:pt>
                <c:pt idx="159">
                  <c:v>1.43040773636679</c:v>
                </c:pt>
                <c:pt idx="160">
                  <c:v>1.43040773636679</c:v>
                </c:pt>
                <c:pt idx="161">
                  <c:v>1.43040773636679</c:v>
                </c:pt>
                <c:pt idx="162">
                  <c:v>1.43040773636679</c:v>
                </c:pt>
                <c:pt idx="163">
                  <c:v>1.43040773636679</c:v>
                </c:pt>
                <c:pt idx="164">
                  <c:v>1.43040773636679</c:v>
                </c:pt>
                <c:pt idx="165">
                  <c:v>1.43040773636679</c:v>
                </c:pt>
                <c:pt idx="166">
                  <c:v>1.43040773636679</c:v>
                </c:pt>
                <c:pt idx="167">
                  <c:v>1.43040773636679</c:v>
                </c:pt>
                <c:pt idx="168">
                  <c:v>1.43040773636679</c:v>
                </c:pt>
                <c:pt idx="169">
                  <c:v>1.43040773636679</c:v>
                </c:pt>
                <c:pt idx="170">
                  <c:v>1.43040773636679</c:v>
                </c:pt>
                <c:pt idx="171">
                  <c:v>1.43040773636679</c:v>
                </c:pt>
                <c:pt idx="172">
                  <c:v>1.43040773636679</c:v>
                </c:pt>
                <c:pt idx="173">
                  <c:v>1.43040773636679</c:v>
                </c:pt>
                <c:pt idx="174">
                  <c:v>1.43040773636679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3-490C-858D-B4F511051440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EMB*/VWOB*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1.42793758172053</c:v>
                </c:pt>
                <c:pt idx="10">
                  <c:v>1.42788878921141</c:v>
                </c:pt>
                <c:pt idx="11">
                  <c:v>1.42773103849158</c:v>
                </c:pt>
                <c:pt idx="12">
                  <c:v>1.4277839720705301</c:v>
                </c:pt>
                <c:pt idx="13">
                  <c:v>1.42783507713292</c:v>
                </c:pt>
                <c:pt idx="14">
                  <c:v>1.4279775342902199</c:v>
                </c:pt>
                <c:pt idx="15">
                  <c:v>1.4279393569891601</c:v>
                </c:pt>
                <c:pt idx="16">
                  <c:v>1.4279392912717199</c:v>
                </c:pt>
                <c:pt idx="17">
                  <c:v>1.4280453907781401</c:v>
                </c:pt>
                <c:pt idx="18">
                  <c:v>1.4279760054760799</c:v>
                </c:pt>
                <c:pt idx="19">
                  <c:v>1.42790431806298</c:v>
                </c:pt>
                <c:pt idx="20">
                  <c:v>1.4279503909441</c:v>
                </c:pt>
                <c:pt idx="21">
                  <c:v>1.42810312600546</c:v>
                </c:pt>
                <c:pt idx="22">
                  <c:v>1.42823126055118</c:v>
                </c:pt>
                <c:pt idx="23">
                  <c:v>1.4282580787449</c:v>
                </c:pt>
                <c:pt idx="24">
                  <c:v>1.4284045821293401</c:v>
                </c:pt>
                <c:pt idx="25">
                  <c:v>1.4284688951480999</c:v>
                </c:pt>
                <c:pt idx="26">
                  <c:v>1.4284554160535801</c:v>
                </c:pt>
                <c:pt idx="27">
                  <c:v>1.42848614835969</c:v>
                </c:pt>
                <c:pt idx="28">
                  <c:v>1.42856385453298</c:v>
                </c:pt>
                <c:pt idx="29">
                  <c:v>1.4286666190623001</c:v>
                </c:pt>
                <c:pt idx="30">
                  <c:v>1.4287012136050601</c:v>
                </c:pt>
                <c:pt idx="31">
                  <c:v>1.4286809802463001</c:v>
                </c:pt>
                <c:pt idx="32">
                  <c:v>1.4285020457375699</c:v>
                </c:pt>
                <c:pt idx="33">
                  <c:v>1.4285587782375</c:v>
                </c:pt>
                <c:pt idx="34">
                  <c:v>1.4283994669314499</c:v>
                </c:pt>
                <c:pt idx="35">
                  <c:v>1.42838003041594</c:v>
                </c:pt>
                <c:pt idx="36">
                  <c:v>1.42841955190192</c:v>
                </c:pt>
                <c:pt idx="37">
                  <c:v>1.4283986475535599</c:v>
                </c:pt>
                <c:pt idx="38">
                  <c:v>1.4284737410746799</c:v>
                </c:pt>
                <c:pt idx="39">
                  <c:v>1.4286648253001299</c:v>
                </c:pt>
                <c:pt idx="40">
                  <c:v>1.4288185114856</c:v>
                </c:pt>
                <c:pt idx="41">
                  <c:v>1.4291100219536901</c:v>
                </c:pt>
                <c:pt idx="42">
                  <c:v>1.4291378931282099</c:v>
                </c:pt>
                <c:pt idx="43">
                  <c:v>1.4291221638054601</c:v>
                </c:pt>
                <c:pt idx="44">
                  <c:v>1.4291794332929499</c:v>
                </c:pt>
                <c:pt idx="45">
                  <c:v>1.4291009859719599</c:v>
                </c:pt>
                <c:pt idx="46">
                  <c:v>1.4288955045829399</c:v>
                </c:pt>
                <c:pt idx="47">
                  <c:v>1.4286705618587801</c:v>
                </c:pt>
                <c:pt idx="48">
                  <c:v>1.4286230138699401</c:v>
                </c:pt>
                <c:pt idx="49">
                  <c:v>1.4283323886780599</c:v>
                </c:pt>
                <c:pt idx="50">
                  <c:v>1.4280892997349799</c:v>
                </c:pt>
                <c:pt idx="51">
                  <c:v>1.427758512442</c:v>
                </c:pt>
                <c:pt idx="52">
                  <c:v>1.42781154852006</c:v>
                </c:pt>
                <c:pt idx="53">
                  <c:v>1.4276379108371999</c:v>
                </c:pt>
                <c:pt idx="54">
                  <c:v>1.42774577283306</c:v>
                </c:pt>
                <c:pt idx="55">
                  <c:v>1.42772569401923</c:v>
                </c:pt>
                <c:pt idx="56">
                  <c:v>1.4279012178334101</c:v>
                </c:pt>
                <c:pt idx="57">
                  <c:v>1.42814421442317</c:v>
                </c:pt>
                <c:pt idx="58">
                  <c:v>1.4281199283385599</c:v>
                </c:pt>
                <c:pt idx="59">
                  <c:v>1.42814403209904</c:v>
                </c:pt>
                <c:pt idx="60">
                  <c:v>1.42823046585725</c:v>
                </c:pt>
                <c:pt idx="61">
                  <c:v>1.4283375750040801</c:v>
                </c:pt>
                <c:pt idx="62">
                  <c:v>1.42822621380623</c:v>
                </c:pt>
                <c:pt idx="63">
                  <c:v>1.4282776872191001</c:v>
                </c:pt>
                <c:pt idx="64">
                  <c:v>1.42791543470705</c:v>
                </c:pt>
                <c:pt idx="65">
                  <c:v>1.4281728303462999</c:v>
                </c:pt>
                <c:pt idx="66">
                  <c:v>1.4283331063698399</c:v>
                </c:pt>
                <c:pt idx="67">
                  <c:v>1.4284552183105901</c:v>
                </c:pt>
                <c:pt idx="68">
                  <c:v>1.4286794345668199</c:v>
                </c:pt>
                <c:pt idx="69">
                  <c:v>1.42898583760363</c:v>
                </c:pt>
                <c:pt idx="70">
                  <c:v>1.42907944964681</c:v>
                </c:pt>
                <c:pt idx="71">
                  <c:v>1.4292116024983901</c:v>
                </c:pt>
                <c:pt idx="72">
                  <c:v>1.4294222825004601</c:v>
                </c:pt>
                <c:pt idx="73">
                  <c:v>1.42960287009367</c:v>
                </c:pt>
                <c:pt idx="74">
                  <c:v>1.42989697632311</c:v>
                </c:pt>
                <c:pt idx="75">
                  <c:v>1.42980832851068</c:v>
                </c:pt>
                <c:pt idx="76">
                  <c:v>1.4295848686933199</c:v>
                </c:pt>
                <c:pt idx="77">
                  <c:v>1.42954197219468</c:v>
                </c:pt>
                <c:pt idx="78">
                  <c:v>1.42947892288559</c:v>
                </c:pt>
                <c:pt idx="79">
                  <c:v>1.4294232484477101</c:v>
                </c:pt>
                <c:pt idx="80">
                  <c:v>1.42939189854673</c:v>
                </c:pt>
                <c:pt idx="81">
                  <c:v>1.4293184277480599</c:v>
                </c:pt>
                <c:pt idx="82">
                  <c:v>1.4293173622081099</c:v>
                </c:pt>
                <c:pt idx="83">
                  <c:v>1.4293223201352601</c:v>
                </c:pt>
                <c:pt idx="84">
                  <c:v>1.4293898061124699</c:v>
                </c:pt>
                <c:pt idx="85">
                  <c:v>1.4294772545824701</c:v>
                </c:pt>
                <c:pt idx="86">
                  <c:v>1.4296617213626499</c:v>
                </c:pt>
                <c:pt idx="87">
                  <c:v>1.4297743822057301</c:v>
                </c:pt>
                <c:pt idx="88">
                  <c:v>1.4298515818722299</c:v>
                </c:pt>
                <c:pt idx="89">
                  <c:v>1.42993124184736</c:v>
                </c:pt>
                <c:pt idx="90">
                  <c:v>1.43024059472533</c:v>
                </c:pt>
                <c:pt idx="91">
                  <c:v>1.4304657825066001</c:v>
                </c:pt>
                <c:pt idx="92">
                  <c:v>1.4303990882170099</c:v>
                </c:pt>
                <c:pt idx="93">
                  <c:v>1.4304800124953101</c:v>
                </c:pt>
                <c:pt idx="94">
                  <c:v>1.4305689948373801</c:v>
                </c:pt>
                <c:pt idx="95">
                  <c:v>1.4306461480095201</c:v>
                </c:pt>
                <c:pt idx="96">
                  <c:v>1.4308231281081401</c:v>
                </c:pt>
                <c:pt idx="97">
                  <c:v>1.4310029111396501</c:v>
                </c:pt>
                <c:pt idx="98">
                  <c:v>1.43119093251176</c:v>
                </c:pt>
                <c:pt idx="99">
                  <c:v>1.4312993976764501</c:v>
                </c:pt>
                <c:pt idx="100">
                  <c:v>1.4312825144811301</c:v>
                </c:pt>
                <c:pt idx="101">
                  <c:v>1.43124433849357</c:v>
                </c:pt>
                <c:pt idx="102">
                  <c:v>1.43154795907134</c:v>
                </c:pt>
                <c:pt idx="103">
                  <c:v>1.4317825002528399</c:v>
                </c:pt>
                <c:pt idx="104">
                  <c:v>1.4318638928192999</c:v>
                </c:pt>
                <c:pt idx="105">
                  <c:v>1.4318217343308699</c:v>
                </c:pt>
                <c:pt idx="106">
                  <c:v>1.4316365488337699</c:v>
                </c:pt>
                <c:pt idx="107">
                  <c:v>1.43145148510611</c:v>
                </c:pt>
                <c:pt idx="108">
                  <c:v>1.4313596629846801</c:v>
                </c:pt>
                <c:pt idx="109">
                  <c:v>1.4313079291297801</c:v>
                </c:pt>
                <c:pt idx="110">
                  <c:v>1.4313358009680199</c:v>
                </c:pt>
                <c:pt idx="111">
                  <c:v>1.43130793962437</c:v>
                </c:pt>
                <c:pt idx="112">
                  <c:v>1.4312845869584601</c:v>
                </c:pt>
                <c:pt idx="113">
                  <c:v>1.4311522796634499</c:v>
                </c:pt>
                <c:pt idx="114">
                  <c:v>1.4311011897019701</c:v>
                </c:pt>
                <c:pt idx="115">
                  <c:v>1.43108097100566</c:v>
                </c:pt>
                <c:pt idx="116">
                  <c:v>1.4312251731483501</c:v>
                </c:pt>
                <c:pt idx="117">
                  <c:v>1.4313189797296</c:v>
                </c:pt>
                <c:pt idx="118">
                  <c:v>1.4313371283799601</c:v>
                </c:pt>
                <c:pt idx="119">
                  <c:v>1.4313272039889</c:v>
                </c:pt>
                <c:pt idx="120">
                  <c:v>1.43136581191963</c:v>
                </c:pt>
                <c:pt idx="121">
                  <c:v>1.4314102986633901</c:v>
                </c:pt>
                <c:pt idx="122">
                  <c:v>1.43128855130028</c:v>
                </c:pt>
                <c:pt idx="123">
                  <c:v>1.4313538258693399</c:v>
                </c:pt>
                <c:pt idx="124">
                  <c:v>1.4314155130316399</c:v>
                </c:pt>
                <c:pt idx="125">
                  <c:v>1.43160231527246</c:v>
                </c:pt>
                <c:pt idx="126">
                  <c:v>1.4319238764303699</c:v>
                </c:pt>
                <c:pt idx="127">
                  <c:v>1.43212680693265</c:v>
                </c:pt>
                <c:pt idx="128">
                  <c:v>1.4323967090729599</c:v>
                </c:pt>
                <c:pt idx="129">
                  <c:v>1.43251610240849</c:v>
                </c:pt>
                <c:pt idx="130">
                  <c:v>1.4325275214778199</c:v>
                </c:pt>
                <c:pt idx="131">
                  <c:v>1.43265763991322</c:v>
                </c:pt>
                <c:pt idx="132">
                  <c:v>1.4328860678745601</c:v>
                </c:pt>
                <c:pt idx="133">
                  <c:v>1.43290623058557</c:v>
                </c:pt>
                <c:pt idx="134">
                  <c:v>1.43301498951099</c:v>
                </c:pt>
                <c:pt idx="135">
                  <c:v>1.43302752406874</c:v>
                </c:pt>
                <c:pt idx="136">
                  <c:v>1.4330056741825199</c:v>
                </c:pt>
                <c:pt idx="137">
                  <c:v>1.43303029611619</c:v>
                </c:pt>
                <c:pt idx="138">
                  <c:v>1.4329942832774401</c:v>
                </c:pt>
                <c:pt idx="139">
                  <c:v>1.43301056464888</c:v>
                </c:pt>
                <c:pt idx="140">
                  <c:v>1.4331723773616301</c:v>
                </c:pt>
                <c:pt idx="141">
                  <c:v>1.43341388319733</c:v>
                </c:pt>
                <c:pt idx="142">
                  <c:v>1.43350612729758</c:v>
                </c:pt>
                <c:pt idx="143">
                  <c:v>1.4337833441974901</c:v>
                </c:pt>
                <c:pt idx="144">
                  <c:v>1.4338525321450499</c:v>
                </c:pt>
                <c:pt idx="145">
                  <c:v>1.43397739566603</c:v>
                </c:pt>
                <c:pt idx="146">
                  <c:v>1.43397784177724</c:v>
                </c:pt>
                <c:pt idx="147">
                  <c:v>1.43388915481851</c:v>
                </c:pt>
                <c:pt idx="148">
                  <c:v>1.43373113952263</c:v>
                </c:pt>
                <c:pt idx="149">
                  <c:v>1.4337328185104701</c:v>
                </c:pt>
                <c:pt idx="150">
                  <c:v>1.4335608177158301</c:v>
                </c:pt>
                <c:pt idx="151">
                  <c:v>1.4333099807310801</c:v>
                </c:pt>
                <c:pt idx="152">
                  <c:v>1.43321928531264</c:v>
                </c:pt>
                <c:pt idx="153">
                  <c:v>1.4330707470303099</c:v>
                </c:pt>
                <c:pt idx="154">
                  <c:v>1.4329116097771599</c:v>
                </c:pt>
                <c:pt idx="155">
                  <c:v>1.43264899210069</c:v>
                </c:pt>
                <c:pt idx="156">
                  <c:v>1.43242917325648</c:v>
                </c:pt>
                <c:pt idx="157">
                  <c:v>1.4324461974070399</c:v>
                </c:pt>
                <c:pt idx="158">
                  <c:v>1.4323506311244101</c:v>
                </c:pt>
                <c:pt idx="159">
                  <c:v>1.4322184444188</c:v>
                </c:pt>
                <c:pt idx="160">
                  <c:v>1.4321701587575999</c:v>
                </c:pt>
                <c:pt idx="161">
                  <c:v>1.43219927293347</c:v>
                </c:pt>
                <c:pt idx="162">
                  <c:v>1.43221639325449</c:v>
                </c:pt>
                <c:pt idx="163">
                  <c:v>1.43204796414737</c:v>
                </c:pt>
                <c:pt idx="164">
                  <c:v>1.43206525643511</c:v>
                </c:pt>
                <c:pt idx="165">
                  <c:v>1.43208393312347</c:v>
                </c:pt>
                <c:pt idx="166">
                  <c:v>1.4320504763381501</c:v>
                </c:pt>
                <c:pt idx="167">
                  <c:v>1.4319621796930599</c:v>
                </c:pt>
                <c:pt idx="168">
                  <c:v>1.4321187031270699</c:v>
                </c:pt>
                <c:pt idx="169">
                  <c:v>1.43218922973531</c:v>
                </c:pt>
                <c:pt idx="170">
                  <c:v>1.43230683664306</c:v>
                </c:pt>
                <c:pt idx="171">
                  <c:v>1.43241962966285</c:v>
                </c:pt>
                <c:pt idx="172">
                  <c:v>1.4323395389056099</c:v>
                </c:pt>
                <c:pt idx="173">
                  <c:v>1.43241974537233</c:v>
                </c:pt>
                <c:pt idx="174">
                  <c:v>1.432615269374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3-490C-858D-B4F511051440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EMB*/VWOB*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1.42792094989175</c:v>
                </c:pt>
                <c:pt idx="20">
                  <c:v>1.4279195900777499</c:v>
                </c:pt>
                <c:pt idx="21">
                  <c:v>1.4279170822485201</c:v>
                </c:pt>
                <c:pt idx="22">
                  <c:v>1.4280076163108499</c:v>
                </c:pt>
                <c:pt idx="23">
                  <c:v>1.42804657793891</c:v>
                </c:pt>
                <c:pt idx="24">
                  <c:v>1.4281910582097801</c:v>
                </c:pt>
                <c:pt idx="25">
                  <c:v>1.42820412606863</c:v>
                </c:pt>
                <c:pt idx="26">
                  <c:v>1.42819735366265</c:v>
                </c:pt>
                <c:pt idx="27">
                  <c:v>1.42826576956891</c:v>
                </c:pt>
                <c:pt idx="28">
                  <c:v>1.4282699300045301</c:v>
                </c:pt>
                <c:pt idx="29">
                  <c:v>1.42828546856264</c:v>
                </c:pt>
                <c:pt idx="30">
                  <c:v>1.4283258022745799</c:v>
                </c:pt>
                <c:pt idx="31">
                  <c:v>1.42839205312588</c:v>
                </c:pt>
                <c:pt idx="32">
                  <c:v>1.4283666531443699</c:v>
                </c:pt>
                <c:pt idx="33">
                  <c:v>1.4284084284912</c:v>
                </c:pt>
                <c:pt idx="34">
                  <c:v>1.4284020245304001</c:v>
                </c:pt>
                <c:pt idx="35">
                  <c:v>1.42842446278202</c:v>
                </c:pt>
                <c:pt idx="36">
                  <c:v>1.4284374839777501</c:v>
                </c:pt>
                <c:pt idx="37">
                  <c:v>1.4284423979566201</c:v>
                </c:pt>
                <c:pt idx="38">
                  <c:v>1.4285187978038301</c:v>
                </c:pt>
                <c:pt idx="39">
                  <c:v>1.42866572218122</c:v>
                </c:pt>
                <c:pt idx="40">
                  <c:v>1.4287598625453299</c:v>
                </c:pt>
                <c:pt idx="41">
                  <c:v>1.4288955011</c:v>
                </c:pt>
                <c:pt idx="42">
                  <c:v>1.42881996943289</c:v>
                </c:pt>
                <c:pt idx="43">
                  <c:v>1.4288404710214799</c:v>
                </c:pt>
                <c:pt idx="44">
                  <c:v>1.4287894501122</c:v>
                </c:pt>
                <c:pt idx="45">
                  <c:v>1.4287405081939499</c:v>
                </c:pt>
                <c:pt idx="46">
                  <c:v>1.4286575282424301</c:v>
                </c:pt>
                <c:pt idx="47">
                  <c:v>1.42853460470617</c:v>
                </c:pt>
                <c:pt idx="48">
                  <c:v>1.42854837747231</c:v>
                </c:pt>
                <c:pt idx="49">
                  <c:v>1.4284986069890999</c:v>
                </c:pt>
                <c:pt idx="50">
                  <c:v>1.4284539056102901</c:v>
                </c:pt>
                <c:pt idx="51">
                  <c:v>1.42843426719785</c:v>
                </c:pt>
                <c:pt idx="52">
                  <c:v>1.42847472082414</c:v>
                </c:pt>
                <c:pt idx="53">
                  <c:v>1.42838003732133</c:v>
                </c:pt>
                <c:pt idx="54">
                  <c:v>1.4284626030630101</c:v>
                </c:pt>
                <c:pt idx="55">
                  <c:v>1.4284133399955901</c:v>
                </c:pt>
                <c:pt idx="56">
                  <c:v>1.4283983612081701</c:v>
                </c:pt>
                <c:pt idx="57">
                  <c:v>1.42840738814097</c:v>
                </c:pt>
                <c:pt idx="58">
                  <c:v>1.4283714711042499</c:v>
                </c:pt>
                <c:pt idx="59">
                  <c:v>1.42823821038855</c:v>
                </c:pt>
                <c:pt idx="60">
                  <c:v>1.4281598827961099</c:v>
                </c:pt>
                <c:pt idx="61">
                  <c:v>1.4280480437230401</c:v>
                </c:pt>
                <c:pt idx="62">
                  <c:v>1.42801888116314</c:v>
                </c:pt>
                <c:pt idx="63">
                  <c:v>1.42795779902815</c:v>
                </c:pt>
                <c:pt idx="64">
                  <c:v>1.4278306037700601</c:v>
                </c:pt>
                <c:pt idx="65">
                  <c:v>1.4279492621827601</c:v>
                </c:pt>
                <c:pt idx="66">
                  <c:v>1.42811716210162</c:v>
                </c:pt>
                <c:pt idx="67">
                  <c:v>1.42829971636688</c:v>
                </c:pt>
                <c:pt idx="68">
                  <c:v>1.42839968145269</c:v>
                </c:pt>
                <c:pt idx="69">
                  <c:v>1.4285649348513301</c:v>
                </c:pt>
                <c:pt idx="70">
                  <c:v>1.42865495775203</c:v>
                </c:pt>
                <c:pt idx="71">
                  <c:v>1.42877458875124</c:v>
                </c:pt>
                <c:pt idx="72">
                  <c:v>1.42882424815334</c:v>
                </c:pt>
                <c:pt idx="73">
                  <c:v>1.4289402786563901</c:v>
                </c:pt>
                <c:pt idx="74">
                  <c:v>1.4289062055150801</c:v>
                </c:pt>
                <c:pt idx="75">
                  <c:v>1.4289905794284901</c:v>
                </c:pt>
                <c:pt idx="76">
                  <c:v>1.42895898753158</c:v>
                </c:pt>
                <c:pt idx="77">
                  <c:v>1.4289985952526401</c:v>
                </c:pt>
                <c:pt idx="78">
                  <c:v>1.4290791787262001</c:v>
                </c:pt>
                <c:pt idx="79">
                  <c:v>1.4292045430256699</c:v>
                </c:pt>
                <c:pt idx="80">
                  <c:v>1.42923567409677</c:v>
                </c:pt>
                <c:pt idx="81">
                  <c:v>1.42926501512323</c:v>
                </c:pt>
                <c:pt idx="82">
                  <c:v>1.4293698223542799</c:v>
                </c:pt>
                <c:pt idx="83">
                  <c:v>1.4294625951144699</c:v>
                </c:pt>
                <c:pt idx="84">
                  <c:v>1.4296433912177899</c:v>
                </c:pt>
                <c:pt idx="85">
                  <c:v>1.4296427915465699</c:v>
                </c:pt>
                <c:pt idx="86">
                  <c:v>1.4296232950279799</c:v>
                </c:pt>
                <c:pt idx="87">
                  <c:v>1.4296581772002099</c:v>
                </c:pt>
                <c:pt idx="88">
                  <c:v>1.42966525237891</c:v>
                </c:pt>
                <c:pt idx="89">
                  <c:v>1.4296772451475399</c:v>
                </c:pt>
                <c:pt idx="90">
                  <c:v>1.42981624663603</c:v>
                </c:pt>
                <c:pt idx="91">
                  <c:v>1.4298921051273299</c:v>
                </c:pt>
                <c:pt idx="92">
                  <c:v>1.42985822521256</c:v>
                </c:pt>
                <c:pt idx="93">
                  <c:v>1.4299011663152901</c:v>
                </c:pt>
                <c:pt idx="94">
                  <c:v>1.42997940047492</c:v>
                </c:pt>
                <c:pt idx="95">
                  <c:v>1.43006170129599</c:v>
                </c:pt>
                <c:pt idx="96">
                  <c:v>1.4302424247354</c:v>
                </c:pt>
                <c:pt idx="97">
                  <c:v>1.4303886466726901</c:v>
                </c:pt>
                <c:pt idx="98">
                  <c:v>1.4305212571919901</c:v>
                </c:pt>
                <c:pt idx="99">
                  <c:v>1.43061531976191</c:v>
                </c:pt>
                <c:pt idx="100">
                  <c:v>1.43076155460323</c:v>
                </c:pt>
                <c:pt idx="101">
                  <c:v>1.43085506050008</c:v>
                </c:pt>
                <c:pt idx="102">
                  <c:v>1.4309735236441801</c:v>
                </c:pt>
                <c:pt idx="103">
                  <c:v>1.4311312563740799</c:v>
                </c:pt>
                <c:pt idx="104">
                  <c:v>1.4312164438283399</c:v>
                </c:pt>
                <c:pt idx="105">
                  <c:v>1.43123394117019</c:v>
                </c:pt>
                <c:pt idx="106">
                  <c:v>1.4312298384709601</c:v>
                </c:pt>
                <c:pt idx="107">
                  <c:v>1.4312271981228799</c:v>
                </c:pt>
                <c:pt idx="108">
                  <c:v>1.4312752977482199</c:v>
                </c:pt>
                <c:pt idx="109">
                  <c:v>1.43130366340311</c:v>
                </c:pt>
                <c:pt idx="110">
                  <c:v>1.43130915772457</c:v>
                </c:pt>
                <c:pt idx="111">
                  <c:v>1.4312761390589701</c:v>
                </c:pt>
                <c:pt idx="112">
                  <c:v>1.4314162730149</c:v>
                </c:pt>
                <c:pt idx="113">
                  <c:v>1.43146738995815</c:v>
                </c:pt>
                <c:pt idx="114">
                  <c:v>1.43148254126064</c:v>
                </c:pt>
                <c:pt idx="115">
                  <c:v>1.43145135266826</c:v>
                </c:pt>
                <c:pt idx="116">
                  <c:v>1.43143086099106</c:v>
                </c:pt>
                <c:pt idx="117">
                  <c:v>1.43138523241785</c:v>
                </c:pt>
                <c:pt idx="118">
                  <c:v>1.4313483956823201</c:v>
                </c:pt>
                <c:pt idx="119">
                  <c:v>1.4313175665593401</c:v>
                </c:pt>
                <c:pt idx="120">
                  <c:v>1.4313508064438201</c:v>
                </c:pt>
                <c:pt idx="121">
                  <c:v>1.4313591191438799</c:v>
                </c:pt>
                <c:pt idx="122">
                  <c:v>1.4312865691293699</c:v>
                </c:pt>
                <c:pt idx="123">
                  <c:v>1.4312530527664</c:v>
                </c:pt>
                <c:pt idx="124">
                  <c:v>1.43125835136681</c:v>
                </c:pt>
                <c:pt idx="125">
                  <c:v>1.43134164313906</c:v>
                </c:pt>
                <c:pt idx="126">
                  <c:v>1.4315745247893601</c:v>
                </c:pt>
                <c:pt idx="127">
                  <c:v>1.4317228933311299</c:v>
                </c:pt>
                <c:pt idx="128">
                  <c:v>1.4318669187264601</c:v>
                </c:pt>
                <c:pt idx="129">
                  <c:v>1.4319216531987</c:v>
                </c:pt>
                <c:pt idx="130">
                  <c:v>1.4319466666987299</c:v>
                </c:pt>
                <c:pt idx="131">
                  <c:v>1.4320339692883099</c:v>
                </c:pt>
                <c:pt idx="132">
                  <c:v>1.43208730958742</c:v>
                </c:pt>
                <c:pt idx="133">
                  <c:v>1.4321300282274601</c:v>
                </c:pt>
                <c:pt idx="134">
                  <c:v>1.43221525127131</c:v>
                </c:pt>
                <c:pt idx="135">
                  <c:v>1.4323149196706</c:v>
                </c:pt>
                <c:pt idx="136">
                  <c:v>1.4324647753064399</c:v>
                </c:pt>
                <c:pt idx="137">
                  <c:v>1.43257855152442</c:v>
                </c:pt>
                <c:pt idx="138">
                  <c:v>1.4326954961752001</c:v>
                </c:pt>
                <c:pt idx="139">
                  <c:v>1.43276333352869</c:v>
                </c:pt>
                <c:pt idx="140">
                  <c:v>1.43284994941973</c:v>
                </c:pt>
                <c:pt idx="141">
                  <c:v>1.43303576155527</c:v>
                </c:pt>
                <c:pt idx="142">
                  <c:v>1.43319609758607</c:v>
                </c:pt>
                <c:pt idx="143">
                  <c:v>1.4333447873915299</c:v>
                </c:pt>
                <c:pt idx="144">
                  <c:v>1.4334337608280201</c:v>
                </c:pt>
                <c:pt idx="145">
                  <c:v>1.43350245986739</c:v>
                </c:pt>
                <c:pt idx="146">
                  <c:v>1.43349175797988</c:v>
                </c:pt>
                <c:pt idx="147">
                  <c:v>1.43345972546735</c:v>
                </c:pt>
                <c:pt idx="148">
                  <c:v>1.43336271140004</c:v>
                </c:pt>
                <c:pt idx="149">
                  <c:v>1.4333716915796799</c:v>
                </c:pt>
                <c:pt idx="150">
                  <c:v>1.43336659753873</c:v>
                </c:pt>
                <c:pt idx="151">
                  <c:v>1.4333619319642099</c:v>
                </c:pt>
                <c:pt idx="152">
                  <c:v>1.43336270630511</c:v>
                </c:pt>
                <c:pt idx="153">
                  <c:v>1.4334270456139</c:v>
                </c:pt>
                <c:pt idx="154">
                  <c:v>1.43338207096111</c:v>
                </c:pt>
                <c:pt idx="155">
                  <c:v>1.4333131938833601</c:v>
                </c:pt>
                <c:pt idx="156">
                  <c:v>1.4332035075168601</c:v>
                </c:pt>
                <c:pt idx="157">
                  <c:v>1.4331676761127801</c:v>
                </c:pt>
                <c:pt idx="158">
                  <c:v>1.4330408853235199</c:v>
                </c:pt>
                <c:pt idx="159">
                  <c:v>1.43297563146464</c:v>
                </c:pt>
                <c:pt idx="160">
                  <c:v>1.43286548823672</c:v>
                </c:pt>
                <c:pt idx="161">
                  <c:v>1.4327546268322799</c:v>
                </c:pt>
                <c:pt idx="162">
                  <c:v>1.43271783928356</c:v>
                </c:pt>
                <c:pt idx="163">
                  <c:v>1.4325593555888401</c:v>
                </c:pt>
                <c:pt idx="164">
                  <c:v>1.43248843310614</c:v>
                </c:pt>
                <c:pt idx="165">
                  <c:v>1.43236646261208</c:v>
                </c:pt>
                <c:pt idx="166">
                  <c:v>1.43223982479732</c:v>
                </c:pt>
                <c:pt idx="167">
                  <c:v>1.4322041885500501</c:v>
                </c:pt>
                <c:pt idx="168">
                  <c:v>1.43223466712574</c:v>
                </c:pt>
                <c:pt idx="169">
                  <c:v>1.43220383707706</c:v>
                </c:pt>
                <c:pt idx="170">
                  <c:v>1.43223849770033</c:v>
                </c:pt>
                <c:pt idx="171">
                  <c:v>1.43230945129816</c:v>
                </c:pt>
                <c:pt idx="172">
                  <c:v>1.43227796608005</c:v>
                </c:pt>
                <c:pt idx="173">
                  <c:v>1.4322338547598501</c:v>
                </c:pt>
                <c:pt idx="174">
                  <c:v>1.4323402629045501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3-490C-858D-B4F51105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VWOB x avg / EMB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3.5220528459925901E-3</c:v>
                </c:pt>
                <c:pt idx="2">
                  <c:v>3.6705083899386099E-3</c:v>
                </c:pt>
                <c:pt idx="3">
                  <c:v>4.1611927966511298E-3</c:v>
                </c:pt>
                <c:pt idx="4">
                  <c:v>4.5341331016743097E-3</c:v>
                </c:pt>
                <c:pt idx="5">
                  <c:v>2.9736936108002501E-3</c:v>
                </c:pt>
                <c:pt idx="6">
                  <c:v>3.2108746542344698E-3</c:v>
                </c:pt>
                <c:pt idx="7">
                  <c:v>4.1611927966511298E-3</c:v>
                </c:pt>
                <c:pt idx="8">
                  <c:v>3.7149285420771802E-3</c:v>
                </c:pt>
                <c:pt idx="9">
                  <c:v>3.5962448729643399E-3</c:v>
                </c:pt>
                <c:pt idx="10">
                  <c:v>4.2349211031541996E-3</c:v>
                </c:pt>
                <c:pt idx="11">
                  <c:v>4.6271636303542403E-3</c:v>
                </c:pt>
                <c:pt idx="12">
                  <c:v>3.2999046722476501E-3</c:v>
                </c:pt>
                <c:pt idx="13">
                  <c:v>3.80321319618786E-3</c:v>
                </c:pt>
                <c:pt idx="14">
                  <c:v>3.5361995693775298E-3</c:v>
                </c:pt>
                <c:pt idx="15">
                  <c:v>3.2408832474534501E-3</c:v>
                </c:pt>
                <c:pt idx="16">
                  <c:v>3.21133463543307E-3</c:v>
                </c:pt>
                <c:pt idx="17">
                  <c:v>3.4181324381761598E-3</c:v>
                </c:pt>
                <c:pt idx="18">
                  <c:v>4.2009453612783104E-3</c:v>
                </c:pt>
                <c:pt idx="19">
                  <c:v>4.0983315181465996E-3</c:v>
                </c:pt>
                <c:pt idx="20">
                  <c:v>3.1810233453920499E-3</c:v>
                </c:pt>
                <c:pt idx="21">
                  <c:v>2.8243934887753298E-3</c:v>
                </c:pt>
                <c:pt idx="22">
                  <c:v>1.6650674202645E-3</c:v>
                </c:pt>
                <c:pt idx="23">
                  <c:v>2.8850529757773699E-3</c:v>
                </c:pt>
                <c:pt idx="24">
                  <c:v>1.7769454016676499E-3</c:v>
                </c:pt>
                <c:pt idx="25">
                  <c:v>2.0584395841827001E-3</c:v>
                </c:pt>
                <c:pt idx="26">
                  <c:v>2.5777712525135001E-3</c:v>
                </c:pt>
                <c:pt idx="27">
                  <c:v>2.47465189176209E-3</c:v>
                </c:pt>
                <c:pt idx="28">
                  <c:v>2.9325952098995601E-3</c:v>
                </c:pt>
                <c:pt idx="29">
                  <c:v>2.6544783751250999E-3</c:v>
                </c:pt>
                <c:pt idx="30">
                  <c:v>2.9486268957365099E-3</c:v>
                </c:pt>
                <c:pt idx="31">
                  <c:v>2.9780366646116299E-3</c:v>
                </c:pt>
                <c:pt idx="32">
                  <c:v>2.9337250204207999E-3</c:v>
                </c:pt>
                <c:pt idx="33">
                  <c:v>2.4949578650364998E-3</c:v>
                </c:pt>
                <c:pt idx="34">
                  <c:v>2.9050725804309501E-3</c:v>
                </c:pt>
                <c:pt idx="35">
                  <c:v>2.2020892145318701E-3</c:v>
                </c:pt>
                <c:pt idx="36">
                  <c:v>2.3055199389297601E-3</c:v>
                </c:pt>
                <c:pt idx="37">
                  <c:v>2.6269276012176601E-3</c:v>
                </c:pt>
                <c:pt idx="38">
                  <c:v>2.4078374301940001E-3</c:v>
                </c:pt>
                <c:pt idx="39">
                  <c:v>7.4852547046324995E-4</c:v>
                </c:pt>
                <c:pt idx="40">
                  <c:v>1.3004223902215301E-3</c:v>
                </c:pt>
                <c:pt idx="41">
                  <c:v>3.60876275272943E-4</c:v>
                </c:pt>
                <c:pt idx="42">
                  <c:v>2.1727763569190802E-3</c:v>
                </c:pt>
                <c:pt idx="43">
                  <c:v>2.0309163334051102E-3</c:v>
                </c:pt>
                <c:pt idx="44">
                  <c:v>1.92934759449422E-3</c:v>
                </c:pt>
                <c:pt idx="45">
                  <c:v>2.1826277320679001E-3</c:v>
                </c:pt>
                <c:pt idx="46">
                  <c:v>3.1804018040366999E-3</c:v>
                </c:pt>
                <c:pt idx="47">
                  <c:v>3.6312349663976599E-3</c:v>
                </c:pt>
                <c:pt idx="48">
                  <c:v>2.1488777080689802E-3</c:v>
                </c:pt>
                <c:pt idx="49">
                  <c:v>2.7720609017445699E-3</c:v>
                </c:pt>
                <c:pt idx="50">
                  <c:v>2.9994239007560602E-3</c:v>
                </c:pt>
                <c:pt idx="51">
                  <c:v>2.6638397721854101E-3</c:v>
                </c:pt>
                <c:pt idx="52">
                  <c:v>1.7740056444855499E-3</c:v>
                </c:pt>
                <c:pt idx="53">
                  <c:v>3.2232204959899802E-3</c:v>
                </c:pt>
                <c:pt idx="54">
                  <c:v>1.14089758464315E-3</c:v>
                </c:pt>
                <c:pt idx="55">
                  <c:v>2.2918554674015898E-3</c:v>
                </c:pt>
                <c:pt idx="56">
                  <c:v>1.92227503668176E-3</c:v>
                </c:pt>
                <c:pt idx="57">
                  <c:v>1.89266019135894E-3</c:v>
                </c:pt>
                <c:pt idx="58">
                  <c:v>2.30040433916421E-3</c:v>
                </c:pt>
                <c:pt idx="59">
                  <c:v>2.5785312688517302E-3</c:v>
                </c:pt>
                <c:pt idx="60">
                  <c:v>2.3717315089375199E-3</c:v>
                </c:pt>
                <c:pt idx="61">
                  <c:v>1.74623419475167E-3</c:v>
                </c:pt>
                <c:pt idx="62">
                  <c:v>2.40255938507378E-3</c:v>
                </c:pt>
                <c:pt idx="63">
                  <c:v>2.7218611811982299E-3</c:v>
                </c:pt>
                <c:pt idx="64">
                  <c:v>3.5582574467980001E-3</c:v>
                </c:pt>
                <c:pt idx="65">
                  <c:v>3.3653840851445398E-4</c:v>
                </c:pt>
                <c:pt idx="66">
                  <c:v>6.4895244692700902E-4</c:v>
                </c:pt>
                <c:pt idx="67">
                  <c:v>9.0361776851050502E-4</c:v>
                </c:pt>
                <c:pt idx="68">
                  <c:v>6.0366213492648603E-4</c:v>
                </c:pt>
                <c:pt idx="69">
                  <c:v>3.0380329275950799E-4</c:v>
                </c:pt>
                <c:pt idx="70">
                  <c:v>1.59158175521006E-3</c:v>
                </c:pt>
                <c:pt idx="71">
                  <c:v>8.4024554823714003E-4</c:v>
                </c:pt>
                <c:pt idx="72">
                  <c:v>9.4746718824519701E-4</c:v>
                </c:pt>
                <c:pt idx="73">
                  <c:v>1.4790711750904499E-3</c:v>
                </c:pt>
                <c:pt idx="74">
                  <c:v>1.5001258120284501E-3</c:v>
                </c:pt>
                <c:pt idx="75">
                  <c:v>9.8495142141523493E-4</c:v>
                </c:pt>
                <c:pt idx="76">
                  <c:v>2.2420267361317101E-3</c:v>
                </c:pt>
                <c:pt idx="77">
                  <c:v>1.2187384684230901E-3</c:v>
                </c:pt>
                <c:pt idx="78">
                  <c:v>1.0510560727443499E-3</c:v>
                </c:pt>
                <c:pt idx="79">
                  <c:v>6.9098067744719003E-4</c:v>
                </c:pt>
                <c:pt idx="80">
                  <c:v>1.8028984046542899E-3</c:v>
                </c:pt>
                <c:pt idx="81">
                  <c:v>1.3594607467161399E-3</c:v>
                </c:pt>
                <c:pt idx="82">
                  <c:v>4.7075205431566103E-4</c:v>
                </c:pt>
                <c:pt idx="83">
                  <c:v>9.53262601375309E-4</c:v>
                </c:pt>
                <c:pt idx="84">
                  <c:v>5.4425684928140997E-4</c:v>
                </c:pt>
                <c:pt idx="85">
                  <c:v>-1.04062969555052E-4</c:v>
                </c:pt>
                <c:pt idx="86">
                  <c:v>4.6556250476808203E-4</c:v>
                </c:pt>
                <c:pt idx="87">
                  <c:v>-4.8686468800664E-5</c:v>
                </c:pt>
                <c:pt idx="88">
                  <c:v>3.4632162663660302E-5</c:v>
                </c:pt>
                <c:pt idx="89">
                  <c:v>-3.48315635558111E-4</c:v>
                </c:pt>
                <c:pt idx="90">
                  <c:v>-8.6558180449247798E-4</c:v>
                </c:pt>
                <c:pt idx="91">
                  <c:v>-7.1544292574773102E-4</c:v>
                </c:pt>
                <c:pt idx="92">
                  <c:v>9.28964926616948E-4</c:v>
                </c:pt>
                <c:pt idx="93">
                  <c:v>3.6659745990530999E-4</c:v>
                </c:pt>
                <c:pt idx="94">
                  <c:v>-1.1630665926617301E-4</c:v>
                </c:pt>
                <c:pt idx="95">
                  <c:v>-6.8128046311649799E-4</c:v>
                </c:pt>
                <c:pt idx="96">
                  <c:v>-8.1424217201079695E-4</c:v>
                </c:pt>
                <c:pt idx="97">
                  <c:v>-1.34920209249577E-3</c:v>
                </c:pt>
                <c:pt idx="98">
                  <c:v>-1.3112961205567601E-3</c:v>
                </c:pt>
                <c:pt idx="99">
                  <c:v>-1.11550868880273E-3</c:v>
                </c:pt>
                <c:pt idx="100">
                  <c:v>-7.3130918253265997E-4</c:v>
                </c:pt>
                <c:pt idx="101">
                  <c:v>-4.2548942936465199E-4</c:v>
                </c:pt>
                <c:pt idx="102">
                  <c:v>-1.7270680326651601E-3</c:v>
                </c:pt>
                <c:pt idx="103">
                  <c:v>-1.7885590901556201E-3</c:v>
                </c:pt>
                <c:pt idx="104">
                  <c:v>-1.17905175543376E-3</c:v>
                </c:pt>
                <c:pt idx="105">
                  <c:v>-8.7111284509063598E-4</c:v>
                </c:pt>
                <c:pt idx="106">
                  <c:v>6.6669692431429596E-8</c:v>
                </c:pt>
                <c:pt idx="107">
                  <c:v>-5.4579169097058696E-4</c:v>
                </c:pt>
                <c:pt idx="108">
                  <c:v>-1.1748444491271901E-3</c:v>
                </c:pt>
                <c:pt idx="109">
                  <c:v>-1.28019869035392E-3</c:v>
                </c:pt>
                <c:pt idx="110">
                  <c:v>-1.4450450672493099E-3</c:v>
                </c:pt>
                <c:pt idx="111">
                  <c:v>-7.4074495154373996E-4</c:v>
                </c:pt>
                <c:pt idx="112">
                  <c:v>-1.54214614532312E-3</c:v>
                </c:pt>
                <c:pt idx="113">
                  <c:v>-8.3162890740826696E-4</c:v>
                </c:pt>
                <c:pt idx="114">
                  <c:v>-8.0370214494041904E-4</c:v>
                </c:pt>
                <c:pt idx="115">
                  <c:v>-7.1042988987559698E-4</c:v>
                </c:pt>
                <c:pt idx="116">
                  <c:v>-1.0069260734614201E-3</c:v>
                </c:pt>
                <c:pt idx="117">
                  <c:v>-1.19207830897525E-3</c:v>
                </c:pt>
                <c:pt idx="118">
                  <c:v>-1.2816481676196901E-3</c:v>
                </c:pt>
                <c:pt idx="119">
                  <c:v>-1.17809097806928E-3</c:v>
                </c:pt>
                <c:pt idx="120">
                  <c:v>-1.71427308095198E-3</c:v>
                </c:pt>
                <c:pt idx="121">
                  <c:v>-1.0474782228005199E-3</c:v>
                </c:pt>
                <c:pt idx="122">
                  <c:v>-6.7789616157535801E-4</c:v>
                </c:pt>
                <c:pt idx="123">
                  <c:v>-1.83121842592697E-3</c:v>
                </c:pt>
                <c:pt idx="124">
                  <c:v>-1.7618896697146899E-3</c:v>
                </c:pt>
                <c:pt idx="125">
                  <c:v>-2.5739365217078299E-3</c:v>
                </c:pt>
                <c:pt idx="126">
                  <c:v>-3.8430895803445199E-3</c:v>
                </c:pt>
                <c:pt idx="127">
                  <c:v>-3.1786140182866302E-3</c:v>
                </c:pt>
                <c:pt idx="128">
                  <c:v>-3.75163643893565E-3</c:v>
                </c:pt>
                <c:pt idx="129">
                  <c:v>-2.56609022186533E-3</c:v>
                </c:pt>
                <c:pt idx="130">
                  <c:v>-2.3476215280301598E-3</c:v>
                </c:pt>
                <c:pt idx="131">
                  <c:v>-2.5318023707782199E-3</c:v>
                </c:pt>
                <c:pt idx="132">
                  <c:v>-2.85230280093853E-3</c:v>
                </c:pt>
                <c:pt idx="133">
                  <c:v>-1.9895669517380099E-3</c:v>
                </c:pt>
                <c:pt idx="134">
                  <c:v>-2.5643351237441799E-3</c:v>
                </c:pt>
                <c:pt idx="135">
                  <c:v>-2.6947496575972399E-3</c:v>
                </c:pt>
                <c:pt idx="136">
                  <c:v>-3.7041670672813701E-3</c:v>
                </c:pt>
                <c:pt idx="137">
                  <c:v>-3.3776899875492998E-3</c:v>
                </c:pt>
                <c:pt idx="138">
                  <c:v>-3.53910265724562E-3</c:v>
                </c:pt>
                <c:pt idx="139">
                  <c:v>-2.7259428698613499E-3</c:v>
                </c:pt>
                <c:pt idx="140">
                  <c:v>-3.5231752653856101E-3</c:v>
                </c:pt>
                <c:pt idx="141">
                  <c:v>-4.2775439656628196E-3</c:v>
                </c:pt>
                <c:pt idx="142">
                  <c:v>-3.5521368107347502E-3</c:v>
                </c:pt>
                <c:pt idx="143">
                  <c:v>-4.0059672013686596E-3</c:v>
                </c:pt>
                <c:pt idx="144">
                  <c:v>-3.0891194983073801E-3</c:v>
                </c:pt>
                <c:pt idx="145">
                  <c:v>-4.4951928835278198E-3</c:v>
                </c:pt>
                <c:pt idx="146">
                  <c:v>-4.5926534688216399E-3</c:v>
                </c:pt>
                <c:pt idx="147">
                  <c:v>-3.6138667578362298E-3</c:v>
                </c:pt>
                <c:pt idx="148">
                  <c:v>-3.2664044408348102E-3</c:v>
                </c:pt>
                <c:pt idx="149">
                  <c:v>-3.5936640709272501E-3</c:v>
                </c:pt>
                <c:pt idx="150">
                  <c:v>-3.1679148948266199E-3</c:v>
                </c:pt>
                <c:pt idx="151">
                  <c:v>-3.36572864107107E-3</c:v>
                </c:pt>
                <c:pt idx="152">
                  <c:v>-3.7670491168617002E-3</c:v>
                </c:pt>
                <c:pt idx="153">
                  <c:v>-3.79616214769736E-3</c:v>
                </c:pt>
                <c:pt idx="154">
                  <c:v>-2.8057186368871702E-3</c:v>
                </c:pt>
                <c:pt idx="155">
                  <c:v>-2.6007100725908899E-3</c:v>
                </c:pt>
                <c:pt idx="156">
                  <c:v>-3.0297095793660302E-3</c:v>
                </c:pt>
                <c:pt idx="157">
                  <c:v>-3.7392465378274001E-3</c:v>
                </c:pt>
                <c:pt idx="158">
                  <c:v>-2.5874062203802501E-3</c:v>
                </c:pt>
                <c:pt idx="159">
                  <c:v>-2.660147460087E-3</c:v>
                </c:pt>
                <c:pt idx="160">
                  <c:v>-2.8186323747128798E-3</c:v>
                </c:pt>
                <c:pt idx="161">
                  <c:v>-3.5533488783220002E-3</c:v>
                </c:pt>
                <c:pt idx="162">
                  <c:v>-3.8753782615502802E-3</c:v>
                </c:pt>
                <c:pt idx="163">
                  <c:v>-2.5890656644229999E-3</c:v>
                </c:pt>
                <c:pt idx="164">
                  <c:v>-2.9372316740075501E-3</c:v>
                </c:pt>
                <c:pt idx="165">
                  <c:v>-2.73281722753849E-3</c:v>
                </c:pt>
                <c:pt idx="166">
                  <c:v>-3.29605352604682E-3</c:v>
                </c:pt>
                <c:pt idx="167">
                  <c:v>-3.6279141362724702E-3</c:v>
                </c:pt>
                <c:pt idx="168">
                  <c:v>-4.2152178035828897E-3</c:v>
                </c:pt>
                <c:pt idx="169">
                  <c:v>-3.66527496718163E-3</c:v>
                </c:pt>
                <c:pt idx="170">
                  <c:v>-4.1766520528653201E-3</c:v>
                </c:pt>
                <c:pt idx="171">
                  <c:v>-4.9104096149273496E-3</c:v>
                </c:pt>
                <c:pt idx="172">
                  <c:v>-3.86781462738676E-3</c:v>
                </c:pt>
                <c:pt idx="173">
                  <c:v>-3.73448210353208E-3</c:v>
                </c:pt>
                <c:pt idx="174">
                  <c:v>-4.9171695833785303E-3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13F-AB0F-818D7485590A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VWOB x 10 dma / EMB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4.9122517450385795E-4</c:v>
                </c:pt>
                <c:pt idx="11">
                  <c:v>8.4929720057384101E-4</c:v>
                </c:pt>
                <c:pt idx="12">
                  <c:v>-5.8844615637519302E-4</c:v>
                </c:pt>
                <c:pt idx="13">
                  <c:v>-4.8063004036398301E-5</c:v>
                </c:pt>
                <c:pt idx="14">
                  <c:v>-2.7928399777874398E-4</c:v>
                </c:pt>
                <c:pt idx="15">
                  <c:v>-4.7483385964414198E-4</c:v>
                </c:pt>
                <c:pt idx="16">
                  <c:v>-5.3111805433210004E-4</c:v>
                </c:pt>
                <c:pt idx="17">
                  <c:v>-3.2436627415734101E-4</c:v>
                </c:pt>
                <c:pt idx="18">
                  <c:v>5.3274642172497098E-4</c:v>
                </c:pt>
                <c:pt idx="19">
                  <c:v>3.8154379549399297E-4</c:v>
                </c:pt>
                <c:pt idx="20">
                  <c:v>-5.8596775064720505E-4</c:v>
                </c:pt>
                <c:pt idx="21">
                  <c:v>-8.3720716020922997E-4</c:v>
                </c:pt>
                <c:pt idx="22">
                  <c:v>-1.81628400544968E-3</c:v>
                </c:pt>
                <c:pt idx="23">
                  <c:v>-4.3266471542715299E-4</c:v>
                </c:pt>
                <c:pt idx="24">
                  <c:v>-1.4489629042058799E-3</c:v>
                </c:pt>
                <c:pt idx="25">
                  <c:v>-9.9145858375384406E-4</c:v>
                </c:pt>
                <c:pt idx="26">
                  <c:v>-3.53842202904155E-4</c:v>
                </c:pt>
                <c:pt idx="27">
                  <c:v>-3.9360488331912502E-4</c:v>
                </c:pt>
                <c:pt idx="28">
                  <c:v>1.5867467152219601E-4</c:v>
                </c:pt>
                <c:pt idx="29">
                  <c:v>7.28430898680032E-6</c:v>
                </c:pt>
                <c:pt idx="30">
                  <c:v>4.45702500100345E-4</c:v>
                </c:pt>
                <c:pt idx="31">
                  <c:v>4.9833858955523999E-4</c:v>
                </c:pt>
                <c:pt idx="32">
                  <c:v>4.3866898478915899E-4</c:v>
                </c:pt>
                <c:pt idx="33">
                  <c:v>-1.2699681537273601E-4</c:v>
                </c:pt>
                <c:pt idx="34">
                  <c:v>3.2212399605997198E-4</c:v>
                </c:pt>
                <c:pt idx="35">
                  <c:v>-4.9370575777844697E-4</c:v>
                </c:pt>
                <c:pt idx="36">
                  <c:v>-4.04648225845018E-4</c:v>
                </c:pt>
                <c:pt idx="37">
                  <c:v>-5.6008491367118499E-5</c:v>
                </c:pt>
                <c:pt idx="38">
                  <c:v>-2.9032836172307799E-4</c:v>
                </c:pt>
                <c:pt idx="39">
                  <c:v>-1.8971644530730899E-3</c:v>
                </c:pt>
                <c:pt idx="40">
                  <c:v>-1.1545103665078201E-3</c:v>
                </c:pt>
                <c:pt idx="41">
                  <c:v>-1.9291951356093101E-3</c:v>
                </c:pt>
                <c:pt idx="42">
                  <c:v>1.44549250793974E-4</c:v>
                </c:pt>
                <c:pt idx="43">
                  <c:v>7.87412623224302E-5</c:v>
                </c:pt>
                <c:pt idx="44">
                  <c:v>2.35611826120572E-5</c:v>
                </c:pt>
                <c:pt idx="45">
                  <c:v>3.7435917949903499E-4</c:v>
                </c:pt>
                <c:pt idx="46">
                  <c:v>1.3740786504695E-3</c:v>
                </c:pt>
                <c:pt idx="47">
                  <c:v>1.73750170975148E-3</c:v>
                </c:pt>
                <c:pt idx="48">
                  <c:v>1.54832669941495E-4</c:v>
                </c:pt>
                <c:pt idx="49">
                  <c:v>8.0390413929507301E-4</c:v>
                </c:pt>
                <c:pt idx="50">
                  <c:v>8.2885100958189205E-4</c:v>
                </c:pt>
                <c:pt idx="51">
                  <c:v>3.2334876582600601E-4</c:v>
                </c:pt>
                <c:pt idx="52">
                  <c:v>-7.9699912374913405E-4</c:v>
                </c:pt>
                <c:pt idx="53">
                  <c:v>6.9211584145184503E-4</c:v>
                </c:pt>
                <c:pt idx="54">
                  <c:v>-1.5094331591126899E-3</c:v>
                </c:pt>
                <c:pt idx="55">
                  <c:v>-2.7954541073275599E-4</c:v>
                </c:pt>
                <c:pt idx="56">
                  <c:v>-6.6005232524126399E-4</c:v>
                </c:pt>
                <c:pt idx="57">
                  <c:v>-5.63858500910944E-4</c:v>
                </c:pt>
                <c:pt idx="58">
                  <c:v>1.76749510644885E-5</c:v>
                </c:pt>
                <c:pt idx="59">
                  <c:v>2.8064822259289902E-4</c:v>
                </c:pt>
                <c:pt idx="60">
                  <c:v>9.3193936190771797E-5</c:v>
                </c:pt>
                <c:pt idx="61">
                  <c:v>-4.6956165048675399E-4</c:v>
                </c:pt>
                <c:pt idx="62">
                  <c:v>2.7852087820919198E-4</c:v>
                </c:pt>
                <c:pt idx="63">
                  <c:v>5.3496307612052704E-4</c:v>
                </c:pt>
                <c:pt idx="64">
                  <c:v>1.42145464547165E-3</c:v>
                </c:pt>
                <c:pt idx="65">
                  <c:v>-2.0419782184732198E-3</c:v>
                </c:pt>
                <c:pt idx="66">
                  <c:v>-1.5338433785249701E-3</c:v>
                </c:pt>
                <c:pt idx="67">
                  <c:v>-1.1517396184952699E-3</c:v>
                </c:pt>
                <c:pt idx="68">
                  <c:v>-1.3527308798422901E-3</c:v>
                </c:pt>
                <c:pt idx="69">
                  <c:v>-1.4828442903561899E-3</c:v>
                </c:pt>
                <c:pt idx="70">
                  <c:v>3.2459733807447398E-5</c:v>
                </c:pt>
                <c:pt idx="71">
                  <c:v>-6.4089749331870303E-4</c:v>
                </c:pt>
                <c:pt idx="72">
                  <c:v>-4.4306406551901102E-4</c:v>
                </c:pt>
                <c:pt idx="73">
                  <c:v>2.3399718555067999E-4</c:v>
                </c:pt>
                <c:pt idx="74">
                  <c:v>3.7921686046105401E-4</c:v>
                </c:pt>
                <c:pt idx="75">
                  <c:v>6.9544913406945197E-5</c:v>
                </c:pt>
                <c:pt idx="76">
                  <c:v>1.2617603076463999E-3</c:v>
                </c:pt>
                <c:pt idx="77">
                  <c:v>7.9226011472304406E-5</c:v>
                </c:pt>
                <c:pt idx="78">
                  <c:v>-1.19971419495438E-4</c:v>
                </c:pt>
                <c:pt idx="79">
                  <c:v>-5.2480258863008499E-4</c:v>
                </c:pt>
                <c:pt idx="80">
                  <c:v>5.4836882475846403E-4</c:v>
                </c:pt>
                <c:pt idx="81">
                  <c:v>8.3808631896652904E-5</c:v>
                </c:pt>
                <c:pt idx="82">
                  <c:v>-8.56832057929591E-4</c:v>
                </c:pt>
                <c:pt idx="83">
                  <c:v>-3.2662164194801501E-4</c:v>
                </c:pt>
                <c:pt idx="84">
                  <c:v>-6.8304456814580997E-4</c:v>
                </c:pt>
                <c:pt idx="85">
                  <c:v>-1.2357624492312801E-3</c:v>
                </c:pt>
                <c:pt idx="86">
                  <c:v>-5.57166163244341E-4</c:v>
                </c:pt>
                <c:pt idx="87">
                  <c:v>-8.9384326009190999E-4</c:v>
                </c:pt>
                <c:pt idx="88">
                  <c:v>-6.8375718783782505E-4</c:v>
                </c:pt>
                <c:pt idx="89">
                  <c:v>-9.6504991332389801E-4</c:v>
                </c:pt>
                <c:pt idx="90">
                  <c:v>-1.3783455506502201E-3</c:v>
                </c:pt>
                <c:pt idx="91">
                  <c:v>-9.6138240286492696E-4</c:v>
                </c:pt>
                <c:pt idx="92">
                  <c:v>8.9047855100671605E-4</c:v>
                </c:pt>
                <c:pt idx="93">
                  <c:v>2.8231904312750998E-4</c:v>
                </c:pt>
                <c:pt idx="94">
                  <c:v>-1.41954041644253E-4</c:v>
                </c:pt>
                <c:pt idx="95">
                  <c:v>-6.4088611331225098E-4</c:v>
                </c:pt>
                <c:pt idx="96">
                  <c:v>-7.1610740141098399E-4</c:v>
                </c:pt>
                <c:pt idx="97">
                  <c:v>-1.1230852824027199E-3</c:v>
                </c:pt>
                <c:pt idx="98">
                  <c:v>-9.5507469640620395E-4</c:v>
                </c:pt>
                <c:pt idx="99">
                  <c:v>-6.2466551266897796E-4</c:v>
                </c:pt>
                <c:pt idx="100">
                  <c:v>-1.6373114651258E-4</c:v>
                </c:pt>
                <c:pt idx="101">
                  <c:v>1.2865815398542199E-4</c:v>
                </c:pt>
                <c:pt idx="102">
                  <c:v>-1.20191669260901E-3</c:v>
                </c:pt>
                <c:pt idx="103">
                  <c:v>-9.9787312395726701E-4</c:v>
                </c:pt>
                <c:pt idx="104">
                  <c:v>-1.7289048601808299E-4</c:v>
                </c:pt>
                <c:pt idx="105">
                  <c:v>2.4127920557461501E-4</c:v>
                </c:pt>
                <c:pt idx="106">
                  <c:v>1.13143539752045E-3</c:v>
                </c:pt>
                <c:pt idx="107">
                  <c:v>5.0420179705103099E-4</c:v>
                </c:pt>
                <c:pt idx="108">
                  <c:v>-2.0518699601031499E-4</c:v>
                </c:pt>
                <c:pt idx="109">
                  <c:v>-3.2419022881151598E-4</c:v>
                </c:pt>
                <c:pt idx="110">
                  <c:v>-4.7256375778066602E-4</c:v>
                </c:pt>
                <c:pt idx="111">
                  <c:v>3.0311565845198999E-4</c:v>
                </c:pt>
                <c:pt idx="112">
                  <c:v>-4.6677500128602598E-4</c:v>
                </c:pt>
                <c:pt idx="113">
                  <c:v>2.2523953230527699E-4</c:v>
                </c:pt>
                <c:pt idx="114">
                  <c:v>1.5744445667124099E-4</c:v>
                </c:pt>
                <c:pt idx="115">
                  <c:v>2.13179911257289E-4</c:v>
                </c:pt>
                <c:pt idx="116">
                  <c:v>-9.9382562583956707E-5</c:v>
                </c:pt>
                <c:pt idx="117">
                  <c:v>-1.8388127101151799E-4</c:v>
                </c:pt>
                <c:pt idx="118">
                  <c:v>-2.0883355418383501E-4</c:v>
                </c:pt>
                <c:pt idx="119">
                  <c:v>-9.4594389634400505E-5</c:v>
                </c:pt>
                <c:pt idx="120">
                  <c:v>-6.4098880318474104E-4</c:v>
                </c:pt>
                <c:pt idx="121">
                  <c:v>5.2742130119215103E-5</c:v>
                </c:pt>
                <c:pt idx="122">
                  <c:v>4.5299072697721401E-4</c:v>
                </c:pt>
                <c:pt idx="123">
                  <c:v>-7.8675846983611503E-4</c:v>
                </c:pt>
                <c:pt idx="124">
                  <c:v>-6.1744706733273403E-4</c:v>
                </c:pt>
                <c:pt idx="125">
                  <c:v>-1.33366649701825E-3</c:v>
                </c:pt>
                <c:pt idx="126">
                  <c:v>-2.41641132874936E-3</c:v>
                </c:pt>
                <c:pt idx="127">
                  <c:v>-1.46807632878136E-3</c:v>
                </c:pt>
                <c:pt idx="128">
                  <c:v>-1.8423705487811701E-3</c:v>
                </c:pt>
                <c:pt idx="129">
                  <c:v>-4.0970591119504298E-4</c:v>
                </c:pt>
                <c:pt idx="130">
                  <c:v>-5.2486362523683997E-5</c:v>
                </c:pt>
                <c:pt idx="131">
                  <c:v>-1.7335109410025E-4</c:v>
                </c:pt>
                <c:pt idx="132">
                  <c:v>-3.4551450430331298E-4</c:v>
                </c:pt>
                <c:pt idx="133">
                  <c:v>7.34477236351504E-4</c:v>
                </c:pt>
                <c:pt idx="134">
                  <c:v>1.7553091296561399E-4</c:v>
                </c:pt>
                <c:pt idx="135">
                  <c:v>1.25311442967267E-4</c:v>
                </c:pt>
                <c:pt idx="136">
                  <c:v>-8.7202696958107203E-4</c:v>
                </c:pt>
                <c:pt idx="137">
                  <c:v>-5.5945532339671895E-4</c:v>
                </c:pt>
                <c:pt idx="138">
                  <c:v>-7.0095143651500405E-4</c:v>
                </c:pt>
                <c:pt idx="139">
                  <c:v>9.0937583396740598E-5</c:v>
                </c:pt>
                <c:pt idx="140">
                  <c:v>-6.9031240610187598E-4</c:v>
                </c:pt>
                <c:pt idx="141">
                  <c:v>-1.3271205821618799E-3</c:v>
                </c:pt>
                <c:pt idx="142">
                  <c:v>-4.2707517742595702E-4</c:v>
                </c:pt>
                <c:pt idx="143">
                  <c:v>-8.1091921475424998E-4</c:v>
                </c:pt>
                <c:pt idx="144">
                  <c:v>3.0750845301320199E-4</c:v>
                </c:pt>
                <c:pt idx="145">
                  <c:v>-1.0461177685004599E-3</c:v>
                </c:pt>
                <c:pt idx="146">
                  <c:v>-9.6352394795611702E-4</c:v>
                </c:pt>
                <c:pt idx="147">
                  <c:v>1.04153604568846E-4</c:v>
                </c:pt>
                <c:pt idx="148">
                  <c:v>4.7522807162850397E-4</c:v>
                </c:pt>
                <c:pt idx="149">
                  <c:v>1.2070748783718601E-4</c:v>
                </c:pt>
                <c:pt idx="150">
                  <c:v>6.33176918747245E-4</c:v>
                </c:pt>
                <c:pt idx="151">
                  <c:v>3.9985268485480201E-4</c:v>
                </c:pt>
                <c:pt idx="152">
                  <c:v>-9.2658595631216705E-5</c:v>
                </c:pt>
                <c:pt idx="153">
                  <c:v>-1.0028094475438601E-4</c:v>
                </c:pt>
                <c:pt idx="154">
                  <c:v>8.6917753517131401E-4</c:v>
                </c:pt>
                <c:pt idx="155">
                  <c:v>1.04586622149344E-3</c:v>
                </c:pt>
                <c:pt idx="156">
                  <c:v>4.2741914461929002E-4</c:v>
                </c:pt>
                <c:pt idx="157">
                  <c:v>-4.38479788861221E-4</c:v>
                </c:pt>
                <c:pt idx="158">
                  <c:v>7.2590314046536305E-4</c:v>
                </c:pt>
                <c:pt idx="159">
                  <c:v>5.8528600558920799E-4</c:v>
                </c:pt>
                <c:pt idx="160">
                  <c:v>3.33456134087354E-4</c:v>
                </c:pt>
                <c:pt idx="161">
                  <c:v>-4.3618368483728902E-4</c:v>
                </c:pt>
                <c:pt idx="162">
                  <c:v>-7.39444795717193E-4</c:v>
                </c:pt>
                <c:pt idx="163">
                  <c:v>5.5770808325429405E-4</c:v>
                </c:pt>
                <c:pt idx="164">
                  <c:v>8.8819597872610894E-5</c:v>
                </c:pt>
                <c:pt idx="165">
                  <c:v>3.06383228891964E-4</c:v>
                </c:pt>
                <c:pt idx="166">
                  <c:v>-2.4364736054859301E-4</c:v>
                </c:pt>
                <c:pt idx="167">
                  <c:v>-5.4887098818743804E-4</c:v>
                </c:pt>
                <c:pt idx="168">
                  <c:v>-1.1473146902013301E-3</c:v>
                </c:pt>
                <c:pt idx="169">
                  <c:v>-4.3454965202081901E-4</c:v>
                </c:pt>
                <c:pt idx="170">
                  <c:v>-8.4542586919751303E-4</c:v>
                </c:pt>
                <c:pt idx="171">
                  <c:v>-1.4433680748254501E-3</c:v>
                </c:pt>
                <c:pt idx="172">
                  <c:v>-2.6497239171015301E-4</c:v>
                </c:pt>
                <c:pt idx="173">
                  <c:v>-1.32396434861319E-4</c:v>
                </c:pt>
                <c:pt idx="174">
                  <c:v>-1.20059924109232E-3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4-413F-AB0F-818D7485590A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VWOB x 20 dma / EMB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-5.74320099119722E-4</c:v>
                </c:pt>
                <c:pt idx="21">
                  <c:v>-8.9533836089095403E-4</c:v>
                </c:pt>
                <c:pt idx="22">
                  <c:v>-2.01976300083963E-3</c:v>
                </c:pt>
                <c:pt idx="23">
                  <c:v>-6.9940838435227201E-4</c:v>
                </c:pt>
                <c:pt idx="24">
                  <c:v>-1.74370708497426E-3</c:v>
                </c:pt>
                <c:pt idx="25">
                  <c:v>-1.32431263897778E-3</c:v>
                </c:pt>
                <c:pt idx="26">
                  <c:v>-7.59179637547408E-4</c:v>
                </c:pt>
                <c:pt idx="27">
                  <c:v>-8.3063031457784203E-4</c:v>
                </c:pt>
                <c:pt idx="28">
                  <c:v>-2.8836456233674801E-4</c:v>
                </c:pt>
                <c:pt idx="29">
                  <c:v>-5.2736951545336898E-4</c:v>
                </c:pt>
                <c:pt idx="30">
                  <c:v>-1.8613111703653901E-4</c:v>
                </c:pt>
                <c:pt idx="31">
                  <c:v>-9.2438085707244699E-5</c:v>
                </c:pt>
                <c:pt idx="32">
                  <c:v>-5.4357112932387103E-5</c:v>
                </c:pt>
                <c:pt idx="33">
                  <c:v>-4.7481781000079001E-4</c:v>
                </c:pt>
                <c:pt idx="34">
                  <c:v>6.9580995827045295E-7</c:v>
                </c:pt>
                <c:pt idx="35">
                  <c:v>-6.7074168195761005E-4</c:v>
                </c:pt>
                <c:pt idx="36">
                  <c:v>-5.1536474141437795E-4</c:v>
                </c:pt>
                <c:pt idx="37">
                  <c:v>-1.4866453964576E-4</c:v>
                </c:pt>
                <c:pt idx="38">
                  <c:v>-3.2820501760555198E-4</c:v>
                </c:pt>
                <c:pt idx="39">
                  <c:v>-1.8979165240909899E-3</c:v>
                </c:pt>
                <c:pt idx="40">
                  <c:v>-1.17850589806148E-3</c:v>
                </c:pt>
                <c:pt idx="41">
                  <c:v>-2.0240039729124198E-3</c:v>
                </c:pt>
                <c:pt idx="42">
                  <c:v>-8.8837972803765104E-5</c:v>
                </c:pt>
                <c:pt idx="43">
                  <c:v>-2.5609246675138399E-4</c:v>
                </c:pt>
                <c:pt idx="44">
                  <c:v>-3.1496258505750002E-4</c:v>
                </c:pt>
                <c:pt idx="45">
                  <c:v>-6.9305567481725498E-5</c:v>
                </c:pt>
                <c:pt idx="46">
                  <c:v>9.2225826183776004E-4</c:v>
                </c:pt>
                <c:pt idx="47">
                  <c:v>1.34297814691963E-3</c:v>
                </c:pt>
                <c:pt idx="48">
                  <c:v>-1.97165733700087E-4</c:v>
                </c:pt>
                <c:pt idx="49">
                  <c:v>4.6519494014876601E-4</c:v>
                </c:pt>
                <c:pt idx="50">
                  <c:v>6.8668118437091303E-4</c:v>
                </c:pt>
                <c:pt idx="51">
                  <c:v>3.4855888133142999E-4</c:v>
                </c:pt>
                <c:pt idx="52">
                  <c:v>-5.2557346674596695E-4</c:v>
                </c:pt>
                <c:pt idx="53">
                  <c:v>9.8162252811174393E-4</c:v>
                </c:pt>
                <c:pt idx="54">
                  <c:v>-1.1370916998948799E-3</c:v>
                </c:pt>
                <c:pt idx="55">
                  <c:v>1.0209354841643799E-4</c:v>
                </c:pt>
                <c:pt idx="56">
                  <c:v>-2.7197494824856498E-4</c:v>
                </c:pt>
                <c:pt idx="57">
                  <c:v>-2.8242619216875298E-4</c:v>
                </c:pt>
                <c:pt idx="58">
                  <c:v>1.6202754338242301E-4</c:v>
                </c:pt>
                <c:pt idx="59">
                  <c:v>4.45524954425016E-4</c:v>
                </c:pt>
                <c:pt idx="60">
                  <c:v>1.47177734023516E-4</c:v>
                </c:pt>
                <c:pt idx="61">
                  <c:v>-5.3190728743681402E-4</c:v>
                </c:pt>
                <c:pt idx="62">
                  <c:v>5.5062719878719599E-5</c:v>
                </c:pt>
                <c:pt idx="63">
                  <c:v>3.6287461115915601E-4</c:v>
                </c:pt>
                <c:pt idx="64">
                  <c:v>1.1647236381251401E-3</c:v>
                </c:pt>
                <c:pt idx="65">
                  <c:v>-2.1384156935046902E-3</c:v>
                </c:pt>
                <c:pt idx="66">
                  <c:v>-1.7335891935793301E-3</c:v>
                </c:pt>
                <c:pt idx="67">
                  <c:v>-1.35230015482847E-3</c:v>
                </c:pt>
                <c:pt idx="68">
                  <c:v>-1.51588575457943E-3</c:v>
                </c:pt>
                <c:pt idx="69">
                  <c:v>-1.73842935171574E-3</c:v>
                </c:pt>
                <c:pt idx="70">
                  <c:v>-3.2718334702399498E-4</c:v>
                </c:pt>
                <c:pt idx="71">
                  <c:v>-1.0081564308187E-3</c:v>
                </c:pt>
                <c:pt idx="72">
                  <c:v>-8.0975043795925299E-4</c:v>
                </c:pt>
                <c:pt idx="73">
                  <c:v>-2.3680399313942199E-4</c:v>
                </c:pt>
                <c:pt idx="74">
                  <c:v>-1.2860105938449301E-4</c:v>
                </c:pt>
                <c:pt idx="75">
                  <c:v>-6.6174255970394996E-4</c:v>
                </c:pt>
                <c:pt idx="76">
                  <c:v>6.6067636877099E-4</c:v>
                </c:pt>
                <c:pt idx="77">
                  <c:v>-3.7859160706687898E-4</c:v>
                </c:pt>
                <c:pt idx="78">
                  <c:v>-5.1257708088620795E-4</c:v>
                </c:pt>
                <c:pt idx="79">
                  <c:v>-8.1019401139132395E-4</c:v>
                </c:pt>
                <c:pt idx="80">
                  <c:v>3.9608420107443E-4</c:v>
                </c:pt>
                <c:pt idx="81">
                  <c:v>-1.89315531565321E-5</c:v>
                </c:pt>
                <c:pt idx="82">
                  <c:v>-8.8830513339616503E-4</c:v>
                </c:pt>
                <c:pt idx="83">
                  <c:v>-3.0921636358735902E-4</c:v>
                </c:pt>
                <c:pt idx="84">
                  <c:v>-6.2984692029616305E-4</c:v>
                </c:pt>
                <c:pt idx="85">
                  <c:v>-1.12761011556606E-3</c:v>
                </c:pt>
                <c:pt idx="86">
                  <c:v>-5.3593481810079203E-4</c:v>
                </c:pt>
                <c:pt idx="87">
                  <c:v>-1.0410102622647099E-3</c:v>
                </c:pt>
                <c:pt idx="88">
                  <c:v>-9.1005064854645301E-4</c:v>
                </c:pt>
                <c:pt idx="89">
                  <c:v>-1.26452955001929E-3</c:v>
                </c:pt>
                <c:pt idx="90">
                  <c:v>-1.7491596904519399E-3</c:v>
                </c:pt>
                <c:pt idx="91">
                  <c:v>-1.4761061832071899E-3</c:v>
                </c:pt>
                <c:pt idx="92">
                  <c:v>2.4613740429661399E-4</c:v>
                </c:pt>
                <c:pt idx="93">
                  <c:v>-3.1530518599418001E-4</c:v>
                </c:pt>
                <c:pt idx="94">
                  <c:v>-7.4260056262707302E-4</c:v>
                </c:pt>
                <c:pt idx="95">
                  <c:v>-1.22676130256938E-3</c:v>
                </c:pt>
                <c:pt idx="96">
                  <c:v>-1.2763820788693301E-3</c:v>
                </c:pt>
                <c:pt idx="97">
                  <c:v>-1.65857862971063E-3</c:v>
                </c:pt>
                <c:pt idx="98">
                  <c:v>-1.49223573519939E-3</c:v>
                </c:pt>
                <c:pt idx="99">
                  <c:v>-1.17830089864952E-3</c:v>
                </c:pt>
                <c:pt idx="100">
                  <c:v>-7.03756145312985E-4</c:v>
                </c:pt>
                <c:pt idx="101">
                  <c:v>-2.7130535883728102E-4</c:v>
                </c:pt>
                <c:pt idx="102">
                  <c:v>-1.4836958395083001E-3</c:v>
                </c:pt>
                <c:pt idx="103">
                  <c:v>-1.4352596201145499E-3</c:v>
                </c:pt>
                <c:pt idx="104">
                  <c:v>-6.8866173328395095E-4</c:v>
                </c:pt>
                <c:pt idx="105">
                  <c:v>-2.9457599747877801E-4</c:v>
                </c:pt>
                <c:pt idx="106">
                  <c:v>6.1495186545179397E-4</c:v>
                </c:pt>
                <c:pt idx="107">
                  <c:v>9.2348304681866695E-5</c:v>
                </c:pt>
                <c:pt idx="108">
                  <c:v>-5.11857972524086E-4</c:v>
                </c:pt>
                <c:pt idx="109">
                  <c:v>-5.5674582417328104E-4</c:v>
                </c:pt>
                <c:pt idx="110">
                  <c:v>-6.74994901172422E-4</c:v>
                </c:pt>
                <c:pt idx="111">
                  <c:v>5.8289122484780203E-5</c:v>
                </c:pt>
                <c:pt idx="112">
                  <c:v>-7.4184706054800998E-4</c:v>
                </c:pt>
                <c:pt idx="113">
                  <c:v>9.2157152186182796E-5</c:v>
                </c:pt>
                <c:pt idx="114">
                  <c:v>1.7995204386349599E-4</c:v>
                </c:pt>
                <c:pt idx="115">
                  <c:v>3.07575490865631E-4</c:v>
                </c:pt>
                <c:pt idx="116">
                  <c:v>1.25363081073508E-5</c:v>
                </c:pt>
                <c:pt idx="117">
                  <c:v>-1.6298282761470899E-4</c:v>
                </c:pt>
                <c:pt idx="118">
                  <c:v>-2.6041080416848802E-4</c:v>
                </c:pt>
                <c:pt idx="119">
                  <c:v>-1.5833642142802699E-4</c:v>
                </c:pt>
                <c:pt idx="120">
                  <c:v>-6.9138901717925502E-4</c:v>
                </c:pt>
                <c:pt idx="121">
                  <c:v>2.4562655710020999E-5</c:v>
                </c:pt>
                <c:pt idx="122">
                  <c:v>4.2523323996936102E-4</c:v>
                </c:pt>
                <c:pt idx="123">
                  <c:v>-7.8055420877838101E-4</c:v>
                </c:pt>
                <c:pt idx="124">
                  <c:v>-7.09090868039996E-4</c:v>
                </c:pt>
                <c:pt idx="125">
                  <c:v>-1.49198407458427E-3</c:v>
                </c:pt>
                <c:pt idx="126">
                  <c:v>-2.67594501149864E-3</c:v>
                </c:pt>
                <c:pt idx="127">
                  <c:v>-1.8191849942547299E-3</c:v>
                </c:pt>
                <c:pt idx="128">
                  <c:v>-2.2605087308007399E-3</c:v>
                </c:pt>
                <c:pt idx="129">
                  <c:v>-9.4600588631173102E-4</c:v>
                </c:pt>
                <c:pt idx="130">
                  <c:v>-6.6322519145610296E-4</c:v>
                </c:pt>
                <c:pt idx="131">
                  <c:v>-8.0226866286016104E-4</c:v>
                </c:pt>
                <c:pt idx="132">
                  <c:v>-1.0332285702775001E-3</c:v>
                </c:pt>
                <c:pt idx="133">
                  <c:v>-1.04962254290149E-4</c:v>
                </c:pt>
                <c:pt idx="134">
                  <c:v>-6.2186263224020804E-4</c:v>
                </c:pt>
                <c:pt idx="135">
                  <c:v>-6.6427212752235296E-4</c:v>
                </c:pt>
                <c:pt idx="136">
                  <c:v>-1.5745109772789499E-3</c:v>
                </c:pt>
                <c:pt idx="137">
                  <c:v>-1.1131504366547901E-3</c:v>
                </c:pt>
                <c:pt idx="138">
                  <c:v>-1.16528624831219E-3</c:v>
                </c:pt>
                <c:pt idx="139">
                  <c:v>-2.39255956003845E-4</c:v>
                </c:pt>
                <c:pt idx="140">
                  <c:v>-9.5914010910681596E-4</c:v>
                </c:pt>
                <c:pt idx="141">
                  <c:v>-1.6230628317021999E-3</c:v>
                </c:pt>
                <c:pt idx="142">
                  <c:v>-7.3616406302377704E-4</c:v>
                </c:pt>
                <c:pt idx="143">
                  <c:v>-1.0463933834445199E-3</c:v>
                </c:pt>
                <c:pt idx="144">
                  <c:v>-2.08185872666214E-5</c:v>
                </c:pt>
                <c:pt idx="145">
                  <c:v>-1.3605753184040301E-3</c:v>
                </c:pt>
                <c:pt idx="146">
                  <c:v>-1.3619392605232501E-3</c:v>
                </c:pt>
                <c:pt idx="147">
                  <c:v>-3.4563804277294399E-4</c:v>
                </c:pt>
                <c:pt idx="148">
                  <c:v>2.35894605641675E-5</c:v>
                </c:pt>
                <c:pt idx="149">
                  <c:v>-3.2793737863410599E-4</c:v>
                </c:pt>
                <c:pt idx="150">
                  <c:v>1.49179625011206E-4</c:v>
                </c:pt>
                <c:pt idx="151">
                  <c:v>-7.6432260510335193E-6</c:v>
                </c:pt>
                <c:pt idx="152">
                  <c:v>-3.6728531931411401E-4</c:v>
                </c:pt>
                <c:pt idx="153">
                  <c:v>-3.5066619868019699E-4</c:v>
                </c:pt>
                <c:pt idx="154">
                  <c:v>7.3005310395262801E-4</c:v>
                </c:pt>
                <c:pt idx="155">
                  <c:v>9.4712050780462504E-4</c:v>
                </c:pt>
                <c:pt idx="156">
                  <c:v>5.1342324109360303E-4</c:v>
                </c:pt>
                <c:pt idx="157">
                  <c:v>-2.2983121956973601E-4</c:v>
                </c:pt>
                <c:pt idx="158">
                  <c:v>9.4008764886427604E-4</c:v>
                </c:pt>
                <c:pt idx="159">
                  <c:v>8.1978253999996599E-4</c:v>
                </c:pt>
                <c:pt idx="160">
                  <c:v>6.5801043713456704E-4</c:v>
                </c:pt>
                <c:pt idx="161">
                  <c:v>-1.1192306318245699E-4</c:v>
                </c:pt>
                <c:pt idx="162">
                  <c:v>-4.7018002601872298E-4</c:v>
                </c:pt>
                <c:pt idx="163">
                  <c:v>8.3229950076137604E-4</c:v>
                </c:pt>
                <c:pt idx="164">
                  <c:v>4.1329467292374698E-4</c:v>
                </c:pt>
                <c:pt idx="165">
                  <c:v>6.1011726089400104E-4</c:v>
                </c:pt>
                <c:pt idx="166">
                  <c:v>-4.1265606261532403E-5</c:v>
                </c:pt>
                <c:pt idx="167">
                  <c:v>-4.3800304257737702E-4</c:v>
                </c:pt>
                <c:pt idx="168">
                  <c:v>-1.02460403844102E-3</c:v>
                </c:pt>
                <c:pt idx="169">
                  <c:v>-4.2719554972171499E-4</c:v>
                </c:pt>
                <c:pt idx="170">
                  <c:v>-9.3499069534301398E-4</c:v>
                </c:pt>
                <c:pt idx="171">
                  <c:v>-1.6182909464519E-3</c:v>
                </c:pt>
                <c:pt idx="172">
                  <c:v>-4.9839952615725195E-4</c:v>
                </c:pt>
                <c:pt idx="173">
                  <c:v>-3.6002648173996102E-4</c:v>
                </c:pt>
                <c:pt idx="174">
                  <c:v>-1.54579917422342E-3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24-413F-AB0F-818D7485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1.8119000816461399E-3</c:v>
                </c:pt>
                <c:pt idx="23">
                  <c:v>1.8119000816461399E-3</c:v>
                </c:pt>
                <c:pt idx="24">
                  <c:v>1.8119000816461399E-3</c:v>
                </c:pt>
                <c:pt idx="25">
                  <c:v>1.8119000816461399E-3</c:v>
                </c:pt>
                <c:pt idx="26">
                  <c:v>1.8119000816461399E-3</c:v>
                </c:pt>
                <c:pt idx="27">
                  <c:v>1.8119000816461399E-3</c:v>
                </c:pt>
                <c:pt idx="28">
                  <c:v>1.8119000816461399E-3</c:v>
                </c:pt>
                <c:pt idx="29">
                  <c:v>1.8119000816461399E-3</c:v>
                </c:pt>
                <c:pt idx="30">
                  <c:v>1.8119000816461399E-3</c:v>
                </c:pt>
                <c:pt idx="31">
                  <c:v>1.8119000816461399E-3</c:v>
                </c:pt>
                <c:pt idx="32">
                  <c:v>1.8119000816461399E-3</c:v>
                </c:pt>
                <c:pt idx="33">
                  <c:v>1.8119000816461399E-3</c:v>
                </c:pt>
                <c:pt idx="34">
                  <c:v>1.8119000816461399E-3</c:v>
                </c:pt>
                <c:pt idx="35">
                  <c:v>1.8119000816461399E-3</c:v>
                </c:pt>
                <c:pt idx="36">
                  <c:v>1.8119000816461399E-3</c:v>
                </c:pt>
                <c:pt idx="37">
                  <c:v>1.8119000816461399E-3</c:v>
                </c:pt>
                <c:pt idx="38">
                  <c:v>1.8119000816461399E-3</c:v>
                </c:pt>
                <c:pt idx="39">
                  <c:v>1.8119000816461399E-3</c:v>
                </c:pt>
                <c:pt idx="40">
                  <c:v>1.8119000816461399E-3</c:v>
                </c:pt>
                <c:pt idx="41">
                  <c:v>1.8119000816461399E-3</c:v>
                </c:pt>
                <c:pt idx="42">
                  <c:v>1.8119000816461399E-3</c:v>
                </c:pt>
                <c:pt idx="43">
                  <c:v>1.8119000816461399E-3</c:v>
                </c:pt>
                <c:pt idx="44">
                  <c:v>1.8119000816461399E-3</c:v>
                </c:pt>
                <c:pt idx="45">
                  <c:v>1.8119000816461399E-3</c:v>
                </c:pt>
                <c:pt idx="46">
                  <c:v>2.12431412005883E-3</c:v>
                </c:pt>
                <c:pt idx="47">
                  <c:v>2.3789794416419971E-3</c:v>
                </c:pt>
                <c:pt idx="48">
                  <c:v>2.0790238080581579E-3</c:v>
                </c:pt>
                <c:pt idx="49">
                  <c:v>1.779164965891358E-3</c:v>
                </c:pt>
                <c:pt idx="50">
                  <c:v>3.0669434283419486E-3</c:v>
                </c:pt>
                <c:pt idx="51">
                  <c:v>3.0669434283419486E-3</c:v>
                </c:pt>
                <c:pt idx="52">
                  <c:v>3.0669434283419486E-3</c:v>
                </c:pt>
                <c:pt idx="53">
                  <c:v>3.0669434283419486E-3</c:v>
                </c:pt>
                <c:pt idx="54">
                  <c:v>3.0669434283419486E-3</c:v>
                </c:pt>
                <c:pt idx="55">
                  <c:v>3.0669434283419486E-3</c:v>
                </c:pt>
                <c:pt idx="56">
                  <c:v>3.0669434283419486E-3</c:v>
                </c:pt>
                <c:pt idx="57">
                  <c:v>3.0669434283419486E-3</c:v>
                </c:pt>
                <c:pt idx="58">
                  <c:v>3.0669434283419486E-3</c:v>
                </c:pt>
                <c:pt idx="59">
                  <c:v>3.0669434283419486E-3</c:v>
                </c:pt>
                <c:pt idx="60">
                  <c:v>3.0669434283419486E-3</c:v>
                </c:pt>
                <c:pt idx="61">
                  <c:v>3.0669434283419486E-3</c:v>
                </c:pt>
                <c:pt idx="62">
                  <c:v>3.0669434283419486E-3</c:v>
                </c:pt>
                <c:pt idx="63">
                  <c:v>3.0669434283419486E-3</c:v>
                </c:pt>
                <c:pt idx="64">
                  <c:v>3.0669434283419486E-3</c:v>
                </c:pt>
                <c:pt idx="65">
                  <c:v>3.0669434283419486E-3</c:v>
                </c:pt>
                <c:pt idx="66">
                  <c:v>3.0669434283419486E-3</c:v>
                </c:pt>
                <c:pt idx="67">
                  <c:v>3.0669434283419486E-3</c:v>
                </c:pt>
                <c:pt idx="68">
                  <c:v>3.0669434283419486E-3</c:v>
                </c:pt>
                <c:pt idx="69">
                  <c:v>3.0669434283419486E-3</c:v>
                </c:pt>
                <c:pt idx="70">
                  <c:v>3.0669434283419486E-3</c:v>
                </c:pt>
                <c:pt idx="71">
                  <c:v>3.0669434283419486E-3</c:v>
                </c:pt>
                <c:pt idx="72">
                  <c:v>3.0669434283419486E-3</c:v>
                </c:pt>
                <c:pt idx="73">
                  <c:v>3.0669434283419486E-3</c:v>
                </c:pt>
                <c:pt idx="74">
                  <c:v>3.0669434283419486E-3</c:v>
                </c:pt>
                <c:pt idx="75">
                  <c:v>3.0669434283419486E-3</c:v>
                </c:pt>
                <c:pt idx="76">
                  <c:v>3.0669434283419486E-3</c:v>
                </c:pt>
                <c:pt idx="77">
                  <c:v>3.0669434283419486E-3</c:v>
                </c:pt>
                <c:pt idx="78">
                  <c:v>3.1048494002810685E-3</c:v>
                </c:pt>
                <c:pt idx="79">
                  <c:v>3.3006368320349184E-3</c:v>
                </c:pt>
                <c:pt idx="80">
                  <c:v>3.6848363383048081E-3</c:v>
                </c:pt>
                <c:pt idx="81">
                  <c:v>3.990656091472978E-3</c:v>
                </c:pt>
                <c:pt idx="82">
                  <c:v>3.990656091472978E-3</c:v>
                </c:pt>
                <c:pt idx="83">
                  <c:v>3.990656091472978E-3</c:v>
                </c:pt>
                <c:pt idx="84">
                  <c:v>3.990656091472978E-3</c:v>
                </c:pt>
                <c:pt idx="85">
                  <c:v>3.990656091472978E-3</c:v>
                </c:pt>
                <c:pt idx="86">
                  <c:v>3.990656091472978E-3</c:v>
                </c:pt>
                <c:pt idx="87">
                  <c:v>3.990656091472978E-3</c:v>
                </c:pt>
                <c:pt idx="88">
                  <c:v>3.990656091472978E-3</c:v>
                </c:pt>
                <c:pt idx="89">
                  <c:v>3.990656091472978E-3</c:v>
                </c:pt>
                <c:pt idx="90">
                  <c:v>3.990656091472978E-3</c:v>
                </c:pt>
                <c:pt idx="91">
                  <c:v>3.990656091472978E-3</c:v>
                </c:pt>
                <c:pt idx="92">
                  <c:v>3.990656091472978E-3</c:v>
                </c:pt>
                <c:pt idx="93">
                  <c:v>3.990656091472978E-3</c:v>
                </c:pt>
                <c:pt idx="94">
                  <c:v>3.990656091472978E-3</c:v>
                </c:pt>
                <c:pt idx="95">
                  <c:v>3.990656091472978E-3</c:v>
                </c:pt>
                <c:pt idx="96">
                  <c:v>3.990656091472978E-3</c:v>
                </c:pt>
                <c:pt idx="97">
                  <c:v>3.990656091472978E-3</c:v>
                </c:pt>
                <c:pt idx="98">
                  <c:v>3.990656091472978E-3</c:v>
                </c:pt>
                <c:pt idx="99">
                  <c:v>3.990656091472978E-3</c:v>
                </c:pt>
                <c:pt idx="100">
                  <c:v>3.990656091472978E-3</c:v>
                </c:pt>
                <c:pt idx="101">
                  <c:v>3.990656091472978E-3</c:v>
                </c:pt>
                <c:pt idx="102">
                  <c:v>3.990656091472978E-3</c:v>
                </c:pt>
                <c:pt idx="103">
                  <c:v>3.990656091472978E-3</c:v>
                </c:pt>
                <c:pt idx="104">
                  <c:v>3.990656091472978E-3</c:v>
                </c:pt>
                <c:pt idx="105">
                  <c:v>3.990656091472978E-3</c:v>
                </c:pt>
                <c:pt idx="106">
                  <c:v>3.990656091472978E-3</c:v>
                </c:pt>
                <c:pt idx="107">
                  <c:v>4.6551316535306305E-3</c:v>
                </c:pt>
                <c:pt idx="108">
                  <c:v>4.0821092328816007E-3</c:v>
                </c:pt>
                <c:pt idx="109">
                  <c:v>5.2676554499517508E-3</c:v>
                </c:pt>
                <c:pt idx="110">
                  <c:v>5.4861241437870615E-3</c:v>
                </c:pt>
                <c:pt idx="111">
                  <c:v>5.4861241437870615E-3</c:v>
                </c:pt>
                <c:pt idx="112">
                  <c:v>5.4861241437870615E-3</c:v>
                </c:pt>
                <c:pt idx="113">
                  <c:v>5.4861241437870615E-3</c:v>
                </c:pt>
                <c:pt idx="114">
                  <c:v>5.4861241437870615E-3</c:v>
                </c:pt>
                <c:pt idx="115">
                  <c:v>5.4861241437870615E-3</c:v>
                </c:pt>
                <c:pt idx="116">
                  <c:v>5.4861241437870615E-3</c:v>
                </c:pt>
                <c:pt idx="117">
                  <c:v>5.4861241437870615E-3</c:v>
                </c:pt>
                <c:pt idx="118">
                  <c:v>5.4861241437870615E-3</c:v>
                </c:pt>
                <c:pt idx="119">
                  <c:v>5.4861241437870615E-3</c:v>
                </c:pt>
                <c:pt idx="120">
                  <c:v>5.4861241437870615E-3</c:v>
                </c:pt>
                <c:pt idx="121">
                  <c:v>5.4861241437870615E-3</c:v>
                </c:pt>
                <c:pt idx="122">
                  <c:v>6.2115312987151509E-3</c:v>
                </c:pt>
                <c:pt idx="123">
                  <c:v>5.7577009080811209E-3</c:v>
                </c:pt>
                <c:pt idx="124">
                  <c:v>6.6745486111423388E-3</c:v>
                </c:pt>
                <c:pt idx="125">
                  <c:v>6.6745486111423388E-3</c:v>
                </c:pt>
                <c:pt idx="126">
                  <c:v>6.6745486111423388E-3</c:v>
                </c:pt>
                <c:pt idx="127">
                  <c:v>6.6745486111423388E-3</c:v>
                </c:pt>
                <c:pt idx="128">
                  <c:v>6.6745486111423388E-3</c:v>
                </c:pt>
                <c:pt idx="129">
                  <c:v>6.6745486111423388E-3</c:v>
                </c:pt>
                <c:pt idx="130">
                  <c:v>6.6745486111423388E-3</c:v>
                </c:pt>
                <c:pt idx="131">
                  <c:v>6.6745486111423388E-3</c:v>
                </c:pt>
                <c:pt idx="132">
                  <c:v>6.6745486111423388E-3</c:v>
                </c:pt>
                <c:pt idx="133">
                  <c:v>6.6745486111423388E-3</c:v>
                </c:pt>
                <c:pt idx="134">
                  <c:v>6.6745486111423388E-3</c:v>
                </c:pt>
                <c:pt idx="135">
                  <c:v>6.6745486111423388E-3</c:v>
                </c:pt>
                <c:pt idx="136">
                  <c:v>6.6745486111423388E-3</c:v>
                </c:pt>
                <c:pt idx="137">
                  <c:v>6.6745486111423388E-3</c:v>
                </c:pt>
                <c:pt idx="138">
                  <c:v>6.6745486111423388E-3</c:v>
                </c:pt>
                <c:pt idx="139">
                  <c:v>6.6745486111423388E-3</c:v>
                </c:pt>
                <c:pt idx="140">
                  <c:v>6.6745486111423388E-3</c:v>
                </c:pt>
                <c:pt idx="141">
                  <c:v>6.6745486111423388E-3</c:v>
                </c:pt>
                <c:pt idx="142">
                  <c:v>6.6745486111423388E-3</c:v>
                </c:pt>
                <c:pt idx="143">
                  <c:v>6.6745486111423388E-3</c:v>
                </c:pt>
                <c:pt idx="144">
                  <c:v>6.6745486111423388E-3</c:v>
                </c:pt>
                <c:pt idx="145">
                  <c:v>6.6745486111423388E-3</c:v>
                </c:pt>
                <c:pt idx="146">
                  <c:v>6.6745486111423388E-3</c:v>
                </c:pt>
                <c:pt idx="147">
                  <c:v>6.6745486111423388E-3</c:v>
                </c:pt>
                <c:pt idx="148">
                  <c:v>6.6745486111423388E-3</c:v>
                </c:pt>
                <c:pt idx="149">
                  <c:v>6.6745486111423388E-3</c:v>
                </c:pt>
                <c:pt idx="150">
                  <c:v>6.6745486111423388E-3</c:v>
                </c:pt>
                <c:pt idx="151">
                  <c:v>6.6745486111423388E-3</c:v>
                </c:pt>
                <c:pt idx="152">
                  <c:v>6.6745486111423388E-3</c:v>
                </c:pt>
                <c:pt idx="153">
                  <c:v>6.6745486111423388E-3</c:v>
                </c:pt>
                <c:pt idx="154">
                  <c:v>6.6745486111423388E-3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F-48A1-91B5-1892D8447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-4.508331623609297E-4</c:v>
                </c:pt>
                <c:pt idx="28">
                  <c:v>1.0315240959678099E-3</c:v>
                </c:pt>
                <c:pt idx="29">
                  <c:v>4.0834090229211958E-4</c:v>
                </c:pt>
                <c:pt idx="30">
                  <c:v>1.809779032804896E-4</c:v>
                </c:pt>
                <c:pt idx="31">
                  <c:v>5.1656203185134917E-4</c:v>
                </c:pt>
                <c:pt idx="32">
                  <c:v>1.4063961595512289E-3</c:v>
                </c:pt>
                <c:pt idx="33">
                  <c:v>1.4063961595512289E-3</c:v>
                </c:pt>
                <c:pt idx="34">
                  <c:v>3.4887190708980179E-3</c:v>
                </c:pt>
                <c:pt idx="35">
                  <c:v>3.4887190708980179E-3</c:v>
                </c:pt>
                <c:pt idx="36">
                  <c:v>3.4887190708980179E-3</c:v>
                </c:pt>
                <c:pt idx="37">
                  <c:v>3.4887190708980179E-3</c:v>
                </c:pt>
                <c:pt idx="38">
                  <c:v>3.4887190708980179E-3</c:v>
                </c:pt>
                <c:pt idx="39">
                  <c:v>3.4887190708980179E-3</c:v>
                </c:pt>
                <c:pt idx="40">
                  <c:v>3.4887190708980179E-3</c:v>
                </c:pt>
                <c:pt idx="41">
                  <c:v>3.4887190708980179E-3</c:v>
                </c:pt>
                <c:pt idx="42">
                  <c:v>3.4887190708980179E-3</c:v>
                </c:pt>
                <c:pt idx="43">
                  <c:v>3.4887190708980179E-3</c:v>
                </c:pt>
                <c:pt idx="44">
                  <c:v>3.4887190708980179E-3</c:v>
                </c:pt>
                <c:pt idx="45">
                  <c:v>6.7104381091813367E-3</c:v>
                </c:pt>
                <c:pt idx="46">
                  <c:v>6.7104381091813367E-3</c:v>
                </c:pt>
                <c:pt idx="47">
                  <c:v>6.7104381091813367E-3</c:v>
                </c:pt>
                <c:pt idx="48">
                  <c:v>6.7104381091813367E-3</c:v>
                </c:pt>
                <c:pt idx="49">
                  <c:v>6.7104381091813367E-3</c:v>
                </c:pt>
                <c:pt idx="50">
                  <c:v>6.7104381091813367E-3</c:v>
                </c:pt>
                <c:pt idx="51">
                  <c:v>6.7104381091813367E-3</c:v>
                </c:pt>
                <c:pt idx="52">
                  <c:v>6.7104381091813367E-3</c:v>
                </c:pt>
                <c:pt idx="53">
                  <c:v>6.7104381091813367E-3</c:v>
                </c:pt>
                <c:pt idx="54">
                  <c:v>6.7104381091813367E-3</c:v>
                </c:pt>
                <c:pt idx="55">
                  <c:v>6.7104381091813367E-3</c:v>
                </c:pt>
                <c:pt idx="56">
                  <c:v>6.7104381091813367E-3</c:v>
                </c:pt>
                <c:pt idx="57">
                  <c:v>6.7104381091813367E-3</c:v>
                </c:pt>
                <c:pt idx="58">
                  <c:v>6.7104381091813367E-3</c:v>
                </c:pt>
                <c:pt idx="59">
                  <c:v>6.7104381091813367E-3</c:v>
                </c:pt>
                <c:pt idx="60">
                  <c:v>6.7104381091813367E-3</c:v>
                </c:pt>
                <c:pt idx="61">
                  <c:v>6.7104381091813367E-3</c:v>
                </c:pt>
                <c:pt idx="62">
                  <c:v>6.7104381091813367E-3</c:v>
                </c:pt>
                <c:pt idx="63">
                  <c:v>6.7104381091813367E-3</c:v>
                </c:pt>
                <c:pt idx="64">
                  <c:v>6.7104381091813367E-3</c:v>
                </c:pt>
                <c:pt idx="65">
                  <c:v>6.7104381091813367E-3</c:v>
                </c:pt>
                <c:pt idx="66">
                  <c:v>6.7104381091813367E-3</c:v>
                </c:pt>
                <c:pt idx="67">
                  <c:v>6.7104381091813367E-3</c:v>
                </c:pt>
                <c:pt idx="68">
                  <c:v>6.7104381091813367E-3</c:v>
                </c:pt>
                <c:pt idx="69">
                  <c:v>6.7104381091813367E-3</c:v>
                </c:pt>
                <c:pt idx="70">
                  <c:v>6.7104381091813367E-3</c:v>
                </c:pt>
                <c:pt idx="71">
                  <c:v>6.7104381091813367E-3</c:v>
                </c:pt>
                <c:pt idx="72">
                  <c:v>6.7104381091813367E-3</c:v>
                </c:pt>
                <c:pt idx="73">
                  <c:v>6.7104381091813367E-3</c:v>
                </c:pt>
                <c:pt idx="74">
                  <c:v>6.7104381091813367E-3</c:v>
                </c:pt>
                <c:pt idx="75">
                  <c:v>6.7104381091813367E-3</c:v>
                </c:pt>
                <c:pt idx="76">
                  <c:v>6.7104381091813367E-3</c:v>
                </c:pt>
                <c:pt idx="77">
                  <c:v>6.7104381091813367E-3</c:v>
                </c:pt>
                <c:pt idx="78">
                  <c:v>6.7104381091813367E-3</c:v>
                </c:pt>
                <c:pt idx="79">
                  <c:v>6.7104381091813367E-3</c:v>
                </c:pt>
                <c:pt idx="80">
                  <c:v>6.7104381091813367E-3</c:v>
                </c:pt>
                <c:pt idx="81">
                  <c:v>6.7104381091813367E-3</c:v>
                </c:pt>
                <c:pt idx="82">
                  <c:v>6.7104381091813367E-3</c:v>
                </c:pt>
                <c:pt idx="83">
                  <c:v>6.7104381091813367E-3</c:v>
                </c:pt>
                <c:pt idx="84">
                  <c:v>6.7104381091813367E-3</c:v>
                </c:pt>
                <c:pt idx="85">
                  <c:v>6.7104381091813367E-3</c:v>
                </c:pt>
                <c:pt idx="86">
                  <c:v>6.7104381091813367E-3</c:v>
                </c:pt>
                <c:pt idx="87">
                  <c:v>7.2562964698442665E-3</c:v>
                </c:pt>
                <c:pt idx="88">
                  <c:v>7.8853492280009374E-3</c:v>
                </c:pt>
                <c:pt idx="89">
                  <c:v>7.8853492280009374E-3</c:v>
                </c:pt>
                <c:pt idx="90">
                  <c:v>7.8853492280009374E-3</c:v>
                </c:pt>
                <c:pt idx="91">
                  <c:v>7.8853492280009374E-3</c:v>
                </c:pt>
                <c:pt idx="92">
                  <c:v>7.8853492280009374E-3</c:v>
                </c:pt>
                <c:pt idx="93">
                  <c:v>7.8853492280009374E-3</c:v>
                </c:pt>
                <c:pt idx="94">
                  <c:v>7.8853492280009374E-3</c:v>
                </c:pt>
                <c:pt idx="95">
                  <c:v>7.8853492280009374E-3</c:v>
                </c:pt>
                <c:pt idx="96">
                  <c:v>7.8853492280009374E-3</c:v>
                </c:pt>
                <c:pt idx="97">
                  <c:v>7.8853492280009374E-3</c:v>
                </c:pt>
                <c:pt idx="98">
                  <c:v>7.8853492280009374E-3</c:v>
                </c:pt>
                <c:pt idx="99">
                  <c:v>7.8853492280009374E-3</c:v>
                </c:pt>
                <c:pt idx="100">
                  <c:v>7.8853492280009374E-3</c:v>
                </c:pt>
                <c:pt idx="101">
                  <c:v>7.8853492280009374E-3</c:v>
                </c:pt>
                <c:pt idx="102">
                  <c:v>7.8853492280009374E-3</c:v>
                </c:pt>
                <c:pt idx="103">
                  <c:v>7.8853492280009374E-3</c:v>
                </c:pt>
                <c:pt idx="104">
                  <c:v>7.8853492280009374E-3</c:v>
                </c:pt>
                <c:pt idx="105">
                  <c:v>7.8853492280009374E-3</c:v>
                </c:pt>
                <c:pt idx="106">
                  <c:v>7.8853492280009374E-3</c:v>
                </c:pt>
                <c:pt idx="107">
                  <c:v>7.8853492280009374E-3</c:v>
                </c:pt>
                <c:pt idx="108">
                  <c:v>7.8853492280009374E-3</c:v>
                </c:pt>
                <c:pt idx="109">
                  <c:v>7.8853492280009374E-3</c:v>
                </c:pt>
                <c:pt idx="110">
                  <c:v>7.8853492280009374E-3</c:v>
                </c:pt>
                <c:pt idx="111">
                  <c:v>7.8853492280009374E-3</c:v>
                </c:pt>
                <c:pt idx="112">
                  <c:v>7.8853492280009374E-3</c:v>
                </c:pt>
                <c:pt idx="113">
                  <c:v>7.8853492280009374E-3</c:v>
                </c:pt>
                <c:pt idx="114">
                  <c:v>7.8853492280009374E-3</c:v>
                </c:pt>
                <c:pt idx="115">
                  <c:v>7.8853492280009374E-3</c:v>
                </c:pt>
                <c:pt idx="116">
                  <c:v>7.8853492280009374E-3</c:v>
                </c:pt>
                <c:pt idx="117">
                  <c:v>7.8853492280009374E-3</c:v>
                </c:pt>
                <c:pt idx="118">
                  <c:v>7.8853492280009374E-3</c:v>
                </c:pt>
                <c:pt idx="119">
                  <c:v>7.8853492280009374E-3</c:v>
                </c:pt>
                <c:pt idx="120">
                  <c:v>7.8853492280009374E-3</c:v>
                </c:pt>
                <c:pt idx="121">
                  <c:v>7.8853492280009374E-3</c:v>
                </c:pt>
                <c:pt idx="122">
                  <c:v>7.8853492280009374E-3</c:v>
                </c:pt>
                <c:pt idx="123">
                  <c:v>7.8853492280009374E-3</c:v>
                </c:pt>
                <c:pt idx="124">
                  <c:v>7.8853492280009374E-3</c:v>
                </c:pt>
                <c:pt idx="125">
                  <c:v>7.8853492280009374E-3</c:v>
                </c:pt>
                <c:pt idx="126">
                  <c:v>7.8853492280009374E-3</c:v>
                </c:pt>
                <c:pt idx="127">
                  <c:v>7.8853492280009374E-3</c:v>
                </c:pt>
                <c:pt idx="128">
                  <c:v>7.8853492280009374E-3</c:v>
                </c:pt>
                <c:pt idx="129">
                  <c:v>7.8853492280009374E-3</c:v>
                </c:pt>
                <c:pt idx="130">
                  <c:v>7.8853492280009374E-3</c:v>
                </c:pt>
                <c:pt idx="131">
                  <c:v>7.8853492280009374E-3</c:v>
                </c:pt>
                <c:pt idx="132">
                  <c:v>7.8853492280009374E-3</c:v>
                </c:pt>
                <c:pt idx="133">
                  <c:v>7.8853492280009374E-3</c:v>
                </c:pt>
                <c:pt idx="134">
                  <c:v>7.8853492280009374E-3</c:v>
                </c:pt>
                <c:pt idx="135">
                  <c:v>7.6803406637046675E-3</c:v>
                </c:pt>
                <c:pt idx="136">
                  <c:v>8.1093401704797185E-3</c:v>
                </c:pt>
                <c:pt idx="137">
                  <c:v>8.8188771289412285E-3</c:v>
                </c:pt>
                <c:pt idx="138">
                  <c:v>7.6670368114942784E-3</c:v>
                </c:pt>
                <c:pt idx="139">
                  <c:v>7.7397780512008475E-3</c:v>
                </c:pt>
                <c:pt idx="140">
                  <c:v>7.8982629658268782E-3</c:v>
                </c:pt>
                <c:pt idx="141">
                  <c:v>8.6329794694358294E-3</c:v>
                </c:pt>
                <c:pt idx="142">
                  <c:v>8.9550088526642608E-3</c:v>
                </c:pt>
                <c:pt idx="143">
                  <c:v>8.9550088526642608E-3</c:v>
                </c:pt>
                <c:pt idx="144">
                  <c:v>8.9550088526642608E-3</c:v>
                </c:pt>
                <c:pt idx="145">
                  <c:v>8.9550088526642608E-3</c:v>
                </c:pt>
                <c:pt idx="146">
                  <c:v>8.9550088526642608E-3</c:v>
                </c:pt>
                <c:pt idx="147">
                  <c:v>8.9550088526642608E-3</c:v>
                </c:pt>
                <c:pt idx="148">
                  <c:v>8.9550088526642608E-3</c:v>
                </c:pt>
                <c:pt idx="149">
                  <c:v>8.9550088526642608E-3</c:v>
                </c:pt>
                <c:pt idx="150">
                  <c:v>8.9550088526642608E-3</c:v>
                </c:pt>
                <c:pt idx="151">
                  <c:v>8.9550088526642608E-3</c:v>
                </c:pt>
                <c:pt idx="152">
                  <c:v>8.9550088526642608E-3</c:v>
                </c:pt>
                <c:pt idx="153">
                  <c:v>8.9550088526642608E-3</c:v>
                </c:pt>
                <c:pt idx="154">
                  <c:v>8.9550088526642608E-3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A-4872-94E3-57E7B820C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1.8119000816461399E-3</c:v>
                </c:pt>
                <c:pt idx="23">
                  <c:v>1.8119000816461399E-3</c:v>
                </c:pt>
                <c:pt idx="24">
                  <c:v>1.8119000816461399E-3</c:v>
                </c:pt>
                <c:pt idx="25">
                  <c:v>1.8119000816461399E-3</c:v>
                </c:pt>
                <c:pt idx="26">
                  <c:v>1.8119000816461399E-3</c:v>
                </c:pt>
                <c:pt idx="27">
                  <c:v>1.3610669192852102E-3</c:v>
                </c:pt>
                <c:pt idx="28">
                  <c:v>2.8434241776139498E-3</c:v>
                </c:pt>
                <c:pt idx="29">
                  <c:v>2.2202409839382595E-3</c:v>
                </c:pt>
                <c:pt idx="30">
                  <c:v>1.9928779849266295E-3</c:v>
                </c:pt>
                <c:pt idx="31">
                  <c:v>2.3284621134974891E-3</c:v>
                </c:pt>
                <c:pt idx="32">
                  <c:v>3.2182962411973688E-3</c:v>
                </c:pt>
                <c:pt idx="33">
                  <c:v>3.2182962411973688E-3</c:v>
                </c:pt>
                <c:pt idx="34">
                  <c:v>5.3006191525441573E-3</c:v>
                </c:pt>
                <c:pt idx="35">
                  <c:v>5.3006191525441573E-3</c:v>
                </c:pt>
                <c:pt idx="36">
                  <c:v>5.3006191525441573E-3</c:v>
                </c:pt>
                <c:pt idx="37">
                  <c:v>5.3006191525441573E-3</c:v>
                </c:pt>
                <c:pt idx="38">
                  <c:v>5.3006191525441573E-3</c:v>
                </c:pt>
                <c:pt idx="39">
                  <c:v>5.3006191525441573E-3</c:v>
                </c:pt>
                <c:pt idx="40">
                  <c:v>5.3006191525441573E-3</c:v>
                </c:pt>
                <c:pt idx="41">
                  <c:v>5.3006191525441573E-3</c:v>
                </c:pt>
                <c:pt idx="42">
                  <c:v>5.3006191525441573E-3</c:v>
                </c:pt>
                <c:pt idx="43">
                  <c:v>5.3006191525441573E-3</c:v>
                </c:pt>
                <c:pt idx="44">
                  <c:v>5.3006191525441573E-3</c:v>
                </c:pt>
                <c:pt idx="45">
                  <c:v>8.5223381908274762E-3</c:v>
                </c:pt>
                <c:pt idx="46">
                  <c:v>8.8347522292401663E-3</c:v>
                </c:pt>
                <c:pt idx="47">
                  <c:v>9.0894175508233338E-3</c:v>
                </c:pt>
                <c:pt idx="48">
                  <c:v>8.7894619172394946E-3</c:v>
                </c:pt>
                <c:pt idx="49">
                  <c:v>8.4896030750726947E-3</c:v>
                </c:pt>
                <c:pt idx="50">
                  <c:v>9.7773815375232862E-3</c:v>
                </c:pt>
                <c:pt idx="51">
                  <c:v>9.7773815375232862E-3</c:v>
                </c:pt>
                <c:pt idx="52">
                  <c:v>9.7773815375232862E-3</c:v>
                </c:pt>
                <c:pt idx="53">
                  <c:v>9.7773815375232862E-3</c:v>
                </c:pt>
                <c:pt idx="54">
                  <c:v>9.7773815375232862E-3</c:v>
                </c:pt>
                <c:pt idx="55">
                  <c:v>9.7773815375232862E-3</c:v>
                </c:pt>
                <c:pt idx="56">
                  <c:v>9.7773815375232862E-3</c:v>
                </c:pt>
                <c:pt idx="57">
                  <c:v>9.7773815375232862E-3</c:v>
                </c:pt>
                <c:pt idx="58">
                  <c:v>9.7773815375232862E-3</c:v>
                </c:pt>
                <c:pt idx="59">
                  <c:v>9.7773815375232862E-3</c:v>
                </c:pt>
                <c:pt idx="60">
                  <c:v>9.7773815375232862E-3</c:v>
                </c:pt>
                <c:pt idx="61">
                  <c:v>9.7773815375232862E-3</c:v>
                </c:pt>
                <c:pt idx="62">
                  <c:v>9.7773815375232862E-3</c:v>
                </c:pt>
                <c:pt idx="63">
                  <c:v>9.7773815375232862E-3</c:v>
                </c:pt>
                <c:pt idx="64">
                  <c:v>9.7773815375232862E-3</c:v>
                </c:pt>
                <c:pt idx="65">
                  <c:v>9.7773815375232862E-3</c:v>
                </c:pt>
                <c:pt idx="66">
                  <c:v>9.7773815375232862E-3</c:v>
                </c:pt>
                <c:pt idx="67">
                  <c:v>9.7773815375232862E-3</c:v>
                </c:pt>
                <c:pt idx="68">
                  <c:v>9.7773815375232862E-3</c:v>
                </c:pt>
                <c:pt idx="69">
                  <c:v>9.7773815375232862E-3</c:v>
                </c:pt>
                <c:pt idx="70">
                  <c:v>9.7773815375232862E-3</c:v>
                </c:pt>
                <c:pt idx="71">
                  <c:v>9.7773815375232862E-3</c:v>
                </c:pt>
                <c:pt idx="72">
                  <c:v>9.7773815375232862E-3</c:v>
                </c:pt>
                <c:pt idx="73">
                  <c:v>9.7773815375232862E-3</c:v>
                </c:pt>
                <c:pt idx="74">
                  <c:v>9.7773815375232862E-3</c:v>
                </c:pt>
                <c:pt idx="75">
                  <c:v>9.7773815375232862E-3</c:v>
                </c:pt>
                <c:pt idx="76">
                  <c:v>9.7773815375232862E-3</c:v>
                </c:pt>
                <c:pt idx="77">
                  <c:v>9.7773815375232862E-3</c:v>
                </c:pt>
                <c:pt idx="78">
                  <c:v>9.8152875094624052E-3</c:v>
                </c:pt>
                <c:pt idx="79">
                  <c:v>1.0011074941216256E-2</c:v>
                </c:pt>
                <c:pt idx="80">
                  <c:v>1.0395274447486145E-2</c:v>
                </c:pt>
                <c:pt idx="81">
                  <c:v>1.0701094200654314E-2</c:v>
                </c:pt>
                <c:pt idx="82">
                  <c:v>1.0701094200654314E-2</c:v>
                </c:pt>
                <c:pt idx="83">
                  <c:v>1.0701094200654314E-2</c:v>
                </c:pt>
                <c:pt idx="84">
                  <c:v>1.0701094200654314E-2</c:v>
                </c:pt>
                <c:pt idx="85">
                  <c:v>1.0701094200654314E-2</c:v>
                </c:pt>
                <c:pt idx="86">
                  <c:v>1.0701094200654314E-2</c:v>
                </c:pt>
                <c:pt idx="87">
                  <c:v>1.1246952561317244E-2</c:v>
                </c:pt>
                <c:pt idx="88">
                  <c:v>1.1876005319473915E-2</c:v>
                </c:pt>
                <c:pt idx="89">
                  <c:v>1.1876005319473915E-2</c:v>
                </c:pt>
                <c:pt idx="90">
                  <c:v>1.1876005319473915E-2</c:v>
                </c:pt>
                <c:pt idx="91">
                  <c:v>1.1876005319473915E-2</c:v>
                </c:pt>
                <c:pt idx="92">
                  <c:v>1.1876005319473915E-2</c:v>
                </c:pt>
                <c:pt idx="93">
                  <c:v>1.1876005319473915E-2</c:v>
                </c:pt>
                <c:pt idx="94">
                  <c:v>1.1876005319473915E-2</c:v>
                </c:pt>
                <c:pt idx="95">
                  <c:v>1.1876005319473915E-2</c:v>
                </c:pt>
                <c:pt idx="96">
                  <c:v>1.1876005319473915E-2</c:v>
                </c:pt>
                <c:pt idx="97">
                  <c:v>1.1876005319473915E-2</c:v>
                </c:pt>
                <c:pt idx="98">
                  <c:v>1.1876005319473915E-2</c:v>
                </c:pt>
                <c:pt idx="99">
                  <c:v>1.1876005319473915E-2</c:v>
                </c:pt>
                <c:pt idx="100">
                  <c:v>1.1876005319473915E-2</c:v>
                </c:pt>
                <c:pt idx="101">
                  <c:v>1.1876005319473915E-2</c:v>
                </c:pt>
                <c:pt idx="102">
                  <c:v>1.1876005319473915E-2</c:v>
                </c:pt>
                <c:pt idx="103">
                  <c:v>1.1876005319473915E-2</c:v>
                </c:pt>
                <c:pt idx="104">
                  <c:v>1.1876005319473915E-2</c:v>
                </c:pt>
                <c:pt idx="105">
                  <c:v>1.1876005319473915E-2</c:v>
                </c:pt>
                <c:pt idx="106">
                  <c:v>1.1876005319473915E-2</c:v>
                </c:pt>
                <c:pt idx="107">
                  <c:v>1.2540480881531566E-2</c:v>
                </c:pt>
                <c:pt idx="108">
                  <c:v>1.1967458460882537E-2</c:v>
                </c:pt>
                <c:pt idx="109">
                  <c:v>1.3153004677952686E-2</c:v>
                </c:pt>
                <c:pt idx="110">
                  <c:v>1.3371473371787998E-2</c:v>
                </c:pt>
                <c:pt idx="111">
                  <c:v>1.3371473371787998E-2</c:v>
                </c:pt>
                <c:pt idx="112">
                  <c:v>1.3371473371787998E-2</c:v>
                </c:pt>
                <c:pt idx="113">
                  <c:v>1.3371473371787998E-2</c:v>
                </c:pt>
                <c:pt idx="114">
                  <c:v>1.3371473371787998E-2</c:v>
                </c:pt>
                <c:pt idx="115">
                  <c:v>1.3371473371787998E-2</c:v>
                </c:pt>
                <c:pt idx="116">
                  <c:v>1.3371473371787998E-2</c:v>
                </c:pt>
                <c:pt idx="117">
                  <c:v>1.3371473371787998E-2</c:v>
                </c:pt>
                <c:pt idx="118">
                  <c:v>1.3371473371787998E-2</c:v>
                </c:pt>
                <c:pt idx="119">
                  <c:v>1.3371473371787998E-2</c:v>
                </c:pt>
                <c:pt idx="120">
                  <c:v>1.3371473371787998E-2</c:v>
                </c:pt>
                <c:pt idx="121">
                  <c:v>1.3371473371787998E-2</c:v>
                </c:pt>
                <c:pt idx="122">
                  <c:v>1.4096880526716087E-2</c:v>
                </c:pt>
                <c:pt idx="123">
                  <c:v>1.3643050136082056E-2</c:v>
                </c:pt>
                <c:pt idx="124">
                  <c:v>1.4559897839143274E-2</c:v>
                </c:pt>
                <c:pt idx="125">
                  <c:v>1.4559897839143274E-2</c:v>
                </c:pt>
                <c:pt idx="126">
                  <c:v>1.4559897839143274E-2</c:v>
                </c:pt>
                <c:pt idx="127">
                  <c:v>1.4559897839143274E-2</c:v>
                </c:pt>
                <c:pt idx="128">
                  <c:v>1.4559897839143274E-2</c:v>
                </c:pt>
                <c:pt idx="129">
                  <c:v>1.4559897839143274E-2</c:v>
                </c:pt>
                <c:pt idx="130">
                  <c:v>1.4559897839143274E-2</c:v>
                </c:pt>
                <c:pt idx="131">
                  <c:v>1.4559897839143274E-2</c:v>
                </c:pt>
                <c:pt idx="132">
                  <c:v>1.4559897839143274E-2</c:v>
                </c:pt>
                <c:pt idx="133">
                  <c:v>1.4559897839143274E-2</c:v>
                </c:pt>
                <c:pt idx="134">
                  <c:v>1.4559897839143274E-2</c:v>
                </c:pt>
                <c:pt idx="135">
                  <c:v>1.4354889274847005E-2</c:v>
                </c:pt>
                <c:pt idx="136">
                  <c:v>1.4783888781622057E-2</c:v>
                </c:pt>
                <c:pt idx="137">
                  <c:v>1.5493425740083567E-2</c:v>
                </c:pt>
                <c:pt idx="138">
                  <c:v>1.4341585422636617E-2</c:v>
                </c:pt>
                <c:pt idx="139">
                  <c:v>1.4414326662343185E-2</c:v>
                </c:pt>
                <c:pt idx="140">
                  <c:v>1.4572811576969215E-2</c:v>
                </c:pt>
                <c:pt idx="141">
                  <c:v>1.5307528080578166E-2</c:v>
                </c:pt>
                <c:pt idx="142">
                  <c:v>1.5629557463806596E-2</c:v>
                </c:pt>
                <c:pt idx="143">
                  <c:v>1.5629557463806596E-2</c:v>
                </c:pt>
                <c:pt idx="144">
                  <c:v>1.5629557463806596E-2</c:v>
                </c:pt>
                <c:pt idx="145">
                  <c:v>1.5629557463806596E-2</c:v>
                </c:pt>
                <c:pt idx="146">
                  <c:v>1.5629557463806596E-2</c:v>
                </c:pt>
                <c:pt idx="147">
                  <c:v>1.5629557463806596E-2</c:v>
                </c:pt>
                <c:pt idx="148">
                  <c:v>1.5629557463806596E-2</c:v>
                </c:pt>
                <c:pt idx="149">
                  <c:v>1.5629557463806596E-2</c:v>
                </c:pt>
                <c:pt idx="150">
                  <c:v>1.5629557463806596E-2</c:v>
                </c:pt>
                <c:pt idx="151">
                  <c:v>1.5629557463806596E-2</c:v>
                </c:pt>
                <c:pt idx="152">
                  <c:v>1.5629557463806596E-2</c:v>
                </c:pt>
                <c:pt idx="153">
                  <c:v>1.5629557463806596E-2</c:v>
                </c:pt>
                <c:pt idx="154">
                  <c:v>1.5629557463806596E-2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F-4482-8448-AE0B90E0F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4C6FF-877A-4BDA-BF4C-7373EA646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D3AE5-3034-4A8C-A718-D1833457F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97F016-C83D-4A3D-AEBE-4E57D38CD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FD704C-A3FC-4195-A787-A0592D4C9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92FB5C-BC8E-4A88-A5C2-AF555F656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5FDBE9-D8AF-49B5-8B98-00F12C709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879EC3-21FF-478F-A214-A338E2A36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TEMPLATE.xlsx" TargetMode="External"/><Relationship Id="rId1" Type="http://schemas.openxmlformats.org/officeDocument/2006/relationships/externalLinkPath" Target="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HEI/HEI A avg</v>
          </cell>
          <cell r="P1" t="str">
            <v>HEI/HEI A 10 dma</v>
          </cell>
          <cell r="Q1" t="str">
            <v>HEI/HEI A 20 dma</v>
          </cell>
          <cell r="U1" t="str">
            <v>log diff HEI A x avg / HEI</v>
          </cell>
          <cell r="V1" t="str">
            <v>log diff HEI A x 10 dma / HEI</v>
          </cell>
          <cell r="W1" t="str">
            <v>log diff HEI A x 20 dma / HEI</v>
          </cell>
          <cell r="Y1" t="str">
            <v>HEI*/HEI A* avg</v>
          </cell>
          <cell r="Z1" t="str">
            <v>HEI*/HEI A* 10 dma</v>
          </cell>
          <cell r="AA1" t="str">
            <v>HEI*/HEI A* 20 dma</v>
          </cell>
          <cell r="AE1" t="str">
            <v>log diff HEI A* x avg / HEI*</v>
          </cell>
          <cell r="AF1" t="str">
            <v>log diff HEI A* x 10 dma / HEI*</v>
          </cell>
          <cell r="AG1" t="str">
            <v>log diff HEI A* x 20 dma / HEI*</v>
          </cell>
        </row>
        <row r="2">
          <cell r="O2">
            <v>1.3338063878300499</v>
          </cell>
          <cell r="Y2">
            <v>1.3338063878300499</v>
          </cell>
        </row>
        <row r="3">
          <cell r="O3">
            <v>1.3338063878300499</v>
          </cell>
          <cell r="U3">
            <v>3.79092861161619E-2</v>
          </cell>
          <cell r="Y3">
            <v>1.3338063878300499</v>
          </cell>
          <cell r="AE3">
            <v>3.79092861161619E-2</v>
          </cell>
        </row>
        <row r="4">
          <cell r="O4">
            <v>1.3338063878300499</v>
          </cell>
          <cell r="U4">
            <v>3.3895750640528598E-2</v>
          </cell>
          <cell r="Y4">
            <v>1.3338063878300499</v>
          </cell>
          <cell r="AE4">
            <v>3.3895750640528598E-2</v>
          </cell>
        </row>
        <row r="5">
          <cell r="O5">
            <v>1.3338063878300499</v>
          </cell>
          <cell r="U5">
            <v>2.9884110178559201E-2</v>
          </cell>
          <cell r="Y5">
            <v>1.3338063878300499</v>
          </cell>
          <cell r="AE5">
            <v>2.9884110178559201E-2</v>
          </cell>
        </row>
        <row r="6">
          <cell r="O6">
            <v>1.3338063878300499</v>
          </cell>
          <cell r="U6">
            <v>3.0718923557298099E-2</v>
          </cell>
          <cell r="Y6">
            <v>1.3338063878300499</v>
          </cell>
          <cell r="AE6">
            <v>3.0718923557298099E-2</v>
          </cell>
        </row>
        <row r="7">
          <cell r="O7">
            <v>1.3338063878300499</v>
          </cell>
          <cell r="U7">
            <v>3.0041302301067999E-2</v>
          </cell>
          <cell r="Y7">
            <v>1.3338063878300499</v>
          </cell>
          <cell r="AE7">
            <v>3.0041302301067999E-2</v>
          </cell>
        </row>
        <row r="8">
          <cell r="O8">
            <v>1.3338063878300499</v>
          </cell>
          <cell r="U8">
            <v>2.6381484547543799E-2</v>
          </cell>
          <cell r="Y8">
            <v>1.3338063878300499</v>
          </cell>
          <cell r="AE8">
            <v>2.6381484547543799E-2</v>
          </cell>
        </row>
        <row r="9">
          <cell r="O9">
            <v>1.3338063878300499</v>
          </cell>
          <cell r="U9">
            <v>2.58939136416045E-2</v>
          </cell>
          <cell r="Y9">
            <v>1.3338063878300499</v>
          </cell>
          <cell r="AE9">
            <v>2.58939136416045E-2</v>
          </cell>
          <cell r="AF9" t="str">
            <v>row</v>
          </cell>
        </row>
        <row r="10">
          <cell r="O10">
            <v>1.3338063878300499</v>
          </cell>
          <cell r="U10">
            <v>2.7212693061586999E-2</v>
          </cell>
          <cell r="Y10">
            <v>1.3338063878300499</v>
          </cell>
          <cell r="AE10">
            <v>2.7212693061586999E-2</v>
          </cell>
          <cell r="AF10" t="str">
            <v>col</v>
          </cell>
        </row>
        <row r="11">
          <cell r="O11">
            <v>1.3338063878300499</v>
          </cell>
          <cell r="P11">
            <v>1.29294110243798</v>
          </cell>
          <cell r="U11">
            <v>2.8263857715585601E-2</v>
          </cell>
          <cell r="Y11">
            <v>1.3338063878300499</v>
          </cell>
          <cell r="Z11">
            <v>1.29294110243798</v>
          </cell>
          <cell r="AE11">
            <v>2.8263857715585601E-2</v>
          </cell>
        </row>
        <row r="12">
          <cell r="O12">
            <v>1.3338063878300499</v>
          </cell>
          <cell r="P12">
            <v>1.2943625855015399</v>
          </cell>
          <cell r="U12">
            <v>3.00424943766881E-2</v>
          </cell>
          <cell r="V12">
            <v>-1.0747583640456199E-3</v>
          </cell>
          <cell r="Y12">
            <v>1.3338063878300499</v>
          </cell>
          <cell r="Z12">
            <v>1.2943625855015399</v>
          </cell>
          <cell r="AE12">
            <v>3.00424943766881E-2</v>
          </cell>
          <cell r="AF12">
            <v>-1.0747583640456199E-3</v>
          </cell>
        </row>
        <row r="13">
          <cell r="O13">
            <v>1.3338063878300499</v>
          </cell>
          <cell r="P13">
            <v>1.2949387272911801</v>
          </cell>
          <cell r="U13">
            <v>3.3432895469621603E-2</v>
          </cell>
          <cell r="V13">
            <v>3.4144570761993199E-3</v>
          </cell>
          <cell r="Y13">
            <v>1.3338063878300499</v>
          </cell>
          <cell r="Z13">
            <v>1.2949387272911801</v>
          </cell>
          <cell r="AE13">
            <v>3.3432895469621603E-2</v>
          </cell>
          <cell r="AF13">
            <v>3.4144570761993199E-3</v>
          </cell>
        </row>
        <row r="14">
          <cell r="O14">
            <v>1.3338063878300499</v>
          </cell>
          <cell r="P14">
            <v>1.29518241087869</v>
          </cell>
          <cell r="U14">
            <v>3.2007567367947E-2</v>
          </cell>
          <cell r="V14">
            <v>2.4341461660740298E-3</v>
          </cell>
          <cell r="Y14">
            <v>1.3338063878300499</v>
          </cell>
          <cell r="Z14">
            <v>1.29518241087869</v>
          </cell>
          <cell r="AE14">
            <v>3.2007567367947E-2</v>
          </cell>
          <cell r="AF14">
            <v>2.4341461660740298E-3</v>
          </cell>
        </row>
        <row r="15">
          <cell r="O15">
            <v>1.3338063878300499</v>
          </cell>
          <cell r="P15">
            <v>1.2952365856613599</v>
          </cell>
          <cell r="U15">
            <v>2.94657098362178E-2</v>
          </cell>
          <cell r="V15">
            <v>8.0452488649974699E-5</v>
          </cell>
          <cell r="Y15">
            <v>1.3338063878300499</v>
          </cell>
          <cell r="Z15">
            <v>1.2952365856613599</v>
          </cell>
          <cell r="AE15">
            <v>2.94657098362178E-2</v>
          </cell>
          <cell r="AF15">
            <v>8.0452488649974699E-5</v>
          </cell>
        </row>
        <row r="16">
          <cell r="O16">
            <v>1.3338063878300499</v>
          </cell>
          <cell r="P16">
            <v>1.29551729116384</v>
          </cell>
          <cell r="U16">
            <v>2.85510778682748E-2</v>
          </cell>
          <cell r="V16">
            <v>-7.9235243683922795E-4</v>
          </cell>
          <cell r="Y16">
            <v>1.3338063878300499</v>
          </cell>
          <cell r="Z16">
            <v>1.29551729116384</v>
          </cell>
          <cell r="AE16">
            <v>2.85510778682748E-2</v>
          </cell>
          <cell r="AF16">
            <v>-7.9235243683922795E-4</v>
          </cell>
        </row>
        <row r="17">
          <cell r="O17">
            <v>1.3338063878300499</v>
          </cell>
          <cell r="P17">
            <v>1.2958966971539501</v>
          </cell>
          <cell r="U17">
            <v>2.71143043557815E-2</v>
          </cell>
          <cell r="V17">
            <v>-2.0124280174370702E-3</v>
          </cell>
          <cell r="Y17">
            <v>1.3338063878300499</v>
          </cell>
          <cell r="Z17">
            <v>1.2958966971539501</v>
          </cell>
          <cell r="AE17">
            <v>2.71143043557815E-2</v>
          </cell>
          <cell r="AF17">
            <v>-2.0124280174370702E-3</v>
          </cell>
        </row>
        <row r="18">
          <cell r="O18">
            <v>1.3338063878300499</v>
          </cell>
          <cell r="P18">
            <v>1.2955315865646</v>
          </cell>
          <cell r="U18">
            <v>2.9195976329977499E-2</v>
          </cell>
          <cell r="V18">
            <v>3.62061696056911E-4</v>
          </cell>
          <cell r="Y18">
            <v>1.3338063878300499</v>
          </cell>
          <cell r="Z18">
            <v>1.2955315865646</v>
          </cell>
          <cell r="AE18">
            <v>2.9195976329977499E-2</v>
          </cell>
          <cell r="AF18">
            <v>3.62061696056911E-4</v>
          </cell>
        </row>
        <row r="19">
          <cell r="O19">
            <v>1.3338063878300499</v>
          </cell>
          <cell r="P19">
            <v>1.2953565208506399</v>
          </cell>
          <cell r="U19">
            <v>2.72417790957898E-2</v>
          </cell>
          <cell r="V19">
            <v>-1.87391882656297E-3</v>
          </cell>
          <cell r="Y19">
            <v>1.3338063878300499</v>
          </cell>
          <cell r="Z19">
            <v>1.2953565208506399</v>
          </cell>
          <cell r="AE19">
            <v>2.72417790957898E-2</v>
          </cell>
          <cell r="AF19">
            <v>-1.87391882656297E-3</v>
          </cell>
        </row>
        <row r="20">
          <cell r="O20">
            <v>1.3338063878300499</v>
          </cell>
          <cell r="P20">
            <v>1.2958903131230699</v>
          </cell>
          <cell r="U20">
            <v>2.31087026560906E-2</v>
          </cell>
          <cell r="V20">
            <v>-6.1421348068135496E-3</v>
          </cell>
          <cell r="Y20">
            <v>1.3338063878300499</v>
          </cell>
          <cell r="Z20">
            <v>1.2958903131230699</v>
          </cell>
          <cell r="AE20">
            <v>2.31087026560906E-2</v>
          </cell>
          <cell r="AF20">
            <v>-6.1421348068135496E-3</v>
          </cell>
        </row>
        <row r="21">
          <cell r="O21">
            <v>1.3338063878300499</v>
          </cell>
          <cell r="P21">
            <v>1.29620435992078</v>
          </cell>
          <cell r="Q21">
            <v>1.29457273117938</v>
          </cell>
          <cell r="U21">
            <v>2.5844773373747999E-2</v>
          </cell>
          <cell r="V21">
            <v>-2.9940676147334599E-3</v>
          </cell>
          <cell r="Y21">
            <v>1.3338063878300499</v>
          </cell>
          <cell r="Z21">
            <v>1.29620435992078</v>
          </cell>
          <cell r="AA21">
            <v>1.29457273117938</v>
          </cell>
          <cell r="AE21">
            <v>2.5844773373747999E-2</v>
          </cell>
          <cell r="AF21">
            <v>-2.9940676147334599E-3</v>
          </cell>
        </row>
        <row r="22">
          <cell r="O22">
            <v>1.3338063878300499</v>
          </cell>
          <cell r="P22">
            <v>1.29604017198074</v>
          </cell>
          <cell r="Q22">
            <v>1.2952013787411401</v>
          </cell>
          <cell r="U22">
            <v>3.1311815042729702E-2</v>
          </cell>
          <cell r="V22">
            <v>2.7152852649574501E-3</v>
          </cell>
          <cell r="W22">
            <v>1.4557180387985401E-3</v>
          </cell>
          <cell r="Y22">
            <v>1.3338063878300499</v>
          </cell>
          <cell r="Z22">
            <v>1.29604017198074</v>
          </cell>
          <cell r="AA22">
            <v>1.2952013787411401</v>
          </cell>
          <cell r="AE22">
            <v>3.1311815042729702E-2</v>
          </cell>
          <cell r="AF22">
            <v>2.7152852649574501E-3</v>
          </cell>
          <cell r="AG22">
            <v>1.4557180387985401E-3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1.3338063878300499</v>
          </cell>
          <cell r="P23">
            <v>1.2970144025057899</v>
          </cell>
          <cell r="Q23">
            <v>1.29597656489848</v>
          </cell>
          <cell r="U23">
            <v>2.5908808569228801E-2</v>
          </cell>
          <cell r="V23">
            <v>-2.8143974832833701E-3</v>
          </cell>
          <cell r="W23">
            <v>-3.4618039504011999E-3</v>
          </cell>
          <cell r="Y23">
            <v>1.3338063878300499</v>
          </cell>
          <cell r="Z23">
            <v>1.2970144025057899</v>
          </cell>
          <cell r="AA23">
            <v>1.29597656489848</v>
          </cell>
          <cell r="AE23">
            <v>2.5908808569228801E-2</v>
          </cell>
          <cell r="AF23">
            <v>-2.8143974832833701E-3</v>
          </cell>
          <cell r="AG23">
            <v>-3.4618039504011999E-3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1.3338063878300499</v>
          </cell>
          <cell r="P24">
            <v>1.2979656923527001</v>
          </cell>
          <cell r="Q24">
            <v>1.2965740516157001</v>
          </cell>
          <cell r="U24">
            <v>2.46704314302943E-2</v>
          </cell>
          <cell r="V24">
            <v>-3.3013592216557001E-3</v>
          </cell>
          <cell r="W24">
            <v>-4.1018538440990198E-3</v>
          </cell>
          <cell r="Y24">
            <v>1.3338063878300499</v>
          </cell>
          <cell r="Z24">
            <v>1.2979656923527001</v>
          </cell>
          <cell r="AA24">
            <v>1.2965740516157001</v>
          </cell>
          <cell r="AE24">
            <v>2.46704314302943E-2</v>
          </cell>
          <cell r="AF24">
            <v>-3.3013592216557001E-3</v>
          </cell>
          <cell r="AG24">
            <v>-4.1018538440990198E-3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1.3338063878300499</v>
          </cell>
          <cell r="P25">
            <v>1.29816649937155</v>
          </cell>
          <cell r="Q25">
            <v>1.2967015425164501</v>
          </cell>
          <cell r="U25">
            <v>2.79163709799111E-2</v>
          </cell>
          <cell r="V25">
            <v>6.7775735033146097E-4</v>
          </cell>
          <cell r="W25">
            <v>-3.9498849886684099E-4</v>
          </cell>
          <cell r="Y25">
            <v>1.3338063878300499</v>
          </cell>
          <cell r="Z25">
            <v>1.29816649937155</v>
          </cell>
          <cell r="AA25">
            <v>1.2967015425164501</v>
          </cell>
          <cell r="AE25">
            <v>2.79163709799111E-2</v>
          </cell>
          <cell r="AF25">
            <v>6.7775735033146097E-4</v>
          </cell>
          <cell r="AG25">
            <v>-3.9498849886684099E-4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1.3338063878300499</v>
          </cell>
          <cell r="P26">
            <v>1.2986098512236699</v>
          </cell>
          <cell r="Q26">
            <v>1.2970635711937499</v>
          </cell>
          <cell r="U26">
            <v>2.5136683570901E-2</v>
          </cell>
          <cell r="V26">
            <v>-1.94723299056628E-3</v>
          </cell>
          <cell r="W26">
            <v>-3.0763516872308301E-3</v>
          </cell>
          <cell r="Y26">
            <v>1.3338063878300499</v>
          </cell>
          <cell r="Z26">
            <v>1.2986098512236699</v>
          </cell>
          <cell r="AA26">
            <v>1.2970635711937499</v>
          </cell>
          <cell r="AE26">
            <v>2.5136683570901E-2</v>
          </cell>
          <cell r="AF26">
            <v>-1.94723299056628E-3</v>
          </cell>
          <cell r="AG26">
            <v>-3.0763516872308301E-3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1.3338063878300499</v>
          </cell>
          <cell r="P27">
            <v>1.2987600702239499</v>
          </cell>
          <cell r="Q27">
            <v>1.29732838368895</v>
          </cell>
          <cell r="U27">
            <v>2.5957775412513099E-2</v>
          </cell>
          <cell r="V27">
            <v>-7.8467789099796704E-4</v>
          </cell>
          <cell r="W27">
            <v>-1.9761068276847298E-3</v>
          </cell>
          <cell r="Y27">
            <v>1.3338063878300499</v>
          </cell>
          <cell r="Z27">
            <v>1.2987600702239499</v>
          </cell>
          <cell r="AA27">
            <v>1.29732838368895</v>
          </cell>
          <cell r="AE27">
            <v>2.5957775412513099E-2</v>
          </cell>
          <cell r="AF27">
            <v>-7.8467789099796704E-4</v>
          </cell>
          <cell r="AG27">
            <v>-1.9761068276847298E-3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1.3338063878300499</v>
          </cell>
          <cell r="P28">
            <v>1.2996727921668501</v>
          </cell>
          <cell r="Q28">
            <v>1.2976021893657299</v>
          </cell>
          <cell r="U28">
            <v>2.2174961924741301E-2</v>
          </cell>
          <cell r="V28">
            <v>-4.4518212932650597E-3</v>
          </cell>
          <cell r="W28">
            <v>-5.5547780727097E-3</v>
          </cell>
          <cell r="Y28">
            <v>1.3338063878300499</v>
          </cell>
          <cell r="Z28">
            <v>1.2996727921668501</v>
          </cell>
          <cell r="AA28">
            <v>1.2976021893657299</v>
          </cell>
          <cell r="AE28">
            <v>2.2174961924741301E-2</v>
          </cell>
          <cell r="AF28">
            <v>-4.4518212932650597E-3</v>
          </cell>
          <cell r="AG28">
            <v>-5.5547780727097E-3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1.3338063878300499</v>
          </cell>
          <cell r="P29">
            <v>1.3004082342672401</v>
          </cell>
          <cell r="Q29">
            <v>1.2978823775589401</v>
          </cell>
          <cell r="U29">
            <v>2.15916397468978E-2</v>
          </cell>
          <cell r="V29">
            <v>-4.3326262010693097E-3</v>
          </cell>
          <cell r="W29">
            <v>-5.9270690340465504E-3</v>
          </cell>
          <cell r="Y29">
            <v>1.3338063878300499</v>
          </cell>
          <cell r="Z29">
            <v>1.3004082342672401</v>
          </cell>
          <cell r="AA29">
            <v>1.2978823775589401</v>
          </cell>
          <cell r="AE29">
            <v>2.15916397468978E-2</v>
          </cell>
          <cell r="AF29">
            <v>-4.3326262010693097E-3</v>
          </cell>
          <cell r="AG29">
            <v>-5.9270690340465504E-3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1.3338063878300499</v>
          </cell>
          <cell r="P30">
            <v>1.30127607418555</v>
          </cell>
          <cell r="Q30">
            <v>1.29858319365431</v>
          </cell>
          <cell r="U30">
            <v>1.6472174962321999E-2</v>
          </cell>
          <cell r="V30">
            <v>-8.8863839076547494E-3</v>
          </cell>
          <cell r="W30">
            <v>-1.0830629476233301E-2</v>
          </cell>
          <cell r="Y30">
            <v>1.3338063878300499</v>
          </cell>
          <cell r="Z30">
            <v>1.30127607418555</v>
          </cell>
          <cell r="AA30">
            <v>1.29858319365431</v>
          </cell>
          <cell r="AE30">
            <v>1.6472174962321999E-2</v>
          </cell>
          <cell r="AF30">
            <v>-8.8863839076547494E-3</v>
          </cell>
          <cell r="AG30">
            <v>-1.0830629476233301E-2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1.3338063878300499</v>
          </cell>
          <cell r="P31">
            <v>1.3027760638521599</v>
          </cell>
          <cell r="Q31">
            <v>1.29949021188647</v>
          </cell>
          <cell r="U31">
            <v>1.4370485952901401E-2</v>
          </cell>
          <cell r="V31">
            <v>-1.0320935903038999E-2</v>
          </cell>
          <cell r="W31">
            <v>-1.2392495335167999E-2</v>
          </cell>
          <cell r="Y31">
            <v>1.3338063878300499</v>
          </cell>
          <cell r="Z31">
            <v>1.3027760638521599</v>
          </cell>
          <cell r="AA31">
            <v>1.29949021188647</v>
          </cell>
          <cell r="AE31">
            <v>1.4370485952901401E-2</v>
          </cell>
          <cell r="AF31">
            <v>-1.0320935903038999E-2</v>
          </cell>
          <cell r="AG31">
            <v>-1.2392495335167999E-2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1.3338063878300499</v>
          </cell>
          <cell r="P32">
            <v>1.3061364087892999</v>
          </cell>
          <cell r="Q32">
            <v>1.3010882903850201</v>
          </cell>
          <cell r="U32">
            <v>5.64895365111567E-3</v>
          </cell>
          <cell r="V32">
            <v>-1.7890425347772399E-2</v>
          </cell>
          <cell r="W32">
            <v>-2.0415803893871199E-2</v>
          </cell>
          <cell r="Y32">
            <v>1.3338063878300499</v>
          </cell>
          <cell r="Z32">
            <v>1.3061364087892999</v>
          </cell>
          <cell r="AA32">
            <v>1.3010882903850201</v>
          </cell>
          <cell r="AE32">
            <v>5.64895365111567E-3</v>
          </cell>
          <cell r="AF32">
            <v>-1.7890425347772399E-2</v>
          </cell>
          <cell r="AG32">
            <v>-2.0415803893871199E-2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1.3338063878300499</v>
          </cell>
          <cell r="P33">
            <v>1.3088208146884499</v>
          </cell>
          <cell r="Q33">
            <v>1.3029176085971199</v>
          </cell>
          <cell r="U33">
            <v>5.4650578340921198E-3</v>
          </cell>
          <cell r="V33">
            <v>-1.54982693955905E-2</v>
          </cell>
          <cell r="W33">
            <v>-1.9370681860972301E-2</v>
          </cell>
          <cell r="Y33">
            <v>1.3338063878300499</v>
          </cell>
          <cell r="Z33">
            <v>1.3088208146884499</v>
          </cell>
          <cell r="AA33">
            <v>1.3029176085971199</v>
          </cell>
          <cell r="AE33">
            <v>5.4650578340921198E-3</v>
          </cell>
          <cell r="AF33">
            <v>-1.54982693955905E-2</v>
          </cell>
          <cell r="AG33">
            <v>-1.9370681860972301E-2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1.3338063878300499</v>
          </cell>
          <cell r="P34">
            <v>1.3116612675060499</v>
          </cell>
          <cell r="Q34">
            <v>1.30481347992938</v>
          </cell>
          <cell r="U34">
            <v>3.0774935733743E-3</v>
          </cell>
          <cell r="V34">
            <v>-1.58327164442916E-2</v>
          </cell>
          <cell r="W34">
            <v>-2.03532427661011E-2</v>
          </cell>
          <cell r="Y34">
            <v>1.3338063878300499</v>
          </cell>
          <cell r="Z34">
            <v>1.3116612675060499</v>
          </cell>
          <cell r="AA34">
            <v>1.30481347992938</v>
          </cell>
          <cell r="AE34">
            <v>3.0774935733743E-3</v>
          </cell>
          <cell r="AF34">
            <v>-1.58327164442916E-2</v>
          </cell>
          <cell r="AG34">
            <v>-2.03532427661011E-2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1.3338063878300499</v>
          </cell>
          <cell r="P35">
            <v>1.3163741061143099</v>
          </cell>
          <cell r="Q35">
            <v>1.30727030274293</v>
          </cell>
          <cell r="U35">
            <v>-7.7731541633349202E-3</v>
          </cell>
          <cell r="V35">
            <v>-2.45154776311561E-2</v>
          </cell>
          <cell r="W35">
            <v>-2.9749851261858098E-2</v>
          </cell>
          <cell r="Y35">
            <v>1.3338063878300499</v>
          </cell>
          <cell r="Z35">
            <v>1.3163741061143099</v>
          </cell>
          <cell r="AA35">
            <v>1.30727030274293</v>
          </cell>
          <cell r="AE35">
            <v>-7.7731541633349202E-3</v>
          </cell>
          <cell r="AF35">
            <v>-2.45154776311561E-2</v>
          </cell>
          <cell r="AG35">
            <v>-2.9749851261858098E-2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1.3338063878300499</v>
          </cell>
          <cell r="P36">
            <v>1.32007171397667</v>
          </cell>
          <cell r="Q36">
            <v>1.30934078260017</v>
          </cell>
          <cell r="U36">
            <v>-2.89464215103681E-3</v>
          </cell>
          <cell r="V36">
            <v>-1.60503748845147E-2</v>
          </cell>
          <cell r="W36">
            <v>-2.2990217706423E-2</v>
          </cell>
          <cell r="Y36">
            <v>1.3338063878300499</v>
          </cell>
          <cell r="Z36">
            <v>1.32007171397667</v>
          </cell>
          <cell r="AA36">
            <v>1.30934078260017</v>
          </cell>
          <cell r="AE36">
            <v>-2.89464215103681E-3</v>
          </cell>
          <cell r="AF36">
            <v>-1.60503748845147E-2</v>
          </cell>
          <cell r="AG36">
            <v>-2.2990217706423E-2</v>
          </cell>
          <cell r="AR36">
            <v>4.8785120122979992E-3</v>
          </cell>
          <cell r="BC36">
            <v>0</v>
          </cell>
          <cell r="BF36">
            <v>4.8785120122979992E-3</v>
          </cell>
        </row>
        <row r="37">
          <cell r="O37">
            <v>1.3338063878300499</v>
          </cell>
          <cell r="P37">
            <v>1.3252874782823501</v>
          </cell>
          <cell r="Q37">
            <v>1.31202377425315</v>
          </cell>
          <cell r="U37">
            <v>-1.33905350715298E-2</v>
          </cell>
          <cell r="V37">
            <v>-2.3741271579719999E-2</v>
          </cell>
          <cell r="W37">
            <v>-3.1903544305943797E-2</v>
          </cell>
          <cell r="Y37">
            <v>1.3338063878300499</v>
          </cell>
          <cell r="Z37">
            <v>1.3252874782823501</v>
          </cell>
          <cell r="AA37">
            <v>1.31202377425315</v>
          </cell>
          <cell r="AE37">
            <v>-1.33905350715298E-2</v>
          </cell>
          <cell r="AF37">
            <v>-2.3741271579719999E-2</v>
          </cell>
          <cell r="AG37">
            <v>-3.1903544305943797E-2</v>
          </cell>
          <cell r="AR37">
            <v>-5.6173809081950105E-3</v>
          </cell>
          <cell r="BC37">
            <v>0</v>
          </cell>
          <cell r="BF37">
            <v>-5.6173809081950105E-3</v>
          </cell>
        </row>
        <row r="38">
          <cell r="O38">
            <v>1.3338063878300499</v>
          </cell>
          <cell r="P38">
            <v>1.33109573385056</v>
          </cell>
          <cell r="Q38">
            <v>1.3153842630087</v>
          </cell>
          <cell r="U38">
            <v>-2.1385258687260499E-2</v>
          </cell>
          <cell r="V38">
            <v>-2.7792658442050401E-2</v>
          </cell>
          <cell r="W38">
            <v>-3.7851248110683897E-2</v>
          </cell>
          <cell r="Y38">
            <v>1.3338063878300499</v>
          </cell>
          <cell r="Z38">
            <v>1.33109573385056</v>
          </cell>
          <cell r="AA38">
            <v>1.3153842630087</v>
          </cell>
          <cell r="AE38">
            <v>-2.1385258687260499E-2</v>
          </cell>
          <cell r="AF38">
            <v>-2.7792658442050401E-2</v>
          </cell>
          <cell r="AG38">
            <v>-3.7851248110683897E-2</v>
          </cell>
          <cell r="AR38">
            <v>-1.361210452392551E-2</v>
          </cell>
          <cell r="BC38">
            <v>0</v>
          </cell>
          <cell r="BF38">
            <v>-1.361210452392551E-2</v>
          </cell>
        </row>
        <row r="39">
          <cell r="O39">
            <v>1.3338063878300499</v>
          </cell>
          <cell r="P39">
            <v>1.33214020434403</v>
          </cell>
          <cell r="Q39">
            <v>1.31627421930563</v>
          </cell>
          <cell r="U39">
            <v>1.36218156183177E-2</v>
          </cell>
          <cell r="V39">
            <v>1.158747830267E-2</v>
          </cell>
          <cell r="W39">
            <v>-2.8614662368466E-4</v>
          </cell>
          <cell r="Y39">
            <v>1.3338063878300499</v>
          </cell>
          <cell r="Z39">
            <v>1.33214020434403</v>
          </cell>
          <cell r="AA39">
            <v>1.31627421930563</v>
          </cell>
          <cell r="AE39">
            <v>1.36218156183177E-2</v>
          </cell>
          <cell r="AF39">
            <v>1.158747830267E-2</v>
          </cell>
          <cell r="AG39">
            <v>-2.8614662368466E-4</v>
          </cell>
          <cell r="AR39">
            <v>2.1394969781652787E-2</v>
          </cell>
          <cell r="BC39">
            <v>0</v>
          </cell>
          <cell r="BF39">
            <v>2.1394969781652787E-2</v>
          </cell>
        </row>
        <row r="40">
          <cell r="O40">
            <v>1.3338063878300499</v>
          </cell>
          <cell r="P40">
            <v>1.3339859917700201</v>
          </cell>
          <cell r="Q40">
            <v>1.3176310329777901</v>
          </cell>
          <cell r="U40">
            <v>2.5018817118014798E-3</v>
          </cell>
          <cell r="V40">
            <v>1.2519064063279499E-3</v>
          </cell>
          <cell r="W40">
            <v>-1.07297341601548E-2</v>
          </cell>
          <cell r="Y40">
            <v>1.3338063878300499</v>
          </cell>
          <cell r="Z40">
            <v>1.3339859917700201</v>
          </cell>
          <cell r="AA40">
            <v>1.3176310329777901</v>
          </cell>
          <cell r="AE40">
            <v>2.5018817118014798E-3</v>
          </cell>
          <cell r="AF40">
            <v>1.2519064063279499E-3</v>
          </cell>
          <cell r="AG40">
            <v>-1.07297341601548E-2</v>
          </cell>
          <cell r="AR40">
            <v>2.1394969781652787E-2</v>
          </cell>
          <cell r="BC40">
            <v>0</v>
          </cell>
          <cell r="BF40">
            <v>2.1394969781652787E-2</v>
          </cell>
        </row>
        <row r="41">
          <cell r="O41">
            <v>1.3338063878300499</v>
          </cell>
          <cell r="P41">
            <v>1.3361380026338701</v>
          </cell>
          <cell r="Q41">
            <v>1.31945703324302</v>
          </cell>
          <cell r="U41">
            <v>-1.8648938022533901E-3</v>
          </cell>
          <cell r="V41">
            <v>-1.7302476869017001E-3</v>
          </cell>
          <cell r="W41">
            <v>-1.4066241944577E-2</v>
          </cell>
          <cell r="Y41">
            <v>1.3338063878300499</v>
          </cell>
          <cell r="Z41">
            <v>1.3361380026338701</v>
          </cell>
          <cell r="AA41">
            <v>1.31945703324302</v>
          </cell>
          <cell r="AE41">
            <v>-1.8648938022533901E-3</v>
          </cell>
          <cell r="AF41">
            <v>-1.7302476869017001E-3</v>
          </cell>
          <cell r="AG41">
            <v>-1.4066241944577E-2</v>
          </cell>
          <cell r="AR41">
            <v>2.1394969781652787E-2</v>
          </cell>
          <cell r="BC41">
            <v>0</v>
          </cell>
          <cell r="BF41">
            <v>2.1394969781652787E-2</v>
          </cell>
        </row>
        <row r="42">
          <cell r="O42">
            <v>1.3338063878300499</v>
          </cell>
          <cell r="P42">
            <v>1.3371269576876399</v>
          </cell>
          <cell r="Q42">
            <v>1.32163168323847</v>
          </cell>
          <cell r="U42">
            <v>-1.7799189851126101E-3</v>
          </cell>
          <cell r="V42">
            <v>-3.3354221549078297E-5</v>
          </cell>
          <cell r="W42">
            <v>-1.25964058628845E-2</v>
          </cell>
          <cell r="Y42">
            <v>1.3338063878300499</v>
          </cell>
          <cell r="Z42">
            <v>1.3371269576876399</v>
          </cell>
          <cell r="AA42">
            <v>1.32163168323847</v>
          </cell>
          <cell r="AE42">
            <v>-1.7799189851126101E-3</v>
          </cell>
          <cell r="AF42">
            <v>-3.3354221549078297E-5</v>
          </cell>
          <cell r="AG42">
            <v>-1.25964058628845E-2</v>
          </cell>
          <cell r="AR42">
            <v>2.1394969781652787E-2</v>
          </cell>
          <cell r="BC42">
            <v>0</v>
          </cell>
          <cell r="BF42">
            <v>2.1394969781652787E-2</v>
          </cell>
        </row>
        <row r="43">
          <cell r="O43">
            <v>1.3338063878300499</v>
          </cell>
          <cell r="P43">
            <v>1.33580276709072</v>
          </cell>
          <cell r="Q43">
            <v>1.3223117908895801</v>
          </cell>
          <cell r="U43">
            <v>1.5497527444074601E-2</v>
          </cell>
          <cell r="V43">
            <v>1.7983977788425299E-2</v>
          </cell>
          <cell r="W43">
            <v>6.3278239350976701E-3</v>
          </cell>
          <cell r="Y43">
            <v>1.3338063878300499</v>
          </cell>
          <cell r="Z43">
            <v>1.33580276709072</v>
          </cell>
          <cell r="AA43">
            <v>1.3223117908895801</v>
          </cell>
          <cell r="AE43">
            <v>1.5497527444074601E-2</v>
          </cell>
          <cell r="AF43">
            <v>1.7983977788425299E-2</v>
          </cell>
          <cell r="AG43">
            <v>6.3278239350976701E-3</v>
          </cell>
          <cell r="AR43">
            <v>2.1394969781652787E-2</v>
          </cell>
          <cell r="BC43">
            <v>0</v>
          </cell>
          <cell r="BF43">
            <v>2.1394969781652787E-2</v>
          </cell>
        </row>
        <row r="44">
          <cell r="O44">
            <v>1.3338063878300499</v>
          </cell>
          <cell r="P44">
            <v>1.3337571755964901</v>
          </cell>
          <cell r="Q44">
            <v>1.3227092215512699</v>
          </cell>
          <cell r="U44">
            <v>1.8580817070813601E-2</v>
          </cell>
          <cell r="V44">
            <v>2.0076451462934901E-2</v>
          </cell>
          <cell r="W44">
            <v>9.9255781657647205E-3</v>
          </cell>
          <cell r="Y44">
            <v>1.3338063878300499</v>
          </cell>
          <cell r="Z44">
            <v>1.3337571755964901</v>
          </cell>
          <cell r="AA44">
            <v>1.3227092215512699</v>
          </cell>
          <cell r="AE44">
            <v>1.8580817070813601E-2</v>
          </cell>
          <cell r="AF44">
            <v>2.0076451462934901E-2</v>
          </cell>
          <cell r="AG44">
            <v>9.9255781657647205E-3</v>
          </cell>
          <cell r="AR44">
            <v>2.1394969781652787E-2</v>
          </cell>
          <cell r="BC44">
            <v>0</v>
          </cell>
          <cell r="BF44">
            <v>2.1394969781652787E-2</v>
          </cell>
        </row>
        <row r="45">
          <cell r="O45">
            <v>1.3338063878300499</v>
          </cell>
          <cell r="P45">
            <v>1.32977030442172</v>
          </cell>
          <cell r="Q45">
            <v>1.3230722052680099</v>
          </cell>
          <cell r="U45">
            <v>2.23350661442238E-2</v>
          </cell>
          <cell r="V45">
            <v>2.22981693787676E-2</v>
          </cell>
          <cell r="W45">
            <v>1.3980339532127E-2</v>
          </cell>
          <cell r="Y45">
            <v>1.3338063878300499</v>
          </cell>
          <cell r="Z45">
            <v>1.32977030442172</v>
          </cell>
          <cell r="AA45">
            <v>1.3230722052680099</v>
          </cell>
          <cell r="AE45">
            <v>2.23350661442238E-2</v>
          </cell>
          <cell r="AF45">
            <v>2.22981693787676E-2</v>
          </cell>
          <cell r="AG45">
            <v>1.3980339532127E-2</v>
          </cell>
          <cell r="AR45">
            <v>2.1394969781652787E-2</v>
          </cell>
          <cell r="BC45">
            <v>0</v>
          </cell>
          <cell r="BF45">
            <v>2.1394969781652787E-2</v>
          </cell>
        </row>
        <row r="46">
          <cell r="O46">
            <v>1.3338063878300499</v>
          </cell>
          <cell r="P46">
            <v>1.3285545998095301</v>
          </cell>
          <cell r="Q46">
            <v>1.3243131568930999</v>
          </cell>
          <cell r="U46">
            <v>6.2351131398841898E-3</v>
          </cell>
          <cell r="V46">
            <v>3.2045366153492499E-3</v>
          </cell>
          <cell r="W46">
            <v>-1.8452266953298999E-3</v>
          </cell>
          <cell r="Y46">
            <v>1.3338063878300499</v>
          </cell>
          <cell r="Z46">
            <v>1.3285545998095301</v>
          </cell>
          <cell r="AA46">
            <v>1.3243131568930999</v>
          </cell>
          <cell r="AE46">
            <v>6.2351131398841898E-3</v>
          </cell>
          <cell r="AF46">
            <v>3.2045366153492499E-3</v>
          </cell>
          <cell r="AG46">
            <v>-1.8452266953298999E-3</v>
          </cell>
          <cell r="AR46">
            <v>2.1394969781652787E-2</v>
          </cell>
          <cell r="BC46">
            <v>0</v>
          </cell>
          <cell r="BF46">
            <v>2.1394969781652787E-2</v>
          </cell>
        </row>
        <row r="47">
          <cell r="O47">
            <v>1.3338063878300499</v>
          </cell>
          <cell r="P47">
            <v>1.3255588276553001</v>
          </cell>
          <cell r="Q47">
            <v>1.3254231529688201</v>
          </cell>
          <cell r="U47">
            <v>9.0202934401419198E-3</v>
          </cell>
          <cell r="V47">
            <v>5.0750772528573504E-3</v>
          </cell>
          <cell r="W47">
            <v>1.87744591995901E-3</v>
          </cell>
          <cell r="Y47">
            <v>1.3338063878300499</v>
          </cell>
          <cell r="Z47">
            <v>1.3255588276553001</v>
          </cell>
          <cell r="AA47">
            <v>1.3254231529688201</v>
          </cell>
          <cell r="AE47">
            <v>9.0202934401419198E-3</v>
          </cell>
          <cell r="AF47">
            <v>5.0750772528573504E-3</v>
          </cell>
          <cell r="AG47">
            <v>1.87744591995901E-3</v>
          </cell>
          <cell r="AR47">
            <v>2.1394969781652787E-2</v>
          </cell>
          <cell r="BC47">
            <v>0</v>
          </cell>
          <cell r="BF47">
            <v>2.1394969781652787E-2</v>
          </cell>
        </row>
        <row r="48">
          <cell r="O48">
            <v>1.3338063878300499</v>
          </cell>
          <cell r="P48">
            <v>1.32101999909312</v>
          </cell>
          <cell r="Q48">
            <v>1.3260578664718401</v>
          </cell>
          <cell r="U48">
            <v>1.2491270984336601E-2</v>
          </cell>
          <cell r="V48">
            <v>6.2885978282120197E-3</v>
          </cell>
          <cell r="W48">
            <v>6.1862397680020401E-3</v>
          </cell>
          <cell r="Y48">
            <v>1.3338063878300499</v>
          </cell>
          <cell r="Z48">
            <v>1.32101999909312</v>
          </cell>
          <cell r="AA48">
            <v>1.3260578664718401</v>
          </cell>
          <cell r="AE48">
            <v>1.2491270984336601E-2</v>
          </cell>
          <cell r="AF48">
            <v>6.2885978282120197E-3</v>
          </cell>
          <cell r="AG48">
            <v>6.1862397680020401E-3</v>
          </cell>
          <cell r="AR48">
            <v>2.1394969781652787E-2</v>
          </cell>
          <cell r="BC48">
            <v>0</v>
          </cell>
          <cell r="BF48">
            <v>2.1394969781652787E-2</v>
          </cell>
        </row>
        <row r="49">
          <cell r="O49">
            <v>1.3338063878300499</v>
          </cell>
          <cell r="P49">
            <v>1.3194479627379501</v>
          </cell>
          <cell r="Q49">
            <v>1.32579408354099</v>
          </cell>
          <cell r="U49">
            <v>2.5641500969097199E-2</v>
          </cell>
          <cell r="V49">
            <v>1.6008865352670199E-2</v>
          </cell>
          <cell r="W49">
            <v>1.9815231252832698E-2</v>
          </cell>
          <cell r="Y49">
            <v>1.3338063878300499</v>
          </cell>
          <cell r="Z49">
            <v>1.3194479627379501</v>
          </cell>
          <cell r="AA49">
            <v>1.32579408354099</v>
          </cell>
          <cell r="AE49">
            <v>2.5641500969097199E-2</v>
          </cell>
          <cell r="AF49">
            <v>1.6008865352670199E-2</v>
          </cell>
          <cell r="AG49">
            <v>1.9815231252832698E-2</v>
          </cell>
          <cell r="AR49">
            <v>2.1394969781652787E-2</v>
          </cell>
          <cell r="BC49">
            <v>0</v>
          </cell>
          <cell r="BF49">
            <v>2.1394969781652787E-2</v>
          </cell>
        </row>
        <row r="50">
          <cell r="O50">
            <v>1.3338063878300499</v>
          </cell>
          <cell r="P50">
            <v>1.3166969325059601</v>
          </cell>
          <cell r="Q50">
            <v>1.32534146213799</v>
          </cell>
          <cell r="U50">
            <v>2.3395721655505901E-2</v>
          </cell>
          <cell r="V50">
            <v>1.2572360331647599E-2</v>
          </cell>
          <cell r="W50">
            <v>1.73705095120745E-2</v>
          </cell>
          <cell r="Y50">
            <v>1.3338063878300499</v>
          </cell>
          <cell r="Z50">
            <v>1.3166969325059601</v>
          </cell>
          <cell r="AA50">
            <v>1.32534146213799</v>
          </cell>
          <cell r="AE50">
            <v>2.3395721655505901E-2</v>
          </cell>
          <cell r="AF50">
            <v>1.2572360331647599E-2</v>
          </cell>
          <cell r="AG50">
            <v>1.73705095120745E-2</v>
          </cell>
          <cell r="AR50">
            <v>2.1394969781652787E-2</v>
          </cell>
          <cell r="BC50">
            <v>2.2457793135913394E-3</v>
          </cell>
          <cell r="BF50">
            <v>2.3640749095244128E-2</v>
          </cell>
        </row>
        <row r="51">
          <cell r="O51">
            <v>1.3338063878300499</v>
          </cell>
          <cell r="P51">
            <v>1.31322853200734</v>
          </cell>
          <cell r="Q51">
            <v>1.3246832673205999</v>
          </cell>
          <cell r="U51">
            <v>2.4433218875301799E-2</v>
          </cell>
          <cell r="V51">
            <v>1.15226951684992E-2</v>
          </cell>
          <cell r="W51">
            <v>1.80665519857055E-2</v>
          </cell>
          <cell r="Y51">
            <v>1.3338063878300499</v>
          </cell>
          <cell r="Z51">
            <v>1.31322853200734</v>
          </cell>
          <cell r="AA51">
            <v>1.3246832673205999</v>
          </cell>
          <cell r="AE51">
            <v>2.4433218875301799E-2</v>
          </cell>
          <cell r="AF51">
            <v>1.15226951684992E-2</v>
          </cell>
          <cell r="AG51">
            <v>1.80665519857055E-2</v>
          </cell>
          <cell r="AR51">
            <v>2.1394969781652787E-2</v>
          </cell>
          <cell r="BC51">
            <v>1.2082820937955379E-3</v>
          </cell>
          <cell r="BF51">
            <v>2.2603251875448326E-2</v>
          </cell>
        </row>
        <row r="52">
          <cell r="O52">
            <v>1.3338063878300499</v>
          </cell>
          <cell r="P52">
            <v>1.30938333543973</v>
          </cell>
          <cell r="Q52">
            <v>1.3232551465636799</v>
          </cell>
          <cell r="U52">
            <v>2.7419751006654999E-2</v>
          </cell>
          <cell r="V52">
            <v>1.1871584099480401E-2</v>
          </cell>
          <cell r="W52">
            <v>2.05563379368385E-2</v>
          </cell>
          <cell r="Y52">
            <v>1.3338063878300499</v>
          </cell>
          <cell r="Z52">
            <v>1.30938333543973</v>
          </cell>
          <cell r="AA52">
            <v>1.3232551465636799</v>
          </cell>
          <cell r="AE52">
            <v>2.7419751006654999E-2</v>
          </cell>
          <cell r="AF52">
            <v>1.1871584099480401E-2</v>
          </cell>
          <cell r="AG52">
            <v>2.05563379368385E-2</v>
          </cell>
          <cell r="AR52">
            <v>2.1394969781652787E-2</v>
          </cell>
          <cell r="BC52">
            <v>-1.7782500375577719E-3</v>
          </cell>
          <cell r="BF52">
            <v>1.9616719744095016E-2</v>
          </cell>
        </row>
        <row r="53">
          <cell r="O53">
            <v>1.3338063878300499</v>
          </cell>
          <cell r="P53">
            <v>1.3085198953002499</v>
          </cell>
          <cell r="Q53">
            <v>1.3221613311954801</v>
          </cell>
          <cell r="U53">
            <v>2.2093844415376599E-2</v>
          </cell>
          <cell r="V53">
            <v>3.6133340908448401E-3</v>
          </cell>
          <cell r="W53">
            <v>1.41517650987148E-2</v>
          </cell>
          <cell r="Y53">
            <v>1.3338063878300499</v>
          </cell>
          <cell r="Z53">
            <v>1.3085198953002499</v>
          </cell>
          <cell r="AA53">
            <v>1.3221613311954801</v>
          </cell>
          <cell r="AE53">
            <v>2.2093844415376599E-2</v>
          </cell>
          <cell r="AF53">
            <v>3.6133340908448401E-3</v>
          </cell>
          <cell r="AG53">
            <v>1.41517650987148E-2</v>
          </cell>
          <cell r="AR53">
            <v>2.1394969781652787E-2</v>
          </cell>
          <cell r="BC53">
            <v>3.5476565537206277E-3</v>
          </cell>
          <cell r="BF53">
            <v>2.4942626335373416E-2</v>
          </cell>
        </row>
        <row r="54">
          <cell r="O54">
            <v>1.3338063878300499</v>
          </cell>
          <cell r="P54">
            <v>1.30741202530656</v>
          </cell>
          <cell r="Q54">
            <v>1.32058460045152</v>
          </cell>
          <cell r="U54">
            <v>2.7078676310425199E-2</v>
          </cell>
          <cell r="V54">
            <v>7.9385234439925002E-3</v>
          </cell>
          <cell r="W54">
            <v>1.8309645593310098E-2</v>
          </cell>
          <cell r="Y54">
            <v>1.3338063878300499</v>
          </cell>
          <cell r="Z54">
            <v>1.30741202530656</v>
          </cell>
          <cell r="AA54">
            <v>1.32058460045152</v>
          </cell>
          <cell r="AE54">
            <v>2.7078676310425199E-2</v>
          </cell>
          <cell r="AF54">
            <v>7.9385234439925002E-3</v>
          </cell>
          <cell r="AG54">
            <v>1.8309645593310098E-2</v>
          </cell>
          <cell r="AR54">
            <v>2.1394969781652787E-2</v>
          </cell>
          <cell r="BC54">
            <v>-1.437175341327875E-3</v>
          </cell>
          <cell r="BF54">
            <v>1.9957794440324913E-2</v>
          </cell>
        </row>
        <row r="55">
          <cell r="O55">
            <v>1.3338063878300499</v>
          </cell>
          <cell r="P55">
            <v>1.30836889154554</v>
          </cell>
          <cell r="Q55">
            <v>1.31906959798363</v>
          </cell>
          <cell r="U55">
            <v>1.5025858602429099E-2</v>
          </cell>
          <cell r="V55">
            <v>-4.961311765644E-3</v>
          </cell>
          <cell r="W55">
            <v>5.0635758877121502E-3</v>
          </cell>
          <cell r="Y55">
            <v>1.3338063878300499</v>
          </cell>
          <cell r="Z55">
            <v>1.30836889154554</v>
          </cell>
          <cell r="AA55">
            <v>1.31906959798363</v>
          </cell>
          <cell r="AE55">
            <v>1.5025858602429099E-2</v>
          </cell>
          <cell r="AF55">
            <v>-4.961311765644E-3</v>
          </cell>
          <cell r="AG55">
            <v>5.0635758877121502E-3</v>
          </cell>
          <cell r="AR55">
            <v>2.1394969781652787E-2</v>
          </cell>
          <cell r="BC55">
            <v>1.0615642366668177E-2</v>
          </cell>
          <cell r="BF55">
            <v>3.201061214832096E-2</v>
          </cell>
        </row>
        <row r="56">
          <cell r="O56">
            <v>1.3338063878300499</v>
          </cell>
          <cell r="P56">
            <v>1.30708520536134</v>
          </cell>
          <cell r="Q56">
            <v>1.31781990258543</v>
          </cell>
          <cell r="U56">
            <v>1.5966739619254201E-2</v>
          </cell>
          <cell r="V56">
            <v>-3.2888203333602799E-3</v>
          </cell>
          <cell r="W56">
            <v>4.8565772806502799E-3</v>
          </cell>
          <cell r="Y56">
            <v>1.3338063878300499</v>
          </cell>
          <cell r="Z56">
            <v>1.30708520536134</v>
          </cell>
          <cell r="AA56">
            <v>1.31781990258543</v>
          </cell>
          <cell r="AE56">
            <v>1.5966739619254201E-2</v>
          </cell>
          <cell r="AF56">
            <v>-3.2888203333602799E-3</v>
          </cell>
          <cell r="AG56">
            <v>4.8565772806502799E-3</v>
          </cell>
          <cell r="AR56">
            <v>2.1394969781652787E-2</v>
          </cell>
          <cell r="BC56">
            <v>9.6747613498430786E-3</v>
          </cell>
          <cell r="BF56">
            <v>3.1069731131495863E-2</v>
          </cell>
        </row>
        <row r="57">
          <cell r="O57">
            <v>1.3338063878300499</v>
          </cell>
          <cell r="P57">
            <v>1.3067992863757301</v>
          </cell>
          <cell r="Q57">
            <v>1.3161790570155201</v>
          </cell>
          <cell r="U57">
            <v>1.11856917349209E-2</v>
          </cell>
          <cell r="V57">
            <v>-9.0514845945931094E-3</v>
          </cell>
          <cell r="W57">
            <v>-8.7232639475000502E-4</v>
          </cell>
          <cell r="Y57">
            <v>1.3338063878300499</v>
          </cell>
          <cell r="Z57">
            <v>1.3067992863757301</v>
          </cell>
          <cell r="AA57">
            <v>1.3161790570155201</v>
          </cell>
          <cell r="AE57">
            <v>1.11856917349209E-2</v>
          </cell>
          <cell r="AF57">
            <v>-9.0514845945931094E-3</v>
          </cell>
          <cell r="AG57">
            <v>-8.7232639475000502E-4</v>
          </cell>
          <cell r="AR57">
            <v>2.1394969781652787E-2</v>
          </cell>
          <cell r="BC57">
            <v>9.6747613498430786E-3</v>
          </cell>
          <cell r="BF57">
            <v>3.1069731131495863E-2</v>
          </cell>
        </row>
        <row r="58">
          <cell r="O58">
            <v>1.3338063878300499</v>
          </cell>
          <cell r="P58">
            <v>1.30607179712055</v>
          </cell>
          <cell r="Q58">
            <v>1.31354589810683</v>
          </cell>
          <cell r="U58">
            <v>1.8029369898270801E-2</v>
          </cell>
          <cell r="V58">
            <v>-2.4265758433202E-3</v>
          </cell>
          <cell r="W58">
            <v>4.72545470688065E-3</v>
          </cell>
          <cell r="Y58">
            <v>1.3338063878300499</v>
          </cell>
          <cell r="Z58">
            <v>1.30607179712055</v>
          </cell>
          <cell r="AA58">
            <v>1.31354589810683</v>
          </cell>
          <cell r="AE58">
            <v>1.8029369898270801E-2</v>
          </cell>
          <cell r="AF58">
            <v>-2.4265758433202E-3</v>
          </cell>
          <cell r="AG58">
            <v>4.72545470688065E-3</v>
          </cell>
          <cell r="AR58">
            <v>2.1394969781652787E-2</v>
          </cell>
          <cell r="BC58">
            <v>9.6747613498430786E-3</v>
          </cell>
          <cell r="BF58">
            <v>3.1069731131495863E-2</v>
          </cell>
        </row>
        <row r="59">
          <cell r="O59">
            <v>1.3338063878300499</v>
          </cell>
          <cell r="P59">
            <v>1.3069370564212901</v>
          </cell>
          <cell r="Q59">
            <v>1.31319250957962</v>
          </cell>
          <cell r="U59">
            <v>1.9007917700266198E-2</v>
          </cell>
          <cell r="V59">
            <v>-2.0048785331639798E-3</v>
          </cell>
          <cell r="W59">
            <v>3.70139019494106E-3</v>
          </cell>
          <cell r="Y59">
            <v>1.3338063878300499</v>
          </cell>
          <cell r="Z59">
            <v>1.3069370564212901</v>
          </cell>
          <cell r="AA59">
            <v>1.31319250957962</v>
          </cell>
          <cell r="AE59">
            <v>1.9007917700266198E-2</v>
          </cell>
          <cell r="AF59">
            <v>-2.0048785331639798E-3</v>
          </cell>
          <cell r="AG59">
            <v>3.70139019494106E-3</v>
          </cell>
          <cell r="AR59">
            <v>2.1394969781652787E-2</v>
          </cell>
          <cell r="BC59">
            <v>9.6747613498430786E-3</v>
          </cell>
          <cell r="BF59">
            <v>3.1069731131495863E-2</v>
          </cell>
        </row>
        <row r="60">
          <cell r="O60">
            <v>1.3338063878300499</v>
          </cell>
          <cell r="P60">
            <v>1.3082174009860901</v>
          </cell>
          <cell r="Q60">
            <v>1.3124571667460301</v>
          </cell>
          <cell r="U60">
            <v>1.3617280867167E-2</v>
          </cell>
          <cell r="V60">
            <v>-6.7332448720897999E-3</v>
          </cell>
          <cell r="W60">
            <v>-1.9583168495747802E-3</v>
          </cell>
          <cell r="Y60">
            <v>1.3338063878300499</v>
          </cell>
          <cell r="Z60">
            <v>1.3082174009860901</v>
          </cell>
          <cell r="AA60">
            <v>1.3124571667460301</v>
          </cell>
          <cell r="AE60">
            <v>1.3617280867167E-2</v>
          </cell>
          <cell r="AF60">
            <v>-6.7332448720897999E-3</v>
          </cell>
          <cell r="AG60">
            <v>-1.9583168495747802E-3</v>
          </cell>
          <cell r="AR60">
            <v>2.1394969781652787E-2</v>
          </cell>
          <cell r="BC60">
            <v>9.6747613498430786E-3</v>
          </cell>
          <cell r="BF60">
            <v>3.1069731131495863E-2</v>
          </cell>
        </row>
        <row r="61">
          <cell r="O61">
            <v>1.3338063878300499</v>
          </cell>
          <cell r="P61">
            <v>1.3074099579526901</v>
          </cell>
          <cell r="Q61">
            <v>1.3103192449800101</v>
          </cell>
          <cell r="U61">
            <v>3.0655947455706101E-2</v>
          </cell>
          <cell r="V61">
            <v>1.12845949836194E-2</v>
          </cell>
          <cell r="W61">
            <v>1.4520227145727999E-2</v>
          </cell>
          <cell r="Y61">
            <v>1.3338063878300499</v>
          </cell>
          <cell r="Z61">
            <v>1.3074099579526901</v>
          </cell>
          <cell r="AA61">
            <v>1.3103192449800101</v>
          </cell>
          <cell r="AE61">
            <v>3.0655947455706101E-2</v>
          </cell>
          <cell r="AF61">
            <v>1.12845949836194E-2</v>
          </cell>
          <cell r="AG61">
            <v>1.4520227145727999E-2</v>
          </cell>
          <cell r="AR61">
            <v>2.1394969781652787E-2</v>
          </cell>
          <cell r="BC61">
            <v>9.6747613498430786E-3</v>
          </cell>
          <cell r="BF61">
            <v>3.1069731131495863E-2</v>
          </cell>
        </row>
        <row r="62">
          <cell r="O62">
            <v>1.3338063878300499</v>
          </cell>
          <cell r="P62">
            <v>1.3075340978446399</v>
          </cell>
          <cell r="Q62">
            <v>1.3084587166421799</v>
          </cell>
          <cell r="U62">
            <v>2.6463616090691599E-2</v>
          </cell>
          <cell r="V62">
            <v>6.4748644647921998E-3</v>
          </cell>
          <cell r="W62">
            <v>8.6976216712098698E-3</v>
          </cell>
          <cell r="Y62">
            <v>1.3338063878300499</v>
          </cell>
          <cell r="Z62">
            <v>1.3075340978446399</v>
          </cell>
          <cell r="AA62">
            <v>1.3084587166421799</v>
          </cell>
          <cell r="AE62">
            <v>2.6463616090691599E-2</v>
          </cell>
          <cell r="AF62">
            <v>6.4748644647921998E-3</v>
          </cell>
          <cell r="AG62">
            <v>8.6976216712098698E-3</v>
          </cell>
          <cell r="AR62">
            <v>2.1394969781652787E-2</v>
          </cell>
          <cell r="BC62">
            <v>9.6747613498430786E-3</v>
          </cell>
          <cell r="BF62">
            <v>3.1069731131495863E-2</v>
          </cell>
        </row>
        <row r="63">
          <cell r="O63">
            <v>1.3338063878300499</v>
          </cell>
          <cell r="P63">
            <v>1.3067789300607699</v>
          </cell>
          <cell r="Q63">
            <v>1.30764941268051</v>
          </cell>
          <cell r="U63">
            <v>2.7898892700128498E-2</v>
          </cell>
          <cell r="V63">
            <v>8.0050875735694308E-3</v>
          </cell>
          <cell r="W63">
            <v>8.7119846498370408E-3</v>
          </cell>
          <cell r="Y63">
            <v>1.3338063878300499</v>
          </cell>
          <cell r="Z63">
            <v>1.3067789300607699</v>
          </cell>
          <cell r="AA63">
            <v>1.30764941268051</v>
          </cell>
          <cell r="AE63">
            <v>2.7898892700128498E-2</v>
          </cell>
          <cell r="AF63">
            <v>8.0050875735694308E-3</v>
          </cell>
          <cell r="AG63">
            <v>8.7119846498370408E-3</v>
          </cell>
          <cell r="AR63">
            <v>2.1394969781652787E-2</v>
          </cell>
          <cell r="BC63">
            <v>9.6747613498430786E-3</v>
          </cell>
          <cell r="BF63">
            <v>3.1069731131495863E-2</v>
          </cell>
        </row>
        <row r="64">
          <cell r="O64">
            <v>1.3338063878300499</v>
          </cell>
          <cell r="P64">
            <v>1.3057381351039801</v>
          </cell>
          <cell r="Q64">
            <v>1.30657508020527</v>
          </cell>
          <cell r="U64">
            <v>3.51283690206248E-2</v>
          </cell>
          <cell r="V64">
            <v>1.46568459262441E-2</v>
          </cell>
          <cell r="W64">
            <v>1.53227526085375E-2</v>
          </cell>
          <cell r="Y64">
            <v>1.3338063878300499</v>
          </cell>
          <cell r="Z64">
            <v>1.3057381351039801</v>
          </cell>
          <cell r="AA64">
            <v>1.30657508020527</v>
          </cell>
          <cell r="AE64">
            <v>3.51283690206248E-2</v>
          </cell>
          <cell r="AF64">
            <v>1.46568459262441E-2</v>
          </cell>
          <cell r="AG64">
            <v>1.53227526085375E-2</v>
          </cell>
          <cell r="AR64">
            <v>2.1394969781652787E-2</v>
          </cell>
          <cell r="BC64">
            <v>9.6747613498430786E-3</v>
          </cell>
          <cell r="BF64">
            <v>3.1069731131495863E-2</v>
          </cell>
        </row>
        <row r="65">
          <cell r="O65">
            <v>1.3338063878300499</v>
          </cell>
          <cell r="P65">
            <v>1.3039874055574801</v>
          </cell>
          <cell r="Q65">
            <v>1.30617814855151</v>
          </cell>
          <cell r="U65">
            <v>2.8439957198234399E-2</v>
          </cell>
          <cell r="V65">
            <v>7.1716584381687903E-3</v>
          </cell>
          <cell r="W65">
            <v>7.8124277953956498E-3</v>
          </cell>
          <cell r="Y65">
            <v>1.3338063878300499</v>
          </cell>
          <cell r="Z65">
            <v>1.3039874055574801</v>
          </cell>
          <cell r="AA65">
            <v>1.30617814855151</v>
          </cell>
          <cell r="AE65">
            <v>2.8439957198234399E-2</v>
          </cell>
          <cell r="AF65">
            <v>7.1716584381687903E-3</v>
          </cell>
          <cell r="AG65">
            <v>7.8124277953956498E-3</v>
          </cell>
          <cell r="AR65">
            <v>2.1394969781652787E-2</v>
          </cell>
          <cell r="BC65">
            <v>1.6363173172233576E-2</v>
          </cell>
          <cell r="BF65">
            <v>3.775814295388636E-2</v>
          </cell>
        </row>
        <row r="66">
          <cell r="O66">
            <v>1.3338063878300499</v>
          </cell>
          <cell r="P66">
            <v>1.30235279998352</v>
          </cell>
          <cell r="Q66">
            <v>1.30471900267243</v>
          </cell>
          <cell r="U66">
            <v>2.84973607164925E-2</v>
          </cell>
          <cell r="V66">
            <v>5.8873654585700399E-3</v>
          </cell>
          <cell r="W66">
            <v>7.5659896400918098E-3</v>
          </cell>
          <cell r="Y66">
            <v>1.3338063878300499</v>
          </cell>
          <cell r="Z66">
            <v>1.30235279998352</v>
          </cell>
          <cell r="AA66">
            <v>1.30471900267243</v>
          </cell>
          <cell r="AE66">
            <v>2.84973607164925E-2</v>
          </cell>
          <cell r="AF66">
            <v>5.8873654585700399E-3</v>
          </cell>
          <cell r="AG66">
            <v>7.5659896400918098E-3</v>
          </cell>
          <cell r="AR66">
            <v>2.1394969781652787E-2</v>
          </cell>
          <cell r="BC66">
            <v>1.6305769653975455E-2</v>
          </cell>
          <cell r="BF66">
            <v>3.7700739435628239E-2</v>
          </cell>
        </row>
        <row r="67">
          <cell r="O67">
            <v>1.3338063878300499</v>
          </cell>
          <cell r="P67">
            <v>1.30128850414718</v>
          </cell>
          <cell r="Q67">
            <v>1.3040438952614599</v>
          </cell>
          <cell r="U67">
            <v>1.92875672586976E-2</v>
          </cell>
          <cell r="V67">
            <v>-4.5767583316956304E-3</v>
          </cell>
          <cell r="W67">
            <v>-2.7615391756875898E-3</v>
          </cell>
          <cell r="Y67">
            <v>1.3338063878300499</v>
          </cell>
          <cell r="Z67">
            <v>1.30128850414718</v>
          </cell>
          <cell r="AA67">
            <v>1.3040438952614599</v>
          </cell>
          <cell r="AE67">
            <v>1.92875672586976E-2</v>
          </cell>
          <cell r="AF67">
            <v>-4.5767583316956304E-3</v>
          </cell>
          <cell r="AG67">
            <v>-2.7615391756875898E-3</v>
          </cell>
          <cell r="AR67">
            <v>2.1394969781652787E-2</v>
          </cell>
          <cell r="BC67">
            <v>2.5515563111770251E-2</v>
          </cell>
          <cell r="BF67">
            <v>4.6910532893423035E-2</v>
          </cell>
        </row>
        <row r="68">
          <cell r="O68">
            <v>1.3338063878300499</v>
          </cell>
          <cell r="P68">
            <v>1.30150332895493</v>
          </cell>
          <cell r="Q68">
            <v>1.30378756303774</v>
          </cell>
          <cell r="U68">
            <v>1.6390796747102501E-2</v>
          </cell>
          <cell r="V68">
            <v>-8.2910730218458996E-3</v>
          </cell>
          <cell r="W68">
            <v>-6.1758787055926096E-3</v>
          </cell>
          <cell r="Y68">
            <v>1.3338063878300499</v>
          </cell>
          <cell r="Z68">
            <v>1.30150332895493</v>
          </cell>
          <cell r="AA68">
            <v>1.30378756303774</v>
          </cell>
          <cell r="AE68">
            <v>1.6390796747102501E-2</v>
          </cell>
          <cell r="AF68">
            <v>-8.2910730218458996E-3</v>
          </cell>
          <cell r="AG68">
            <v>-6.1758787055926096E-3</v>
          </cell>
          <cell r="AR68">
            <v>2.1394969781652787E-2</v>
          </cell>
          <cell r="BC68">
            <v>2.5515563111770251E-2</v>
          </cell>
          <cell r="BF68">
            <v>4.6910532893423035E-2</v>
          </cell>
        </row>
        <row r="69">
          <cell r="O69">
            <v>1.3338063878300499</v>
          </cell>
          <cell r="P69">
            <v>1.30220053033719</v>
          </cell>
          <cell r="Q69">
            <v>1.30456879337924</v>
          </cell>
          <cell r="U69">
            <v>1.3694594966122299E-2</v>
          </cell>
          <cell r="V69">
            <v>-1.08222022023132E-2</v>
          </cell>
          <cell r="W69">
            <v>-9.0686669827765801E-3</v>
          </cell>
          <cell r="Y69">
            <v>1.3338063878300499</v>
          </cell>
          <cell r="Z69">
            <v>1.30220053033719</v>
          </cell>
          <cell r="AA69">
            <v>1.30456879337924</v>
          </cell>
          <cell r="AE69">
            <v>1.3694594966122299E-2</v>
          </cell>
          <cell r="AF69">
            <v>-1.08222022023132E-2</v>
          </cell>
          <cell r="AG69">
            <v>-9.0686669827765801E-3</v>
          </cell>
          <cell r="AR69">
            <v>2.1394969781652787E-2</v>
          </cell>
          <cell r="BC69">
            <v>2.5515563111770251E-2</v>
          </cell>
          <cell r="BF69">
            <v>4.6910532893423035E-2</v>
          </cell>
        </row>
        <row r="70">
          <cell r="O70">
            <v>1.3338063878300499</v>
          </cell>
          <cell r="P70">
            <v>1.3021559185818901</v>
          </cell>
          <cell r="Q70">
            <v>1.3051866597839901</v>
          </cell>
          <cell r="U70">
            <v>1.3956393574121199E-2</v>
          </cell>
          <cell r="V70">
            <v>-1.00248577437886E-2</v>
          </cell>
          <cell r="W70">
            <v>-8.2078471843385608E-3</v>
          </cell>
          <cell r="Y70">
            <v>1.3338063878300499</v>
          </cell>
          <cell r="Z70">
            <v>1.3021559185818901</v>
          </cell>
          <cell r="AA70">
            <v>1.3051866597839901</v>
          </cell>
          <cell r="AE70">
            <v>1.3956393574121199E-2</v>
          </cell>
          <cell r="AF70">
            <v>-1.00248577437886E-2</v>
          </cell>
          <cell r="AG70">
            <v>-8.2078471843385608E-3</v>
          </cell>
          <cell r="AR70">
            <v>2.1394969781652787E-2</v>
          </cell>
          <cell r="BC70">
            <v>2.5515563111770251E-2</v>
          </cell>
          <cell r="BF70">
            <v>4.6910532893423035E-2</v>
          </cell>
        </row>
        <row r="71">
          <cell r="O71">
            <v>1.3338063878300499</v>
          </cell>
          <cell r="P71">
            <v>1.3056116068710399</v>
          </cell>
          <cell r="Q71">
            <v>1.30651078241187</v>
          </cell>
          <cell r="U71">
            <v>4.2915444382626696E-3</v>
          </cell>
          <cell r="V71">
            <v>-1.9723966211023101E-2</v>
          </cell>
          <cell r="W71">
            <v>-1.73991910991999E-2</v>
          </cell>
          <cell r="Y71">
            <v>1.3338063878300499</v>
          </cell>
          <cell r="Z71">
            <v>1.3056116068710399</v>
          </cell>
          <cell r="AA71">
            <v>1.30651078241187</v>
          </cell>
          <cell r="AE71">
            <v>4.2915444382626696E-3</v>
          </cell>
          <cell r="AF71">
            <v>-1.9723966211023101E-2</v>
          </cell>
          <cell r="AG71">
            <v>-1.73991910991999E-2</v>
          </cell>
          <cell r="AR71">
            <v>2.1394969781652787E-2</v>
          </cell>
          <cell r="BC71">
            <v>2.5515563111770251E-2</v>
          </cell>
          <cell r="BF71">
            <v>4.6910532893423035E-2</v>
          </cell>
        </row>
        <row r="72">
          <cell r="O72">
            <v>1.3338063878300499</v>
          </cell>
          <cell r="P72">
            <v>1.30741403273399</v>
          </cell>
          <cell r="Q72">
            <v>1.30747406528931</v>
          </cell>
          <cell r="U72">
            <v>1.26832166014114E-2</v>
          </cell>
          <cell r="V72">
            <v>-8.6819885446525E-3</v>
          </cell>
          <cell r="W72">
            <v>-7.99352495655253E-3</v>
          </cell>
          <cell r="Y72">
            <v>1.3338063878300499</v>
          </cell>
          <cell r="Z72">
            <v>1.30741403273399</v>
          </cell>
          <cell r="AA72">
            <v>1.30747406528931</v>
          </cell>
          <cell r="AE72">
            <v>1.26832166014114E-2</v>
          </cell>
          <cell r="AF72">
            <v>-8.6819885446525E-3</v>
          </cell>
          <cell r="AG72">
            <v>-7.99352495655253E-3</v>
          </cell>
          <cell r="AR72">
            <v>2.1394969781652787E-2</v>
          </cell>
          <cell r="BC72">
            <v>2.5515563111770251E-2</v>
          </cell>
          <cell r="BF72">
            <v>4.6910532893423035E-2</v>
          </cell>
        </row>
        <row r="73">
          <cell r="O73">
            <v>1.3338063878300499</v>
          </cell>
          <cell r="P73">
            <v>1.30944747928079</v>
          </cell>
          <cell r="Q73">
            <v>1.30811320467078</v>
          </cell>
          <cell r="U73">
            <v>1.23437440160259E-2</v>
          </cell>
          <cell r="V73">
            <v>-7.6418909325692503E-3</v>
          </cell>
          <cell r="W73">
            <v>-7.5959749674616803E-3</v>
          </cell>
          <cell r="Y73">
            <v>1.3338063878300499</v>
          </cell>
          <cell r="Z73">
            <v>1.30944747928079</v>
          </cell>
          <cell r="AA73">
            <v>1.30811320467078</v>
          </cell>
          <cell r="AE73">
            <v>1.23437440160259E-2</v>
          </cell>
          <cell r="AF73">
            <v>-7.6418909325692503E-3</v>
          </cell>
          <cell r="AG73">
            <v>-7.5959749674616803E-3</v>
          </cell>
          <cell r="AR73">
            <v>2.1394969781652787E-2</v>
          </cell>
          <cell r="BC73">
            <v>2.5515563111770251E-2</v>
          </cell>
          <cell r="BF73">
            <v>4.6910532893423035E-2</v>
          </cell>
        </row>
        <row r="74">
          <cell r="O74">
            <v>1.3338063878300499</v>
          </cell>
          <cell r="P74">
            <v>1.3123052555392201</v>
          </cell>
          <cell r="Q74">
            <v>1.3090216953216001</v>
          </cell>
          <cell r="U74">
            <v>1.31792757026278E-2</v>
          </cell>
          <cell r="V74">
            <v>-5.2522479972533596E-3</v>
          </cell>
          <cell r="W74">
            <v>-6.2717274949022203E-3</v>
          </cell>
          <cell r="Y74">
            <v>1.3338063878300499</v>
          </cell>
          <cell r="Z74">
            <v>1.3123052555392201</v>
          </cell>
          <cell r="AA74">
            <v>1.3090216953216001</v>
          </cell>
          <cell r="AE74">
            <v>1.31792757026278E-2</v>
          </cell>
          <cell r="AF74">
            <v>-5.2522479972533596E-3</v>
          </cell>
          <cell r="AG74">
            <v>-6.2717274949022203E-3</v>
          </cell>
          <cell r="AR74">
            <v>2.1394969781652787E-2</v>
          </cell>
          <cell r="BC74">
            <v>2.5515563111770251E-2</v>
          </cell>
          <cell r="BF74">
            <v>4.6910532893423035E-2</v>
          </cell>
        </row>
        <row r="75">
          <cell r="O75">
            <v>1.3338063878300499</v>
          </cell>
          <cell r="P75">
            <v>1.31468006535496</v>
          </cell>
          <cell r="Q75">
            <v>1.30933373545622</v>
          </cell>
          <cell r="U75">
            <v>1.0287325258744999E-2</v>
          </cell>
          <cell r="V75">
            <v>-5.9641473994737999E-3</v>
          </cell>
          <cell r="W75">
            <v>-8.4694143856795696E-3</v>
          </cell>
          <cell r="Y75">
            <v>1.3338063878300499</v>
          </cell>
          <cell r="Z75">
            <v>1.31468006535496</v>
          </cell>
          <cell r="AA75">
            <v>1.30933373545622</v>
          </cell>
          <cell r="AE75">
            <v>1.0287325258744999E-2</v>
          </cell>
          <cell r="AF75">
            <v>-5.9641473994737999E-3</v>
          </cell>
          <cell r="AG75">
            <v>-8.4694143856795696E-3</v>
          </cell>
          <cell r="AR75">
            <v>2.1394969781652787E-2</v>
          </cell>
          <cell r="BC75">
            <v>2.5515563111770251E-2</v>
          </cell>
          <cell r="BF75">
            <v>4.6910532893423035E-2</v>
          </cell>
        </row>
        <row r="76">
          <cell r="O76">
            <v>1.3338063878300499</v>
          </cell>
          <cell r="P76">
            <v>1.31555885533798</v>
          </cell>
          <cell r="Q76">
            <v>1.30895582766075</v>
          </cell>
          <cell r="U76">
            <v>2.1741189585691101E-2</v>
          </cell>
          <cell r="V76">
            <v>7.2977289051345401E-3</v>
          </cell>
          <cell r="W76">
            <v>3.22279812916145E-3</v>
          </cell>
          <cell r="Y76">
            <v>1.3338063878300499</v>
          </cell>
          <cell r="Z76">
            <v>1.31555885533798</v>
          </cell>
          <cell r="AA76">
            <v>1.30895582766075</v>
          </cell>
          <cell r="AE76">
            <v>2.1741189585691101E-2</v>
          </cell>
          <cell r="AF76">
            <v>7.2977289051345401E-3</v>
          </cell>
          <cell r="AG76">
            <v>3.22279812916145E-3</v>
          </cell>
          <cell r="AR76">
            <v>2.1394969781652787E-2</v>
          </cell>
          <cell r="BC76">
            <v>2.5515563111770251E-2</v>
          </cell>
          <cell r="BF76">
            <v>4.6910532893423035E-2</v>
          </cell>
        </row>
        <row r="77">
          <cell r="O77">
            <v>1.3338063878300499</v>
          </cell>
          <cell r="P77">
            <v>1.3142261297436</v>
          </cell>
          <cell r="Q77">
            <v>1.30775731694539</v>
          </cell>
          <cell r="U77">
            <v>2.9526291420611198E-2</v>
          </cell>
          <cell r="V77">
            <v>1.5751051416741799E-2</v>
          </cell>
          <cell r="W77">
            <v>1.0719232275512299E-2</v>
          </cell>
          <cell r="Y77">
            <v>1.3338063878300499</v>
          </cell>
          <cell r="Z77">
            <v>1.3142261297436</v>
          </cell>
          <cell r="AA77">
            <v>1.30775731694539</v>
          </cell>
          <cell r="AE77">
            <v>2.9526291420611198E-2</v>
          </cell>
          <cell r="AF77">
            <v>1.5751051416741799E-2</v>
          </cell>
          <cell r="AG77">
            <v>1.0719232275512299E-2</v>
          </cell>
          <cell r="AR77">
            <v>2.1394969781652787E-2</v>
          </cell>
          <cell r="BC77">
            <v>2.5515563111770251E-2</v>
          </cell>
          <cell r="BF77">
            <v>4.6910532893423035E-2</v>
          </cell>
        </row>
        <row r="78">
          <cell r="O78">
            <v>1.3338063878300499</v>
          </cell>
          <cell r="P78">
            <v>1.3124211191181601</v>
          </cell>
          <cell r="Q78">
            <v>1.3069622240365499</v>
          </cell>
          <cell r="U78">
            <v>3.0242712308550301E-2</v>
          </cell>
          <cell r="V78">
            <v>1.5453909814945E-2</v>
          </cell>
          <cell r="W78">
            <v>1.05196102248969E-2</v>
          </cell>
          <cell r="Y78">
            <v>1.3338063878300499</v>
          </cell>
          <cell r="Z78">
            <v>1.3124211191181601</v>
          </cell>
          <cell r="AA78">
            <v>1.3069622240365499</v>
          </cell>
          <cell r="AE78">
            <v>3.0242712308550301E-2</v>
          </cell>
          <cell r="AF78">
            <v>1.5453909814945E-2</v>
          </cell>
          <cell r="AG78">
            <v>1.05196102248969E-2</v>
          </cell>
          <cell r="AR78">
            <v>2.1394969781652787E-2</v>
          </cell>
          <cell r="BC78">
            <v>2.5515563111770251E-2</v>
          </cell>
          <cell r="BF78">
            <v>4.6910532893423035E-2</v>
          </cell>
        </row>
        <row r="79">
          <cell r="O79">
            <v>1.3338063878300499</v>
          </cell>
          <cell r="P79">
            <v>1.31038123653262</v>
          </cell>
          <cell r="Q79">
            <v>1.3062908834349101</v>
          </cell>
          <cell r="U79">
            <v>2.9320622845618701E-2</v>
          </cell>
          <cell r="V79">
            <v>1.31574364027805E-2</v>
          </cell>
          <cell r="W79">
            <v>8.9893538661384997E-3</v>
          </cell>
          <cell r="Y79">
            <v>1.3338063878300499</v>
          </cell>
          <cell r="Z79">
            <v>1.31038123653262</v>
          </cell>
          <cell r="AA79">
            <v>1.3062908834349101</v>
          </cell>
          <cell r="AE79">
            <v>2.9320622845618701E-2</v>
          </cell>
          <cell r="AF79">
            <v>1.31574364027805E-2</v>
          </cell>
          <cell r="AG79">
            <v>8.9893538661384997E-3</v>
          </cell>
          <cell r="AR79">
            <v>2.1394969781652787E-2</v>
          </cell>
          <cell r="BC79">
            <v>2.5515563111770251E-2</v>
          </cell>
          <cell r="BF79">
            <v>4.6910532893423035E-2</v>
          </cell>
        </row>
        <row r="80">
          <cell r="O80">
            <v>1.3338063878300499</v>
          </cell>
          <cell r="P80">
            <v>1.30833536205223</v>
          </cell>
          <cell r="Q80">
            <v>1.30524564031706</v>
          </cell>
          <cell r="U80">
            <v>2.96328183288679E-2</v>
          </cell>
          <cell r="V80">
            <v>1.19141330567349E-2</v>
          </cell>
          <cell r="W80">
            <v>8.7877524925196494E-3</v>
          </cell>
          <cell r="Y80">
            <v>1.3338063878300499</v>
          </cell>
          <cell r="Z80">
            <v>1.30833536205223</v>
          </cell>
          <cell r="AA80">
            <v>1.30524564031706</v>
          </cell>
          <cell r="AE80">
            <v>2.96328183288679E-2</v>
          </cell>
          <cell r="AF80">
            <v>1.19141330567349E-2</v>
          </cell>
          <cell r="AG80">
            <v>8.7877524925196494E-3</v>
          </cell>
          <cell r="AR80">
            <v>2.1394969781652787E-2</v>
          </cell>
          <cell r="BC80">
            <v>2.5515563111770251E-2</v>
          </cell>
          <cell r="BF80">
            <v>4.6910532893423035E-2</v>
          </cell>
        </row>
        <row r="81">
          <cell r="O81">
            <v>1.3338063878300499</v>
          </cell>
          <cell r="P81">
            <v>1.30392216884114</v>
          </cell>
          <cell r="Q81">
            <v>1.3047668878560901</v>
          </cell>
          <cell r="U81">
            <v>3.80856988478845E-2</v>
          </cell>
          <cell r="V81">
            <v>1.8804511625194399E-2</v>
          </cell>
          <cell r="W81">
            <v>1.6440151636568701E-2</v>
          </cell>
          <cell r="Y81">
            <v>1.3338063878300499</v>
          </cell>
          <cell r="Z81">
            <v>1.30392216884114</v>
          </cell>
          <cell r="AA81">
            <v>1.3047668878560901</v>
          </cell>
          <cell r="AE81">
            <v>3.80856988478845E-2</v>
          </cell>
          <cell r="AF81">
            <v>1.8804511625194399E-2</v>
          </cell>
          <cell r="AG81">
            <v>1.6440151636568701E-2</v>
          </cell>
          <cell r="AR81">
            <v>2.1394969781652787E-2</v>
          </cell>
          <cell r="BC81">
            <v>2.5515563111770251E-2</v>
          </cell>
          <cell r="BF81">
            <v>4.6910532893423035E-2</v>
          </cell>
        </row>
        <row r="82">
          <cell r="O82">
            <v>1.3338063878300499</v>
          </cell>
          <cell r="P82">
            <v>1.3018876858161099</v>
          </cell>
          <cell r="Q82">
            <v>1.3046508592750501</v>
          </cell>
          <cell r="U82">
            <v>2.8251681500560899E-2</v>
          </cell>
          <cell r="V82">
            <v>5.5916563512710899E-3</v>
          </cell>
          <cell r="W82">
            <v>6.23927592272431E-3</v>
          </cell>
          <cell r="Y82">
            <v>1.3338063878300499</v>
          </cell>
          <cell r="Z82">
            <v>1.3018876858161099</v>
          </cell>
          <cell r="AA82">
            <v>1.3046508592750501</v>
          </cell>
          <cell r="AE82">
            <v>2.8251681500560899E-2</v>
          </cell>
          <cell r="AF82">
            <v>5.5916563512710899E-3</v>
          </cell>
          <cell r="AG82">
            <v>6.23927592272431E-3</v>
          </cell>
          <cell r="AR82">
            <v>2.1394969781652787E-2</v>
          </cell>
          <cell r="BC82">
            <v>3.5349580459094053E-2</v>
          </cell>
          <cell r="BF82">
            <v>5.6744550240746837E-2</v>
          </cell>
        </row>
        <row r="83">
          <cell r="O83">
            <v>1.3338063878300499</v>
          </cell>
          <cell r="P83">
            <v>1.2992793115547301</v>
          </cell>
          <cell r="Q83">
            <v>1.30436339541776</v>
          </cell>
          <cell r="U83">
            <v>3.2341122769625801E-2</v>
          </cell>
          <cell r="V83">
            <v>8.1195996201861003E-3</v>
          </cell>
          <cell r="W83">
            <v>1.02397865625378E-2</v>
          </cell>
          <cell r="Y83">
            <v>1.3338063878300499</v>
          </cell>
          <cell r="Z83">
            <v>1.2992793115547301</v>
          </cell>
          <cell r="AA83">
            <v>1.30436339541776</v>
          </cell>
          <cell r="AE83">
            <v>3.2341122769625801E-2</v>
          </cell>
          <cell r="AF83">
            <v>8.1195996201861003E-3</v>
          </cell>
          <cell r="AG83">
            <v>1.02397865625378E-2</v>
          </cell>
          <cell r="AR83">
            <v>2.1394969781652787E-2</v>
          </cell>
          <cell r="BC83">
            <v>3.1260139190029054E-2</v>
          </cell>
          <cell r="BF83">
            <v>5.2655108971681838E-2</v>
          </cell>
        </row>
        <row r="84">
          <cell r="O84">
            <v>1.3338063878300499</v>
          </cell>
          <cell r="P84">
            <v>1.2958655657915501</v>
          </cell>
          <cell r="Q84">
            <v>1.3040854106653801</v>
          </cell>
          <cell r="U84">
            <v>3.9455035507435003E-2</v>
          </cell>
          <cell r="V84">
            <v>1.32279701238317E-2</v>
          </cell>
          <cell r="W84">
            <v>1.7133337255225999E-2</v>
          </cell>
          <cell r="Y84">
            <v>1.3338063878300499</v>
          </cell>
          <cell r="Z84">
            <v>1.2958655657915501</v>
          </cell>
          <cell r="AA84">
            <v>1.3040854106653801</v>
          </cell>
          <cell r="AE84">
            <v>3.9455035507435003E-2</v>
          </cell>
          <cell r="AF84">
            <v>1.32279701238317E-2</v>
          </cell>
          <cell r="AG84">
            <v>1.7133337255225999E-2</v>
          </cell>
          <cell r="AR84">
            <v>2.1394969781652787E-2</v>
          </cell>
          <cell r="BC84">
            <v>2.4146226452220046E-2</v>
          </cell>
          <cell r="BF84">
            <v>4.554119623387283E-2</v>
          </cell>
        </row>
        <row r="85">
          <cell r="O85">
            <v>1.3338063878300499</v>
          </cell>
          <cell r="P85">
            <v>1.29243167502756</v>
          </cell>
          <cell r="Q85">
            <v>1.30355587019126</v>
          </cell>
          <cell r="U85">
            <v>3.6642862535098103E-2</v>
          </cell>
          <cell r="V85">
            <v>7.7849245848060399E-3</v>
          </cell>
          <cell r="W85">
            <v>1.4108022470194499E-2</v>
          </cell>
          <cell r="Y85">
            <v>1.3338063878300499</v>
          </cell>
          <cell r="Z85">
            <v>1.29243167502756</v>
          </cell>
          <cell r="AA85">
            <v>1.30355587019126</v>
          </cell>
          <cell r="AE85">
            <v>3.6642862535098103E-2</v>
          </cell>
          <cell r="AF85">
            <v>7.7849245848060399E-3</v>
          </cell>
          <cell r="AG85">
            <v>1.4108022470194499E-2</v>
          </cell>
          <cell r="AR85">
            <v>2.1394969781652787E-2</v>
          </cell>
          <cell r="BC85">
            <v>2.6958399424556564E-2</v>
          </cell>
          <cell r="BF85">
            <v>4.8353369206209348E-2</v>
          </cell>
        </row>
        <row r="86">
          <cell r="O86">
            <v>1.3338063878300499</v>
          </cell>
          <cell r="P86">
            <v>1.2913014461891399</v>
          </cell>
          <cell r="Q86">
            <v>1.3034301507635599</v>
          </cell>
          <cell r="U86">
            <v>3.0438860594814598E-2</v>
          </cell>
          <cell r="V86">
            <v>-1.07247645086305E-3</v>
          </cell>
          <cell r="W86">
            <v>7.4978753401632502E-3</v>
          </cell>
          <cell r="Y86">
            <v>1.3338063878300499</v>
          </cell>
          <cell r="Z86">
            <v>1.2913014461891399</v>
          </cell>
          <cell r="AA86">
            <v>1.3034301507635599</v>
          </cell>
          <cell r="AE86">
            <v>3.0438860594814598E-2</v>
          </cell>
          <cell r="AF86">
            <v>-1.07247645086305E-3</v>
          </cell>
          <cell r="AG86">
            <v>7.4978753401632502E-3</v>
          </cell>
          <cell r="AR86">
            <v>2.1394969781652787E-2</v>
          </cell>
          <cell r="BC86">
            <v>3.3162401364840263E-2</v>
          </cell>
          <cell r="BF86">
            <v>5.4557371146493047E-2</v>
          </cell>
        </row>
        <row r="87">
          <cell r="O87">
            <v>1.3338063878300499</v>
          </cell>
          <cell r="P87">
            <v>1.2934147746191</v>
          </cell>
          <cell r="Q87">
            <v>1.3038204521813499</v>
          </cell>
          <cell r="U87">
            <v>1.33388759451423E-2</v>
          </cell>
          <cell r="V87">
            <v>-1.9047341637716798E-2</v>
          </cell>
          <cell r="W87">
            <v>-9.6985574122511794E-3</v>
          </cell>
          <cell r="Y87">
            <v>1.3338063878300499</v>
          </cell>
          <cell r="Z87">
            <v>1.2934147746191</v>
          </cell>
          <cell r="AA87">
            <v>1.3038204521813499</v>
          </cell>
          <cell r="AE87">
            <v>1.33388759451423E-2</v>
          </cell>
          <cell r="AF87">
            <v>-1.9047341637716798E-2</v>
          </cell>
          <cell r="AG87">
            <v>-9.6985574122511794E-3</v>
          </cell>
          <cell r="AR87">
            <v>2.1394969781652787E-2</v>
          </cell>
          <cell r="BC87">
            <v>5.026238601451237E-2</v>
          </cell>
          <cell r="BF87">
            <v>7.1657355796165154E-2</v>
          </cell>
        </row>
        <row r="88">
          <cell r="O88">
            <v>1.3338063878300499</v>
          </cell>
          <cell r="P88">
            <v>1.2952085568048901</v>
          </cell>
          <cell r="Q88">
            <v>1.30381483796153</v>
          </cell>
          <cell r="U88">
            <v>1.64763750424856E-2</v>
          </cell>
          <cell r="V88">
            <v>-1.4274592307581199E-2</v>
          </cell>
          <cell r="W88">
            <v>-6.2616613790973897E-3</v>
          </cell>
          <cell r="Y88">
            <v>1.3338063878300499</v>
          </cell>
          <cell r="Z88">
            <v>1.2952085568048901</v>
          </cell>
          <cell r="AA88">
            <v>1.30381483796153</v>
          </cell>
          <cell r="AE88">
            <v>1.64763750424856E-2</v>
          </cell>
          <cell r="AF88">
            <v>-1.4274592307581199E-2</v>
          </cell>
          <cell r="AG88">
            <v>-6.2616613790973897E-3</v>
          </cell>
          <cell r="AR88">
            <v>2.1394969781652787E-2</v>
          </cell>
          <cell r="BC88">
            <v>5.026238601451237E-2</v>
          </cell>
          <cell r="BF88">
            <v>7.1657355796165154E-2</v>
          </cell>
        </row>
        <row r="89">
          <cell r="O89">
            <v>1.3338063878300499</v>
          </cell>
          <cell r="P89">
            <v>1.2976617311415199</v>
          </cell>
          <cell r="Q89">
            <v>1.3040214838370701</v>
          </cell>
          <cell r="U89">
            <v>1.05582039973249E-2</v>
          </cell>
          <cell r="V89">
            <v>-1.8806866493105302E-2</v>
          </cell>
          <cell r="W89">
            <v>-1.2184138409719899E-2</v>
          </cell>
          <cell r="Y89">
            <v>1.3338063878300499</v>
          </cell>
          <cell r="Z89">
            <v>1.2976617311415199</v>
          </cell>
          <cell r="AA89">
            <v>1.3040214838370701</v>
          </cell>
          <cell r="AE89">
            <v>1.05582039973249E-2</v>
          </cell>
          <cell r="AF89">
            <v>-1.8806866493105302E-2</v>
          </cell>
          <cell r="AG89">
            <v>-1.2184138409719899E-2</v>
          </cell>
          <cell r="AR89">
            <v>2.1394969781652787E-2</v>
          </cell>
          <cell r="BC89">
            <v>5.026238601451237E-2</v>
          </cell>
          <cell r="BF89">
            <v>7.1657355796165154E-2</v>
          </cell>
        </row>
        <row r="90">
          <cell r="O90">
            <v>1.3338063878300499</v>
          </cell>
          <cell r="P90">
            <v>1.30138476227039</v>
          </cell>
          <cell r="Q90">
            <v>1.30486006216131</v>
          </cell>
          <cell r="U90">
            <v>1.28606759322331E-3</v>
          </cell>
          <cell r="V90">
            <v>-2.6186756239115799E-2</v>
          </cell>
          <cell r="W90">
            <v>-2.1297794103777998E-2</v>
          </cell>
          <cell r="Y90">
            <v>1.3338063878300499</v>
          </cell>
          <cell r="Z90">
            <v>1.30138476227039</v>
          </cell>
          <cell r="AA90">
            <v>1.30486006216131</v>
          </cell>
          <cell r="AE90">
            <v>1.28606759322331E-3</v>
          </cell>
          <cell r="AF90">
            <v>-2.6186756239115799E-2</v>
          </cell>
          <cell r="AG90">
            <v>-2.1297794103777998E-2</v>
          </cell>
          <cell r="AR90">
            <v>2.1394969781652787E-2</v>
          </cell>
          <cell r="BC90">
            <v>5.026238601451237E-2</v>
          </cell>
          <cell r="BF90">
            <v>7.1657355796165154E-2</v>
          </cell>
        </row>
        <row r="91">
          <cell r="O91">
            <v>1.3338063878300499</v>
          </cell>
          <cell r="P91">
            <v>1.3054515465152201</v>
          </cell>
          <cell r="Q91">
            <v>1.30468685767818</v>
          </cell>
          <cell r="U91">
            <v>6.9032675403866697E-3</v>
          </cell>
          <cell r="V91">
            <v>-1.7704633571412599E-2</v>
          </cell>
          <cell r="W91">
            <v>-1.50377298959441E-2</v>
          </cell>
          <cell r="Y91">
            <v>1.3338063878300499</v>
          </cell>
          <cell r="Z91">
            <v>1.3054515465152201</v>
          </cell>
          <cell r="AA91">
            <v>1.30468685767818</v>
          </cell>
          <cell r="AE91">
            <v>6.9032675403866697E-3</v>
          </cell>
          <cell r="AF91">
            <v>-1.7704633571412599E-2</v>
          </cell>
          <cell r="AG91">
            <v>-1.50377298959441E-2</v>
          </cell>
          <cell r="AR91">
            <v>2.1394969781652787E-2</v>
          </cell>
          <cell r="BC91">
            <v>5.026238601451237E-2</v>
          </cell>
          <cell r="BF91">
            <v>7.1657355796165154E-2</v>
          </cell>
        </row>
        <row r="92">
          <cell r="O92">
            <v>1.3338063878300499</v>
          </cell>
          <cell r="P92">
            <v>1.3092111862384599</v>
          </cell>
          <cell r="Q92">
            <v>1.3055494360272899</v>
          </cell>
          <cell r="U92">
            <v>-3.3090800503665603E-4</v>
          </cell>
          <cell r="V92">
            <v>-2.1818714824535498E-2</v>
          </cell>
          <cell r="W92">
            <v>-2.2404652227464E-2</v>
          </cell>
          <cell r="Y92">
            <v>1.3338063878300499</v>
          </cell>
          <cell r="Z92">
            <v>1.3092111862384599</v>
          </cell>
          <cell r="AA92">
            <v>1.3055494360272899</v>
          </cell>
          <cell r="AE92">
            <v>-3.3090800503665603E-4</v>
          </cell>
          <cell r="AF92">
            <v>-2.1818714824535498E-2</v>
          </cell>
          <cell r="AG92">
            <v>-2.2404652227464E-2</v>
          </cell>
          <cell r="AR92">
            <v>2.1394969781652787E-2</v>
          </cell>
          <cell r="BC92">
            <v>5.026238601451237E-2</v>
          </cell>
          <cell r="BF92">
            <v>7.1657355796165154E-2</v>
          </cell>
        </row>
        <row r="93">
          <cell r="O93">
            <v>1.3338063878300499</v>
          </cell>
          <cell r="P93">
            <v>1.3136257801862401</v>
          </cell>
          <cell r="Q93">
            <v>1.3064525458704901</v>
          </cell>
          <cell r="U93">
            <v>-1.27315980544819E-3</v>
          </cell>
          <cell r="V93">
            <v>-1.9885152266746201E-2</v>
          </cell>
          <cell r="W93">
            <v>-2.2685984261656401E-2</v>
          </cell>
          <cell r="Y93">
            <v>1.3338063878300499</v>
          </cell>
          <cell r="Z93">
            <v>1.3136257801862401</v>
          </cell>
          <cell r="AA93">
            <v>1.3064525458704901</v>
          </cell>
          <cell r="AE93">
            <v>-1.27315980544819E-3</v>
          </cell>
          <cell r="AF93">
            <v>-1.9885152266746201E-2</v>
          </cell>
          <cell r="AG93">
            <v>-2.2685984261656401E-2</v>
          </cell>
          <cell r="AR93">
            <v>2.1394969781652787E-2</v>
          </cell>
          <cell r="BC93">
            <v>5.026238601451237E-2</v>
          </cell>
          <cell r="BF93">
            <v>7.1657355796165154E-2</v>
          </cell>
        </row>
        <row r="94">
          <cell r="O94">
            <v>1.3338063878300499</v>
          </cell>
          <cell r="P94">
            <v>1.31891110766557</v>
          </cell>
          <cell r="Q94">
            <v>1.3073883367285599</v>
          </cell>
          <cell r="U94">
            <v>-9.3863451116052898E-4</v>
          </cell>
          <cell r="V94">
            <v>-1.61843497900944E-2</v>
          </cell>
          <cell r="W94">
            <v>-2.1659951161902599E-2</v>
          </cell>
          <cell r="Y94">
            <v>1.3338063878300499</v>
          </cell>
          <cell r="Z94">
            <v>1.31891110766557</v>
          </cell>
          <cell r="AA94">
            <v>1.3073883367285599</v>
          </cell>
          <cell r="AE94">
            <v>-9.3863451116052898E-4</v>
          </cell>
          <cell r="AF94">
            <v>-1.61843497900944E-2</v>
          </cell>
          <cell r="AG94">
            <v>-2.1659951161902599E-2</v>
          </cell>
          <cell r="AR94">
            <v>2.1394969781652787E-2</v>
          </cell>
          <cell r="BC94">
            <v>5.026238601451237E-2</v>
          </cell>
          <cell r="BF94">
            <v>7.1657355796165154E-2</v>
          </cell>
        </row>
        <row r="95">
          <cell r="O95">
            <v>1.3338063878300499</v>
          </cell>
          <cell r="P95">
            <v>1.32479720978277</v>
          </cell>
          <cell r="Q95">
            <v>1.30861444240516</v>
          </cell>
          <cell r="U95">
            <v>-8.1174348821235198E-3</v>
          </cell>
          <cell r="V95">
            <v>-1.9347757552383001E-2</v>
          </cell>
          <cell r="W95">
            <v>-2.81227240927212E-2</v>
          </cell>
          <cell r="Y95">
            <v>1.3338063878300499</v>
          </cell>
          <cell r="Z95">
            <v>1.32479720978277</v>
          </cell>
          <cell r="AA95">
            <v>1.30861444240516</v>
          </cell>
          <cell r="AE95">
            <v>-8.1174348821235198E-3</v>
          </cell>
          <cell r="AF95">
            <v>-1.9347757552383001E-2</v>
          </cell>
          <cell r="AG95">
            <v>-2.81227240927212E-2</v>
          </cell>
          <cell r="AR95">
            <v>2.1394969781652787E-2</v>
          </cell>
          <cell r="BC95">
            <v>5.026238601451237E-2</v>
          </cell>
          <cell r="BF95">
            <v>7.1657355796165154E-2</v>
          </cell>
        </row>
        <row r="96">
          <cell r="O96">
            <v>1.3338063878300499</v>
          </cell>
          <cell r="P96">
            <v>1.32955464928488</v>
          </cell>
          <cell r="Q96">
            <v>1.31042804773701</v>
          </cell>
          <cell r="U96">
            <v>-5.6717633169368403E-3</v>
          </cell>
          <cell r="V96">
            <v>-1.24491652134519E-2</v>
          </cell>
          <cell r="W96">
            <v>-2.4739663793726802E-2</v>
          </cell>
          <cell r="Y96">
            <v>1.3338063878300499</v>
          </cell>
          <cell r="Z96">
            <v>1.32955464928488</v>
          </cell>
          <cell r="AA96">
            <v>1.31042804773701</v>
          </cell>
          <cell r="AE96">
            <v>-5.6717633169368403E-3</v>
          </cell>
          <cell r="AF96">
            <v>-1.24491652134519E-2</v>
          </cell>
          <cell r="AG96">
            <v>-2.4739663793726802E-2</v>
          </cell>
          <cell r="AR96">
            <v>2.3840641346839466E-2</v>
          </cell>
          <cell r="BC96">
            <v>5.026238601451237E-2</v>
          </cell>
          <cell r="BF96">
            <v>7.4103027361351839E-2</v>
          </cell>
        </row>
        <row r="97">
          <cell r="O97">
            <v>1.3338063878300499</v>
          </cell>
          <cell r="P97">
            <v>1.33266741521165</v>
          </cell>
          <cell r="Q97">
            <v>1.3130410949153699</v>
          </cell>
          <cell r="U97">
            <v>-1.00366213408307E-2</v>
          </cell>
          <cell r="V97">
            <v>-1.32293857446713E-2</v>
          </cell>
          <cell r="W97">
            <v>-2.7719583903438899E-2</v>
          </cell>
          <cell r="Y97">
            <v>1.3338063878300499</v>
          </cell>
          <cell r="Z97">
            <v>1.33266741521165</v>
          </cell>
          <cell r="AA97">
            <v>1.3130410949153699</v>
          </cell>
          <cell r="AE97">
            <v>-1.00366213408307E-2</v>
          </cell>
          <cell r="AF97">
            <v>-1.32293857446713E-2</v>
          </cell>
          <cell r="AG97">
            <v>-2.7719583903438899E-2</v>
          </cell>
          <cell r="AR97">
            <v>1.9475783322945566E-2</v>
          </cell>
          <cell r="BC97">
            <v>5.026238601451237E-2</v>
          </cell>
          <cell r="BF97">
            <v>6.9738169337457939E-2</v>
          </cell>
        </row>
        <row r="98">
          <cell r="O98">
            <v>1.3338063878300499</v>
          </cell>
          <cell r="P98">
            <v>1.33602078949701</v>
          </cell>
          <cell r="Q98">
            <v>1.3156146731509499</v>
          </cell>
          <cell r="U98">
            <v>-8.7615108378374194E-3</v>
          </cell>
          <cell r="V98">
            <v>-9.6158021392399907E-3</v>
          </cell>
          <cell r="W98">
            <v>-2.4452417919409102E-2</v>
          </cell>
          <cell r="Y98">
            <v>1.3338063878300499</v>
          </cell>
          <cell r="Z98">
            <v>1.33602078949701</v>
          </cell>
          <cell r="AA98">
            <v>1.3156146731509499</v>
          </cell>
          <cell r="AE98">
            <v>-8.7615108378374194E-3</v>
          </cell>
          <cell r="AF98">
            <v>-9.6158021392399907E-3</v>
          </cell>
          <cell r="AG98">
            <v>-2.4452417919409102E-2</v>
          </cell>
          <cell r="AR98">
            <v>2.0750893825938987E-2</v>
          </cell>
          <cell r="BC98">
            <v>5.026238601451237E-2</v>
          </cell>
          <cell r="BF98">
            <v>7.101327984045136E-2</v>
          </cell>
        </row>
        <row r="99">
          <cell r="O99">
            <v>1.3338063878300499</v>
          </cell>
          <cell r="P99">
            <v>1.33840986515805</v>
          </cell>
          <cell r="Q99">
            <v>1.3180357981497799</v>
          </cell>
          <cell r="U99">
            <v>-7.3817385426237997E-3</v>
          </cell>
          <cell r="V99">
            <v>-5.7229029494075302E-3</v>
          </cell>
          <cell r="W99">
            <v>-2.1114550472195098E-2</v>
          </cell>
          <cell r="Y99">
            <v>1.3338063878300499</v>
          </cell>
          <cell r="Z99">
            <v>1.33840986515805</v>
          </cell>
          <cell r="AA99">
            <v>1.3180357981497799</v>
          </cell>
          <cell r="AE99">
            <v>-7.3817385426237997E-3</v>
          </cell>
          <cell r="AF99">
            <v>-5.7229029494075302E-3</v>
          </cell>
          <cell r="AG99">
            <v>-2.1114550472195098E-2</v>
          </cell>
          <cell r="AR99">
            <v>2.2130666121152612E-2</v>
          </cell>
          <cell r="BC99">
            <v>5.026238601451237E-2</v>
          </cell>
          <cell r="BF99">
            <v>7.2393052135664993E-2</v>
          </cell>
        </row>
        <row r="100">
          <cell r="O100">
            <v>1.3338063878300499</v>
          </cell>
          <cell r="P100">
            <v>1.34013883254739</v>
          </cell>
          <cell r="Q100">
            <v>1.3207617974088901</v>
          </cell>
          <cell r="U100">
            <v>-1.1609760589371401E-2</v>
          </cell>
          <cell r="V100">
            <v>-8.1643194677104101E-3</v>
          </cell>
          <cell r="W100">
            <v>-2.3503964315413399E-2</v>
          </cell>
          <cell r="Y100">
            <v>1.3338063878300499</v>
          </cell>
          <cell r="Z100">
            <v>1.34013883254739</v>
          </cell>
          <cell r="AA100">
            <v>1.3207617974088901</v>
          </cell>
          <cell r="AE100">
            <v>-1.1609760589371401E-2</v>
          </cell>
          <cell r="AF100">
            <v>-8.1643194677104101E-3</v>
          </cell>
          <cell r="AG100">
            <v>-2.3503964315413399E-2</v>
          </cell>
          <cell r="AR100">
            <v>1.7902644074405012E-2</v>
          </cell>
          <cell r="BC100">
            <v>5.026238601451237E-2</v>
          </cell>
          <cell r="BF100">
            <v>6.8165030088917389E-2</v>
          </cell>
        </row>
        <row r="101">
          <cell r="O101">
            <v>1.3338063878300499</v>
          </cell>
          <cell r="P101">
            <v>1.3423204607385</v>
          </cell>
          <cell r="Q101">
            <v>1.32388600362686</v>
          </cell>
          <cell r="U101">
            <v>-9.43228937119415E-3</v>
          </cell>
          <cell r="V101">
            <v>-4.6958747974208603E-3</v>
          </cell>
          <cell r="W101">
            <v>-1.9260400393947601E-2</v>
          </cell>
          <cell r="Y101">
            <v>1.3338063878300499</v>
          </cell>
          <cell r="Z101">
            <v>1.3423204607385</v>
          </cell>
          <cell r="AA101">
            <v>1.32388600362686</v>
          </cell>
          <cell r="AE101">
            <v>-9.43228937119415E-3</v>
          </cell>
          <cell r="AF101">
            <v>-4.6958747974208603E-3</v>
          </cell>
          <cell r="AG101">
            <v>-1.9260400393947601E-2</v>
          </cell>
          <cell r="AR101">
            <v>2.0080115292582364E-2</v>
          </cell>
          <cell r="BC101">
            <v>5.026238601451237E-2</v>
          </cell>
          <cell r="BF101">
            <v>7.034250130709474E-2</v>
          </cell>
        </row>
        <row r="102">
          <cell r="O102">
            <v>1.3338063878300499</v>
          </cell>
          <cell r="P102">
            <v>1.3429763431470401</v>
          </cell>
          <cell r="Q102">
            <v>1.32609376469275</v>
          </cell>
          <cell r="U102">
            <v>-5.2346116692598803E-3</v>
          </cell>
          <cell r="V102">
            <v>1.1283913694984499E-3</v>
          </cell>
          <cell r="W102">
            <v>-1.27000582418949E-2</v>
          </cell>
          <cell r="Y102">
            <v>1.3338063878300499</v>
          </cell>
          <cell r="Z102">
            <v>1.3429763431470401</v>
          </cell>
          <cell r="AA102">
            <v>1.32609376469275</v>
          </cell>
          <cell r="AE102">
            <v>-5.2346116692598803E-3</v>
          </cell>
          <cell r="AF102">
            <v>1.1283913694984499E-3</v>
          </cell>
          <cell r="AG102">
            <v>-1.27000582418949E-2</v>
          </cell>
          <cell r="AR102">
            <v>2.4277792994517357E-2</v>
          </cell>
          <cell r="BC102">
            <v>5.026238601451237E-2</v>
          </cell>
          <cell r="BF102">
            <v>7.4540179009029733E-2</v>
          </cell>
        </row>
        <row r="103">
          <cell r="O103">
            <v>1.3338063878300499</v>
          </cell>
          <cell r="P103">
            <v>1.34343909877356</v>
          </cell>
          <cell r="Q103">
            <v>1.3285324394799001</v>
          </cell>
          <cell r="U103">
            <v>-4.7321923868751696E-3</v>
          </cell>
          <cell r="V103">
            <v>2.1193096666920199E-3</v>
          </cell>
          <cell r="W103">
            <v>-1.05313910861625E-2</v>
          </cell>
          <cell r="Y103">
            <v>1.3338063878300499</v>
          </cell>
          <cell r="Z103">
            <v>1.34343909877356</v>
          </cell>
          <cell r="AA103">
            <v>1.3285324394799001</v>
          </cell>
          <cell r="AE103">
            <v>-4.7321923868751696E-3</v>
          </cell>
          <cell r="AF103">
            <v>2.1193096666920199E-3</v>
          </cell>
          <cell r="AG103">
            <v>-1.05313910861625E-2</v>
          </cell>
          <cell r="AR103">
            <v>2.4277792994517357E-2</v>
          </cell>
          <cell r="BC103">
            <v>5.026238601451237E-2</v>
          </cell>
          <cell r="BF103">
            <v>7.4540179009029733E-2</v>
          </cell>
        </row>
        <row r="104">
          <cell r="O104">
            <v>1.3338063878300499</v>
          </cell>
          <cell r="P104">
            <v>1.34543924384858</v>
          </cell>
          <cell r="Q104">
            <v>1.3321751757570801</v>
          </cell>
          <cell r="U104">
            <v>-1.5809216063899699E-2</v>
          </cell>
          <cell r="V104">
            <v>-8.6131986953334495E-3</v>
          </cell>
          <cell r="W104">
            <v>-1.9771112419576999E-2</v>
          </cell>
          <cell r="Y104">
            <v>1.3338063878300499</v>
          </cell>
          <cell r="Z104">
            <v>1.34543924384858</v>
          </cell>
          <cell r="AA104">
            <v>1.3321751757570801</v>
          </cell>
          <cell r="AE104">
            <v>-1.5809216063899699E-2</v>
          </cell>
          <cell r="AF104">
            <v>-8.6131986953334495E-3</v>
          </cell>
          <cell r="AG104">
            <v>-1.9771112419576999E-2</v>
          </cell>
          <cell r="AR104">
            <v>2.4277792994517357E-2</v>
          </cell>
          <cell r="BC104">
            <v>5.026238601451237E-2</v>
          </cell>
          <cell r="BF104">
            <v>7.4540179009029733E-2</v>
          </cell>
        </row>
        <row r="105">
          <cell r="O105">
            <v>1.3338063878300499</v>
          </cell>
          <cell r="P105">
            <v>1.3466662239243801</v>
          </cell>
          <cell r="Q105">
            <v>1.3357317168535801</v>
          </cell>
          <cell r="U105">
            <v>-1.7200772268861901E-2</v>
          </cell>
          <cell r="V105">
            <v>-8.5170375780029492E-3</v>
          </cell>
          <cell r="W105">
            <v>-1.8424495867569401E-2</v>
          </cell>
          <cell r="Y105">
            <v>1.3338063878300499</v>
          </cell>
          <cell r="Z105">
            <v>1.3466662239243801</v>
          </cell>
          <cell r="AA105">
            <v>1.3357317168535801</v>
          </cell>
          <cell r="AE105">
            <v>-1.7200772268861901E-2</v>
          </cell>
          <cell r="AF105">
            <v>-8.5170375780029492E-3</v>
          </cell>
          <cell r="AG105">
            <v>-1.8424495867569401E-2</v>
          </cell>
          <cell r="AR105">
            <v>2.4277792994517357E-2</v>
          </cell>
          <cell r="BC105">
            <v>5.026238601451237E-2</v>
          </cell>
          <cell r="BF105">
            <v>7.4540179009029733E-2</v>
          </cell>
        </row>
        <row r="106">
          <cell r="O106">
            <v>1.3338063878300499</v>
          </cell>
          <cell r="P106">
            <v>1.34837684562752</v>
          </cell>
          <cell r="Q106">
            <v>1.3389657474562</v>
          </cell>
          <cell r="U106">
            <v>-1.8343711399011399E-2</v>
          </cell>
          <cell r="V106">
            <v>-8.7484372640613105E-3</v>
          </cell>
          <cell r="W106">
            <v>-1.6901267588996498E-2</v>
          </cell>
          <cell r="Y106">
            <v>1.3338063878300499</v>
          </cell>
          <cell r="Z106">
            <v>1.34837684562752</v>
          </cell>
          <cell r="AA106">
            <v>1.3389657474562</v>
          </cell>
          <cell r="AE106">
            <v>-1.8343711399011399E-2</v>
          </cell>
          <cell r="AF106">
            <v>-8.7484372640613105E-3</v>
          </cell>
          <cell r="AG106">
            <v>-1.6901267588996498E-2</v>
          </cell>
          <cell r="AR106">
            <v>2.4277792994517357E-2</v>
          </cell>
          <cell r="BC106">
            <v>5.026238601451237E-2</v>
          </cell>
          <cell r="BF106">
            <v>7.4540179009029733E-2</v>
          </cell>
        </row>
        <row r="107">
          <cell r="O107">
            <v>1.3338063878300499</v>
          </cell>
          <cell r="P107">
            <v>1.3488395695334201</v>
          </cell>
          <cell r="Q107">
            <v>1.3407534923725299</v>
          </cell>
          <cell r="U107">
            <v>-1.3465290304579099E-2</v>
          </cell>
          <cell r="V107">
            <v>-2.6005582138851498E-3</v>
          </cell>
          <cell r="W107">
            <v>-9.6046050135785103E-3</v>
          </cell>
          <cell r="Y107">
            <v>1.3338063878300499</v>
          </cell>
          <cell r="Z107">
            <v>1.3488395695334201</v>
          </cell>
          <cell r="AA107">
            <v>1.3407534923725299</v>
          </cell>
          <cell r="AE107">
            <v>-1.3465290304579099E-2</v>
          </cell>
          <cell r="AF107">
            <v>-2.6005582138851498E-3</v>
          </cell>
          <cell r="AG107">
            <v>-9.6046050135785103E-3</v>
          </cell>
          <cell r="AR107">
            <v>2.4277792994517357E-2</v>
          </cell>
          <cell r="BC107">
            <v>5.026238601451237E-2</v>
          </cell>
          <cell r="BF107">
            <v>7.4540179009029733E-2</v>
          </cell>
        </row>
        <row r="108">
          <cell r="O108">
            <v>1.3338063878300499</v>
          </cell>
          <cell r="P108">
            <v>1.3503960633904599</v>
          </cell>
          <cell r="Q108">
            <v>1.3432084264437301</v>
          </cell>
          <cell r="U108">
            <v>-2.0262883017009299E-2</v>
          </cell>
          <cell r="V108">
            <v>-9.0550387401037002E-3</v>
          </cell>
          <cell r="W108">
            <v>-1.50679197501723E-2</v>
          </cell>
          <cell r="Y108">
            <v>1.3338063878300499</v>
          </cell>
          <cell r="Z108">
            <v>1.3503960633904599</v>
          </cell>
          <cell r="AA108">
            <v>1.3432084264437301</v>
          </cell>
          <cell r="AE108">
            <v>-2.0262883017009299E-2</v>
          </cell>
          <cell r="AF108">
            <v>-9.0550387401037002E-3</v>
          </cell>
          <cell r="AG108">
            <v>-1.50679197501723E-2</v>
          </cell>
          <cell r="AR108">
            <v>2.4277792994517357E-2</v>
          </cell>
          <cell r="BC108">
            <v>5.026238601451237E-2</v>
          </cell>
          <cell r="BF108">
            <v>7.4540179009029733E-2</v>
          </cell>
        </row>
        <row r="109">
          <cell r="O109">
            <v>1.3338063878300499</v>
          </cell>
          <cell r="P109">
            <v>1.3511002695809</v>
          </cell>
          <cell r="Q109">
            <v>1.3447550673694699</v>
          </cell>
          <cell r="U109">
            <v>-1.2608896689058799E-2</v>
          </cell>
          <cell r="V109">
            <v>-2.4776737799731501E-4</v>
          </cell>
          <cell r="W109">
            <v>-5.5845969188956903E-3</v>
          </cell>
          <cell r="Y109">
            <v>1.3338063878300499</v>
          </cell>
          <cell r="Z109">
            <v>1.3511002695809</v>
          </cell>
          <cell r="AA109">
            <v>1.3447550673694699</v>
          </cell>
          <cell r="AE109">
            <v>-1.2608896689058799E-2</v>
          </cell>
          <cell r="AF109">
            <v>-2.4776737799731501E-4</v>
          </cell>
          <cell r="AG109">
            <v>-5.5845969188956903E-3</v>
          </cell>
          <cell r="AR109">
            <v>2.4277792994517357E-2</v>
          </cell>
          <cell r="BC109">
            <v>5.026238601451237E-2</v>
          </cell>
          <cell r="BF109">
            <v>7.4540179009029733E-2</v>
          </cell>
        </row>
        <row r="110">
          <cell r="O110">
            <v>1.3338063878300499</v>
          </cell>
          <cell r="P110">
            <v>1.35114120723107</v>
          </cell>
          <cell r="Q110">
            <v>1.34564001988923</v>
          </cell>
          <cell r="U110">
            <v>-1.1913095358003899E-2</v>
          </cell>
          <cell r="V110">
            <v>9.6937925180534397E-4</v>
          </cell>
          <cell r="W110">
            <v>-3.7380053334452302E-3</v>
          </cell>
          <cell r="Y110">
            <v>1.3338063878300499</v>
          </cell>
          <cell r="Z110">
            <v>1.35114120723107</v>
          </cell>
          <cell r="AA110">
            <v>1.34564001988923</v>
          </cell>
          <cell r="AE110">
            <v>-1.1913095358003899E-2</v>
          </cell>
          <cell r="AF110">
            <v>9.6937925180534397E-4</v>
          </cell>
          <cell r="AG110">
            <v>-3.7380053334452302E-3</v>
          </cell>
          <cell r="AR110">
            <v>2.4277792994517357E-2</v>
          </cell>
          <cell r="BC110">
            <v>5.026238601451237E-2</v>
          </cell>
          <cell r="BF110">
            <v>7.4540179009029733E-2</v>
          </cell>
        </row>
        <row r="111">
          <cell r="O111">
            <v>1.3338063878300499</v>
          </cell>
          <cell r="P111">
            <v>1.35163234972468</v>
          </cell>
          <cell r="Q111">
            <v>1.34697640523159</v>
          </cell>
          <cell r="U111">
            <v>-1.307334606574E-2</v>
          </cell>
          <cell r="V111">
            <v>-1.6057242416027699E-4</v>
          </cell>
          <cell r="W111">
            <v>-4.2403953753901297E-3</v>
          </cell>
          <cell r="Y111">
            <v>1.3338063878300499</v>
          </cell>
          <cell r="Z111">
            <v>1.35163234972468</v>
          </cell>
          <cell r="AA111">
            <v>1.34697640523159</v>
          </cell>
          <cell r="AE111">
            <v>-1.307334606574E-2</v>
          </cell>
          <cell r="AF111">
            <v>-1.6057242416027699E-4</v>
          </cell>
          <cell r="AG111">
            <v>-4.2403953753901297E-3</v>
          </cell>
          <cell r="AR111">
            <v>2.4277792994517357E-2</v>
          </cell>
          <cell r="BC111">
            <v>5.026238601451237E-2</v>
          </cell>
          <cell r="BF111">
            <v>7.4540179009029733E-2</v>
          </cell>
        </row>
        <row r="112">
          <cell r="O112">
            <v>1.3338063878300499</v>
          </cell>
          <cell r="P112">
            <v>1.35267217843416</v>
          </cell>
          <cell r="Q112">
            <v>1.3478242607905999</v>
          </cell>
          <cell r="U112">
            <v>-1.29599415620518E-2</v>
          </cell>
          <cell r="V112">
            <v>3.1626800093829E-4</v>
          </cell>
          <cell r="W112">
            <v>-3.1343612200181699E-3</v>
          </cell>
          <cell r="Y112">
            <v>1.3338063878300499</v>
          </cell>
          <cell r="Z112">
            <v>1.35267217843416</v>
          </cell>
          <cell r="AA112">
            <v>1.3478242607905999</v>
          </cell>
          <cell r="AE112">
            <v>-1.29599415620518E-2</v>
          </cell>
          <cell r="AF112">
            <v>3.1626800093829E-4</v>
          </cell>
          <cell r="AG112">
            <v>-3.1343612200181699E-3</v>
          </cell>
          <cell r="AR112">
            <v>2.4277792994517357E-2</v>
          </cell>
          <cell r="BC112">
            <v>5.026238601451237E-2</v>
          </cell>
          <cell r="BF112">
            <v>7.4540179009029733E-2</v>
          </cell>
        </row>
        <row r="113">
          <cell r="O113">
            <v>1.3338063878300499</v>
          </cell>
          <cell r="P113">
            <v>1.35286502070878</v>
          </cell>
          <cell r="Q113">
            <v>1.34815205974117</v>
          </cell>
          <cell r="U113">
            <v>-6.1701364908604396E-3</v>
          </cell>
          <cell r="V113">
            <v>7.8750905772893998E-3</v>
          </cell>
          <cell r="W113">
            <v>4.2846967659984098E-3</v>
          </cell>
          <cell r="Y113">
            <v>1.3338063878300499</v>
          </cell>
          <cell r="Z113">
            <v>1.35286502070878</v>
          </cell>
          <cell r="AA113">
            <v>1.34815205974117</v>
          </cell>
          <cell r="AE113">
            <v>-6.1701364908604396E-3</v>
          </cell>
          <cell r="AF113">
            <v>7.8750905772893998E-3</v>
          </cell>
          <cell r="AG113">
            <v>4.2846967659984098E-3</v>
          </cell>
          <cell r="AR113">
            <v>2.4277792994517357E-2</v>
          </cell>
          <cell r="BC113">
            <v>5.026238601451237E-2</v>
          </cell>
          <cell r="BF113">
            <v>7.4540179009029733E-2</v>
          </cell>
        </row>
        <row r="114">
          <cell r="O114">
            <v>1.3338063878300499</v>
          </cell>
          <cell r="P114">
            <v>1.35251758812224</v>
          </cell>
          <cell r="Q114">
            <v>1.3489784159854099</v>
          </cell>
          <cell r="U114">
            <v>-1.32419596080845E-2</v>
          </cell>
          <cell r="V114">
            <v>9.45821238302761E-4</v>
          </cell>
          <cell r="W114">
            <v>-2.5439499184877999E-3</v>
          </cell>
          <cell r="Y114">
            <v>1.3338063878300499</v>
          </cell>
          <cell r="Z114">
            <v>1.35251758812224</v>
          </cell>
          <cell r="AA114">
            <v>1.3489784159854099</v>
          </cell>
          <cell r="AE114">
            <v>-1.32419596080845E-2</v>
          </cell>
          <cell r="AF114">
            <v>9.45821238302761E-4</v>
          </cell>
          <cell r="AG114">
            <v>-2.5439499184877999E-3</v>
          </cell>
          <cell r="AR114">
            <v>2.4277792994517357E-2</v>
          </cell>
          <cell r="BC114">
            <v>5.026238601451237E-2</v>
          </cell>
          <cell r="BF114">
            <v>7.4540179009029733E-2</v>
          </cell>
        </row>
        <row r="115">
          <cell r="O115">
            <v>1.3338063878300499</v>
          </cell>
          <cell r="P115">
            <v>1.3520572261416799</v>
          </cell>
          <cell r="Q115">
            <v>1.3493617250330301</v>
          </cell>
          <cell r="U115">
            <v>-1.38023745775619E-2</v>
          </cell>
          <cell r="V115">
            <v>1.28560832386386E-4</v>
          </cell>
          <cell r="W115">
            <v>-2.4915978916832198E-3</v>
          </cell>
          <cell r="Y115">
            <v>1.3338063878300499</v>
          </cell>
          <cell r="Z115">
            <v>1.3520572261416799</v>
          </cell>
          <cell r="AA115">
            <v>1.3493617250330301</v>
          </cell>
          <cell r="AE115">
            <v>-1.38023745775619E-2</v>
          </cell>
          <cell r="AF115">
            <v>1.28560832386386E-4</v>
          </cell>
          <cell r="AG115">
            <v>-2.4915978916832198E-3</v>
          </cell>
          <cell r="AR115">
            <v>2.4277792994517357E-2</v>
          </cell>
          <cell r="BC115">
            <v>5.026238601451237E-2</v>
          </cell>
          <cell r="BF115">
            <v>7.4540179009029733E-2</v>
          </cell>
        </row>
        <row r="116">
          <cell r="O116">
            <v>1.3338063878300499</v>
          </cell>
          <cell r="P116">
            <v>1.3521507318630399</v>
          </cell>
          <cell r="Q116">
            <v>1.35026378874528</v>
          </cell>
          <cell r="U116">
            <v>-1.90317762919026E-2</v>
          </cell>
          <cell r="V116">
            <v>-5.4412729399497496E-3</v>
          </cell>
          <cell r="W116">
            <v>-7.4368923177159096E-3</v>
          </cell>
          <cell r="Y116">
            <v>1.3338063878300499</v>
          </cell>
          <cell r="Z116">
            <v>1.3521507318630399</v>
          </cell>
          <cell r="AA116">
            <v>1.35026378874528</v>
          </cell>
          <cell r="AE116">
            <v>-1.90317762919026E-2</v>
          </cell>
          <cell r="AF116">
            <v>-5.4412729399497496E-3</v>
          </cell>
          <cell r="AG116">
            <v>-7.4368923177159096E-3</v>
          </cell>
          <cell r="AR116">
            <v>2.4277792994517357E-2</v>
          </cell>
          <cell r="BC116">
            <v>5.026238601451237E-2</v>
          </cell>
          <cell r="BF116">
            <v>7.4540179009029733E-2</v>
          </cell>
        </row>
        <row r="117">
          <cell r="O117">
            <v>1.3338063878300499</v>
          </cell>
          <cell r="P117">
            <v>1.35311994724185</v>
          </cell>
          <cell r="Q117">
            <v>1.35097975838763</v>
          </cell>
          <cell r="U117">
            <v>-2.06090597354242E-2</v>
          </cell>
          <cell r="V117">
            <v>-6.94940066552542E-3</v>
          </cell>
          <cell r="W117">
            <v>-8.3458877033433104E-3</v>
          </cell>
          <cell r="Y117">
            <v>1.3338063878300499</v>
          </cell>
          <cell r="Z117">
            <v>1.35311994724185</v>
          </cell>
          <cell r="AA117">
            <v>1.35097975838763</v>
          </cell>
          <cell r="AE117">
            <v>-2.06090597354242E-2</v>
          </cell>
          <cell r="AF117">
            <v>-6.94940066552542E-3</v>
          </cell>
          <cell r="AG117">
            <v>-8.3458877033433104E-3</v>
          </cell>
          <cell r="AR117">
            <v>2.4277792994517357E-2</v>
          </cell>
          <cell r="BC117">
            <v>5.026238601451237E-2</v>
          </cell>
          <cell r="BF117">
            <v>7.4540179009029733E-2</v>
          </cell>
        </row>
        <row r="118">
          <cell r="O118">
            <v>1.3338063878300499</v>
          </cell>
          <cell r="P118">
            <v>1.35378008691837</v>
          </cell>
          <cell r="Q118">
            <v>1.35208807515441</v>
          </cell>
          <cell r="U118">
            <v>-2.51011735065753E-2</v>
          </cell>
          <cell r="V118">
            <v>-1.07249758457282E-2</v>
          </cell>
          <cell r="W118">
            <v>-1.2307897730327999E-2</v>
          </cell>
          <cell r="Y118">
            <v>1.3338063878300499</v>
          </cell>
          <cell r="Z118">
            <v>1.35378008691837</v>
          </cell>
          <cell r="AA118">
            <v>1.35208807515441</v>
          </cell>
          <cell r="AE118">
            <v>-2.51011735065753E-2</v>
          </cell>
          <cell r="AF118">
            <v>-1.07249758457282E-2</v>
          </cell>
          <cell r="AG118">
            <v>-1.2307897730327999E-2</v>
          </cell>
          <cell r="AR118">
            <v>2.4277792994517357E-2</v>
          </cell>
          <cell r="BC118">
            <v>5.026238601451237E-2</v>
          </cell>
          <cell r="BF118">
            <v>7.4540179009029733E-2</v>
          </cell>
        </row>
        <row r="119">
          <cell r="O119">
            <v>1.3338063878300499</v>
          </cell>
          <cell r="P119">
            <v>1.3544160823523299</v>
          </cell>
          <cell r="Q119">
            <v>1.3527581759666101</v>
          </cell>
          <cell r="U119">
            <v>-1.73063750337124E-2</v>
          </cell>
          <cell r="V119">
            <v>-2.4424314780911302E-3</v>
          </cell>
          <cell r="W119">
            <v>-3.6930555906826801E-3</v>
          </cell>
          <cell r="Y119">
            <v>1.3338063878300499</v>
          </cell>
          <cell r="Z119">
            <v>1.3544160823523299</v>
          </cell>
          <cell r="AA119">
            <v>1.3527581759666101</v>
          </cell>
          <cell r="AE119">
            <v>-1.73063750337124E-2</v>
          </cell>
          <cell r="AF119">
            <v>-2.4424314780911302E-3</v>
          </cell>
          <cell r="AG119">
            <v>-3.6930555906826801E-3</v>
          </cell>
          <cell r="AR119">
            <v>2.4277792994517357E-2</v>
          </cell>
          <cell r="BC119">
            <v>5.026238601451237E-2</v>
          </cell>
          <cell r="BF119">
            <v>7.4540179009029733E-2</v>
          </cell>
        </row>
        <row r="120">
          <cell r="O120">
            <v>1.3338063878300499</v>
          </cell>
          <cell r="P120">
            <v>1.35575440187623</v>
          </cell>
          <cell r="Q120">
            <v>1.35344780455365</v>
          </cell>
          <cell r="U120">
            <v>-2.1779275795060199E-2</v>
          </cell>
          <cell r="V120">
            <v>-6.4456502770571401E-3</v>
          </cell>
          <cell r="W120">
            <v>-7.6704747137452999E-3</v>
          </cell>
          <cell r="Y120">
            <v>1.3338063878300499</v>
          </cell>
          <cell r="Z120">
            <v>1.35575440187623</v>
          </cell>
          <cell r="AA120">
            <v>1.35344780455365</v>
          </cell>
          <cell r="AE120">
            <v>-2.1779275795060199E-2</v>
          </cell>
          <cell r="AF120">
            <v>-6.4456502770571401E-3</v>
          </cell>
          <cell r="AG120">
            <v>-7.6704747137452999E-3</v>
          </cell>
          <cell r="AR120">
            <v>2.4277792994517357E-2</v>
          </cell>
          <cell r="BC120">
            <v>5.026238601451237E-2</v>
          </cell>
          <cell r="BF120">
            <v>7.4540179009029733E-2</v>
          </cell>
        </row>
        <row r="121">
          <cell r="O121">
            <v>1.3338063878300499</v>
          </cell>
          <cell r="P121">
            <v>1.3536243708912601</v>
          </cell>
          <cell r="Q121">
            <v>1.3526283603079701</v>
          </cell>
          <cell r="U121">
            <v>2.8143472192167702E-3</v>
          </cell>
          <cell r="V121">
            <v>1.91356003720656E-2</v>
          </cell>
          <cell r="W121">
            <v>1.7432812832300301E-2</v>
          </cell>
          <cell r="Y121">
            <v>1.3338063878300499</v>
          </cell>
          <cell r="Z121">
            <v>1.3536243708912601</v>
          </cell>
          <cell r="AA121">
            <v>1.3526283603079701</v>
          </cell>
          <cell r="AE121">
            <v>2.8143472192167702E-3</v>
          </cell>
          <cell r="AF121">
            <v>1.91356003720656E-2</v>
          </cell>
          <cell r="AG121">
            <v>1.7432812832300301E-2</v>
          </cell>
          <cell r="AR121">
            <v>2.4277792994517357E-2</v>
          </cell>
          <cell r="BC121">
            <v>5.026238601451237E-2</v>
          </cell>
          <cell r="BF121">
            <v>7.4540179009029733E-2</v>
          </cell>
        </row>
        <row r="122">
          <cell r="O122">
            <v>1.3338063878300499</v>
          </cell>
          <cell r="P122">
            <v>1.35401851934621</v>
          </cell>
          <cell r="Q122">
            <v>1.3533453488901801</v>
          </cell>
          <cell r="U122">
            <v>-1.5872709940936799E-2</v>
          </cell>
          <cell r="V122">
            <v>-1.12379613407487E-3</v>
          </cell>
          <cell r="W122">
            <v>-1.8598771488116199E-3</v>
          </cell>
          <cell r="Y122">
            <v>1.3338063878300499</v>
          </cell>
          <cell r="Z122">
            <v>1.35401851934621</v>
          </cell>
          <cell r="AA122">
            <v>1.3533453488901801</v>
          </cell>
          <cell r="AE122">
            <v>-1.5872709940936799E-2</v>
          </cell>
          <cell r="AF122">
            <v>-1.12379613407487E-3</v>
          </cell>
          <cell r="AG122">
            <v>-1.8598771488116199E-3</v>
          </cell>
          <cell r="AR122">
            <v>2.4277792994517357E-2</v>
          </cell>
          <cell r="BC122">
            <v>6.8949443174665684E-2</v>
          </cell>
          <cell r="BF122">
            <v>9.3227236169183048E-2</v>
          </cell>
        </row>
        <row r="123">
          <cell r="O123">
            <v>1.3338063878300499</v>
          </cell>
          <cell r="P123">
            <v>1.3575206274876199</v>
          </cell>
          <cell r="Q123">
            <v>1.3551928240982001</v>
          </cell>
          <cell r="U123">
            <v>-3.1930459956347801E-2</v>
          </cell>
          <cell r="V123">
            <v>-1.68904084524443E-2</v>
          </cell>
          <cell r="W123">
            <v>-1.7387696960869E-2</v>
          </cell>
          <cell r="Y123">
            <v>1.3338063878300499</v>
          </cell>
          <cell r="Z123">
            <v>1.3575206274876199</v>
          </cell>
          <cell r="AA123">
            <v>1.3551928240982001</v>
          </cell>
          <cell r="AE123">
            <v>-3.1930459956347801E-2</v>
          </cell>
          <cell r="AF123">
            <v>-1.68904084524443E-2</v>
          </cell>
          <cell r="AG123">
            <v>-1.7387696960869E-2</v>
          </cell>
          <cell r="AR123">
            <v>2.4277792994517357E-2</v>
          </cell>
          <cell r="BC123">
            <v>6.8949443174665684E-2</v>
          </cell>
          <cell r="BF123">
            <v>9.3227236169183048E-2</v>
          </cell>
        </row>
        <row r="124">
          <cell r="O124">
            <v>1.3338063878300499</v>
          </cell>
          <cell r="P124">
            <v>1.3604683379273701</v>
          </cell>
          <cell r="Q124">
            <v>1.3564929630248099</v>
          </cell>
          <cell r="U124">
            <v>-3.4816809090421501E-2</v>
          </cell>
          <cell r="V124">
            <v>-1.7193641578172301E-2</v>
          </cell>
          <cell r="W124">
            <v>-1.8909859676635599E-2</v>
          </cell>
          <cell r="Y124">
            <v>1.3338063878300499</v>
          </cell>
          <cell r="Z124">
            <v>1.3604683379273701</v>
          </cell>
          <cell r="AA124">
            <v>1.3564929630248099</v>
          </cell>
          <cell r="AE124">
            <v>-3.4816809090421501E-2</v>
          </cell>
          <cell r="AF124">
            <v>-1.7193641578172301E-2</v>
          </cell>
          <cell r="AG124">
            <v>-1.8909859676635599E-2</v>
          </cell>
          <cell r="AR124">
            <v>2.4277792994517357E-2</v>
          </cell>
          <cell r="BC124">
            <v>6.8949443174665684E-2</v>
          </cell>
          <cell r="BF124">
            <v>9.3227236169183048E-2</v>
          </cell>
        </row>
        <row r="125">
          <cell r="O125">
            <v>1.3338063878300499</v>
          </cell>
          <cell r="P125">
            <v>1.36270769051723</v>
          </cell>
          <cell r="Q125">
            <v>1.35738245832945</v>
          </cell>
          <cell r="U125">
            <v>-3.0225817482434799E-2</v>
          </cell>
          <cell r="V125">
            <v>-1.0433611292732899E-2</v>
          </cell>
          <cell r="W125">
            <v>-1.3359952376862201E-2</v>
          </cell>
          <cell r="Y125">
            <v>1.3338063878300499</v>
          </cell>
          <cell r="Z125">
            <v>1.36270769051723</v>
          </cell>
          <cell r="AA125">
            <v>1.35738245832945</v>
          </cell>
          <cell r="AE125">
            <v>-3.0225817482434799E-2</v>
          </cell>
          <cell r="AF125">
            <v>-1.0433611292732899E-2</v>
          </cell>
          <cell r="AG125">
            <v>-1.3359952376862201E-2</v>
          </cell>
          <cell r="AR125">
            <v>2.4277792994517357E-2</v>
          </cell>
          <cell r="BC125">
            <v>6.8949443174665684E-2</v>
          </cell>
          <cell r="BF125">
            <v>9.3227236169183048E-2</v>
          </cell>
        </row>
        <row r="126">
          <cell r="O126">
            <v>1.3338063878300499</v>
          </cell>
          <cell r="P126">
            <v>1.36512498985941</v>
          </cell>
          <cell r="Q126">
            <v>1.35863786086123</v>
          </cell>
          <cell r="U126">
            <v>-3.66571897727462E-2</v>
          </cell>
          <cell r="V126">
            <v>-1.5220320828060199E-2</v>
          </cell>
          <cell r="W126">
            <v>-1.9135807962540999E-2</v>
          </cell>
          <cell r="Y126">
            <v>1.3338063878300499</v>
          </cell>
          <cell r="Z126">
            <v>1.36512498985941</v>
          </cell>
          <cell r="AA126">
            <v>1.35863786086123</v>
          </cell>
          <cell r="AE126">
            <v>-3.66571897727462E-2</v>
          </cell>
          <cell r="AF126">
            <v>-1.5220320828060199E-2</v>
          </cell>
          <cell r="AG126">
            <v>-1.9135807962540999E-2</v>
          </cell>
          <cell r="AR126">
            <v>2.4277792994517357E-2</v>
          </cell>
          <cell r="BC126">
            <v>6.8949443174665684E-2</v>
          </cell>
          <cell r="BF126">
            <v>9.3227236169183048E-2</v>
          </cell>
        </row>
        <row r="127">
          <cell r="O127">
            <v>1.3338063878300499</v>
          </cell>
          <cell r="P127">
            <v>1.36806380856458</v>
          </cell>
          <cell r="Q127">
            <v>1.36059187790321</v>
          </cell>
          <cell r="U127">
            <v>-4.1963310249095699E-2</v>
          </cell>
          <cell r="V127">
            <v>-1.8754118542586799E-2</v>
          </cell>
          <cell r="W127">
            <v>-2.3517485707508199E-2</v>
          </cell>
          <cell r="Y127">
            <v>1.3338063878300499</v>
          </cell>
          <cell r="Z127">
            <v>1.36806380856458</v>
          </cell>
          <cell r="AA127">
            <v>1.36059187790321</v>
          </cell>
          <cell r="AE127">
            <v>-4.1963310249095699E-2</v>
          </cell>
          <cell r="AF127">
            <v>-1.8754118542586799E-2</v>
          </cell>
          <cell r="AG127">
            <v>-2.3517485707508199E-2</v>
          </cell>
          <cell r="AR127">
            <v>2.4277792994517357E-2</v>
          </cell>
          <cell r="BC127">
            <v>6.8949443174665684E-2</v>
          </cell>
          <cell r="BF127">
            <v>9.3227236169183048E-2</v>
          </cell>
        </row>
        <row r="128">
          <cell r="O128">
            <v>1.3338063878300499</v>
          </cell>
          <cell r="P128">
            <v>1.3702918929700401</v>
          </cell>
          <cell r="Q128">
            <v>1.36203598994421</v>
          </cell>
          <cell r="U128">
            <v>-4.1260522540198401E-2</v>
          </cell>
          <cell r="V128">
            <v>-1.5900861140985899E-2</v>
          </cell>
          <cell r="W128">
            <v>-2.1377513526504299E-2</v>
          </cell>
          <cell r="Y128">
            <v>1.3338063878300499</v>
          </cell>
          <cell r="Z128">
            <v>1.3702918929700401</v>
          </cell>
          <cell r="AA128">
            <v>1.36203598994421</v>
          </cell>
          <cell r="AE128">
            <v>-4.1260522540198401E-2</v>
          </cell>
          <cell r="AF128">
            <v>-1.5900861140985899E-2</v>
          </cell>
          <cell r="AG128">
            <v>-2.1377513526504299E-2</v>
          </cell>
          <cell r="AR128">
            <v>2.4277792994517357E-2</v>
          </cell>
          <cell r="BC128">
            <v>6.8949443174665684E-2</v>
          </cell>
          <cell r="BF128">
            <v>9.3227236169183048E-2</v>
          </cell>
        </row>
        <row r="129">
          <cell r="O129">
            <v>1.3338063878300499</v>
          </cell>
          <cell r="P129">
            <v>1.3731240388564701</v>
          </cell>
          <cell r="Q129">
            <v>1.3637700606044001</v>
          </cell>
          <cell r="U129">
            <v>-3.7960841651036303E-2</v>
          </cell>
          <cell r="V129">
            <v>-1.09738643440307E-2</v>
          </cell>
          <cell r="W129">
            <v>-1.7017010338802398E-2</v>
          </cell>
          <cell r="Y129">
            <v>1.3338063878300499</v>
          </cell>
          <cell r="Z129">
            <v>1.3731240388564701</v>
          </cell>
          <cell r="AA129">
            <v>1.3637700606044001</v>
          </cell>
          <cell r="AE129">
            <v>-3.7960841651036303E-2</v>
          </cell>
          <cell r="AF129">
            <v>-1.09738643440307E-2</v>
          </cell>
          <cell r="AG129">
            <v>-1.7017010338802398E-2</v>
          </cell>
          <cell r="AR129">
            <v>2.4277792994517357E-2</v>
          </cell>
          <cell r="BC129">
            <v>6.8949443174665684E-2</v>
          </cell>
          <cell r="BF129">
            <v>9.3227236169183048E-2</v>
          </cell>
        </row>
        <row r="130">
          <cell r="O130">
            <v>1.3338063878300499</v>
          </cell>
          <cell r="P130">
            <v>1.3758400443418199</v>
          </cell>
          <cell r="Q130">
            <v>1.3657972231090201</v>
          </cell>
          <cell r="U130">
            <v>-4.1507511840757599E-2</v>
          </cell>
          <cell r="V130">
            <v>-1.2455848053163699E-2</v>
          </cell>
          <cell r="W130">
            <v>-1.9291344300655999E-2</v>
          </cell>
          <cell r="Y130">
            <v>1.3338063878300499</v>
          </cell>
          <cell r="Z130">
            <v>1.3758400443418199</v>
          </cell>
          <cell r="AA130">
            <v>1.3657972231090201</v>
          </cell>
          <cell r="AE130">
            <v>-4.1507511840757599E-2</v>
          </cell>
          <cell r="AF130">
            <v>-1.2455848053163699E-2</v>
          </cell>
          <cell r="AG130">
            <v>-1.9291344300655999E-2</v>
          </cell>
          <cell r="AR130">
            <v>2.4277792994517357E-2</v>
          </cell>
          <cell r="BC130">
            <v>6.8949443174665684E-2</v>
          </cell>
          <cell r="BF130">
            <v>9.3227236169183048E-2</v>
          </cell>
        </row>
        <row r="131">
          <cell r="O131">
            <v>1.3338063878300499</v>
          </cell>
          <cell r="P131">
            <v>1.3809536731688301</v>
          </cell>
          <cell r="Q131">
            <v>1.36728902203004</v>
          </cell>
          <cell r="U131">
            <v>-3.49116572576392E-2</v>
          </cell>
          <cell r="V131">
            <v>-3.8839717492067899E-3</v>
          </cell>
          <cell r="W131">
            <v>-1.12101532765448E-2</v>
          </cell>
          <cell r="Y131">
            <v>1.3338063878300499</v>
          </cell>
          <cell r="Z131">
            <v>1.3809536731688301</v>
          </cell>
          <cell r="AA131">
            <v>1.36728902203004</v>
          </cell>
          <cell r="AE131">
            <v>-3.49116572576392E-2</v>
          </cell>
          <cell r="AF131">
            <v>-3.8839717492067899E-3</v>
          </cell>
          <cell r="AG131">
            <v>-1.12101532765448E-2</v>
          </cell>
          <cell r="AR131">
            <v>2.4277792994517357E-2</v>
          </cell>
          <cell r="BC131">
            <v>6.8949443174665684E-2</v>
          </cell>
          <cell r="BF131">
            <v>9.3227236169183048E-2</v>
          </cell>
        </row>
        <row r="132">
          <cell r="O132">
            <v>1.3338063878300499</v>
          </cell>
          <cell r="P132">
            <v>1.38346951614737</v>
          </cell>
          <cell r="Q132">
            <v>1.36874401774679</v>
          </cell>
          <cell r="U132">
            <v>-3.4267582770107802E-2</v>
          </cell>
          <cell r="V132">
            <v>4.6994483452830201E-4</v>
          </cell>
          <cell r="W132">
            <v>-9.4744198105792092E-3</v>
          </cell>
          <cell r="Y132">
            <v>1.3338063878300499</v>
          </cell>
          <cell r="Z132">
            <v>1.38346951614737</v>
          </cell>
          <cell r="AA132">
            <v>1.36874401774679</v>
          </cell>
          <cell r="AE132">
            <v>-3.4267582770107802E-2</v>
          </cell>
          <cell r="AF132">
            <v>4.6994483452830201E-4</v>
          </cell>
          <cell r="AG132">
            <v>-9.4744198105792092E-3</v>
          </cell>
          <cell r="AR132">
            <v>2.4277792994517357E-2</v>
          </cell>
          <cell r="BC132">
            <v>6.8949443174665684E-2</v>
          </cell>
          <cell r="BF132">
            <v>9.3227236169183048E-2</v>
          </cell>
        </row>
        <row r="133">
          <cell r="O133">
            <v>1.3338063878300499</v>
          </cell>
          <cell r="P133">
            <v>1.3841713404175999</v>
          </cell>
          <cell r="Q133">
            <v>1.3708459839526099</v>
          </cell>
          <cell r="U133">
            <v>-3.7013974009817298E-2</v>
          </cell>
          <cell r="V133">
            <v>-4.5628827393763501E-4</v>
          </cell>
          <cell r="W133">
            <v>-1.1157230433570101E-2</v>
          </cell>
          <cell r="Y133">
            <v>1.3338063878300499</v>
          </cell>
          <cell r="Z133">
            <v>1.3841713404175999</v>
          </cell>
          <cell r="AA133">
            <v>1.3708459839526099</v>
          </cell>
          <cell r="AE133">
            <v>-3.7013974009817298E-2</v>
          </cell>
          <cell r="AF133">
            <v>-4.5628827393763501E-4</v>
          </cell>
          <cell r="AG133">
            <v>-1.1157230433570101E-2</v>
          </cell>
          <cell r="AR133">
            <v>2.4277792994517357E-2</v>
          </cell>
          <cell r="BC133">
            <v>6.8949443174665684E-2</v>
          </cell>
          <cell r="BF133">
            <v>9.3227236169183048E-2</v>
          </cell>
        </row>
        <row r="134">
          <cell r="O134">
            <v>1.3338063878300499</v>
          </cell>
          <cell r="P134">
            <v>1.3849236340554301</v>
          </cell>
          <cell r="Q134">
            <v>1.3726959859914001</v>
          </cell>
          <cell r="U134">
            <v>-4.0249233324915798E-2</v>
          </cell>
          <cell r="V134">
            <v>-3.1843833132884801E-3</v>
          </cell>
          <cell r="W134">
            <v>-1.2857977929762799E-2</v>
          </cell>
          <cell r="Y134">
            <v>1.3338063878300499</v>
          </cell>
          <cell r="Z134">
            <v>1.3849236340554301</v>
          </cell>
          <cell r="AA134">
            <v>1.3726959859914001</v>
          </cell>
          <cell r="AE134">
            <v>-4.0249233324915798E-2</v>
          </cell>
          <cell r="AF134">
            <v>-3.1843833132884801E-3</v>
          </cell>
          <cell r="AG134">
            <v>-1.2857977929762799E-2</v>
          </cell>
          <cell r="AR134">
            <v>2.4277792994517357E-2</v>
          </cell>
          <cell r="BC134">
            <v>6.8949443174665684E-2</v>
          </cell>
          <cell r="BF134">
            <v>9.3227236169183048E-2</v>
          </cell>
        </row>
        <row r="135">
          <cell r="O135">
            <v>1.3338063878300499</v>
          </cell>
          <cell r="P135">
            <v>1.38492992879597</v>
          </cell>
          <cell r="Q135">
            <v>1.3738188096566</v>
          </cell>
          <cell r="U135">
            <v>-3.0271605115340799E-2</v>
          </cell>
          <cell r="V135">
            <v>7.3365947367744098E-3</v>
          </cell>
          <cell r="W135">
            <v>-1.53172641538244E-3</v>
          </cell>
          <cell r="Y135">
            <v>1.3338063878300499</v>
          </cell>
          <cell r="Z135">
            <v>1.38492992879597</v>
          </cell>
          <cell r="AA135">
            <v>1.3738188096566</v>
          </cell>
          <cell r="AE135">
            <v>-3.0271605115340799E-2</v>
          </cell>
          <cell r="AF135">
            <v>7.3365947367744098E-3</v>
          </cell>
          <cell r="AG135">
            <v>-1.53172641538244E-3</v>
          </cell>
          <cell r="AR135">
            <v>2.4277792994517357E-2</v>
          </cell>
          <cell r="BC135">
            <v>6.8949443174665684E-2</v>
          </cell>
          <cell r="BF135">
            <v>9.3227236169183048E-2</v>
          </cell>
        </row>
        <row r="136">
          <cell r="O136">
            <v>1.3338063878300499</v>
          </cell>
          <cell r="P136">
            <v>1.38359484323895</v>
          </cell>
          <cell r="Q136">
            <v>1.37435991654918</v>
          </cell>
          <cell r="U136">
            <v>-2.6961022834337801E-2</v>
          </cell>
          <cell r="V136">
            <v>1.0651722197076999E-2</v>
          </cell>
          <cell r="W136">
            <v>2.5964911680245099E-3</v>
          </cell>
          <cell r="Y136">
            <v>1.3338063878300499</v>
          </cell>
          <cell r="Z136">
            <v>1.38359484323895</v>
          </cell>
          <cell r="AA136">
            <v>1.37435991654918</v>
          </cell>
          <cell r="AE136">
            <v>-2.6961022834337801E-2</v>
          </cell>
          <cell r="AF136">
            <v>1.0651722197076999E-2</v>
          </cell>
          <cell r="AG136">
            <v>2.5964911680245099E-3</v>
          </cell>
          <cell r="AR136">
            <v>2.4277792994517357E-2</v>
          </cell>
          <cell r="BC136">
            <v>6.8949443174665684E-2</v>
          </cell>
          <cell r="BF136">
            <v>9.3227236169183048E-2</v>
          </cell>
        </row>
        <row r="137">
          <cell r="O137">
            <v>1.3338063878300499</v>
          </cell>
          <cell r="P137">
            <v>1.38167264631749</v>
          </cell>
          <cell r="Q137">
            <v>1.37486822744104</v>
          </cell>
          <cell r="U137">
            <v>-2.8047808861360098E-2</v>
          </cell>
          <cell r="V137">
            <v>8.6004617510478804E-3</v>
          </cell>
          <cell r="W137">
            <v>1.9034982334364E-3</v>
          </cell>
          <cell r="Y137">
            <v>1.3338063878300499</v>
          </cell>
          <cell r="Z137">
            <v>1.38167264631749</v>
          </cell>
          <cell r="AA137">
            <v>1.37486822744104</v>
          </cell>
          <cell r="AE137">
            <v>-2.8047808861360098E-2</v>
          </cell>
          <cell r="AF137">
            <v>8.6004617510478804E-3</v>
          </cell>
          <cell r="AG137">
            <v>1.9034982334364E-3</v>
          </cell>
          <cell r="AR137">
            <v>2.4277792994517357E-2</v>
          </cell>
          <cell r="BC137">
            <v>6.8949443174665684E-2</v>
          </cell>
          <cell r="BF137">
            <v>9.3227236169183048E-2</v>
          </cell>
        </row>
        <row r="138">
          <cell r="O138">
            <v>1.3338063878300499</v>
          </cell>
          <cell r="P138">
            <v>1.38013113902019</v>
          </cell>
          <cell r="Q138">
            <v>1.3752115159951099</v>
          </cell>
          <cell r="U138">
            <v>-3.01085176472611E-2</v>
          </cell>
          <cell r="V138">
            <v>5.1495097150300101E-3</v>
          </cell>
          <cell r="W138">
            <v>2.1257388958517701E-4</v>
          </cell>
          <cell r="Y138">
            <v>1.3338063878300499</v>
          </cell>
          <cell r="Z138">
            <v>1.38013113902019</v>
          </cell>
          <cell r="AA138">
            <v>1.3752115159951099</v>
          </cell>
          <cell r="AE138">
            <v>-3.01085176472611E-2</v>
          </cell>
          <cell r="AF138">
            <v>5.1495097150300101E-3</v>
          </cell>
          <cell r="AG138">
            <v>2.1257388958517701E-4</v>
          </cell>
          <cell r="AR138">
            <v>2.4277792994517357E-2</v>
          </cell>
          <cell r="BC138">
            <v>6.8949443174665684E-2</v>
          </cell>
          <cell r="BF138">
            <v>9.3227236169183048E-2</v>
          </cell>
        </row>
        <row r="139">
          <cell r="O139">
            <v>1.3338063878300499</v>
          </cell>
          <cell r="P139">
            <v>1.3788427435452699</v>
          </cell>
          <cell r="Q139">
            <v>1.3759833912008701</v>
          </cell>
          <cell r="U139">
            <v>-2.8617601906886701E-2</v>
          </cell>
          <cell r="V139">
            <v>5.5241206219006399E-3</v>
          </cell>
          <cell r="W139">
            <v>1.9531467947599399E-3</v>
          </cell>
          <cell r="Y139">
            <v>1.3338063878300499</v>
          </cell>
          <cell r="Z139">
            <v>1.3788427435452699</v>
          </cell>
          <cell r="AA139">
            <v>1.3759833912008701</v>
          </cell>
          <cell r="AE139">
            <v>-2.8617601906886701E-2</v>
          </cell>
          <cell r="AF139">
            <v>5.5241206219006399E-3</v>
          </cell>
          <cell r="AG139">
            <v>1.9531467947599399E-3</v>
          </cell>
          <cell r="AR139">
            <v>2.4277792994517357E-2</v>
          </cell>
          <cell r="BC139">
            <v>6.8949443174665684E-2</v>
          </cell>
          <cell r="BF139">
            <v>9.3227236169183048E-2</v>
          </cell>
        </row>
        <row r="140">
          <cell r="O140">
            <v>1.3338063878300499</v>
          </cell>
          <cell r="P140">
            <v>1.3766437928774999</v>
          </cell>
          <cell r="Q140">
            <v>1.3762419186096599</v>
          </cell>
          <cell r="U140">
            <v>-2.5565120815856698E-2</v>
          </cell>
          <cell r="V140">
            <v>7.6426345038037996E-3</v>
          </cell>
          <cell r="W140">
            <v>5.5667478733193903E-3</v>
          </cell>
          <cell r="Y140">
            <v>1.3338063878300499</v>
          </cell>
          <cell r="Z140">
            <v>1.3766437928774999</v>
          </cell>
          <cell r="AA140">
            <v>1.3762419186096599</v>
          </cell>
          <cell r="AE140">
            <v>-2.5565120815856698E-2</v>
          </cell>
          <cell r="AF140">
            <v>7.6426345038037996E-3</v>
          </cell>
          <cell r="AG140">
            <v>5.5667478733193903E-3</v>
          </cell>
          <cell r="AR140">
            <v>2.4277792994517357E-2</v>
          </cell>
          <cell r="BC140">
            <v>6.8949443174665684E-2</v>
          </cell>
          <cell r="BF140">
            <v>9.3227236169183048E-2</v>
          </cell>
        </row>
        <row r="141">
          <cell r="O141">
            <v>1.3338063878300499</v>
          </cell>
          <cell r="P141">
            <v>1.37649201706321</v>
          </cell>
          <cell r="Q141">
            <v>1.3787228451160201</v>
          </cell>
          <cell r="U141">
            <v>-3.3812179203318297E-2</v>
          </cell>
          <cell r="V141">
            <v>-2.2004767806668201E-3</v>
          </cell>
          <cell r="W141">
            <v>-2.4924426033072601E-3</v>
          </cell>
          <cell r="Y141">
            <v>1.3338063878300499</v>
          </cell>
          <cell r="Z141">
            <v>1.37649201706321</v>
          </cell>
          <cell r="AA141">
            <v>1.3787228451160201</v>
          </cell>
          <cell r="AE141">
            <v>-3.3812179203318297E-2</v>
          </cell>
          <cell r="AF141">
            <v>-2.2004767806668201E-3</v>
          </cell>
          <cell r="AG141">
            <v>-2.4924426033072601E-3</v>
          </cell>
          <cell r="AR141">
            <v>2.4277792994517357E-2</v>
          </cell>
          <cell r="BC141">
            <v>6.8949443174665684E-2</v>
          </cell>
          <cell r="BF141">
            <v>9.3227236169183048E-2</v>
          </cell>
        </row>
        <row r="142">
          <cell r="O142">
            <v>1.3338063878300499</v>
          </cell>
          <cell r="P142">
            <v>1.3761340318969399</v>
          </cell>
          <cell r="Q142">
            <v>1.37980177402216</v>
          </cell>
          <cell r="U142">
            <v>-3.1670691287527697E-2</v>
          </cell>
          <cell r="V142">
            <v>-1.6924555028595799E-4</v>
          </cell>
          <cell r="W142">
            <v>1.45010441107193E-3</v>
          </cell>
          <cell r="Y142">
            <v>1.3338063878300499</v>
          </cell>
          <cell r="Z142">
            <v>1.3761340318969399</v>
          </cell>
          <cell r="AA142">
            <v>1.37980177402216</v>
          </cell>
          <cell r="AE142">
            <v>-3.1670691287527697E-2</v>
          </cell>
          <cell r="AF142">
            <v>-1.6924555028595799E-4</v>
          </cell>
          <cell r="AG142">
            <v>1.45010441107193E-3</v>
          </cell>
          <cell r="AR142">
            <v>2.4277792994517357E-2</v>
          </cell>
          <cell r="BC142">
            <v>6.8949443174665684E-2</v>
          </cell>
          <cell r="BF142">
            <v>9.3227236169183048E-2</v>
          </cell>
        </row>
        <row r="143">
          <cell r="O143">
            <v>1.3338063878300499</v>
          </cell>
          <cell r="P143">
            <v>1.3757828191786201</v>
          </cell>
          <cell r="Q143">
            <v>1.3799770797981099</v>
          </cell>
          <cell r="U143">
            <v>-3.44732700361364E-2</v>
          </cell>
          <cell r="V143">
            <v>-3.2319287678040298E-3</v>
          </cell>
          <cell r="W143">
            <v>-5.7022359837866001E-4</v>
          </cell>
          <cell r="Y143">
            <v>1.3338063878300499</v>
          </cell>
          <cell r="Z143">
            <v>1.3757828191786201</v>
          </cell>
          <cell r="AA143">
            <v>1.3799770797981099</v>
          </cell>
          <cell r="AE143">
            <v>-3.44732700361364E-2</v>
          </cell>
          <cell r="AF143">
            <v>-3.2319287678040298E-3</v>
          </cell>
          <cell r="AG143">
            <v>-5.7022359837866001E-4</v>
          </cell>
          <cell r="AR143">
            <v>2.4277792994517357E-2</v>
          </cell>
          <cell r="BC143">
            <v>6.8949443174665684E-2</v>
          </cell>
          <cell r="BF143">
            <v>9.3227236169183048E-2</v>
          </cell>
        </row>
        <row r="144">
          <cell r="O144">
            <v>1.3338063878300499</v>
          </cell>
          <cell r="P144">
            <v>1.37495265203242</v>
          </cell>
          <cell r="Q144">
            <v>1.3799381430439299</v>
          </cell>
          <cell r="U144">
            <v>-3.4252783679277699E-2</v>
          </cell>
          <cell r="V144">
            <v>-3.2666919255443499E-3</v>
          </cell>
          <cell r="W144">
            <v>-2.22693890964001E-4</v>
          </cell>
          <cell r="Y144">
            <v>1.3338063878300499</v>
          </cell>
          <cell r="Z144">
            <v>1.37495265203242</v>
          </cell>
          <cell r="AA144">
            <v>1.3799381430439299</v>
          </cell>
          <cell r="AE144">
            <v>-3.4252783679277699E-2</v>
          </cell>
          <cell r="AF144">
            <v>-3.2666919255443499E-3</v>
          </cell>
          <cell r="AG144">
            <v>-2.22693890964001E-4</v>
          </cell>
          <cell r="AR144">
            <v>2.4277792994517357E-2</v>
          </cell>
          <cell r="BC144">
            <v>6.8949443174665684E-2</v>
          </cell>
          <cell r="BF144">
            <v>9.3227236169183048E-2</v>
          </cell>
        </row>
        <row r="145">
          <cell r="O145">
            <v>1.3338063878300499</v>
          </cell>
          <cell r="P145">
            <v>1.37573927349109</v>
          </cell>
          <cell r="Q145">
            <v>1.38033460114353</v>
          </cell>
          <cell r="U145">
            <v>-3.5977013064739903E-2</v>
          </cell>
          <cell r="V145">
            <v>-5.5945178255325098E-3</v>
          </cell>
          <cell r="W145">
            <v>-1.9751391823822099E-3</v>
          </cell>
          <cell r="Y145">
            <v>1.3338063878300499</v>
          </cell>
          <cell r="Z145">
            <v>1.37573927349109</v>
          </cell>
          <cell r="AA145">
            <v>1.38033460114353</v>
          </cell>
          <cell r="AE145">
            <v>-3.5977013064739903E-2</v>
          </cell>
          <cell r="AF145">
            <v>-5.5945178255325098E-3</v>
          </cell>
          <cell r="AG145">
            <v>-1.9751391823822099E-3</v>
          </cell>
          <cell r="AR145">
            <v>2.4277792994517357E-2</v>
          </cell>
          <cell r="BC145">
            <v>6.8949443174665684E-2</v>
          </cell>
          <cell r="BF145">
            <v>9.3227236169183048E-2</v>
          </cell>
        </row>
        <row r="146">
          <cell r="O146">
            <v>1.3338063878300499</v>
          </cell>
          <cell r="P146">
            <v>1.37722421280758</v>
          </cell>
          <cell r="Q146">
            <v>1.38040952802327</v>
          </cell>
          <cell r="U146">
            <v>-3.7739669460914997E-2</v>
          </cell>
          <cell r="V146">
            <v>-6.7852297790685998E-3</v>
          </cell>
          <cell r="W146">
            <v>-3.4505354857550601E-3</v>
          </cell>
          <cell r="Y146">
            <v>1.3338063878300499</v>
          </cell>
          <cell r="Z146">
            <v>1.37722421280758</v>
          </cell>
          <cell r="AA146">
            <v>1.38040952802327</v>
          </cell>
          <cell r="AE146">
            <v>-3.7739669460914997E-2</v>
          </cell>
          <cell r="AF146">
            <v>-6.7852297790685998E-3</v>
          </cell>
          <cell r="AG146">
            <v>-3.4505354857550601E-3</v>
          </cell>
          <cell r="AR146">
            <v>2.4277792994517357E-2</v>
          </cell>
          <cell r="BC146">
            <v>6.8949443174665684E-2</v>
          </cell>
          <cell r="BF146">
            <v>9.3227236169183048E-2</v>
          </cell>
        </row>
        <row r="147">
          <cell r="O147">
            <v>1.3338063878300499</v>
          </cell>
          <cell r="P147">
            <v>1.3777166810256301</v>
          </cell>
          <cell r="Q147">
            <v>1.3796946636715599</v>
          </cell>
          <cell r="U147">
            <v>-3.1631462213956997E-2</v>
          </cell>
          <cell r="V147">
            <v>4.0177089751380598E-4</v>
          </cell>
          <cell r="W147">
            <v>2.7119519670118701E-3</v>
          </cell>
          <cell r="Y147">
            <v>1.3338063878300499</v>
          </cell>
          <cell r="Z147">
            <v>1.3777166810256301</v>
          </cell>
          <cell r="AA147">
            <v>1.3796946636715599</v>
          </cell>
          <cell r="AE147">
            <v>-3.1631462213956997E-2</v>
          </cell>
          <cell r="AF147">
            <v>4.0177089751380598E-4</v>
          </cell>
          <cell r="AG147">
            <v>2.7119519670118701E-3</v>
          </cell>
          <cell r="AR147">
            <v>2.4277792994517357E-2</v>
          </cell>
          <cell r="BC147">
            <v>6.8949443174665684E-2</v>
          </cell>
          <cell r="BF147">
            <v>9.3227236169183048E-2</v>
          </cell>
        </row>
        <row r="148">
          <cell r="O148">
            <v>1.3338063878300499</v>
          </cell>
          <cell r="P148">
            <v>1.3784979141912801</v>
          </cell>
          <cell r="Q148">
            <v>1.3793145266057301</v>
          </cell>
          <cell r="U148">
            <v>-3.5775876119544997E-2</v>
          </cell>
          <cell r="V148">
            <v>-3.38512664581843E-3</v>
          </cell>
          <cell r="W148">
            <v>-1.95046004157719E-3</v>
          </cell>
          <cell r="Y148">
            <v>1.3338063878300499</v>
          </cell>
          <cell r="Z148">
            <v>1.3784979141912801</v>
          </cell>
          <cell r="AA148">
            <v>1.3793145266057301</v>
          </cell>
          <cell r="AE148">
            <v>-3.5775876119544997E-2</v>
          </cell>
          <cell r="AF148">
            <v>-3.38512664581843E-3</v>
          </cell>
          <cell r="AG148">
            <v>-1.95046004157719E-3</v>
          </cell>
          <cell r="AR148">
            <v>2.4277792994517357E-2</v>
          </cell>
          <cell r="BC148">
            <v>6.8949443174665684E-2</v>
          </cell>
          <cell r="BF148">
            <v>9.3227236169183048E-2</v>
          </cell>
        </row>
        <row r="149">
          <cell r="O149">
            <v>1.3338063878300499</v>
          </cell>
          <cell r="P149">
            <v>1.37890178338233</v>
          </cell>
          <cell r="Q149">
            <v>1.3788722634638</v>
          </cell>
          <cell r="U149">
            <v>-3.1555801449317397E-2</v>
          </cell>
          <cell r="V149">
            <v>1.4018365300581799E-3</v>
          </cell>
          <cell r="W149">
            <v>1.99405406178147E-3</v>
          </cell>
          <cell r="Y149">
            <v>1.3338063878300499</v>
          </cell>
          <cell r="Z149">
            <v>1.37890178338233</v>
          </cell>
          <cell r="AA149">
            <v>1.3788722634638</v>
          </cell>
          <cell r="AE149">
            <v>-3.1555801449317397E-2</v>
          </cell>
          <cell r="AF149">
            <v>1.4018365300581799E-3</v>
          </cell>
          <cell r="AG149">
            <v>1.99405406178147E-3</v>
          </cell>
          <cell r="AR149">
            <v>2.4277792994517357E-2</v>
          </cell>
          <cell r="BC149">
            <v>6.8949443174665684E-2</v>
          </cell>
          <cell r="BF149">
            <v>9.3227236169183048E-2</v>
          </cell>
        </row>
        <row r="150">
          <cell r="O150">
            <v>1.3338063878300499</v>
          </cell>
          <cell r="P150">
            <v>1.37971363710087</v>
          </cell>
          <cell r="Q150">
            <v>1.37817871498918</v>
          </cell>
          <cell r="U150">
            <v>-3.14806965140592E-2</v>
          </cell>
          <cell r="V150">
            <v>1.7698762866933701E-3</v>
          </cell>
          <cell r="W150">
            <v>1.7484677753147101E-3</v>
          </cell>
          <cell r="Y150">
            <v>1.3338063878300499</v>
          </cell>
          <cell r="Z150">
            <v>1.37971363710087</v>
          </cell>
          <cell r="AA150">
            <v>1.37817871498918</v>
          </cell>
          <cell r="AE150">
            <v>-3.14806965140592E-2</v>
          </cell>
          <cell r="AF150">
            <v>1.7698762866933701E-3</v>
          </cell>
          <cell r="AG150">
            <v>1.7484677753147101E-3</v>
          </cell>
          <cell r="AR150">
            <v>2.4277792994517357E-2</v>
          </cell>
          <cell r="BC150">
            <v>6.8949443174665684E-2</v>
          </cell>
          <cell r="BF150">
            <v>9.3227236169183048E-2</v>
          </cell>
        </row>
        <row r="151">
          <cell r="O151">
            <v>1.3338063878300499</v>
          </cell>
          <cell r="P151">
            <v>1.37977310826747</v>
          </cell>
          <cell r="Q151">
            <v>1.37813256266534</v>
          </cell>
          <cell r="U151">
            <v>-3.4243137888063699E-2</v>
          </cell>
          <cell r="V151">
            <v>-4.0397000011472E-4</v>
          </cell>
          <cell r="W151">
            <v>-1.51708253259179E-3</v>
          </cell>
          <cell r="Y151">
            <v>1.3338063878300499</v>
          </cell>
          <cell r="Z151">
            <v>1.37977310826747</v>
          </cell>
          <cell r="AA151">
            <v>1.37813256266534</v>
          </cell>
          <cell r="AE151">
            <v>-3.4243137888063699E-2</v>
          </cell>
          <cell r="AF151">
            <v>-4.0397000011472E-4</v>
          </cell>
          <cell r="AG151">
            <v>-1.51708253259179E-3</v>
          </cell>
          <cell r="AR151">
            <v>2.4277792994517357E-2</v>
          </cell>
          <cell r="BC151">
            <v>6.8949443174665684E-2</v>
          </cell>
          <cell r="BF151">
            <v>9.3227236169183048E-2</v>
          </cell>
        </row>
        <row r="152">
          <cell r="O152">
            <v>1.3338063878300499</v>
          </cell>
          <cell r="P152">
            <v>1.37939500976479</v>
          </cell>
          <cell r="Q152">
            <v>1.37776452083086</v>
          </cell>
          <cell r="U152">
            <v>-2.89205512641439E-2</v>
          </cell>
          <cell r="V152">
            <v>4.9617196875968803E-3</v>
          </cell>
          <cell r="W152">
            <v>3.7720156212676399E-3</v>
          </cell>
          <cell r="Y152">
            <v>1.3338063878300499</v>
          </cell>
          <cell r="Z152">
            <v>1.37939500976479</v>
          </cell>
          <cell r="AA152">
            <v>1.37776452083086</v>
          </cell>
          <cell r="AE152">
            <v>-2.89205512641439E-2</v>
          </cell>
          <cell r="AF152">
            <v>4.9617196875968803E-3</v>
          </cell>
          <cell r="AG152">
            <v>3.7720156212676399E-3</v>
          </cell>
          <cell r="AR152">
            <v>2.4277792994517357E-2</v>
          </cell>
          <cell r="BC152">
            <v>6.8949443174665684E-2</v>
          </cell>
          <cell r="BF152">
            <v>9.3227236169183048E-2</v>
          </cell>
        </row>
        <row r="153">
          <cell r="O153">
            <v>1.3338063878300499</v>
          </cell>
          <cell r="P153">
            <v>1.37994296023054</v>
          </cell>
          <cell r="Q153">
            <v>1.3778628897045799</v>
          </cell>
          <cell r="U153">
            <v>-3.8434376627171397E-2</v>
          </cell>
          <cell r="V153">
            <v>-4.82617270496556E-3</v>
          </cell>
          <cell r="W153">
            <v>-6.0089037772130703E-3</v>
          </cell>
          <cell r="Y153">
            <v>1.3338063878300499</v>
          </cell>
          <cell r="Z153">
            <v>1.37994296023054</v>
          </cell>
          <cell r="AA153">
            <v>1.3778628897045799</v>
          </cell>
          <cell r="AE153">
            <v>-3.8434376627171397E-2</v>
          </cell>
          <cell r="AF153">
            <v>-4.82617270496556E-3</v>
          </cell>
          <cell r="AG153">
            <v>-6.0089037772130703E-3</v>
          </cell>
          <cell r="AR153">
            <v>2.4277792994517357E-2</v>
          </cell>
          <cell r="BC153">
            <v>6.8949443174665684E-2</v>
          </cell>
          <cell r="BF153">
            <v>9.3227236169183048E-2</v>
          </cell>
        </row>
        <row r="154">
          <cell r="O154">
            <v>1.3338063878300499</v>
          </cell>
          <cell r="P154">
            <v>1.3789778143015501</v>
          </cell>
          <cell r="Q154">
            <v>1.3769652331669899</v>
          </cell>
          <cell r="U154">
            <v>-2.7235852590759699E-2</v>
          </cell>
          <cell r="V154">
            <v>6.7695121569134398E-3</v>
          </cell>
          <cell r="W154">
            <v>5.2610151606872196E-3</v>
          </cell>
          <cell r="Y154">
            <v>1.3338063878300499</v>
          </cell>
          <cell r="Z154">
            <v>1.3789778143015501</v>
          </cell>
          <cell r="AA154">
            <v>1.3769652331669899</v>
          </cell>
          <cell r="AE154">
            <v>-2.7235852590759699E-2</v>
          </cell>
          <cell r="AF154">
            <v>6.7695121569134398E-3</v>
          </cell>
          <cell r="AG154">
            <v>5.2610151606872196E-3</v>
          </cell>
          <cell r="AR154">
            <v>2.4277792994517357E-2</v>
          </cell>
          <cell r="BC154">
            <v>6.8949443174665684E-2</v>
          </cell>
          <cell r="BF154">
            <v>9.3227236169183048E-2</v>
          </cell>
        </row>
        <row r="155">
          <cell r="O155">
            <v>1.3338063878300499</v>
          </cell>
          <cell r="P155">
            <v>1.37706847117681</v>
          </cell>
          <cell r="Q155">
            <v>1.37640387233395</v>
          </cell>
          <cell r="U155">
            <v>-2.20716419361617E-2</v>
          </cell>
          <cell r="V155">
            <v>1.123406809343E-2</v>
          </cell>
          <cell r="W155">
            <v>9.7735288459467901E-3</v>
          </cell>
          <cell r="Y155">
            <v>1.3338063878300499</v>
          </cell>
          <cell r="Z155">
            <v>1.37706847117681</v>
          </cell>
          <cell r="AA155">
            <v>1.37640387233395</v>
          </cell>
          <cell r="AE155">
            <v>-2.20716419361617E-2</v>
          </cell>
          <cell r="AF155">
            <v>1.123406809343E-2</v>
          </cell>
          <cell r="AG155">
            <v>9.7735288459467901E-3</v>
          </cell>
          <cell r="AR155">
            <v>2.4277792994517357E-2</v>
          </cell>
          <cell r="BC155">
            <v>6.8949443174665684E-2</v>
          </cell>
          <cell r="BF155">
            <v>9.3227236169183048E-2</v>
          </cell>
        </row>
        <row r="156">
          <cell r="O156">
            <v>1.3338063878300499</v>
          </cell>
          <cell r="P156">
            <v>1.37480648989535</v>
          </cell>
          <cell r="Q156">
            <v>1.3760153513514699</v>
          </cell>
          <cell r="U156">
            <v>-2.1274104773142202E-2</v>
          </cell>
          <cell r="V156">
            <v>1.06460382285896E-2</v>
          </cell>
          <cell r="W156">
            <v>1.01633031415052E-2</v>
          </cell>
          <cell r="Y156">
            <v>1.3338063878300499</v>
          </cell>
          <cell r="Z156">
            <v>1.37480648989535</v>
          </cell>
          <cell r="AA156">
            <v>1.3760153513514699</v>
          </cell>
          <cell r="AE156">
            <v>-2.1274104773142202E-2</v>
          </cell>
          <cell r="AF156">
            <v>1.06460382285896E-2</v>
          </cell>
          <cell r="AG156">
            <v>1.01633031415052E-2</v>
          </cell>
          <cell r="AR156">
            <v>2.4277792994517357E-2</v>
          </cell>
          <cell r="BC156">
            <v>6.8949443174665684E-2</v>
          </cell>
          <cell r="BF156">
            <v>9.3227236169183048E-2</v>
          </cell>
        </row>
        <row r="157">
          <cell r="O157">
            <v>1.3338063878300499</v>
          </cell>
          <cell r="P157">
            <v>1.3743455987870401</v>
          </cell>
          <cell r="Q157">
            <v>1.3760311399063401</v>
          </cell>
          <cell r="U157">
            <v>-2.82779787953059E-2</v>
          </cell>
          <cell r="V157">
            <v>1.99820739669685E-3</v>
          </cell>
          <cell r="W157">
            <v>2.8771167581160099E-3</v>
          </cell>
          <cell r="Y157">
            <v>1.3338063878300499</v>
          </cell>
          <cell r="Z157">
            <v>1.3743455987870401</v>
          </cell>
          <cell r="AA157">
            <v>1.3760311399063401</v>
          </cell>
          <cell r="AE157">
            <v>-2.82779787953059E-2</v>
          </cell>
          <cell r="AF157">
            <v>1.99820739669685E-3</v>
          </cell>
          <cell r="AG157">
            <v>2.8771167581160099E-3</v>
          </cell>
          <cell r="AR157">
            <v>2.4277792994517357E-2</v>
          </cell>
          <cell r="BC157">
            <v>6.8949443174665684E-2</v>
          </cell>
          <cell r="BF157">
            <v>9.3227236169183048E-2</v>
          </cell>
        </row>
        <row r="158">
          <cell r="O158">
            <v>1.3338063878300499</v>
          </cell>
          <cell r="P158">
            <v>1.3730254354236999</v>
          </cell>
          <cell r="Q158">
            <v>1.3757616748074899</v>
          </cell>
          <cell r="U158">
            <v>-2.6180110192925599E-2</v>
          </cell>
          <cell r="V158">
            <v>3.7607790800557E-3</v>
          </cell>
          <cell r="W158">
            <v>4.98645940711587E-3</v>
          </cell>
          <cell r="Y158">
            <v>1.3338063878300499</v>
          </cell>
          <cell r="Z158">
            <v>1.3730254354236999</v>
          </cell>
          <cell r="AA158">
            <v>1.3757616748074899</v>
          </cell>
          <cell r="AE158">
            <v>-2.6180110192925599E-2</v>
          </cell>
          <cell r="AF158">
            <v>3.7607790800557E-3</v>
          </cell>
          <cell r="AG158">
            <v>4.98645940711587E-3</v>
          </cell>
          <cell r="AR158">
            <v>2.4277792994517357E-2</v>
          </cell>
          <cell r="BC158">
            <v>6.8949443174665684E-2</v>
          </cell>
          <cell r="BF158">
            <v>9.3227236169183048E-2</v>
          </cell>
        </row>
        <row r="159">
          <cell r="O159">
            <v>1.3338063878300499</v>
          </cell>
          <cell r="P159">
            <v>1.37282478235715</v>
          </cell>
          <cell r="Q159">
            <v>1.3758632828697399</v>
          </cell>
          <cell r="U159">
            <v>-3.0097104040305599E-2</v>
          </cell>
          <cell r="V159">
            <v>-1.1172523909347401E-3</v>
          </cell>
          <cell r="W159">
            <v>8.7361862077461503E-4</v>
          </cell>
          <cell r="Y159">
            <v>1.3338063878300499</v>
          </cell>
          <cell r="Z159">
            <v>1.37282478235715</v>
          </cell>
          <cell r="AA159">
            <v>1.3758632828697399</v>
          </cell>
          <cell r="AE159">
            <v>-3.0097104040305599E-2</v>
          </cell>
          <cell r="AF159">
            <v>-1.1172523909347401E-3</v>
          </cell>
          <cell r="AG159">
            <v>8.7361862077461503E-4</v>
          </cell>
          <cell r="AR159">
            <v>2.4277792994517357E-2</v>
          </cell>
          <cell r="BC159">
            <v>6.8949443174665684E-2</v>
          </cell>
          <cell r="BF159">
            <v>9.3227236169183048E-2</v>
          </cell>
        </row>
        <row r="160">
          <cell r="O160">
            <v>1.3338063878300499</v>
          </cell>
          <cell r="P160">
            <v>1.3711043052215599</v>
          </cell>
          <cell r="Q160">
            <v>1.3754089711612101</v>
          </cell>
          <cell r="U160">
            <v>-1.89026660752105E-2</v>
          </cell>
          <cell r="V160">
            <v>9.9310355288252106E-3</v>
          </cell>
          <cell r="W160">
            <v>1.21419097190976E-2</v>
          </cell>
          <cell r="Y160">
            <v>1.3338063878300499</v>
          </cell>
          <cell r="Z160">
            <v>1.3711043052215599</v>
          </cell>
          <cell r="AA160">
            <v>1.3754089711612101</v>
          </cell>
          <cell r="AE160">
            <v>-1.89026660752105E-2</v>
          </cell>
          <cell r="AF160">
            <v>9.9310355288252106E-3</v>
          </cell>
          <cell r="AG160">
            <v>1.21419097190976E-2</v>
          </cell>
          <cell r="AR160">
            <v>2.4277792994517357E-2</v>
          </cell>
          <cell r="BC160">
            <v>6.8949443174665684E-2</v>
          </cell>
          <cell r="BF160">
            <v>9.3227236169183048E-2</v>
          </cell>
        </row>
        <row r="161">
          <cell r="O161">
            <v>1.3338063878300499</v>
          </cell>
          <cell r="P161">
            <v>1.36910784530124</v>
          </cell>
          <cell r="Q161">
            <v>1.3744404767843601</v>
          </cell>
          <cell r="U161">
            <v>-1.9673251460663899E-2</v>
          </cell>
          <cell r="V161">
            <v>7.9064254902959097E-3</v>
          </cell>
          <cell r="W161">
            <v>1.10410686041438E-2</v>
          </cell>
          <cell r="Y161">
            <v>1.3338063878300499</v>
          </cell>
          <cell r="Z161">
            <v>1.36910784530124</v>
          </cell>
          <cell r="AA161">
            <v>1.3744404767843601</v>
          </cell>
          <cell r="AE161">
            <v>-1.9673251460663899E-2</v>
          </cell>
          <cell r="AF161">
            <v>7.9064254902959097E-3</v>
          </cell>
          <cell r="AG161">
            <v>1.10410686041438E-2</v>
          </cell>
          <cell r="AR161">
            <v>2.4277792994517357E-2</v>
          </cell>
          <cell r="BC161">
            <v>6.8949443174665684E-2</v>
          </cell>
          <cell r="BF161">
            <v>9.3227236169183048E-2</v>
          </cell>
        </row>
        <row r="162">
          <cell r="O162">
            <v>1.3338063878300499</v>
          </cell>
          <cell r="P162">
            <v>1.3678586544278399</v>
          </cell>
          <cell r="Q162">
            <v>1.3736268320963101</v>
          </cell>
          <cell r="U162">
            <v>-1.9780276578963901E-2</v>
          </cell>
          <cell r="V162">
            <v>6.3422429229324298E-3</v>
          </cell>
          <cell r="W162">
            <v>1.0229645346791501E-2</v>
          </cell>
          <cell r="Y162">
            <v>1.3338063878300499</v>
          </cell>
          <cell r="Z162">
            <v>1.3678586544278399</v>
          </cell>
          <cell r="AA162">
            <v>1.3736268320963101</v>
          </cell>
          <cell r="AE162">
            <v>-1.9780276578963901E-2</v>
          </cell>
          <cell r="AF162">
            <v>6.3422429229324298E-3</v>
          </cell>
          <cell r="AG162">
            <v>1.0229645346791501E-2</v>
          </cell>
          <cell r="AR162">
            <v>2.4277792994517357E-2</v>
          </cell>
          <cell r="BC162">
            <v>6.8949443174665684E-2</v>
          </cell>
          <cell r="BF162">
            <v>9.3227236169183048E-2</v>
          </cell>
        </row>
        <row r="163">
          <cell r="O163">
            <v>1.3338063878300499</v>
          </cell>
          <cell r="P163">
            <v>1.3657940260479</v>
          </cell>
          <cell r="Q163">
            <v>1.3728684931392201</v>
          </cell>
          <cell r="U163">
            <v>-2.3426748790487398E-2</v>
          </cell>
          <cell r="V163">
            <v>1.7829418841130899E-3</v>
          </cell>
          <cell r="W163">
            <v>5.9910153600998004E-3</v>
          </cell>
          <cell r="Y163">
            <v>1.3338063878300499</v>
          </cell>
          <cell r="Z163">
            <v>1.3657940260479</v>
          </cell>
          <cell r="AA163">
            <v>1.3728684931392201</v>
          </cell>
          <cell r="AE163">
            <v>-2.3426748790487398E-2</v>
          </cell>
          <cell r="AF163">
            <v>1.7829418841130899E-3</v>
          </cell>
          <cell r="AG163">
            <v>5.9910153600998004E-3</v>
          </cell>
          <cell r="AR163">
            <v>2.4277792994517357E-2</v>
          </cell>
          <cell r="BC163">
            <v>6.8949443174665684E-2</v>
          </cell>
          <cell r="BF163">
            <v>9.3227236169183048E-2</v>
          </cell>
        </row>
        <row r="164">
          <cell r="O164">
            <v>1.3338063878300499</v>
          </cell>
          <cell r="P164">
            <v>1.36403013520713</v>
          </cell>
          <cell r="Q164">
            <v>1.37150397475434</v>
          </cell>
          <cell r="U164">
            <v>-1.4283157637463699E-2</v>
          </cell>
          <cell r="V164">
            <v>9.4160055387055401E-3</v>
          </cell>
          <cell r="W164">
            <v>1.45823834895503E-2</v>
          </cell>
          <cell r="Y164">
            <v>1.3338063878300499</v>
          </cell>
          <cell r="Z164">
            <v>1.36403013520713</v>
          </cell>
          <cell r="AA164">
            <v>1.37150397475434</v>
          </cell>
          <cell r="AE164">
            <v>-1.4283157637463699E-2</v>
          </cell>
          <cell r="AF164">
            <v>9.4160055387055401E-3</v>
          </cell>
          <cell r="AG164">
            <v>1.45823834895503E-2</v>
          </cell>
          <cell r="AR164">
            <v>2.4277792994517357E-2</v>
          </cell>
          <cell r="BC164">
            <v>6.8949443174665684E-2</v>
          </cell>
          <cell r="BF164">
            <v>9.3227236169183048E-2</v>
          </cell>
        </row>
        <row r="165">
          <cell r="O165">
            <v>1.3338063878300499</v>
          </cell>
          <cell r="P165">
            <v>1.36193442089548</v>
          </cell>
          <cell r="Q165">
            <v>1.3695014460361401</v>
          </cell>
          <cell r="U165">
            <v>-6.5830241260703198E-3</v>
          </cell>
          <cell r="V165">
            <v>1.58238279105824E-2</v>
          </cell>
          <cell r="W165">
            <v>2.1288104971757201E-2</v>
          </cell>
          <cell r="Y165">
            <v>1.3338063878300499</v>
          </cell>
          <cell r="Z165">
            <v>1.36193442089548</v>
          </cell>
          <cell r="AA165">
            <v>1.3695014460361401</v>
          </cell>
          <cell r="AE165">
            <v>-6.5830241260703198E-3</v>
          </cell>
          <cell r="AF165">
            <v>1.58238279105824E-2</v>
          </cell>
          <cell r="AG165">
            <v>2.1288104971757201E-2</v>
          </cell>
          <cell r="AR165">
            <v>2.4277792994517357E-2</v>
          </cell>
          <cell r="BC165">
            <v>6.8949443174665684E-2</v>
          </cell>
          <cell r="BF165">
            <v>9.3227236169183048E-2</v>
          </cell>
        </row>
        <row r="166">
          <cell r="O166">
            <v>1.3338063878300499</v>
          </cell>
          <cell r="P166">
            <v>1.36026553090942</v>
          </cell>
          <cell r="Q166">
            <v>1.3675360104023899</v>
          </cell>
          <cell r="U166">
            <v>-8.9496086891679705E-3</v>
          </cell>
          <cell r="V166">
            <v>1.1919648355761901E-2</v>
          </cell>
          <cell r="W166">
            <v>1.7460356516541101E-2</v>
          </cell>
          <cell r="Y166">
            <v>1.3338063878300499</v>
          </cell>
          <cell r="Z166">
            <v>1.36026553090942</v>
          </cell>
          <cell r="AA166">
            <v>1.3675360104023899</v>
          </cell>
          <cell r="AE166">
            <v>-8.9496086891679705E-3</v>
          </cell>
          <cell r="AF166">
            <v>1.1919648355761901E-2</v>
          </cell>
          <cell r="AG166">
            <v>1.7460356516541101E-2</v>
          </cell>
          <cell r="AR166">
            <v>2.4277792994517357E-2</v>
          </cell>
          <cell r="BC166">
            <v>7.1316027737763327E-2</v>
          </cell>
          <cell r="BF166">
            <v>9.5593820732280704E-2</v>
          </cell>
        </row>
        <row r="167">
          <cell r="O167">
            <v>1.3338063878300499</v>
          </cell>
          <cell r="P167">
            <v>1.3586820443578</v>
          </cell>
          <cell r="Q167">
            <v>1.36651382157242</v>
          </cell>
          <cell r="U167">
            <v>-1.6669940523002202E-2</v>
          </cell>
          <cell r="V167">
            <v>2.9731830822908299E-3</v>
          </cell>
          <cell r="W167">
            <v>8.3038470615646696E-3</v>
          </cell>
          <cell r="Y167">
            <v>1.3338063878300499</v>
          </cell>
          <cell r="Z167">
            <v>1.3586820443578</v>
          </cell>
          <cell r="AA167">
            <v>1.36651382157242</v>
          </cell>
          <cell r="AE167">
            <v>-1.6669940523002202E-2</v>
          </cell>
          <cell r="AF167">
            <v>2.9731830822908299E-3</v>
          </cell>
          <cell r="AG167">
            <v>8.3038470615646696E-3</v>
          </cell>
          <cell r="AR167">
            <v>2.4277792994517357E-2</v>
          </cell>
          <cell r="BC167">
            <v>7.9036359571597326E-2</v>
          </cell>
          <cell r="BF167">
            <v>0.1033141525661147</v>
          </cell>
        </row>
        <row r="168">
          <cell r="O168">
            <v>1.3338063878300499</v>
          </cell>
          <cell r="P168">
            <v>1.3561228789461699</v>
          </cell>
          <cell r="Q168">
            <v>1.3645741571849399</v>
          </cell>
          <cell r="U168">
            <v>-7.3120877575476896E-3</v>
          </cell>
          <cell r="V168">
            <v>1.1166256691980099E-2</v>
          </cell>
          <cell r="W168">
            <v>1.6913952755523199E-2</v>
          </cell>
          <cell r="Y168">
            <v>1.3338063878300499</v>
          </cell>
          <cell r="Z168">
            <v>1.3561228789461699</v>
          </cell>
          <cell r="AA168">
            <v>1.3645741571849399</v>
          </cell>
          <cell r="AE168">
            <v>-7.3120877575476896E-3</v>
          </cell>
          <cell r="AF168">
            <v>1.1166256691980099E-2</v>
          </cell>
          <cell r="AG168">
            <v>1.6913952755523199E-2</v>
          </cell>
          <cell r="AR168">
            <v>2.4277792994517357E-2</v>
          </cell>
          <cell r="BC168">
            <v>6.9678506806143001E-2</v>
          </cell>
          <cell r="BF168">
            <v>9.3956299800660378E-2</v>
          </cell>
        </row>
        <row r="169">
          <cell r="O169">
            <v>1.3338063878300499</v>
          </cell>
          <cell r="P169">
            <v>1.3533038826488299</v>
          </cell>
          <cell r="Q169">
            <v>1.3630643325029901</v>
          </cell>
          <cell r="U169">
            <v>-9.3755383412288396E-3</v>
          </cell>
          <cell r="V169">
            <v>7.2174653622929701E-3</v>
          </cell>
          <cell r="W169">
            <v>1.34300684628583E-2</v>
          </cell>
          <cell r="Y169">
            <v>1.3338063878300499</v>
          </cell>
          <cell r="Z169">
            <v>1.3533038826488299</v>
          </cell>
          <cell r="AA169">
            <v>1.3630643325029901</v>
          </cell>
          <cell r="AE169">
            <v>-9.3755383412288396E-3</v>
          </cell>
          <cell r="AF169">
            <v>7.2174653622929701E-3</v>
          </cell>
          <cell r="AG169">
            <v>1.34300684628583E-2</v>
          </cell>
          <cell r="AR169">
            <v>2.4277792994517357E-2</v>
          </cell>
          <cell r="BC169">
            <v>7.1741957389824071E-2</v>
          </cell>
          <cell r="BF169">
            <v>9.6019750384341448E-2</v>
          </cell>
        </row>
        <row r="170">
          <cell r="O170">
            <v>1.3338063878300499</v>
          </cell>
          <cell r="P170">
            <v>1.3535060756855</v>
          </cell>
          <cell r="Q170">
            <v>1.3623051904535299</v>
          </cell>
          <cell r="U170">
            <v>-2.0389085138503099E-2</v>
          </cell>
          <cell r="V170">
            <v>-5.8769624202194897E-3</v>
          </cell>
          <cell r="W170">
            <v>1.3094652562720499E-3</v>
          </cell>
          <cell r="Y170">
            <v>1.3338063878300499</v>
          </cell>
          <cell r="Z170">
            <v>1.3535060756855</v>
          </cell>
          <cell r="AA170">
            <v>1.3623051904535299</v>
          </cell>
          <cell r="AE170">
            <v>-2.0389085138503099E-2</v>
          </cell>
          <cell r="AF170">
            <v>-5.8769624202194897E-3</v>
          </cell>
          <cell r="AG170">
            <v>1.3094652562720499E-3</v>
          </cell>
          <cell r="AR170">
            <v>2.4277792994517357E-2</v>
          </cell>
          <cell r="BC170">
            <v>8.2755504187098178E-2</v>
          </cell>
          <cell r="BF170">
            <v>0.10703329718161556</v>
          </cell>
        </row>
        <row r="171">
          <cell r="O171">
            <v>1.3338063878300499</v>
          </cell>
          <cell r="P171">
            <v>1.35299045473838</v>
          </cell>
          <cell r="Q171">
            <v>1.3610491500198101</v>
          </cell>
          <cell r="U171">
            <v>-1.5875573194992599E-2</v>
          </cell>
          <cell r="V171">
            <v>-1.21405466380378E-3</v>
          </cell>
          <cell r="W171">
            <v>5.2658842531585603E-3</v>
          </cell>
          <cell r="Y171">
            <v>1.3338063878300499</v>
          </cell>
          <cell r="Z171">
            <v>1.35299045473838</v>
          </cell>
          <cell r="AA171">
            <v>1.3610491500198101</v>
          </cell>
          <cell r="AE171">
            <v>-1.5875573194992599E-2</v>
          </cell>
          <cell r="AF171">
            <v>-1.21405466380378E-3</v>
          </cell>
          <cell r="AG171">
            <v>5.2658842531585603E-3</v>
          </cell>
          <cell r="AR171">
            <v>2.4277792994517357E-2</v>
          </cell>
          <cell r="BC171">
            <v>8.2755504187098178E-2</v>
          </cell>
          <cell r="BF171">
            <v>0.10703329718161556</v>
          </cell>
        </row>
        <row r="172">
          <cell r="O172">
            <v>1.3338063878300499</v>
          </cell>
          <cell r="P172">
            <v>1.3514329906882401</v>
          </cell>
          <cell r="Q172">
            <v>1.3596458225580399</v>
          </cell>
          <cell r="U172">
            <v>-8.2661063950783195E-3</v>
          </cell>
          <cell r="V172">
            <v>6.0143874811244896E-3</v>
          </cell>
          <cell r="W172">
            <v>1.1952929387912901E-2</v>
          </cell>
          <cell r="Y172">
            <v>1.3338063878300499</v>
          </cell>
          <cell r="Z172">
            <v>1.3514329906882401</v>
          </cell>
          <cell r="AA172">
            <v>1.3596458225580399</v>
          </cell>
          <cell r="AE172">
            <v>-8.2661063950783195E-3</v>
          </cell>
          <cell r="AF172">
            <v>6.0143874811244896E-3</v>
          </cell>
          <cell r="AG172">
            <v>1.1952929387912901E-2</v>
          </cell>
          <cell r="AR172">
            <v>2.4277792994517357E-2</v>
          </cell>
          <cell r="BC172">
            <v>8.2755504187098178E-2</v>
          </cell>
          <cell r="BF172">
            <v>0.10703329718161556</v>
          </cell>
        </row>
        <row r="173">
          <cell r="O173">
            <v>1.3338063878300499</v>
          </cell>
          <cell r="P173">
            <v>1.3492335283705701</v>
          </cell>
          <cell r="Q173">
            <v>1.3575137772092301</v>
          </cell>
          <cell r="U173">
            <v>-7.1873030018283499E-3</v>
          </cell>
          <cell r="V173">
            <v>5.9414006656661501E-3</v>
          </cell>
          <cell r="W173">
            <v>1.20001378391584E-2</v>
          </cell>
          <cell r="Y173">
            <v>1.3338063878300499</v>
          </cell>
          <cell r="Z173">
            <v>1.3492335283705701</v>
          </cell>
          <cell r="AA173">
            <v>1.3575137772092301</v>
          </cell>
          <cell r="AE173">
            <v>-7.1873030018283499E-3</v>
          </cell>
          <cell r="AF173">
            <v>5.9414006656661501E-3</v>
          </cell>
          <cell r="AG173">
            <v>1.20001378391584E-2</v>
          </cell>
          <cell r="AR173">
            <v>2.4277792994517357E-2</v>
          </cell>
          <cell r="BC173">
            <v>8.2755504187098178E-2</v>
          </cell>
          <cell r="BF173">
            <v>0.10703329718161556</v>
          </cell>
        </row>
        <row r="174">
          <cell r="O174">
            <v>1.3338063878300499</v>
          </cell>
          <cell r="P174">
            <v>1.3484309805447501</v>
          </cell>
          <cell r="Q174">
            <v>1.3562305578759399</v>
          </cell>
          <cell r="U174">
            <v>-8.33385217819008E-3</v>
          </cell>
          <cell r="V174">
            <v>3.16602187378221E-3</v>
          </cell>
          <cell r="W174">
            <v>9.2842691524184194E-3</v>
          </cell>
          <cell r="Y174">
            <v>1.3338063878300499</v>
          </cell>
          <cell r="Z174">
            <v>1.3484309805447501</v>
          </cell>
          <cell r="AA174">
            <v>1.3562305578759399</v>
          </cell>
          <cell r="AE174">
            <v>-8.33385217819008E-3</v>
          </cell>
          <cell r="AF174">
            <v>3.16602187378221E-3</v>
          </cell>
          <cell r="AG174">
            <v>9.2842691524184194E-3</v>
          </cell>
          <cell r="AR174">
            <v>2.4277792994517357E-2</v>
          </cell>
          <cell r="BC174">
            <v>8.2755504187098178E-2</v>
          </cell>
          <cell r="BF174">
            <v>0.10703329718161556</v>
          </cell>
        </row>
        <row r="175">
          <cell r="O175">
            <v>1.3338063878300499</v>
          </cell>
          <cell r="P175">
            <v>1.34849458331326</v>
          </cell>
          <cell r="Q175">
            <v>1.35521450210437</v>
          </cell>
          <cell r="U175">
            <v>-7.0566347204965201E-3</v>
          </cell>
          <cell r="V175">
            <v>3.8482447746324101E-3</v>
          </cell>
          <cell r="W175">
            <v>9.6157678757816702E-3</v>
          </cell>
          <cell r="Y175">
            <v>1.3338063878300499</v>
          </cell>
          <cell r="Z175">
            <v>1.34849458331326</v>
          </cell>
          <cell r="AA175">
            <v>1.35521450210437</v>
          </cell>
          <cell r="AE175">
            <v>-7.0566347204965201E-3</v>
          </cell>
          <cell r="AF175">
            <v>3.8482447746324101E-3</v>
          </cell>
          <cell r="AG175">
            <v>9.6157678757816702E-3</v>
          </cell>
          <cell r="AR175">
            <v>2.4277792994517357E-2</v>
          </cell>
          <cell r="BC175">
            <v>8.2755504187098178E-2</v>
          </cell>
          <cell r="BF175">
            <v>0.10703329718161556</v>
          </cell>
        </row>
        <row r="176">
          <cell r="O176">
            <v>1.3338063878300499</v>
          </cell>
          <cell r="P176">
            <v>1.34729651858954</v>
          </cell>
          <cell r="Q176">
            <v>1.3537810247494799</v>
          </cell>
          <cell r="U176">
            <v>-7.4775570452221803E-6</v>
          </cell>
          <cell r="V176">
            <v>1.0944568807928099E-2</v>
          </cell>
          <cell r="W176">
            <v>1.59154679809855E-2</v>
          </cell>
          <cell r="Y176">
            <v>1.3338063878300499</v>
          </cell>
          <cell r="Z176">
            <v>1.34729651858954</v>
          </cell>
          <cell r="AA176">
            <v>1.3537810247494799</v>
          </cell>
          <cell r="AE176">
            <v>-7.4775570452221803E-6</v>
          </cell>
          <cell r="AF176">
            <v>1.0944568807928099E-2</v>
          </cell>
          <cell r="AG176">
            <v>1.59154679809855E-2</v>
          </cell>
          <cell r="AR176">
            <v>2.4277792994517357E-2</v>
          </cell>
          <cell r="BC176">
            <v>8.2755504187098178E-2</v>
          </cell>
          <cell r="BF176">
            <v>0.10703329718161556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8783-AB7E-4F37-AA35-0994D5E7F196}">
  <dimension ref="A1:DZ179"/>
  <sheetViews>
    <sheetView tabSelected="1" topLeftCell="AF1" workbookViewId="0">
      <selection activeCell="AN18" sqref="AN18"/>
    </sheetView>
  </sheetViews>
  <sheetFormatPr defaultRowHeight="15" x14ac:dyDescent="0.25"/>
  <cols>
    <col min="1" max="1" width="9.42578125" bestFit="1" customWidth="1"/>
    <col min="2" max="3" width="11" style="34" bestFit="1" customWidth="1"/>
    <col min="4" max="4" width="11.85546875" style="16" bestFit="1" customWidth="1"/>
    <col min="5" max="5" width="10.28515625" style="16" bestFit="1" customWidth="1"/>
    <col min="6" max="6" width="10.28515625" style="34" bestFit="1" customWidth="1"/>
    <col min="7" max="7" width="18.7109375" style="34" bestFit="1" customWidth="1"/>
    <col min="8" max="8" width="9" style="34" bestFit="1" customWidth="1"/>
    <col min="9" max="9" width="17" style="34" bestFit="1" customWidth="1"/>
    <col min="10" max="10" width="21.42578125" style="34" bestFit="1" customWidth="1"/>
    <col min="11" max="11" width="19.7109375" style="34" bestFit="1" customWidth="1"/>
    <col min="12" max="13" width="11" style="34" bestFit="1" customWidth="1"/>
    <col min="14" max="14" width="11" style="35" bestFit="1" customWidth="1"/>
    <col min="15" max="15" width="14.5703125" style="35" bestFit="1" customWidth="1"/>
    <col min="16" max="17" width="18" style="35" bestFit="1" customWidth="1"/>
    <col min="18" max="18" width="12" style="34" bestFit="1" customWidth="1"/>
    <col min="19" max="20" width="15.42578125" style="34" bestFit="1" customWidth="1"/>
    <col min="21" max="21" width="22.42578125" style="16" bestFit="1" customWidth="1"/>
    <col min="22" max="23" width="25.85546875" style="16" bestFit="1" customWidth="1"/>
    <col min="24" max="24" width="13.140625" style="35" bestFit="1" customWidth="1"/>
    <col min="25" max="25" width="16.5703125" style="35" bestFit="1" customWidth="1"/>
    <col min="26" max="27" width="20" style="35" bestFit="1" customWidth="1"/>
    <col min="28" max="28" width="13.140625" style="34" bestFit="1" customWidth="1"/>
    <col min="29" max="30" width="16.42578125" style="34" bestFit="1" customWidth="1"/>
    <col min="31" max="31" width="24.42578125" style="16" bestFit="1" customWidth="1"/>
    <col min="32" max="33" width="27.85546875" style="16" bestFit="1" customWidth="1"/>
    <col min="34" max="34" width="1.7109375" style="9" customWidth="1"/>
    <col min="35" max="35" width="7.7109375" style="16" bestFit="1" customWidth="1"/>
    <col min="36" max="36" width="8.140625" style="16" bestFit="1" customWidth="1"/>
    <col min="37" max="38" width="7.42578125" style="16" bestFit="1" customWidth="1"/>
    <col min="39" max="39" width="7.85546875" style="16" bestFit="1" customWidth="1"/>
    <col min="40" max="40" width="8.42578125" style="16" bestFit="1" customWidth="1"/>
    <col min="41" max="41" width="11.85546875" style="16" bestFit="1" customWidth="1"/>
    <col min="42" max="42" width="10.28515625" style="16" bestFit="1" customWidth="1"/>
    <col min="43" max="43" width="7.42578125" style="16" bestFit="1" customWidth="1"/>
    <col min="44" max="44" width="8.7109375" style="16" bestFit="1" customWidth="1"/>
    <col min="45" max="45" width="1.7109375" style="9" customWidth="1"/>
    <col min="46" max="46" width="7.7109375" style="16" bestFit="1" customWidth="1"/>
    <col min="47" max="49" width="7.42578125" style="16" bestFit="1" customWidth="1"/>
    <col min="50" max="50" width="7.85546875" style="16" bestFit="1" customWidth="1"/>
    <col min="51" max="51" width="8.42578125" style="16" bestFit="1" customWidth="1"/>
    <col min="52" max="52" width="11.85546875" style="16" bestFit="1" customWidth="1"/>
    <col min="53" max="53" width="10.28515625" style="16" bestFit="1" customWidth="1"/>
    <col min="54" max="54" width="7.42578125" style="16" bestFit="1" customWidth="1"/>
    <col min="55" max="55" width="8.7109375" style="16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1" t="s">
        <v>17</v>
      </c>
      <c r="S1" s="31" t="s">
        <v>18</v>
      </c>
      <c r="T1" s="31" t="s">
        <v>19</v>
      </c>
      <c r="U1" s="32" t="s">
        <v>20</v>
      </c>
      <c r="V1" s="32" t="s">
        <v>21</v>
      </c>
      <c r="W1" s="32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1" t="s">
        <v>27</v>
      </c>
      <c r="AC1" s="31" t="s">
        <v>28</v>
      </c>
      <c r="AD1" s="31" t="s">
        <v>29</v>
      </c>
      <c r="AE1" s="32" t="s">
        <v>30</v>
      </c>
      <c r="AF1" s="32" t="s">
        <v>31</v>
      </c>
      <c r="AG1" s="32" t="s">
        <v>32</v>
      </c>
      <c r="AH1" s="2"/>
      <c r="AI1" s="3">
        <f>AQ16</f>
        <v>2.8162604723224951</v>
      </c>
      <c r="AJ1" s="4">
        <v>0</v>
      </c>
      <c r="AK1" s="4">
        <f t="shared" ref="AK1:AQ1" si="0">AJ1-$AK12</f>
        <v>-5.0000000000000001E-4</v>
      </c>
      <c r="AL1" s="4">
        <f t="shared" si="0"/>
        <v>-1E-3</v>
      </c>
      <c r="AM1" s="4">
        <f t="shared" si="0"/>
        <v>-1.5E-3</v>
      </c>
      <c r="AN1" s="4">
        <f t="shared" si="0"/>
        <v>-2E-3</v>
      </c>
      <c r="AO1" s="4">
        <f t="shared" si="0"/>
        <v>-2.5000000000000001E-3</v>
      </c>
      <c r="AP1" s="4">
        <f t="shared" si="0"/>
        <v>-3.0000000000000001E-3</v>
      </c>
      <c r="AQ1" s="4">
        <f t="shared" si="0"/>
        <v>-3.5000000000000001E-3</v>
      </c>
      <c r="AR1" s="5" t="s">
        <v>33</v>
      </c>
      <c r="AS1" s="2"/>
      <c r="AT1" s="3">
        <f>BB16</f>
        <v>2.4621924511451816</v>
      </c>
      <c r="AU1" s="4">
        <v>0</v>
      </c>
      <c r="AV1" s="6">
        <f>AU1+$AV12</f>
        <v>5.0000000000000001E-4</v>
      </c>
      <c r="AW1" s="6">
        <f t="shared" ref="AW1:BB1" si="1">AV1+$AV12</f>
        <v>1E-3</v>
      </c>
      <c r="AX1" s="6">
        <f t="shared" si="1"/>
        <v>1.5E-3</v>
      </c>
      <c r="AY1" s="6">
        <f t="shared" si="1"/>
        <v>2E-3</v>
      </c>
      <c r="AZ1" s="6">
        <f t="shared" si="1"/>
        <v>2.5000000000000001E-3</v>
      </c>
      <c r="BA1" s="6">
        <f t="shared" si="1"/>
        <v>3.0000000000000001E-3</v>
      </c>
      <c r="BB1" s="6">
        <f t="shared" si="1"/>
        <v>3.5000000000000001E-3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4">
        <v>67.45</v>
      </c>
      <c r="C2" s="34">
        <v>96.3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67.45</v>
      </c>
      <c r="M2" s="34">
        <v>96.3</v>
      </c>
      <c r="N2" s="35">
        <v>1.4277242401779</v>
      </c>
      <c r="O2" s="35">
        <v>1.43329336478799</v>
      </c>
      <c r="X2" s="35">
        <v>1.4277242401779</v>
      </c>
      <c r="Y2" s="35">
        <v>1.43040773636679</v>
      </c>
      <c r="AI2" s="4">
        <v>0</v>
      </c>
      <c r="AJ2" s="10">
        <f t="dataTable" ref="AJ2:AQ9" dt2D="1" dtr="1" r1="AI21" r2="AI22"/>
        <v>2.6376803276398766</v>
      </c>
      <c r="AK2" s="10">
        <v>2.8117864243377726</v>
      </c>
      <c r="AL2" s="10">
        <v>2.3103173943968756</v>
      </c>
      <c r="AM2" s="10">
        <v>2.7547069439351661</v>
      </c>
      <c r="AN2" s="10">
        <v>1.7196525115662105</v>
      </c>
      <c r="AO2" s="10" t="e">
        <v>#DIV/0!</v>
      </c>
      <c r="AP2" s="10" t="e">
        <v>#DIV/0!</v>
      </c>
      <c r="AQ2" s="10" t="e">
        <v>#DIV/0!</v>
      </c>
      <c r="AR2"/>
      <c r="AT2" s="4">
        <v>0</v>
      </c>
      <c r="AU2" s="10">
        <f t="dataTable" ref="AU2:BB9" dt2D="1" dtr="1" r1="AT21" r2="AT22"/>
        <v>3.12677871329582</v>
      </c>
      <c r="AV2" s="11">
        <v>2.5084112559464784</v>
      </c>
      <c r="AW2" s="11">
        <v>2.4621924511451816</v>
      </c>
      <c r="AX2" s="11">
        <v>1.2581941868036444</v>
      </c>
      <c r="AY2" s="11" t="e">
        <v>#DIV/0!</v>
      </c>
      <c r="AZ2" s="11" t="e">
        <v>#DIV/0!</v>
      </c>
      <c r="BA2" s="11" t="e">
        <v>#DIV/0!</v>
      </c>
      <c r="BB2" s="11" t="e">
        <v>#DIV/0!</v>
      </c>
      <c r="BC2"/>
    </row>
    <row r="3" spans="1:130" ht="15.75" thickBot="1" x14ac:dyDescent="0.3">
      <c r="A3" s="1">
        <v>46027</v>
      </c>
      <c r="B3" s="34">
        <v>67.53</v>
      </c>
      <c r="C3" s="34">
        <v>96.45</v>
      </c>
      <c r="D3" s="16">
        <v>1.18536093298573E-3</v>
      </c>
      <c r="E3" s="16">
        <v>1.55642054765837E-3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67.53</v>
      </c>
      <c r="M3" s="34">
        <v>96.45</v>
      </c>
      <c r="N3" s="35">
        <v>1.42825410928476</v>
      </c>
      <c r="O3" s="35">
        <v>1.43329336478799</v>
      </c>
      <c r="R3" s="34">
        <v>96.790300924133206</v>
      </c>
      <c r="U3" s="16">
        <v>3.5220528459925901E-3</v>
      </c>
      <c r="X3" s="35">
        <v>1.42825410928476</v>
      </c>
      <c r="Y3" s="35">
        <v>1.43040773636679</v>
      </c>
      <c r="AB3" s="34">
        <v>96.5954344368498</v>
      </c>
      <c r="AE3" s="16">
        <v>1.50673819133363E-3</v>
      </c>
      <c r="AI3" s="4">
        <f t="shared" ref="AI3:AI9" si="2">AI2-AK$12</f>
        <v>-5.0000000000000001E-4</v>
      </c>
      <c r="AJ3" s="10">
        <v>2.6376803276398766</v>
      </c>
      <c r="AK3" s="10">
        <v>3.8452487590886486</v>
      </c>
      <c r="AL3" s="10">
        <v>3.0314150977458563</v>
      </c>
      <c r="AM3" s="10">
        <v>2.8162604723224951</v>
      </c>
      <c r="AN3" s="10">
        <v>1.7108502079751826</v>
      </c>
      <c r="AO3" s="11" t="e">
        <v>#DIV/0!</v>
      </c>
      <c r="AP3" s="10" t="e">
        <v>#DIV/0!</v>
      </c>
      <c r="AQ3" s="10" t="e">
        <v>#DIV/0!</v>
      </c>
      <c r="AR3"/>
      <c r="AT3" s="4">
        <f>AT2+AV$12</f>
        <v>5.0000000000000001E-4</v>
      </c>
      <c r="AU3" s="10">
        <v>3.12677871329582</v>
      </c>
      <c r="AV3" s="11">
        <v>3.4147202463032271</v>
      </c>
      <c r="AW3" s="11">
        <v>2.6147862796233965</v>
      </c>
      <c r="AX3" s="11">
        <v>1.2750711555097245</v>
      </c>
      <c r="AY3" s="11" t="e">
        <v>#DIV/0!</v>
      </c>
      <c r="AZ3" s="11" t="e">
        <v>#DIV/0!</v>
      </c>
      <c r="BA3" s="11" t="e">
        <v>#DIV/0!</v>
      </c>
      <c r="BB3" s="11" t="e">
        <v>#DIV/0!</v>
      </c>
      <c r="BC3"/>
    </row>
    <row r="4" spans="1:130" ht="15.75" thickBot="1" x14ac:dyDescent="0.3">
      <c r="A4" s="1">
        <v>46028</v>
      </c>
      <c r="B4" s="34">
        <v>67.47</v>
      </c>
      <c r="C4" s="34">
        <v>96.35</v>
      </c>
      <c r="D4" s="16">
        <v>-8.8888894741662899E-4</v>
      </c>
      <c r="E4" s="16">
        <v>-1.0373444913628199E-3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67.47</v>
      </c>
      <c r="M4" s="34">
        <v>96.35</v>
      </c>
      <c r="N4" s="35">
        <v>1.4280420927819699</v>
      </c>
      <c r="O4" s="35">
        <v>1.43329336478799</v>
      </c>
      <c r="R4" s="34">
        <v>96.704303322245906</v>
      </c>
      <c r="U4" s="16">
        <v>3.6705083899386099E-3</v>
      </c>
      <c r="X4" s="35">
        <v>1.4280420927819699</v>
      </c>
      <c r="Y4" s="35">
        <v>1.43040773636679</v>
      </c>
      <c r="AB4" s="34">
        <v>96.509609972667704</v>
      </c>
      <c r="AE4" s="16">
        <v>1.65519373527974E-3</v>
      </c>
      <c r="AG4"/>
      <c r="AI4" s="4">
        <f t="shared" si="2"/>
        <v>-1E-3</v>
      </c>
      <c r="AJ4" s="10">
        <v>2.6376803276398766</v>
      </c>
      <c r="AK4" s="11">
        <v>3.8452487590886486</v>
      </c>
      <c r="AL4" s="11">
        <v>2.9078711411666247</v>
      </c>
      <c r="AM4" s="11">
        <v>2.5613237844522092</v>
      </c>
      <c r="AN4" s="10">
        <v>1.5826135686522596</v>
      </c>
      <c r="AO4" s="11" t="e">
        <v>#DIV/0!</v>
      </c>
      <c r="AP4" s="11" t="e">
        <v>#DIV/0!</v>
      </c>
      <c r="AQ4" s="11" t="e">
        <v>#DIV/0!</v>
      </c>
      <c r="AR4"/>
      <c r="AT4" s="4">
        <f t="shared" ref="AT4:AT9" si="3">AT3+AV$12</f>
        <v>1E-3</v>
      </c>
      <c r="AU4" s="10">
        <v>3.12677871329582</v>
      </c>
      <c r="AV4" s="11">
        <v>3.4147202463032271</v>
      </c>
      <c r="AW4" s="11">
        <v>2.2403213066413614</v>
      </c>
      <c r="AX4" s="11">
        <v>1.2750711555097245</v>
      </c>
      <c r="AY4" s="11" t="e">
        <v>#DIV/0!</v>
      </c>
      <c r="AZ4" s="11" t="e">
        <v>#DIV/0!</v>
      </c>
      <c r="BA4" s="13" t="e">
        <v>#DIV/0!</v>
      </c>
      <c r="BB4" s="11" t="e">
        <v>#DIV/0!</v>
      </c>
      <c r="BC4"/>
      <c r="BE4" s="8"/>
      <c r="BF4" s="8"/>
    </row>
    <row r="5" spans="1:130" ht="15.75" thickBot="1" x14ac:dyDescent="0.3">
      <c r="A5" s="1">
        <v>46029</v>
      </c>
      <c r="B5" s="34">
        <v>67.37</v>
      </c>
      <c r="C5" s="34">
        <v>96.16</v>
      </c>
      <c r="D5" s="16">
        <v>-1.48323966676539E-3</v>
      </c>
      <c r="E5" s="16">
        <v>-1.9739240734779201E-3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67.37</v>
      </c>
      <c r="M5" s="34">
        <v>96.16</v>
      </c>
      <c r="N5" s="35">
        <v>1.4273415466824899</v>
      </c>
      <c r="O5" s="35">
        <v>1.43329336478799</v>
      </c>
      <c r="R5" s="34">
        <v>96.560973985767106</v>
      </c>
      <c r="U5" s="16">
        <v>4.1611927966511298E-3</v>
      </c>
      <c r="X5" s="35">
        <v>1.4273415466824899</v>
      </c>
      <c r="Y5" s="35">
        <v>1.43040773636679</v>
      </c>
      <c r="AB5" s="34">
        <v>96.366569199031105</v>
      </c>
      <c r="AE5" s="16">
        <v>2.1458781419922001E-3</v>
      </c>
      <c r="AG5" s="30"/>
      <c r="AI5" s="4">
        <f t="shared" si="2"/>
        <v>-1.5E-3</v>
      </c>
      <c r="AJ5" s="10">
        <v>2.6376803276398766</v>
      </c>
      <c r="AK5" s="11">
        <v>3.8452487590886486</v>
      </c>
      <c r="AL5" s="11">
        <v>2.9078711411666247</v>
      </c>
      <c r="AM5" s="11">
        <v>2.9696428376028678</v>
      </c>
      <c r="AN5" s="11">
        <v>2.0305636886691083</v>
      </c>
      <c r="AO5" s="13" t="e">
        <v>#DIV/0!</v>
      </c>
      <c r="AP5" s="10" t="e">
        <v>#DIV/0!</v>
      </c>
      <c r="AQ5" s="11" t="e">
        <v>#DIV/0!</v>
      </c>
      <c r="AR5"/>
      <c r="AT5" s="4">
        <f t="shared" si="3"/>
        <v>1.5E-3</v>
      </c>
      <c r="AU5" s="10">
        <v>3.12677871329582</v>
      </c>
      <c r="AV5" s="11">
        <v>3.4147202463032271</v>
      </c>
      <c r="AW5" s="11">
        <v>2.2403213066413614</v>
      </c>
      <c r="AX5" s="11">
        <v>1.2750711555097245</v>
      </c>
      <c r="AY5" s="11" t="e">
        <v>#DIV/0!</v>
      </c>
      <c r="AZ5" s="11" t="e">
        <v>#DIV/0!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4">
        <v>67.290000000000006</v>
      </c>
      <c r="C6" s="34">
        <v>96.01</v>
      </c>
      <c r="D6" s="16">
        <v>-1.18817777234181E-3</v>
      </c>
      <c r="E6" s="16">
        <v>-1.5611180773649699E-3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67.290000000000006</v>
      </c>
      <c r="M6" s="34">
        <v>96.01</v>
      </c>
      <c r="N6" s="35">
        <v>1.42680933273889</v>
      </c>
      <c r="O6" s="35">
        <v>1.43329336478799</v>
      </c>
      <c r="R6" s="34">
        <v>96.446310516584106</v>
      </c>
      <c r="U6" s="16">
        <v>4.5341331016743097E-3</v>
      </c>
      <c r="X6" s="35">
        <v>1.42680933273889</v>
      </c>
      <c r="Y6" s="35">
        <v>1.43040773636679</v>
      </c>
      <c r="AB6" s="34">
        <v>96.2521365801217</v>
      </c>
      <c r="AE6" s="16">
        <v>2.5188184470153899E-3</v>
      </c>
      <c r="AG6" s="30"/>
      <c r="AI6" s="4">
        <f t="shared" si="2"/>
        <v>-2E-3</v>
      </c>
      <c r="AJ6" s="10">
        <v>2.6376803276398766</v>
      </c>
      <c r="AK6" s="11">
        <v>3.8452487590886486</v>
      </c>
      <c r="AL6" s="11">
        <v>2.9078711411666247</v>
      </c>
      <c r="AM6" s="11">
        <v>2.9696428376028678</v>
      </c>
      <c r="AN6" s="11">
        <v>1.7006761989279149</v>
      </c>
      <c r="AO6" s="11" t="e">
        <v>#DIV/0!</v>
      </c>
      <c r="AP6" s="11" t="e">
        <v>#DIV/0!</v>
      </c>
      <c r="AQ6" s="11" t="e">
        <v>#DIV/0!</v>
      </c>
      <c r="AR6"/>
      <c r="AT6" s="4">
        <f t="shared" si="3"/>
        <v>2E-3</v>
      </c>
      <c r="AU6" s="10">
        <v>3.12677871329582</v>
      </c>
      <c r="AV6" s="11">
        <v>3.4147202463032271</v>
      </c>
      <c r="AW6" s="11">
        <v>2.2403213066413614</v>
      </c>
      <c r="AX6" s="11">
        <v>1.2750711555097245</v>
      </c>
      <c r="AY6" s="11" t="e">
        <v>#DIV/0!</v>
      </c>
      <c r="AZ6" s="11" t="e">
        <v>#DIV/0!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4">
        <v>67.430000000000007</v>
      </c>
      <c r="C7" s="34">
        <v>96.36</v>
      </c>
      <c r="D7" s="16">
        <v>2.0783855462640399E-3</v>
      </c>
      <c r="E7" s="16">
        <v>3.6388250371382001E-3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67.430000000000007</v>
      </c>
      <c r="M7" s="34">
        <v>96.36</v>
      </c>
      <c r="N7" s="35">
        <v>1.42903752039151</v>
      </c>
      <c r="O7" s="35">
        <v>1.43329336478799</v>
      </c>
      <c r="R7" s="34">
        <v>96.646971587654406</v>
      </c>
      <c r="U7" s="16">
        <v>2.9736936108002501E-3</v>
      </c>
      <c r="X7" s="35">
        <v>1.42903752039151</v>
      </c>
      <c r="Y7" s="35">
        <v>1.43040773636679</v>
      </c>
      <c r="AB7" s="34">
        <v>96.452393663213101</v>
      </c>
      <c r="AE7" s="16">
        <v>9.5837895614114105E-4</v>
      </c>
      <c r="AG7"/>
      <c r="AI7" s="4">
        <f t="shared" si="2"/>
        <v>-2.5000000000000001E-3</v>
      </c>
      <c r="AJ7" s="10">
        <v>2.6376803276398766</v>
      </c>
      <c r="AK7" s="11">
        <v>3.8452487590886486</v>
      </c>
      <c r="AL7" s="11">
        <v>2.9078711411666247</v>
      </c>
      <c r="AM7" s="11">
        <v>2.9696428376028678</v>
      </c>
      <c r="AN7" s="11">
        <v>1.7006761989279149</v>
      </c>
      <c r="AO7" s="11" t="e">
        <v>#DIV/0!</v>
      </c>
      <c r="AP7" s="11" t="e">
        <v>#DIV/0!</v>
      </c>
      <c r="AQ7" s="11" t="e">
        <v>#DIV/0!</v>
      </c>
      <c r="AR7"/>
      <c r="AT7" s="4">
        <f t="shared" si="3"/>
        <v>2.5000000000000001E-3</v>
      </c>
      <c r="AU7" s="10">
        <v>3.12677871329582</v>
      </c>
      <c r="AV7" s="11">
        <v>3.4147202463032271</v>
      </c>
      <c r="AW7" s="11">
        <v>2.2403213066413614</v>
      </c>
      <c r="AX7" s="11">
        <v>1.2750711555097245</v>
      </c>
      <c r="AY7" s="11" t="e">
        <v>#DIV/0!</v>
      </c>
      <c r="AZ7" s="11" t="e">
        <v>#DIV/0!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4">
        <v>67.39</v>
      </c>
      <c r="C8" s="34">
        <v>96.28</v>
      </c>
      <c r="D8" s="16">
        <v>-5.9338378836504301E-4</v>
      </c>
      <c r="E8" s="16">
        <v>-8.3056483179934305E-4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67.39</v>
      </c>
      <c r="M8" s="34">
        <v>96.28</v>
      </c>
      <c r="N8" s="35">
        <v>1.4286986199732801</v>
      </c>
      <c r="O8" s="35">
        <v>1.43329336478799</v>
      </c>
      <c r="R8" s="34">
        <v>96.589639853062906</v>
      </c>
      <c r="U8" s="16">
        <v>3.2108746542344698E-3</v>
      </c>
      <c r="X8" s="35">
        <v>1.4286986199732801</v>
      </c>
      <c r="Y8" s="35">
        <v>1.43040773636679</v>
      </c>
      <c r="AB8" s="34">
        <v>96.395177353758399</v>
      </c>
      <c r="AE8" s="16">
        <v>1.1955599995754399E-3</v>
      </c>
      <c r="AG8"/>
      <c r="AI8" s="4">
        <f t="shared" si="2"/>
        <v>-3.0000000000000001E-3</v>
      </c>
      <c r="AJ8" s="10">
        <v>2.6376803276398766</v>
      </c>
      <c r="AK8" s="11">
        <v>3.8452487590886486</v>
      </c>
      <c r="AL8" s="11">
        <v>2.9078711411666247</v>
      </c>
      <c r="AM8" s="11">
        <v>2.9696428376028678</v>
      </c>
      <c r="AN8" s="11">
        <v>1.7006761989279149</v>
      </c>
      <c r="AO8" s="11" t="e">
        <v>#DIV/0!</v>
      </c>
      <c r="AP8" s="11" t="e">
        <v>#DIV/0!</v>
      </c>
      <c r="AQ8" s="11" t="e">
        <v>#DIV/0!</v>
      </c>
      <c r="AR8"/>
      <c r="AT8" s="4">
        <f t="shared" si="3"/>
        <v>3.0000000000000001E-3</v>
      </c>
      <c r="AU8" s="10">
        <v>3.12677871329582</v>
      </c>
      <c r="AV8" s="11">
        <v>3.4147202463032271</v>
      </c>
      <c r="AW8" s="11">
        <v>2.2403213066413614</v>
      </c>
      <c r="AX8" s="11">
        <v>1.2750711555097245</v>
      </c>
      <c r="AY8" s="11" t="e">
        <v>#DIV/0!</v>
      </c>
      <c r="AZ8" s="11" t="e">
        <v>#DIV/0!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4">
        <v>67.37</v>
      </c>
      <c r="C9" s="34">
        <v>96.16</v>
      </c>
      <c r="D9" s="16">
        <v>-2.9682398555712098E-4</v>
      </c>
      <c r="E9" s="16">
        <v>-1.24714212797376E-3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67.37</v>
      </c>
      <c r="M9" s="34">
        <v>96.16</v>
      </c>
      <c r="N9" s="35">
        <v>1.4273415466824899</v>
      </c>
      <c r="O9" s="35">
        <v>1.43329336478799</v>
      </c>
      <c r="R9" s="34">
        <v>96.560973985767106</v>
      </c>
      <c r="U9" s="16">
        <v>4.1611927966511298E-3</v>
      </c>
      <c r="X9" s="35">
        <v>1.4273415466824899</v>
      </c>
      <c r="Y9" s="35">
        <v>1.43040773636679</v>
      </c>
      <c r="AB9" s="34">
        <v>96.366569199031105</v>
      </c>
      <c r="AE9" s="16">
        <v>2.1458781419922001E-3</v>
      </c>
      <c r="AF9"/>
      <c r="AI9" s="4">
        <f t="shared" si="2"/>
        <v>-3.5000000000000001E-3</v>
      </c>
      <c r="AJ9" s="10">
        <v>2.6376803276398766</v>
      </c>
      <c r="AK9" s="11">
        <v>3.8452487590886486</v>
      </c>
      <c r="AL9" s="11">
        <v>2.9078711411666247</v>
      </c>
      <c r="AM9" s="11">
        <v>2.9696428376028678</v>
      </c>
      <c r="AN9" s="11">
        <v>1.7006761989279149</v>
      </c>
      <c r="AO9" s="11" t="e">
        <v>#DIV/0!</v>
      </c>
      <c r="AP9" s="11" t="e">
        <v>#DIV/0!</v>
      </c>
      <c r="AQ9" s="11" t="e">
        <v>#DIV/0!</v>
      </c>
      <c r="AR9"/>
      <c r="AT9" s="4">
        <f t="shared" si="3"/>
        <v>3.5000000000000001E-3</v>
      </c>
      <c r="AU9" s="10">
        <v>3.12677871329582</v>
      </c>
      <c r="AV9" s="10">
        <v>3.4147202463032271</v>
      </c>
      <c r="AW9" s="10">
        <v>2.2403213066413614</v>
      </c>
      <c r="AX9" s="10">
        <v>1.2750711555097245</v>
      </c>
      <c r="AY9" s="10" t="e">
        <v>#DIV/0!</v>
      </c>
      <c r="AZ9" s="10" t="e">
        <v>#DIV/0!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4">
        <v>67.48</v>
      </c>
      <c r="C10" s="34">
        <v>96.36</v>
      </c>
      <c r="D10" s="16">
        <v>1.63144270519917E-3</v>
      </c>
      <c r="E10" s="16">
        <v>2.0777069597731602E-3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67.48</v>
      </c>
      <c r="M10" s="34">
        <v>96.36</v>
      </c>
      <c r="N10" s="35">
        <v>1.4279786603438001</v>
      </c>
      <c r="O10" s="35">
        <v>1.43329336478799</v>
      </c>
      <c r="R10" s="34">
        <v>96.718636255893799</v>
      </c>
      <c r="U10" s="16">
        <v>3.7149285420771802E-3</v>
      </c>
      <c r="X10" s="35">
        <v>1.4279786603438001</v>
      </c>
      <c r="Y10" s="35">
        <v>1.43040773636679</v>
      </c>
      <c r="AB10" s="34">
        <v>96.523914050031394</v>
      </c>
      <c r="AE10" s="16">
        <v>1.69961388741791E-3</v>
      </c>
      <c r="AF10"/>
      <c r="AI10" s="14" t="s">
        <v>34</v>
      </c>
      <c r="AJ10"/>
      <c r="AK10"/>
      <c r="AL10"/>
      <c r="AM10"/>
      <c r="AN10"/>
      <c r="AO10"/>
      <c r="AP10"/>
      <c r="AQ10"/>
      <c r="AR10"/>
      <c r="AT10" s="14" t="s">
        <v>34</v>
      </c>
      <c r="AU10"/>
      <c r="AV10"/>
      <c r="AW10"/>
      <c r="AX10"/>
      <c r="AY10"/>
      <c r="AZ10"/>
      <c r="BA10"/>
      <c r="BB10"/>
      <c r="BC10"/>
      <c r="BZ10" s="15"/>
      <c r="CL10" s="15"/>
    </row>
    <row r="11" spans="1:130" x14ac:dyDescent="0.25">
      <c r="A11" s="1">
        <v>46037</v>
      </c>
      <c r="B11" s="34">
        <v>67.5</v>
      </c>
      <c r="C11" s="34">
        <v>96.4</v>
      </c>
      <c r="D11" s="16">
        <v>2.9634020071658601E-4</v>
      </c>
      <c r="E11" s="16">
        <v>4.1502386982938998E-4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67.5</v>
      </c>
      <c r="M11" s="34">
        <v>96.4</v>
      </c>
      <c r="N11" s="35">
        <v>1.42814814814814</v>
      </c>
      <c r="O11" s="35">
        <v>1.43329336478799</v>
      </c>
      <c r="P11" s="35">
        <v>1.42793758172053</v>
      </c>
      <c r="R11" s="34">
        <v>96.747302123189499</v>
      </c>
      <c r="U11" s="16">
        <v>3.5962448729643399E-3</v>
      </c>
      <c r="X11" s="35">
        <v>1.42814814814814</v>
      </c>
      <c r="Y11" s="35">
        <v>1.43040773636679</v>
      </c>
      <c r="Z11" s="35">
        <v>1.42793758172053</v>
      </c>
      <c r="AB11" s="34">
        <v>96.552522204758702</v>
      </c>
      <c r="AE11" s="16">
        <v>1.5809302183051399E-3</v>
      </c>
      <c r="AL11" s="17" t="s">
        <v>35</v>
      </c>
      <c r="AM11" s="17" t="s">
        <v>36</v>
      </c>
      <c r="AW11" s="17" t="s">
        <v>35</v>
      </c>
      <c r="AX11" s="17" t="s">
        <v>36</v>
      </c>
    </row>
    <row r="12" spans="1:130" x14ac:dyDescent="0.25">
      <c r="A12" s="1">
        <v>46038</v>
      </c>
      <c r="B12" s="34">
        <v>67.41</v>
      </c>
      <c r="C12" s="34">
        <v>96.21</v>
      </c>
      <c r="D12" s="16">
        <v>-1.3342230131367201E-3</v>
      </c>
      <c r="E12" s="16">
        <v>-1.9728992433267899E-3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67.41</v>
      </c>
      <c r="M12" s="34">
        <v>96.21</v>
      </c>
      <c r="N12" s="35">
        <v>1.4272363150867799</v>
      </c>
      <c r="O12" s="35">
        <v>1.43329336478799</v>
      </c>
      <c r="P12" s="35">
        <v>1.42788878921141</v>
      </c>
      <c r="R12" s="34">
        <v>96.618305720358606</v>
      </c>
      <c r="S12" s="34">
        <v>96.257272383780901</v>
      </c>
      <c r="U12" s="16">
        <v>4.2349211031541996E-3</v>
      </c>
      <c r="V12" s="16">
        <v>4.9122517450385795E-4</v>
      </c>
      <c r="X12" s="35">
        <v>1.4272363150867799</v>
      </c>
      <c r="Y12" s="35">
        <v>1.43040773636679</v>
      </c>
      <c r="Z12" s="35">
        <v>1.42788878921141</v>
      </c>
      <c r="AB12" s="34">
        <v>96.423785508485693</v>
      </c>
      <c r="AC12" s="34">
        <v>96.257272383780901</v>
      </c>
      <c r="AE12" s="16">
        <v>2.21960644849519E-3</v>
      </c>
      <c r="AF12" s="16">
        <v>4.9122517450385795E-4</v>
      </c>
      <c r="AK12" s="18">
        <v>5.0000000000000001E-4</v>
      </c>
      <c r="AL12" s="19" t="s">
        <v>37</v>
      </c>
      <c r="AM12" s="20" t="s">
        <v>38</v>
      </c>
      <c r="AV12" s="18">
        <v>5.0000000000000001E-4</v>
      </c>
      <c r="AW12" s="19" t="s">
        <v>39</v>
      </c>
      <c r="AX12" s="20" t="s">
        <v>40</v>
      </c>
    </row>
    <row r="13" spans="1:130" x14ac:dyDescent="0.25">
      <c r="A13" s="1">
        <v>46042</v>
      </c>
      <c r="B13" s="34">
        <v>67.099999999999994</v>
      </c>
      <c r="C13" s="34">
        <v>95.73</v>
      </c>
      <c r="D13" s="16">
        <v>-4.60933088771142E-3</v>
      </c>
      <c r="E13" s="16">
        <v>-5.0015734149113297E-3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67.099999999999994</v>
      </c>
      <c r="M13" s="34">
        <v>95.73</v>
      </c>
      <c r="N13" s="35">
        <v>1.4266766020864301</v>
      </c>
      <c r="O13" s="35">
        <v>1.43329336478799</v>
      </c>
      <c r="P13" s="35">
        <v>1.42773103849158</v>
      </c>
      <c r="R13" s="34">
        <v>96.173984777274299</v>
      </c>
      <c r="S13" s="34">
        <v>95.811337756086004</v>
      </c>
      <c r="U13" s="16">
        <v>4.6271636303542403E-3</v>
      </c>
      <c r="V13" s="16">
        <v>8.4929720057384101E-4</v>
      </c>
      <c r="X13" s="35">
        <v>1.4266766020864301</v>
      </c>
      <c r="Y13" s="35">
        <v>1.43040773636679</v>
      </c>
      <c r="Z13" s="35">
        <v>1.42773103849158</v>
      </c>
      <c r="AB13" s="34">
        <v>95.980359110212007</v>
      </c>
      <c r="AC13" s="34">
        <v>95.811337756086004</v>
      </c>
      <c r="AE13" s="16">
        <v>2.6118489756952802E-3</v>
      </c>
      <c r="AF13" s="16">
        <v>8.4929720057384101E-4</v>
      </c>
    </row>
    <row r="14" spans="1:130" x14ac:dyDescent="0.25">
      <c r="A14" s="1">
        <v>46043</v>
      </c>
      <c r="B14" s="34">
        <v>67.55</v>
      </c>
      <c r="C14" s="34">
        <v>96.5</v>
      </c>
      <c r="D14" s="16">
        <v>6.6840204285717898E-3</v>
      </c>
      <c r="E14" s="16">
        <v>8.0112793866782897E-3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67.55</v>
      </c>
      <c r="M14" s="34">
        <v>96.5</v>
      </c>
      <c r="N14" s="35">
        <v>1.4285714285714199</v>
      </c>
      <c r="O14" s="35">
        <v>1.43329336478799</v>
      </c>
      <c r="P14" s="35">
        <v>1.4277839720705301</v>
      </c>
      <c r="R14" s="34">
        <v>96.818966791428906</v>
      </c>
      <c r="S14" s="34">
        <v>96.443231650106497</v>
      </c>
      <c r="U14" s="16">
        <v>3.2999046722476501E-3</v>
      </c>
      <c r="V14" s="16">
        <v>-5.8844615637519302E-4</v>
      </c>
      <c r="X14" s="35">
        <v>1.4285714285714199</v>
      </c>
      <c r="Y14" s="35">
        <v>1.43040773636679</v>
      </c>
      <c r="Z14" s="35">
        <v>1.4277839720705301</v>
      </c>
      <c r="AB14" s="34">
        <v>96.624042591577094</v>
      </c>
      <c r="AC14" s="34">
        <v>96.443231650106497</v>
      </c>
      <c r="AE14" s="16">
        <v>1.28459001758853E-3</v>
      </c>
      <c r="AF14" s="16">
        <v>-5.8844615637519302E-4</v>
      </c>
      <c r="AQ14" s="21">
        <f>AVERAGE(AQ22:AQ176)</f>
        <v>4.3061603942853796E-5</v>
      </c>
      <c r="AR14" s="22" t="s">
        <v>41</v>
      </c>
      <c r="BB14" s="21">
        <f>AVERAGE(BB22:BB176)</f>
        <v>5.7774250662350068E-5</v>
      </c>
      <c r="BC14" s="22" t="s">
        <v>41</v>
      </c>
      <c r="BD14" s="23"/>
      <c r="BE14" s="21">
        <f>AVERAGE(BE22:BE176)</f>
        <v>1.0083585460520384E-4</v>
      </c>
      <c r="BF14" s="22" t="s">
        <v>41</v>
      </c>
    </row>
    <row r="15" spans="1:130" x14ac:dyDescent="0.25">
      <c r="A15" s="1">
        <v>46044</v>
      </c>
      <c r="B15" s="34">
        <v>67.569999999999993</v>
      </c>
      <c r="C15" s="34">
        <v>96.48</v>
      </c>
      <c r="D15" s="16">
        <v>2.9603315787521601E-4</v>
      </c>
      <c r="E15" s="16">
        <v>-2.07275366064851E-4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67.569999999999993</v>
      </c>
      <c r="M15" s="34">
        <v>96.48</v>
      </c>
      <c r="N15" s="35">
        <v>1.4278525973064899</v>
      </c>
      <c r="O15" s="35">
        <v>1.43329336478799</v>
      </c>
      <c r="P15" s="35">
        <v>1.42783507713292</v>
      </c>
      <c r="R15" s="34">
        <v>96.847632658724706</v>
      </c>
      <c r="S15" s="34">
        <v>96.475362992805699</v>
      </c>
      <c r="U15" s="16">
        <v>3.80321319618786E-3</v>
      </c>
      <c r="V15" s="16">
        <v>-4.8063004036398301E-5</v>
      </c>
      <c r="X15" s="35">
        <v>1.4278525973064899</v>
      </c>
      <c r="Y15" s="35">
        <v>1.43040773636679</v>
      </c>
      <c r="Z15" s="35">
        <v>1.42783507713292</v>
      </c>
      <c r="AB15" s="34">
        <v>96.652650746304403</v>
      </c>
      <c r="AC15" s="34">
        <v>96.475362992805699</v>
      </c>
      <c r="AE15" s="16">
        <v>1.7878985415289599E-3</v>
      </c>
      <c r="AF15" s="16">
        <v>-4.8063004036398301E-5</v>
      </c>
      <c r="AQ15" s="21">
        <f>STDEV(AQ22:AQ176)</f>
        <v>2.42726756721606E-4</v>
      </c>
      <c r="AR15" s="22" t="s">
        <v>42</v>
      </c>
      <c r="BB15" s="21">
        <f>STDEV(BB22:BB176)</f>
        <v>3.724882659710679E-4</v>
      </c>
      <c r="BC15" s="22" t="s">
        <v>42</v>
      </c>
      <c r="BD15" s="23"/>
      <c r="BE15" s="21">
        <f>STDEV(BE22:BE176)</f>
        <v>4.3892570345054033E-4</v>
      </c>
      <c r="BF15" s="22" t="s">
        <v>42</v>
      </c>
    </row>
    <row r="16" spans="1:130" x14ac:dyDescent="0.25">
      <c r="A16" s="1">
        <v>46045</v>
      </c>
      <c r="B16" s="34">
        <v>67.72</v>
      </c>
      <c r="C16" s="34">
        <v>96.72</v>
      </c>
      <c r="D16" s="16">
        <v>2.2174597008515098E-3</v>
      </c>
      <c r="E16" s="16">
        <v>2.4844733276619601E-3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67.72</v>
      </c>
      <c r="M16" s="34">
        <v>96.72</v>
      </c>
      <c r="N16" s="35">
        <v>1.4282339043118699</v>
      </c>
      <c r="O16" s="35">
        <v>1.43329336478799</v>
      </c>
      <c r="P16" s="35">
        <v>1.4279775342902199</v>
      </c>
      <c r="R16" s="34">
        <v>97.062626663442899</v>
      </c>
      <c r="S16" s="34">
        <v>96.692991423441995</v>
      </c>
      <c r="U16" s="16">
        <v>3.5361995693775298E-3</v>
      </c>
      <c r="V16" s="16">
        <v>-2.7928399777874398E-4</v>
      </c>
      <c r="X16" s="35">
        <v>1.4282339043118699</v>
      </c>
      <c r="Y16" s="35">
        <v>1.43040773636679</v>
      </c>
      <c r="Z16" s="35">
        <v>1.4279775342902199</v>
      </c>
      <c r="AB16" s="34">
        <v>96.867211906759394</v>
      </c>
      <c r="AC16" s="34">
        <v>96.692991423441995</v>
      </c>
      <c r="AE16" s="16">
        <v>1.52088491471836E-3</v>
      </c>
      <c r="AF16" s="16">
        <v>-2.7928399777874398E-4</v>
      </c>
      <c r="AQ16" s="24">
        <f>SQRT(252)*AQ14/AQ15</f>
        <v>2.8162604723224951</v>
      </c>
      <c r="AR16" s="22" t="s">
        <v>43</v>
      </c>
      <c r="BB16" s="24">
        <f>SQRT(252)*BB14/BB15</f>
        <v>2.4621924511451816</v>
      </c>
      <c r="BC16" s="22" t="s">
        <v>43</v>
      </c>
      <c r="BD16" s="23"/>
      <c r="BE16" s="24">
        <f>SQRT(252)*BE14/BE15</f>
        <v>3.6469032334183953</v>
      </c>
      <c r="BF16" s="22" t="s">
        <v>43</v>
      </c>
    </row>
    <row r="17" spans="1:124" x14ac:dyDescent="0.25">
      <c r="A17" s="1">
        <v>46048</v>
      </c>
      <c r="B17" s="34">
        <v>67.77</v>
      </c>
      <c r="C17" s="34">
        <v>96.82</v>
      </c>
      <c r="D17" s="16">
        <v>7.3806188308707897E-4</v>
      </c>
      <c r="E17" s="16">
        <v>1.03337820501104E-3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67.77</v>
      </c>
      <c r="M17" s="34">
        <v>96.82</v>
      </c>
      <c r="N17" s="35">
        <v>1.4286557473808399</v>
      </c>
      <c r="O17" s="35">
        <v>1.43329336478799</v>
      </c>
      <c r="P17" s="35">
        <v>1.4279393569891601</v>
      </c>
      <c r="R17" s="34">
        <v>97.134291331682306</v>
      </c>
      <c r="S17" s="34">
        <v>96.774037498848699</v>
      </c>
      <c r="U17" s="16">
        <v>3.2408832474534501E-3</v>
      </c>
      <c r="V17" s="16">
        <v>-4.7483385964414198E-4</v>
      </c>
      <c r="X17" s="35">
        <v>1.4286557473808399</v>
      </c>
      <c r="Y17" s="35">
        <v>1.43040773636679</v>
      </c>
      <c r="Z17" s="35">
        <v>1.4279393569891601</v>
      </c>
      <c r="AB17" s="34">
        <v>96.9387322935778</v>
      </c>
      <c r="AC17" s="34">
        <v>96.774037498848699</v>
      </c>
      <c r="AE17" s="16">
        <v>1.22556859279439E-3</v>
      </c>
      <c r="AF17" s="16">
        <v>-4.7483385964414198E-4</v>
      </c>
    </row>
    <row r="18" spans="1:124" x14ac:dyDescent="0.25">
      <c r="A18" s="1">
        <v>46049</v>
      </c>
      <c r="B18" s="34">
        <v>67.739999999999995</v>
      </c>
      <c r="C18" s="34">
        <v>96.78</v>
      </c>
      <c r="D18" s="16">
        <v>-4.4277175839590403E-4</v>
      </c>
      <c r="E18" s="16">
        <v>-4.1322314637571401E-4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67.739999999999995</v>
      </c>
      <c r="M18" s="34">
        <v>96.78</v>
      </c>
      <c r="N18" s="35">
        <v>1.42869796279893</v>
      </c>
      <c r="O18" s="35">
        <v>1.43329336478799</v>
      </c>
      <c r="P18" s="35">
        <v>1.4279392912717199</v>
      </c>
      <c r="R18" s="34">
        <v>97.091292530738599</v>
      </c>
      <c r="S18" s="34">
        <v>96.728612042445704</v>
      </c>
      <c r="U18" s="16">
        <v>3.21133463543307E-3</v>
      </c>
      <c r="V18" s="16">
        <v>-5.3111805433210004E-4</v>
      </c>
      <c r="X18" s="35">
        <v>1.42869796279893</v>
      </c>
      <c r="Y18" s="35">
        <v>1.43040773636679</v>
      </c>
      <c r="Z18" s="35">
        <v>1.4279392912717199</v>
      </c>
      <c r="AB18" s="34">
        <v>96.895820061486802</v>
      </c>
      <c r="AC18" s="34">
        <v>96.728612042445704</v>
      </c>
      <c r="AE18" s="16">
        <v>1.1960199807741899E-3</v>
      </c>
      <c r="AF18" s="16">
        <v>-5.3111805433210004E-4</v>
      </c>
      <c r="BE18" s="25">
        <f>SUM(BE22:BE176)</f>
        <v>1.5629557463806596E-2</v>
      </c>
      <c r="BF18" s="21">
        <f>BF176</f>
        <v>1.5629557463806596E-2</v>
      </c>
    </row>
    <row r="19" spans="1:124" x14ac:dyDescent="0.25">
      <c r="A19" s="1">
        <v>46050</v>
      </c>
      <c r="B19" s="34">
        <v>67.67</v>
      </c>
      <c r="C19" s="34">
        <v>96.66</v>
      </c>
      <c r="D19" s="16">
        <v>-1.03389714549136E-3</v>
      </c>
      <c r="E19" s="16">
        <v>-1.24069494823448E-3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67.67</v>
      </c>
      <c r="M19" s="34">
        <v>96.66</v>
      </c>
      <c r="N19" s="35">
        <v>1.4284025417467101</v>
      </c>
      <c r="O19" s="35">
        <v>1.43329336478799</v>
      </c>
      <c r="P19" s="35">
        <v>1.4280453907781401</v>
      </c>
      <c r="R19" s="34">
        <v>96.990961995203506</v>
      </c>
      <c r="S19" s="34">
        <v>96.628651840357605</v>
      </c>
      <c r="U19" s="16">
        <v>3.4181324381761598E-3</v>
      </c>
      <c r="V19" s="16">
        <v>-3.2436627415734101E-4</v>
      </c>
      <c r="X19" s="35">
        <v>1.4284025417467101</v>
      </c>
      <c r="Y19" s="35">
        <v>1.43040773636679</v>
      </c>
      <c r="Z19" s="35">
        <v>1.4280453907781401</v>
      </c>
      <c r="AB19" s="34">
        <v>96.795691519941101</v>
      </c>
      <c r="AC19" s="34">
        <v>96.628651840357605</v>
      </c>
      <c r="AE19" s="16">
        <v>1.4028177835173001E-3</v>
      </c>
      <c r="AF19" s="16">
        <v>-3.2436627415734101E-4</v>
      </c>
      <c r="AI19" s="12"/>
      <c r="AJ19"/>
      <c r="AK19"/>
      <c r="AL19"/>
      <c r="AM19"/>
      <c r="AN19"/>
      <c r="AO19"/>
      <c r="AP19"/>
      <c r="AQ19" s="25">
        <f>SUM(AQ22:AQ176)</f>
        <v>6.6745486111423388E-3</v>
      </c>
      <c r="AR19" s="25">
        <f>AR176</f>
        <v>6.6745486111423388E-3</v>
      </c>
      <c r="AU19"/>
      <c r="AV19"/>
      <c r="AW19"/>
      <c r="AX19"/>
      <c r="AY19"/>
      <c r="AZ19"/>
      <c r="BA19"/>
      <c r="BB19" s="25">
        <f>SUM(BB22:BB176)</f>
        <v>8.9550088526642608E-3</v>
      </c>
      <c r="BC19" s="25">
        <f>BC176</f>
        <v>8.9550088526642608E-3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4">
        <v>67.73</v>
      </c>
      <c r="C20" s="34">
        <v>96.67</v>
      </c>
      <c r="D20" s="16">
        <v>8.8626298267827997E-4</v>
      </c>
      <c r="E20" s="16">
        <v>1.03450059576052E-4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67.73</v>
      </c>
      <c r="M20" s="34">
        <v>96.67</v>
      </c>
      <c r="N20" s="35">
        <v>1.4272848073231901</v>
      </c>
      <c r="O20" s="35">
        <v>1.43329336478799</v>
      </c>
      <c r="P20" s="35">
        <v>1.4279760054760799</v>
      </c>
      <c r="R20" s="34">
        <v>97.076959597090806</v>
      </c>
      <c r="S20" s="34">
        <v>96.721514317403901</v>
      </c>
      <c r="U20" s="16">
        <v>4.2009453612783104E-3</v>
      </c>
      <c r="V20" s="16">
        <v>5.3274642172497098E-4</v>
      </c>
      <c r="X20" s="35">
        <v>1.4272848073231901</v>
      </c>
      <c r="Y20" s="35">
        <v>1.43040773636679</v>
      </c>
      <c r="Z20" s="35">
        <v>1.4279760054760799</v>
      </c>
      <c r="AB20" s="34">
        <v>96.881515984123098</v>
      </c>
      <c r="AC20" s="34">
        <v>96.721514317403901</v>
      </c>
      <c r="AE20" s="16">
        <v>2.1856307066193299E-3</v>
      </c>
      <c r="AF20" s="16">
        <v>5.3274642172497098E-4</v>
      </c>
      <c r="AI20" s="26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VWOB log rtn</v>
      </c>
      <c r="AP20" s="7" t="str">
        <f>E1</f>
        <v>EMB log rtn</v>
      </c>
      <c r="AQ20" s="7" t="s">
        <v>51</v>
      </c>
      <c r="AR20" s="7" t="s">
        <v>52</v>
      </c>
      <c r="AT20" s="26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5" t="str">
        <f>D1</f>
        <v>VWOB log rtn</v>
      </c>
      <c r="BA20" s="25" t="str">
        <f>E1</f>
        <v>EMB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4">
        <v>67.66</v>
      </c>
      <c r="C21" s="34">
        <v>96.58</v>
      </c>
      <c r="D21" s="16">
        <v>-1.03404987425002E-3</v>
      </c>
      <c r="E21" s="16">
        <v>-9.3143603111830195E-4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67.66</v>
      </c>
      <c r="M21" s="34">
        <v>96.58</v>
      </c>
      <c r="N21" s="35">
        <v>1.42743127401714</v>
      </c>
      <c r="O21" s="35">
        <v>1.43329336478799</v>
      </c>
      <c r="P21" s="35">
        <v>1.42790431806298</v>
      </c>
      <c r="Q21" s="35">
        <v>1.42792094989175</v>
      </c>
      <c r="R21" s="34">
        <v>96.976629061555599</v>
      </c>
      <c r="S21" s="34">
        <v>96.616856530511896</v>
      </c>
      <c r="U21" s="16">
        <v>4.0983315181465996E-3</v>
      </c>
      <c r="V21" s="16">
        <v>3.8154379549399297E-4</v>
      </c>
      <c r="X21" s="35">
        <v>1.42743127401714</v>
      </c>
      <c r="Y21" s="35">
        <v>1.43040773636679</v>
      </c>
      <c r="Z21" s="35">
        <v>1.42790431806298</v>
      </c>
      <c r="AA21" s="35">
        <v>1.42792094989175</v>
      </c>
      <c r="AB21" s="34">
        <v>96.781387442577397</v>
      </c>
      <c r="AC21" s="34">
        <v>96.616856530511896</v>
      </c>
      <c r="AE21" s="16">
        <v>2.0830168634876898E-3</v>
      </c>
      <c r="AF21" s="16">
        <v>3.8154379549399297E-4</v>
      </c>
      <c r="AI21" s="27">
        <v>-1.5E-3</v>
      </c>
      <c r="AJ21"/>
      <c r="AK21"/>
      <c r="AL21"/>
      <c r="AM21">
        <f t="shared" ref="AM21:AM84" si="4">IF(F22+H22&gt;0,0,1)</f>
        <v>0</v>
      </c>
      <c r="AN21" s="28">
        <v>0</v>
      </c>
      <c r="AO21"/>
      <c r="AP21"/>
      <c r="AQ21"/>
      <c r="AR21"/>
      <c r="AT21" s="27">
        <v>1E-3</v>
      </c>
      <c r="AU21"/>
      <c r="AV21"/>
      <c r="AW21"/>
      <c r="AX21">
        <f t="shared" ref="AX21:AX84" si="5">IF(F22+H22&gt;0,0,1)</f>
        <v>0</v>
      </c>
      <c r="AY21" s="28">
        <v>0</v>
      </c>
      <c r="AZ21"/>
      <c r="BA21"/>
      <c r="BB21"/>
      <c r="BC21"/>
    </row>
    <row r="22" spans="1:124" x14ac:dyDescent="0.25">
      <c r="A22" s="1">
        <v>46055</v>
      </c>
      <c r="B22" s="34">
        <v>67.290000000000006</v>
      </c>
      <c r="C22" s="34">
        <v>96.14</v>
      </c>
      <c r="D22" s="16">
        <v>-5.48352615233567E-3</v>
      </c>
      <c r="E22" s="16">
        <v>-4.5662179795811896E-3</v>
      </c>
      <c r="F22" s="34">
        <v>0.33960000000000001</v>
      </c>
      <c r="G22" s="34">
        <v>0.33960000000000001</v>
      </c>
      <c r="H22" s="34">
        <v>0.41458</v>
      </c>
      <c r="I22" s="34">
        <v>0.41458</v>
      </c>
      <c r="J22" s="34">
        <v>0.33960000000000001</v>
      </c>
      <c r="K22" s="34">
        <v>0.41458</v>
      </c>
      <c r="L22" s="34">
        <v>67.629599999999996</v>
      </c>
      <c r="M22" s="34">
        <v>96.554580000000001</v>
      </c>
      <c r="N22" s="35">
        <v>1.4287412691335999</v>
      </c>
      <c r="O22" s="35">
        <v>1.43329336478799</v>
      </c>
      <c r="P22" s="35">
        <v>1.4280548134676601</v>
      </c>
      <c r="Q22" s="35">
        <v>1.4279718013395399</v>
      </c>
      <c r="R22" s="34">
        <v>96.446310516584106</v>
      </c>
      <c r="S22" s="34">
        <v>96.083681562458295</v>
      </c>
      <c r="T22" s="34">
        <v>96.0848007182163</v>
      </c>
      <c r="U22" s="16">
        <v>3.1810233453920499E-3</v>
      </c>
      <c r="V22" s="16">
        <v>-5.8596775064720505E-4</v>
      </c>
      <c r="W22" s="16">
        <v>-5.74320099119722E-4</v>
      </c>
      <c r="X22" s="35">
        <v>1.42769704389793</v>
      </c>
      <c r="Y22" s="35">
        <v>1.43040773636679</v>
      </c>
      <c r="Z22" s="35">
        <v>1.4279503909441</v>
      </c>
      <c r="AA22" s="35">
        <v>1.4279195900777499</v>
      </c>
      <c r="AB22" s="34">
        <v>96.737903047391896</v>
      </c>
      <c r="AC22" s="34">
        <v>96.568597868872502</v>
      </c>
      <c r="AD22" s="34">
        <v>96.5697226727996</v>
      </c>
      <c r="AE22" s="16">
        <v>1.8968466798965299E-3</v>
      </c>
      <c r="AF22" s="16">
        <v>1.45170238516172E-4</v>
      </c>
      <c r="AG22" s="16">
        <v>1.5681789004386E-4</v>
      </c>
      <c r="AI22" s="27">
        <v>-5.0000000000000001E-4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9">
        <f t="shared" ref="AO22:AO85" si="8">AN22*D22</f>
        <v>0</v>
      </c>
      <c r="AP22" s="29">
        <f t="shared" ref="AP22:AP85" si="9">-AN22*$E22</f>
        <v>0</v>
      </c>
      <c r="AQ22" s="29">
        <f>AO22+AP22</f>
        <v>0</v>
      </c>
      <c r="AR22" s="30">
        <f>AR21+AQ22</f>
        <v>0</v>
      </c>
      <c r="AT22" s="27">
        <v>0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9">
        <f t="shared" ref="AZ22:AZ85" si="12">-AY22*D22</f>
        <v>0</v>
      </c>
      <c r="BA22" s="29">
        <f t="shared" ref="BA22:BA85" si="13">AY22*$E22</f>
        <v>0</v>
      </c>
      <c r="BB22" s="29">
        <f>AZ22+BA22</f>
        <v>0</v>
      </c>
      <c r="BC22" s="30">
        <f>BC21+BB22</f>
        <v>0</v>
      </c>
      <c r="BE22" s="30">
        <f>AQ22+BB22</f>
        <v>0</v>
      </c>
      <c r="BF22" s="30">
        <f>BF21+BE22</f>
        <v>0</v>
      </c>
      <c r="BH22" s="30"/>
    </row>
    <row r="23" spans="1:124" x14ac:dyDescent="0.25">
      <c r="A23" s="1">
        <v>46056</v>
      </c>
      <c r="B23" s="34">
        <v>67.28</v>
      </c>
      <c r="C23" s="34">
        <v>96.16</v>
      </c>
      <c r="D23" s="16">
        <v>-1.4862153553414501E-4</v>
      </c>
      <c r="E23" s="16">
        <v>2.0800832108274099E-4</v>
      </c>
      <c r="F23" s="34">
        <v>0</v>
      </c>
      <c r="G23" s="34">
        <v>0.33960000000000001</v>
      </c>
      <c r="H23" s="34">
        <v>0</v>
      </c>
      <c r="I23" s="34">
        <v>0.41458</v>
      </c>
      <c r="J23" s="34">
        <v>0.33960000000000001</v>
      </c>
      <c r="K23" s="34">
        <v>0.41458</v>
      </c>
      <c r="L23" s="34">
        <v>67.619600000000005</v>
      </c>
      <c r="M23" s="34">
        <v>96.574579999999997</v>
      </c>
      <c r="N23" s="35">
        <v>1.42925089179548</v>
      </c>
      <c r="O23" s="35">
        <v>1.43329336478799</v>
      </c>
      <c r="P23" s="35">
        <v>1.4283122424385699</v>
      </c>
      <c r="Q23" s="35">
        <v>1.4280216404650701</v>
      </c>
      <c r="R23" s="34">
        <v>96.431977582936199</v>
      </c>
      <c r="S23" s="34">
        <v>96.079527850104597</v>
      </c>
      <c r="T23" s="34">
        <v>96.073942794124306</v>
      </c>
      <c r="U23" s="16">
        <v>2.8243934887753298E-3</v>
      </c>
      <c r="V23" s="16">
        <v>-8.3720716020922997E-4</v>
      </c>
      <c r="W23" s="16">
        <v>-8.9533836089095403E-4</v>
      </c>
      <c r="X23" s="35">
        <v>1.4282039527001</v>
      </c>
      <c r="Y23" s="35">
        <v>1.43040773636679</v>
      </c>
      <c r="Z23" s="35">
        <v>1.42810312600546</v>
      </c>
      <c r="AA23" s="35">
        <v>1.4279170822485201</v>
      </c>
      <c r="AB23" s="34">
        <v>96.723598970028206</v>
      </c>
      <c r="AC23" s="34">
        <v>96.557434255483699</v>
      </c>
      <c r="AD23" s="34">
        <v>96.555351513222007</v>
      </c>
      <c r="AE23" s="16">
        <v>1.54185621762668E-3</v>
      </c>
      <c r="AF23" s="16">
        <v>-1.7755465998100999E-4</v>
      </c>
      <c r="AG23" s="16">
        <v>-1.9912487609585901E-4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9">
        <f t="shared" si="8"/>
        <v>0</v>
      </c>
      <c r="AP23" s="29">
        <f t="shared" si="9"/>
        <v>0</v>
      </c>
      <c r="AQ23" s="29">
        <f t="shared" ref="AQ23:AQ86" si="16">AO23+AP23</f>
        <v>0</v>
      </c>
      <c r="AR23" s="30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9">
        <f t="shared" si="12"/>
        <v>0</v>
      </c>
      <c r="BA23" s="29">
        <f t="shared" si="13"/>
        <v>0</v>
      </c>
      <c r="BB23" s="29">
        <f t="shared" ref="BB23:BB86" si="20">AZ23+BA23</f>
        <v>0</v>
      </c>
      <c r="BC23" s="30">
        <f t="shared" ref="BC23:BC86" si="21">BC22+BB23</f>
        <v>0</v>
      </c>
      <c r="BE23" s="30">
        <f t="shared" ref="BE23:BE86" si="22">AQ23+BB23</f>
        <v>0</v>
      </c>
      <c r="BF23" s="30">
        <f t="shared" ref="BF23:BF86" si="23">BF22+BE23</f>
        <v>0</v>
      </c>
      <c r="BH23" s="30"/>
    </row>
    <row r="24" spans="1:124" x14ac:dyDescent="0.25">
      <c r="A24" s="1">
        <v>46057</v>
      </c>
      <c r="B24" s="34">
        <v>67.23</v>
      </c>
      <c r="C24" s="34">
        <v>96.2</v>
      </c>
      <c r="D24" s="16">
        <v>-7.4343918374726299E-4</v>
      </c>
      <c r="E24" s="16">
        <v>4.1588688476335603E-4</v>
      </c>
      <c r="F24" s="34">
        <v>0</v>
      </c>
      <c r="G24" s="34">
        <v>0.33960000000000001</v>
      </c>
      <c r="H24" s="34">
        <v>0</v>
      </c>
      <c r="I24" s="34">
        <v>0.41458</v>
      </c>
      <c r="J24" s="34">
        <v>0.33960000000000001</v>
      </c>
      <c r="K24" s="34">
        <v>0.41458</v>
      </c>
      <c r="L24" s="34">
        <v>67.569599999999994</v>
      </c>
      <c r="M24" s="34">
        <v>96.614580000000004</v>
      </c>
      <c r="N24" s="35">
        <v>1.4309088204670499</v>
      </c>
      <c r="O24" s="35">
        <v>1.43329336478799</v>
      </c>
      <c r="P24" s="35">
        <v>1.4285459816281301</v>
      </c>
      <c r="Q24" s="35">
        <v>1.4281649768493301</v>
      </c>
      <c r="R24" s="34">
        <v>96.360312914696806</v>
      </c>
      <c r="S24" s="34">
        <v>96.025432059145103</v>
      </c>
      <c r="T24" s="34">
        <v>96.005894888467196</v>
      </c>
      <c r="U24" s="16">
        <v>1.6650674202645E-3</v>
      </c>
      <c r="V24" s="16">
        <v>-1.81628400544968E-3</v>
      </c>
      <c r="W24" s="16">
        <v>-2.01976300083963E-3</v>
      </c>
      <c r="X24" s="35">
        <v>1.42985277402855</v>
      </c>
      <c r="Y24" s="35">
        <v>1.43040773636679</v>
      </c>
      <c r="Z24" s="35">
        <v>1.42823126055118</v>
      </c>
      <c r="AA24" s="35">
        <v>1.4280076163108499</v>
      </c>
      <c r="AB24" s="34">
        <v>96.652078583209899</v>
      </c>
      <c r="AC24" s="34">
        <v>96.496356982939005</v>
      </c>
      <c r="AD24" s="34">
        <v>96.4837860807</v>
      </c>
      <c r="AE24" s="16">
        <v>3.8805020954336798E-4</v>
      </c>
      <c r="AF24" s="16">
        <v>-1.22440534624995E-3</v>
      </c>
      <c r="AG24" s="16">
        <v>-1.35468716755272E-3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9">
        <f t="shared" si="8"/>
        <v>0</v>
      </c>
      <c r="AP24" s="29">
        <f t="shared" si="9"/>
        <v>0</v>
      </c>
      <c r="AQ24" s="29">
        <f t="shared" si="16"/>
        <v>0</v>
      </c>
      <c r="AR24" s="30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9">
        <f t="shared" si="12"/>
        <v>0</v>
      </c>
      <c r="BA24" s="29">
        <f t="shared" si="13"/>
        <v>0</v>
      </c>
      <c r="BB24" s="29">
        <f t="shared" si="20"/>
        <v>0</v>
      </c>
      <c r="BC24" s="30">
        <f t="shared" si="21"/>
        <v>0</v>
      </c>
      <c r="BE24" s="30">
        <f t="shared" si="22"/>
        <v>0</v>
      </c>
      <c r="BF24" s="30">
        <f t="shared" si="23"/>
        <v>0</v>
      </c>
      <c r="BH24" s="30"/>
    </row>
    <row r="25" spans="1:124" x14ac:dyDescent="0.25">
      <c r="A25" s="1">
        <v>46058</v>
      </c>
      <c r="B25" s="34">
        <v>67.48</v>
      </c>
      <c r="C25" s="34">
        <v>96.44</v>
      </c>
      <c r="D25" s="16">
        <v>3.7116811968221498E-3</v>
      </c>
      <c r="E25" s="16">
        <v>2.4916956413093801E-3</v>
      </c>
      <c r="F25" s="34">
        <v>0</v>
      </c>
      <c r="G25" s="34">
        <v>0.33960000000000001</v>
      </c>
      <c r="H25" s="34">
        <v>0</v>
      </c>
      <c r="I25" s="34">
        <v>0.41458</v>
      </c>
      <c r="J25" s="34">
        <v>0.33960000000000001</v>
      </c>
      <c r="K25" s="34">
        <v>0.41458</v>
      </c>
      <c r="L25" s="34">
        <v>67.819599999999994</v>
      </c>
      <c r="M25" s="34">
        <v>96.854579999999999</v>
      </c>
      <c r="N25" s="35">
        <v>1.42916419679905</v>
      </c>
      <c r="O25" s="35">
        <v>1.43329336478799</v>
      </c>
      <c r="P25" s="35">
        <v>1.42867714157738</v>
      </c>
      <c r="Q25" s="35">
        <v>1.42825610935515</v>
      </c>
      <c r="R25" s="34">
        <v>96.718636255893799</v>
      </c>
      <c r="S25" s="34">
        <v>96.398282840266504</v>
      </c>
      <c r="T25" s="34">
        <v>96.372572637792899</v>
      </c>
      <c r="U25" s="16">
        <v>2.8850529757773699E-3</v>
      </c>
      <c r="V25" s="16">
        <v>-4.3266471542715299E-4</v>
      </c>
      <c r="W25" s="16">
        <v>-6.9940838435227201E-4</v>
      </c>
      <c r="X25" s="35">
        <v>1.42812077924375</v>
      </c>
      <c r="Y25" s="35">
        <v>1.43040773636679</v>
      </c>
      <c r="Z25" s="35">
        <v>1.4282580787449</v>
      </c>
      <c r="AA25" s="35">
        <v>1.42804657793891</v>
      </c>
      <c r="AB25" s="34">
        <v>97.009680517301604</v>
      </c>
      <c r="AC25" s="34">
        <v>96.862072798076795</v>
      </c>
      <c r="AD25" s="34">
        <v>96.846905335155697</v>
      </c>
      <c r="AE25" s="16">
        <v>1.60009431320421E-3</v>
      </c>
      <c r="AF25" s="16">
        <v>7.7358326941487406E-5</v>
      </c>
      <c r="AG25" s="16">
        <v>-7.9242188928357006E-5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9">
        <f t="shared" si="8"/>
        <v>0</v>
      </c>
      <c r="AP25" s="29">
        <f t="shared" si="9"/>
        <v>0</v>
      </c>
      <c r="AQ25" s="29">
        <f t="shared" si="16"/>
        <v>0</v>
      </c>
      <c r="AR25" s="30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9">
        <f t="shared" si="12"/>
        <v>0</v>
      </c>
      <c r="BA25" s="29">
        <f t="shared" si="13"/>
        <v>0</v>
      </c>
      <c r="BB25" s="29">
        <f t="shared" si="20"/>
        <v>0</v>
      </c>
      <c r="BC25" s="30">
        <f t="shared" si="21"/>
        <v>0</v>
      </c>
      <c r="BE25" s="30">
        <f t="shared" si="22"/>
        <v>0</v>
      </c>
      <c r="BF25" s="30">
        <f t="shared" si="23"/>
        <v>0</v>
      </c>
      <c r="BH25" s="30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4">
        <v>67.58</v>
      </c>
      <c r="C26" s="34">
        <v>96.69</v>
      </c>
      <c r="D26" s="16">
        <v>1.48082360837633E-3</v>
      </c>
      <c r="E26" s="16">
        <v>2.5889311824858902E-3</v>
      </c>
      <c r="F26" s="34">
        <v>0</v>
      </c>
      <c r="G26" s="34">
        <v>0.33960000000000001</v>
      </c>
      <c r="H26" s="34">
        <v>0</v>
      </c>
      <c r="I26" s="34">
        <v>0.41458</v>
      </c>
      <c r="J26" s="34">
        <v>0.33960000000000001</v>
      </c>
      <c r="K26" s="34">
        <v>0.41458</v>
      </c>
      <c r="L26" s="34">
        <v>67.919600000000003</v>
      </c>
      <c r="M26" s="34">
        <v>97.104579999999999</v>
      </c>
      <c r="N26" s="35">
        <v>1.43074874223142</v>
      </c>
      <c r="O26" s="35">
        <v>1.43329336478799</v>
      </c>
      <c r="P26" s="35">
        <v>1.4289286253693401</v>
      </c>
      <c r="Q26" s="35">
        <v>1.4284530798297801</v>
      </c>
      <c r="R26" s="34">
        <v>96.861965592372599</v>
      </c>
      <c r="S26" s="34">
        <v>96.550001227799896</v>
      </c>
      <c r="T26" s="34">
        <v>96.521547870221596</v>
      </c>
      <c r="U26" s="16">
        <v>1.7769454016676499E-3</v>
      </c>
      <c r="V26" s="16">
        <v>-1.4489629042058799E-3</v>
      </c>
      <c r="W26" s="16">
        <v>-1.74370708497426E-3</v>
      </c>
      <c r="X26" s="35">
        <v>1.4296989381562899</v>
      </c>
      <c r="Y26" s="35">
        <v>1.43040773636679</v>
      </c>
      <c r="Z26" s="35">
        <v>1.4284045821293401</v>
      </c>
      <c r="AA26" s="35">
        <v>1.4281910582097801</v>
      </c>
      <c r="AB26" s="34">
        <v>97.152721290938302</v>
      </c>
      <c r="AC26" s="34">
        <v>97.006717405122501</v>
      </c>
      <c r="AD26" s="34">
        <v>96.992352354980099</v>
      </c>
      <c r="AE26" s="16">
        <v>4.9564460747608999E-4</v>
      </c>
      <c r="AF26" s="16">
        <v>-1.00831434828429E-3</v>
      </c>
      <c r="AG26" s="16">
        <v>-1.15640835911042E-3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9">
        <f t="shared" si="8"/>
        <v>0</v>
      </c>
      <c r="AP26" s="29">
        <f t="shared" si="9"/>
        <v>0</v>
      </c>
      <c r="AQ26" s="29">
        <f t="shared" si="16"/>
        <v>0</v>
      </c>
      <c r="AR26" s="30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9">
        <f t="shared" si="12"/>
        <v>0</v>
      </c>
      <c r="BA26" s="29">
        <f t="shared" si="13"/>
        <v>0</v>
      </c>
      <c r="BB26" s="29">
        <f t="shared" si="20"/>
        <v>0</v>
      </c>
      <c r="BC26" s="30">
        <f t="shared" si="21"/>
        <v>0</v>
      </c>
      <c r="BE26" s="30">
        <f t="shared" si="22"/>
        <v>0</v>
      </c>
      <c r="BF26" s="30">
        <f t="shared" si="23"/>
        <v>0</v>
      </c>
      <c r="BH26" s="30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4">
        <v>67.62</v>
      </c>
      <c r="C27" s="34">
        <v>96.72</v>
      </c>
      <c r="D27" s="16">
        <v>5.9171599359603502E-4</v>
      </c>
      <c r="E27" s="16">
        <v>3.1022181108114502E-4</v>
      </c>
      <c r="F27" s="34">
        <v>0</v>
      </c>
      <c r="G27" s="34">
        <v>0.33960000000000001</v>
      </c>
      <c r="H27" s="34">
        <v>0</v>
      </c>
      <c r="I27" s="34">
        <v>0.41458</v>
      </c>
      <c r="J27" s="34">
        <v>0.33960000000000001</v>
      </c>
      <c r="K27" s="34">
        <v>0.41458</v>
      </c>
      <c r="L27" s="34">
        <v>67.959599999999995</v>
      </c>
      <c r="M27" s="34">
        <v>97.13458</v>
      </c>
      <c r="N27" s="35">
        <v>1.43034605146406</v>
      </c>
      <c r="O27" s="35">
        <v>1.43329336478799</v>
      </c>
      <c r="P27" s="35">
        <v>1.42909765577766</v>
      </c>
      <c r="Q27" s="35">
        <v>1.42851850638341</v>
      </c>
      <c r="R27" s="34">
        <v>96.919297326964099</v>
      </c>
      <c r="S27" s="34">
        <v>96.624153647475097</v>
      </c>
      <c r="T27" s="34">
        <v>96.591997258090103</v>
      </c>
      <c r="U27" s="16">
        <v>2.0584395841827001E-3</v>
      </c>
      <c r="V27" s="16">
        <v>-9.9145858375384406E-4</v>
      </c>
      <c r="W27" s="16">
        <v>-1.32431263897778E-3</v>
      </c>
      <c r="X27" s="35">
        <v>1.4292988775684301</v>
      </c>
      <c r="Y27" s="35">
        <v>1.43040773636679</v>
      </c>
      <c r="Z27" s="35">
        <v>1.4284688951480999</v>
      </c>
      <c r="AA27" s="35">
        <v>1.42820412606863</v>
      </c>
      <c r="AB27" s="34">
        <v>97.209937600392905</v>
      </c>
      <c r="AC27" s="34">
        <v>97.073804039677597</v>
      </c>
      <c r="AD27" s="34">
        <v>97.059293039513904</v>
      </c>
      <c r="AE27" s="16">
        <v>7.75505325286903E-4</v>
      </c>
      <c r="AF27" s="16">
        <v>-6.2588402253424503E-4</v>
      </c>
      <c r="AG27" s="16">
        <v>-7.7537939873842496E-4</v>
      </c>
      <c r="AI27" s="12"/>
      <c r="AJ27">
        <f t="shared" si="6"/>
        <v>0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9">
        <f t="shared" si="8"/>
        <v>0</v>
      </c>
      <c r="AP27" s="29">
        <f t="shared" si="9"/>
        <v>0</v>
      </c>
      <c r="AQ27" s="29">
        <f t="shared" si="16"/>
        <v>0</v>
      </c>
      <c r="AR27" s="30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9">
        <f t="shared" si="12"/>
        <v>0</v>
      </c>
      <c r="BA27" s="29">
        <f t="shared" si="13"/>
        <v>0</v>
      </c>
      <c r="BB27" s="29">
        <f t="shared" si="20"/>
        <v>0</v>
      </c>
      <c r="BC27" s="30">
        <f t="shared" si="21"/>
        <v>0</v>
      </c>
      <c r="BE27" s="30">
        <f t="shared" si="22"/>
        <v>0</v>
      </c>
      <c r="BF27" s="30">
        <f t="shared" si="23"/>
        <v>0</v>
      </c>
      <c r="BH27" s="30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4">
        <v>67.83</v>
      </c>
      <c r="C28" s="34">
        <v>96.97</v>
      </c>
      <c r="D28" s="16">
        <v>3.1007776782481801E-3</v>
      </c>
      <c r="E28" s="16">
        <v>2.58144600991759E-3</v>
      </c>
      <c r="F28" s="34">
        <v>0</v>
      </c>
      <c r="G28" s="34">
        <v>0.33960000000000001</v>
      </c>
      <c r="H28" s="34">
        <v>0</v>
      </c>
      <c r="I28" s="34">
        <v>0.41458</v>
      </c>
      <c r="J28" s="34">
        <v>0.33960000000000001</v>
      </c>
      <c r="K28" s="34">
        <v>0.41458</v>
      </c>
      <c r="L28" s="34">
        <v>68.169600000000003</v>
      </c>
      <c r="M28" s="34">
        <v>97.38458</v>
      </c>
      <c r="N28" s="35">
        <v>1.4296034203154899</v>
      </c>
      <c r="O28" s="35">
        <v>1.43329336478799</v>
      </c>
      <c r="P28" s="35">
        <v>1.42918820152932</v>
      </c>
      <c r="Q28" s="35">
        <v>1.4285637464005201</v>
      </c>
      <c r="R28" s="34">
        <v>97.220288933569606</v>
      </c>
      <c r="S28" s="34">
        <v>96.935693991399106</v>
      </c>
      <c r="T28" s="34">
        <v>96.896410287986896</v>
      </c>
      <c r="U28" s="16">
        <v>2.5777712525135001E-3</v>
      </c>
      <c r="V28" s="16">
        <v>-3.53842202904155E-4</v>
      </c>
      <c r="W28" s="16">
        <v>-7.59179637547408E-4</v>
      </c>
      <c r="X28" s="35">
        <v>1.4285631718537199</v>
      </c>
      <c r="Y28" s="35">
        <v>1.43040773636679</v>
      </c>
      <c r="Z28" s="35">
        <v>1.4284554160535801</v>
      </c>
      <c r="AA28" s="35">
        <v>1.42819735366265</v>
      </c>
      <c r="AB28" s="34">
        <v>97.510323225029893</v>
      </c>
      <c r="AC28" s="34">
        <v>97.378153194688394</v>
      </c>
      <c r="AD28" s="34">
        <v>97.360103992448302</v>
      </c>
      <c r="AE28" s="16">
        <v>1.2903697366806199E-3</v>
      </c>
      <c r="AF28" s="16">
        <v>-6.5996253066255298E-5</v>
      </c>
      <c r="AG28" s="16">
        <v>-2.51365091757308E-4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9">
        <f t="shared" si="8"/>
        <v>0</v>
      </c>
      <c r="AP28" s="29">
        <f t="shared" si="9"/>
        <v>0</v>
      </c>
      <c r="AQ28" s="29">
        <f t="shared" si="16"/>
        <v>0</v>
      </c>
      <c r="AR28" s="30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9">
        <f t="shared" si="12"/>
        <v>0</v>
      </c>
      <c r="BA28" s="29">
        <f t="shared" si="13"/>
        <v>0</v>
      </c>
      <c r="BB28" s="29">
        <f t="shared" si="20"/>
        <v>0</v>
      </c>
      <c r="BC28" s="30">
        <f t="shared" si="21"/>
        <v>0</v>
      </c>
      <c r="BE28" s="30">
        <f t="shared" si="22"/>
        <v>0</v>
      </c>
      <c r="BF28" s="30">
        <f t="shared" si="23"/>
        <v>0</v>
      </c>
      <c r="BH28" s="30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4">
        <v>67.83</v>
      </c>
      <c r="C29" s="34">
        <v>96.98</v>
      </c>
      <c r="D29" s="16">
        <v>0</v>
      </c>
      <c r="E29" s="16">
        <v>1.03119360751392E-4</v>
      </c>
      <c r="F29" s="34">
        <v>0</v>
      </c>
      <c r="G29" s="34">
        <v>0.33960000000000001</v>
      </c>
      <c r="H29" s="34">
        <v>0</v>
      </c>
      <c r="I29" s="34">
        <v>0.41458</v>
      </c>
      <c r="J29" s="34">
        <v>0.33960000000000001</v>
      </c>
      <c r="K29" s="34">
        <v>0.41458</v>
      </c>
      <c r="L29" s="34">
        <v>68.169600000000003</v>
      </c>
      <c r="M29" s="34">
        <v>97.394580000000005</v>
      </c>
      <c r="N29" s="35">
        <v>1.4297508477075</v>
      </c>
      <c r="O29" s="35">
        <v>1.43329336478799</v>
      </c>
      <c r="P29" s="35">
        <v>1.4293230321254</v>
      </c>
      <c r="Q29" s="35">
        <v>1.4286842114517699</v>
      </c>
      <c r="R29" s="34">
        <v>97.220288933569606</v>
      </c>
      <c r="S29" s="34">
        <v>96.941835709733894</v>
      </c>
      <c r="T29" s="34">
        <v>96.899478918347498</v>
      </c>
      <c r="U29" s="16">
        <v>2.47465189176209E-3</v>
      </c>
      <c r="V29" s="16">
        <v>-3.9360488331912502E-4</v>
      </c>
      <c r="W29" s="16">
        <v>-8.3063031457784203E-4</v>
      </c>
      <c r="X29" s="35">
        <v>1.4287098648077701</v>
      </c>
      <c r="Y29" s="35">
        <v>1.43040773636679</v>
      </c>
      <c r="Z29" s="35">
        <v>1.42848614835969</v>
      </c>
      <c r="AA29" s="35">
        <v>1.42826576956891</v>
      </c>
      <c r="AB29" s="34">
        <v>97.510323225029893</v>
      </c>
      <c r="AC29" s="34">
        <v>97.377234330206505</v>
      </c>
      <c r="AD29" s="34">
        <v>97.359642320241804</v>
      </c>
      <c r="AE29" s="16">
        <v>1.18768934716874E-3</v>
      </c>
      <c r="AF29" s="16">
        <v>-1.7811273051920401E-4</v>
      </c>
      <c r="AG29" s="16">
        <v>-3.5878739589572203E-4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9">
        <f t="shared" si="8"/>
        <v>0</v>
      </c>
      <c r="AP29" s="29">
        <f t="shared" si="9"/>
        <v>0</v>
      </c>
      <c r="AQ29" s="29">
        <f t="shared" si="16"/>
        <v>0</v>
      </c>
      <c r="AR29" s="30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9">
        <f t="shared" si="12"/>
        <v>0</v>
      </c>
      <c r="BA29" s="29">
        <f t="shared" si="13"/>
        <v>0</v>
      </c>
      <c r="BB29" s="29">
        <f t="shared" si="20"/>
        <v>0</v>
      </c>
      <c r="BC29" s="30">
        <f t="shared" si="21"/>
        <v>0</v>
      </c>
      <c r="BE29" s="30">
        <f t="shared" si="22"/>
        <v>0</v>
      </c>
      <c r="BF29" s="30">
        <f t="shared" si="23"/>
        <v>0</v>
      </c>
      <c r="BH29" s="30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4">
        <v>68.05</v>
      </c>
      <c r="C30" s="34">
        <v>97.25</v>
      </c>
      <c r="D30" s="16">
        <v>3.2381541394869602E-3</v>
      </c>
      <c r="E30" s="16">
        <v>2.7802108213494099E-3</v>
      </c>
      <c r="F30" s="34">
        <v>0</v>
      </c>
      <c r="G30" s="34">
        <v>0.33960000000000001</v>
      </c>
      <c r="H30" s="34">
        <v>0</v>
      </c>
      <c r="I30" s="34">
        <v>0.41458</v>
      </c>
      <c r="J30" s="34">
        <v>0.33960000000000001</v>
      </c>
      <c r="K30" s="34">
        <v>0.41458</v>
      </c>
      <c r="L30" s="34">
        <v>68.389600000000002</v>
      </c>
      <c r="M30" s="34">
        <v>97.664580000000001</v>
      </c>
      <c r="N30" s="35">
        <v>1.4290962527553199</v>
      </c>
      <c r="O30" s="35">
        <v>1.43329336478799</v>
      </c>
      <c r="P30" s="35">
        <v>1.4295041766686101</v>
      </c>
      <c r="Q30" s="35">
        <v>1.42874009107235</v>
      </c>
      <c r="R30" s="34">
        <v>97.535613473822906</v>
      </c>
      <c r="S30" s="34">
        <v>97.2654323361335</v>
      </c>
      <c r="T30" s="34">
        <v>97.221960589293204</v>
      </c>
      <c r="U30" s="16">
        <v>2.9325952098995601E-3</v>
      </c>
      <c r="V30" s="16">
        <v>1.5867467152219601E-4</v>
      </c>
      <c r="W30" s="16">
        <v>-2.8836456233674801E-4</v>
      </c>
      <c r="X30" s="35">
        <v>1.42806186905611</v>
      </c>
      <c r="Y30" s="35">
        <v>1.43040773636679</v>
      </c>
      <c r="Z30" s="35">
        <v>1.42856385453298</v>
      </c>
      <c r="AA30" s="35">
        <v>1.4282699300045301</v>
      </c>
      <c r="AB30" s="34">
        <v>97.825012927030699</v>
      </c>
      <c r="AC30" s="34">
        <v>97.693596291860004</v>
      </c>
      <c r="AD30" s="34">
        <v>97.678524674510598</v>
      </c>
      <c r="AE30" s="16">
        <v>1.64134530791078E-3</v>
      </c>
      <c r="AF30" s="16">
        <v>2.9705736022110602E-4</v>
      </c>
      <c r="AG30" s="16">
        <v>1.42771095581024E-4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9">
        <f t="shared" si="8"/>
        <v>0</v>
      </c>
      <c r="AP30" s="29">
        <f t="shared" si="9"/>
        <v>0</v>
      </c>
      <c r="AQ30" s="29">
        <f t="shared" si="16"/>
        <v>0</v>
      </c>
      <c r="AR30" s="30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9">
        <f t="shared" si="12"/>
        <v>0</v>
      </c>
      <c r="BA30" s="29">
        <f t="shared" si="13"/>
        <v>0</v>
      </c>
      <c r="BB30" s="29">
        <f t="shared" si="20"/>
        <v>0</v>
      </c>
      <c r="BC30" s="30">
        <f t="shared" si="21"/>
        <v>0</v>
      </c>
      <c r="BE30" s="30">
        <f t="shared" si="22"/>
        <v>0</v>
      </c>
      <c r="BF30" s="30">
        <f t="shared" si="23"/>
        <v>0</v>
      </c>
      <c r="BH30" s="30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4">
        <v>68.150000000000006</v>
      </c>
      <c r="C31" s="34">
        <v>97.42</v>
      </c>
      <c r="D31" s="16">
        <v>1.4684290450666399E-3</v>
      </c>
      <c r="E31" s="16">
        <v>1.74654587984097E-3</v>
      </c>
      <c r="F31" s="34">
        <v>0</v>
      </c>
      <c r="G31" s="34">
        <v>0.33960000000000001</v>
      </c>
      <c r="H31" s="34">
        <v>0</v>
      </c>
      <c r="I31" s="34">
        <v>0.41458</v>
      </c>
      <c r="J31" s="34">
        <v>0.33960000000000001</v>
      </c>
      <c r="K31" s="34">
        <v>0.41458</v>
      </c>
      <c r="L31" s="34">
        <v>68.489599999999996</v>
      </c>
      <c r="M31" s="34">
        <v>97.834580000000003</v>
      </c>
      <c r="N31" s="35">
        <v>1.42949376375641</v>
      </c>
      <c r="O31" s="35">
        <v>1.43329336478799</v>
      </c>
      <c r="P31" s="35">
        <v>1.4297104256425399</v>
      </c>
      <c r="Q31" s="35">
        <v>1.4288073718527601</v>
      </c>
      <c r="R31" s="34">
        <v>97.678942810301706</v>
      </c>
      <c r="S31" s="34">
        <v>97.420709639966105</v>
      </c>
      <c r="T31" s="34">
        <v>97.368637206580601</v>
      </c>
      <c r="U31" s="16">
        <v>2.6544783751250999E-3</v>
      </c>
      <c r="V31" s="16">
        <v>7.28430898680032E-6</v>
      </c>
      <c r="W31" s="16">
        <v>-5.2736951545336898E-4</v>
      </c>
      <c r="X31" s="35">
        <v>1.4284589193103701</v>
      </c>
      <c r="Y31" s="35">
        <v>1.43040773636679</v>
      </c>
      <c r="Z31" s="35">
        <v>1.4286666190623001</v>
      </c>
      <c r="AA31" s="35">
        <v>1.42828546856264</v>
      </c>
      <c r="AB31" s="34">
        <v>97.968053700667298</v>
      </c>
      <c r="AC31" s="34">
        <v>97.841766971422302</v>
      </c>
      <c r="AD31" s="34">
        <v>97.821636198038604</v>
      </c>
      <c r="AE31" s="16">
        <v>1.36334960177955E-3</v>
      </c>
      <c r="AF31" s="16">
        <v>7.3457743225427896E-5</v>
      </c>
      <c r="AG31" s="16">
        <v>-1.3231168660801E-4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9">
        <f t="shared" si="8"/>
        <v>0</v>
      </c>
      <c r="AP31" s="29">
        <f t="shared" si="9"/>
        <v>0</v>
      </c>
      <c r="AQ31" s="29">
        <f t="shared" si="16"/>
        <v>0</v>
      </c>
      <c r="AR31" s="30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9">
        <f t="shared" si="12"/>
        <v>0</v>
      </c>
      <c r="BA31" s="29">
        <f t="shared" si="13"/>
        <v>0</v>
      </c>
      <c r="BB31" s="29">
        <f t="shared" si="20"/>
        <v>0</v>
      </c>
      <c r="BC31" s="30">
        <f t="shared" si="21"/>
        <v>0</v>
      </c>
      <c r="BE31" s="30">
        <f t="shared" si="22"/>
        <v>0</v>
      </c>
      <c r="BF31" s="30">
        <f t="shared" si="23"/>
        <v>0</v>
      </c>
      <c r="BH31" s="30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4">
        <v>68.31</v>
      </c>
      <c r="C32" s="34">
        <v>97.62</v>
      </c>
      <c r="D32" s="16">
        <v>2.3450106012162701E-3</v>
      </c>
      <c r="E32" s="16">
        <v>2.05086208060492E-3</v>
      </c>
      <c r="F32" s="34">
        <v>0</v>
      </c>
      <c r="G32" s="34">
        <v>0.33960000000000001</v>
      </c>
      <c r="H32" s="34">
        <v>0</v>
      </c>
      <c r="I32" s="34">
        <v>0.41458</v>
      </c>
      <c r="J32" s="34">
        <v>0.33960000000000001</v>
      </c>
      <c r="K32" s="34">
        <v>0.41458</v>
      </c>
      <c r="L32" s="34">
        <v>68.649600000000007</v>
      </c>
      <c r="M32" s="34">
        <v>98.034580000000005</v>
      </c>
      <c r="N32" s="35">
        <v>1.42907334211682</v>
      </c>
      <c r="O32" s="35">
        <v>1.43329336478799</v>
      </c>
      <c r="P32" s="35">
        <v>1.4297436329408599</v>
      </c>
      <c r="Q32" s="35">
        <v>1.4288992232042601</v>
      </c>
      <c r="R32" s="34">
        <v>97.908269748667806</v>
      </c>
      <c r="S32" s="34">
        <v>97.663519175641994</v>
      </c>
      <c r="T32" s="34">
        <v>97.601831571262295</v>
      </c>
      <c r="U32" s="16">
        <v>2.9486268957365099E-3</v>
      </c>
      <c r="V32" s="16">
        <v>4.45702500100345E-4</v>
      </c>
      <c r="W32" s="16">
        <v>-1.8613111703653901E-4</v>
      </c>
      <c r="X32" s="35">
        <v>1.4280429893255</v>
      </c>
      <c r="Y32" s="35">
        <v>1.43040773636679</v>
      </c>
      <c r="Z32" s="35">
        <v>1.4287012136050601</v>
      </c>
      <c r="AA32" s="35">
        <v>1.4283258022745799</v>
      </c>
      <c r="AB32" s="34">
        <v>98.196918938485993</v>
      </c>
      <c r="AC32" s="34">
        <v>98.077391931979804</v>
      </c>
      <c r="AD32" s="34">
        <v>98.051226102638196</v>
      </c>
      <c r="AE32" s="16">
        <v>1.6545659223824399E-3</v>
      </c>
      <c r="AF32" s="16">
        <v>4.3660702850669699E-4</v>
      </c>
      <c r="AG32" s="16">
        <v>1.6978386155653901E-4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9">
        <f t="shared" si="8"/>
        <v>0</v>
      </c>
      <c r="AP32" s="29">
        <f t="shared" si="9"/>
        <v>0</v>
      </c>
      <c r="AQ32" s="29">
        <f t="shared" si="16"/>
        <v>0</v>
      </c>
      <c r="AR32" s="30">
        <f t="shared" si="17"/>
        <v>0</v>
      </c>
      <c r="AT32" s="12"/>
      <c r="AU32">
        <f t="shared" si="10"/>
        <v>0</v>
      </c>
      <c r="AV32">
        <f t="shared" si="11"/>
        <v>0</v>
      </c>
      <c r="AW32">
        <f t="shared" si="18"/>
        <v>0</v>
      </c>
      <c r="AX32">
        <f t="shared" si="5"/>
        <v>1</v>
      </c>
      <c r="AY32">
        <f t="shared" si="19"/>
        <v>0</v>
      </c>
      <c r="AZ32" s="29">
        <f t="shared" si="12"/>
        <v>0</v>
      </c>
      <c r="BA32" s="29">
        <f t="shared" si="13"/>
        <v>0</v>
      </c>
      <c r="BB32" s="29">
        <f t="shared" si="20"/>
        <v>0</v>
      </c>
      <c r="BC32" s="30">
        <f t="shared" si="21"/>
        <v>0</v>
      </c>
      <c r="BE32" s="30">
        <f t="shared" si="22"/>
        <v>0</v>
      </c>
      <c r="BF32" s="30">
        <f t="shared" si="23"/>
        <v>0</v>
      </c>
      <c r="BH32" s="30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4">
        <v>68.34</v>
      </c>
      <c r="C33" s="34">
        <v>97.66</v>
      </c>
      <c r="D33" s="16">
        <v>4.3907794338785298E-4</v>
      </c>
      <c r="E33" s="16">
        <v>4.0966817451276602E-4</v>
      </c>
      <c r="F33" s="34">
        <v>0</v>
      </c>
      <c r="G33" s="34">
        <v>0.33960000000000001</v>
      </c>
      <c r="H33" s="34">
        <v>0</v>
      </c>
      <c r="I33" s="34">
        <v>0.41458</v>
      </c>
      <c r="J33" s="34">
        <v>0.33960000000000001</v>
      </c>
      <c r="K33" s="34">
        <v>0.41458</v>
      </c>
      <c r="L33" s="34">
        <v>68.679599999999994</v>
      </c>
      <c r="M33" s="34">
        <v>98.074579999999997</v>
      </c>
      <c r="N33" s="35">
        <v>1.4290313140181401</v>
      </c>
      <c r="O33" s="35">
        <v>1.43329336478799</v>
      </c>
      <c r="P33" s="35">
        <v>1.4297216751631301</v>
      </c>
      <c r="Q33" s="35">
        <v>1.4290169588008499</v>
      </c>
      <c r="R33" s="34">
        <v>97.951268549611498</v>
      </c>
      <c r="S33" s="34">
        <v>97.708679875178603</v>
      </c>
      <c r="T33" s="34">
        <v>97.650972913779498</v>
      </c>
      <c r="U33" s="16">
        <v>2.9780366646116299E-3</v>
      </c>
      <c r="V33" s="16">
        <v>4.9833858955523999E-4</v>
      </c>
      <c r="W33" s="16">
        <v>-9.2438085707244699E-5</v>
      </c>
      <c r="X33" s="35">
        <v>1.42800161911251</v>
      </c>
      <c r="Y33" s="35">
        <v>1.43040773636679</v>
      </c>
      <c r="Z33" s="35">
        <v>1.4286809802463001</v>
      </c>
      <c r="AA33" s="35">
        <v>1.42839205312588</v>
      </c>
      <c r="AB33" s="34">
        <v>98.239831170577006</v>
      </c>
      <c r="AC33" s="34">
        <v>98.122627869910303</v>
      </c>
      <c r="AD33" s="34">
        <v>98.096844769897402</v>
      </c>
      <c r="AE33" s="16">
        <v>1.6835362072768101E-3</v>
      </c>
      <c r="AF33" s="16">
        <v>4.8979158666516203E-4</v>
      </c>
      <c r="AG33" s="16">
        <v>2.26992998793302E-4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9">
        <f t="shared" si="8"/>
        <v>0</v>
      </c>
      <c r="AP33" s="29">
        <f t="shared" si="9"/>
        <v>0</v>
      </c>
      <c r="AQ33" s="29">
        <f t="shared" si="16"/>
        <v>0</v>
      </c>
      <c r="AR33" s="30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9">
        <f t="shared" si="12"/>
        <v>0</v>
      </c>
      <c r="BA33" s="29">
        <f t="shared" si="13"/>
        <v>0</v>
      </c>
      <c r="BB33" s="29">
        <f t="shared" si="20"/>
        <v>0</v>
      </c>
      <c r="BC33" s="30">
        <f t="shared" si="21"/>
        <v>0</v>
      </c>
      <c r="BE33" s="30">
        <f t="shared" si="22"/>
        <v>0</v>
      </c>
      <c r="BF33" s="30">
        <f t="shared" si="23"/>
        <v>0</v>
      </c>
      <c r="BH33" s="30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4">
        <v>68.260000000000005</v>
      </c>
      <c r="C34" s="34">
        <v>97.55</v>
      </c>
      <c r="D34" s="16">
        <v>-1.1713032085848101E-3</v>
      </c>
      <c r="E34" s="16">
        <v>-1.1269915643939399E-3</v>
      </c>
      <c r="F34" s="34">
        <v>0</v>
      </c>
      <c r="G34" s="34">
        <v>0.33960000000000001</v>
      </c>
      <c r="H34" s="34">
        <v>0</v>
      </c>
      <c r="I34" s="34">
        <v>0.41458</v>
      </c>
      <c r="J34" s="34">
        <v>0.33960000000000001</v>
      </c>
      <c r="K34" s="34">
        <v>0.41458</v>
      </c>
      <c r="L34" s="34">
        <v>68.599599999999995</v>
      </c>
      <c r="M34" s="34">
        <v>97.964579999999998</v>
      </c>
      <c r="N34" s="35">
        <v>1.4290946381482501</v>
      </c>
      <c r="O34" s="35">
        <v>1.43329336478799</v>
      </c>
      <c r="P34" s="35">
        <v>1.4295402569312501</v>
      </c>
      <c r="Q34" s="35">
        <v>1.42904311927969</v>
      </c>
      <c r="R34" s="34">
        <v>97.836605080428399</v>
      </c>
      <c r="S34" s="34">
        <v>97.5928015466353</v>
      </c>
      <c r="T34" s="34">
        <v>97.544697607746102</v>
      </c>
      <c r="U34" s="16">
        <v>2.9337250204207999E-3</v>
      </c>
      <c r="V34" s="16">
        <v>4.3866898478915899E-4</v>
      </c>
      <c r="W34" s="16">
        <v>-5.4357112932387103E-5</v>
      </c>
      <c r="X34" s="35">
        <v>1.4280634289412699</v>
      </c>
      <c r="Y34" s="35">
        <v>1.43040773636679</v>
      </c>
      <c r="Z34" s="35">
        <v>1.4285020457375699</v>
      </c>
      <c r="AA34" s="35">
        <v>1.4283666531443699</v>
      </c>
      <c r="AB34" s="34">
        <v>98.125398551667701</v>
      </c>
      <c r="AC34" s="34">
        <v>98.0069437725044</v>
      </c>
      <c r="AD34" s="34">
        <v>97.987123487614596</v>
      </c>
      <c r="AE34" s="16">
        <v>1.64025299927588E-3</v>
      </c>
      <c r="AF34" s="16">
        <v>4.3234621386685501E-4</v>
      </c>
      <c r="AG34" s="16">
        <v>2.30092286138027E-4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9">
        <f t="shared" si="8"/>
        <v>0</v>
      </c>
      <c r="AP34" s="29">
        <f t="shared" si="9"/>
        <v>0</v>
      </c>
      <c r="AQ34" s="29">
        <f t="shared" si="16"/>
        <v>0</v>
      </c>
      <c r="AR34" s="30">
        <f t="shared" si="17"/>
        <v>0</v>
      </c>
      <c r="AT34" s="12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9">
        <f t="shared" si="12"/>
        <v>0</v>
      </c>
      <c r="BA34" s="29">
        <f t="shared" si="13"/>
        <v>0</v>
      </c>
      <c r="BB34" s="29">
        <f t="shared" si="20"/>
        <v>0</v>
      </c>
      <c r="BC34" s="30">
        <f t="shared" si="21"/>
        <v>0</v>
      </c>
      <c r="BE34" s="30">
        <f t="shared" si="22"/>
        <v>0</v>
      </c>
      <c r="BF34" s="30">
        <f t="shared" si="23"/>
        <v>0</v>
      </c>
      <c r="BH34" s="30"/>
    </row>
    <row r="35" spans="1:124" x14ac:dyDescent="0.25">
      <c r="A35" s="1">
        <v>46073</v>
      </c>
      <c r="B35" s="34">
        <v>68.3</v>
      </c>
      <c r="C35" s="34">
        <v>97.65</v>
      </c>
      <c r="D35" s="16">
        <v>5.8582309818329804E-4</v>
      </c>
      <c r="E35" s="16">
        <v>1.0245902535677199E-3</v>
      </c>
      <c r="F35" s="34">
        <v>0</v>
      </c>
      <c r="G35" s="34">
        <v>0.33960000000000001</v>
      </c>
      <c r="H35" s="34">
        <v>0</v>
      </c>
      <c r="I35" s="34">
        <v>0.41458</v>
      </c>
      <c r="J35" s="34">
        <v>0.33960000000000001</v>
      </c>
      <c r="K35" s="34">
        <v>0.41458</v>
      </c>
      <c r="L35" s="34">
        <v>68.639600000000002</v>
      </c>
      <c r="M35" s="34">
        <v>98.064580000000007</v>
      </c>
      <c r="N35" s="35">
        <v>1.42972181551976</v>
      </c>
      <c r="O35" s="35">
        <v>1.43329336478799</v>
      </c>
      <c r="P35" s="35">
        <v>1.4295960188033201</v>
      </c>
      <c r="Q35" s="35">
        <v>1.4291365801903499</v>
      </c>
      <c r="R35" s="34">
        <v>97.893936815019899</v>
      </c>
      <c r="S35" s="34">
        <v>97.637599548404395</v>
      </c>
      <c r="T35" s="34">
        <v>97.603645046802995</v>
      </c>
      <c r="U35" s="16">
        <v>2.4949578650364998E-3</v>
      </c>
      <c r="V35" s="16">
        <v>-1.2699681537273601E-4</v>
      </c>
      <c r="W35" s="16">
        <v>-4.7481781000079001E-4</v>
      </c>
      <c r="X35" s="35">
        <v>1.4286881042430299</v>
      </c>
      <c r="Y35" s="35">
        <v>1.43040773636679</v>
      </c>
      <c r="Z35" s="35">
        <v>1.4285587782375</v>
      </c>
      <c r="AA35" s="35">
        <v>1.4284084284912</v>
      </c>
      <c r="AB35" s="34">
        <v>98.182614861122303</v>
      </c>
      <c r="AC35" s="34">
        <v>98.051809018609006</v>
      </c>
      <c r="AD35" s="34">
        <v>98.042515725168897</v>
      </c>
      <c r="AE35" s="16">
        <v>1.20292038252185E-3</v>
      </c>
      <c r="AF35" s="16">
        <v>-1.3023879822523401E-4</v>
      </c>
      <c r="AG35" s="16">
        <v>-2.25022708562312E-4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9">
        <f t="shared" si="8"/>
        <v>0</v>
      </c>
      <c r="AP35" s="29">
        <f t="shared" si="9"/>
        <v>0</v>
      </c>
      <c r="AQ35" s="29">
        <f t="shared" si="16"/>
        <v>0</v>
      </c>
      <c r="AR35" s="30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9">
        <f t="shared" si="12"/>
        <v>0</v>
      </c>
      <c r="BA35" s="29">
        <f t="shared" si="13"/>
        <v>0</v>
      </c>
      <c r="BB35" s="29">
        <f t="shared" si="20"/>
        <v>0</v>
      </c>
      <c r="BC35" s="30">
        <f t="shared" si="21"/>
        <v>0</v>
      </c>
      <c r="BE35" s="30">
        <f t="shared" si="22"/>
        <v>0</v>
      </c>
      <c r="BF35" s="30">
        <f t="shared" si="23"/>
        <v>0</v>
      </c>
      <c r="BH35" s="30"/>
    </row>
    <row r="36" spans="1:124" x14ac:dyDescent="0.25">
      <c r="A36" s="1">
        <v>46076</v>
      </c>
      <c r="B36" s="34">
        <v>68.37</v>
      </c>
      <c r="C36" s="34">
        <v>97.71</v>
      </c>
      <c r="D36" s="16">
        <v>1.02436534895836E-3</v>
      </c>
      <c r="E36" s="16">
        <v>6.1425063356366398E-4</v>
      </c>
      <c r="F36" s="34">
        <v>0</v>
      </c>
      <c r="G36" s="34">
        <v>0.33960000000000001</v>
      </c>
      <c r="H36" s="34">
        <v>0</v>
      </c>
      <c r="I36" s="34">
        <v>0.41458</v>
      </c>
      <c r="J36" s="34">
        <v>0.33960000000000001</v>
      </c>
      <c r="K36" s="34">
        <v>0.41458</v>
      </c>
      <c r="L36" s="34">
        <v>68.709599999999995</v>
      </c>
      <c r="M36" s="34">
        <v>98.124579999999995</v>
      </c>
      <c r="N36" s="35">
        <v>1.42913558578323</v>
      </c>
      <c r="O36" s="35">
        <v>1.43329336478799</v>
      </c>
      <c r="P36" s="35">
        <v>1.4294347031585</v>
      </c>
      <c r="Q36" s="35">
        <v>1.4291816642639199</v>
      </c>
      <c r="R36" s="34">
        <v>97.994267350555106</v>
      </c>
      <c r="S36" s="34">
        <v>97.741479805583097</v>
      </c>
      <c r="T36" s="34">
        <v>97.710067987614593</v>
      </c>
      <c r="U36" s="16">
        <v>2.9050725804309501E-3</v>
      </c>
      <c r="V36" s="16">
        <v>3.2212399605997198E-4</v>
      </c>
      <c r="W36" s="16">
        <v>6.9580995827045295E-7</v>
      </c>
      <c r="X36" s="35">
        <v>1.4281058250957599</v>
      </c>
      <c r="Y36" s="35">
        <v>1.43040773636679</v>
      </c>
      <c r="Z36" s="35">
        <v>1.4283994669314499</v>
      </c>
      <c r="AA36" s="35">
        <v>1.4284020245304001</v>
      </c>
      <c r="AB36" s="34">
        <v>98.282743402668004</v>
      </c>
      <c r="AC36" s="34">
        <v>98.155702229187597</v>
      </c>
      <c r="AD36" s="34">
        <v>98.145371758259301</v>
      </c>
      <c r="AE36" s="16">
        <v>1.61056557481255E-3</v>
      </c>
      <c r="AF36" s="16">
        <v>3.1712028426948501E-4</v>
      </c>
      <c r="AG36" s="16">
        <v>2.1186899116121101E-4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9">
        <f t="shared" si="8"/>
        <v>0</v>
      </c>
      <c r="AP36" s="29">
        <f t="shared" si="9"/>
        <v>0</v>
      </c>
      <c r="AQ36" s="29">
        <f t="shared" si="16"/>
        <v>0</v>
      </c>
      <c r="AR36" s="30">
        <f t="shared" si="17"/>
        <v>0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9">
        <f t="shared" si="12"/>
        <v>0</v>
      </c>
      <c r="BA36" s="29">
        <f t="shared" si="13"/>
        <v>0</v>
      </c>
      <c r="BB36" s="29">
        <f t="shared" si="20"/>
        <v>0</v>
      </c>
      <c r="BC36" s="30">
        <f t="shared" si="21"/>
        <v>0</v>
      </c>
      <c r="BE36" s="30">
        <f t="shared" si="22"/>
        <v>0</v>
      </c>
      <c r="BF36" s="30">
        <f t="shared" si="23"/>
        <v>0</v>
      </c>
      <c r="BH36" s="30"/>
    </row>
    <row r="37" spans="1:124" x14ac:dyDescent="0.25">
      <c r="A37" s="1">
        <v>46077</v>
      </c>
      <c r="B37" s="34">
        <v>68.28</v>
      </c>
      <c r="C37" s="34">
        <v>97.65</v>
      </c>
      <c r="D37" s="16">
        <v>-1.3172339994627501E-3</v>
      </c>
      <c r="E37" s="16">
        <v>-6.1425063356375495E-4</v>
      </c>
      <c r="F37" s="34">
        <v>0</v>
      </c>
      <c r="G37" s="34">
        <v>0.33960000000000001</v>
      </c>
      <c r="H37" s="34">
        <v>0</v>
      </c>
      <c r="I37" s="34">
        <v>0.41458</v>
      </c>
      <c r="J37" s="34">
        <v>0.33960000000000001</v>
      </c>
      <c r="K37" s="34">
        <v>0.41458</v>
      </c>
      <c r="L37" s="34">
        <v>68.619600000000005</v>
      </c>
      <c r="M37" s="34">
        <v>98.064580000000007</v>
      </c>
      <c r="N37" s="35">
        <v>1.43014059753954</v>
      </c>
      <c r="O37" s="35">
        <v>1.43329336478799</v>
      </c>
      <c r="P37" s="35">
        <v>1.42941415776605</v>
      </c>
      <c r="Q37" s="35">
        <v>1.42925590677185</v>
      </c>
      <c r="R37" s="34">
        <v>97.865270947724198</v>
      </c>
      <c r="S37" s="34">
        <v>97.601801531662602</v>
      </c>
      <c r="T37" s="34">
        <v>97.584524035940703</v>
      </c>
      <c r="U37" s="16">
        <v>2.2020892145318701E-3</v>
      </c>
      <c r="V37" s="16">
        <v>-4.9370575777844697E-4</v>
      </c>
      <c r="W37" s="16">
        <v>-6.7074168195761005E-4</v>
      </c>
      <c r="X37" s="35">
        <v>1.4291045124133599</v>
      </c>
      <c r="Y37" s="35">
        <v>1.43040773636679</v>
      </c>
      <c r="Z37" s="35">
        <v>1.42838003041594</v>
      </c>
      <c r="AA37" s="35">
        <v>1.42842446278202</v>
      </c>
      <c r="AB37" s="34">
        <v>98.154006706394995</v>
      </c>
      <c r="AC37" s="34">
        <v>98.016200061049403</v>
      </c>
      <c r="AD37" s="34">
        <v>98.016375562466195</v>
      </c>
      <c r="AE37" s="16">
        <v>9.1150093462283299E-4</v>
      </c>
      <c r="AF37" s="16">
        <v>-4.9346947637838299E-4</v>
      </c>
      <c r="AG37" s="16">
        <v>-4.9167894318527202E-4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9">
        <f t="shared" si="8"/>
        <v>0</v>
      </c>
      <c r="AP37" s="29">
        <f t="shared" si="9"/>
        <v>0</v>
      </c>
      <c r="AQ37" s="29">
        <f t="shared" si="16"/>
        <v>0</v>
      </c>
      <c r="AR37" s="30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9">
        <f t="shared" si="12"/>
        <v>0</v>
      </c>
      <c r="BA37" s="29">
        <f t="shared" si="13"/>
        <v>0</v>
      </c>
      <c r="BB37" s="29">
        <f t="shared" si="20"/>
        <v>0</v>
      </c>
      <c r="BC37" s="30">
        <f t="shared" si="21"/>
        <v>0</v>
      </c>
      <c r="BE37" s="30">
        <f t="shared" si="22"/>
        <v>0</v>
      </c>
      <c r="BF37" s="30">
        <f t="shared" si="23"/>
        <v>0</v>
      </c>
      <c r="BH37" s="30"/>
    </row>
    <row r="38" spans="1:124" x14ac:dyDescent="0.25">
      <c r="A38" s="1">
        <v>46078</v>
      </c>
      <c r="B38" s="34">
        <v>68.349999999999994</v>
      </c>
      <c r="C38" s="34">
        <v>97.74</v>
      </c>
      <c r="D38" s="16">
        <v>1.0246652437186101E-3</v>
      </c>
      <c r="E38" s="16">
        <v>9.2123451932061803E-4</v>
      </c>
      <c r="F38" s="34">
        <v>0</v>
      </c>
      <c r="G38" s="34">
        <v>0.33960000000000001</v>
      </c>
      <c r="H38" s="34">
        <v>0</v>
      </c>
      <c r="I38" s="34">
        <v>0.41458</v>
      </c>
      <c r="J38" s="34">
        <v>0.33960000000000001</v>
      </c>
      <c r="K38" s="34">
        <v>0.41458</v>
      </c>
      <c r="L38" s="34">
        <v>68.689599999999999</v>
      </c>
      <c r="M38" s="34">
        <v>98.154579999999996</v>
      </c>
      <c r="N38" s="35">
        <v>1.42999268471104</v>
      </c>
      <c r="O38" s="35">
        <v>1.43329336478799</v>
      </c>
      <c r="P38" s="35">
        <v>1.4294530842055999</v>
      </c>
      <c r="Q38" s="35">
        <v>1.4293206428674601</v>
      </c>
      <c r="R38" s="34">
        <v>97.965601483259306</v>
      </c>
      <c r="S38" s="34">
        <v>97.700457683309594</v>
      </c>
      <c r="T38" s="34">
        <v>97.689641227856498</v>
      </c>
      <c r="U38" s="16">
        <v>2.3055199389297601E-3</v>
      </c>
      <c r="V38" s="16">
        <v>-4.04648225845018E-4</v>
      </c>
      <c r="W38" s="16">
        <v>-5.1536474141437795E-4</v>
      </c>
      <c r="X38" s="35">
        <v>1.42895838671356</v>
      </c>
      <c r="Y38" s="35">
        <v>1.43040773636679</v>
      </c>
      <c r="Z38" s="35">
        <v>1.42841955190192</v>
      </c>
      <c r="AA38" s="35">
        <v>1.4284374839777501</v>
      </c>
      <c r="AB38" s="34">
        <v>98.254135247940695</v>
      </c>
      <c r="AC38" s="34">
        <v>98.114852937259002</v>
      </c>
      <c r="AD38" s="34">
        <v>98.117904978712204</v>
      </c>
      <c r="AE38" s="16">
        <v>1.01375599693882E-3</v>
      </c>
      <c r="AF38" s="16">
        <v>-4.0482170543746802E-4</v>
      </c>
      <c r="AG38" s="16">
        <v>-3.73715365335698E-4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9">
        <f t="shared" si="8"/>
        <v>0</v>
      </c>
      <c r="AP38" s="29">
        <f t="shared" si="9"/>
        <v>0</v>
      </c>
      <c r="AQ38" s="29">
        <f t="shared" si="16"/>
        <v>0</v>
      </c>
      <c r="AR38" s="30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9">
        <f t="shared" si="12"/>
        <v>0</v>
      </c>
      <c r="BA38" s="29">
        <f t="shared" si="13"/>
        <v>0</v>
      </c>
      <c r="BB38" s="29">
        <f t="shared" si="20"/>
        <v>0</v>
      </c>
      <c r="BC38" s="30">
        <f t="shared" si="21"/>
        <v>0</v>
      </c>
      <c r="BE38" s="30">
        <f t="shared" si="22"/>
        <v>0</v>
      </c>
      <c r="BF38" s="30">
        <f t="shared" si="23"/>
        <v>0</v>
      </c>
      <c r="BH38" s="30"/>
    </row>
    <row r="39" spans="1:124" x14ac:dyDescent="0.25">
      <c r="A39" s="1">
        <v>46079</v>
      </c>
      <c r="B39" s="34">
        <v>68.33</v>
      </c>
      <c r="C39" s="34">
        <v>97.68</v>
      </c>
      <c r="D39" s="16">
        <v>-2.9265437727161802E-4</v>
      </c>
      <c r="E39" s="16">
        <v>-6.1406203955940899E-4</v>
      </c>
      <c r="F39" s="34">
        <v>0</v>
      </c>
      <c r="G39" s="34">
        <v>0.33960000000000001</v>
      </c>
      <c r="H39" s="34">
        <v>0</v>
      </c>
      <c r="I39" s="34">
        <v>0.41458</v>
      </c>
      <c r="J39" s="34">
        <v>0.33960000000000001</v>
      </c>
      <c r="K39" s="34">
        <v>0.41458</v>
      </c>
      <c r="L39" s="34">
        <v>68.669600000000003</v>
      </c>
      <c r="M39" s="34">
        <v>98.094579999999993</v>
      </c>
      <c r="N39" s="35">
        <v>1.4295331479584299</v>
      </c>
      <c r="O39" s="35">
        <v>1.43329336478799</v>
      </c>
      <c r="P39" s="35">
        <v>1.42943131423069</v>
      </c>
      <c r="Q39" s="35">
        <v>1.42937717317805</v>
      </c>
      <c r="R39" s="34">
        <v>97.936935615963606</v>
      </c>
      <c r="S39" s="34">
        <v>97.674529243769101</v>
      </c>
      <c r="T39" s="34">
        <v>97.665479527133797</v>
      </c>
      <c r="U39" s="16">
        <v>2.6269276012176601E-3</v>
      </c>
      <c r="V39" s="16">
        <v>-5.6008491367118499E-5</v>
      </c>
      <c r="W39" s="16">
        <v>-1.4866453964576E-4</v>
      </c>
      <c r="X39" s="35">
        <v>1.4285008213241299</v>
      </c>
      <c r="Y39" s="35">
        <v>1.43040773636679</v>
      </c>
      <c r="Z39" s="35">
        <v>1.4283986475535599</v>
      </c>
      <c r="AA39" s="35">
        <v>1.4284423979566201</v>
      </c>
      <c r="AB39" s="34">
        <v>98.225527093213401</v>
      </c>
      <c r="AC39" s="34">
        <v>98.088999261284599</v>
      </c>
      <c r="AD39" s="34">
        <v>98.090230649758993</v>
      </c>
      <c r="AE39" s="16">
        <v>1.3340163121516101E-3</v>
      </c>
      <c r="AF39" s="16">
        <v>-5.6893025786221098E-5</v>
      </c>
      <c r="AG39" s="16">
        <v>-4.4339316864484402E-5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9">
        <f t="shared" si="8"/>
        <v>0</v>
      </c>
      <c r="AP39" s="29">
        <f t="shared" si="9"/>
        <v>0</v>
      </c>
      <c r="AQ39" s="29">
        <f t="shared" si="16"/>
        <v>0</v>
      </c>
      <c r="AR39" s="30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9">
        <f t="shared" si="12"/>
        <v>0</v>
      </c>
      <c r="BA39" s="29">
        <f t="shared" si="13"/>
        <v>0</v>
      </c>
      <c r="BB39" s="29">
        <f t="shared" si="20"/>
        <v>0</v>
      </c>
      <c r="BC39" s="30">
        <f t="shared" si="21"/>
        <v>0</v>
      </c>
      <c r="BE39" s="30">
        <f t="shared" si="22"/>
        <v>0</v>
      </c>
      <c r="BF39" s="30">
        <f t="shared" si="23"/>
        <v>0</v>
      </c>
      <c r="BH39" s="30"/>
    </row>
    <row r="40" spans="1:124" x14ac:dyDescent="0.25">
      <c r="A40" s="1">
        <v>46080</v>
      </c>
      <c r="B40" s="34">
        <v>68.349999999999994</v>
      </c>
      <c r="C40" s="34">
        <v>97.73</v>
      </c>
      <c r="D40" s="16">
        <v>2.9265437727162799E-4</v>
      </c>
      <c r="E40" s="16">
        <v>5.1174454829522396E-4</v>
      </c>
      <c r="F40" s="34">
        <v>0</v>
      </c>
      <c r="G40" s="34">
        <v>0.33960000000000001</v>
      </c>
      <c r="H40" s="34">
        <v>0</v>
      </c>
      <c r="I40" s="34">
        <v>0.41458</v>
      </c>
      <c r="J40" s="34">
        <v>0.33960000000000001</v>
      </c>
      <c r="K40" s="34">
        <v>0.41458</v>
      </c>
      <c r="L40" s="34">
        <v>68.689599999999999</v>
      </c>
      <c r="M40" s="34">
        <v>98.144580000000005</v>
      </c>
      <c r="N40" s="35">
        <v>1.42984637893196</v>
      </c>
      <c r="O40" s="35">
        <v>1.43329336478799</v>
      </c>
      <c r="P40" s="35">
        <v>1.4295063268483601</v>
      </c>
      <c r="Q40" s="35">
        <v>1.4295052517584801</v>
      </c>
      <c r="R40" s="34">
        <v>97.965601483259306</v>
      </c>
      <c r="S40" s="34">
        <v>97.701630327668298</v>
      </c>
      <c r="T40" s="34">
        <v>97.697929786719698</v>
      </c>
      <c r="U40" s="16">
        <v>2.4078374301940001E-3</v>
      </c>
      <c r="V40" s="16">
        <v>-2.9032836172307799E-4</v>
      </c>
      <c r="W40" s="16">
        <v>-3.2820501760555198E-4</v>
      </c>
      <c r="X40" s="35">
        <v>1.4288128042673101</v>
      </c>
      <c r="Y40" s="35">
        <v>1.43040773636679</v>
      </c>
      <c r="Z40" s="35">
        <v>1.4284737410746799</v>
      </c>
      <c r="AA40" s="35">
        <v>1.4285187978038301</v>
      </c>
      <c r="AB40" s="34">
        <v>98.254135247940695</v>
      </c>
      <c r="AC40" s="34">
        <v>98.1161317409953</v>
      </c>
      <c r="AD40" s="34">
        <v>98.119136938681606</v>
      </c>
      <c r="AE40" s="16">
        <v>1.1156413031076101E-3</v>
      </c>
      <c r="AF40" s="16">
        <v>-2.8990274162927397E-4</v>
      </c>
      <c r="AG40" s="16">
        <v>-2.5927422406711099E-4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9">
        <f t="shared" si="8"/>
        <v>0</v>
      </c>
      <c r="AP40" s="29">
        <f t="shared" si="9"/>
        <v>0</v>
      </c>
      <c r="AQ40" s="29">
        <f t="shared" si="16"/>
        <v>0</v>
      </c>
      <c r="AR40" s="30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9">
        <f t="shared" si="12"/>
        <v>0</v>
      </c>
      <c r="BA40" s="29">
        <f t="shared" si="13"/>
        <v>0</v>
      </c>
      <c r="BB40" s="29">
        <f t="shared" si="20"/>
        <v>0</v>
      </c>
      <c r="BC40" s="30">
        <f t="shared" si="21"/>
        <v>0</v>
      </c>
      <c r="BE40" s="30">
        <f t="shared" si="22"/>
        <v>0</v>
      </c>
      <c r="BF40" s="30">
        <f t="shared" si="23"/>
        <v>0</v>
      </c>
      <c r="BH40" s="30"/>
    </row>
    <row r="41" spans="1:124" x14ac:dyDescent="0.25">
      <c r="A41" s="1">
        <v>46083</v>
      </c>
      <c r="B41" s="34">
        <v>67.72</v>
      </c>
      <c r="C41" s="34">
        <v>96.99</v>
      </c>
      <c r="D41" s="16">
        <v>-9.2600059050238891E-3</v>
      </c>
      <c r="E41" s="16">
        <v>-7.6006939452930404E-3</v>
      </c>
      <c r="F41" s="34">
        <v>0.3196</v>
      </c>
      <c r="G41" s="34">
        <v>0.65920000000000001</v>
      </c>
      <c r="H41" s="34">
        <v>0.40295999999999998</v>
      </c>
      <c r="I41" s="34">
        <v>0.81753999999999905</v>
      </c>
      <c r="J41" s="34">
        <v>0.65920000000000001</v>
      </c>
      <c r="K41" s="34">
        <v>0.81753999999999905</v>
      </c>
      <c r="L41" s="34">
        <v>68.379199999999997</v>
      </c>
      <c r="M41" s="34">
        <v>97.807539999999904</v>
      </c>
      <c r="N41" s="35">
        <v>1.43222090962787</v>
      </c>
      <c r="O41" s="35">
        <v>1.43329336478799</v>
      </c>
      <c r="P41" s="35">
        <v>1.42977904143551</v>
      </c>
      <c r="Q41" s="35">
        <v>1.4297447335390201</v>
      </c>
      <c r="R41" s="34">
        <v>97.062626663442899</v>
      </c>
      <c r="S41" s="34">
        <v>96.8061684541712</v>
      </c>
      <c r="T41" s="34">
        <v>96.806095649084895</v>
      </c>
      <c r="U41" s="16">
        <v>7.4852547046324995E-4</v>
      </c>
      <c r="V41" s="16">
        <v>-1.8971644530730899E-3</v>
      </c>
      <c r="W41" s="16">
        <v>-1.8979165240909899E-3</v>
      </c>
      <c r="X41" s="35">
        <v>1.43036976156492</v>
      </c>
      <c r="Y41" s="35">
        <v>1.43040773636679</v>
      </c>
      <c r="Z41" s="35">
        <v>1.4286648253001299</v>
      </c>
      <c r="AA41" s="35">
        <v>1.42866572218122</v>
      </c>
      <c r="AB41" s="34">
        <v>97.810136686572406</v>
      </c>
      <c r="AC41" s="34">
        <v>97.677891635693996</v>
      </c>
      <c r="AD41" s="34">
        <v>97.680972578787902</v>
      </c>
      <c r="AE41" s="16">
        <v>2.6548588211703399E-5</v>
      </c>
      <c r="AF41" s="16">
        <v>-1.3264250152019701E-3</v>
      </c>
      <c r="AG41" s="16">
        <v>-1.29488364535896E-3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9">
        <f t="shared" si="8"/>
        <v>0</v>
      </c>
      <c r="AP41" s="29">
        <f t="shared" si="9"/>
        <v>0</v>
      </c>
      <c r="AQ41" s="29">
        <f t="shared" si="16"/>
        <v>0</v>
      </c>
      <c r="AR41" s="30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9">
        <f t="shared" si="12"/>
        <v>0</v>
      </c>
      <c r="BA41" s="29">
        <f t="shared" si="13"/>
        <v>0</v>
      </c>
      <c r="BB41" s="29">
        <f t="shared" si="20"/>
        <v>0</v>
      </c>
      <c r="BC41" s="30">
        <f t="shared" si="21"/>
        <v>0</v>
      </c>
      <c r="BE41" s="30">
        <f t="shared" si="22"/>
        <v>0</v>
      </c>
      <c r="BF41" s="30">
        <f t="shared" si="23"/>
        <v>0</v>
      </c>
      <c r="BH41" s="30"/>
    </row>
    <row r="42" spans="1:124" x14ac:dyDescent="0.25">
      <c r="A42" s="1">
        <v>46084</v>
      </c>
      <c r="B42" s="34">
        <v>67.45</v>
      </c>
      <c r="C42" s="34">
        <v>96.55</v>
      </c>
      <c r="D42" s="16">
        <v>-3.9949746111696298E-3</v>
      </c>
      <c r="E42" s="16">
        <v>-4.5468715309279102E-3</v>
      </c>
      <c r="F42" s="34">
        <v>0</v>
      </c>
      <c r="G42" s="34">
        <v>0.65920000000000001</v>
      </c>
      <c r="H42" s="34">
        <v>0</v>
      </c>
      <c r="I42" s="34">
        <v>0.81753999999999905</v>
      </c>
      <c r="J42" s="34">
        <v>0.65920000000000001</v>
      </c>
      <c r="K42" s="34">
        <v>0.81753999999999905</v>
      </c>
      <c r="L42" s="34">
        <v>68.109200000000001</v>
      </c>
      <c r="M42" s="34">
        <v>97.367539999999906</v>
      </c>
      <c r="N42" s="35">
        <v>1.4314306893995501</v>
      </c>
      <c r="O42" s="35">
        <v>1.43329336478799</v>
      </c>
      <c r="P42" s="35">
        <v>1.43001477616378</v>
      </c>
      <c r="Q42" s="35">
        <v>1.4298792045523201</v>
      </c>
      <c r="R42" s="34">
        <v>96.675637454950106</v>
      </c>
      <c r="S42" s="34">
        <v>96.4385963448251</v>
      </c>
      <c r="T42" s="34">
        <v>96.436282277207297</v>
      </c>
      <c r="U42" s="16">
        <v>1.3004223902215301E-3</v>
      </c>
      <c r="V42" s="16">
        <v>-1.1545103665078201E-3</v>
      </c>
      <c r="W42" s="16">
        <v>-1.17850589806148E-3</v>
      </c>
      <c r="X42" s="35">
        <v>1.4295798511801601</v>
      </c>
      <c r="Y42" s="35">
        <v>1.43040773636679</v>
      </c>
      <c r="Z42" s="35">
        <v>1.4288185114856</v>
      </c>
      <c r="AA42" s="35">
        <v>1.4287598625453299</v>
      </c>
      <c r="AB42" s="34">
        <v>97.423926597753393</v>
      </c>
      <c r="AC42" s="34">
        <v>97.305218319332198</v>
      </c>
      <c r="AD42" s="34">
        <v>97.305279405185303</v>
      </c>
      <c r="AE42" s="16">
        <v>5.7894321874823204E-4</v>
      </c>
      <c r="AF42" s="16">
        <v>-6.40271225772458E-4</v>
      </c>
      <c r="AG42" s="16">
        <v>-6.3964345025304401E-4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9">
        <f t="shared" si="8"/>
        <v>0</v>
      </c>
      <c r="AP42" s="29">
        <f t="shared" si="9"/>
        <v>0</v>
      </c>
      <c r="AQ42" s="29">
        <f t="shared" si="16"/>
        <v>0</v>
      </c>
      <c r="AR42" s="30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9">
        <f t="shared" si="12"/>
        <v>0</v>
      </c>
      <c r="BA42" s="29">
        <f t="shared" si="13"/>
        <v>0</v>
      </c>
      <c r="BB42" s="29">
        <f t="shared" si="20"/>
        <v>0</v>
      </c>
      <c r="BC42" s="30">
        <f t="shared" si="21"/>
        <v>0</v>
      </c>
      <c r="BE42" s="30">
        <f t="shared" si="22"/>
        <v>0</v>
      </c>
      <c r="BF42" s="30">
        <f t="shared" si="23"/>
        <v>0</v>
      </c>
      <c r="BH42" s="30"/>
    </row>
    <row r="43" spans="1:124" x14ac:dyDescent="0.25">
      <c r="A43" s="1">
        <v>46085</v>
      </c>
      <c r="B43" s="34">
        <v>67.61</v>
      </c>
      <c r="C43" s="34">
        <v>96.87</v>
      </c>
      <c r="D43" s="16">
        <v>2.3693184488215199E-3</v>
      </c>
      <c r="E43" s="16">
        <v>3.30886456377008E-3</v>
      </c>
      <c r="F43" s="34">
        <v>0</v>
      </c>
      <c r="G43" s="34">
        <v>0.65920000000000001</v>
      </c>
      <c r="H43" s="34">
        <v>0</v>
      </c>
      <c r="I43" s="34">
        <v>0.81753999999999905</v>
      </c>
      <c r="J43" s="34">
        <v>0.65920000000000001</v>
      </c>
      <c r="K43" s="34">
        <v>0.81753999999999905</v>
      </c>
      <c r="L43" s="34">
        <v>68.269199999999998</v>
      </c>
      <c r="M43" s="34">
        <v>97.687539999999998</v>
      </c>
      <c r="N43" s="35">
        <v>1.4327762165360101</v>
      </c>
      <c r="O43" s="35">
        <v>1.43329336478799</v>
      </c>
      <c r="P43" s="35">
        <v>1.43038926641557</v>
      </c>
      <c r="Q43" s="35">
        <v>1.43005547078935</v>
      </c>
      <c r="R43" s="34">
        <v>96.904964393316206</v>
      </c>
      <c r="S43" s="34">
        <v>96.683299016433395</v>
      </c>
      <c r="T43" s="34">
        <v>96.674133019782602</v>
      </c>
      <c r="U43" s="16">
        <v>3.60876275272943E-4</v>
      </c>
      <c r="V43" s="16">
        <v>-1.9291951356093101E-3</v>
      </c>
      <c r="W43" s="16">
        <v>-2.0240039729124198E-3</v>
      </c>
      <c r="X43" s="35">
        <v>1.4309167237934499</v>
      </c>
      <c r="Y43" s="35">
        <v>1.43040773636679</v>
      </c>
      <c r="Z43" s="35">
        <v>1.4291100219536901</v>
      </c>
      <c r="AA43" s="35">
        <v>1.4288955011</v>
      </c>
      <c r="AB43" s="34">
        <v>97.652791835572103</v>
      </c>
      <c r="AC43" s="34">
        <v>97.544296724313</v>
      </c>
      <c r="AD43" s="34">
        <v>97.540292808079897</v>
      </c>
      <c r="AE43" s="16">
        <v>-3.5577051055312798E-4</v>
      </c>
      <c r="AF43" s="16">
        <v>-1.46741744373571E-3</v>
      </c>
      <c r="AG43" s="16">
        <v>-1.5084654449465801E-3</v>
      </c>
      <c r="AI43" s="12"/>
      <c r="AJ43">
        <f t="shared" si="6"/>
        <v>1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9">
        <f t="shared" si="8"/>
        <v>0</v>
      </c>
      <c r="AP43" s="29">
        <f t="shared" si="9"/>
        <v>0</v>
      </c>
      <c r="AQ43" s="29">
        <f t="shared" si="16"/>
        <v>0</v>
      </c>
      <c r="AR43" s="30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9">
        <f t="shared" si="12"/>
        <v>0</v>
      </c>
      <c r="BA43" s="29">
        <f t="shared" si="13"/>
        <v>0</v>
      </c>
      <c r="BB43" s="29">
        <f t="shared" si="20"/>
        <v>0</v>
      </c>
      <c r="BC43" s="30">
        <f t="shared" si="21"/>
        <v>0</v>
      </c>
      <c r="BE43" s="30">
        <f t="shared" si="22"/>
        <v>0</v>
      </c>
      <c r="BF43" s="30">
        <f t="shared" si="23"/>
        <v>0</v>
      </c>
      <c r="BH43" s="30"/>
    </row>
    <row r="44" spans="1:124" x14ac:dyDescent="0.25">
      <c r="A44" s="1">
        <v>46086</v>
      </c>
      <c r="B44" s="34">
        <v>67.39</v>
      </c>
      <c r="C44" s="34">
        <v>96.38</v>
      </c>
      <c r="D44" s="16">
        <v>-3.2592621444608601E-3</v>
      </c>
      <c r="E44" s="16">
        <v>-5.071162226107E-3</v>
      </c>
      <c r="F44" s="34">
        <v>0</v>
      </c>
      <c r="G44" s="34">
        <v>0.65920000000000001</v>
      </c>
      <c r="H44" s="34">
        <v>0</v>
      </c>
      <c r="I44" s="34">
        <v>0.81753999999999905</v>
      </c>
      <c r="J44" s="34">
        <v>0.65920000000000001</v>
      </c>
      <c r="K44" s="34">
        <v>0.81753999999999905</v>
      </c>
      <c r="L44" s="34">
        <v>68.049199999999999</v>
      </c>
      <c r="M44" s="34">
        <v>97.197539999999904</v>
      </c>
      <c r="N44" s="35">
        <v>1.43018251966167</v>
      </c>
      <c r="O44" s="35">
        <v>1.43329336478799</v>
      </c>
      <c r="P44" s="35">
        <v>1.4304980545669099</v>
      </c>
      <c r="Q44" s="35">
        <v>1.43001915574908</v>
      </c>
      <c r="R44" s="34">
        <v>96.589639853062906</v>
      </c>
      <c r="S44" s="34">
        <v>96.393932663745304</v>
      </c>
      <c r="T44" s="34">
        <v>96.371438176494294</v>
      </c>
      <c r="U44" s="16">
        <v>2.1727763569190802E-3</v>
      </c>
      <c r="V44" s="16">
        <v>1.44549250793974E-4</v>
      </c>
      <c r="W44" s="16">
        <v>-8.8837972803765104E-5</v>
      </c>
      <c r="X44" s="35">
        <v>1.4283421406864401</v>
      </c>
      <c r="Y44" s="35">
        <v>1.43040773636679</v>
      </c>
      <c r="Z44" s="35">
        <v>1.4291378931282099</v>
      </c>
      <c r="AA44" s="35">
        <v>1.42881996943289</v>
      </c>
      <c r="AB44" s="34">
        <v>97.338102133571397</v>
      </c>
      <c r="AC44" s="34">
        <v>97.249793705931594</v>
      </c>
      <c r="AD44" s="34">
        <v>97.235195733454205</v>
      </c>
      <c r="AE44" s="16">
        <v>1.44510441882486E-3</v>
      </c>
      <c r="AF44" s="16">
        <v>5.3745871638944905E-4</v>
      </c>
      <c r="AG44" s="16">
        <v>3.8733944449237802E-4</v>
      </c>
      <c r="AI44" s="12"/>
      <c r="AJ44">
        <f t="shared" si="6"/>
        <v>0</v>
      </c>
      <c r="AK44">
        <f t="shared" si="7"/>
        <v>1</v>
      </c>
      <c r="AL44">
        <f t="shared" si="14"/>
        <v>1</v>
      </c>
      <c r="AM44">
        <f t="shared" si="4"/>
        <v>1</v>
      </c>
      <c r="AN44">
        <f t="shared" si="15"/>
        <v>1</v>
      </c>
      <c r="AO44" s="29">
        <f t="shared" si="8"/>
        <v>-3.2592621444608601E-3</v>
      </c>
      <c r="AP44" s="29">
        <f t="shared" si="9"/>
        <v>5.071162226107E-3</v>
      </c>
      <c r="AQ44" s="29">
        <f t="shared" si="16"/>
        <v>1.8119000816461399E-3</v>
      </c>
      <c r="AR44" s="30">
        <f t="shared" si="17"/>
        <v>1.8119000816461399E-3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9">
        <f t="shared" si="12"/>
        <v>0</v>
      </c>
      <c r="BA44" s="29">
        <f t="shared" si="13"/>
        <v>0</v>
      </c>
      <c r="BB44" s="29">
        <f t="shared" si="20"/>
        <v>0</v>
      </c>
      <c r="BC44" s="30">
        <f t="shared" si="21"/>
        <v>0</v>
      </c>
      <c r="BE44" s="30">
        <f t="shared" si="22"/>
        <v>1.8119000816461399E-3</v>
      </c>
      <c r="BF44" s="30">
        <f t="shared" si="23"/>
        <v>1.8119000816461399E-3</v>
      </c>
      <c r="BH44" s="30"/>
    </row>
    <row r="45" spans="1:124" x14ac:dyDescent="0.25">
      <c r="A45" s="1">
        <v>46087</v>
      </c>
      <c r="B45" s="34">
        <v>66.94</v>
      </c>
      <c r="C45" s="34">
        <v>95.75</v>
      </c>
      <c r="D45" s="16">
        <v>-6.6999431749451303E-3</v>
      </c>
      <c r="E45" s="16">
        <v>-6.55808315143128E-3</v>
      </c>
      <c r="F45" s="34">
        <v>0</v>
      </c>
      <c r="G45" s="34">
        <v>0.65920000000000001</v>
      </c>
      <c r="H45" s="34">
        <v>0</v>
      </c>
      <c r="I45" s="34">
        <v>0.81753999999999905</v>
      </c>
      <c r="J45" s="34">
        <v>0.65920000000000001</v>
      </c>
      <c r="K45" s="34">
        <v>0.81753999999999905</v>
      </c>
      <c r="L45" s="34">
        <v>67.599199999999996</v>
      </c>
      <c r="M45" s="34">
        <v>96.567539999999994</v>
      </c>
      <c r="N45" s="35">
        <v>1.4303854197789001</v>
      </c>
      <c r="O45" s="35">
        <v>1.43329336478799</v>
      </c>
      <c r="P45" s="35">
        <v>1.4305644149928201</v>
      </c>
      <c r="Q45" s="35">
        <v>1.43008021689807</v>
      </c>
      <c r="R45" s="34">
        <v>95.944657838908299</v>
      </c>
      <c r="S45" s="34">
        <v>95.757539772708995</v>
      </c>
      <c r="T45" s="34">
        <v>95.725482285843498</v>
      </c>
      <c r="U45" s="16">
        <v>2.0309163334051102E-3</v>
      </c>
      <c r="V45" s="16">
        <v>7.87412623224302E-5</v>
      </c>
      <c r="W45" s="16">
        <v>-2.5609246675138399E-4</v>
      </c>
      <c r="X45" s="35">
        <v>1.4285308110155099</v>
      </c>
      <c r="Y45" s="35">
        <v>1.43040773636679</v>
      </c>
      <c r="Z45" s="35">
        <v>1.4291221638054601</v>
      </c>
      <c r="AA45" s="35">
        <v>1.4288404710214799</v>
      </c>
      <c r="AB45" s="34">
        <v>96.694418652206295</v>
      </c>
      <c r="AC45" s="34">
        <v>96.608578265152801</v>
      </c>
      <c r="AD45" s="34">
        <v>96.587086877688193</v>
      </c>
      <c r="AE45" s="16">
        <v>1.31302271093334E-3</v>
      </c>
      <c r="AF45" s="16">
        <v>4.2487928775844302E-4</v>
      </c>
      <c r="AG45" s="16">
        <v>2.0239616385030499E-4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9">
        <f t="shared" si="8"/>
        <v>0</v>
      </c>
      <c r="AP45" s="29">
        <f t="shared" si="9"/>
        <v>0</v>
      </c>
      <c r="AQ45" s="29">
        <f t="shared" si="16"/>
        <v>0</v>
      </c>
      <c r="AR45" s="30">
        <f t="shared" si="17"/>
        <v>1.8119000816461399E-3</v>
      </c>
      <c r="AT45" s="12"/>
      <c r="AU45">
        <f t="shared" si="10"/>
        <v>0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9">
        <f t="shared" si="12"/>
        <v>0</v>
      </c>
      <c r="BA45" s="29">
        <f t="shared" si="13"/>
        <v>0</v>
      </c>
      <c r="BB45" s="29">
        <f t="shared" si="20"/>
        <v>0</v>
      </c>
      <c r="BC45" s="30">
        <f t="shared" si="21"/>
        <v>0</v>
      </c>
      <c r="BE45" s="30">
        <f t="shared" si="22"/>
        <v>0</v>
      </c>
      <c r="BF45" s="30">
        <f t="shared" si="23"/>
        <v>1.8119000816461399E-3</v>
      </c>
      <c r="BH45" s="30"/>
    </row>
    <row r="46" spans="1:124" x14ac:dyDescent="0.25">
      <c r="A46" s="1">
        <v>46090</v>
      </c>
      <c r="B46" s="34">
        <v>67.08</v>
      </c>
      <c r="C46" s="34">
        <v>95.96</v>
      </c>
      <c r="D46" s="16">
        <v>2.0892411718275599E-3</v>
      </c>
      <c r="E46" s="16">
        <v>2.1908099107383798E-3</v>
      </c>
      <c r="F46" s="34">
        <v>0</v>
      </c>
      <c r="G46" s="34">
        <v>0.65920000000000001</v>
      </c>
      <c r="H46" s="34">
        <v>0</v>
      </c>
      <c r="I46" s="34">
        <v>0.81753999999999905</v>
      </c>
      <c r="J46" s="34">
        <v>0.65920000000000001</v>
      </c>
      <c r="K46" s="34">
        <v>0.81753999999999905</v>
      </c>
      <c r="L46" s="34">
        <v>67.739199999999997</v>
      </c>
      <c r="M46" s="34">
        <v>96.777539999999902</v>
      </c>
      <c r="N46" s="35">
        <v>1.43053070960047</v>
      </c>
      <c r="O46" s="35">
        <v>1.43329336478799</v>
      </c>
      <c r="P46" s="35">
        <v>1.4307039273745401</v>
      </c>
      <c r="Q46" s="35">
        <v>1.43006931526652</v>
      </c>
      <c r="R46" s="34">
        <v>96.145318909978599</v>
      </c>
      <c r="S46" s="34">
        <v>95.962260957718698</v>
      </c>
      <c r="T46" s="34">
        <v>95.929780949522794</v>
      </c>
      <c r="U46" s="16">
        <v>1.92934759449422E-3</v>
      </c>
      <c r="V46" s="16">
        <v>2.35611826120572E-5</v>
      </c>
      <c r="W46" s="16">
        <v>-3.1496258505750002E-4</v>
      </c>
      <c r="X46" s="35">
        <v>1.4286785199707099</v>
      </c>
      <c r="Y46" s="35">
        <v>1.43040773636679</v>
      </c>
      <c r="Z46" s="35">
        <v>1.4291794332929499</v>
      </c>
      <c r="AA46" s="35">
        <v>1.4287894501122</v>
      </c>
      <c r="AB46" s="34">
        <v>96.894675735297696</v>
      </c>
      <c r="AC46" s="34">
        <v>96.807592078450995</v>
      </c>
      <c r="AD46" s="34">
        <v>96.788510434618502</v>
      </c>
      <c r="AE46" s="16">
        <v>1.2096288477496601E-3</v>
      </c>
      <c r="AF46" s="16">
        <v>3.1047920230079299E-4</v>
      </c>
      <c r="AG46" s="16">
        <v>1.1335081338538399E-4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9">
        <f t="shared" si="8"/>
        <v>0</v>
      </c>
      <c r="AP46" s="29">
        <f t="shared" si="9"/>
        <v>0</v>
      </c>
      <c r="AQ46" s="29">
        <f t="shared" si="16"/>
        <v>0</v>
      </c>
      <c r="AR46" s="30">
        <f t="shared" si="17"/>
        <v>1.8119000816461399E-3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9">
        <f t="shared" si="12"/>
        <v>0</v>
      </c>
      <c r="BA46" s="29">
        <f t="shared" si="13"/>
        <v>0</v>
      </c>
      <c r="BB46" s="29">
        <f t="shared" si="20"/>
        <v>0</v>
      </c>
      <c r="BC46" s="30">
        <f t="shared" si="21"/>
        <v>0</v>
      </c>
      <c r="BE46" s="30">
        <f t="shared" si="22"/>
        <v>0</v>
      </c>
      <c r="BF46" s="30">
        <f t="shared" si="23"/>
        <v>1.8119000816461399E-3</v>
      </c>
      <c r="BH46" s="30"/>
    </row>
    <row r="47" spans="1:124" x14ac:dyDescent="0.25">
      <c r="A47" s="1">
        <v>46091</v>
      </c>
      <c r="B47" s="34">
        <v>67.09</v>
      </c>
      <c r="C47" s="34">
        <v>95.95</v>
      </c>
      <c r="D47" s="16">
        <v>1.4906461978868199E-4</v>
      </c>
      <c r="E47" s="16">
        <v>-1.0421551778479301E-4</v>
      </c>
      <c r="F47" s="34">
        <v>0</v>
      </c>
      <c r="G47" s="34">
        <v>0.65920000000000001</v>
      </c>
      <c r="H47" s="34">
        <v>0</v>
      </c>
      <c r="I47" s="34">
        <v>0.81753999999999905</v>
      </c>
      <c r="J47" s="34">
        <v>0.65920000000000001</v>
      </c>
      <c r="K47" s="34">
        <v>0.81753999999999905</v>
      </c>
      <c r="L47" s="34">
        <v>67.749200000000002</v>
      </c>
      <c r="M47" s="34">
        <v>96.767539999999997</v>
      </c>
      <c r="N47" s="35">
        <v>1.4301684304665301</v>
      </c>
      <c r="O47" s="35">
        <v>1.43329336478799</v>
      </c>
      <c r="P47" s="35">
        <v>1.43070671066724</v>
      </c>
      <c r="Q47" s="35">
        <v>1.4300604342166501</v>
      </c>
      <c r="R47" s="34">
        <v>96.159651843626506</v>
      </c>
      <c r="S47" s="34">
        <v>95.985926487558501</v>
      </c>
      <c r="T47" s="34">
        <v>95.943350361231197</v>
      </c>
      <c r="U47" s="16">
        <v>2.1826277320679001E-3</v>
      </c>
      <c r="V47" s="16">
        <v>3.7435917949903499E-4</v>
      </c>
      <c r="W47" s="16">
        <v>-6.9305567481725498E-5</v>
      </c>
      <c r="X47" s="35">
        <v>1.4283200392034101</v>
      </c>
      <c r="Y47" s="35">
        <v>1.43040773636679</v>
      </c>
      <c r="Z47" s="35">
        <v>1.4291009859719599</v>
      </c>
      <c r="AA47" s="35">
        <v>1.4287405081939499</v>
      </c>
      <c r="AB47" s="34">
        <v>96.9089798126614</v>
      </c>
      <c r="AC47" s="34">
        <v>96.825763262051296</v>
      </c>
      <c r="AD47" s="34">
        <v>96.799342213541806</v>
      </c>
      <c r="AE47" s="16">
        <v>1.46057806018556E-3</v>
      </c>
      <c r="AF47" s="16">
        <v>6.0150080427042298E-4</v>
      </c>
      <c r="AG47" s="16">
        <v>3.2859147664412899E-4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9">
        <f t="shared" si="8"/>
        <v>0</v>
      </c>
      <c r="AP47" s="29">
        <f t="shared" si="9"/>
        <v>0</v>
      </c>
      <c r="AQ47" s="29">
        <f t="shared" si="16"/>
        <v>0</v>
      </c>
      <c r="AR47" s="30">
        <f t="shared" si="17"/>
        <v>1.8119000816461399E-3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9">
        <f t="shared" si="12"/>
        <v>0</v>
      </c>
      <c r="BA47" s="29">
        <f t="shared" si="13"/>
        <v>0</v>
      </c>
      <c r="BB47" s="29">
        <f t="shared" si="20"/>
        <v>0</v>
      </c>
      <c r="BC47" s="30">
        <f t="shared" si="21"/>
        <v>0</v>
      </c>
      <c r="BE47" s="30">
        <f t="shared" si="22"/>
        <v>0</v>
      </c>
      <c r="BF47" s="30">
        <f t="shared" si="23"/>
        <v>1.8119000816461399E-3</v>
      </c>
      <c r="BH47" s="30"/>
    </row>
    <row r="48" spans="1:124" x14ac:dyDescent="0.25">
      <c r="A48" s="1">
        <v>46092</v>
      </c>
      <c r="B48" s="34">
        <v>66.94</v>
      </c>
      <c r="C48" s="34">
        <v>95.64</v>
      </c>
      <c r="D48" s="16">
        <v>-2.2383057916162399E-3</v>
      </c>
      <c r="E48" s="16">
        <v>-3.2360798635849802E-3</v>
      </c>
      <c r="F48" s="34">
        <v>0</v>
      </c>
      <c r="G48" s="34">
        <v>0.65920000000000001</v>
      </c>
      <c r="H48" s="34">
        <v>0</v>
      </c>
      <c r="I48" s="34">
        <v>0.81753999999999905</v>
      </c>
      <c r="J48" s="34">
        <v>0.65920000000000001</v>
      </c>
      <c r="K48" s="34">
        <v>0.81753999999999905</v>
      </c>
      <c r="L48" s="34">
        <v>67.599199999999996</v>
      </c>
      <c r="M48" s="34">
        <v>96.457539999999995</v>
      </c>
      <c r="N48" s="35">
        <v>1.42874215715566</v>
      </c>
      <c r="O48" s="35">
        <v>1.43329336478799</v>
      </c>
      <c r="P48" s="35">
        <v>1.4305816579117101</v>
      </c>
      <c r="Q48" s="35">
        <v>1.4300173710586499</v>
      </c>
      <c r="R48" s="34">
        <v>95.944657838908299</v>
      </c>
      <c r="S48" s="34">
        <v>95.7715072120656</v>
      </c>
      <c r="T48" s="34">
        <v>95.728245466462496</v>
      </c>
      <c r="U48" s="16">
        <v>3.1804018040366999E-3</v>
      </c>
      <c r="V48" s="16">
        <v>1.3740786504695E-3</v>
      </c>
      <c r="W48" s="16">
        <v>9.2225826183776004E-4</v>
      </c>
      <c r="X48" s="35">
        <v>1.4269035728233399</v>
      </c>
      <c r="Y48" s="35">
        <v>1.43040773636679</v>
      </c>
      <c r="Z48" s="35">
        <v>1.4288955045829399</v>
      </c>
      <c r="AA48" s="35">
        <v>1.4286575282424301</v>
      </c>
      <c r="AB48" s="34">
        <v>96.694418652206295</v>
      </c>
      <c r="AC48" s="34">
        <v>96.606083370915897</v>
      </c>
      <c r="AD48" s="34">
        <v>96.581715361504706</v>
      </c>
      <c r="AE48" s="16">
        <v>2.4527710991506099E-3</v>
      </c>
      <c r="AF48" s="16">
        <v>1.5388025733056501E-3</v>
      </c>
      <c r="AG48" s="16">
        <v>1.2865298138424099E-3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9">
        <f t="shared" si="8"/>
        <v>0</v>
      </c>
      <c r="AP48" s="29">
        <f t="shared" si="9"/>
        <v>0</v>
      </c>
      <c r="AQ48" s="29">
        <f t="shared" si="16"/>
        <v>0</v>
      </c>
      <c r="AR48" s="30">
        <f t="shared" si="17"/>
        <v>1.8119000816461399E-3</v>
      </c>
      <c r="AT48" s="12"/>
      <c r="AU48">
        <f t="shared" si="10"/>
        <v>1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9">
        <f t="shared" si="12"/>
        <v>0</v>
      </c>
      <c r="BA48" s="29">
        <f t="shared" si="13"/>
        <v>0</v>
      </c>
      <c r="BB48" s="29">
        <f t="shared" si="20"/>
        <v>0</v>
      </c>
      <c r="BC48" s="30">
        <f t="shared" si="21"/>
        <v>0</v>
      </c>
      <c r="BE48" s="30">
        <f t="shared" si="22"/>
        <v>0</v>
      </c>
      <c r="BF48" s="30">
        <f t="shared" si="23"/>
        <v>1.8119000816461399E-3</v>
      </c>
      <c r="BH48" s="30"/>
    </row>
    <row r="49" spans="1:60" x14ac:dyDescent="0.25">
      <c r="A49" s="1">
        <v>46093</v>
      </c>
      <c r="B49" s="34">
        <v>66.41</v>
      </c>
      <c r="C49" s="34">
        <v>94.84</v>
      </c>
      <c r="D49" s="16">
        <v>-7.9490482305582307E-3</v>
      </c>
      <c r="E49" s="16">
        <v>-8.3998813929191604E-3</v>
      </c>
      <c r="F49" s="34">
        <v>0</v>
      </c>
      <c r="G49" s="34">
        <v>0.65920000000000001</v>
      </c>
      <c r="H49" s="34">
        <v>0</v>
      </c>
      <c r="I49" s="34">
        <v>0.81753999999999905</v>
      </c>
      <c r="J49" s="34">
        <v>0.65920000000000001</v>
      </c>
      <c r="K49" s="34">
        <v>0.81753999999999905</v>
      </c>
      <c r="L49" s="34">
        <v>67.069199999999995</v>
      </c>
      <c r="M49" s="34">
        <v>95.657539999999997</v>
      </c>
      <c r="N49" s="35">
        <v>1.42809817798524</v>
      </c>
      <c r="O49" s="35">
        <v>1.43329336478799</v>
      </c>
      <c r="P49" s="35">
        <v>1.4304381609143899</v>
      </c>
      <c r="Q49" s="35">
        <v>1.42993473757254</v>
      </c>
      <c r="R49" s="34">
        <v>95.185012355570606</v>
      </c>
      <c r="S49" s="34">
        <v>95.004927901916702</v>
      </c>
      <c r="T49" s="34">
        <v>94.9674536120055</v>
      </c>
      <c r="U49" s="16">
        <v>3.6312349663976599E-3</v>
      </c>
      <c r="V49" s="16">
        <v>1.73750170975148E-3</v>
      </c>
      <c r="W49" s="16">
        <v>1.34297814691963E-3</v>
      </c>
      <c r="X49" s="35">
        <v>1.4262513940825201</v>
      </c>
      <c r="Y49" s="35">
        <v>1.43040773636679</v>
      </c>
      <c r="Z49" s="35">
        <v>1.4286705618587801</v>
      </c>
      <c r="AA49" s="35">
        <v>1.42853460470617</v>
      </c>
      <c r="AB49" s="34">
        <v>95.936302551931902</v>
      </c>
      <c r="AC49" s="34">
        <v>95.834878375974199</v>
      </c>
      <c r="AD49" s="34">
        <v>95.818917493197503</v>
      </c>
      <c r="AE49" s="16">
        <v>2.9099343165296899E-3</v>
      </c>
      <c r="AF49" s="16">
        <v>1.8521717797021001E-3</v>
      </c>
      <c r="AG49" s="16">
        <v>1.6856122524959399E-3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9">
        <f t="shared" si="8"/>
        <v>0</v>
      </c>
      <c r="AP49" s="29">
        <f t="shared" si="9"/>
        <v>0</v>
      </c>
      <c r="AQ49" s="29">
        <f t="shared" si="16"/>
        <v>0</v>
      </c>
      <c r="AR49" s="30">
        <f t="shared" si="17"/>
        <v>1.8119000816461399E-3</v>
      </c>
      <c r="AT49" s="12"/>
      <c r="AU49">
        <f t="shared" si="10"/>
        <v>1</v>
      </c>
      <c r="AV49">
        <f t="shared" si="11"/>
        <v>0</v>
      </c>
      <c r="AW49">
        <f t="shared" si="18"/>
        <v>1</v>
      </c>
      <c r="AX49">
        <f t="shared" si="5"/>
        <v>1</v>
      </c>
      <c r="AY49">
        <f t="shared" si="19"/>
        <v>1</v>
      </c>
      <c r="AZ49" s="29">
        <f t="shared" si="12"/>
        <v>7.9490482305582307E-3</v>
      </c>
      <c r="BA49" s="29">
        <f t="shared" si="13"/>
        <v>-8.3998813929191604E-3</v>
      </c>
      <c r="BB49" s="29">
        <f t="shared" si="20"/>
        <v>-4.508331623609297E-4</v>
      </c>
      <c r="BC49" s="30">
        <f t="shared" si="21"/>
        <v>-4.508331623609297E-4</v>
      </c>
      <c r="BE49" s="30">
        <f t="shared" si="22"/>
        <v>-4.508331623609297E-4</v>
      </c>
      <c r="BF49" s="30">
        <f t="shared" si="23"/>
        <v>1.3610669192852102E-3</v>
      </c>
      <c r="BH49" s="30"/>
    </row>
    <row r="50" spans="1:60" x14ac:dyDescent="0.25">
      <c r="A50" s="1">
        <v>46094</v>
      </c>
      <c r="B50" s="34">
        <v>65.989999999999995</v>
      </c>
      <c r="C50" s="34">
        <v>94.38</v>
      </c>
      <c r="D50" s="16">
        <v>-6.3444321572921096E-3</v>
      </c>
      <c r="E50" s="16">
        <v>-4.86207489896337E-3</v>
      </c>
      <c r="F50" s="34">
        <v>0</v>
      </c>
      <c r="G50" s="34">
        <v>0.65920000000000001</v>
      </c>
      <c r="H50" s="34">
        <v>0</v>
      </c>
      <c r="I50" s="34">
        <v>0.81753999999999905</v>
      </c>
      <c r="J50" s="34">
        <v>0.65920000000000001</v>
      </c>
      <c r="K50" s="34">
        <v>0.81753999999999905</v>
      </c>
      <c r="L50" s="34">
        <v>66.649199999999993</v>
      </c>
      <c r="M50" s="34">
        <v>95.197539999999904</v>
      </c>
      <c r="N50" s="35">
        <v>1.4302166994999199</v>
      </c>
      <c r="O50" s="35">
        <v>1.43329336478799</v>
      </c>
      <c r="P50" s="35">
        <v>1.4304751929711801</v>
      </c>
      <c r="Q50" s="35">
        <v>1.4299907599097701</v>
      </c>
      <c r="R50" s="34">
        <v>94.583029142359706</v>
      </c>
      <c r="S50" s="34">
        <v>94.394614238740601</v>
      </c>
      <c r="T50" s="34">
        <v>94.361393332412206</v>
      </c>
      <c r="U50" s="16">
        <v>2.1488777080689802E-3</v>
      </c>
      <c r="V50" s="16">
        <v>1.54832669941495E-4</v>
      </c>
      <c r="W50" s="16">
        <v>-1.97165733700087E-4</v>
      </c>
      <c r="X50" s="35">
        <v>1.4283373243789801</v>
      </c>
      <c r="Y50" s="35">
        <v>1.43040773636679</v>
      </c>
      <c r="Z50" s="35">
        <v>1.4286230138699401</v>
      </c>
      <c r="AA50" s="35">
        <v>1.42854837747231</v>
      </c>
      <c r="AB50" s="34">
        <v>95.335531302657898</v>
      </c>
      <c r="AC50" s="34">
        <v>95.219750011438194</v>
      </c>
      <c r="AD50" s="34">
        <v>95.210688575982601</v>
      </c>
      <c r="AE50" s="16">
        <v>1.44847638093417E-3</v>
      </c>
      <c r="AF50" s="16">
        <v>2.33277256888341E-4</v>
      </c>
      <c r="AG50" s="16">
        <v>1.3810932544125701E-4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9">
        <f t="shared" si="8"/>
        <v>0</v>
      </c>
      <c r="AP50" s="29">
        <f t="shared" si="9"/>
        <v>0</v>
      </c>
      <c r="AQ50" s="29">
        <f t="shared" si="16"/>
        <v>0</v>
      </c>
      <c r="AR50" s="30">
        <f t="shared" si="17"/>
        <v>1.8119000816461399E-3</v>
      </c>
      <c r="AT50" s="12"/>
      <c r="AU50">
        <f t="shared" si="10"/>
        <v>0</v>
      </c>
      <c r="AV50">
        <f t="shared" si="11"/>
        <v>0</v>
      </c>
      <c r="AW50">
        <f t="shared" si="18"/>
        <v>1</v>
      </c>
      <c r="AX50">
        <f t="shared" si="5"/>
        <v>1</v>
      </c>
      <c r="AY50">
        <f t="shared" si="19"/>
        <v>1</v>
      </c>
      <c r="AZ50" s="29">
        <f t="shared" si="12"/>
        <v>6.3444321572921096E-3</v>
      </c>
      <c r="BA50" s="29">
        <f t="shared" si="13"/>
        <v>-4.86207489896337E-3</v>
      </c>
      <c r="BB50" s="29">
        <f t="shared" si="20"/>
        <v>1.4823572583287396E-3</v>
      </c>
      <c r="BC50" s="30">
        <f t="shared" si="21"/>
        <v>1.0315240959678099E-3</v>
      </c>
      <c r="BE50" s="30">
        <f t="shared" si="22"/>
        <v>1.4823572583287396E-3</v>
      </c>
      <c r="BF50" s="30">
        <f t="shared" si="23"/>
        <v>2.8434241776139498E-3</v>
      </c>
      <c r="BH50" s="30"/>
    </row>
    <row r="51" spans="1:60" x14ac:dyDescent="0.25">
      <c r="A51" s="1">
        <v>46097</v>
      </c>
      <c r="B51" s="34">
        <v>66.290000000000006</v>
      </c>
      <c r="C51" s="34">
        <v>94.75</v>
      </c>
      <c r="D51" s="16">
        <v>4.5358408579701101E-3</v>
      </c>
      <c r="E51" s="16">
        <v>3.9126576642944198E-3</v>
      </c>
      <c r="F51" s="34">
        <v>0</v>
      </c>
      <c r="G51" s="34">
        <v>0.65920000000000001</v>
      </c>
      <c r="H51" s="34">
        <v>0</v>
      </c>
      <c r="I51" s="34">
        <v>0.81753999999999905</v>
      </c>
      <c r="J51" s="34">
        <v>0.65920000000000001</v>
      </c>
      <c r="K51" s="34">
        <v>0.81753999999999905</v>
      </c>
      <c r="L51" s="34">
        <v>66.949200000000005</v>
      </c>
      <c r="M51" s="34">
        <v>95.567539999999994</v>
      </c>
      <c r="N51" s="35">
        <v>1.4293256901493401</v>
      </c>
      <c r="O51" s="35">
        <v>1.43329336478799</v>
      </c>
      <c r="P51" s="35">
        <v>1.4301856710233301</v>
      </c>
      <c r="Q51" s="35">
        <v>1.42998235622942</v>
      </c>
      <c r="R51" s="34">
        <v>95.013017151796106</v>
      </c>
      <c r="S51" s="34">
        <v>94.826200542059993</v>
      </c>
      <c r="T51" s="34">
        <v>94.794087474419001</v>
      </c>
      <c r="U51" s="16">
        <v>2.7720609017445699E-3</v>
      </c>
      <c r="V51" s="16">
        <v>8.0390413929507301E-4</v>
      </c>
      <c r="W51" s="16">
        <v>4.6519494014876601E-4</v>
      </c>
      <c r="X51" s="35">
        <v>1.4274635096461099</v>
      </c>
      <c r="Y51" s="35">
        <v>1.43040773636679</v>
      </c>
      <c r="Z51" s="35">
        <v>1.4283323886780599</v>
      </c>
      <c r="AA51" s="35">
        <v>1.4284986069890999</v>
      </c>
      <c r="AB51" s="34">
        <v>95.764653623567895</v>
      </c>
      <c r="AC51" s="34">
        <v>95.645167880181901</v>
      </c>
      <c r="AD51" s="34">
        <v>95.640171033069606</v>
      </c>
      <c r="AE51" s="16">
        <v>2.0604341545479498E-3</v>
      </c>
      <c r="AF51" s="16">
        <v>8.119531939834E-4</v>
      </c>
      <c r="AG51" s="16">
        <v>7.5970823739816297E-4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9">
        <f t="shared" si="8"/>
        <v>0</v>
      </c>
      <c r="AP51" s="29">
        <f t="shared" si="9"/>
        <v>0</v>
      </c>
      <c r="AQ51" s="29">
        <f t="shared" si="16"/>
        <v>0</v>
      </c>
      <c r="AR51" s="30">
        <f t="shared" si="17"/>
        <v>1.8119000816461399E-3</v>
      </c>
      <c r="AT51" s="12"/>
      <c r="AU51">
        <f t="shared" si="10"/>
        <v>0</v>
      </c>
      <c r="AV51">
        <f t="shared" si="11"/>
        <v>0</v>
      </c>
      <c r="AW51">
        <f t="shared" si="18"/>
        <v>1</v>
      </c>
      <c r="AX51">
        <f t="shared" si="5"/>
        <v>1</v>
      </c>
      <c r="AY51">
        <f t="shared" si="19"/>
        <v>1</v>
      </c>
      <c r="AZ51" s="29">
        <f t="shared" si="12"/>
        <v>-4.5358408579701101E-3</v>
      </c>
      <c r="BA51" s="29">
        <f t="shared" si="13"/>
        <v>3.9126576642944198E-3</v>
      </c>
      <c r="BB51" s="29">
        <f t="shared" si="20"/>
        <v>-6.2318319367569031E-4</v>
      </c>
      <c r="BC51" s="30">
        <f t="shared" si="21"/>
        <v>4.0834090229211958E-4</v>
      </c>
      <c r="BE51" s="30">
        <f t="shared" si="22"/>
        <v>-6.2318319367569031E-4</v>
      </c>
      <c r="BF51" s="30">
        <f t="shared" si="23"/>
        <v>2.2202409839382595E-3</v>
      </c>
      <c r="BH51" s="30"/>
    </row>
    <row r="52" spans="1:60" x14ac:dyDescent="0.25">
      <c r="A52" s="1">
        <v>46098</v>
      </c>
      <c r="B52" s="34">
        <v>66.55</v>
      </c>
      <c r="C52" s="34">
        <v>95.1</v>
      </c>
      <c r="D52" s="16">
        <v>3.9144885878204198E-3</v>
      </c>
      <c r="E52" s="16">
        <v>3.6871255888087898E-3</v>
      </c>
      <c r="F52" s="34">
        <v>0</v>
      </c>
      <c r="G52" s="34">
        <v>0.65920000000000001</v>
      </c>
      <c r="H52" s="34">
        <v>0</v>
      </c>
      <c r="I52" s="34">
        <v>0.81753999999999905</v>
      </c>
      <c r="J52" s="34">
        <v>0.65920000000000001</v>
      </c>
      <c r="K52" s="34">
        <v>0.81753999999999905</v>
      </c>
      <c r="L52" s="34">
        <v>67.209199999999996</v>
      </c>
      <c r="M52" s="34">
        <v>95.917539999999903</v>
      </c>
      <c r="N52" s="35">
        <v>1.4290007513148</v>
      </c>
      <c r="O52" s="35">
        <v>1.43329336478799</v>
      </c>
      <c r="P52" s="35">
        <v>1.42994267721485</v>
      </c>
      <c r="Q52" s="35">
        <v>1.42997872668932</v>
      </c>
      <c r="R52" s="34">
        <v>95.385673426640906</v>
      </c>
      <c r="S52" s="34">
        <v>95.178856406602804</v>
      </c>
      <c r="T52" s="34">
        <v>95.165325807068001</v>
      </c>
      <c r="U52" s="16">
        <v>2.9994239007560602E-3</v>
      </c>
      <c r="V52" s="16">
        <v>8.2885100958189205E-4</v>
      </c>
      <c r="W52" s="16">
        <v>6.8668118437091303E-4</v>
      </c>
      <c r="X52" s="35">
        <v>1.4271489617492801</v>
      </c>
      <c r="Y52" s="35">
        <v>1.43040773636679</v>
      </c>
      <c r="Z52" s="35">
        <v>1.4280892997349799</v>
      </c>
      <c r="AA52" s="35">
        <v>1.4284539056102901</v>
      </c>
      <c r="AB52" s="34">
        <v>96.136559635023303</v>
      </c>
      <c r="AC52" s="34">
        <v>95.997077177142003</v>
      </c>
      <c r="AD52" s="34">
        <v>96.008248576851997</v>
      </c>
      <c r="AE52" s="16">
        <v>2.2808128583196902E-3</v>
      </c>
      <c r="AF52" s="16">
        <v>8.2888091449959903E-4</v>
      </c>
      <c r="AG52" s="16">
        <v>9.4524643382869699E-4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9">
        <f t="shared" si="8"/>
        <v>0</v>
      </c>
      <c r="AP52" s="29">
        <f t="shared" si="9"/>
        <v>0</v>
      </c>
      <c r="AQ52" s="29">
        <f t="shared" si="16"/>
        <v>0</v>
      </c>
      <c r="AR52" s="30">
        <f t="shared" si="17"/>
        <v>1.8119000816461399E-3</v>
      </c>
      <c r="AT52" s="12"/>
      <c r="AU52">
        <f t="shared" si="10"/>
        <v>0</v>
      </c>
      <c r="AV52">
        <f t="shared" si="11"/>
        <v>0</v>
      </c>
      <c r="AW52">
        <f t="shared" si="18"/>
        <v>1</v>
      </c>
      <c r="AX52">
        <f t="shared" si="5"/>
        <v>1</v>
      </c>
      <c r="AY52">
        <f t="shared" si="19"/>
        <v>1</v>
      </c>
      <c r="AZ52" s="29">
        <f t="shared" si="12"/>
        <v>-3.9144885878204198E-3</v>
      </c>
      <c r="BA52" s="29">
        <f t="shared" si="13"/>
        <v>3.6871255888087898E-3</v>
      </c>
      <c r="BB52" s="29">
        <f t="shared" si="20"/>
        <v>-2.2736299901162998E-4</v>
      </c>
      <c r="BC52" s="30">
        <f t="shared" si="21"/>
        <v>1.809779032804896E-4</v>
      </c>
      <c r="BE52" s="30">
        <f t="shared" si="22"/>
        <v>-2.2736299901162998E-4</v>
      </c>
      <c r="BF52" s="30">
        <f t="shared" si="23"/>
        <v>1.9928779849266295E-3</v>
      </c>
      <c r="BH52" s="30"/>
    </row>
    <row r="53" spans="1:60" x14ac:dyDescent="0.25">
      <c r="A53" s="1">
        <v>46099</v>
      </c>
      <c r="B53" s="34">
        <v>66.010000000000005</v>
      </c>
      <c r="C53" s="34">
        <v>94.36</v>
      </c>
      <c r="D53" s="16">
        <v>-8.1472991404410999E-3</v>
      </c>
      <c r="E53" s="16">
        <v>-7.8117150118702404E-3</v>
      </c>
      <c r="F53" s="34">
        <v>0</v>
      </c>
      <c r="G53" s="34">
        <v>0.65920000000000001</v>
      </c>
      <c r="H53" s="34">
        <v>0</v>
      </c>
      <c r="I53" s="34">
        <v>0.81753999999999905</v>
      </c>
      <c r="J53" s="34">
        <v>0.65920000000000001</v>
      </c>
      <c r="K53" s="34">
        <v>0.81753999999999905</v>
      </c>
      <c r="L53" s="34">
        <v>66.669200000000004</v>
      </c>
      <c r="M53" s="34">
        <v>95.177539999999993</v>
      </c>
      <c r="N53" s="35">
        <v>1.4294803817603301</v>
      </c>
      <c r="O53" s="35">
        <v>1.43329336478799</v>
      </c>
      <c r="P53" s="35">
        <v>1.42961309373729</v>
      </c>
      <c r="Q53" s="35">
        <v>1.4300011800764301</v>
      </c>
      <c r="R53" s="34">
        <v>94.611695009655406</v>
      </c>
      <c r="S53" s="34">
        <v>94.390516122952803</v>
      </c>
      <c r="T53" s="34">
        <v>94.392895748762001</v>
      </c>
      <c r="U53" s="16">
        <v>2.6638397721854101E-3</v>
      </c>
      <c r="V53" s="16">
        <v>3.2334876582600601E-4</v>
      </c>
      <c r="W53" s="16">
        <v>3.4855888133142999E-4</v>
      </c>
      <c r="X53" s="35">
        <v>1.42760885086366</v>
      </c>
      <c r="Y53" s="35">
        <v>1.43040773636679</v>
      </c>
      <c r="Z53" s="35">
        <v>1.427758512442</v>
      </c>
      <c r="AA53" s="35">
        <v>1.42843426719785</v>
      </c>
      <c r="AB53" s="34">
        <v>95.364139457385207</v>
      </c>
      <c r="AC53" s="34">
        <v>95.209571141891303</v>
      </c>
      <c r="AD53" s="34">
        <v>95.233879123913695</v>
      </c>
      <c r="AE53" s="16">
        <v>1.9586215212269399E-3</v>
      </c>
      <c r="AF53" s="16">
        <v>3.36484355495241E-4</v>
      </c>
      <c r="AG53" s="16">
        <v>5.9176204680415399E-4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9">
        <f t="shared" si="8"/>
        <v>0</v>
      </c>
      <c r="AP53" s="29">
        <f t="shared" si="9"/>
        <v>0</v>
      </c>
      <c r="AQ53" s="29">
        <f t="shared" si="16"/>
        <v>0</v>
      </c>
      <c r="AR53" s="30">
        <f t="shared" si="17"/>
        <v>1.8119000816461399E-3</v>
      </c>
      <c r="AT53" s="12"/>
      <c r="AU53">
        <f t="shared" si="10"/>
        <v>0</v>
      </c>
      <c r="AV53">
        <f t="shared" si="11"/>
        <v>0</v>
      </c>
      <c r="AW53">
        <f t="shared" si="18"/>
        <v>1</v>
      </c>
      <c r="AX53">
        <f t="shared" si="5"/>
        <v>1</v>
      </c>
      <c r="AY53">
        <f t="shared" si="19"/>
        <v>1</v>
      </c>
      <c r="AZ53" s="29">
        <f t="shared" si="12"/>
        <v>8.1472991404410999E-3</v>
      </c>
      <c r="BA53" s="29">
        <f t="shared" si="13"/>
        <v>-7.8117150118702404E-3</v>
      </c>
      <c r="BB53" s="29">
        <f t="shared" si="20"/>
        <v>3.3558412857085957E-4</v>
      </c>
      <c r="BC53" s="30">
        <f t="shared" si="21"/>
        <v>5.1656203185134917E-4</v>
      </c>
      <c r="BE53" s="30">
        <f t="shared" si="22"/>
        <v>3.3558412857085957E-4</v>
      </c>
      <c r="BF53" s="30">
        <f t="shared" si="23"/>
        <v>2.3284621134974891E-3</v>
      </c>
      <c r="BH53" s="30"/>
    </row>
    <row r="54" spans="1:60" x14ac:dyDescent="0.25">
      <c r="A54" s="1">
        <v>46100</v>
      </c>
      <c r="B54" s="34">
        <v>66.14</v>
      </c>
      <c r="C54" s="34">
        <v>94.63</v>
      </c>
      <c r="D54" s="16">
        <v>1.9674618529671702E-3</v>
      </c>
      <c r="E54" s="16">
        <v>2.8572959806670499E-3</v>
      </c>
      <c r="F54" s="34">
        <v>0</v>
      </c>
      <c r="G54" s="34">
        <v>0.65920000000000001</v>
      </c>
      <c r="H54" s="34">
        <v>0</v>
      </c>
      <c r="I54" s="34">
        <v>0.81753999999999905</v>
      </c>
      <c r="J54" s="34">
        <v>0.65920000000000001</v>
      </c>
      <c r="K54" s="34">
        <v>0.81753999999999905</v>
      </c>
      <c r="L54" s="34">
        <v>66.799199999999999</v>
      </c>
      <c r="M54" s="34">
        <v>95.447539999999904</v>
      </c>
      <c r="N54" s="35">
        <v>1.4307529482915</v>
      </c>
      <c r="O54" s="35">
        <v>1.43329336478799</v>
      </c>
      <c r="P54" s="35">
        <v>1.42967013660027</v>
      </c>
      <c r="Q54" s="35">
        <v>1.4300840955835901</v>
      </c>
      <c r="R54" s="34">
        <v>94.798023147077899</v>
      </c>
      <c r="S54" s="34">
        <v>94.554610019784306</v>
      </c>
      <c r="T54" s="34">
        <v>94.580278050255103</v>
      </c>
      <c r="U54" s="16">
        <v>1.7740056444855499E-3</v>
      </c>
      <c r="V54" s="16">
        <v>-7.9699912374913405E-4</v>
      </c>
      <c r="W54" s="16">
        <v>-5.2557346674596695E-4</v>
      </c>
      <c r="X54" s="35">
        <v>1.42887250146708</v>
      </c>
      <c r="Y54" s="35">
        <v>1.43040773636679</v>
      </c>
      <c r="Z54" s="35">
        <v>1.42781154852006</v>
      </c>
      <c r="AA54" s="35">
        <v>1.42847472082414</v>
      </c>
      <c r="AB54" s="34">
        <v>95.550092463112904</v>
      </c>
      <c r="AC54" s="34">
        <v>95.3731264243157</v>
      </c>
      <c r="AD54" s="34">
        <v>95.418266301402596</v>
      </c>
      <c r="AE54" s="16">
        <v>1.0738611955083801E-3</v>
      </c>
      <c r="AF54" s="16">
        <v>-7.7993207812039297E-4</v>
      </c>
      <c r="AG54" s="16">
        <v>-3.0674639312457E-4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9">
        <f t="shared" si="8"/>
        <v>0</v>
      </c>
      <c r="AP54" s="29">
        <f t="shared" si="9"/>
        <v>0</v>
      </c>
      <c r="AQ54" s="29">
        <f t="shared" si="16"/>
        <v>0</v>
      </c>
      <c r="AR54" s="30">
        <f t="shared" si="17"/>
        <v>1.8119000816461399E-3</v>
      </c>
      <c r="AT54" s="12"/>
      <c r="AU54">
        <f t="shared" si="10"/>
        <v>0</v>
      </c>
      <c r="AV54">
        <f t="shared" si="11"/>
        <v>1</v>
      </c>
      <c r="AW54">
        <f t="shared" si="18"/>
        <v>1</v>
      </c>
      <c r="AX54">
        <f t="shared" si="5"/>
        <v>1</v>
      </c>
      <c r="AY54">
        <f t="shared" si="19"/>
        <v>1</v>
      </c>
      <c r="AZ54" s="29">
        <f t="shared" si="12"/>
        <v>-1.9674618529671702E-3</v>
      </c>
      <c r="BA54" s="29">
        <f t="shared" si="13"/>
        <v>2.8572959806670499E-3</v>
      </c>
      <c r="BB54" s="29">
        <f t="shared" si="20"/>
        <v>8.8983412769987969E-4</v>
      </c>
      <c r="BC54" s="30">
        <f t="shared" si="21"/>
        <v>1.4063961595512289E-3</v>
      </c>
      <c r="BE54" s="30">
        <f t="shared" si="22"/>
        <v>8.8983412769987969E-4</v>
      </c>
      <c r="BF54" s="30">
        <f t="shared" si="23"/>
        <v>3.2182962411973688E-3</v>
      </c>
      <c r="BH54" s="30"/>
    </row>
    <row r="55" spans="1:60" x14ac:dyDescent="0.25">
      <c r="A55" s="1">
        <v>46101</v>
      </c>
      <c r="B55" s="34">
        <v>65.2</v>
      </c>
      <c r="C55" s="34">
        <v>93.15</v>
      </c>
      <c r="D55" s="16">
        <v>-1.43142386210394E-2</v>
      </c>
      <c r="E55" s="16">
        <v>-1.5763453472543699E-2</v>
      </c>
      <c r="F55" s="34">
        <v>0</v>
      </c>
      <c r="G55" s="34">
        <v>0.65920000000000001</v>
      </c>
      <c r="H55" s="34">
        <v>0</v>
      </c>
      <c r="I55" s="34">
        <v>0.81753999999999905</v>
      </c>
      <c r="J55" s="34">
        <v>0.65920000000000001</v>
      </c>
      <c r="K55" s="34">
        <v>0.81753999999999905</v>
      </c>
      <c r="L55" s="34">
        <v>65.859200000000001</v>
      </c>
      <c r="M55" s="34">
        <v>93.96754</v>
      </c>
      <c r="N55" s="35">
        <v>1.42868098159509</v>
      </c>
      <c r="O55" s="35">
        <v>1.43329336478799</v>
      </c>
      <c r="P55" s="35">
        <v>1.4294996927818899</v>
      </c>
      <c r="Q55" s="35">
        <v>1.4300320538873501</v>
      </c>
      <c r="R55" s="34">
        <v>93.450727384177199</v>
      </c>
      <c r="S55" s="34">
        <v>93.214492906337796</v>
      </c>
      <c r="T55" s="34">
        <v>93.241483032050198</v>
      </c>
      <c r="U55" s="16">
        <v>3.2232204959899802E-3</v>
      </c>
      <c r="V55" s="16">
        <v>6.9211584145184503E-4</v>
      </c>
      <c r="W55" s="16">
        <v>9.8162252811174393E-4</v>
      </c>
      <c r="X55" s="35">
        <v>1.4267944341868699</v>
      </c>
      <c r="Y55" s="35">
        <v>1.43040773636679</v>
      </c>
      <c r="Z55" s="35">
        <v>1.4276379108371999</v>
      </c>
      <c r="AA55" s="35">
        <v>1.42838003732133</v>
      </c>
      <c r="AB55" s="34">
        <v>94.205509190928097</v>
      </c>
      <c r="AC55" s="34">
        <v>94.0345263362927</v>
      </c>
      <c r="AD55" s="34">
        <v>94.078202333701199</v>
      </c>
      <c r="AE55" s="16">
        <v>2.5292603676441202E-3</v>
      </c>
      <c r="AF55" s="16">
        <v>7.12612796581009E-4</v>
      </c>
      <c r="AG55" s="16">
        <v>1.17697263551529E-3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9">
        <f t="shared" si="8"/>
        <v>0</v>
      </c>
      <c r="AP55" s="29">
        <f t="shared" si="9"/>
        <v>0</v>
      </c>
      <c r="AQ55" s="29">
        <f t="shared" si="16"/>
        <v>0</v>
      </c>
      <c r="AR55" s="30">
        <f t="shared" si="17"/>
        <v>1.8119000816461399E-3</v>
      </c>
      <c r="AT55" s="12"/>
      <c r="AU55">
        <f t="shared" si="10"/>
        <v>1</v>
      </c>
      <c r="AV55">
        <f t="shared" si="11"/>
        <v>0</v>
      </c>
      <c r="AW55">
        <f t="shared" si="18"/>
        <v>0</v>
      </c>
      <c r="AX55">
        <f t="shared" si="5"/>
        <v>1</v>
      </c>
      <c r="AY55">
        <f t="shared" si="19"/>
        <v>0</v>
      </c>
      <c r="AZ55" s="29">
        <f t="shared" si="12"/>
        <v>0</v>
      </c>
      <c r="BA55" s="29">
        <f t="shared" si="13"/>
        <v>0</v>
      </c>
      <c r="BB55" s="29">
        <f t="shared" si="20"/>
        <v>0</v>
      </c>
      <c r="BC55" s="30">
        <f t="shared" si="21"/>
        <v>1.4063961595512289E-3</v>
      </c>
      <c r="BE55" s="30">
        <f t="shared" si="22"/>
        <v>0</v>
      </c>
      <c r="BF55" s="30">
        <f t="shared" si="23"/>
        <v>3.2182962411973688E-3</v>
      </c>
      <c r="BH55" s="30"/>
    </row>
    <row r="56" spans="1:60" x14ac:dyDescent="0.25">
      <c r="A56" s="1">
        <v>46104</v>
      </c>
      <c r="B56" s="34">
        <v>65.7</v>
      </c>
      <c r="C56" s="34">
        <v>94.06</v>
      </c>
      <c r="D56" s="16">
        <v>7.6394565579576204E-3</v>
      </c>
      <c r="E56" s="16">
        <v>9.7217794693044094E-3</v>
      </c>
      <c r="F56" s="34">
        <v>0</v>
      </c>
      <c r="G56" s="34">
        <v>0.65920000000000001</v>
      </c>
      <c r="H56" s="34">
        <v>0</v>
      </c>
      <c r="I56" s="34">
        <v>0.81753999999999905</v>
      </c>
      <c r="J56" s="34">
        <v>0.65920000000000001</v>
      </c>
      <c r="K56" s="34">
        <v>0.81753999999999905</v>
      </c>
      <c r="L56" s="34">
        <v>66.359200000000001</v>
      </c>
      <c r="M56" s="34">
        <v>94.877539999999996</v>
      </c>
      <c r="N56" s="35">
        <v>1.4316590563165901</v>
      </c>
      <c r="O56" s="35">
        <v>1.43329336478799</v>
      </c>
      <c r="P56" s="35">
        <v>1.4296125274535001</v>
      </c>
      <c r="Q56" s="35">
        <v>1.4301582274140201</v>
      </c>
      <c r="R56" s="34">
        <v>94.167374066571199</v>
      </c>
      <c r="S56" s="34">
        <v>93.9181298157703</v>
      </c>
      <c r="T56" s="34">
        <v>93.953105940399496</v>
      </c>
      <c r="U56" s="16">
        <v>1.14089758464315E-3</v>
      </c>
      <c r="V56" s="16">
        <v>-1.5094331591126899E-3</v>
      </c>
      <c r="W56" s="16">
        <v>-1.1370916998948799E-3</v>
      </c>
      <c r="X56" s="35">
        <v>1.4297571399293501</v>
      </c>
      <c r="Y56" s="35">
        <v>1.43040773636679</v>
      </c>
      <c r="Z56" s="35">
        <v>1.42774577283306</v>
      </c>
      <c r="AA56" s="35">
        <v>1.4284626030630101</v>
      </c>
      <c r="AB56" s="34">
        <v>94.920713059111506</v>
      </c>
      <c r="AC56" s="34">
        <v>94.736909652828004</v>
      </c>
      <c r="AD56" s="34">
        <v>94.786156572613706</v>
      </c>
      <c r="AE56" s="16">
        <v>4.5493632486413399E-4</v>
      </c>
      <c r="AF56" s="16">
        <v>-1.4833297063047901E-3</v>
      </c>
      <c r="AG56" s="16">
        <v>-9.6363654309282703E-4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9">
        <f t="shared" si="8"/>
        <v>0</v>
      </c>
      <c r="AP56" s="29">
        <f t="shared" si="9"/>
        <v>0</v>
      </c>
      <c r="AQ56" s="29">
        <f t="shared" si="16"/>
        <v>0</v>
      </c>
      <c r="AR56" s="30">
        <f t="shared" si="17"/>
        <v>1.8119000816461399E-3</v>
      </c>
      <c r="AT56" s="12"/>
      <c r="AU56">
        <f t="shared" si="10"/>
        <v>0</v>
      </c>
      <c r="AV56">
        <f t="shared" si="11"/>
        <v>1</v>
      </c>
      <c r="AW56">
        <f t="shared" si="18"/>
        <v>1</v>
      </c>
      <c r="AX56">
        <f t="shared" si="5"/>
        <v>1</v>
      </c>
      <c r="AY56">
        <f t="shared" si="19"/>
        <v>1</v>
      </c>
      <c r="AZ56" s="29">
        <f t="shared" si="12"/>
        <v>-7.6394565579576204E-3</v>
      </c>
      <c r="BA56" s="29">
        <f t="shared" si="13"/>
        <v>9.7217794693044094E-3</v>
      </c>
      <c r="BB56" s="29">
        <f t="shared" si="20"/>
        <v>2.082322911346789E-3</v>
      </c>
      <c r="BC56" s="30">
        <f t="shared" si="21"/>
        <v>3.4887190708980179E-3</v>
      </c>
      <c r="BE56" s="30">
        <f t="shared" si="22"/>
        <v>2.082322911346789E-3</v>
      </c>
      <c r="BF56" s="30">
        <f t="shared" si="23"/>
        <v>5.3006191525441573E-3</v>
      </c>
      <c r="BH56" s="30"/>
    </row>
    <row r="57" spans="1:60" x14ac:dyDescent="0.25">
      <c r="A57" s="1">
        <v>46105</v>
      </c>
      <c r="B57" s="34">
        <v>65.44</v>
      </c>
      <c r="C57" s="34">
        <v>93.58</v>
      </c>
      <c r="D57" s="16">
        <v>-3.9652331960732404E-3</v>
      </c>
      <c r="E57" s="16">
        <v>-5.1161910788317796E-3</v>
      </c>
      <c r="F57" s="34">
        <v>0</v>
      </c>
      <c r="G57" s="34">
        <v>0.65920000000000001</v>
      </c>
      <c r="H57" s="34">
        <v>0</v>
      </c>
      <c r="I57" s="34">
        <v>0.81753999999999905</v>
      </c>
      <c r="J57" s="34">
        <v>0.65920000000000001</v>
      </c>
      <c r="K57" s="34">
        <v>0.81753999999999905</v>
      </c>
      <c r="L57" s="34">
        <v>66.099199999999996</v>
      </c>
      <c r="M57" s="34">
        <v>94.397539999999907</v>
      </c>
      <c r="N57" s="35">
        <v>1.43001222493887</v>
      </c>
      <c r="O57" s="35">
        <v>1.43329336478799</v>
      </c>
      <c r="P57" s="35">
        <v>1.4295969069007299</v>
      </c>
      <c r="Q57" s="35">
        <v>1.43015180878399</v>
      </c>
      <c r="R57" s="34">
        <v>93.794717791726299</v>
      </c>
      <c r="S57" s="34">
        <v>93.553843796557203</v>
      </c>
      <c r="T57" s="34">
        <v>93.589554401973899</v>
      </c>
      <c r="U57" s="16">
        <v>2.2918554674015898E-3</v>
      </c>
      <c r="V57" s="16">
        <v>-2.7954541073275599E-4</v>
      </c>
      <c r="W57" s="16">
        <v>1.0209354841643799E-4</v>
      </c>
      <c r="X57" s="35">
        <v>1.42811925106506</v>
      </c>
      <c r="Y57" s="35">
        <v>1.43040773636679</v>
      </c>
      <c r="Z57" s="35">
        <v>1.42772569401923</v>
      </c>
      <c r="AA57" s="35">
        <v>1.4284133399955901</v>
      </c>
      <c r="AB57" s="34">
        <v>94.548807047656098</v>
      </c>
      <c r="AC57" s="34">
        <v>94.372853387647396</v>
      </c>
      <c r="AD57" s="34">
        <v>94.4202352923826</v>
      </c>
      <c r="AE57" s="16">
        <v>1.6011643764174499E-3</v>
      </c>
      <c r="AF57" s="16">
        <v>-2.6155174071854499E-4</v>
      </c>
      <c r="AG57" s="16">
        <v>2.40393601257033E-4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9">
        <f t="shared" si="8"/>
        <v>0</v>
      </c>
      <c r="AP57" s="29">
        <f t="shared" si="9"/>
        <v>0</v>
      </c>
      <c r="AQ57" s="29">
        <f t="shared" si="16"/>
        <v>0</v>
      </c>
      <c r="AR57" s="30">
        <f t="shared" si="17"/>
        <v>1.8119000816461399E-3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9">
        <f t="shared" si="12"/>
        <v>0</v>
      </c>
      <c r="BA57" s="29">
        <f t="shared" si="13"/>
        <v>0</v>
      </c>
      <c r="BB57" s="29">
        <f t="shared" si="20"/>
        <v>0</v>
      </c>
      <c r="BC57" s="30">
        <f t="shared" si="21"/>
        <v>3.4887190708980179E-3</v>
      </c>
      <c r="BE57" s="30">
        <f t="shared" si="22"/>
        <v>0</v>
      </c>
      <c r="BF57" s="30">
        <f t="shared" si="23"/>
        <v>5.3006191525441573E-3</v>
      </c>
      <c r="BH57" s="30"/>
    </row>
    <row r="58" spans="1:60" x14ac:dyDescent="0.25">
      <c r="A58" s="1">
        <v>46106</v>
      </c>
      <c r="B58" s="34">
        <v>66.010000000000005</v>
      </c>
      <c r="C58" s="34">
        <v>94.43</v>
      </c>
      <c r="D58" s="16">
        <v>8.6725534061879005E-3</v>
      </c>
      <c r="E58" s="16">
        <v>9.0421338369075996E-3</v>
      </c>
      <c r="F58" s="34">
        <v>0</v>
      </c>
      <c r="G58" s="34">
        <v>0.65920000000000001</v>
      </c>
      <c r="H58" s="34">
        <v>0</v>
      </c>
      <c r="I58" s="34">
        <v>0.81753999999999905</v>
      </c>
      <c r="J58" s="34">
        <v>0.65920000000000001</v>
      </c>
      <c r="K58" s="34">
        <v>0.81753999999999905</v>
      </c>
      <c r="L58" s="34">
        <v>66.669200000000004</v>
      </c>
      <c r="M58" s="34">
        <v>95.247540000000001</v>
      </c>
      <c r="N58" s="35">
        <v>1.4305408271474001</v>
      </c>
      <c r="O58" s="35">
        <v>1.43329336478799</v>
      </c>
      <c r="P58" s="35">
        <v>1.4297767738999101</v>
      </c>
      <c r="Q58" s="35">
        <v>1.43017921590581</v>
      </c>
      <c r="R58" s="34">
        <v>94.611695009655406</v>
      </c>
      <c r="S58" s="34">
        <v>94.367691824517607</v>
      </c>
      <c r="T58" s="34">
        <v>94.404320897831397</v>
      </c>
      <c r="U58" s="16">
        <v>1.92227503668176E-3</v>
      </c>
      <c r="V58" s="16">
        <v>-6.6005232524126399E-4</v>
      </c>
      <c r="W58" s="16">
        <v>-2.7197494824856498E-4</v>
      </c>
      <c r="X58" s="35">
        <v>1.4286588109651801</v>
      </c>
      <c r="Y58" s="35">
        <v>1.43040773636679</v>
      </c>
      <c r="Z58" s="35">
        <v>1.4279012178334101</v>
      </c>
      <c r="AA58" s="35">
        <v>1.4283983612081701</v>
      </c>
      <c r="AB58" s="34">
        <v>95.364139457385207</v>
      </c>
      <c r="AC58" s="34">
        <v>95.185329839706895</v>
      </c>
      <c r="AD58" s="34">
        <v>95.231174646834404</v>
      </c>
      <c r="AE58" s="16">
        <v>1.22342421262652E-3</v>
      </c>
      <c r="AF58" s="16">
        <v>-6.5335530109321101E-4</v>
      </c>
      <c r="AG58" s="16">
        <v>-1.7183393153537101E-4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9">
        <f t="shared" si="8"/>
        <v>0</v>
      </c>
      <c r="AP58" s="29">
        <f t="shared" si="9"/>
        <v>0</v>
      </c>
      <c r="AQ58" s="29">
        <f t="shared" si="16"/>
        <v>0</v>
      </c>
      <c r="AR58" s="30">
        <f t="shared" si="17"/>
        <v>1.8119000816461399E-3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9">
        <f t="shared" si="12"/>
        <v>0</v>
      </c>
      <c r="BA58" s="29">
        <f t="shared" si="13"/>
        <v>0</v>
      </c>
      <c r="BB58" s="29">
        <f t="shared" si="20"/>
        <v>0</v>
      </c>
      <c r="BC58" s="30">
        <f t="shared" si="21"/>
        <v>3.4887190708980179E-3</v>
      </c>
      <c r="BE58" s="30">
        <f t="shared" si="22"/>
        <v>0</v>
      </c>
      <c r="BF58" s="30">
        <f t="shared" si="23"/>
        <v>5.3006191525441573E-3</v>
      </c>
      <c r="BH58" s="30"/>
    </row>
    <row r="59" spans="1:60" x14ac:dyDescent="0.25">
      <c r="A59" s="1">
        <v>46107</v>
      </c>
      <c r="B59" s="34">
        <v>65.33</v>
      </c>
      <c r="C59" s="34">
        <v>93.46</v>
      </c>
      <c r="D59" s="16">
        <v>-1.03548968480205E-2</v>
      </c>
      <c r="E59" s="16">
        <v>-1.03252820026978E-2</v>
      </c>
      <c r="F59" s="34">
        <v>0</v>
      </c>
      <c r="G59" s="34">
        <v>0.65920000000000001</v>
      </c>
      <c r="H59" s="34">
        <v>0</v>
      </c>
      <c r="I59" s="34">
        <v>0.81753999999999905</v>
      </c>
      <c r="J59" s="34">
        <v>0.65920000000000001</v>
      </c>
      <c r="K59" s="34">
        <v>0.81753999999999905</v>
      </c>
      <c r="L59" s="34">
        <v>65.989199999999997</v>
      </c>
      <c r="M59" s="34">
        <v>94.277539999999902</v>
      </c>
      <c r="N59" s="35">
        <v>1.4305831930200501</v>
      </c>
      <c r="O59" s="35">
        <v>1.43329336478799</v>
      </c>
      <c r="P59" s="35">
        <v>1.43002527540339</v>
      </c>
      <c r="Q59" s="35">
        <v>1.4302317181588899</v>
      </c>
      <c r="R59" s="34">
        <v>93.637055521599606</v>
      </c>
      <c r="S59" s="34">
        <v>93.407316638881198</v>
      </c>
      <c r="T59" s="34">
        <v>93.433608175126594</v>
      </c>
      <c r="U59" s="16">
        <v>1.89266019135894E-3</v>
      </c>
      <c r="V59" s="16">
        <v>-5.63858500910944E-4</v>
      </c>
      <c r="W59" s="16">
        <v>-2.8242619216875298E-4</v>
      </c>
      <c r="X59" s="35">
        <v>1.42868135998011</v>
      </c>
      <c r="Y59" s="35">
        <v>1.43040773636679</v>
      </c>
      <c r="Z59" s="35">
        <v>1.42814421442317</v>
      </c>
      <c r="AA59" s="35">
        <v>1.42840738814097</v>
      </c>
      <c r="AB59" s="34">
        <v>94.391462196655795</v>
      </c>
      <c r="AC59" s="34">
        <v>94.2260590438527</v>
      </c>
      <c r="AD59" s="34">
        <v>94.258865137438704</v>
      </c>
      <c r="AE59" s="16">
        <v>1.20764099215832E-3</v>
      </c>
      <c r="AF59" s="16">
        <v>-5.4620662616806101E-4</v>
      </c>
      <c r="AG59" s="16">
        <v>-1.98103518614842E-4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9">
        <f t="shared" si="8"/>
        <v>0</v>
      </c>
      <c r="AP59" s="29">
        <f t="shared" si="9"/>
        <v>0</v>
      </c>
      <c r="AQ59" s="29">
        <f t="shared" si="16"/>
        <v>0</v>
      </c>
      <c r="AR59" s="30">
        <f t="shared" si="17"/>
        <v>1.8119000816461399E-3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9">
        <f t="shared" si="12"/>
        <v>0</v>
      </c>
      <c r="BA59" s="29">
        <f t="shared" si="13"/>
        <v>0</v>
      </c>
      <c r="BB59" s="29">
        <f t="shared" si="20"/>
        <v>0</v>
      </c>
      <c r="BC59" s="30">
        <f t="shared" si="21"/>
        <v>3.4887190708980179E-3</v>
      </c>
      <c r="BE59" s="30">
        <f t="shared" si="22"/>
        <v>0</v>
      </c>
      <c r="BF59" s="30">
        <f t="shared" si="23"/>
        <v>5.3006191525441573E-3</v>
      </c>
      <c r="BH59" s="30"/>
    </row>
    <row r="60" spans="1:60" x14ac:dyDescent="0.25">
      <c r="A60" s="1">
        <v>46108</v>
      </c>
      <c r="B60" s="34">
        <v>65</v>
      </c>
      <c r="C60" s="34">
        <v>92.95</v>
      </c>
      <c r="D60" s="16">
        <v>-5.0640789570218598E-3</v>
      </c>
      <c r="E60" s="16">
        <v>-5.4718231048270297E-3</v>
      </c>
      <c r="F60" s="34">
        <v>0</v>
      </c>
      <c r="G60" s="34">
        <v>0.65920000000000001</v>
      </c>
      <c r="H60" s="34">
        <v>0</v>
      </c>
      <c r="I60" s="34">
        <v>0.81753999999999905</v>
      </c>
      <c r="J60" s="34">
        <v>0.65920000000000001</v>
      </c>
      <c r="K60" s="34">
        <v>0.81753999999999905</v>
      </c>
      <c r="L60" s="34">
        <v>65.659199999999998</v>
      </c>
      <c r="M60" s="34">
        <v>93.767539999999997</v>
      </c>
      <c r="N60" s="35">
        <v>1.43</v>
      </c>
      <c r="O60" s="35">
        <v>1.43329336478799</v>
      </c>
      <c r="P60" s="35">
        <v>1.43000360545339</v>
      </c>
      <c r="Q60" s="35">
        <v>1.4302393992122899</v>
      </c>
      <c r="R60" s="34">
        <v>93.164068711219599</v>
      </c>
      <c r="S60" s="34">
        <v>92.951642901220495</v>
      </c>
      <c r="T60" s="34">
        <v>92.965061680327906</v>
      </c>
      <c r="U60" s="16">
        <v>2.30040433916421E-3</v>
      </c>
      <c r="V60" s="16">
        <v>1.76749510644885E-5</v>
      </c>
      <c r="W60" s="16">
        <v>1.6202754338242301E-4</v>
      </c>
      <c r="X60" s="35">
        <v>1.4280944635329</v>
      </c>
      <c r="Y60" s="35">
        <v>1.43040773636679</v>
      </c>
      <c r="Z60" s="35">
        <v>1.4281199283385599</v>
      </c>
      <c r="AA60" s="35">
        <v>1.4283714711042499</v>
      </c>
      <c r="AB60" s="34">
        <v>93.9194276436547</v>
      </c>
      <c r="AC60" s="34">
        <v>93.770806603653995</v>
      </c>
      <c r="AD60" s="34">
        <v>93.788086379426005</v>
      </c>
      <c r="AE60" s="16">
        <v>1.61852129339504E-3</v>
      </c>
      <c r="AF60" s="16">
        <v>3.4836647688546801E-5</v>
      </c>
      <c r="AG60" s="16">
        <v>2.1909638121648999E-4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9">
        <f t="shared" si="8"/>
        <v>0</v>
      </c>
      <c r="AP60" s="29">
        <f t="shared" si="9"/>
        <v>0</v>
      </c>
      <c r="AQ60" s="29">
        <f t="shared" si="16"/>
        <v>0</v>
      </c>
      <c r="AR60" s="30">
        <f t="shared" si="17"/>
        <v>1.8119000816461399E-3</v>
      </c>
      <c r="AT60" s="12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9">
        <f t="shared" si="12"/>
        <v>0</v>
      </c>
      <c r="BA60" s="29">
        <f t="shared" si="13"/>
        <v>0</v>
      </c>
      <c r="BB60" s="29">
        <f t="shared" si="20"/>
        <v>0</v>
      </c>
      <c r="BC60" s="30">
        <f t="shared" si="21"/>
        <v>3.4887190708980179E-3</v>
      </c>
      <c r="BE60" s="30">
        <f t="shared" si="22"/>
        <v>0</v>
      </c>
      <c r="BF60" s="30">
        <f t="shared" si="23"/>
        <v>5.3006191525441573E-3</v>
      </c>
      <c r="BH60" s="30"/>
    </row>
    <row r="61" spans="1:60" x14ac:dyDescent="0.25">
      <c r="A61" s="1">
        <v>46111</v>
      </c>
      <c r="B61" s="34">
        <v>65.13</v>
      </c>
      <c r="C61" s="34">
        <v>93.11</v>
      </c>
      <c r="D61" s="16">
        <v>1.9980026626730501E-3</v>
      </c>
      <c r="E61" s="16">
        <v>1.7198757329852799E-3</v>
      </c>
      <c r="F61" s="34">
        <v>0</v>
      </c>
      <c r="G61" s="34">
        <v>0.65920000000000001</v>
      </c>
      <c r="H61" s="34">
        <v>0</v>
      </c>
      <c r="I61" s="34">
        <v>0.81753999999999905</v>
      </c>
      <c r="J61" s="34">
        <v>0.65920000000000001</v>
      </c>
      <c r="K61" s="34">
        <v>0.81753999999999905</v>
      </c>
      <c r="L61" s="34">
        <v>65.789199999999994</v>
      </c>
      <c r="M61" s="34">
        <v>93.927539999999993</v>
      </c>
      <c r="N61" s="35">
        <v>1.4296023337939501</v>
      </c>
      <c r="O61" s="35">
        <v>1.43329336478799</v>
      </c>
      <c r="P61" s="35">
        <v>1.4300312698178601</v>
      </c>
      <c r="Q61" s="35">
        <v>1.43010847042059</v>
      </c>
      <c r="R61" s="34">
        <v>93.350396848642006</v>
      </c>
      <c r="S61" s="34">
        <v>93.136134823179901</v>
      </c>
      <c r="T61" s="34">
        <v>93.151492070696605</v>
      </c>
      <c r="U61" s="16">
        <v>2.5785312688517302E-3</v>
      </c>
      <c r="V61" s="16">
        <v>2.8064822259289902E-4</v>
      </c>
      <c r="W61" s="16">
        <v>4.45524954425016E-4</v>
      </c>
      <c r="X61" s="35">
        <v>1.42770454725091</v>
      </c>
      <c r="Y61" s="35">
        <v>1.43040773636679</v>
      </c>
      <c r="Z61" s="35">
        <v>1.42814403209904</v>
      </c>
      <c r="AA61" s="35">
        <v>1.42823821038855</v>
      </c>
      <c r="AB61" s="34">
        <v>94.105380649382397</v>
      </c>
      <c r="AC61" s="34">
        <v>93.954867589451496</v>
      </c>
      <c r="AD61" s="34">
        <v>93.971416386772106</v>
      </c>
      <c r="AE61" s="16">
        <v>1.8915911298530599E-3</v>
      </c>
      <c r="AF61" s="16">
        <v>2.9090099488147801E-4</v>
      </c>
      <c r="AG61" s="16">
        <v>4.67021088497708E-4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9">
        <f t="shared" si="8"/>
        <v>0</v>
      </c>
      <c r="AP61" s="29">
        <f t="shared" si="9"/>
        <v>0</v>
      </c>
      <c r="AQ61" s="29">
        <f t="shared" si="16"/>
        <v>0</v>
      </c>
      <c r="AR61" s="30">
        <f t="shared" si="17"/>
        <v>1.8119000816461399E-3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9">
        <f t="shared" si="12"/>
        <v>0</v>
      </c>
      <c r="BA61" s="29">
        <f t="shared" si="13"/>
        <v>0</v>
      </c>
      <c r="BB61" s="29">
        <f t="shared" si="20"/>
        <v>0</v>
      </c>
      <c r="BC61" s="30">
        <f t="shared" si="21"/>
        <v>3.4887190708980179E-3</v>
      </c>
      <c r="BE61" s="30">
        <f t="shared" si="22"/>
        <v>0</v>
      </c>
      <c r="BF61" s="30">
        <f t="shared" si="23"/>
        <v>5.3006191525441573E-3</v>
      </c>
      <c r="BH61" s="30"/>
    </row>
    <row r="62" spans="1:60" x14ac:dyDescent="0.25">
      <c r="A62" s="1">
        <v>46112</v>
      </c>
      <c r="B62" s="34">
        <v>65.69</v>
      </c>
      <c r="C62" s="34">
        <v>93.93</v>
      </c>
      <c r="D62" s="16">
        <v>8.56143434607139E-3</v>
      </c>
      <c r="E62" s="16">
        <v>8.7682341059856905E-3</v>
      </c>
      <c r="F62" s="34">
        <v>0</v>
      </c>
      <c r="G62" s="34">
        <v>0.65920000000000001</v>
      </c>
      <c r="H62" s="34">
        <v>0</v>
      </c>
      <c r="I62" s="34">
        <v>0.81753999999999905</v>
      </c>
      <c r="J62" s="34">
        <v>0.65920000000000001</v>
      </c>
      <c r="K62" s="34">
        <v>0.81753999999999905</v>
      </c>
      <c r="L62" s="34">
        <v>66.349199999999996</v>
      </c>
      <c r="M62" s="34">
        <v>94.747540000000001</v>
      </c>
      <c r="N62" s="35">
        <v>1.4298980057847399</v>
      </c>
      <c r="O62" s="35">
        <v>1.43329336478799</v>
      </c>
      <c r="P62" s="35">
        <v>1.4301209952648499</v>
      </c>
      <c r="Q62" s="35">
        <v>1.4300318362398501</v>
      </c>
      <c r="R62" s="34">
        <v>94.153041132923306</v>
      </c>
      <c r="S62" s="34">
        <v>93.938754114335197</v>
      </c>
      <c r="T62" s="34">
        <v>93.943825421929006</v>
      </c>
      <c r="U62" s="16">
        <v>2.3717315089375199E-3</v>
      </c>
      <c r="V62" s="16">
        <v>9.3193936190771797E-5</v>
      </c>
      <c r="W62" s="16">
        <v>1.47177734023516E-4</v>
      </c>
      <c r="X62" s="35">
        <v>1.4280132993314101</v>
      </c>
      <c r="Y62" s="35">
        <v>1.43040773636679</v>
      </c>
      <c r="Z62" s="35">
        <v>1.42823046585725</v>
      </c>
      <c r="AA62" s="35">
        <v>1.4281598827961099</v>
      </c>
      <c r="AB62" s="34">
        <v>94.906408981747802</v>
      </c>
      <c r="AC62" s="34">
        <v>94.756214014545904</v>
      </c>
      <c r="AD62" s="34">
        <v>94.762462668712402</v>
      </c>
      <c r="AE62" s="16">
        <v>1.6753568250022399E-3</v>
      </c>
      <c r="AF62" s="16">
        <v>9.1544514219621002E-5</v>
      </c>
      <c r="AG62" s="16">
        <v>1.5748687175478701E-4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9">
        <f t="shared" si="8"/>
        <v>0</v>
      </c>
      <c r="AP62" s="29">
        <f t="shared" si="9"/>
        <v>0</v>
      </c>
      <c r="AQ62" s="29">
        <f t="shared" si="16"/>
        <v>0</v>
      </c>
      <c r="AR62" s="30">
        <f t="shared" si="17"/>
        <v>1.8119000816461399E-3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9">
        <f t="shared" si="12"/>
        <v>0</v>
      </c>
      <c r="BA62" s="29">
        <f t="shared" si="13"/>
        <v>0</v>
      </c>
      <c r="BB62" s="29">
        <f t="shared" si="20"/>
        <v>0</v>
      </c>
      <c r="BC62" s="30">
        <f t="shared" si="21"/>
        <v>3.4887190708980179E-3</v>
      </c>
      <c r="BE62" s="30">
        <f t="shared" si="22"/>
        <v>0</v>
      </c>
      <c r="BF62" s="30">
        <f t="shared" si="23"/>
        <v>5.3006191525441573E-3</v>
      </c>
      <c r="BH62" s="30"/>
    </row>
    <row r="63" spans="1:60" x14ac:dyDescent="0.25">
      <c r="A63" s="1">
        <v>46113</v>
      </c>
      <c r="B63" s="34">
        <v>65.599999999999994</v>
      </c>
      <c r="C63" s="34">
        <v>93.86</v>
      </c>
      <c r="D63" s="16">
        <v>-1.37101095433828E-3</v>
      </c>
      <c r="E63" s="16">
        <v>-7.4551364015251699E-4</v>
      </c>
      <c r="F63" s="34">
        <v>0.32879999999999998</v>
      </c>
      <c r="G63" s="34">
        <v>0.98799999999999999</v>
      </c>
      <c r="H63" s="34">
        <v>0.45540000000000003</v>
      </c>
      <c r="I63" s="34">
        <v>1.27294</v>
      </c>
      <c r="J63" s="34">
        <v>0.98799999999999999</v>
      </c>
      <c r="K63" s="34">
        <v>1.27294</v>
      </c>
      <c r="L63" s="34">
        <v>66.587999999999994</v>
      </c>
      <c r="M63" s="34">
        <v>95.132940000000005</v>
      </c>
      <c r="N63" s="35">
        <v>1.43079268292682</v>
      </c>
      <c r="O63" s="35">
        <v>1.43329336478799</v>
      </c>
      <c r="P63" s="35">
        <v>1.4302522253815</v>
      </c>
      <c r="Q63" s="35">
        <v>1.42993265955939</v>
      </c>
      <c r="R63" s="34">
        <v>94.024044730092299</v>
      </c>
      <c r="S63" s="34">
        <v>93.815937289374403</v>
      </c>
      <c r="T63" s="34">
        <v>93.810088457334501</v>
      </c>
      <c r="U63" s="16">
        <v>1.74623419475167E-3</v>
      </c>
      <c r="V63" s="16">
        <v>-4.6956165048675399E-4</v>
      </c>
      <c r="W63" s="16">
        <v>-5.3190728743681402E-4</v>
      </c>
      <c r="X63" s="35">
        <v>1.4286799423319501</v>
      </c>
      <c r="Y63" s="35">
        <v>1.43040773636679</v>
      </c>
      <c r="Z63" s="35">
        <v>1.4283375750040801</v>
      </c>
      <c r="AA63" s="35">
        <v>1.4280480437230401</v>
      </c>
      <c r="AB63" s="34">
        <v>95.247990349192193</v>
      </c>
      <c r="AC63" s="34">
        <v>95.103010260503098</v>
      </c>
      <c r="AD63" s="34">
        <v>95.098310275627995</v>
      </c>
      <c r="AE63" s="16">
        <v>1.2086332700091699E-3</v>
      </c>
      <c r="AF63" s="16">
        <v>-3.1465913464673702E-4</v>
      </c>
      <c r="AG63" s="16">
        <v>-3.6408029389872401E-4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9">
        <f t="shared" si="8"/>
        <v>0</v>
      </c>
      <c r="AP63" s="29">
        <f t="shared" si="9"/>
        <v>0</v>
      </c>
      <c r="AQ63" s="29">
        <f t="shared" si="16"/>
        <v>0</v>
      </c>
      <c r="AR63" s="30">
        <f t="shared" si="17"/>
        <v>1.8119000816461399E-3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9">
        <f t="shared" si="12"/>
        <v>0</v>
      </c>
      <c r="BA63" s="29">
        <f t="shared" si="13"/>
        <v>0</v>
      </c>
      <c r="BB63" s="29">
        <f t="shared" si="20"/>
        <v>0</v>
      </c>
      <c r="BC63" s="30">
        <f t="shared" si="21"/>
        <v>3.4887190708980179E-3</v>
      </c>
      <c r="BE63" s="30">
        <f t="shared" si="22"/>
        <v>0</v>
      </c>
      <c r="BF63" s="30">
        <f t="shared" si="23"/>
        <v>5.3006191525441573E-3</v>
      </c>
      <c r="BH63" s="30"/>
    </row>
    <row r="64" spans="1:60" x14ac:dyDescent="0.25">
      <c r="A64" s="1">
        <v>46114</v>
      </c>
      <c r="B64" s="34">
        <v>65.72</v>
      </c>
      <c r="C64" s="34">
        <v>93.97</v>
      </c>
      <c r="D64" s="16">
        <v>1.8275972190240799E-3</v>
      </c>
      <c r="E64" s="16">
        <v>1.17127202870204E-3</v>
      </c>
      <c r="F64" s="34">
        <v>0</v>
      </c>
      <c r="G64" s="34">
        <v>0.98799999999999999</v>
      </c>
      <c r="H64" s="34">
        <v>0</v>
      </c>
      <c r="I64" s="34">
        <v>1.27294</v>
      </c>
      <c r="J64" s="34">
        <v>0.98799999999999999</v>
      </c>
      <c r="K64" s="34">
        <v>1.27294</v>
      </c>
      <c r="L64" s="34">
        <v>66.707999999999998</v>
      </c>
      <c r="M64" s="34">
        <v>95.242940000000004</v>
      </c>
      <c r="N64" s="35">
        <v>1.42985392574558</v>
      </c>
      <c r="O64" s="35">
        <v>1.43329336478799</v>
      </c>
      <c r="P64" s="35">
        <v>1.4301623231269101</v>
      </c>
      <c r="Q64" s="35">
        <v>1.4299162298635899</v>
      </c>
      <c r="R64" s="34">
        <v>94.196039933866899</v>
      </c>
      <c r="S64" s="34">
        <v>93.996176252072402</v>
      </c>
      <c r="T64" s="34">
        <v>93.975174386243594</v>
      </c>
      <c r="U64" s="16">
        <v>2.40255938507378E-3</v>
      </c>
      <c r="V64" s="16">
        <v>2.7852087820919198E-4</v>
      </c>
      <c r="W64" s="16">
        <v>5.5062719878719599E-5</v>
      </c>
      <c r="X64" s="35">
        <v>1.42775888948851</v>
      </c>
      <c r="Y64" s="35">
        <v>1.43040773636679</v>
      </c>
      <c r="Z64" s="35">
        <v>1.42822621380623</v>
      </c>
      <c r="AA64" s="35">
        <v>1.42801888116314</v>
      </c>
      <c r="AB64" s="34">
        <v>95.4196392775562</v>
      </c>
      <c r="AC64" s="34">
        <v>95.281542953372593</v>
      </c>
      <c r="AD64" s="34">
        <v>95.262228900676803</v>
      </c>
      <c r="AE64" s="16">
        <v>1.85352919082899E-3</v>
      </c>
      <c r="AF64" s="16">
        <v>4.0522827620352299E-4</v>
      </c>
      <c r="AG64" s="16">
        <v>2.02502649708342E-4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9">
        <f t="shared" si="8"/>
        <v>0</v>
      </c>
      <c r="AP64" s="29">
        <f t="shared" si="9"/>
        <v>0</v>
      </c>
      <c r="AQ64" s="29">
        <f t="shared" si="16"/>
        <v>0</v>
      </c>
      <c r="AR64" s="30">
        <f t="shared" si="17"/>
        <v>1.8119000816461399E-3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9">
        <f t="shared" si="12"/>
        <v>0</v>
      </c>
      <c r="BA64" s="29">
        <f t="shared" si="13"/>
        <v>0</v>
      </c>
      <c r="BB64" s="29">
        <f t="shared" si="20"/>
        <v>0</v>
      </c>
      <c r="BC64" s="30">
        <f t="shared" si="21"/>
        <v>3.4887190708980179E-3</v>
      </c>
      <c r="BE64" s="30">
        <f t="shared" si="22"/>
        <v>0</v>
      </c>
      <c r="BF64" s="30">
        <f t="shared" si="23"/>
        <v>5.3006191525441573E-3</v>
      </c>
      <c r="BH64" s="30"/>
    </row>
    <row r="65" spans="1:60" x14ac:dyDescent="0.25">
      <c r="A65" s="1">
        <v>46118</v>
      </c>
      <c r="B65" s="34">
        <v>65.72</v>
      </c>
      <c r="C65" s="34">
        <v>93.94</v>
      </c>
      <c r="D65" s="16">
        <v>0</v>
      </c>
      <c r="E65" s="16">
        <v>-3.1930179612454999E-4</v>
      </c>
      <c r="F65" s="34">
        <v>0</v>
      </c>
      <c r="G65" s="34">
        <v>0.98799999999999999</v>
      </c>
      <c r="H65" s="34">
        <v>0</v>
      </c>
      <c r="I65" s="34">
        <v>1.27294</v>
      </c>
      <c r="J65" s="34">
        <v>0.98799999999999999</v>
      </c>
      <c r="K65" s="34">
        <v>1.27294</v>
      </c>
      <c r="L65" s="34">
        <v>66.707999999999998</v>
      </c>
      <c r="M65" s="34">
        <v>95.212940000000003</v>
      </c>
      <c r="N65" s="35">
        <v>1.4293974437005399</v>
      </c>
      <c r="O65" s="35">
        <v>1.43329336478799</v>
      </c>
      <c r="P65" s="35">
        <v>1.43023396933745</v>
      </c>
      <c r="Q65" s="35">
        <v>1.4298668310596701</v>
      </c>
      <c r="R65" s="34">
        <v>94.196039933866899</v>
      </c>
      <c r="S65" s="34">
        <v>93.990267875900599</v>
      </c>
      <c r="T65" s="34">
        <v>93.974094626635306</v>
      </c>
      <c r="U65" s="16">
        <v>2.7218611811982299E-3</v>
      </c>
      <c r="V65" s="16">
        <v>5.3496307612052704E-4</v>
      </c>
      <c r="W65" s="16">
        <v>3.6287461115915601E-4</v>
      </c>
      <c r="X65" s="35">
        <v>1.42730916831564</v>
      </c>
      <c r="Y65" s="35">
        <v>1.43040773636679</v>
      </c>
      <c r="Z65" s="35">
        <v>1.4282776872191001</v>
      </c>
      <c r="AA65" s="35">
        <v>1.42795779902815</v>
      </c>
      <c r="AB65" s="34">
        <v>95.4196392775562</v>
      </c>
      <c r="AC65" s="34">
        <v>95.274114270585997</v>
      </c>
      <c r="AD65" s="34">
        <v>95.260283524631205</v>
      </c>
      <c r="AE65" s="16">
        <v>2.1685627854663801E-3</v>
      </c>
      <c r="AF65" s="16">
        <v>6.4229323009216402E-4</v>
      </c>
      <c r="AG65" s="16">
        <v>4.9711476217144499E-4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9">
        <f t="shared" si="8"/>
        <v>0</v>
      </c>
      <c r="AP65" s="29">
        <f t="shared" si="9"/>
        <v>0</v>
      </c>
      <c r="AQ65" s="29">
        <f t="shared" si="16"/>
        <v>0</v>
      </c>
      <c r="AR65" s="30">
        <f t="shared" si="17"/>
        <v>1.8119000816461399E-3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9">
        <f t="shared" si="12"/>
        <v>0</v>
      </c>
      <c r="BA65" s="29">
        <f t="shared" si="13"/>
        <v>0</v>
      </c>
      <c r="BB65" s="29">
        <f t="shared" si="20"/>
        <v>0</v>
      </c>
      <c r="BC65" s="30">
        <f t="shared" si="21"/>
        <v>3.4887190708980179E-3</v>
      </c>
      <c r="BE65" s="30">
        <f t="shared" si="22"/>
        <v>0</v>
      </c>
      <c r="BF65" s="30">
        <f t="shared" si="23"/>
        <v>5.3006191525441573E-3</v>
      </c>
      <c r="BH65" s="30"/>
    </row>
    <row r="66" spans="1:60" x14ac:dyDescent="0.25">
      <c r="A66" s="1">
        <v>46119</v>
      </c>
      <c r="B66" s="34">
        <v>65.81</v>
      </c>
      <c r="C66" s="34">
        <v>93.99</v>
      </c>
      <c r="D66" s="16">
        <v>1.3685092989605401E-3</v>
      </c>
      <c r="E66" s="16">
        <v>5.32113033360965E-4</v>
      </c>
      <c r="F66" s="34">
        <v>0</v>
      </c>
      <c r="G66" s="34">
        <v>0.98799999999999999</v>
      </c>
      <c r="H66" s="34">
        <v>0</v>
      </c>
      <c r="I66" s="34">
        <v>1.27294</v>
      </c>
      <c r="J66" s="34">
        <v>0.98799999999999999</v>
      </c>
      <c r="K66" s="34">
        <v>1.27294</v>
      </c>
      <c r="L66" s="34">
        <v>66.798000000000002</v>
      </c>
      <c r="M66" s="34">
        <v>95.26294</v>
      </c>
      <c r="N66" s="35">
        <v>1.42820240085093</v>
      </c>
      <c r="O66" s="35">
        <v>1.43329336478799</v>
      </c>
      <c r="P66" s="35">
        <v>1.42988830379089</v>
      </c>
      <c r="Q66" s="35">
        <v>1.4297504156221901</v>
      </c>
      <c r="R66" s="34">
        <v>94.325036336697806</v>
      </c>
      <c r="S66" s="34">
        <v>94.123697522098098</v>
      </c>
      <c r="T66" s="34">
        <v>94.099536152037203</v>
      </c>
      <c r="U66" s="16">
        <v>3.5582574467980001E-3</v>
      </c>
      <c r="V66" s="16">
        <v>1.42145464547165E-3</v>
      </c>
      <c r="W66" s="16">
        <v>1.1647236381251401E-3</v>
      </c>
      <c r="X66" s="35">
        <v>1.4261346148088201</v>
      </c>
      <c r="Y66" s="35">
        <v>1.43040773636679</v>
      </c>
      <c r="Z66" s="35">
        <v>1.42791543470705</v>
      </c>
      <c r="AA66" s="35">
        <v>1.4278306037700601</v>
      </c>
      <c r="AB66" s="34">
        <v>95.548375973829295</v>
      </c>
      <c r="AC66" s="34">
        <v>95.406092950861904</v>
      </c>
      <c r="AD66" s="34">
        <v>95.384725059482605</v>
      </c>
      <c r="AE66" s="16">
        <v>2.9918161329489301E-3</v>
      </c>
      <c r="AF66" s="16">
        <v>1.5015860262618599E-3</v>
      </c>
      <c r="AG66" s="16">
        <v>1.2775931560443301E-3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9">
        <f t="shared" si="8"/>
        <v>0</v>
      </c>
      <c r="AP66" s="29">
        <f t="shared" si="9"/>
        <v>0</v>
      </c>
      <c r="AQ66" s="29">
        <f t="shared" si="16"/>
        <v>0</v>
      </c>
      <c r="AR66" s="30">
        <f t="shared" si="17"/>
        <v>1.8119000816461399E-3</v>
      </c>
      <c r="AT66" s="12"/>
      <c r="AU66">
        <f t="shared" si="10"/>
        <v>1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9">
        <f t="shared" si="12"/>
        <v>0</v>
      </c>
      <c r="BA66" s="29">
        <f t="shared" si="13"/>
        <v>0</v>
      </c>
      <c r="BB66" s="29">
        <f t="shared" si="20"/>
        <v>0</v>
      </c>
      <c r="BC66" s="30">
        <f t="shared" si="21"/>
        <v>3.4887190708980179E-3</v>
      </c>
      <c r="BE66" s="30">
        <f t="shared" si="22"/>
        <v>0</v>
      </c>
      <c r="BF66" s="30">
        <f t="shared" si="23"/>
        <v>5.3006191525441573E-3</v>
      </c>
      <c r="BH66" s="30"/>
    </row>
    <row r="67" spans="1:60" x14ac:dyDescent="0.25">
      <c r="A67" s="1">
        <v>46120</v>
      </c>
      <c r="B67" s="34">
        <v>66.38</v>
      </c>
      <c r="C67" s="34">
        <v>95.11</v>
      </c>
      <c r="D67" s="16">
        <v>8.6240038238006803E-3</v>
      </c>
      <c r="E67" s="16">
        <v>1.1845722862083999E-2</v>
      </c>
      <c r="F67" s="34">
        <v>0</v>
      </c>
      <c r="G67" s="34">
        <v>0.98799999999999999</v>
      </c>
      <c r="H67" s="34">
        <v>0</v>
      </c>
      <c r="I67" s="34">
        <v>1.27294</v>
      </c>
      <c r="J67" s="34">
        <v>0.98799999999999999</v>
      </c>
      <c r="K67" s="34">
        <v>1.27294</v>
      </c>
      <c r="L67" s="34">
        <v>67.367999999999995</v>
      </c>
      <c r="M67" s="34">
        <v>96.382940000000005</v>
      </c>
      <c r="N67" s="35">
        <v>1.4328110876770099</v>
      </c>
      <c r="O67" s="35">
        <v>1.43329336478799</v>
      </c>
      <c r="P67" s="35">
        <v>1.4301681900647001</v>
      </c>
      <c r="Q67" s="35">
        <v>1.42988254848272</v>
      </c>
      <c r="R67" s="34">
        <v>95.142013554626999</v>
      </c>
      <c r="S67" s="34">
        <v>94.915985605639406</v>
      </c>
      <c r="T67" s="34">
        <v>94.906832589001496</v>
      </c>
      <c r="U67" s="16">
        <v>3.3653840851445398E-4</v>
      </c>
      <c r="V67" s="16">
        <v>-2.0419782184732198E-3</v>
      </c>
      <c r="W67" s="16">
        <v>-2.1384156935046902E-3</v>
      </c>
      <c r="X67" s="35">
        <v>1.43069320745754</v>
      </c>
      <c r="Y67" s="35">
        <v>1.43040773636679</v>
      </c>
      <c r="Z67" s="35">
        <v>1.4281728303462999</v>
      </c>
      <c r="AA67" s="35">
        <v>1.4279492621827601</v>
      </c>
      <c r="AB67" s="34">
        <v>96.363708383558304</v>
      </c>
      <c r="AC67" s="34">
        <v>96.195807005344804</v>
      </c>
      <c r="AD67" s="34">
        <v>96.190092114781393</v>
      </c>
      <c r="AE67" s="16">
        <v>-1.9955331692403499E-4</v>
      </c>
      <c r="AF67" s="16">
        <v>-1.94344450220864E-3</v>
      </c>
      <c r="AG67" s="16">
        <v>-2.0028552032138199E-3</v>
      </c>
      <c r="AI67" s="12"/>
      <c r="AJ67">
        <f t="shared" si="6"/>
        <v>1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9">
        <f t="shared" si="8"/>
        <v>0</v>
      </c>
      <c r="AP67" s="29">
        <f t="shared" si="9"/>
        <v>0</v>
      </c>
      <c r="AQ67" s="29">
        <f t="shared" si="16"/>
        <v>0</v>
      </c>
      <c r="AR67" s="30">
        <f t="shared" si="17"/>
        <v>1.8119000816461399E-3</v>
      </c>
      <c r="AT67" s="12"/>
      <c r="AU67">
        <f t="shared" si="10"/>
        <v>0</v>
      </c>
      <c r="AV67">
        <f t="shared" si="11"/>
        <v>1</v>
      </c>
      <c r="AW67">
        <f t="shared" si="18"/>
        <v>1</v>
      </c>
      <c r="AX67">
        <f t="shared" si="5"/>
        <v>1</v>
      </c>
      <c r="AY67">
        <f t="shared" si="19"/>
        <v>1</v>
      </c>
      <c r="AZ67" s="29">
        <f t="shared" si="12"/>
        <v>-8.6240038238006803E-3</v>
      </c>
      <c r="BA67" s="29">
        <f t="shared" si="13"/>
        <v>1.1845722862083999E-2</v>
      </c>
      <c r="BB67" s="29">
        <f t="shared" si="20"/>
        <v>3.2217190382833188E-3</v>
      </c>
      <c r="BC67" s="30">
        <f t="shared" si="21"/>
        <v>6.7104381091813367E-3</v>
      </c>
      <c r="BE67" s="30">
        <f t="shared" si="22"/>
        <v>3.2217190382833188E-3</v>
      </c>
      <c r="BF67" s="30">
        <f t="shared" si="23"/>
        <v>8.5223381908274762E-3</v>
      </c>
      <c r="BH67" s="30"/>
    </row>
    <row r="68" spans="1:60" x14ac:dyDescent="0.25">
      <c r="A68" s="1">
        <v>46121</v>
      </c>
      <c r="B68" s="34">
        <v>66.680000000000007</v>
      </c>
      <c r="C68" s="34">
        <v>95.51</v>
      </c>
      <c r="D68" s="16">
        <v>4.5092515907649098E-3</v>
      </c>
      <c r="E68" s="16">
        <v>4.1968375523522197E-3</v>
      </c>
      <c r="F68" s="34">
        <v>0</v>
      </c>
      <c r="G68" s="34">
        <v>0.98799999999999999</v>
      </c>
      <c r="H68" s="34">
        <v>0</v>
      </c>
      <c r="I68" s="34">
        <v>1.27294</v>
      </c>
      <c r="J68" s="34">
        <v>0.98799999999999999</v>
      </c>
      <c r="K68" s="34">
        <v>1.27294</v>
      </c>
      <c r="L68" s="34">
        <v>67.668000000000006</v>
      </c>
      <c r="M68" s="34">
        <v>96.782939999999996</v>
      </c>
      <c r="N68" s="35">
        <v>1.4323635272945401</v>
      </c>
      <c r="O68" s="35">
        <v>1.43329336478799</v>
      </c>
      <c r="P68" s="35">
        <v>1.4303504600794199</v>
      </c>
      <c r="Q68" s="35">
        <v>1.4300636169896599</v>
      </c>
      <c r="R68" s="34">
        <v>95.572001564063399</v>
      </c>
      <c r="S68" s="34">
        <v>95.363614913514596</v>
      </c>
      <c r="T68" s="34">
        <v>95.344568332827905</v>
      </c>
      <c r="U68" s="16">
        <v>6.4895244692700902E-4</v>
      </c>
      <c r="V68" s="16">
        <v>-1.5338433785249701E-3</v>
      </c>
      <c r="W68" s="16">
        <v>-1.7335891935793301E-3</v>
      </c>
      <c r="X68" s="35">
        <v>1.43026157120056</v>
      </c>
      <c r="Y68" s="35">
        <v>1.43040773636679</v>
      </c>
      <c r="Z68" s="35">
        <v>1.4283331063698399</v>
      </c>
      <c r="AA68" s="35">
        <v>1.42811716210162</v>
      </c>
      <c r="AB68" s="34">
        <v>96.7928307044684</v>
      </c>
      <c r="AC68" s="34">
        <v>96.641599083873601</v>
      </c>
      <c r="AD68" s="34">
        <v>96.626470673383395</v>
      </c>
      <c r="AE68" s="16">
        <v>1.02189488292031E-4</v>
      </c>
      <c r="AF68" s="16">
        <v>-1.46145821986021E-3</v>
      </c>
      <c r="AG68" s="16">
        <v>-1.6180118662030101E-3</v>
      </c>
      <c r="AI68" s="12"/>
      <c r="AJ68">
        <f t="shared" si="6"/>
        <v>1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9">
        <f t="shared" si="8"/>
        <v>4.5092515907649098E-3</v>
      </c>
      <c r="AP68" s="29">
        <f t="shared" si="9"/>
        <v>-4.1968375523522197E-3</v>
      </c>
      <c r="AQ68" s="29">
        <f t="shared" si="16"/>
        <v>3.1241403841269014E-4</v>
      </c>
      <c r="AR68" s="30">
        <f t="shared" si="17"/>
        <v>2.12431412005883E-3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9">
        <f t="shared" si="12"/>
        <v>0</v>
      </c>
      <c r="BA68" s="29">
        <f t="shared" si="13"/>
        <v>0</v>
      </c>
      <c r="BB68" s="29">
        <f t="shared" si="20"/>
        <v>0</v>
      </c>
      <c r="BC68" s="30">
        <f t="shared" si="21"/>
        <v>6.7104381091813367E-3</v>
      </c>
      <c r="BE68" s="30">
        <f t="shared" si="22"/>
        <v>3.1241403841269014E-4</v>
      </c>
      <c r="BF68" s="30">
        <f t="shared" si="23"/>
        <v>8.8347522292401663E-3</v>
      </c>
      <c r="BH68" s="30"/>
    </row>
    <row r="69" spans="1:60" x14ac:dyDescent="0.25">
      <c r="A69" s="1">
        <v>46122</v>
      </c>
      <c r="B69" s="34">
        <v>66.69</v>
      </c>
      <c r="C69" s="34">
        <v>95.5</v>
      </c>
      <c r="D69" s="16">
        <v>1.4995876162143899E-4</v>
      </c>
      <c r="E69" s="16">
        <v>-1.04706559961728E-4</v>
      </c>
      <c r="F69" s="34">
        <v>0</v>
      </c>
      <c r="G69" s="34">
        <v>0.98799999999999999</v>
      </c>
      <c r="H69" s="34">
        <v>0</v>
      </c>
      <c r="I69" s="34">
        <v>1.27294</v>
      </c>
      <c r="J69" s="34">
        <v>0.98799999999999999</v>
      </c>
      <c r="K69" s="34">
        <v>1.27294</v>
      </c>
      <c r="L69" s="34">
        <v>67.677999999999997</v>
      </c>
      <c r="M69" s="34">
        <v>96.772940000000006</v>
      </c>
      <c r="N69" s="35">
        <v>1.4319988004198501</v>
      </c>
      <c r="O69" s="35">
        <v>1.43329336478799</v>
      </c>
      <c r="P69" s="35">
        <v>1.4304920208194001</v>
      </c>
      <c r="Q69" s="35">
        <v>1.4302586481113899</v>
      </c>
      <c r="R69" s="34">
        <v>95.586334497711306</v>
      </c>
      <c r="S69" s="34">
        <v>95.3900721826965</v>
      </c>
      <c r="T69" s="34">
        <v>95.370942617040797</v>
      </c>
      <c r="U69" s="16">
        <v>9.0361776851050502E-4</v>
      </c>
      <c r="V69" s="16">
        <v>-1.1517396184952699E-3</v>
      </c>
      <c r="W69" s="16">
        <v>-1.35230015482847E-3</v>
      </c>
      <c r="X69" s="35">
        <v>1.42990247938768</v>
      </c>
      <c r="Y69" s="35">
        <v>1.43040773636679</v>
      </c>
      <c r="Z69" s="35">
        <v>1.4284552183105901</v>
      </c>
      <c r="AA69" s="35">
        <v>1.42829971636688</v>
      </c>
      <c r="AB69" s="34">
        <v>96.807134781832005</v>
      </c>
      <c r="AC69" s="34">
        <v>96.666727972898101</v>
      </c>
      <c r="AD69" s="34">
        <v>96.652113296713907</v>
      </c>
      <c r="AE69" s="16">
        <v>3.5328824235940403E-4</v>
      </c>
      <c r="AF69" s="16">
        <v>-1.0981412332686899E-3</v>
      </c>
      <c r="AG69" s="16">
        <v>-1.24933887252637E-3</v>
      </c>
      <c r="AI69" s="12"/>
      <c r="AJ69">
        <f t="shared" si="6"/>
        <v>0</v>
      </c>
      <c r="AK69">
        <f t="shared" si="7"/>
        <v>0</v>
      </c>
      <c r="AL69">
        <f t="shared" si="14"/>
        <v>1</v>
      </c>
      <c r="AM69">
        <f t="shared" si="4"/>
        <v>1</v>
      </c>
      <c r="AN69">
        <f t="shared" si="15"/>
        <v>1</v>
      </c>
      <c r="AO69" s="29">
        <f t="shared" si="8"/>
        <v>1.4995876162143899E-4</v>
      </c>
      <c r="AP69" s="29">
        <f t="shared" si="9"/>
        <v>1.04706559961728E-4</v>
      </c>
      <c r="AQ69" s="29">
        <f t="shared" si="16"/>
        <v>2.54665321583167E-4</v>
      </c>
      <c r="AR69" s="30">
        <f t="shared" si="17"/>
        <v>2.3789794416419971E-3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9">
        <f t="shared" si="12"/>
        <v>0</v>
      </c>
      <c r="BA69" s="29">
        <f t="shared" si="13"/>
        <v>0</v>
      </c>
      <c r="BB69" s="29">
        <f t="shared" si="20"/>
        <v>0</v>
      </c>
      <c r="BC69" s="30">
        <f t="shared" si="21"/>
        <v>6.7104381091813367E-3</v>
      </c>
      <c r="BE69" s="30">
        <f t="shared" si="22"/>
        <v>2.54665321583167E-4</v>
      </c>
      <c r="BF69" s="30">
        <f t="shared" si="23"/>
        <v>9.0894175508233338E-3</v>
      </c>
      <c r="BH69" s="30"/>
    </row>
    <row r="70" spans="1:60" x14ac:dyDescent="0.25">
      <c r="A70" s="1">
        <v>46125</v>
      </c>
      <c r="B70" s="34">
        <v>67.040000000000006</v>
      </c>
      <c r="C70" s="34">
        <v>96.03</v>
      </c>
      <c r="D70" s="16">
        <v>5.2344395296129304E-3</v>
      </c>
      <c r="E70" s="16">
        <v>5.5343951631967696E-3</v>
      </c>
      <c r="F70" s="34">
        <v>0</v>
      </c>
      <c r="G70" s="34">
        <v>0.98799999999999999</v>
      </c>
      <c r="H70" s="34">
        <v>0</v>
      </c>
      <c r="I70" s="34">
        <v>1.27294</v>
      </c>
      <c r="J70" s="34">
        <v>0.98799999999999999</v>
      </c>
      <c r="K70" s="34">
        <v>1.27294</v>
      </c>
      <c r="L70" s="34">
        <v>68.028000000000006</v>
      </c>
      <c r="M70" s="34">
        <v>97.302940000000007</v>
      </c>
      <c r="N70" s="35">
        <v>1.43242840095465</v>
      </c>
      <c r="O70" s="35">
        <v>1.43329336478799</v>
      </c>
      <c r="P70" s="35">
        <v>1.43073486091486</v>
      </c>
      <c r="Q70" s="35">
        <v>1.43036923318413</v>
      </c>
      <c r="R70" s="34">
        <v>96.087987175387099</v>
      </c>
      <c r="S70" s="34">
        <v>95.900185075732594</v>
      </c>
      <c r="T70" s="34">
        <v>95.884539769387999</v>
      </c>
      <c r="U70" s="16">
        <v>6.0366213492648603E-4</v>
      </c>
      <c r="V70" s="16">
        <v>-1.3527308798422901E-3</v>
      </c>
      <c r="W70" s="16">
        <v>-1.51588575457943E-3</v>
      </c>
      <c r="X70" s="35">
        <v>1.43033662609513</v>
      </c>
      <c r="Y70" s="35">
        <v>1.43040773636679</v>
      </c>
      <c r="Z70" s="35">
        <v>1.4286794345668199</v>
      </c>
      <c r="AA70" s="35">
        <v>1.42839968145269</v>
      </c>
      <c r="AB70" s="34">
        <v>97.307777489560394</v>
      </c>
      <c r="AC70" s="34">
        <v>97.174951591233395</v>
      </c>
      <c r="AD70" s="34">
        <v>97.164373105006504</v>
      </c>
      <c r="AE70" s="16">
        <v>4.9714523679361802E-5</v>
      </c>
      <c r="AF70" s="16">
        <v>-1.3162259853517001E-3</v>
      </c>
      <c r="AG70" s="16">
        <v>-1.4250921271257099E-3</v>
      </c>
      <c r="AI70" s="12"/>
      <c r="AJ70">
        <f t="shared" si="6"/>
        <v>0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9">
        <f t="shared" si="8"/>
        <v>5.2344395296129304E-3</v>
      </c>
      <c r="AP70" s="29">
        <f t="shared" si="9"/>
        <v>-5.5343951631967696E-3</v>
      </c>
      <c r="AQ70" s="29">
        <f t="shared" si="16"/>
        <v>-2.9995563358383923E-4</v>
      </c>
      <c r="AR70" s="30">
        <f t="shared" si="17"/>
        <v>2.0790238080581579E-3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9">
        <f t="shared" si="12"/>
        <v>0</v>
      </c>
      <c r="BA70" s="29">
        <f t="shared" si="13"/>
        <v>0</v>
      </c>
      <c r="BB70" s="29">
        <f t="shared" si="20"/>
        <v>0</v>
      </c>
      <c r="BC70" s="30">
        <f t="shared" si="21"/>
        <v>6.7104381091813367E-3</v>
      </c>
      <c r="BE70" s="30">
        <f t="shared" si="22"/>
        <v>-2.9995563358383923E-4</v>
      </c>
      <c r="BF70" s="30">
        <f t="shared" si="23"/>
        <v>8.7894619172394946E-3</v>
      </c>
      <c r="BH70" s="30"/>
    </row>
    <row r="71" spans="1:60" x14ac:dyDescent="0.25">
      <c r="A71" s="1">
        <v>46126</v>
      </c>
      <c r="B71" s="34">
        <v>67.319999999999993</v>
      </c>
      <c r="C71" s="34">
        <v>96.46</v>
      </c>
      <c r="D71" s="16">
        <v>4.1679131487775498E-3</v>
      </c>
      <c r="E71" s="16">
        <v>4.4677719909443497E-3</v>
      </c>
      <c r="F71" s="34">
        <v>0</v>
      </c>
      <c r="G71" s="34">
        <v>0.98799999999999999</v>
      </c>
      <c r="H71" s="34">
        <v>0</v>
      </c>
      <c r="I71" s="34">
        <v>1.27294</v>
      </c>
      <c r="J71" s="34">
        <v>0.98799999999999999</v>
      </c>
      <c r="K71" s="34">
        <v>1.27294</v>
      </c>
      <c r="L71" s="34">
        <v>68.307999999999893</v>
      </c>
      <c r="M71" s="34">
        <v>97.732939999999999</v>
      </c>
      <c r="N71" s="35">
        <v>1.4328579916815201</v>
      </c>
      <c r="O71" s="35">
        <v>1.43329336478799</v>
      </c>
      <c r="P71" s="35">
        <v>1.43106042670362</v>
      </c>
      <c r="Q71" s="35">
        <v>1.43054584826074</v>
      </c>
      <c r="R71" s="34">
        <v>96.489309317527699</v>
      </c>
      <c r="S71" s="34">
        <v>96.317070836788702</v>
      </c>
      <c r="T71" s="34">
        <v>96.292456777955806</v>
      </c>
      <c r="U71" s="16">
        <v>3.0380329275950799E-4</v>
      </c>
      <c r="V71" s="16">
        <v>-1.4828442903561899E-3</v>
      </c>
      <c r="W71" s="16">
        <v>-1.73842935171574E-3</v>
      </c>
      <c r="X71" s="35">
        <v>1.43076857761901</v>
      </c>
      <c r="Y71" s="35">
        <v>1.43040773636679</v>
      </c>
      <c r="Z71" s="35">
        <v>1.42898583760363</v>
      </c>
      <c r="AA71" s="35">
        <v>1.4285649348513301</v>
      </c>
      <c r="AB71" s="34">
        <v>97.708291655743096</v>
      </c>
      <c r="AC71" s="34">
        <v>97.590234816390407</v>
      </c>
      <c r="AD71" s="34">
        <v>97.5711254406705</v>
      </c>
      <c r="AE71" s="16">
        <v>-2.5223279835795301E-4</v>
      </c>
      <c r="AF71" s="16">
        <v>-1.4612214770250401E-3</v>
      </c>
      <c r="AG71" s="16">
        <v>-1.65705302642327E-3</v>
      </c>
      <c r="AI71" s="12"/>
      <c r="AJ71">
        <f t="shared" si="6"/>
        <v>1</v>
      </c>
      <c r="AK71">
        <f t="shared" si="7"/>
        <v>0</v>
      </c>
      <c r="AL71">
        <f t="shared" si="14"/>
        <v>1</v>
      </c>
      <c r="AM71">
        <f t="shared" si="4"/>
        <v>1</v>
      </c>
      <c r="AN71">
        <f t="shared" si="15"/>
        <v>1</v>
      </c>
      <c r="AO71" s="29">
        <f t="shared" si="8"/>
        <v>4.1679131487775498E-3</v>
      </c>
      <c r="AP71" s="29">
        <f t="shared" si="9"/>
        <v>-4.4677719909443497E-3</v>
      </c>
      <c r="AQ71" s="29">
        <f t="shared" si="16"/>
        <v>-2.9985884216679991E-4</v>
      </c>
      <c r="AR71" s="30">
        <f t="shared" si="17"/>
        <v>1.779164965891358E-3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9">
        <f t="shared" si="12"/>
        <v>0</v>
      </c>
      <c r="BA71" s="29">
        <f t="shared" si="13"/>
        <v>0</v>
      </c>
      <c r="BB71" s="29">
        <f t="shared" si="20"/>
        <v>0</v>
      </c>
      <c r="BC71" s="30">
        <f t="shared" si="21"/>
        <v>6.7104381091813367E-3</v>
      </c>
      <c r="BE71" s="30">
        <f t="shared" si="22"/>
        <v>-2.9985884216679991E-4</v>
      </c>
      <c r="BF71" s="30">
        <f t="shared" si="23"/>
        <v>8.4896030750726947E-3</v>
      </c>
      <c r="BH71" s="30"/>
    </row>
    <row r="72" spans="1:60" x14ac:dyDescent="0.25">
      <c r="A72" s="1">
        <v>46127</v>
      </c>
      <c r="B72" s="34">
        <v>67.260000000000005</v>
      </c>
      <c r="C72" s="34">
        <v>96.25</v>
      </c>
      <c r="D72" s="16">
        <v>-8.9166301048156896E-4</v>
      </c>
      <c r="E72" s="16">
        <v>-2.1794414729321599E-3</v>
      </c>
      <c r="F72" s="34">
        <v>0</v>
      </c>
      <c r="G72" s="34">
        <v>0.98799999999999999</v>
      </c>
      <c r="H72" s="34">
        <v>0</v>
      </c>
      <c r="I72" s="34">
        <v>1.27294</v>
      </c>
      <c r="J72" s="34">
        <v>0.98799999999999999</v>
      </c>
      <c r="K72" s="34">
        <v>1.27294</v>
      </c>
      <c r="L72" s="34">
        <v>68.248000000000005</v>
      </c>
      <c r="M72" s="34">
        <v>97.522940000000006</v>
      </c>
      <c r="N72" s="35">
        <v>1.4310139756169999</v>
      </c>
      <c r="O72" s="35">
        <v>1.43329336478799</v>
      </c>
      <c r="P72" s="35">
        <v>1.4311720236868399</v>
      </c>
      <c r="Q72" s="35">
        <v>1.43064650947585</v>
      </c>
      <c r="R72" s="34">
        <v>96.403311715640399</v>
      </c>
      <c r="S72" s="34">
        <v>96.253124300085602</v>
      </c>
      <c r="T72" s="34">
        <v>96.218513754017494</v>
      </c>
      <c r="U72" s="16">
        <v>1.59158175521006E-3</v>
      </c>
      <c r="V72" s="16">
        <v>3.2459733807447398E-5</v>
      </c>
      <c r="W72" s="16">
        <v>-3.2718334702399498E-4</v>
      </c>
      <c r="X72" s="35">
        <v>1.42894941976321</v>
      </c>
      <c r="Y72" s="35">
        <v>1.43040773636679</v>
      </c>
      <c r="Z72" s="35">
        <v>1.42907944964681</v>
      </c>
      <c r="AA72" s="35">
        <v>1.42865495775203</v>
      </c>
      <c r="AB72" s="34">
        <v>97.6224671915611</v>
      </c>
      <c r="AC72" s="34">
        <v>97.525425444772594</v>
      </c>
      <c r="AD72" s="34">
        <v>97.496699673734099</v>
      </c>
      <c r="AE72" s="16">
        <v>1.0200311821120999E-3</v>
      </c>
      <c r="AF72" s="16">
        <v>2.5485420163482901E-5</v>
      </c>
      <c r="AG72" s="16">
        <v>-2.6910444987083599E-4</v>
      </c>
      <c r="AI72" s="12"/>
      <c r="AJ72">
        <f t="shared" si="6"/>
        <v>0</v>
      </c>
      <c r="AK72">
        <f t="shared" si="7"/>
        <v>1</v>
      </c>
      <c r="AL72">
        <f t="shared" si="14"/>
        <v>1</v>
      </c>
      <c r="AM72">
        <f t="shared" si="4"/>
        <v>1</v>
      </c>
      <c r="AN72">
        <f t="shared" si="15"/>
        <v>1</v>
      </c>
      <c r="AO72" s="29">
        <f t="shared" si="8"/>
        <v>-8.9166301048156896E-4</v>
      </c>
      <c r="AP72" s="29">
        <f t="shared" si="9"/>
        <v>2.1794414729321599E-3</v>
      </c>
      <c r="AQ72" s="29">
        <f t="shared" si="16"/>
        <v>1.2877784624505909E-3</v>
      </c>
      <c r="AR72" s="30">
        <f t="shared" si="17"/>
        <v>3.0669434283419486E-3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9">
        <f t="shared" si="12"/>
        <v>0</v>
      </c>
      <c r="BA72" s="29">
        <f t="shared" si="13"/>
        <v>0</v>
      </c>
      <c r="BB72" s="29">
        <f t="shared" si="20"/>
        <v>0</v>
      </c>
      <c r="BC72" s="30">
        <f t="shared" si="21"/>
        <v>6.7104381091813367E-3</v>
      </c>
      <c r="BE72" s="30">
        <f t="shared" si="22"/>
        <v>1.2877784624505909E-3</v>
      </c>
      <c r="BF72" s="30">
        <f t="shared" si="23"/>
        <v>9.7773815375232862E-3</v>
      </c>
      <c r="BH72" s="30"/>
    </row>
    <row r="73" spans="1:60" x14ac:dyDescent="0.25">
      <c r="A73" s="1">
        <v>46128</v>
      </c>
      <c r="B73" s="34">
        <v>67</v>
      </c>
      <c r="C73" s="34">
        <v>95.95</v>
      </c>
      <c r="D73" s="16">
        <v>-3.8730869211575699E-3</v>
      </c>
      <c r="E73" s="16">
        <v>-3.1217507141846402E-3</v>
      </c>
      <c r="F73" s="34">
        <v>0</v>
      </c>
      <c r="G73" s="34">
        <v>0.98799999999999999</v>
      </c>
      <c r="H73" s="34">
        <v>0</v>
      </c>
      <c r="I73" s="34">
        <v>1.27294</v>
      </c>
      <c r="J73" s="34">
        <v>0.98799999999999999</v>
      </c>
      <c r="K73" s="34">
        <v>1.27294</v>
      </c>
      <c r="L73" s="34">
        <v>67.988</v>
      </c>
      <c r="M73" s="34">
        <v>97.222939999999994</v>
      </c>
      <c r="N73" s="35">
        <v>1.4320895522388</v>
      </c>
      <c r="O73" s="35">
        <v>1.43329336478799</v>
      </c>
      <c r="P73" s="35">
        <v>1.4313017106180399</v>
      </c>
      <c r="Q73" s="35">
        <v>1.4307769679997699</v>
      </c>
      <c r="R73" s="34">
        <v>96.030655440795499</v>
      </c>
      <c r="S73" s="34">
        <v>95.888525587018805</v>
      </c>
      <c r="T73" s="34">
        <v>95.853316134881993</v>
      </c>
      <c r="U73" s="16">
        <v>8.4024554823714003E-4</v>
      </c>
      <c r="V73" s="16">
        <v>-6.4089749331870303E-4</v>
      </c>
      <c r="W73" s="16">
        <v>-1.0081564308187E-3</v>
      </c>
      <c r="X73" s="35">
        <v>1.4300014708477899</v>
      </c>
      <c r="Y73" s="35">
        <v>1.43040773636679</v>
      </c>
      <c r="Z73" s="35">
        <v>1.4292116024983901</v>
      </c>
      <c r="AA73" s="35">
        <v>1.42877458875124</v>
      </c>
      <c r="AB73" s="34">
        <v>97.250561180105706</v>
      </c>
      <c r="AC73" s="34">
        <v>97.160253622587405</v>
      </c>
      <c r="AD73" s="34">
        <v>97.131393267645294</v>
      </c>
      <c r="AE73" s="16">
        <v>2.8406112014134197E-4</v>
      </c>
      <c r="AF73" s="16">
        <v>-6.4497736061905299E-4</v>
      </c>
      <c r="AG73" s="16">
        <v>-9.4206018035157904E-4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9">
        <f t="shared" si="8"/>
        <v>0</v>
      </c>
      <c r="AP73" s="29">
        <f t="shared" si="9"/>
        <v>0</v>
      </c>
      <c r="AQ73" s="29">
        <f t="shared" si="16"/>
        <v>0</v>
      </c>
      <c r="AR73" s="30">
        <f t="shared" si="17"/>
        <v>3.0669434283419486E-3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9">
        <f t="shared" si="12"/>
        <v>0</v>
      </c>
      <c r="BA73" s="29">
        <f t="shared" si="13"/>
        <v>0</v>
      </c>
      <c r="BB73" s="29">
        <f t="shared" si="20"/>
        <v>0</v>
      </c>
      <c r="BC73" s="30">
        <f t="shared" si="21"/>
        <v>6.7104381091813367E-3</v>
      </c>
      <c r="BE73" s="30">
        <f t="shared" si="22"/>
        <v>0</v>
      </c>
      <c r="BF73" s="30">
        <f t="shared" si="23"/>
        <v>9.7773815375232862E-3</v>
      </c>
      <c r="BH73" s="30"/>
    </row>
    <row r="74" spans="1:60" x14ac:dyDescent="0.25">
      <c r="A74" s="1">
        <v>46129</v>
      </c>
      <c r="B74" s="34">
        <v>67.510000000000005</v>
      </c>
      <c r="C74" s="34">
        <v>96.67</v>
      </c>
      <c r="D74" s="16">
        <v>7.58311566281312E-3</v>
      </c>
      <c r="E74" s="16">
        <v>7.4758940228051999E-3</v>
      </c>
      <c r="F74" s="34">
        <v>0</v>
      </c>
      <c r="G74" s="34">
        <v>0.98799999999999999</v>
      </c>
      <c r="H74" s="34">
        <v>0</v>
      </c>
      <c r="I74" s="34">
        <v>1.27294</v>
      </c>
      <c r="J74" s="34">
        <v>0.98799999999999999</v>
      </c>
      <c r="K74" s="34">
        <v>1.27294</v>
      </c>
      <c r="L74" s="34">
        <v>68.498000000000005</v>
      </c>
      <c r="M74" s="34">
        <v>97.942939999999993</v>
      </c>
      <c r="N74" s="35">
        <v>1.4319360094800699</v>
      </c>
      <c r="O74" s="35">
        <v>1.43329336478799</v>
      </c>
      <c r="P74" s="35">
        <v>1.4315099189914899</v>
      </c>
      <c r="Q74" s="35">
        <v>1.4308361210592</v>
      </c>
      <c r="R74" s="34">
        <v>96.761635056837406</v>
      </c>
      <c r="S74" s="34">
        <v>96.627178483824295</v>
      </c>
      <c r="T74" s="34">
        <v>96.591753109664793</v>
      </c>
      <c r="U74" s="16">
        <v>9.4746718824519701E-4</v>
      </c>
      <c r="V74" s="16">
        <v>-4.4306406551901102E-4</v>
      </c>
      <c r="W74" s="16">
        <v>-8.0975043795925299E-4</v>
      </c>
      <c r="X74" s="35">
        <v>1.4298656895091799</v>
      </c>
      <c r="Y74" s="35">
        <v>1.43040773636679</v>
      </c>
      <c r="Z74" s="35">
        <v>1.4294222825004601</v>
      </c>
      <c r="AA74" s="35">
        <v>1.42882424815334</v>
      </c>
      <c r="AB74" s="34">
        <v>97.980069125652804</v>
      </c>
      <c r="AC74" s="34">
        <v>97.898136347935093</v>
      </c>
      <c r="AD74" s="34">
        <v>97.868201780282504</v>
      </c>
      <c r="AE74" s="16">
        <v>3.7901751573768497E-4</v>
      </c>
      <c r="AF74" s="16">
        <v>-4.5755112953854601E-4</v>
      </c>
      <c r="AG74" s="16">
        <v>-7.63370487167603E-4</v>
      </c>
      <c r="AI74" s="12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9">
        <f t="shared" si="8"/>
        <v>0</v>
      </c>
      <c r="AP74" s="29">
        <f t="shared" si="9"/>
        <v>0</v>
      </c>
      <c r="AQ74" s="29">
        <f t="shared" si="16"/>
        <v>0</v>
      </c>
      <c r="AR74" s="30">
        <f t="shared" si="17"/>
        <v>3.0669434283419486E-3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9">
        <f t="shared" si="12"/>
        <v>0</v>
      </c>
      <c r="BA74" s="29">
        <f t="shared" si="13"/>
        <v>0</v>
      </c>
      <c r="BB74" s="29">
        <f t="shared" si="20"/>
        <v>0</v>
      </c>
      <c r="BC74" s="30">
        <f t="shared" si="21"/>
        <v>6.7104381091813367E-3</v>
      </c>
      <c r="BE74" s="30">
        <f t="shared" si="22"/>
        <v>0</v>
      </c>
      <c r="BF74" s="30">
        <f t="shared" si="23"/>
        <v>9.7773815375232862E-3</v>
      </c>
      <c r="BH74" s="30"/>
    </row>
    <row r="75" spans="1:60" x14ac:dyDescent="0.25">
      <c r="A75" s="1">
        <v>46132</v>
      </c>
      <c r="B75" s="34">
        <v>67.489999999999995</v>
      </c>
      <c r="C75" s="34">
        <v>96.59</v>
      </c>
      <c r="D75" s="16">
        <v>-2.9629629846418098E-4</v>
      </c>
      <c r="E75" s="16">
        <v>-8.2790028530955898E-4</v>
      </c>
      <c r="F75" s="34">
        <v>0</v>
      </c>
      <c r="G75" s="34">
        <v>0.98799999999999999</v>
      </c>
      <c r="H75" s="34">
        <v>0</v>
      </c>
      <c r="I75" s="34">
        <v>1.27294</v>
      </c>
      <c r="J75" s="34">
        <v>0.98799999999999999</v>
      </c>
      <c r="K75" s="34">
        <v>1.27294</v>
      </c>
      <c r="L75" s="34">
        <v>68.477999999999994</v>
      </c>
      <c r="M75" s="34">
        <v>97.862939999999995</v>
      </c>
      <c r="N75" s="35">
        <v>1.43117498888724</v>
      </c>
      <c r="O75" s="35">
        <v>1.43329336478799</v>
      </c>
      <c r="P75" s="35">
        <v>1.43168767351016</v>
      </c>
      <c r="Q75" s="35">
        <v>1.4309608214238101</v>
      </c>
      <c r="R75" s="34">
        <v>96.732969189541606</v>
      </c>
      <c r="S75" s="34">
        <v>96.612604432736006</v>
      </c>
      <c r="T75" s="34">
        <v>96.567129810285607</v>
      </c>
      <c r="U75" s="16">
        <v>1.4790711750904499E-3</v>
      </c>
      <c r="V75" s="16">
        <v>2.3399718555067999E-4</v>
      </c>
      <c r="W75" s="16">
        <v>-2.3680399313942199E-4</v>
      </c>
      <c r="X75" s="35">
        <v>1.42911504424778</v>
      </c>
      <c r="Y75" s="35">
        <v>1.43040773636679</v>
      </c>
      <c r="Z75" s="35">
        <v>1.42960287009367</v>
      </c>
      <c r="AA75" s="35">
        <v>1.4289402786563901</v>
      </c>
      <c r="AB75" s="34">
        <v>97.951460970925496</v>
      </c>
      <c r="AC75" s="34">
        <v>97.883979061066597</v>
      </c>
      <c r="AD75" s="34">
        <v>97.843026865044806</v>
      </c>
      <c r="AE75" s="16">
        <v>9.0413142768588299E-4</v>
      </c>
      <c r="AF75" s="16">
        <v>2.1496186247621E-4</v>
      </c>
      <c r="AG75" s="16">
        <v>-2.0350054055938001E-4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9">
        <f t="shared" si="8"/>
        <v>0</v>
      </c>
      <c r="AP75" s="29">
        <f t="shared" si="9"/>
        <v>0</v>
      </c>
      <c r="AQ75" s="29">
        <f t="shared" si="16"/>
        <v>0</v>
      </c>
      <c r="AR75" s="30">
        <f t="shared" si="17"/>
        <v>3.0669434283419486E-3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9">
        <f t="shared" si="12"/>
        <v>0</v>
      </c>
      <c r="BA75" s="29">
        <f t="shared" si="13"/>
        <v>0</v>
      </c>
      <c r="BB75" s="29">
        <f t="shared" si="20"/>
        <v>0</v>
      </c>
      <c r="BC75" s="30">
        <f t="shared" si="21"/>
        <v>6.7104381091813367E-3</v>
      </c>
      <c r="BE75" s="30">
        <f t="shared" si="22"/>
        <v>0</v>
      </c>
      <c r="BF75" s="30">
        <f t="shared" si="23"/>
        <v>9.7773815375232862E-3</v>
      </c>
      <c r="BH75" s="30"/>
    </row>
    <row r="76" spans="1:60" x14ac:dyDescent="0.25">
      <c r="A76" s="1">
        <v>46133</v>
      </c>
      <c r="B76" s="34">
        <v>67.17</v>
      </c>
      <c r="C76" s="34">
        <v>96.13</v>
      </c>
      <c r="D76" s="16">
        <v>-4.7527194765418796E-3</v>
      </c>
      <c r="E76" s="16">
        <v>-4.7737741134798398E-3</v>
      </c>
      <c r="F76" s="34">
        <v>0</v>
      </c>
      <c r="G76" s="34">
        <v>0.98799999999999999</v>
      </c>
      <c r="H76" s="34">
        <v>0</v>
      </c>
      <c r="I76" s="34">
        <v>1.27294</v>
      </c>
      <c r="J76" s="34">
        <v>0.98799999999999999</v>
      </c>
      <c r="K76" s="34">
        <v>1.27294</v>
      </c>
      <c r="L76" s="34">
        <v>68.158000000000001</v>
      </c>
      <c r="M76" s="34">
        <v>97.402940000000001</v>
      </c>
      <c r="N76" s="35">
        <v>1.43114485633467</v>
      </c>
      <c r="O76" s="35">
        <v>1.43329336478799</v>
      </c>
      <c r="P76" s="35">
        <v>1.4319819190585299</v>
      </c>
      <c r="Q76" s="35">
        <v>1.43093511142471</v>
      </c>
      <c r="R76" s="34">
        <v>96.274315312809506</v>
      </c>
      <c r="S76" s="34">
        <v>96.166461029677706</v>
      </c>
      <c r="T76" s="34">
        <v>96.117638375037401</v>
      </c>
      <c r="U76" s="16">
        <v>1.5001258120284501E-3</v>
      </c>
      <c r="V76" s="16">
        <v>3.7921686046105401E-4</v>
      </c>
      <c r="W76" s="16">
        <v>-1.2860105938449301E-4</v>
      </c>
      <c r="X76" s="35">
        <v>1.4290756771032</v>
      </c>
      <c r="Y76" s="35">
        <v>1.43040773636679</v>
      </c>
      <c r="Z76" s="35">
        <v>1.42989697632311</v>
      </c>
      <c r="AA76" s="35">
        <v>1.4289062055150801</v>
      </c>
      <c r="AB76" s="34">
        <v>97.493730495288105</v>
      </c>
      <c r="AC76" s="34">
        <v>97.438872419844799</v>
      </c>
      <c r="AD76" s="34">
        <v>97.393711512662307</v>
      </c>
      <c r="AE76" s="16">
        <v>9.3167832600520896E-4</v>
      </c>
      <c r="AF76" s="16">
        <v>3.6883685083751599E-4</v>
      </c>
      <c r="AG76" s="16">
        <v>-9.47499587169412E-5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9">
        <f t="shared" si="8"/>
        <v>0</v>
      </c>
      <c r="AP76" s="29">
        <f t="shared" si="9"/>
        <v>0</v>
      </c>
      <c r="AQ76" s="29">
        <f t="shared" si="16"/>
        <v>0</v>
      </c>
      <c r="AR76" s="30">
        <f t="shared" si="17"/>
        <v>3.0669434283419486E-3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9">
        <f t="shared" si="12"/>
        <v>0</v>
      </c>
      <c r="BA76" s="29">
        <f t="shared" si="13"/>
        <v>0</v>
      </c>
      <c r="BB76" s="29">
        <f t="shared" si="20"/>
        <v>0</v>
      </c>
      <c r="BC76" s="30">
        <f t="shared" si="21"/>
        <v>6.7104381091813367E-3</v>
      </c>
      <c r="BE76" s="30">
        <f t="shared" si="22"/>
        <v>0</v>
      </c>
      <c r="BF76" s="30">
        <f t="shared" si="23"/>
        <v>9.7773815375232862E-3</v>
      </c>
      <c r="BH76" s="30"/>
    </row>
    <row r="77" spans="1:60" x14ac:dyDescent="0.25">
      <c r="A77" s="1">
        <v>46134</v>
      </c>
      <c r="B77" s="34">
        <v>67.31</v>
      </c>
      <c r="C77" s="34">
        <v>96.38</v>
      </c>
      <c r="D77" s="16">
        <v>2.0820947438485202E-3</v>
      </c>
      <c r="E77" s="16">
        <v>2.5972691344618702E-3</v>
      </c>
      <c r="F77" s="34">
        <v>0</v>
      </c>
      <c r="G77" s="34">
        <v>0.98799999999999999</v>
      </c>
      <c r="H77" s="34">
        <v>0</v>
      </c>
      <c r="I77" s="34">
        <v>1.27294</v>
      </c>
      <c r="J77" s="34">
        <v>0.98799999999999999</v>
      </c>
      <c r="K77" s="34">
        <v>1.27294</v>
      </c>
      <c r="L77" s="34">
        <v>68.298000000000002</v>
      </c>
      <c r="M77" s="34">
        <v>97.652940000000001</v>
      </c>
      <c r="N77" s="35">
        <v>1.4318823354627801</v>
      </c>
      <c r="O77" s="35">
        <v>1.43329336478799</v>
      </c>
      <c r="P77" s="35">
        <v>1.4318890438371099</v>
      </c>
      <c r="Q77" s="35">
        <v>1.4310286169509101</v>
      </c>
      <c r="R77" s="34">
        <v>96.474976383879806</v>
      </c>
      <c r="S77" s="34">
        <v>96.386702971830204</v>
      </c>
      <c r="T77" s="34">
        <v>96.316242349997594</v>
      </c>
      <c r="U77" s="16">
        <v>9.8495142141523493E-4</v>
      </c>
      <c r="V77" s="16">
        <v>6.9544913406945197E-5</v>
      </c>
      <c r="W77" s="16">
        <v>-6.6174255970394996E-4</v>
      </c>
      <c r="X77" s="35">
        <v>1.42980672933321</v>
      </c>
      <c r="Y77" s="35">
        <v>1.43040773636679</v>
      </c>
      <c r="Z77" s="35">
        <v>1.42980832851068</v>
      </c>
      <c r="AA77" s="35">
        <v>1.4289905794284901</v>
      </c>
      <c r="AB77" s="34">
        <v>97.693987578379407</v>
      </c>
      <c r="AC77" s="34">
        <v>97.659103688916005</v>
      </c>
      <c r="AD77" s="34">
        <v>97.5914360242692</v>
      </c>
      <c r="AE77" s="16">
        <v>4.2025313110842299E-4</v>
      </c>
      <c r="AF77" s="16">
        <v>6.3116321981233596E-5</v>
      </c>
      <c r="AG77" s="16">
        <v>-6.30020480154296E-4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9">
        <f t="shared" si="8"/>
        <v>0</v>
      </c>
      <c r="AP77" s="29">
        <f t="shared" si="9"/>
        <v>0</v>
      </c>
      <c r="AQ77" s="29">
        <f t="shared" si="16"/>
        <v>0</v>
      </c>
      <c r="AR77" s="30">
        <f t="shared" si="17"/>
        <v>3.0669434283419486E-3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9">
        <f t="shared" si="12"/>
        <v>0</v>
      </c>
      <c r="BA77" s="29">
        <f t="shared" si="13"/>
        <v>0</v>
      </c>
      <c r="BB77" s="29">
        <f t="shared" si="20"/>
        <v>0</v>
      </c>
      <c r="BC77" s="30">
        <f t="shared" si="21"/>
        <v>6.7104381091813367E-3</v>
      </c>
      <c r="BE77" s="30">
        <f t="shared" si="22"/>
        <v>0</v>
      </c>
      <c r="BF77" s="30">
        <f t="shared" si="23"/>
        <v>9.7773815375232862E-3</v>
      </c>
      <c r="BH77" s="30"/>
    </row>
    <row r="78" spans="1:60" x14ac:dyDescent="0.25">
      <c r="A78" s="1">
        <v>46135</v>
      </c>
      <c r="B78" s="34">
        <v>67.08</v>
      </c>
      <c r="C78" s="34">
        <v>95.93</v>
      </c>
      <c r="D78" s="16">
        <v>-3.4228770676137002E-3</v>
      </c>
      <c r="E78" s="16">
        <v>-4.6799523823303499E-3</v>
      </c>
      <c r="F78" s="34">
        <v>0</v>
      </c>
      <c r="G78" s="34">
        <v>0.98799999999999999</v>
      </c>
      <c r="H78" s="34">
        <v>0</v>
      </c>
      <c r="I78" s="34">
        <v>1.27294</v>
      </c>
      <c r="J78" s="34">
        <v>0.98799999999999999</v>
      </c>
      <c r="K78" s="34">
        <v>1.27294</v>
      </c>
      <c r="L78" s="34">
        <v>68.067999999999998</v>
      </c>
      <c r="M78" s="34">
        <v>97.202939999999998</v>
      </c>
      <c r="N78" s="35">
        <v>1.43008348240906</v>
      </c>
      <c r="O78" s="35">
        <v>1.43329336478799</v>
      </c>
      <c r="P78" s="35">
        <v>1.43166103934856</v>
      </c>
      <c r="Q78" s="35">
        <v>1.4310057497139901</v>
      </c>
      <c r="R78" s="34">
        <v>96.145318909978599</v>
      </c>
      <c r="S78" s="34">
        <v>96.051117060593697</v>
      </c>
      <c r="T78" s="34">
        <v>95.993399625067099</v>
      </c>
      <c r="U78" s="16">
        <v>2.2420267361317101E-3</v>
      </c>
      <c r="V78" s="16">
        <v>1.2617603076463999E-3</v>
      </c>
      <c r="W78" s="16">
        <v>6.6067636877099E-4</v>
      </c>
      <c r="X78" s="35">
        <v>1.4280269730269699</v>
      </c>
      <c r="Y78" s="35">
        <v>1.43040773636679</v>
      </c>
      <c r="Z78" s="35">
        <v>1.4295848686933199</v>
      </c>
      <c r="AA78" s="35">
        <v>1.42895898753158</v>
      </c>
      <c r="AB78" s="34">
        <v>97.364993799015096</v>
      </c>
      <c r="AC78" s="34">
        <v>97.324193305064995</v>
      </c>
      <c r="AD78" s="34">
        <v>97.268530760538596</v>
      </c>
      <c r="AE78" s="16">
        <v>1.6657815429660999E-3</v>
      </c>
      <c r="AF78" s="16">
        <v>1.24664686831623E-3</v>
      </c>
      <c r="AG78" s="16">
        <v>6.7455409031656603E-4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9">
        <f t="shared" si="8"/>
        <v>0</v>
      </c>
      <c r="AP78" s="29">
        <f t="shared" si="9"/>
        <v>0</v>
      </c>
      <c r="AQ78" s="29">
        <f t="shared" si="16"/>
        <v>0</v>
      </c>
      <c r="AR78" s="30">
        <f t="shared" si="17"/>
        <v>3.0669434283419486E-3</v>
      </c>
      <c r="AT78" s="12"/>
      <c r="AU78">
        <f t="shared" si="10"/>
        <v>0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29">
        <f t="shared" si="12"/>
        <v>0</v>
      </c>
      <c r="BA78" s="29">
        <f t="shared" si="13"/>
        <v>0</v>
      </c>
      <c r="BB78" s="29">
        <f t="shared" si="20"/>
        <v>0</v>
      </c>
      <c r="BC78" s="30">
        <f t="shared" si="21"/>
        <v>6.7104381091813367E-3</v>
      </c>
      <c r="BE78" s="30">
        <f t="shared" si="22"/>
        <v>0</v>
      </c>
      <c r="BF78" s="30">
        <f t="shared" si="23"/>
        <v>9.7773815375232862E-3</v>
      </c>
      <c r="BH78" s="30"/>
    </row>
    <row r="79" spans="1:60" x14ac:dyDescent="0.25">
      <c r="A79" s="1">
        <v>46136</v>
      </c>
      <c r="B79" s="34">
        <v>67.2</v>
      </c>
      <c r="C79" s="34">
        <v>96.2</v>
      </c>
      <c r="D79" s="16">
        <v>1.7873105740958801E-3</v>
      </c>
      <c r="E79" s="16">
        <v>2.8105988418046499E-3</v>
      </c>
      <c r="F79" s="34">
        <v>0</v>
      </c>
      <c r="G79" s="34">
        <v>0.98799999999999999</v>
      </c>
      <c r="H79" s="34">
        <v>0</v>
      </c>
      <c r="I79" s="34">
        <v>1.27294</v>
      </c>
      <c r="J79" s="34">
        <v>0.98799999999999999</v>
      </c>
      <c r="K79" s="34">
        <v>1.27294</v>
      </c>
      <c r="L79" s="34">
        <v>68.188000000000002</v>
      </c>
      <c r="M79" s="34">
        <v>97.472939999999994</v>
      </c>
      <c r="N79" s="35">
        <v>1.43154761904761</v>
      </c>
      <c r="O79" s="35">
        <v>1.43329336478799</v>
      </c>
      <c r="P79" s="35">
        <v>1.43161592121134</v>
      </c>
      <c r="Q79" s="35">
        <v>1.43105397101537</v>
      </c>
      <c r="R79" s="34">
        <v>96.317314113753099</v>
      </c>
      <c r="S79" s="34">
        <v>96.207621844223794</v>
      </c>
      <c r="T79" s="34">
        <v>96.163586380780401</v>
      </c>
      <c r="U79" s="16">
        <v>1.2187384684230901E-3</v>
      </c>
      <c r="V79" s="16">
        <v>7.9226011472304406E-5</v>
      </c>
      <c r="W79" s="16">
        <v>-3.7859160706687898E-4</v>
      </c>
      <c r="X79" s="35">
        <v>1.4294735144013599</v>
      </c>
      <c r="Y79" s="35">
        <v>1.43040773636679</v>
      </c>
      <c r="Z79" s="35">
        <v>1.42954197219468</v>
      </c>
      <c r="AA79" s="35">
        <v>1.4289985952526401</v>
      </c>
      <c r="AB79" s="34">
        <v>97.536642727379103</v>
      </c>
      <c r="AC79" s="34">
        <v>97.480533026460193</v>
      </c>
      <c r="AD79" s="34">
        <v>97.437855441803507</v>
      </c>
      <c r="AE79" s="16">
        <v>6.5332922366284803E-4</v>
      </c>
      <c r="AF79" s="16">
        <v>7.7895780425946698E-5</v>
      </c>
      <c r="AG79" s="16">
        <v>-3.6000631464153901E-4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9">
        <f t="shared" si="8"/>
        <v>0</v>
      </c>
      <c r="AP79" s="29">
        <f t="shared" si="9"/>
        <v>0</v>
      </c>
      <c r="AQ79" s="29">
        <f t="shared" si="16"/>
        <v>0</v>
      </c>
      <c r="AR79" s="30">
        <f t="shared" si="17"/>
        <v>3.0669434283419486E-3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9">
        <f t="shared" si="12"/>
        <v>0</v>
      </c>
      <c r="BA79" s="29">
        <f t="shared" si="13"/>
        <v>0</v>
      </c>
      <c r="BB79" s="29">
        <f t="shared" si="20"/>
        <v>0</v>
      </c>
      <c r="BC79" s="30">
        <f t="shared" si="21"/>
        <v>6.7104381091813367E-3</v>
      </c>
      <c r="BE79" s="30">
        <f t="shared" si="22"/>
        <v>0</v>
      </c>
      <c r="BF79" s="30">
        <f t="shared" si="23"/>
        <v>9.7773815375232862E-3</v>
      </c>
      <c r="BH79" s="30"/>
    </row>
    <row r="80" spans="1:60" x14ac:dyDescent="0.25">
      <c r="A80" s="1">
        <v>46139</v>
      </c>
      <c r="B80" s="34">
        <v>67.069999999999993</v>
      </c>
      <c r="C80" s="34">
        <v>96.03</v>
      </c>
      <c r="D80" s="16">
        <v>-1.9363974174581599E-3</v>
      </c>
      <c r="E80" s="16">
        <v>-1.7687150217794601E-3</v>
      </c>
      <c r="F80" s="34">
        <v>0</v>
      </c>
      <c r="G80" s="34">
        <v>0.98799999999999999</v>
      </c>
      <c r="H80" s="34">
        <v>0</v>
      </c>
      <c r="I80" s="34">
        <v>1.27294</v>
      </c>
      <c r="J80" s="34">
        <v>0.98799999999999999</v>
      </c>
      <c r="K80" s="34">
        <v>1.27294</v>
      </c>
      <c r="L80" s="34">
        <v>68.057999999999893</v>
      </c>
      <c r="M80" s="34">
        <v>97.302940000000007</v>
      </c>
      <c r="N80" s="35">
        <v>1.4317876845087201</v>
      </c>
      <c r="O80" s="35">
        <v>1.43329336478799</v>
      </c>
      <c r="P80" s="35">
        <v>1.4315518495667501</v>
      </c>
      <c r="Q80" s="35">
        <v>1.4311433552407999</v>
      </c>
      <c r="R80" s="34">
        <v>96.130985976330706</v>
      </c>
      <c r="S80" s="34">
        <v>96.018479835644897</v>
      </c>
      <c r="T80" s="34">
        <v>95.980789836000994</v>
      </c>
      <c r="U80" s="16">
        <v>1.0510560727443499E-3</v>
      </c>
      <c r="V80" s="16">
        <v>-1.19971419495438E-4</v>
      </c>
      <c r="W80" s="16">
        <v>-5.1257708088620795E-4</v>
      </c>
      <c r="X80" s="35">
        <v>1.4297061330042</v>
      </c>
      <c r="Y80" s="35">
        <v>1.43040773636679</v>
      </c>
      <c r="Z80" s="35">
        <v>1.42947892288559</v>
      </c>
      <c r="AA80" s="35">
        <v>1.4290791787262001</v>
      </c>
      <c r="AB80" s="34">
        <v>97.350689721651406</v>
      </c>
      <c r="AC80" s="34">
        <v>97.291767543626094</v>
      </c>
      <c r="AD80" s="34">
        <v>97.2547863957044</v>
      </c>
      <c r="AE80" s="16">
        <v>4.9061219847284804E-4</v>
      </c>
      <c r="AF80" s="16">
        <v>-1.14827957318754E-4</v>
      </c>
      <c r="AG80" s="16">
        <v>-4.9500583884178799E-4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9">
        <f t="shared" si="8"/>
        <v>0</v>
      </c>
      <c r="AP80" s="29">
        <f t="shared" si="9"/>
        <v>0</v>
      </c>
      <c r="AQ80" s="29">
        <f t="shared" si="16"/>
        <v>0</v>
      </c>
      <c r="AR80" s="30">
        <f t="shared" si="17"/>
        <v>3.0669434283419486E-3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9">
        <f t="shared" si="12"/>
        <v>0</v>
      </c>
      <c r="BA80" s="29">
        <f t="shared" si="13"/>
        <v>0</v>
      </c>
      <c r="BB80" s="29">
        <f t="shared" si="20"/>
        <v>0</v>
      </c>
      <c r="BC80" s="30">
        <f t="shared" si="21"/>
        <v>6.7104381091813367E-3</v>
      </c>
      <c r="BE80" s="30">
        <f t="shared" si="22"/>
        <v>0</v>
      </c>
      <c r="BF80" s="30">
        <f t="shared" si="23"/>
        <v>9.7773815375232862E-3</v>
      </c>
      <c r="BH80" s="30"/>
    </row>
    <row r="81" spans="1:60" x14ac:dyDescent="0.25">
      <c r="A81" s="1">
        <v>46140</v>
      </c>
      <c r="B81" s="34">
        <v>66.989999999999995</v>
      </c>
      <c r="C81" s="34">
        <v>95.95</v>
      </c>
      <c r="D81" s="16">
        <v>-1.1934955914696601E-3</v>
      </c>
      <c r="E81" s="16">
        <v>-8.3342019617250096E-4</v>
      </c>
      <c r="F81" s="34">
        <v>0</v>
      </c>
      <c r="G81" s="34">
        <v>0.98799999999999999</v>
      </c>
      <c r="H81" s="34">
        <v>0</v>
      </c>
      <c r="I81" s="34">
        <v>1.27294</v>
      </c>
      <c r="J81" s="34">
        <v>0.98799999999999999</v>
      </c>
      <c r="K81" s="34">
        <v>1.27294</v>
      </c>
      <c r="L81" s="34">
        <v>67.977999999999994</v>
      </c>
      <c r="M81" s="34">
        <v>97.222939999999994</v>
      </c>
      <c r="N81" s="35">
        <v>1.43230332885505</v>
      </c>
      <c r="O81" s="35">
        <v>1.43329336478799</v>
      </c>
      <c r="P81" s="35">
        <v>1.4314963832840999</v>
      </c>
      <c r="Q81" s="35">
        <v>1.4312784049938601</v>
      </c>
      <c r="R81" s="34">
        <v>96.016322507147606</v>
      </c>
      <c r="S81" s="34">
        <v>95.899658402476703</v>
      </c>
      <c r="T81" s="34">
        <v>95.872293367581705</v>
      </c>
      <c r="U81" s="16">
        <v>6.9098067744719003E-4</v>
      </c>
      <c r="V81" s="16">
        <v>-5.2480258863008499E-4</v>
      </c>
      <c r="W81" s="16">
        <v>-8.1019401139132395E-4</v>
      </c>
      <c r="X81" s="35">
        <v>1.4302118332401601</v>
      </c>
      <c r="Y81" s="35">
        <v>1.43040773636679</v>
      </c>
      <c r="Z81" s="35">
        <v>1.4294232484477101</v>
      </c>
      <c r="AA81" s="35">
        <v>1.4292045430256699</v>
      </c>
      <c r="AB81" s="34">
        <v>97.236257102742101</v>
      </c>
      <c r="AC81" s="34">
        <v>97.173118219917001</v>
      </c>
      <c r="AD81" s="34">
        <v>97.145944411450202</v>
      </c>
      <c r="AE81" s="16">
        <v>1.3696552244732199E-4</v>
      </c>
      <c r="AF81" s="16">
        <v>-5.1258015856961697E-4</v>
      </c>
      <c r="AG81" s="16">
        <v>-7.9226253533671795E-4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9">
        <f t="shared" si="8"/>
        <v>0</v>
      </c>
      <c r="AP81" s="29">
        <f t="shared" si="9"/>
        <v>0</v>
      </c>
      <c r="AQ81" s="29">
        <f t="shared" si="16"/>
        <v>0</v>
      </c>
      <c r="AR81" s="30">
        <f t="shared" si="17"/>
        <v>3.0669434283419486E-3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9">
        <f t="shared" si="12"/>
        <v>0</v>
      </c>
      <c r="BA81" s="29">
        <f t="shared" si="13"/>
        <v>0</v>
      </c>
      <c r="BB81" s="29">
        <f t="shared" si="20"/>
        <v>0</v>
      </c>
      <c r="BC81" s="30">
        <f t="shared" si="21"/>
        <v>6.7104381091813367E-3</v>
      </c>
      <c r="BE81" s="30">
        <f t="shared" si="22"/>
        <v>0</v>
      </c>
      <c r="BF81" s="30">
        <f t="shared" si="23"/>
        <v>9.7773815375232862E-3</v>
      </c>
      <c r="BH81" s="30"/>
    </row>
    <row r="82" spans="1:60" x14ac:dyDescent="0.25">
      <c r="A82" s="1">
        <v>46141</v>
      </c>
      <c r="B82" s="34">
        <v>66.75</v>
      </c>
      <c r="C82" s="34">
        <v>95.5</v>
      </c>
      <c r="D82" s="16">
        <v>-3.5890572398172399E-3</v>
      </c>
      <c r="E82" s="16">
        <v>-4.7009749670244199E-3</v>
      </c>
      <c r="F82" s="34">
        <v>0</v>
      </c>
      <c r="G82" s="34">
        <v>0.98799999999999999</v>
      </c>
      <c r="H82" s="34">
        <v>0</v>
      </c>
      <c r="I82" s="34">
        <v>1.27294</v>
      </c>
      <c r="J82" s="34">
        <v>0.98799999999999999</v>
      </c>
      <c r="K82" s="34">
        <v>1.27294</v>
      </c>
      <c r="L82" s="34">
        <v>67.738</v>
      </c>
      <c r="M82" s="34">
        <v>96.772940000000006</v>
      </c>
      <c r="N82" s="35">
        <v>1.43071161048689</v>
      </c>
      <c r="O82" s="35">
        <v>1.43329336478799</v>
      </c>
      <c r="P82" s="35">
        <v>1.4314661467710901</v>
      </c>
      <c r="Q82" s="35">
        <v>1.4313190852289699</v>
      </c>
      <c r="R82" s="34">
        <v>95.672332099598506</v>
      </c>
      <c r="S82" s="34">
        <v>95.552383584213999</v>
      </c>
      <c r="T82" s="34">
        <v>95.537833533340404</v>
      </c>
      <c r="U82" s="16">
        <v>1.8028984046542899E-3</v>
      </c>
      <c r="V82" s="16">
        <v>5.4836882475846403E-4</v>
      </c>
      <c r="W82" s="16">
        <v>3.9608420107443E-4</v>
      </c>
      <c r="X82" s="35">
        <v>1.42863592075349</v>
      </c>
      <c r="Y82" s="35">
        <v>1.43040773636679</v>
      </c>
      <c r="Z82" s="35">
        <v>1.42939189854673</v>
      </c>
      <c r="AA82" s="35">
        <v>1.42923567409677</v>
      </c>
      <c r="AB82" s="34">
        <v>96.892959246014001</v>
      </c>
      <c r="AC82" s="34">
        <v>96.826272003350994</v>
      </c>
      <c r="AD82" s="34">
        <v>96.811457335472895</v>
      </c>
      <c r="AE82" s="16">
        <v>1.2394465091280899E-3</v>
      </c>
      <c r="AF82" s="16">
        <v>5.5095270428214395E-4</v>
      </c>
      <c r="AG82" s="16">
        <v>3.97938434205913E-4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9">
        <f t="shared" si="8"/>
        <v>0</v>
      </c>
      <c r="AP82" s="29">
        <f t="shared" si="9"/>
        <v>0</v>
      </c>
      <c r="AQ82" s="29">
        <f t="shared" si="16"/>
        <v>0</v>
      </c>
      <c r="AR82" s="30">
        <f t="shared" si="17"/>
        <v>3.0669434283419486E-3</v>
      </c>
      <c r="AT82" s="12"/>
      <c r="AU82">
        <f t="shared" si="10"/>
        <v>0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9">
        <f t="shared" si="12"/>
        <v>0</v>
      </c>
      <c r="BA82" s="29">
        <f t="shared" si="13"/>
        <v>0</v>
      </c>
      <c r="BB82" s="29">
        <f t="shared" si="20"/>
        <v>0</v>
      </c>
      <c r="BC82" s="30">
        <f t="shared" si="21"/>
        <v>6.7104381091813367E-3</v>
      </c>
      <c r="BE82" s="30">
        <f t="shared" si="22"/>
        <v>0</v>
      </c>
      <c r="BF82" s="30">
        <f t="shared" si="23"/>
        <v>9.7773815375232862E-3</v>
      </c>
      <c r="BH82" s="30"/>
    </row>
    <row r="83" spans="1:60" x14ac:dyDescent="0.25">
      <c r="A83" s="1">
        <v>46142</v>
      </c>
      <c r="B83" s="34">
        <v>66.930000000000007</v>
      </c>
      <c r="C83" s="34">
        <v>95.8</v>
      </c>
      <c r="D83" s="16">
        <v>2.6929998321921201E-3</v>
      </c>
      <c r="E83" s="16">
        <v>3.1364374901303102E-3</v>
      </c>
      <c r="F83" s="34">
        <v>0</v>
      </c>
      <c r="G83" s="34">
        <v>0.98799999999999999</v>
      </c>
      <c r="H83" s="34">
        <v>0</v>
      </c>
      <c r="I83" s="34">
        <v>1.27294</v>
      </c>
      <c r="J83" s="34">
        <v>0.98799999999999999</v>
      </c>
      <c r="K83" s="34">
        <v>1.27294</v>
      </c>
      <c r="L83" s="34">
        <v>67.918000000000006</v>
      </c>
      <c r="M83" s="34">
        <v>97.072940000000003</v>
      </c>
      <c r="N83" s="35">
        <v>1.4313461825788101</v>
      </c>
      <c r="O83" s="35">
        <v>1.43329336478799</v>
      </c>
      <c r="P83" s="35">
        <v>1.43139180980509</v>
      </c>
      <c r="Q83" s="35">
        <v>1.4313467602115699</v>
      </c>
      <c r="R83" s="34">
        <v>95.930324905260406</v>
      </c>
      <c r="S83" s="34">
        <v>95.808029203389196</v>
      </c>
      <c r="T83" s="34">
        <v>95.798186374375007</v>
      </c>
      <c r="U83" s="16">
        <v>1.3594607467161399E-3</v>
      </c>
      <c r="V83" s="16">
        <v>8.3808631896652904E-5</v>
      </c>
      <c r="W83" s="16">
        <v>-1.89315531565321E-5</v>
      </c>
      <c r="X83" s="35">
        <v>1.42926676286109</v>
      </c>
      <c r="Y83" s="35">
        <v>1.43040773636679</v>
      </c>
      <c r="Z83" s="35">
        <v>1.4293184277480599</v>
      </c>
      <c r="AA83" s="35">
        <v>1.42926501512323</v>
      </c>
      <c r="AB83" s="34">
        <v>97.150432638560105</v>
      </c>
      <c r="AC83" s="34">
        <v>97.081438965497298</v>
      </c>
      <c r="AD83" s="34">
        <v>97.070828513304704</v>
      </c>
      <c r="AE83" s="16">
        <v>7.9797443139213199E-4</v>
      </c>
      <c r="AF83" s="16">
        <v>8.7548532750641802E-5</v>
      </c>
      <c r="AG83" s="16">
        <v>-2.1751784376048798E-5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9">
        <f t="shared" si="8"/>
        <v>0</v>
      </c>
      <c r="AP83" s="29">
        <f t="shared" si="9"/>
        <v>0</v>
      </c>
      <c r="AQ83" s="29">
        <f t="shared" si="16"/>
        <v>0</v>
      </c>
      <c r="AR83" s="30">
        <f t="shared" si="17"/>
        <v>3.0669434283419486E-3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9">
        <f t="shared" si="12"/>
        <v>0</v>
      </c>
      <c r="BA83" s="29">
        <f t="shared" si="13"/>
        <v>0</v>
      </c>
      <c r="BB83" s="29">
        <f t="shared" si="20"/>
        <v>0</v>
      </c>
      <c r="BC83" s="30">
        <f t="shared" si="21"/>
        <v>6.7104381091813367E-3</v>
      </c>
      <c r="BE83" s="30">
        <f t="shared" si="22"/>
        <v>0</v>
      </c>
      <c r="BF83" s="30">
        <f t="shared" si="23"/>
        <v>9.7773815375232862E-3</v>
      </c>
      <c r="BH83" s="30"/>
    </row>
    <row r="84" spans="1:60" x14ac:dyDescent="0.25">
      <c r="A84" s="1">
        <v>46143</v>
      </c>
      <c r="B84" s="34">
        <v>66.709999999999994</v>
      </c>
      <c r="C84" s="34">
        <v>95.57</v>
      </c>
      <c r="D84" s="16">
        <v>-3.2924303911269302E-3</v>
      </c>
      <c r="E84" s="16">
        <v>-2.40372169872665E-3</v>
      </c>
      <c r="F84" s="34">
        <v>0.318</v>
      </c>
      <c r="G84" s="34">
        <v>1.306</v>
      </c>
      <c r="H84" s="34">
        <v>0.41008</v>
      </c>
      <c r="I84" s="34">
        <v>1.68302</v>
      </c>
      <c r="J84" s="34">
        <v>1.306</v>
      </c>
      <c r="K84" s="34">
        <v>1.68302</v>
      </c>
      <c r="L84" s="34">
        <v>68.015999999999906</v>
      </c>
      <c r="M84" s="34">
        <v>97.253019999999907</v>
      </c>
      <c r="N84" s="35">
        <v>1.43261879778144</v>
      </c>
      <c r="O84" s="35">
        <v>1.43329336478799</v>
      </c>
      <c r="P84" s="35">
        <v>1.43146008863523</v>
      </c>
      <c r="Q84" s="35">
        <v>1.43148500381336</v>
      </c>
      <c r="R84" s="34">
        <v>95.615000365007006</v>
      </c>
      <c r="S84" s="34">
        <v>95.488147632097807</v>
      </c>
      <c r="T84" s="34">
        <v>95.485142373713799</v>
      </c>
      <c r="U84" s="16">
        <v>4.7075205431566103E-4</v>
      </c>
      <c r="V84" s="16">
        <v>-8.56832057929591E-4</v>
      </c>
      <c r="W84" s="16">
        <v>-8.8830513339616503E-4</v>
      </c>
      <c r="X84" s="35">
        <v>1.4298550341096199</v>
      </c>
      <c r="Y84" s="35">
        <v>1.43040773636679</v>
      </c>
      <c r="Z84" s="35">
        <v>1.4293173622081099</v>
      </c>
      <c r="AA84" s="35">
        <v>1.4293698223542799</v>
      </c>
      <c r="AB84" s="34">
        <v>97.290612596724003</v>
      </c>
      <c r="AC84" s="34">
        <v>97.216522181712506</v>
      </c>
      <c r="AD84" s="34">
        <v>97.212889268621694</v>
      </c>
      <c r="AE84" s="16">
        <v>3.8646957178878902E-4</v>
      </c>
      <c r="AF84" s="16">
        <v>-3.7535768641693999E-4</v>
      </c>
      <c r="AG84" s="16">
        <v>-4.1272768166775799E-4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9">
        <f t="shared" si="8"/>
        <v>0</v>
      </c>
      <c r="AP84" s="29">
        <f t="shared" si="9"/>
        <v>0</v>
      </c>
      <c r="AQ84" s="29">
        <f t="shared" si="16"/>
        <v>0</v>
      </c>
      <c r="AR84" s="30">
        <f t="shared" si="17"/>
        <v>3.0669434283419486E-3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9">
        <f t="shared" si="12"/>
        <v>0</v>
      </c>
      <c r="BA84" s="29">
        <f t="shared" si="13"/>
        <v>0</v>
      </c>
      <c r="BB84" s="29">
        <f t="shared" si="20"/>
        <v>0</v>
      </c>
      <c r="BC84" s="30">
        <f t="shared" si="21"/>
        <v>6.7104381091813367E-3</v>
      </c>
      <c r="BE84" s="30">
        <f t="shared" si="22"/>
        <v>0</v>
      </c>
      <c r="BF84" s="30">
        <f t="shared" si="23"/>
        <v>9.7773815375232862E-3</v>
      </c>
      <c r="BH84" s="30"/>
    </row>
    <row r="85" spans="1:60" x14ac:dyDescent="0.25">
      <c r="A85" s="1">
        <v>46146</v>
      </c>
      <c r="B85" s="34">
        <v>66.400000000000006</v>
      </c>
      <c r="C85" s="34">
        <v>95.08</v>
      </c>
      <c r="D85" s="16">
        <v>-4.6578102390357401E-3</v>
      </c>
      <c r="E85" s="16">
        <v>-5.1403207860950401E-3</v>
      </c>
      <c r="F85" s="34">
        <v>0</v>
      </c>
      <c r="G85" s="34">
        <v>1.306</v>
      </c>
      <c r="H85" s="34">
        <v>0</v>
      </c>
      <c r="I85" s="34">
        <v>1.68302</v>
      </c>
      <c r="J85" s="34">
        <v>1.306</v>
      </c>
      <c r="K85" s="34">
        <v>1.68302</v>
      </c>
      <c r="L85" s="34">
        <v>67.706000000000003</v>
      </c>
      <c r="M85" s="34">
        <v>96.763019999999997</v>
      </c>
      <c r="N85" s="35">
        <v>1.4319277108433699</v>
      </c>
      <c r="O85" s="35">
        <v>1.43329336478799</v>
      </c>
      <c r="P85" s="35">
        <v>1.4315353608308401</v>
      </c>
      <c r="Q85" s="35">
        <v>1.4316115171704999</v>
      </c>
      <c r="R85" s="34">
        <v>95.170679421922799</v>
      </c>
      <c r="S85" s="34">
        <v>95.048949885379301</v>
      </c>
      <c r="T85" s="34">
        <v>95.050604253207297</v>
      </c>
      <c r="U85" s="16">
        <v>9.53262601375309E-4</v>
      </c>
      <c r="V85" s="16">
        <v>-3.2662164194801501E-4</v>
      </c>
      <c r="W85" s="16">
        <v>-3.0921636358735902E-4</v>
      </c>
      <c r="X85" s="35">
        <v>1.42916462351933</v>
      </c>
      <c r="Y85" s="35">
        <v>1.43040773636679</v>
      </c>
      <c r="Z85" s="35">
        <v>1.4293223201352601</v>
      </c>
      <c r="AA85" s="35">
        <v>1.4294625951144699</v>
      </c>
      <c r="AB85" s="34">
        <v>96.847186198450302</v>
      </c>
      <c r="AC85" s="34">
        <v>96.773361325662407</v>
      </c>
      <c r="AD85" s="34">
        <v>96.776913192319299</v>
      </c>
      <c r="AE85" s="16">
        <v>8.6943974085796195E-4</v>
      </c>
      <c r="AF85" s="16">
        <v>1.0686699422046501E-4</v>
      </c>
      <c r="AG85" s="16">
        <v>1.4356925843767401E-4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9">
        <f t="shared" si="8"/>
        <v>0</v>
      </c>
      <c r="AP85" s="29">
        <f t="shared" si="9"/>
        <v>0</v>
      </c>
      <c r="AQ85" s="29">
        <f t="shared" si="16"/>
        <v>0</v>
      </c>
      <c r="AR85" s="30">
        <f t="shared" si="17"/>
        <v>3.0669434283419486E-3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9">
        <f t="shared" si="12"/>
        <v>0</v>
      </c>
      <c r="BA85" s="29">
        <f t="shared" si="13"/>
        <v>0</v>
      </c>
      <c r="BB85" s="29">
        <f t="shared" si="20"/>
        <v>0</v>
      </c>
      <c r="BC85" s="30">
        <f t="shared" si="21"/>
        <v>6.7104381091813367E-3</v>
      </c>
      <c r="BE85" s="30">
        <f t="shared" si="22"/>
        <v>0</v>
      </c>
      <c r="BF85" s="30">
        <f t="shared" si="23"/>
        <v>9.7773815375232862E-3</v>
      </c>
      <c r="BH85" s="30"/>
    </row>
    <row r="86" spans="1:60" x14ac:dyDescent="0.25">
      <c r="A86" s="1">
        <v>46147</v>
      </c>
      <c r="B86" s="34">
        <v>66.680000000000007</v>
      </c>
      <c r="C86" s="34">
        <v>95.52</v>
      </c>
      <c r="D86" s="16">
        <v>4.2080014002050404E-3</v>
      </c>
      <c r="E86" s="16">
        <v>4.6170071522987199E-3</v>
      </c>
      <c r="F86" s="34">
        <v>0</v>
      </c>
      <c r="G86" s="34">
        <v>1.306</v>
      </c>
      <c r="H86" s="34">
        <v>0</v>
      </c>
      <c r="I86" s="34">
        <v>1.68302</v>
      </c>
      <c r="J86" s="34">
        <v>1.306</v>
      </c>
      <c r="K86" s="34">
        <v>1.68302</v>
      </c>
      <c r="L86" s="34">
        <v>67.986000000000004</v>
      </c>
      <c r="M86" s="34">
        <v>97.203019999999995</v>
      </c>
      <c r="N86" s="35">
        <v>1.43251349730053</v>
      </c>
      <c r="O86" s="35">
        <v>1.43329336478799</v>
      </c>
      <c r="P86" s="35">
        <v>1.4316722249274301</v>
      </c>
      <c r="Q86" s="35">
        <v>1.43182707199298</v>
      </c>
      <c r="R86" s="34">
        <v>95.572001564063399</v>
      </c>
      <c r="S86" s="34">
        <v>95.454777860200593</v>
      </c>
      <c r="T86" s="34">
        <v>95.459855964929204</v>
      </c>
      <c r="U86" s="16">
        <v>5.4425684928140997E-4</v>
      </c>
      <c r="V86" s="16">
        <v>-6.8304456814580997E-4</v>
      </c>
      <c r="W86" s="16">
        <v>-6.2984692029616305E-4</v>
      </c>
      <c r="X86" s="35">
        <v>1.4297505368752299</v>
      </c>
      <c r="Y86" s="35">
        <v>1.43040773636679</v>
      </c>
      <c r="Z86" s="35">
        <v>1.4293898061124699</v>
      </c>
      <c r="AA86" s="35">
        <v>1.4296433912177899</v>
      </c>
      <c r="AB86" s="34">
        <v>97.247700364633005</v>
      </c>
      <c r="AC86" s="34">
        <v>97.173907256716205</v>
      </c>
      <c r="AD86" s="34">
        <v>97.183443991452407</v>
      </c>
      <c r="AE86" s="16">
        <v>4.5955464022577798E-4</v>
      </c>
      <c r="AF86" s="16">
        <v>-2.9954937463352697E-4</v>
      </c>
      <c r="AG86" s="16">
        <v>-2.0141328991462299E-4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9">
        <f t="shared" ref="AO86:AO149" si="28">AN86*D86</f>
        <v>0</v>
      </c>
      <c r="AP86" s="29">
        <f t="shared" ref="AP86:AP149" si="29">-AN86*$E86</f>
        <v>0</v>
      </c>
      <c r="AQ86" s="29">
        <f t="shared" si="16"/>
        <v>0</v>
      </c>
      <c r="AR86" s="30">
        <f t="shared" si="17"/>
        <v>3.0669434283419486E-3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9">
        <f t="shared" ref="AZ86:AZ149" si="32">-AY86*D86</f>
        <v>0</v>
      </c>
      <c r="BA86" s="29">
        <f t="shared" ref="BA86:BA149" si="33">AY86*$E86</f>
        <v>0</v>
      </c>
      <c r="BB86" s="29">
        <f t="shared" si="20"/>
        <v>0</v>
      </c>
      <c r="BC86" s="30">
        <f t="shared" si="21"/>
        <v>6.7104381091813367E-3</v>
      </c>
      <c r="BE86" s="30">
        <f t="shared" si="22"/>
        <v>0</v>
      </c>
      <c r="BF86" s="30">
        <f t="shared" si="23"/>
        <v>9.7773815375232862E-3</v>
      </c>
      <c r="BH86" s="30"/>
    </row>
    <row r="87" spans="1:60" x14ac:dyDescent="0.25">
      <c r="A87" s="1">
        <v>46148</v>
      </c>
      <c r="B87" s="34">
        <v>67.16</v>
      </c>
      <c r="C87" s="34">
        <v>96.27</v>
      </c>
      <c r="D87" s="16">
        <v>7.1727743267466998E-3</v>
      </c>
      <c r="E87" s="16">
        <v>7.82109414558331E-3</v>
      </c>
      <c r="F87" s="34">
        <v>0</v>
      </c>
      <c r="G87" s="34">
        <v>1.306</v>
      </c>
      <c r="H87" s="34">
        <v>0</v>
      </c>
      <c r="I87" s="34">
        <v>1.68302</v>
      </c>
      <c r="J87" s="34">
        <v>1.306</v>
      </c>
      <c r="K87" s="34">
        <v>1.68302</v>
      </c>
      <c r="L87" s="34">
        <v>68.465999999999994</v>
      </c>
      <c r="M87" s="34">
        <v>97.953019999999995</v>
      </c>
      <c r="N87" s="35">
        <v>1.4334425253126799</v>
      </c>
      <c r="O87" s="35">
        <v>1.43329336478799</v>
      </c>
      <c r="P87" s="35">
        <v>1.4318282439124199</v>
      </c>
      <c r="Q87" s="35">
        <v>1.43185864387476</v>
      </c>
      <c r="R87" s="34">
        <v>96.259982379161599</v>
      </c>
      <c r="S87" s="34">
        <v>96.151106626126193</v>
      </c>
      <c r="T87" s="34">
        <v>96.161506155048798</v>
      </c>
      <c r="U87" s="16">
        <v>-1.04062969555052E-4</v>
      </c>
      <c r="V87" s="16">
        <v>-1.2357624492312801E-3</v>
      </c>
      <c r="W87" s="16">
        <v>-1.12761011556606E-3</v>
      </c>
      <c r="X87" s="35">
        <v>1.4306812140332399</v>
      </c>
      <c r="Y87" s="35">
        <v>1.43040773636679</v>
      </c>
      <c r="Z87" s="35">
        <v>1.4294772545824701</v>
      </c>
      <c r="AA87" s="35">
        <v>1.4296427915465699</v>
      </c>
      <c r="AB87" s="34">
        <v>97.934296078089105</v>
      </c>
      <c r="AC87" s="34">
        <v>97.864602465296301</v>
      </c>
      <c r="AD87" s="34">
        <v>97.881964423117296</v>
      </c>
      <c r="AE87" s="16">
        <v>-1.9117033550508099E-4</v>
      </c>
      <c r="AF87" s="16">
        <v>-9.0306009846614801E-4</v>
      </c>
      <c r="AG87" s="16">
        <v>-7.2566789034208905E-4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9">
        <f t="shared" si="28"/>
        <v>0</v>
      </c>
      <c r="AP87" s="29">
        <f t="shared" si="29"/>
        <v>0</v>
      </c>
      <c r="AQ87" s="29">
        <f t="shared" ref="AQ87:AQ150" si="36">AO87+AP87</f>
        <v>0</v>
      </c>
      <c r="AR87" s="30">
        <f t="shared" ref="AR87:AR150" si="37">AR86+AQ87</f>
        <v>3.0669434283419486E-3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9">
        <f t="shared" si="32"/>
        <v>0</v>
      </c>
      <c r="BA87" s="29">
        <f t="shared" si="33"/>
        <v>0</v>
      </c>
      <c r="BB87" s="29">
        <f t="shared" ref="BB87:BB150" si="40">AZ87+BA87</f>
        <v>0</v>
      </c>
      <c r="BC87" s="30">
        <f t="shared" ref="BC87:BC150" si="41">BC86+BB87</f>
        <v>6.7104381091813367E-3</v>
      </c>
      <c r="BE87" s="30">
        <f t="shared" ref="BE87:BE150" si="42">AQ87+BB87</f>
        <v>0</v>
      </c>
      <c r="BF87" s="30">
        <f t="shared" ref="BF87:BF150" si="43">BF86+BE87</f>
        <v>9.7773815375232862E-3</v>
      </c>
      <c r="BH87" s="30"/>
    </row>
    <row r="88" spans="1:60" x14ac:dyDescent="0.25">
      <c r="A88" s="1">
        <v>46149</v>
      </c>
      <c r="B88" s="34">
        <v>66.94</v>
      </c>
      <c r="C88" s="34">
        <v>95.9</v>
      </c>
      <c r="D88" s="16">
        <v>-3.2811364261595001E-3</v>
      </c>
      <c r="E88" s="16">
        <v>-3.85076190048252E-3</v>
      </c>
      <c r="F88" s="34">
        <v>0</v>
      </c>
      <c r="G88" s="34">
        <v>1.306</v>
      </c>
      <c r="H88" s="34">
        <v>0</v>
      </c>
      <c r="I88" s="34">
        <v>1.68302</v>
      </c>
      <c r="J88" s="34">
        <v>1.306</v>
      </c>
      <c r="K88" s="34">
        <v>1.68302</v>
      </c>
      <c r="L88" s="34">
        <v>68.245999999999995</v>
      </c>
      <c r="M88" s="34">
        <v>97.583020000000005</v>
      </c>
      <c r="N88" s="35">
        <v>1.4326262324469601</v>
      </c>
      <c r="O88" s="35">
        <v>1.43329336478799</v>
      </c>
      <c r="P88" s="35">
        <v>1.4320825189162101</v>
      </c>
      <c r="Q88" s="35">
        <v>1.4318717791323801</v>
      </c>
      <c r="R88" s="34">
        <v>95.944657838908299</v>
      </c>
      <c r="S88" s="34">
        <v>95.846582647497399</v>
      </c>
      <c r="T88" s="34">
        <v>95.848617620976896</v>
      </c>
      <c r="U88" s="16">
        <v>4.6556250476808203E-4</v>
      </c>
      <c r="V88" s="16">
        <v>-5.57166163244341E-4</v>
      </c>
      <c r="W88" s="16">
        <v>-5.3593481810079203E-4</v>
      </c>
      <c r="X88" s="35">
        <v>1.4298716408287599</v>
      </c>
      <c r="Y88" s="35">
        <v>1.43040773636679</v>
      </c>
      <c r="Z88" s="35">
        <v>1.4296617213626499</v>
      </c>
      <c r="AA88" s="35">
        <v>1.4296232950279799</v>
      </c>
      <c r="AB88" s="34">
        <v>97.619606376088399</v>
      </c>
      <c r="AC88" s="34">
        <v>97.556104716235396</v>
      </c>
      <c r="AD88" s="34">
        <v>97.567401951887604</v>
      </c>
      <c r="AE88" s="16">
        <v>3.7485537152893202E-4</v>
      </c>
      <c r="AF88" s="16">
        <v>-2.7585738097776898E-4</v>
      </c>
      <c r="AG88" s="16">
        <v>-1.60061638498602E-4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9">
        <f t="shared" si="28"/>
        <v>0</v>
      </c>
      <c r="AP88" s="29">
        <f t="shared" si="29"/>
        <v>0</v>
      </c>
      <c r="AQ88" s="29">
        <f t="shared" si="36"/>
        <v>0</v>
      </c>
      <c r="AR88" s="30">
        <f t="shared" si="37"/>
        <v>3.0669434283419486E-3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9">
        <f t="shared" si="32"/>
        <v>0</v>
      </c>
      <c r="BA88" s="29">
        <f t="shared" si="33"/>
        <v>0</v>
      </c>
      <c r="BB88" s="29">
        <f t="shared" si="40"/>
        <v>0</v>
      </c>
      <c r="BC88" s="30">
        <f t="shared" si="41"/>
        <v>6.7104381091813367E-3</v>
      </c>
      <c r="BE88" s="30">
        <f t="shared" si="42"/>
        <v>0</v>
      </c>
      <c r="BF88" s="30">
        <f t="shared" si="43"/>
        <v>9.7773815375232862E-3</v>
      </c>
      <c r="BH88" s="30"/>
    </row>
    <row r="89" spans="1:60" x14ac:dyDescent="0.25">
      <c r="A89" s="1">
        <v>46150</v>
      </c>
      <c r="B89" s="34">
        <v>67.08</v>
      </c>
      <c r="C89" s="34">
        <v>96.15</v>
      </c>
      <c r="D89" s="16">
        <v>2.0892411718275599E-3</v>
      </c>
      <c r="E89" s="16">
        <v>2.6034901453962501E-3</v>
      </c>
      <c r="F89" s="34">
        <v>0</v>
      </c>
      <c r="G89" s="34">
        <v>1.306</v>
      </c>
      <c r="H89" s="34">
        <v>0</v>
      </c>
      <c r="I89" s="34">
        <v>1.68302</v>
      </c>
      <c r="J89" s="34">
        <v>1.306</v>
      </c>
      <c r="K89" s="34">
        <v>1.68302</v>
      </c>
      <c r="L89" s="34">
        <v>68.385999999999996</v>
      </c>
      <c r="M89" s="34">
        <v>97.833020000000005</v>
      </c>
      <c r="N89" s="35">
        <v>1.43336314847942</v>
      </c>
      <c r="O89" s="35">
        <v>1.43329336478799</v>
      </c>
      <c r="P89" s="35">
        <v>1.43226407185939</v>
      </c>
      <c r="Q89" s="35">
        <v>1.4319399965353601</v>
      </c>
      <c r="R89" s="34">
        <v>96.145318909978599</v>
      </c>
      <c r="S89" s="34">
        <v>96.064095368899402</v>
      </c>
      <c r="T89" s="34">
        <v>96.049958944200597</v>
      </c>
      <c r="U89" s="16">
        <v>-4.8686468800664E-5</v>
      </c>
      <c r="V89" s="16">
        <v>-8.9384326009190999E-4</v>
      </c>
      <c r="W89" s="16">
        <v>-1.0410102622647099E-3</v>
      </c>
      <c r="X89" s="35">
        <v>1.4306001228321501</v>
      </c>
      <c r="Y89" s="35">
        <v>1.43040773636679</v>
      </c>
      <c r="Z89" s="35">
        <v>1.4297743822057301</v>
      </c>
      <c r="AA89" s="35">
        <v>1.4296581772002099</v>
      </c>
      <c r="AB89" s="34">
        <v>97.8198634591797</v>
      </c>
      <c r="AC89" s="34">
        <v>97.768846477106294</v>
      </c>
      <c r="AD89" s="34">
        <v>97.766218653783895</v>
      </c>
      <c r="AE89" s="16">
        <v>-1.3448859641086201E-4</v>
      </c>
      <c r="AF89" s="16">
        <v>-6.5616475294414105E-4</v>
      </c>
      <c r="AG89" s="16">
        <v>-6.8304303506517303E-4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9">
        <f t="shared" si="28"/>
        <v>0</v>
      </c>
      <c r="AP89" s="29">
        <f t="shared" si="29"/>
        <v>0</v>
      </c>
      <c r="AQ89" s="29">
        <f t="shared" si="36"/>
        <v>0</v>
      </c>
      <c r="AR89" s="30">
        <f t="shared" si="37"/>
        <v>3.0669434283419486E-3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9">
        <f t="shared" si="32"/>
        <v>0</v>
      </c>
      <c r="BA89" s="29">
        <f t="shared" si="33"/>
        <v>0</v>
      </c>
      <c r="BB89" s="29">
        <f t="shared" si="40"/>
        <v>0</v>
      </c>
      <c r="BC89" s="30">
        <f t="shared" si="41"/>
        <v>6.7104381091813367E-3</v>
      </c>
      <c r="BE89" s="30">
        <f t="shared" si="42"/>
        <v>0</v>
      </c>
      <c r="BF89" s="30">
        <f t="shared" si="43"/>
        <v>9.7773815375232862E-3</v>
      </c>
      <c r="BH89" s="30"/>
    </row>
    <row r="90" spans="1:60" x14ac:dyDescent="0.25">
      <c r="A90" s="1">
        <v>46153</v>
      </c>
      <c r="B90" s="34">
        <v>66.959999999999994</v>
      </c>
      <c r="C90" s="34">
        <v>95.97</v>
      </c>
      <c r="D90" s="16">
        <v>-1.79051077378834E-3</v>
      </c>
      <c r="E90" s="16">
        <v>-1.87382940525243E-3</v>
      </c>
      <c r="F90" s="34">
        <v>0</v>
      </c>
      <c r="G90" s="34">
        <v>1.306</v>
      </c>
      <c r="H90" s="34">
        <v>0</v>
      </c>
      <c r="I90" s="34">
        <v>1.68302</v>
      </c>
      <c r="J90" s="34">
        <v>1.306</v>
      </c>
      <c r="K90" s="34">
        <v>1.68302</v>
      </c>
      <c r="L90" s="34">
        <v>68.265999999999906</v>
      </c>
      <c r="M90" s="34">
        <v>97.653019999999998</v>
      </c>
      <c r="N90" s="35">
        <v>1.4332437275985599</v>
      </c>
      <c r="O90" s="35">
        <v>1.43329336478799</v>
      </c>
      <c r="P90" s="35">
        <v>1.43240967616837</v>
      </c>
      <c r="Q90" s="35">
        <v>1.43198076286756</v>
      </c>
      <c r="R90" s="34">
        <v>95.973323706203999</v>
      </c>
      <c r="S90" s="34">
        <v>95.904402251704795</v>
      </c>
      <c r="T90" s="34">
        <v>95.882702168008194</v>
      </c>
      <c r="U90" s="16">
        <v>3.4632162663660302E-5</v>
      </c>
      <c r="V90" s="16">
        <v>-6.8375718783782505E-4</v>
      </c>
      <c r="W90" s="16">
        <v>-9.1005064854645301E-4</v>
      </c>
      <c r="X90" s="35">
        <v>1.4304781296692299</v>
      </c>
      <c r="Y90" s="35">
        <v>1.43040773636679</v>
      </c>
      <c r="Z90" s="35">
        <v>1.4298515818722299</v>
      </c>
      <c r="AA90" s="35">
        <v>1.42966525237891</v>
      </c>
      <c r="AB90" s="34">
        <v>97.648214530815693</v>
      </c>
      <c r="AC90" s="34">
        <v>97.604977975656396</v>
      </c>
      <c r="AD90" s="34">
        <v>97.597045124749499</v>
      </c>
      <c r="AE90" s="16">
        <v>-4.9210842898895197E-5</v>
      </c>
      <c r="AF90" s="16">
        <v>-4.9208765644474101E-4</v>
      </c>
      <c r="AG90" s="16">
        <v>-5.7336602421261397E-4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9">
        <f t="shared" si="28"/>
        <v>0</v>
      </c>
      <c r="AP90" s="29">
        <f t="shared" si="29"/>
        <v>0</v>
      </c>
      <c r="AQ90" s="29">
        <f t="shared" si="36"/>
        <v>0</v>
      </c>
      <c r="AR90" s="30">
        <f t="shared" si="37"/>
        <v>3.0669434283419486E-3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9">
        <f t="shared" si="32"/>
        <v>0</v>
      </c>
      <c r="BA90" s="29">
        <f t="shared" si="33"/>
        <v>0</v>
      </c>
      <c r="BB90" s="29">
        <f t="shared" si="40"/>
        <v>0</v>
      </c>
      <c r="BC90" s="30">
        <f t="shared" si="41"/>
        <v>6.7104381091813367E-3</v>
      </c>
      <c r="BE90" s="30">
        <f t="shared" si="42"/>
        <v>0</v>
      </c>
      <c r="BF90" s="30">
        <f t="shared" si="43"/>
        <v>9.7773815375232862E-3</v>
      </c>
      <c r="BH90" s="30"/>
    </row>
    <row r="91" spans="1:60" x14ac:dyDescent="0.25">
      <c r="A91" s="1">
        <v>46154</v>
      </c>
      <c r="B91" s="34">
        <v>66.760000000000005</v>
      </c>
      <c r="C91" s="34">
        <v>95.72</v>
      </c>
      <c r="D91" s="16">
        <v>-2.9913273875853399E-3</v>
      </c>
      <c r="E91" s="16">
        <v>-2.6083795893637402E-3</v>
      </c>
      <c r="F91" s="34">
        <v>0</v>
      </c>
      <c r="G91" s="34">
        <v>1.306</v>
      </c>
      <c r="H91" s="34">
        <v>0</v>
      </c>
      <c r="I91" s="34">
        <v>1.68302</v>
      </c>
      <c r="J91" s="34">
        <v>1.306</v>
      </c>
      <c r="K91" s="34">
        <v>1.68302</v>
      </c>
      <c r="L91" s="34">
        <v>68.066000000000003</v>
      </c>
      <c r="M91" s="34">
        <v>97.403019999999998</v>
      </c>
      <c r="N91" s="35">
        <v>1.43379269023367</v>
      </c>
      <c r="O91" s="35">
        <v>1.43329336478799</v>
      </c>
      <c r="P91" s="35">
        <v>1.4325586123062299</v>
      </c>
      <c r="Q91" s="35">
        <v>1.4320274977951699</v>
      </c>
      <c r="R91" s="34">
        <v>95.686665033246399</v>
      </c>
      <c r="S91" s="34">
        <v>95.627669981000693</v>
      </c>
      <c r="T91" s="34">
        <v>95.599035729038505</v>
      </c>
      <c r="U91" s="16">
        <v>-3.48315635558111E-4</v>
      </c>
      <c r="V91" s="16">
        <v>-9.6504991332389801E-4</v>
      </c>
      <c r="W91" s="16">
        <v>-1.26452955001929E-3</v>
      </c>
      <c r="X91" s="35">
        <v>1.4310084329915</v>
      </c>
      <c r="Y91" s="35">
        <v>1.43040773636679</v>
      </c>
      <c r="Z91" s="35">
        <v>1.42993124184736</v>
      </c>
      <c r="AA91" s="35">
        <v>1.4296772451475399</v>
      </c>
      <c r="AB91" s="34">
        <v>97.362132983542395</v>
      </c>
      <c r="AC91" s="34">
        <v>97.324277771715501</v>
      </c>
      <c r="AD91" s="34">
        <v>97.311595068423202</v>
      </c>
      <c r="AE91" s="16">
        <v>-4.1985967645550898E-4</v>
      </c>
      <c r="AF91" s="16">
        <v>-8.0874364793605497E-4</v>
      </c>
      <c r="AG91" s="16">
        <v>-9.3906600963828497E-4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9">
        <f t="shared" si="28"/>
        <v>0</v>
      </c>
      <c r="AP91" s="29">
        <f t="shared" si="29"/>
        <v>0</v>
      </c>
      <c r="AQ91" s="29">
        <f t="shared" si="36"/>
        <v>0</v>
      </c>
      <c r="AR91" s="30">
        <f t="shared" si="37"/>
        <v>3.0669434283419486E-3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9">
        <f t="shared" si="32"/>
        <v>0</v>
      </c>
      <c r="BA91" s="29">
        <f t="shared" si="33"/>
        <v>0</v>
      </c>
      <c r="BB91" s="29">
        <f t="shared" si="40"/>
        <v>0</v>
      </c>
      <c r="BC91" s="30">
        <f t="shared" si="41"/>
        <v>6.7104381091813367E-3</v>
      </c>
      <c r="BE91" s="30">
        <f t="shared" si="42"/>
        <v>0</v>
      </c>
      <c r="BF91" s="30">
        <f t="shared" si="43"/>
        <v>9.7773815375232862E-3</v>
      </c>
      <c r="BH91" s="30"/>
    </row>
    <row r="92" spans="1:60" x14ac:dyDescent="0.25">
      <c r="A92" s="1">
        <v>46155</v>
      </c>
      <c r="B92" s="34">
        <v>66.599999999999994</v>
      </c>
      <c r="C92" s="34">
        <v>95.54</v>
      </c>
      <c r="D92" s="16">
        <v>-2.3995212472910001E-3</v>
      </c>
      <c r="E92" s="16">
        <v>-1.8822550783566801E-3</v>
      </c>
      <c r="F92" s="34">
        <v>0</v>
      </c>
      <c r="G92" s="34">
        <v>1.306</v>
      </c>
      <c r="H92" s="34">
        <v>0</v>
      </c>
      <c r="I92" s="34">
        <v>1.68302</v>
      </c>
      <c r="J92" s="34">
        <v>1.306</v>
      </c>
      <c r="K92" s="34">
        <v>1.68302</v>
      </c>
      <c r="L92" s="34">
        <v>67.905999999999906</v>
      </c>
      <c r="M92" s="34">
        <v>97.223020000000005</v>
      </c>
      <c r="N92" s="35">
        <v>1.4345345345345299</v>
      </c>
      <c r="O92" s="35">
        <v>1.43329336478799</v>
      </c>
      <c r="P92" s="35">
        <v>1.432940904711</v>
      </c>
      <c r="Q92" s="35">
        <v>1.4322035257410399</v>
      </c>
      <c r="R92" s="34">
        <v>95.457338094880299</v>
      </c>
      <c r="S92" s="34">
        <v>95.408403579595401</v>
      </c>
      <c r="T92" s="34">
        <v>95.373031353158396</v>
      </c>
      <c r="U92" s="16">
        <v>-8.6558180449247798E-4</v>
      </c>
      <c r="V92" s="16">
        <v>-1.3783455506502201E-3</v>
      </c>
      <c r="W92" s="16">
        <v>-1.7491596904519399E-3</v>
      </c>
      <c r="X92" s="35">
        <v>1.4317294495331701</v>
      </c>
      <c r="Y92" s="35">
        <v>1.43040773636679</v>
      </c>
      <c r="Z92" s="35">
        <v>1.43024059472533</v>
      </c>
      <c r="AA92" s="35">
        <v>1.42981624663603</v>
      </c>
      <c r="AB92" s="34">
        <v>97.1332677457237</v>
      </c>
      <c r="AC92" s="34">
        <v>97.1009109088874</v>
      </c>
      <c r="AD92" s="34">
        <v>97.083663008988793</v>
      </c>
      <c r="AE92" s="16">
        <v>-9.23584842016348E-4</v>
      </c>
      <c r="AF92" s="16">
        <v>-1.2567583067452899E-3</v>
      </c>
      <c r="AG92" s="16">
        <v>-1.4344026952358201E-3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9">
        <f t="shared" si="28"/>
        <v>0</v>
      </c>
      <c r="AP92" s="29">
        <f t="shared" si="29"/>
        <v>0</v>
      </c>
      <c r="AQ92" s="29">
        <f t="shared" si="36"/>
        <v>0</v>
      </c>
      <c r="AR92" s="30">
        <f t="shared" si="37"/>
        <v>3.0669434283419486E-3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9">
        <f t="shared" si="32"/>
        <v>0</v>
      </c>
      <c r="BA92" s="29">
        <f t="shared" si="33"/>
        <v>0</v>
      </c>
      <c r="BB92" s="29">
        <f t="shared" si="40"/>
        <v>0</v>
      </c>
      <c r="BC92" s="30">
        <f t="shared" si="41"/>
        <v>6.7104381091813367E-3</v>
      </c>
      <c r="BE92" s="30">
        <f t="shared" si="42"/>
        <v>0</v>
      </c>
      <c r="BF92" s="30">
        <f t="shared" si="43"/>
        <v>9.7773815375232862E-3</v>
      </c>
      <c r="BH92" s="30"/>
    </row>
    <row r="93" spans="1:60" x14ac:dyDescent="0.25">
      <c r="A93" s="1">
        <v>46156</v>
      </c>
      <c r="B93" s="34">
        <v>66.61</v>
      </c>
      <c r="C93" s="34">
        <v>95.54</v>
      </c>
      <c r="D93" s="16">
        <v>1.5013887874464499E-4</v>
      </c>
      <c r="E93" s="16">
        <v>0</v>
      </c>
      <c r="F93" s="34">
        <v>0</v>
      </c>
      <c r="G93" s="34">
        <v>1.306</v>
      </c>
      <c r="H93" s="34">
        <v>0</v>
      </c>
      <c r="I93" s="34">
        <v>1.68302</v>
      </c>
      <c r="J93" s="34">
        <v>1.306</v>
      </c>
      <c r="K93" s="34">
        <v>1.68302</v>
      </c>
      <c r="L93" s="34">
        <v>67.915999999999997</v>
      </c>
      <c r="M93" s="34">
        <v>97.223020000000005</v>
      </c>
      <c r="N93" s="35">
        <v>1.4343191712956</v>
      </c>
      <c r="O93" s="35">
        <v>1.43329336478799</v>
      </c>
      <c r="P93" s="35">
        <v>1.4332382035826801</v>
      </c>
      <c r="Q93" s="35">
        <v>1.4323150066938799</v>
      </c>
      <c r="R93" s="34">
        <v>95.471671028528206</v>
      </c>
      <c r="S93" s="34">
        <v>95.448193662799795</v>
      </c>
      <c r="T93" s="34">
        <v>95.399076849611205</v>
      </c>
      <c r="U93" s="16">
        <v>-7.1544292574773102E-4</v>
      </c>
      <c r="V93" s="16">
        <v>-9.6138240286492696E-4</v>
      </c>
      <c r="W93" s="16">
        <v>-1.4761061832071899E-3</v>
      </c>
      <c r="X93" s="35">
        <v>1.4315186406737701</v>
      </c>
      <c r="Y93" s="35">
        <v>1.43040773636679</v>
      </c>
      <c r="Z93" s="35">
        <v>1.4304657825066001</v>
      </c>
      <c r="AA93" s="35">
        <v>1.4298921051273299</v>
      </c>
      <c r="AB93" s="34">
        <v>97.147571823087304</v>
      </c>
      <c r="AC93" s="34">
        <v>97.136220231365996</v>
      </c>
      <c r="AD93" s="34">
        <v>97.1074002065331</v>
      </c>
      <c r="AE93" s="16">
        <v>-7.76333291927697E-4</v>
      </c>
      <c r="AF93" s="16">
        <v>-8.9318906887320604E-4</v>
      </c>
      <c r="AG93" s="16">
        <v>-1.1899300890356201E-3</v>
      </c>
      <c r="AI93" s="12"/>
      <c r="AJ93">
        <f t="shared" si="26"/>
        <v>0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9">
        <f t="shared" si="28"/>
        <v>0</v>
      </c>
      <c r="AP93" s="29">
        <f t="shared" si="29"/>
        <v>0</v>
      </c>
      <c r="AQ93" s="29">
        <f t="shared" si="36"/>
        <v>0</v>
      </c>
      <c r="AR93" s="30">
        <f t="shared" si="37"/>
        <v>3.0669434283419486E-3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9">
        <f t="shared" si="32"/>
        <v>0</v>
      </c>
      <c r="BA93" s="29">
        <f t="shared" si="33"/>
        <v>0</v>
      </c>
      <c r="BB93" s="29">
        <f t="shared" si="40"/>
        <v>0</v>
      </c>
      <c r="BC93" s="30">
        <f t="shared" si="41"/>
        <v>6.7104381091813367E-3</v>
      </c>
      <c r="BE93" s="30">
        <f t="shared" si="42"/>
        <v>0</v>
      </c>
      <c r="BF93" s="30">
        <f t="shared" si="43"/>
        <v>9.7773815375232862E-3</v>
      </c>
      <c r="BH93" s="30"/>
    </row>
    <row r="94" spans="1:60" x14ac:dyDescent="0.25">
      <c r="A94" s="1">
        <v>46157</v>
      </c>
      <c r="B94" s="34">
        <v>66.14</v>
      </c>
      <c r="C94" s="34">
        <v>94.71</v>
      </c>
      <c r="D94" s="16">
        <v>-7.0810088714413398E-3</v>
      </c>
      <c r="E94" s="16">
        <v>-8.7254167238059802E-3</v>
      </c>
      <c r="F94" s="34">
        <v>0</v>
      </c>
      <c r="G94" s="34">
        <v>1.306</v>
      </c>
      <c r="H94" s="34">
        <v>0</v>
      </c>
      <c r="I94" s="34">
        <v>1.68302</v>
      </c>
      <c r="J94" s="34">
        <v>1.306</v>
      </c>
      <c r="K94" s="34">
        <v>1.68302</v>
      </c>
      <c r="L94" s="34">
        <v>67.445999999999998</v>
      </c>
      <c r="M94" s="34">
        <v>96.393019999999893</v>
      </c>
      <c r="N94" s="35">
        <v>1.43196250377986</v>
      </c>
      <c r="O94" s="35">
        <v>1.43329336478799</v>
      </c>
      <c r="P94" s="35">
        <v>1.4331725741825201</v>
      </c>
      <c r="Q94" s="35">
        <v>1.43231633140887</v>
      </c>
      <c r="R94" s="34">
        <v>94.798023147077899</v>
      </c>
      <c r="S94" s="34">
        <v>94.794374784958507</v>
      </c>
      <c r="T94" s="34">
        <v>94.733314542733694</v>
      </c>
      <c r="U94" s="16">
        <v>9.28964926616948E-4</v>
      </c>
      <c r="V94" s="16">
        <v>8.9047855100671605E-4</v>
      </c>
      <c r="W94" s="16">
        <v>2.4613740429661399E-4</v>
      </c>
      <c r="X94" s="35">
        <v>1.42918809121371</v>
      </c>
      <c r="Y94" s="35">
        <v>1.43040773636679</v>
      </c>
      <c r="Z94" s="35">
        <v>1.4303990882170099</v>
      </c>
      <c r="AA94" s="35">
        <v>1.42985822521256</v>
      </c>
      <c r="AB94" s="34">
        <v>96.475280186994894</v>
      </c>
      <c r="AC94" s="34">
        <v>96.479195166940499</v>
      </c>
      <c r="AD94" s="34">
        <v>96.440502922418304</v>
      </c>
      <c r="AE94" s="16">
        <v>8.5301930802764896E-4</v>
      </c>
      <c r="AF94" s="16">
        <v>8.9359862020896102E-4</v>
      </c>
      <c r="AG94" s="16">
        <v>4.9247581705119496E-4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9">
        <f t="shared" si="28"/>
        <v>0</v>
      </c>
      <c r="AP94" s="29">
        <f t="shared" si="29"/>
        <v>0</v>
      </c>
      <c r="AQ94" s="29">
        <f t="shared" si="36"/>
        <v>0</v>
      </c>
      <c r="AR94" s="30">
        <f t="shared" si="37"/>
        <v>3.0669434283419486E-3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1</v>
      </c>
      <c r="AY94">
        <f t="shared" si="39"/>
        <v>0</v>
      </c>
      <c r="AZ94" s="29">
        <f t="shared" si="32"/>
        <v>0</v>
      </c>
      <c r="BA94" s="29">
        <f t="shared" si="33"/>
        <v>0</v>
      </c>
      <c r="BB94" s="29">
        <f t="shared" si="40"/>
        <v>0</v>
      </c>
      <c r="BC94" s="30">
        <f t="shared" si="41"/>
        <v>6.7104381091813367E-3</v>
      </c>
      <c r="BE94" s="30">
        <f t="shared" si="42"/>
        <v>0</v>
      </c>
      <c r="BF94" s="30">
        <f t="shared" si="43"/>
        <v>9.7773815375232862E-3</v>
      </c>
      <c r="BH94" s="30"/>
    </row>
    <row r="95" spans="1:60" x14ac:dyDescent="0.25">
      <c r="A95" s="1">
        <v>46160</v>
      </c>
      <c r="B95" s="34">
        <v>66.040000000000006</v>
      </c>
      <c r="C95" s="34">
        <v>94.62</v>
      </c>
      <c r="D95" s="16">
        <v>-1.51308850171936E-3</v>
      </c>
      <c r="E95" s="16">
        <v>-9.5072103500784099E-4</v>
      </c>
      <c r="F95" s="34">
        <v>0</v>
      </c>
      <c r="G95" s="34">
        <v>1.306</v>
      </c>
      <c r="H95" s="34">
        <v>0</v>
      </c>
      <c r="I95" s="34">
        <v>1.68302</v>
      </c>
      <c r="J95" s="34">
        <v>1.306</v>
      </c>
      <c r="K95" s="34">
        <v>1.68302</v>
      </c>
      <c r="L95" s="34">
        <v>67.346000000000004</v>
      </c>
      <c r="M95" s="34">
        <v>96.303020000000004</v>
      </c>
      <c r="N95" s="35">
        <v>1.4327680193821899</v>
      </c>
      <c r="O95" s="35">
        <v>1.43329336478799</v>
      </c>
      <c r="P95" s="35">
        <v>1.4332566050364</v>
      </c>
      <c r="Q95" s="35">
        <v>1.4323959829336199</v>
      </c>
      <c r="R95" s="34">
        <v>94.654693810599099</v>
      </c>
      <c r="S95" s="34">
        <v>94.646716799013802</v>
      </c>
      <c r="T95" s="34">
        <v>94.590170526242204</v>
      </c>
      <c r="U95" s="16">
        <v>3.6659745990530999E-4</v>
      </c>
      <c r="V95" s="16">
        <v>2.8231904312750998E-4</v>
      </c>
      <c r="W95" s="16">
        <v>-3.1530518599418001E-4</v>
      </c>
      <c r="X95" s="35">
        <v>1.42997386630237</v>
      </c>
      <c r="Y95" s="35">
        <v>1.43040773636679</v>
      </c>
      <c r="Z95" s="35">
        <v>1.4304800124953101</v>
      </c>
      <c r="AA95" s="35">
        <v>1.4299011663152901</v>
      </c>
      <c r="AB95" s="34">
        <v>96.332239413358295</v>
      </c>
      <c r="AC95" s="34">
        <v>96.331656995063</v>
      </c>
      <c r="AD95" s="34">
        <v>96.295232035165299</v>
      </c>
      <c r="AE95" s="16">
        <v>3.0336516452257801E-4</v>
      </c>
      <c r="AF95" s="16">
        <v>2.97319212934569E-4</v>
      </c>
      <c r="AG95" s="16">
        <v>-8.0872642992907596E-5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9">
        <f t="shared" si="28"/>
        <v>0</v>
      </c>
      <c r="AP95" s="29">
        <f t="shared" si="29"/>
        <v>0</v>
      </c>
      <c r="AQ95" s="29">
        <f t="shared" si="36"/>
        <v>0</v>
      </c>
      <c r="AR95" s="30">
        <f t="shared" si="37"/>
        <v>3.0669434283419486E-3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9">
        <f t="shared" si="32"/>
        <v>0</v>
      </c>
      <c r="BA95" s="29">
        <f t="shared" si="33"/>
        <v>0</v>
      </c>
      <c r="BB95" s="29">
        <f t="shared" si="40"/>
        <v>0</v>
      </c>
      <c r="BC95" s="30">
        <f t="shared" si="41"/>
        <v>6.7104381091813367E-3</v>
      </c>
      <c r="BE95" s="30">
        <f t="shared" si="42"/>
        <v>0</v>
      </c>
      <c r="BF95" s="30">
        <f t="shared" si="43"/>
        <v>9.7773815375232862E-3</v>
      </c>
      <c r="BH95" s="30"/>
    </row>
    <row r="96" spans="1:60" x14ac:dyDescent="0.25">
      <c r="A96" s="1">
        <v>46161</v>
      </c>
      <c r="B96" s="34">
        <v>65.75</v>
      </c>
      <c r="C96" s="34">
        <v>94.25</v>
      </c>
      <c r="D96" s="16">
        <v>-4.4009479940534599E-3</v>
      </c>
      <c r="E96" s="16">
        <v>-3.9180438748819303E-3</v>
      </c>
      <c r="F96" s="34">
        <v>0</v>
      </c>
      <c r="G96" s="34">
        <v>1.306</v>
      </c>
      <c r="H96" s="34">
        <v>0</v>
      </c>
      <c r="I96" s="34">
        <v>1.68302</v>
      </c>
      <c r="J96" s="34">
        <v>1.306</v>
      </c>
      <c r="K96" s="34">
        <v>1.68302</v>
      </c>
      <c r="L96" s="34">
        <v>67.055999999999997</v>
      </c>
      <c r="M96" s="34">
        <v>95.933019999999999</v>
      </c>
      <c r="N96" s="35">
        <v>1.43346007604562</v>
      </c>
      <c r="O96" s="35">
        <v>1.43329336478799</v>
      </c>
      <c r="P96" s="35">
        <v>1.43335126291091</v>
      </c>
      <c r="Q96" s="35">
        <v>1.4325117439191699</v>
      </c>
      <c r="R96" s="34">
        <v>94.239038734810507</v>
      </c>
      <c r="S96" s="34">
        <v>94.236621781143597</v>
      </c>
      <c r="T96" s="34">
        <v>94.1800358778858</v>
      </c>
      <c r="U96" s="16">
        <v>-1.1630665926617301E-4</v>
      </c>
      <c r="V96" s="16">
        <v>-1.41954041644253E-4</v>
      </c>
      <c r="W96" s="16">
        <v>-7.4260056262707302E-4</v>
      </c>
      <c r="X96" s="35">
        <v>1.4306403602958699</v>
      </c>
      <c r="Y96" s="35">
        <v>1.43040773636679</v>
      </c>
      <c r="Z96" s="35">
        <v>1.4305689948373801</v>
      </c>
      <c r="AA96" s="35">
        <v>1.42997940047492</v>
      </c>
      <c r="AB96" s="34">
        <v>95.917421169811902</v>
      </c>
      <c r="AC96" s="34">
        <v>95.922267717886101</v>
      </c>
      <c r="AD96" s="34">
        <v>95.883452608438205</v>
      </c>
      <c r="AE96" s="16">
        <v>-1.62614483733563E-4</v>
      </c>
      <c r="AF96" s="16">
        <v>-1.12087420190889E-4</v>
      </c>
      <c r="AG96" s="16">
        <v>-5.1682102158368503E-4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9">
        <f t="shared" si="28"/>
        <v>0</v>
      </c>
      <c r="AP96" s="29">
        <f t="shared" si="29"/>
        <v>0</v>
      </c>
      <c r="AQ96" s="29">
        <f t="shared" si="36"/>
        <v>0</v>
      </c>
      <c r="AR96" s="30">
        <f t="shared" si="37"/>
        <v>3.0669434283419486E-3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9">
        <f t="shared" si="32"/>
        <v>0</v>
      </c>
      <c r="BA96" s="29">
        <f t="shared" si="33"/>
        <v>0</v>
      </c>
      <c r="BB96" s="29">
        <f t="shared" si="40"/>
        <v>0</v>
      </c>
      <c r="BC96" s="30">
        <f t="shared" si="41"/>
        <v>6.7104381091813367E-3</v>
      </c>
      <c r="BE96" s="30">
        <f t="shared" si="42"/>
        <v>0</v>
      </c>
      <c r="BF96" s="30">
        <f t="shared" si="43"/>
        <v>9.7773815375232862E-3</v>
      </c>
      <c r="BH96" s="30"/>
    </row>
    <row r="97" spans="1:60" x14ac:dyDescent="0.25">
      <c r="A97" s="1">
        <v>46162</v>
      </c>
      <c r="B97" s="34">
        <v>66.180000000000007</v>
      </c>
      <c r="C97" s="34">
        <v>94.92</v>
      </c>
      <c r="D97" s="16">
        <v>6.5186314355921799E-3</v>
      </c>
      <c r="E97" s="16">
        <v>7.0836052394427701E-3</v>
      </c>
      <c r="F97" s="34">
        <v>0</v>
      </c>
      <c r="G97" s="34">
        <v>1.306</v>
      </c>
      <c r="H97" s="34">
        <v>0</v>
      </c>
      <c r="I97" s="34">
        <v>1.68302</v>
      </c>
      <c r="J97" s="34">
        <v>1.306</v>
      </c>
      <c r="K97" s="34">
        <v>1.68302</v>
      </c>
      <c r="L97" s="34">
        <v>67.486000000000004</v>
      </c>
      <c r="M97" s="34">
        <v>96.603020000000001</v>
      </c>
      <c r="N97" s="35">
        <v>1.43427017225747</v>
      </c>
      <c r="O97" s="35">
        <v>1.43329336478799</v>
      </c>
      <c r="P97" s="35">
        <v>1.4334340276053901</v>
      </c>
      <c r="Q97" s="35">
        <v>1.4326311357589001</v>
      </c>
      <c r="R97" s="34">
        <v>94.855354881669399</v>
      </c>
      <c r="S97" s="34">
        <v>94.859186579444199</v>
      </c>
      <c r="T97" s="34">
        <v>94.803627212570802</v>
      </c>
      <c r="U97" s="16">
        <v>-6.8128046311649799E-4</v>
      </c>
      <c r="V97" s="16">
        <v>-6.4088611331225098E-4</v>
      </c>
      <c r="W97" s="16">
        <v>-1.22676130256938E-3</v>
      </c>
      <c r="X97" s="35">
        <v>1.43145274575467</v>
      </c>
      <c r="Y97" s="35">
        <v>1.43040773636679</v>
      </c>
      <c r="Z97" s="35">
        <v>1.4306461480095201</v>
      </c>
      <c r="AA97" s="35">
        <v>1.43006170129599</v>
      </c>
      <c r="AB97" s="34">
        <v>96.532496496449596</v>
      </c>
      <c r="AC97" s="34">
        <v>96.543379185595597</v>
      </c>
      <c r="AD97" s="34">
        <v>96.503589820450898</v>
      </c>
      <c r="AE97" s="16">
        <v>-7.3030075424842199E-4</v>
      </c>
      <c r="AF97" s="16">
        <v>-6.1757109168384403E-4</v>
      </c>
      <c r="AG97" s="16">
        <v>-1.02979580479951E-3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9">
        <f t="shared" si="28"/>
        <v>0</v>
      </c>
      <c r="AP97" s="29">
        <f t="shared" si="29"/>
        <v>0</v>
      </c>
      <c r="AQ97" s="29">
        <f t="shared" si="36"/>
        <v>0</v>
      </c>
      <c r="AR97" s="30">
        <f t="shared" si="37"/>
        <v>3.0669434283419486E-3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9">
        <f t="shared" si="32"/>
        <v>0</v>
      </c>
      <c r="BA97" s="29">
        <f t="shared" si="33"/>
        <v>0</v>
      </c>
      <c r="BB97" s="29">
        <f t="shared" si="40"/>
        <v>0</v>
      </c>
      <c r="BC97" s="30">
        <f t="shared" si="41"/>
        <v>6.7104381091813367E-3</v>
      </c>
      <c r="BE97" s="30">
        <f t="shared" si="42"/>
        <v>0</v>
      </c>
      <c r="BF97" s="30">
        <f t="shared" si="43"/>
        <v>9.7773815375232862E-3</v>
      </c>
      <c r="BH97" s="30"/>
    </row>
    <row r="98" spans="1:60" x14ac:dyDescent="0.25">
      <c r="A98" s="1">
        <v>46163</v>
      </c>
      <c r="B98" s="34">
        <v>66.22</v>
      </c>
      <c r="C98" s="34">
        <v>94.99</v>
      </c>
      <c r="D98" s="16">
        <v>6.04229625633923E-4</v>
      </c>
      <c r="E98" s="16">
        <v>7.3719133452813403E-4</v>
      </c>
      <c r="F98" s="34">
        <v>0</v>
      </c>
      <c r="G98" s="34">
        <v>1.306</v>
      </c>
      <c r="H98" s="34">
        <v>0</v>
      </c>
      <c r="I98" s="34">
        <v>1.68302</v>
      </c>
      <c r="J98" s="34">
        <v>1.306</v>
      </c>
      <c r="K98" s="34">
        <v>1.68302</v>
      </c>
      <c r="L98" s="34">
        <v>67.525999999999996</v>
      </c>
      <c r="M98" s="34">
        <v>96.673019999999994</v>
      </c>
      <c r="N98" s="35">
        <v>1.43446088794926</v>
      </c>
      <c r="O98" s="35">
        <v>1.43329336478799</v>
      </c>
      <c r="P98" s="35">
        <v>1.43361749315562</v>
      </c>
      <c r="Q98" s="35">
        <v>1.43285000603591</v>
      </c>
      <c r="R98" s="34">
        <v>94.912686616260899</v>
      </c>
      <c r="S98" s="34">
        <v>94.922001308029095</v>
      </c>
      <c r="T98" s="34">
        <v>94.868833809954793</v>
      </c>
      <c r="U98" s="16">
        <v>-8.1424217201079695E-4</v>
      </c>
      <c r="V98" s="16">
        <v>-7.1610740141098399E-4</v>
      </c>
      <c r="W98" s="16">
        <v>-1.2763820788693301E-3</v>
      </c>
      <c r="X98" s="35">
        <v>1.4316414418150001</v>
      </c>
      <c r="Y98" s="35">
        <v>1.43040773636679</v>
      </c>
      <c r="Z98" s="35">
        <v>1.4308231281081401</v>
      </c>
      <c r="AA98" s="35">
        <v>1.4302424247354</v>
      </c>
      <c r="AB98" s="34">
        <v>96.589712805904298</v>
      </c>
      <c r="AC98" s="34">
        <v>96.605811790491202</v>
      </c>
      <c r="AD98" s="34">
        <v>96.566346441713605</v>
      </c>
      <c r="AE98" s="16">
        <v>-8.6211343538348704E-4</v>
      </c>
      <c r="AF98" s="16">
        <v>-6.9545341923852699E-4</v>
      </c>
      <c r="AG98" s="16">
        <v>-1.10405629128629E-3</v>
      </c>
      <c r="AI98" s="12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9">
        <f t="shared" si="28"/>
        <v>0</v>
      </c>
      <c r="AP98" s="29">
        <f t="shared" si="29"/>
        <v>0</v>
      </c>
      <c r="AQ98" s="29">
        <f t="shared" si="36"/>
        <v>0</v>
      </c>
      <c r="AR98" s="30">
        <f t="shared" si="37"/>
        <v>3.0669434283419486E-3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9">
        <f t="shared" si="32"/>
        <v>0</v>
      </c>
      <c r="BA98" s="29">
        <f t="shared" si="33"/>
        <v>0</v>
      </c>
      <c r="BB98" s="29">
        <f t="shared" si="40"/>
        <v>0</v>
      </c>
      <c r="BC98" s="30">
        <f t="shared" si="41"/>
        <v>6.7104381091813367E-3</v>
      </c>
      <c r="BE98" s="30">
        <f t="shared" si="42"/>
        <v>0</v>
      </c>
      <c r="BF98" s="30">
        <f t="shared" si="43"/>
        <v>9.7773815375232862E-3</v>
      </c>
      <c r="BH98" s="30"/>
    </row>
    <row r="99" spans="1:60" x14ac:dyDescent="0.25">
      <c r="A99" s="1">
        <v>46164</v>
      </c>
      <c r="B99" s="34">
        <v>66.31</v>
      </c>
      <c r="C99" s="34">
        <v>95.17</v>
      </c>
      <c r="D99" s="16">
        <v>1.35818326167613E-3</v>
      </c>
      <c r="E99" s="16">
        <v>1.893143182161E-3</v>
      </c>
      <c r="F99" s="34">
        <v>0</v>
      </c>
      <c r="G99" s="34">
        <v>1.306</v>
      </c>
      <c r="H99" s="34">
        <v>0</v>
      </c>
      <c r="I99" s="34">
        <v>1.68302</v>
      </c>
      <c r="J99" s="34">
        <v>1.306</v>
      </c>
      <c r="K99" s="34">
        <v>1.68302</v>
      </c>
      <c r="L99" s="34">
        <v>67.616</v>
      </c>
      <c r="M99" s="34">
        <v>96.853020000000001</v>
      </c>
      <c r="N99" s="35">
        <v>1.43522847232694</v>
      </c>
      <c r="O99" s="35">
        <v>1.43329336478799</v>
      </c>
      <c r="P99" s="35">
        <v>1.4338040255403699</v>
      </c>
      <c r="Q99" s="35">
        <v>1.43303404869988</v>
      </c>
      <c r="R99" s="34">
        <v>95.041683019091806</v>
      </c>
      <c r="S99" s="34">
        <v>95.063175971149306</v>
      </c>
      <c r="T99" s="34">
        <v>95.012283900241599</v>
      </c>
      <c r="U99" s="16">
        <v>-1.34920209249577E-3</v>
      </c>
      <c r="V99" s="16">
        <v>-1.1230852824027199E-3</v>
      </c>
      <c r="W99" s="16">
        <v>-1.65857862971063E-3</v>
      </c>
      <c r="X99" s="35">
        <v>1.43239795314718</v>
      </c>
      <c r="Y99" s="35">
        <v>1.43040773636679</v>
      </c>
      <c r="Z99" s="35">
        <v>1.4310029111396501</v>
      </c>
      <c r="AA99" s="35">
        <v>1.4303886466726901</v>
      </c>
      <c r="AB99" s="34">
        <v>96.718449502177293</v>
      </c>
      <c r="AC99" s="34">
        <v>96.746536630160605</v>
      </c>
      <c r="AD99" s="34">
        <v>96.707271790908806</v>
      </c>
      <c r="AE99" s="16">
        <v>-1.3903962174598499E-3</v>
      </c>
      <c r="AF99" s="16">
        <v>-1.10003744255033E-3</v>
      </c>
      <c r="AG99" s="16">
        <v>-1.50597248318293E-3</v>
      </c>
      <c r="AI99" s="12"/>
      <c r="AJ99">
        <f t="shared" si="26"/>
        <v>1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9">
        <f t="shared" si="28"/>
        <v>0</v>
      </c>
      <c r="AP99" s="29">
        <f t="shared" si="29"/>
        <v>0</v>
      </c>
      <c r="AQ99" s="29">
        <f t="shared" si="36"/>
        <v>0</v>
      </c>
      <c r="AR99" s="30">
        <f t="shared" si="37"/>
        <v>3.0669434283419486E-3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9">
        <f t="shared" si="32"/>
        <v>0</v>
      </c>
      <c r="BA99" s="29">
        <f t="shared" si="33"/>
        <v>0</v>
      </c>
      <c r="BB99" s="29">
        <f t="shared" si="40"/>
        <v>0</v>
      </c>
      <c r="BC99" s="30">
        <f t="shared" si="41"/>
        <v>6.7104381091813367E-3</v>
      </c>
      <c r="BE99" s="30">
        <f t="shared" si="42"/>
        <v>0</v>
      </c>
      <c r="BF99" s="30">
        <f t="shared" si="43"/>
        <v>9.7773815375232862E-3</v>
      </c>
      <c r="BH99" s="30"/>
    </row>
    <row r="100" spans="1:60" x14ac:dyDescent="0.25">
      <c r="A100" s="1">
        <v>46168</v>
      </c>
      <c r="B100" s="34">
        <v>66.64</v>
      </c>
      <c r="C100" s="34">
        <v>95.64</v>
      </c>
      <c r="D100" s="16">
        <v>4.9642824778110698E-3</v>
      </c>
      <c r="E100" s="16">
        <v>4.9263765058719499E-3</v>
      </c>
      <c r="F100" s="34">
        <v>0</v>
      </c>
      <c r="G100" s="34">
        <v>1.306</v>
      </c>
      <c r="H100" s="34">
        <v>0</v>
      </c>
      <c r="I100" s="34">
        <v>1.68302</v>
      </c>
      <c r="J100" s="34">
        <v>1.306</v>
      </c>
      <c r="K100" s="34">
        <v>1.68302</v>
      </c>
      <c r="L100" s="34">
        <v>67.945999999999998</v>
      </c>
      <c r="M100" s="34">
        <v>97.32302</v>
      </c>
      <c r="N100" s="35">
        <v>1.4351740696278501</v>
      </c>
      <c r="O100" s="35">
        <v>1.43329336478799</v>
      </c>
      <c r="P100" s="35">
        <v>1.4339970597433001</v>
      </c>
      <c r="Q100" s="35">
        <v>1.43320336795583</v>
      </c>
      <c r="R100" s="34">
        <v>95.514669829471899</v>
      </c>
      <c r="S100" s="34">
        <v>95.548700262010499</v>
      </c>
      <c r="T100" s="34">
        <v>95.497389005360205</v>
      </c>
      <c r="U100" s="16">
        <v>-1.3112961205567601E-3</v>
      </c>
      <c r="V100" s="16">
        <v>-9.5507469640620395E-4</v>
      </c>
      <c r="W100" s="16">
        <v>-1.49223573519939E-3</v>
      </c>
      <c r="X100" s="35">
        <v>1.43235834339033</v>
      </c>
      <c r="Y100" s="35">
        <v>1.43040773636679</v>
      </c>
      <c r="Z100" s="35">
        <v>1.43119093251176</v>
      </c>
      <c r="AA100" s="35">
        <v>1.4305212571919901</v>
      </c>
      <c r="AB100" s="34">
        <v>97.190484055178302</v>
      </c>
      <c r="AC100" s="34">
        <v>97.230923800294704</v>
      </c>
      <c r="AD100" s="34">
        <v>97.189186986822705</v>
      </c>
      <c r="AE100" s="16">
        <v>-1.3627430751000601E-3</v>
      </c>
      <c r="AF100" s="16">
        <v>-9.4674211979707296E-4</v>
      </c>
      <c r="AG100" s="16">
        <v>-1.3760887953465401E-3</v>
      </c>
      <c r="AI100" s="12"/>
      <c r="AJ100">
        <f t="shared" si="26"/>
        <v>0</v>
      </c>
      <c r="AK100">
        <f t="shared" si="27"/>
        <v>0</v>
      </c>
      <c r="AL100">
        <f t="shared" si="34"/>
        <v>1</v>
      </c>
      <c r="AM100">
        <f t="shared" si="24"/>
        <v>1</v>
      </c>
      <c r="AN100">
        <f t="shared" si="35"/>
        <v>1</v>
      </c>
      <c r="AO100" s="29">
        <f t="shared" si="28"/>
        <v>4.9642824778110698E-3</v>
      </c>
      <c r="AP100" s="29">
        <f t="shared" si="29"/>
        <v>-4.9263765058719499E-3</v>
      </c>
      <c r="AQ100" s="29">
        <f t="shared" si="36"/>
        <v>3.7905971939119869E-5</v>
      </c>
      <c r="AR100" s="30">
        <f t="shared" si="37"/>
        <v>3.1048494002810685E-3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9">
        <f t="shared" si="32"/>
        <v>0</v>
      </c>
      <c r="BA100" s="29">
        <f t="shared" si="33"/>
        <v>0</v>
      </c>
      <c r="BB100" s="29">
        <f t="shared" si="40"/>
        <v>0</v>
      </c>
      <c r="BC100" s="30">
        <f t="shared" si="41"/>
        <v>6.7104381091813367E-3</v>
      </c>
      <c r="BE100" s="30">
        <f t="shared" si="42"/>
        <v>3.7905971939119869E-5</v>
      </c>
      <c r="BF100" s="30">
        <f t="shared" si="43"/>
        <v>9.8152875094624052E-3</v>
      </c>
      <c r="BH100" s="30"/>
    </row>
    <row r="101" spans="1:60" x14ac:dyDescent="0.25">
      <c r="A101" s="1">
        <v>46169</v>
      </c>
      <c r="B101" s="34">
        <v>66.89</v>
      </c>
      <c r="C101" s="34">
        <v>95.98</v>
      </c>
      <c r="D101" s="16">
        <v>3.7444812717293101E-3</v>
      </c>
      <c r="E101" s="16">
        <v>3.5486938399754602E-3</v>
      </c>
      <c r="F101" s="34">
        <v>0</v>
      </c>
      <c r="G101" s="34">
        <v>1.306</v>
      </c>
      <c r="H101" s="34">
        <v>0</v>
      </c>
      <c r="I101" s="34">
        <v>1.68302</v>
      </c>
      <c r="J101" s="34">
        <v>1.306</v>
      </c>
      <c r="K101" s="34">
        <v>1.68302</v>
      </c>
      <c r="L101" s="34">
        <v>68.195999999999998</v>
      </c>
      <c r="M101" s="34">
        <v>97.663020000000003</v>
      </c>
      <c r="N101" s="35">
        <v>1.4348931080878999</v>
      </c>
      <c r="O101" s="35">
        <v>1.43329336478799</v>
      </c>
      <c r="P101" s="35">
        <v>1.4341071015287199</v>
      </c>
      <c r="Q101" s="35">
        <v>1.4333328569174799</v>
      </c>
      <c r="R101" s="34">
        <v>95.872993170668906</v>
      </c>
      <c r="S101" s="34">
        <v>95.920063326229496</v>
      </c>
      <c r="T101" s="34">
        <v>95.866973282566093</v>
      </c>
      <c r="U101" s="16">
        <v>-1.11550868880273E-3</v>
      </c>
      <c r="V101" s="16">
        <v>-6.2466551266897796E-4</v>
      </c>
      <c r="W101" s="16">
        <v>-1.17830089864952E-3</v>
      </c>
      <c r="X101" s="35">
        <v>1.4320930846383899</v>
      </c>
      <c r="Y101" s="35">
        <v>1.43040773636679</v>
      </c>
      <c r="Z101" s="35">
        <v>1.4312993976764501</v>
      </c>
      <c r="AA101" s="35">
        <v>1.43061531976191</v>
      </c>
      <c r="AB101" s="34">
        <v>97.548085989270007</v>
      </c>
      <c r="AC101" s="34">
        <v>97.601496833572099</v>
      </c>
      <c r="AD101" s="34">
        <v>97.555827655465507</v>
      </c>
      <c r="AE101" s="16">
        <v>-1.17753570861669E-3</v>
      </c>
      <c r="AF101" s="16">
        <v>-6.3015205692623004E-4</v>
      </c>
      <c r="AG101" s="16">
        <v>-1.0981762938830999E-3</v>
      </c>
      <c r="AI101" s="12"/>
      <c r="AJ101">
        <f t="shared" si="26"/>
        <v>0</v>
      </c>
      <c r="AK101">
        <f t="shared" si="27"/>
        <v>0</v>
      </c>
      <c r="AL101">
        <f t="shared" si="34"/>
        <v>1</v>
      </c>
      <c r="AM101">
        <f t="shared" si="24"/>
        <v>1</v>
      </c>
      <c r="AN101">
        <f t="shared" si="35"/>
        <v>1</v>
      </c>
      <c r="AO101" s="29">
        <f t="shared" si="28"/>
        <v>3.7444812717293101E-3</v>
      </c>
      <c r="AP101" s="29">
        <f t="shared" si="29"/>
        <v>-3.5486938399754602E-3</v>
      </c>
      <c r="AQ101" s="29">
        <f t="shared" si="36"/>
        <v>1.957874317538499E-4</v>
      </c>
      <c r="AR101" s="30">
        <f t="shared" si="37"/>
        <v>3.3006368320349184E-3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9">
        <f t="shared" si="32"/>
        <v>0</v>
      </c>
      <c r="BA101" s="29">
        <f t="shared" si="33"/>
        <v>0</v>
      </c>
      <c r="BB101" s="29">
        <f t="shared" si="40"/>
        <v>0</v>
      </c>
      <c r="BC101" s="30">
        <f t="shared" si="41"/>
        <v>6.7104381091813367E-3</v>
      </c>
      <c r="BE101" s="30">
        <f t="shared" si="42"/>
        <v>1.957874317538499E-4</v>
      </c>
      <c r="BF101" s="30">
        <f t="shared" si="43"/>
        <v>1.0011074941216256E-2</v>
      </c>
      <c r="BH101" s="30"/>
    </row>
    <row r="102" spans="1:60" x14ac:dyDescent="0.25">
      <c r="A102" s="1">
        <v>46170</v>
      </c>
      <c r="B102" s="34">
        <v>67.09</v>
      </c>
      <c r="C102" s="34">
        <v>96.23</v>
      </c>
      <c r="D102" s="16">
        <v>2.9855224444799498E-3</v>
      </c>
      <c r="E102" s="16">
        <v>2.6013229382100601E-3</v>
      </c>
      <c r="F102" s="34">
        <v>0</v>
      </c>
      <c r="G102" s="34">
        <v>1.306</v>
      </c>
      <c r="H102" s="34">
        <v>0</v>
      </c>
      <c r="I102" s="34">
        <v>1.68302</v>
      </c>
      <c r="J102" s="34">
        <v>1.306</v>
      </c>
      <c r="K102" s="34">
        <v>1.68302</v>
      </c>
      <c r="L102" s="34">
        <v>68.396000000000001</v>
      </c>
      <c r="M102" s="34">
        <v>97.913020000000003</v>
      </c>
      <c r="N102" s="35">
        <v>1.4343419287524199</v>
      </c>
      <c r="O102" s="35">
        <v>1.43329336478799</v>
      </c>
      <c r="P102" s="35">
        <v>1.43408784095051</v>
      </c>
      <c r="Q102" s="35">
        <v>1.43351437283075</v>
      </c>
      <c r="R102" s="34">
        <v>96.159651843626506</v>
      </c>
      <c r="S102" s="34">
        <v>96.214245441562198</v>
      </c>
      <c r="T102" s="34">
        <v>96.162301370593795</v>
      </c>
      <c r="U102" s="16">
        <v>-7.3130918253265997E-4</v>
      </c>
      <c r="V102" s="16">
        <v>-1.6373114651258E-4</v>
      </c>
      <c r="W102" s="16">
        <v>-7.03756145312985E-4</v>
      </c>
      <c r="X102" s="35">
        <v>1.43156061757997</v>
      </c>
      <c r="Y102" s="35">
        <v>1.43040773636679</v>
      </c>
      <c r="Z102" s="35">
        <v>1.4312825144811301</v>
      </c>
      <c r="AA102" s="35">
        <v>1.43076155460323</v>
      </c>
      <c r="AB102" s="34">
        <v>97.834167536543404</v>
      </c>
      <c r="AC102" s="34">
        <v>97.895153603478505</v>
      </c>
      <c r="AD102" s="34">
        <v>97.848365410435605</v>
      </c>
      <c r="AE102" s="16">
        <v>-8.0565620087895895E-4</v>
      </c>
      <c r="AF102" s="16">
        <v>-1.8248877196714599E-4</v>
      </c>
      <c r="AG102" s="16">
        <v>-6.6054489530372297E-4</v>
      </c>
      <c r="AI102" s="12"/>
      <c r="AJ102">
        <f t="shared" si="26"/>
        <v>0</v>
      </c>
      <c r="AK102">
        <f t="shared" si="27"/>
        <v>0</v>
      </c>
      <c r="AL102">
        <f t="shared" si="34"/>
        <v>1</v>
      </c>
      <c r="AM102">
        <f t="shared" si="24"/>
        <v>1</v>
      </c>
      <c r="AN102">
        <f t="shared" si="35"/>
        <v>1</v>
      </c>
      <c r="AO102" s="29">
        <f t="shared" si="28"/>
        <v>2.9855224444799498E-3</v>
      </c>
      <c r="AP102" s="29">
        <f t="shared" si="29"/>
        <v>-2.6013229382100601E-3</v>
      </c>
      <c r="AQ102" s="29">
        <f t="shared" si="36"/>
        <v>3.8419950626988972E-4</v>
      </c>
      <c r="AR102" s="30">
        <f t="shared" si="37"/>
        <v>3.6848363383048081E-3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9">
        <f t="shared" si="32"/>
        <v>0</v>
      </c>
      <c r="BA102" s="29">
        <f t="shared" si="33"/>
        <v>0</v>
      </c>
      <c r="BB102" s="29">
        <f t="shared" si="40"/>
        <v>0</v>
      </c>
      <c r="BC102" s="30">
        <f t="shared" si="41"/>
        <v>6.7104381091813367E-3</v>
      </c>
      <c r="BE102" s="30">
        <f t="shared" si="42"/>
        <v>3.8419950626988972E-4</v>
      </c>
      <c r="BF102" s="30">
        <f t="shared" si="43"/>
        <v>1.0395274447486145E-2</v>
      </c>
      <c r="BH102" s="30"/>
    </row>
    <row r="103" spans="1:60" x14ac:dyDescent="0.25">
      <c r="A103" s="1">
        <v>46171</v>
      </c>
      <c r="B103" s="34">
        <v>67.25</v>
      </c>
      <c r="C103" s="34">
        <v>96.43</v>
      </c>
      <c r="D103" s="16">
        <v>2.3820169071517498E-3</v>
      </c>
      <c r="E103" s="16">
        <v>2.0761971539835799E-3</v>
      </c>
      <c r="F103" s="34">
        <v>0</v>
      </c>
      <c r="G103" s="34">
        <v>1.306</v>
      </c>
      <c r="H103" s="34">
        <v>0</v>
      </c>
      <c r="I103" s="34">
        <v>1.68302</v>
      </c>
      <c r="J103" s="34">
        <v>1.306</v>
      </c>
      <c r="K103" s="34">
        <v>1.68302</v>
      </c>
      <c r="L103" s="34">
        <v>68.555999999999997</v>
      </c>
      <c r="M103" s="34">
        <v>98.113020000000006</v>
      </c>
      <c r="N103" s="35">
        <v>1.4339033457249</v>
      </c>
      <c r="O103" s="35">
        <v>1.43329336478799</v>
      </c>
      <c r="P103" s="35">
        <v>1.4340462583934399</v>
      </c>
      <c r="Q103" s="35">
        <v>1.4336422309880601</v>
      </c>
      <c r="R103" s="34">
        <v>96.388978781992506</v>
      </c>
      <c r="S103" s="34">
        <v>96.442407303922096</v>
      </c>
      <c r="T103" s="34">
        <v>96.403841572868501</v>
      </c>
      <c r="U103" s="16">
        <v>-4.2548942936465199E-4</v>
      </c>
      <c r="V103" s="16">
        <v>1.2865815398542199E-4</v>
      </c>
      <c r="W103" s="16">
        <v>-2.7130535883728102E-4</v>
      </c>
      <c r="X103" s="35">
        <v>1.4311368807981699</v>
      </c>
      <c r="Y103" s="35">
        <v>1.43040773636679</v>
      </c>
      <c r="Z103" s="35">
        <v>1.43124433849357</v>
      </c>
      <c r="AA103" s="35">
        <v>1.43085506050008</v>
      </c>
      <c r="AB103" s="34">
        <v>98.0630327743621</v>
      </c>
      <c r="AC103" s="34">
        <v>98.123004062768402</v>
      </c>
      <c r="AD103" s="34">
        <v>98.087289137379301</v>
      </c>
      <c r="AE103" s="16">
        <v>-5.0961599046157597E-4</v>
      </c>
      <c r="AF103" s="16">
        <v>1.0175565699213E-4</v>
      </c>
      <c r="AG103" s="16">
        <v>-2.6229176581139699E-4</v>
      </c>
      <c r="AI103" s="12"/>
      <c r="AJ103">
        <f t="shared" si="26"/>
        <v>0</v>
      </c>
      <c r="AK103">
        <f t="shared" si="27"/>
        <v>1</v>
      </c>
      <c r="AL103">
        <f t="shared" si="34"/>
        <v>1</v>
      </c>
      <c r="AM103">
        <f t="shared" si="24"/>
        <v>0</v>
      </c>
      <c r="AN103">
        <f t="shared" si="35"/>
        <v>1</v>
      </c>
      <c r="AO103" s="29">
        <f t="shared" si="28"/>
        <v>2.3820169071517498E-3</v>
      </c>
      <c r="AP103" s="29">
        <f t="shared" si="29"/>
        <v>-2.0761971539835799E-3</v>
      </c>
      <c r="AQ103" s="29">
        <f t="shared" si="36"/>
        <v>3.058197531681699E-4</v>
      </c>
      <c r="AR103" s="30">
        <f t="shared" si="37"/>
        <v>3.990656091472978E-3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9">
        <f t="shared" si="32"/>
        <v>0</v>
      </c>
      <c r="BA103" s="29">
        <f t="shared" si="33"/>
        <v>0</v>
      </c>
      <c r="BB103" s="29">
        <f t="shared" si="40"/>
        <v>0</v>
      </c>
      <c r="BC103" s="30">
        <f t="shared" si="41"/>
        <v>6.7104381091813367E-3</v>
      </c>
      <c r="BE103" s="30">
        <f t="shared" si="42"/>
        <v>3.058197531681699E-4</v>
      </c>
      <c r="BF103" s="30">
        <f t="shared" si="43"/>
        <v>1.0701094200654314E-2</v>
      </c>
      <c r="BH103" s="30"/>
    </row>
    <row r="104" spans="1:60" x14ac:dyDescent="0.25">
      <c r="A104" s="1">
        <v>46174</v>
      </c>
      <c r="B104" s="34">
        <v>66.87</v>
      </c>
      <c r="C104" s="34">
        <v>96.01</v>
      </c>
      <c r="D104" s="16">
        <v>-5.6665824160612504E-3</v>
      </c>
      <c r="E104" s="16">
        <v>-4.3650038127606202E-3</v>
      </c>
      <c r="F104" s="34">
        <v>0.31890000000000002</v>
      </c>
      <c r="G104" s="34">
        <v>1.6249</v>
      </c>
      <c r="H104" s="34">
        <v>0.40704000000000001</v>
      </c>
      <c r="I104" s="34">
        <v>2.0900599999999998</v>
      </c>
      <c r="J104" s="34">
        <v>1.6249</v>
      </c>
      <c r="K104" s="34">
        <v>2.0900599999999998</v>
      </c>
      <c r="L104" s="34">
        <v>68.494900000000001</v>
      </c>
      <c r="M104" s="34">
        <v>98.100059999999999</v>
      </c>
      <c r="N104" s="35">
        <v>1.4357708987587801</v>
      </c>
      <c r="O104" s="35">
        <v>1.43329336478799</v>
      </c>
      <c r="P104" s="35">
        <v>1.43442709789133</v>
      </c>
      <c r="Q104" s="35">
        <v>1.43379983603693</v>
      </c>
      <c r="R104" s="34">
        <v>95.844327303373106</v>
      </c>
      <c r="S104" s="34">
        <v>95.894673298769703</v>
      </c>
      <c r="T104" s="34">
        <v>95.867655986171798</v>
      </c>
      <c r="U104" s="16">
        <v>-1.7270680326651601E-3</v>
      </c>
      <c r="V104" s="16">
        <v>-1.20191669260901E-3</v>
      </c>
      <c r="W104" s="16">
        <v>-1.4836958395083001E-3</v>
      </c>
      <c r="X104" s="35">
        <v>1.43222429699145</v>
      </c>
      <c r="Y104" s="35">
        <v>1.43040773636679</v>
      </c>
      <c r="Z104" s="35">
        <v>1.43154795907134</v>
      </c>
      <c r="AA104" s="35">
        <v>1.4309735236441801</v>
      </c>
      <c r="AB104" s="34">
        <v>97.975634861670102</v>
      </c>
      <c r="AC104" s="34">
        <v>98.032937840683303</v>
      </c>
      <c r="AD104" s="34">
        <v>98.006274283447496</v>
      </c>
      <c r="AE104" s="16">
        <v>-1.2691542938983E-3</v>
      </c>
      <c r="AF104" s="16">
        <v>-6.8445557530955503E-4</v>
      </c>
      <c r="AG104" s="16">
        <v>-9.5647827027259096E-4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9">
        <f t="shared" si="28"/>
        <v>0</v>
      </c>
      <c r="AP104" s="29">
        <f t="shared" si="29"/>
        <v>0</v>
      </c>
      <c r="AQ104" s="29">
        <f t="shared" si="36"/>
        <v>0</v>
      </c>
      <c r="AR104" s="30">
        <f t="shared" si="37"/>
        <v>3.990656091472978E-3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9">
        <f t="shared" si="32"/>
        <v>0</v>
      </c>
      <c r="BA104" s="29">
        <f t="shared" si="33"/>
        <v>0</v>
      </c>
      <c r="BB104" s="29">
        <f t="shared" si="40"/>
        <v>0</v>
      </c>
      <c r="BC104" s="30">
        <f t="shared" si="41"/>
        <v>6.7104381091813367E-3</v>
      </c>
      <c r="BE104" s="30">
        <f t="shared" si="42"/>
        <v>0</v>
      </c>
      <c r="BF104" s="30">
        <f t="shared" si="43"/>
        <v>1.0701094200654314E-2</v>
      </c>
      <c r="BH104" s="30"/>
    </row>
    <row r="105" spans="1:60" x14ac:dyDescent="0.25">
      <c r="A105" s="1">
        <v>46175</v>
      </c>
      <c r="B105" s="34">
        <v>67.040000000000006</v>
      </c>
      <c r="C105" s="34">
        <v>96.26</v>
      </c>
      <c r="D105" s="16">
        <v>2.53902010794042E-3</v>
      </c>
      <c r="E105" s="16">
        <v>2.6005111654308299E-3</v>
      </c>
      <c r="F105" s="34">
        <v>0</v>
      </c>
      <c r="G105" s="34">
        <v>1.6249</v>
      </c>
      <c r="H105" s="34">
        <v>0</v>
      </c>
      <c r="I105" s="34">
        <v>2.0900599999999998</v>
      </c>
      <c r="J105" s="34">
        <v>1.6249</v>
      </c>
      <c r="K105" s="34">
        <v>2.0900599999999998</v>
      </c>
      <c r="L105" s="34">
        <v>68.664900000000003</v>
      </c>
      <c r="M105" s="34">
        <v>98.350059999999999</v>
      </c>
      <c r="N105" s="35">
        <v>1.4358591885441501</v>
      </c>
      <c r="O105" s="35">
        <v>1.43329336478799</v>
      </c>
      <c r="P105" s="35">
        <v>1.43473621480753</v>
      </c>
      <c r="Q105" s="35">
        <v>1.43399640992196</v>
      </c>
      <c r="R105" s="34">
        <v>96.087987175387099</v>
      </c>
      <c r="S105" s="34">
        <v>96.163992642635293</v>
      </c>
      <c r="T105" s="34">
        <v>96.121941007915794</v>
      </c>
      <c r="U105" s="16">
        <v>-1.7885590901556201E-3</v>
      </c>
      <c r="V105" s="16">
        <v>-9.9787312395726701E-4</v>
      </c>
      <c r="W105" s="16">
        <v>-1.4352596201145499E-3</v>
      </c>
      <c r="X105" s="35">
        <v>1.4323192781173399</v>
      </c>
      <c r="Y105" s="35">
        <v>1.43040773636679</v>
      </c>
      <c r="Z105" s="35">
        <v>1.4317825002528399</v>
      </c>
      <c r="AA105" s="35">
        <v>1.4311312563740799</v>
      </c>
      <c r="AB105" s="34">
        <v>98.218804176852402</v>
      </c>
      <c r="AC105" s="34">
        <v>98.297097454837996</v>
      </c>
      <c r="AD105" s="34">
        <v>98.257653903675205</v>
      </c>
      <c r="AE105" s="16">
        <v>-1.33546930949443E-3</v>
      </c>
      <c r="AF105" s="16">
        <v>-5.3865560151498699E-4</v>
      </c>
      <c r="AG105" s="16">
        <v>-9.4000485834681803E-4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9">
        <f t="shared" si="28"/>
        <v>0</v>
      </c>
      <c r="AP105" s="29">
        <f t="shared" si="29"/>
        <v>0</v>
      </c>
      <c r="AQ105" s="29">
        <f t="shared" si="36"/>
        <v>0</v>
      </c>
      <c r="AR105" s="30">
        <f t="shared" si="37"/>
        <v>3.990656091472978E-3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9">
        <f t="shared" si="32"/>
        <v>0</v>
      </c>
      <c r="BA105" s="29">
        <f t="shared" si="33"/>
        <v>0</v>
      </c>
      <c r="BB105" s="29">
        <f t="shared" si="40"/>
        <v>0</v>
      </c>
      <c r="BC105" s="30">
        <f t="shared" si="41"/>
        <v>6.7104381091813367E-3</v>
      </c>
      <c r="BE105" s="30">
        <f t="shared" si="42"/>
        <v>0</v>
      </c>
      <c r="BF105" s="30">
        <f t="shared" si="43"/>
        <v>1.0701094200654314E-2</v>
      </c>
      <c r="BH105" s="30"/>
    </row>
    <row r="106" spans="1:60" x14ac:dyDescent="0.25">
      <c r="A106" s="1">
        <v>46176</v>
      </c>
      <c r="B106" s="34">
        <v>66.83</v>
      </c>
      <c r="C106" s="34">
        <v>95.9</v>
      </c>
      <c r="D106" s="16">
        <v>-3.13737465084891E-3</v>
      </c>
      <c r="E106" s="16">
        <v>-3.74688198557079E-3</v>
      </c>
      <c r="F106" s="34">
        <v>0</v>
      </c>
      <c r="G106" s="34">
        <v>1.6249</v>
      </c>
      <c r="H106" s="34">
        <v>0</v>
      </c>
      <c r="I106" s="34">
        <v>2.0900599999999998</v>
      </c>
      <c r="J106" s="34">
        <v>1.6249</v>
      </c>
      <c r="K106" s="34">
        <v>2.0900599999999998</v>
      </c>
      <c r="L106" s="34">
        <v>68.454899999999995</v>
      </c>
      <c r="M106" s="34">
        <v>97.99006</v>
      </c>
      <c r="N106" s="35">
        <v>1.43498428849319</v>
      </c>
      <c r="O106" s="35">
        <v>1.43329336478799</v>
      </c>
      <c r="P106" s="35">
        <v>1.4348886360522899</v>
      </c>
      <c r="Q106" s="35">
        <v>1.4341199494815999</v>
      </c>
      <c r="R106" s="34">
        <v>95.786995568781606</v>
      </c>
      <c r="S106" s="34">
        <v>95.883421235587406</v>
      </c>
      <c r="T106" s="34">
        <v>95.833980075085194</v>
      </c>
      <c r="U106" s="16">
        <v>-1.17905175543376E-3</v>
      </c>
      <c r="V106" s="16">
        <v>-1.7289048601808299E-4</v>
      </c>
      <c r="W106" s="16">
        <v>-6.8866173328395095E-4</v>
      </c>
      <c r="X106" s="35">
        <v>1.4314542859605299</v>
      </c>
      <c r="Y106" s="35">
        <v>1.43040773636679</v>
      </c>
      <c r="Z106" s="35">
        <v>1.4318638928192999</v>
      </c>
      <c r="AA106" s="35">
        <v>1.4312164438283399</v>
      </c>
      <c r="AB106" s="34">
        <v>97.9184185522154</v>
      </c>
      <c r="AC106" s="34">
        <v>98.012527876558295</v>
      </c>
      <c r="AD106" s="34">
        <v>97.967947041962006</v>
      </c>
      <c r="AE106" s="16">
        <v>-7.3137672761791497E-4</v>
      </c>
      <c r="AF106" s="16">
        <v>2.29261020480922E-4</v>
      </c>
      <c r="AG106" s="16">
        <v>-2.2569078411819899E-4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9">
        <f t="shared" si="28"/>
        <v>0</v>
      </c>
      <c r="AP106" s="29">
        <f t="shared" si="29"/>
        <v>0</v>
      </c>
      <c r="AQ106" s="29">
        <f t="shared" si="36"/>
        <v>0</v>
      </c>
      <c r="AR106" s="30">
        <f t="shared" si="37"/>
        <v>3.990656091472978E-3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9">
        <f t="shared" si="32"/>
        <v>0</v>
      </c>
      <c r="BA106" s="29">
        <f t="shared" si="33"/>
        <v>0</v>
      </c>
      <c r="BB106" s="29">
        <f t="shared" si="40"/>
        <v>0</v>
      </c>
      <c r="BC106" s="30">
        <f t="shared" si="41"/>
        <v>6.7104381091813367E-3</v>
      </c>
      <c r="BE106" s="30">
        <f t="shared" si="42"/>
        <v>0</v>
      </c>
      <c r="BF106" s="30">
        <f t="shared" si="43"/>
        <v>1.0701094200654314E-2</v>
      </c>
      <c r="BH106" s="30"/>
    </row>
    <row r="107" spans="1:60" x14ac:dyDescent="0.25">
      <c r="A107" s="1">
        <v>46177</v>
      </c>
      <c r="B107" s="34">
        <v>66.989999999999995</v>
      </c>
      <c r="C107" s="34">
        <v>96.1</v>
      </c>
      <c r="D107" s="16">
        <v>2.3912729971974798E-3</v>
      </c>
      <c r="E107" s="16">
        <v>2.0833340868540401E-3</v>
      </c>
      <c r="F107" s="34">
        <v>0</v>
      </c>
      <c r="G107" s="34">
        <v>1.6249</v>
      </c>
      <c r="H107" s="34">
        <v>0</v>
      </c>
      <c r="I107" s="34">
        <v>2.0900599999999998</v>
      </c>
      <c r="J107" s="34">
        <v>1.6249</v>
      </c>
      <c r="K107" s="34">
        <v>2.0900599999999998</v>
      </c>
      <c r="L107" s="34">
        <v>68.614899999999906</v>
      </c>
      <c r="M107" s="34">
        <v>98.190059999999903</v>
      </c>
      <c r="N107" s="35">
        <v>1.43454246902522</v>
      </c>
      <c r="O107" s="35">
        <v>1.43329336478799</v>
      </c>
      <c r="P107" s="35">
        <v>1.4349158657290599</v>
      </c>
      <c r="Q107" s="35">
        <v>1.43417494666722</v>
      </c>
      <c r="R107" s="34">
        <v>96.016322507147606</v>
      </c>
      <c r="S107" s="34">
        <v>96.123189729142894</v>
      </c>
      <c r="T107" s="34">
        <v>96.071695415772496</v>
      </c>
      <c r="U107" s="16">
        <v>-8.7111284509063598E-4</v>
      </c>
      <c r="V107" s="16">
        <v>2.4127920557461501E-4</v>
      </c>
      <c r="W107" s="16">
        <v>-2.9457599747877801E-4</v>
      </c>
      <c r="X107" s="35">
        <v>1.4310311608702999</v>
      </c>
      <c r="Y107" s="35">
        <v>1.43040773636679</v>
      </c>
      <c r="Z107" s="35">
        <v>1.4318217343308699</v>
      </c>
      <c r="AA107" s="35">
        <v>1.43123394117019</v>
      </c>
      <c r="AB107" s="34">
        <v>98.147283790034095</v>
      </c>
      <c r="AC107" s="34">
        <v>98.247197819407603</v>
      </c>
      <c r="AD107" s="34">
        <v>98.202773171637503</v>
      </c>
      <c r="AE107" s="16">
        <v>-4.3574197161837301E-4</v>
      </c>
      <c r="AF107" s="16">
        <v>5.8174117938026302E-4</v>
      </c>
      <c r="AG107" s="16">
        <v>1.29466757518976E-4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9">
        <f t="shared" si="28"/>
        <v>0</v>
      </c>
      <c r="AP107" s="29">
        <f t="shared" si="29"/>
        <v>0</v>
      </c>
      <c r="AQ107" s="29">
        <f t="shared" si="36"/>
        <v>0</v>
      </c>
      <c r="AR107" s="30">
        <f t="shared" si="37"/>
        <v>3.990656091472978E-3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9">
        <f t="shared" si="32"/>
        <v>0</v>
      </c>
      <c r="BA107" s="29">
        <f t="shared" si="33"/>
        <v>0</v>
      </c>
      <c r="BB107" s="29">
        <f t="shared" si="40"/>
        <v>0</v>
      </c>
      <c r="BC107" s="30">
        <f t="shared" si="41"/>
        <v>6.7104381091813367E-3</v>
      </c>
      <c r="BE107" s="30">
        <f t="shared" si="42"/>
        <v>0</v>
      </c>
      <c r="BF107" s="30">
        <f t="shared" si="43"/>
        <v>1.0701094200654314E-2</v>
      </c>
      <c r="BH107" s="30"/>
    </row>
    <row r="108" spans="1:60" x14ac:dyDescent="0.25">
      <c r="A108" s="1">
        <v>46178</v>
      </c>
      <c r="B108" s="34">
        <v>66.56</v>
      </c>
      <c r="C108" s="34">
        <v>95.4</v>
      </c>
      <c r="D108" s="16">
        <v>-6.4395580072229399E-3</v>
      </c>
      <c r="E108" s="16">
        <v>-7.3107375220058399E-3</v>
      </c>
      <c r="F108" s="34">
        <v>0</v>
      </c>
      <c r="G108" s="34">
        <v>1.6249</v>
      </c>
      <c r="H108" s="34">
        <v>0</v>
      </c>
      <c r="I108" s="34">
        <v>2.0900599999999998</v>
      </c>
      <c r="J108" s="34">
        <v>1.6249</v>
      </c>
      <c r="K108" s="34">
        <v>2.0900599999999998</v>
      </c>
      <c r="L108" s="34">
        <v>68.184899999999999</v>
      </c>
      <c r="M108" s="34">
        <v>97.49006</v>
      </c>
      <c r="N108" s="35">
        <v>1.4332932692307601</v>
      </c>
      <c r="O108" s="35">
        <v>1.43329336478799</v>
      </c>
      <c r="P108" s="35">
        <v>1.4347991038572101</v>
      </c>
      <c r="Q108" s="35">
        <v>1.43420829850641</v>
      </c>
      <c r="R108" s="34">
        <v>95.400006360288799</v>
      </c>
      <c r="S108" s="34">
        <v>95.508000022926495</v>
      </c>
      <c r="T108" s="34">
        <v>95.458684450170693</v>
      </c>
      <c r="U108" s="16">
        <v>6.6669692431429596E-8</v>
      </c>
      <c r="V108" s="16">
        <v>1.13143539752045E-3</v>
      </c>
      <c r="W108" s="16">
        <v>6.1495186545179397E-4</v>
      </c>
      <c r="X108" s="35">
        <v>1.429789586844</v>
      </c>
      <c r="Y108" s="35">
        <v>1.43040773636679</v>
      </c>
      <c r="Z108" s="35">
        <v>1.4316365488337699</v>
      </c>
      <c r="AA108" s="35">
        <v>1.4312298384709601</v>
      </c>
      <c r="AB108" s="34">
        <v>97.532208463396401</v>
      </c>
      <c r="AC108" s="34">
        <v>97.628621773177102</v>
      </c>
      <c r="AD108" s="34">
        <v>97.588543155295895</v>
      </c>
      <c r="AE108" s="16">
        <v>4.3224257808848198E-4</v>
      </c>
      <c r="AF108" s="16">
        <v>1.4202822119354201E-3</v>
      </c>
      <c r="AG108" s="16">
        <v>1.0096767361415201E-3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9">
        <f t="shared" si="28"/>
        <v>0</v>
      </c>
      <c r="AP108" s="29">
        <f t="shared" si="29"/>
        <v>0</v>
      </c>
      <c r="AQ108" s="29">
        <f t="shared" si="36"/>
        <v>0</v>
      </c>
      <c r="AR108" s="30">
        <f t="shared" si="37"/>
        <v>3.990656091472978E-3</v>
      </c>
      <c r="AT108" s="12"/>
      <c r="AU108">
        <f t="shared" si="30"/>
        <v>1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9">
        <f t="shared" si="32"/>
        <v>0</v>
      </c>
      <c r="BA108" s="29">
        <f t="shared" si="33"/>
        <v>0</v>
      </c>
      <c r="BB108" s="29">
        <f t="shared" si="40"/>
        <v>0</v>
      </c>
      <c r="BC108" s="30">
        <f t="shared" si="41"/>
        <v>6.7104381091813367E-3</v>
      </c>
      <c r="BE108" s="30">
        <f t="shared" si="42"/>
        <v>0</v>
      </c>
      <c r="BF108" s="30">
        <f t="shared" si="43"/>
        <v>1.0701094200654314E-2</v>
      </c>
      <c r="BH108" s="30"/>
    </row>
    <row r="109" spans="1:60" x14ac:dyDescent="0.25">
      <c r="A109" s="1">
        <v>46181</v>
      </c>
      <c r="B109" s="34">
        <v>66.44</v>
      </c>
      <c r="C109" s="34">
        <v>95.28</v>
      </c>
      <c r="D109" s="16">
        <v>-1.8045117678591001E-3</v>
      </c>
      <c r="E109" s="16">
        <v>-1.25865340719617E-3</v>
      </c>
      <c r="F109" s="34">
        <v>0</v>
      </c>
      <c r="G109" s="34">
        <v>1.6249</v>
      </c>
      <c r="H109" s="34">
        <v>0</v>
      </c>
      <c r="I109" s="34">
        <v>2.0900599999999998</v>
      </c>
      <c r="J109" s="34">
        <v>1.6249</v>
      </c>
      <c r="K109" s="34">
        <v>2.0900599999999998</v>
      </c>
      <c r="L109" s="34">
        <v>68.064899999999994</v>
      </c>
      <c r="M109" s="34">
        <v>97.370059999999995</v>
      </c>
      <c r="N109" s="35">
        <v>1.4340758579169099</v>
      </c>
      <c r="O109" s="35">
        <v>1.43329336478799</v>
      </c>
      <c r="P109" s="35">
        <v>1.4346838424162101</v>
      </c>
      <c r="Q109" s="35">
        <v>1.43424393397829</v>
      </c>
      <c r="R109" s="34">
        <v>95.228011156514299</v>
      </c>
      <c r="S109" s="34">
        <v>95.328052460273398</v>
      </c>
      <c r="T109" s="34">
        <v>95.288799352766404</v>
      </c>
      <c r="U109" s="16">
        <v>-5.4579169097058696E-4</v>
      </c>
      <c r="V109" s="16">
        <v>5.0420179705103099E-4</v>
      </c>
      <c r="W109" s="16">
        <v>9.2348304681866695E-5</v>
      </c>
      <c r="X109" s="35">
        <v>1.4305473158705799</v>
      </c>
      <c r="Y109" s="35">
        <v>1.43040773636679</v>
      </c>
      <c r="Z109" s="35">
        <v>1.43145148510611</v>
      </c>
      <c r="AA109" s="35">
        <v>1.4312271981228799</v>
      </c>
      <c r="AB109" s="34">
        <v>97.360559535032294</v>
      </c>
      <c r="AC109" s="34">
        <v>97.444198532715802</v>
      </c>
      <c r="AD109" s="34">
        <v>97.416515832542103</v>
      </c>
      <c r="AE109" s="16">
        <v>-9.7575460888832402E-5</v>
      </c>
      <c r="AF109" s="16">
        <v>7.6112022655158902E-4</v>
      </c>
      <c r="AG109" s="16">
        <v>4.76992146141284E-4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9">
        <f t="shared" si="28"/>
        <v>0</v>
      </c>
      <c r="AP109" s="29">
        <f t="shared" si="29"/>
        <v>0</v>
      </c>
      <c r="AQ109" s="29">
        <f t="shared" si="36"/>
        <v>0</v>
      </c>
      <c r="AR109" s="30">
        <f t="shared" si="37"/>
        <v>3.990656091472978E-3</v>
      </c>
      <c r="AT109" s="12"/>
      <c r="AU109">
        <f t="shared" si="30"/>
        <v>0</v>
      </c>
      <c r="AV109">
        <f t="shared" si="31"/>
        <v>0</v>
      </c>
      <c r="AW109">
        <f t="shared" si="38"/>
        <v>1</v>
      </c>
      <c r="AX109">
        <f t="shared" si="25"/>
        <v>1</v>
      </c>
      <c r="AY109">
        <f t="shared" si="39"/>
        <v>1</v>
      </c>
      <c r="AZ109" s="29">
        <f t="shared" si="32"/>
        <v>1.8045117678591001E-3</v>
      </c>
      <c r="BA109" s="29">
        <f t="shared" si="33"/>
        <v>-1.25865340719617E-3</v>
      </c>
      <c r="BB109" s="29">
        <f t="shared" si="40"/>
        <v>5.4585836066293005E-4</v>
      </c>
      <c r="BC109" s="30">
        <f t="shared" si="41"/>
        <v>7.2562964698442665E-3</v>
      </c>
      <c r="BE109" s="30">
        <f t="shared" si="42"/>
        <v>5.4585836066293005E-4</v>
      </c>
      <c r="BF109" s="30">
        <f t="shared" si="43"/>
        <v>1.1246952561317244E-2</v>
      </c>
      <c r="BH109" s="30"/>
    </row>
    <row r="110" spans="1:60" x14ac:dyDescent="0.25">
      <c r="A110" s="1">
        <v>46182</v>
      </c>
      <c r="B110" s="34">
        <v>66.67</v>
      </c>
      <c r="C110" s="34">
        <v>95.67</v>
      </c>
      <c r="D110" s="16">
        <v>3.45579188487459E-3</v>
      </c>
      <c r="E110" s="16">
        <v>4.08484464303126E-3</v>
      </c>
      <c r="F110" s="34">
        <v>0</v>
      </c>
      <c r="G110" s="34">
        <v>1.6249</v>
      </c>
      <c r="H110" s="34">
        <v>0</v>
      </c>
      <c r="I110" s="34">
        <v>2.0900599999999998</v>
      </c>
      <c r="J110" s="34">
        <v>1.6249</v>
      </c>
      <c r="K110" s="34">
        <v>2.0900599999999998</v>
      </c>
      <c r="L110" s="34">
        <v>68.294899999999998</v>
      </c>
      <c r="M110" s="34">
        <v>97.760059999999996</v>
      </c>
      <c r="N110" s="35">
        <v>1.43497825108744</v>
      </c>
      <c r="O110" s="35">
        <v>1.43329336478799</v>
      </c>
      <c r="P110" s="35">
        <v>1.43466426056217</v>
      </c>
      <c r="Q110" s="35">
        <v>1.4343306601527299</v>
      </c>
      <c r="R110" s="34">
        <v>95.557668630415506</v>
      </c>
      <c r="S110" s="34">
        <v>95.650371773888907</v>
      </c>
      <c r="T110" s="34">
        <v>95.621043078332804</v>
      </c>
      <c r="U110" s="16">
        <v>-1.1748444491271901E-3</v>
      </c>
      <c r="V110" s="16">
        <v>-2.0518699601031499E-4</v>
      </c>
      <c r="W110" s="16">
        <v>-5.11857972524086E-4</v>
      </c>
      <c r="X110" s="35">
        <v>1.43144012217603</v>
      </c>
      <c r="Y110" s="35">
        <v>1.43040773636679</v>
      </c>
      <c r="Z110" s="35">
        <v>1.4313596629846801</v>
      </c>
      <c r="AA110" s="35">
        <v>1.4312752977482199</v>
      </c>
      <c r="AB110" s="34">
        <v>97.689553314396704</v>
      </c>
      <c r="AC110" s="34">
        <v>97.760836030173493</v>
      </c>
      <c r="AD110" s="34">
        <v>97.745518373082405</v>
      </c>
      <c r="AE110" s="16">
        <v>-7.2148199698176499E-4</v>
      </c>
      <c r="AF110" s="16">
        <v>7.9380791441733394E-6</v>
      </c>
      <c r="AG110" s="16">
        <v>-1.48759202324134E-4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9">
        <f t="shared" si="28"/>
        <v>0</v>
      </c>
      <c r="AP110" s="29">
        <f t="shared" si="29"/>
        <v>0</v>
      </c>
      <c r="AQ110" s="29">
        <f t="shared" si="36"/>
        <v>0</v>
      </c>
      <c r="AR110" s="30">
        <f t="shared" si="37"/>
        <v>3.990656091472978E-3</v>
      </c>
      <c r="AT110" s="12"/>
      <c r="AU110">
        <f t="shared" si="30"/>
        <v>0</v>
      </c>
      <c r="AV110">
        <f t="shared" si="31"/>
        <v>1</v>
      </c>
      <c r="AW110">
        <f t="shared" si="38"/>
        <v>1</v>
      </c>
      <c r="AX110">
        <f t="shared" si="25"/>
        <v>1</v>
      </c>
      <c r="AY110">
        <f t="shared" si="39"/>
        <v>1</v>
      </c>
      <c r="AZ110" s="29">
        <f t="shared" si="32"/>
        <v>-3.45579188487459E-3</v>
      </c>
      <c r="BA110" s="29">
        <f t="shared" si="33"/>
        <v>4.08484464303126E-3</v>
      </c>
      <c r="BB110" s="29">
        <f t="shared" si="40"/>
        <v>6.2905275815666999E-4</v>
      </c>
      <c r="BC110" s="30">
        <f t="shared" si="41"/>
        <v>7.8853492280009374E-3</v>
      </c>
      <c r="BE110" s="30">
        <f t="shared" si="42"/>
        <v>6.2905275815666999E-4</v>
      </c>
      <c r="BF110" s="30">
        <f t="shared" si="43"/>
        <v>1.1876005319473915E-2</v>
      </c>
      <c r="BH110" s="30"/>
    </row>
    <row r="111" spans="1:60" x14ac:dyDescent="0.25">
      <c r="A111" s="1">
        <v>46183</v>
      </c>
      <c r="B111" s="34">
        <v>66.44</v>
      </c>
      <c r="C111" s="34">
        <v>95.35</v>
      </c>
      <c r="D111" s="16">
        <v>-3.4557918848746099E-3</v>
      </c>
      <c r="E111" s="16">
        <v>-3.3504376436479699E-3</v>
      </c>
      <c r="F111" s="34">
        <v>0</v>
      </c>
      <c r="G111" s="34">
        <v>1.6249</v>
      </c>
      <c r="H111" s="34">
        <v>0</v>
      </c>
      <c r="I111" s="34">
        <v>2.0900599999999998</v>
      </c>
      <c r="J111" s="34">
        <v>1.6249</v>
      </c>
      <c r="K111" s="34">
        <v>2.0900599999999998</v>
      </c>
      <c r="L111" s="34">
        <v>68.064899999999994</v>
      </c>
      <c r="M111" s="34">
        <v>97.440059999999903</v>
      </c>
      <c r="N111" s="35">
        <v>1.4351294400963199</v>
      </c>
      <c r="O111" s="35">
        <v>1.43329336478799</v>
      </c>
      <c r="P111" s="35">
        <v>1.4346878937630101</v>
      </c>
      <c r="Q111" s="35">
        <v>1.43439749764587</v>
      </c>
      <c r="R111" s="34">
        <v>95.228011156514299</v>
      </c>
      <c r="S111" s="34">
        <v>95.319093471750705</v>
      </c>
      <c r="T111" s="34">
        <v>95.296929060547797</v>
      </c>
      <c r="U111" s="16">
        <v>-1.28019869035392E-3</v>
      </c>
      <c r="V111" s="16">
        <v>-3.2419022881151598E-4</v>
      </c>
      <c r="W111" s="16">
        <v>-5.5674582417328104E-4</v>
      </c>
      <c r="X111" s="35">
        <v>1.4315757460893901</v>
      </c>
      <c r="Y111" s="35">
        <v>1.43040773636679</v>
      </c>
      <c r="Z111" s="35">
        <v>1.4313079291297801</v>
      </c>
      <c r="AA111" s="35">
        <v>1.43130366340311</v>
      </c>
      <c r="AB111" s="34">
        <v>97.360559535032294</v>
      </c>
      <c r="AC111" s="34">
        <v>97.425352325086095</v>
      </c>
      <c r="AD111" s="34">
        <v>97.419610013702993</v>
      </c>
      <c r="AE111" s="16">
        <v>-8.1622398913422096E-4</v>
      </c>
      <c r="AF111" s="16">
        <v>-1.5095213425824099E-4</v>
      </c>
      <c r="AG111" s="16">
        <v>-2.0989449864735501E-4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9">
        <f t="shared" si="28"/>
        <v>0</v>
      </c>
      <c r="AP111" s="29">
        <f t="shared" si="29"/>
        <v>0</v>
      </c>
      <c r="AQ111" s="29">
        <f t="shared" si="36"/>
        <v>0</v>
      </c>
      <c r="AR111" s="30">
        <f t="shared" si="37"/>
        <v>3.990656091472978E-3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9">
        <f t="shared" si="32"/>
        <v>0</v>
      </c>
      <c r="BA111" s="29">
        <f t="shared" si="33"/>
        <v>0</v>
      </c>
      <c r="BB111" s="29">
        <f t="shared" si="40"/>
        <v>0</v>
      </c>
      <c r="BC111" s="30">
        <f t="shared" si="41"/>
        <v>7.8853492280009374E-3</v>
      </c>
      <c r="BE111" s="30">
        <f t="shared" si="42"/>
        <v>0</v>
      </c>
      <c r="BF111" s="30">
        <f t="shared" si="43"/>
        <v>1.1876005319473915E-2</v>
      </c>
      <c r="BH111" s="30"/>
    </row>
    <row r="112" spans="1:60" x14ac:dyDescent="0.25">
      <c r="A112" s="1">
        <v>46184</v>
      </c>
      <c r="B112" s="34">
        <v>67.069999999999993</v>
      </c>
      <c r="C112" s="34">
        <v>96.27</v>
      </c>
      <c r="D112" s="16">
        <v>9.4375653665516399E-3</v>
      </c>
      <c r="E112" s="16">
        <v>9.6024117434471597E-3</v>
      </c>
      <c r="F112" s="34">
        <v>0</v>
      </c>
      <c r="G112" s="34">
        <v>1.6249</v>
      </c>
      <c r="H112" s="34">
        <v>0</v>
      </c>
      <c r="I112" s="34">
        <v>2.0900599999999998</v>
      </c>
      <c r="J112" s="34">
        <v>1.6249</v>
      </c>
      <c r="K112" s="34">
        <v>2.0900599999999998</v>
      </c>
      <c r="L112" s="34">
        <v>68.694899999999905</v>
      </c>
      <c r="M112" s="34">
        <v>98.360059999999905</v>
      </c>
      <c r="N112" s="35">
        <v>1.4353660354853099</v>
      </c>
      <c r="O112" s="35">
        <v>1.43329336478799</v>
      </c>
      <c r="P112" s="35">
        <v>1.4347903044363</v>
      </c>
      <c r="Q112" s="35">
        <v>1.4344390726934</v>
      </c>
      <c r="R112" s="34">
        <v>96.130985976330706</v>
      </c>
      <c r="S112" s="34">
        <v>96.224517034685306</v>
      </c>
      <c r="T112" s="34">
        <v>96.205040167108507</v>
      </c>
      <c r="U112" s="16">
        <v>-1.4450450672493099E-3</v>
      </c>
      <c r="V112" s="16">
        <v>-4.7256375778066602E-4</v>
      </c>
      <c r="W112" s="16">
        <v>-6.74994901172422E-4</v>
      </c>
      <c r="X112" s="35">
        <v>1.43183933596234</v>
      </c>
      <c r="Y112" s="35">
        <v>1.43040773636679</v>
      </c>
      <c r="Z112" s="35">
        <v>1.4313358009680199</v>
      </c>
      <c r="AA112" s="35">
        <v>1.43130915772457</v>
      </c>
      <c r="AB112" s="34">
        <v>98.2617164089434</v>
      </c>
      <c r="AC112" s="34">
        <v>98.323555060777494</v>
      </c>
      <c r="AD112" s="34">
        <v>98.323262027110701</v>
      </c>
      <c r="AE112" s="16">
        <v>-1.00033273072205E-3</v>
      </c>
      <c r="AF112" s="16">
        <v>-3.7120468454266499E-4</v>
      </c>
      <c r="AG112" s="16">
        <v>-3.7418498873535098E-4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9">
        <f t="shared" si="28"/>
        <v>0</v>
      </c>
      <c r="AP112" s="29">
        <f t="shared" si="29"/>
        <v>0</v>
      </c>
      <c r="AQ112" s="29">
        <f t="shared" si="36"/>
        <v>0</v>
      </c>
      <c r="AR112" s="30">
        <f t="shared" si="37"/>
        <v>3.990656091472978E-3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9">
        <f t="shared" si="32"/>
        <v>0</v>
      </c>
      <c r="BA112" s="29">
        <f t="shared" si="33"/>
        <v>0</v>
      </c>
      <c r="BB112" s="29">
        <f t="shared" si="40"/>
        <v>0</v>
      </c>
      <c r="BC112" s="30">
        <f t="shared" si="41"/>
        <v>7.8853492280009374E-3</v>
      </c>
      <c r="BE112" s="30">
        <f t="shared" si="42"/>
        <v>0</v>
      </c>
      <c r="BF112" s="30">
        <f t="shared" si="43"/>
        <v>1.1876005319473915E-2</v>
      </c>
      <c r="BH112" s="30"/>
    </row>
    <row r="113" spans="1:60" x14ac:dyDescent="0.25">
      <c r="A113" s="1">
        <v>46185</v>
      </c>
      <c r="B113" s="34">
        <v>67.180000000000007</v>
      </c>
      <c r="C113" s="34">
        <v>96.36</v>
      </c>
      <c r="D113" s="16">
        <v>1.6387340725009701E-3</v>
      </c>
      <c r="E113" s="16">
        <v>9.3443395679540899E-4</v>
      </c>
      <c r="F113" s="34">
        <v>0</v>
      </c>
      <c r="G113" s="34">
        <v>1.6249</v>
      </c>
      <c r="H113" s="34">
        <v>0</v>
      </c>
      <c r="I113" s="34">
        <v>2.0900599999999998</v>
      </c>
      <c r="J113" s="34">
        <v>1.6249</v>
      </c>
      <c r="K113" s="34">
        <v>2.0900599999999998</v>
      </c>
      <c r="L113" s="34">
        <v>68.804900000000004</v>
      </c>
      <c r="M113" s="34">
        <v>98.450059999999993</v>
      </c>
      <c r="N113" s="35">
        <v>1.4343554629353901</v>
      </c>
      <c r="O113" s="35">
        <v>1.43329336478799</v>
      </c>
      <c r="P113" s="35">
        <v>1.4348355161573501</v>
      </c>
      <c r="Q113" s="35">
        <v>1.43444088727539</v>
      </c>
      <c r="R113" s="34">
        <v>96.288648246457399</v>
      </c>
      <c r="S113" s="34">
        <v>96.389212652030807</v>
      </c>
      <c r="T113" s="34">
        <v>96.365616903543199</v>
      </c>
      <c r="U113" s="16">
        <v>-7.4074495154373996E-4</v>
      </c>
      <c r="V113" s="16">
        <v>3.0311565845198999E-4</v>
      </c>
      <c r="W113" s="16">
        <v>5.8289122484780203E-5</v>
      </c>
      <c r="X113" s="35">
        <v>1.43085826736177</v>
      </c>
      <c r="Y113" s="35">
        <v>1.43040773636679</v>
      </c>
      <c r="Z113" s="35">
        <v>1.43130793962437</v>
      </c>
      <c r="AA113" s="35">
        <v>1.4312761390589701</v>
      </c>
      <c r="AB113" s="34">
        <v>98.419061259943803</v>
      </c>
      <c r="AC113" s="34">
        <v>98.4829166520245</v>
      </c>
      <c r="AD113" s="34">
        <v>98.481083466323597</v>
      </c>
      <c r="AE113" s="16">
        <v>-3.14917241606648E-4</v>
      </c>
      <c r="AF113" s="16">
        <v>3.3368360025825303E-4</v>
      </c>
      <c r="AG113" s="16">
        <v>3.1506917630428201E-4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9">
        <f t="shared" si="28"/>
        <v>0</v>
      </c>
      <c r="AP113" s="29">
        <f t="shared" si="29"/>
        <v>0</v>
      </c>
      <c r="AQ113" s="29">
        <f t="shared" si="36"/>
        <v>0</v>
      </c>
      <c r="AR113" s="30">
        <f t="shared" si="37"/>
        <v>3.990656091472978E-3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9">
        <f t="shared" si="32"/>
        <v>0</v>
      </c>
      <c r="BA113" s="29">
        <f t="shared" si="33"/>
        <v>0</v>
      </c>
      <c r="BB113" s="29">
        <f t="shared" si="40"/>
        <v>0</v>
      </c>
      <c r="BC113" s="30">
        <f t="shared" si="41"/>
        <v>7.8853492280009374E-3</v>
      </c>
      <c r="BE113" s="30">
        <f t="shared" si="42"/>
        <v>0</v>
      </c>
      <c r="BF113" s="30">
        <f t="shared" si="43"/>
        <v>1.1876005319473915E-2</v>
      </c>
      <c r="BH113" s="30"/>
    </row>
    <row r="114" spans="1:60" x14ac:dyDescent="0.25">
      <c r="A114" s="1">
        <v>46188</v>
      </c>
      <c r="B114" s="34">
        <v>67.37</v>
      </c>
      <c r="C114" s="34">
        <v>96.71</v>
      </c>
      <c r="D114" s="16">
        <v>2.82423078842168E-3</v>
      </c>
      <c r="E114" s="16">
        <v>3.6256319822012698E-3</v>
      </c>
      <c r="F114" s="34">
        <v>0</v>
      </c>
      <c r="G114" s="34">
        <v>1.6249</v>
      </c>
      <c r="H114" s="34">
        <v>0</v>
      </c>
      <c r="I114" s="34">
        <v>2.0900599999999998</v>
      </c>
      <c r="J114" s="34">
        <v>1.6249</v>
      </c>
      <c r="K114" s="34">
        <v>2.0900599999999998</v>
      </c>
      <c r="L114" s="34">
        <v>68.994900000000001</v>
      </c>
      <c r="M114" s="34">
        <v>98.800059999999903</v>
      </c>
      <c r="N114" s="35">
        <v>1.4355054178417599</v>
      </c>
      <c r="O114" s="35">
        <v>1.43329336478799</v>
      </c>
      <c r="P114" s="35">
        <v>1.4348089680656499</v>
      </c>
      <c r="Q114" s="35">
        <v>1.4346180329784901</v>
      </c>
      <c r="R114" s="34">
        <v>96.560973985767106</v>
      </c>
      <c r="S114" s="34">
        <v>96.664868723520797</v>
      </c>
      <c r="T114" s="34">
        <v>96.638282575743602</v>
      </c>
      <c r="U114" s="16">
        <v>-1.54214614532312E-3</v>
      </c>
      <c r="V114" s="16">
        <v>-4.6677500128602598E-4</v>
      </c>
      <c r="W114" s="16">
        <v>-7.4184706054800998E-4</v>
      </c>
      <c r="X114" s="35">
        <v>1.4319907703322901</v>
      </c>
      <c r="Y114" s="35">
        <v>1.43040773636679</v>
      </c>
      <c r="Z114" s="35">
        <v>1.4312845869584601</v>
      </c>
      <c r="AA114" s="35">
        <v>1.4314162730149</v>
      </c>
      <c r="AB114" s="34">
        <v>98.690838729853496</v>
      </c>
      <c r="AC114" s="34">
        <v>98.752948163590005</v>
      </c>
      <c r="AD114" s="34">
        <v>98.750754086760097</v>
      </c>
      <c r="AE114" s="16">
        <v>-1.10608926268842E-3</v>
      </c>
      <c r="AF114" s="16">
        <v>-4.7695388433663198E-4</v>
      </c>
      <c r="AG114" s="16">
        <v>-4.9917196739084101E-4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9">
        <f t="shared" si="28"/>
        <v>0</v>
      </c>
      <c r="AP114" s="29">
        <f t="shared" si="29"/>
        <v>0</v>
      </c>
      <c r="AQ114" s="29">
        <f t="shared" si="36"/>
        <v>0</v>
      </c>
      <c r="AR114" s="30">
        <f t="shared" si="37"/>
        <v>3.990656091472978E-3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9">
        <f t="shared" si="32"/>
        <v>0</v>
      </c>
      <c r="BA114" s="29">
        <f t="shared" si="33"/>
        <v>0</v>
      </c>
      <c r="BB114" s="29">
        <f t="shared" si="40"/>
        <v>0</v>
      </c>
      <c r="BC114" s="30">
        <f t="shared" si="41"/>
        <v>7.8853492280009374E-3</v>
      </c>
      <c r="BE114" s="30">
        <f t="shared" si="42"/>
        <v>0</v>
      </c>
      <c r="BF114" s="30">
        <f t="shared" si="43"/>
        <v>1.1876005319473915E-2</v>
      </c>
      <c r="BH114" s="30"/>
    </row>
    <row r="115" spans="1:60" x14ac:dyDescent="0.25">
      <c r="A115" s="1">
        <v>46189</v>
      </c>
      <c r="B115" s="34">
        <v>67.39</v>
      </c>
      <c r="C115" s="34">
        <v>96.67</v>
      </c>
      <c r="D115" s="16">
        <v>2.96823985557006E-4</v>
      </c>
      <c r="E115" s="16">
        <v>-4.1369325235774502E-4</v>
      </c>
      <c r="F115" s="34">
        <v>0</v>
      </c>
      <c r="G115" s="34">
        <v>1.6249</v>
      </c>
      <c r="H115" s="34">
        <v>0</v>
      </c>
      <c r="I115" s="34">
        <v>2.0900599999999998</v>
      </c>
      <c r="J115" s="34">
        <v>1.6249</v>
      </c>
      <c r="K115" s="34">
        <v>2.0900599999999998</v>
      </c>
      <c r="L115" s="34">
        <v>69.014899999999997</v>
      </c>
      <c r="M115" s="34">
        <v>98.760059999999996</v>
      </c>
      <c r="N115" s="35">
        <v>1.43448582875797</v>
      </c>
      <c r="O115" s="35">
        <v>1.43329336478799</v>
      </c>
      <c r="P115" s="35">
        <v>1.4346716320870301</v>
      </c>
      <c r="Q115" s="35">
        <v>1.43470392344728</v>
      </c>
      <c r="R115" s="34">
        <v>96.589639853062906</v>
      </c>
      <c r="S115" s="34">
        <v>96.691776357944207</v>
      </c>
      <c r="T115" s="34">
        <v>96.678909242420701</v>
      </c>
      <c r="U115" s="16">
        <v>-8.3162890740826696E-4</v>
      </c>
      <c r="V115" s="16">
        <v>2.2523953230527699E-4</v>
      </c>
      <c r="W115" s="16">
        <v>9.2157152186182796E-5</v>
      </c>
      <c r="X115" s="35">
        <v>1.43099620516729</v>
      </c>
      <c r="Y115" s="35">
        <v>1.43040773636679</v>
      </c>
      <c r="Z115" s="35">
        <v>1.4311522796634499</v>
      </c>
      <c r="AA115" s="35">
        <v>1.43146738995815</v>
      </c>
      <c r="AB115" s="34">
        <v>98.719446884580805</v>
      </c>
      <c r="AC115" s="34">
        <v>98.779962640479596</v>
      </c>
      <c r="AD115" s="34">
        <v>98.789050940496296</v>
      </c>
      <c r="AE115" s="16">
        <v>-4.1131473976646399E-4</v>
      </c>
      <c r="AF115" s="16">
        <v>2.0150489284146301E-4</v>
      </c>
      <c r="AG115" s="16">
        <v>2.9350616225471598E-4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9">
        <f t="shared" si="28"/>
        <v>0</v>
      </c>
      <c r="AP115" s="29">
        <f t="shared" si="29"/>
        <v>0</v>
      </c>
      <c r="AQ115" s="29">
        <f t="shared" si="36"/>
        <v>0</v>
      </c>
      <c r="AR115" s="30">
        <f t="shared" si="37"/>
        <v>3.990656091472978E-3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9">
        <f t="shared" si="32"/>
        <v>0</v>
      </c>
      <c r="BA115" s="29">
        <f t="shared" si="33"/>
        <v>0</v>
      </c>
      <c r="BB115" s="29">
        <f t="shared" si="40"/>
        <v>0</v>
      </c>
      <c r="BC115" s="30">
        <f t="shared" si="41"/>
        <v>7.8853492280009374E-3</v>
      </c>
      <c r="BE115" s="30">
        <f t="shared" si="42"/>
        <v>0</v>
      </c>
      <c r="BF115" s="30">
        <f t="shared" si="43"/>
        <v>1.1876005319473915E-2</v>
      </c>
      <c r="BH115" s="30"/>
    </row>
    <row r="116" spans="1:60" x14ac:dyDescent="0.25">
      <c r="A116" s="1">
        <v>46190</v>
      </c>
      <c r="B116" s="34">
        <v>67.12</v>
      </c>
      <c r="C116" s="34">
        <v>96.28</v>
      </c>
      <c r="D116" s="16">
        <v>-4.0145767991748797E-3</v>
      </c>
      <c r="E116" s="16">
        <v>-4.0425035616428696E-3</v>
      </c>
      <c r="F116" s="34">
        <v>0</v>
      </c>
      <c r="G116" s="34">
        <v>1.6249</v>
      </c>
      <c r="H116" s="34">
        <v>0</v>
      </c>
      <c r="I116" s="34">
        <v>2.0900599999999998</v>
      </c>
      <c r="J116" s="34">
        <v>1.6249</v>
      </c>
      <c r="K116" s="34">
        <v>2.0900599999999998</v>
      </c>
      <c r="L116" s="34">
        <v>68.744900000000001</v>
      </c>
      <c r="M116" s="34">
        <v>98.370059999999995</v>
      </c>
      <c r="N116" s="35">
        <v>1.43444576877234</v>
      </c>
      <c r="O116" s="35">
        <v>1.43329336478799</v>
      </c>
      <c r="P116" s="35">
        <v>1.43461778011494</v>
      </c>
      <c r="Q116" s="35">
        <v>1.4347532080836101</v>
      </c>
      <c r="R116" s="34">
        <v>96.202650644570099</v>
      </c>
      <c r="S116" s="34">
        <v>96.295159945681704</v>
      </c>
      <c r="T116" s="34">
        <v>96.297327341781696</v>
      </c>
      <c r="U116" s="16">
        <v>-8.0370214494041904E-4</v>
      </c>
      <c r="V116" s="16">
        <v>1.5744445667124099E-4</v>
      </c>
      <c r="W116" s="16">
        <v>1.7995204386349599E-4</v>
      </c>
      <c r="X116" s="35">
        <v>1.4309433863457499</v>
      </c>
      <c r="Y116" s="35">
        <v>1.43040773636679</v>
      </c>
      <c r="Z116" s="35">
        <v>1.4311011897019701</v>
      </c>
      <c r="AA116" s="35">
        <v>1.43148254126064</v>
      </c>
      <c r="AB116" s="34">
        <v>98.333236795761806</v>
      </c>
      <c r="AC116" s="34">
        <v>98.384420350236397</v>
      </c>
      <c r="AD116" s="34">
        <v>98.406082575933993</v>
      </c>
      <c r="AE116" s="16">
        <v>-3.7440353332321002E-4</v>
      </c>
      <c r="AF116" s="16">
        <v>1.4597228217014699E-4</v>
      </c>
      <c r="AG116" s="16">
        <v>3.66127477293774E-4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9">
        <f t="shared" si="28"/>
        <v>0</v>
      </c>
      <c r="AP116" s="29">
        <f t="shared" si="29"/>
        <v>0</v>
      </c>
      <c r="AQ116" s="29">
        <f t="shared" si="36"/>
        <v>0</v>
      </c>
      <c r="AR116" s="30">
        <f t="shared" si="37"/>
        <v>3.990656091472978E-3</v>
      </c>
      <c r="AT116" s="12"/>
      <c r="AU116">
        <f t="shared" si="30"/>
        <v>0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9">
        <f t="shared" si="32"/>
        <v>0</v>
      </c>
      <c r="BA116" s="29">
        <f t="shared" si="33"/>
        <v>0</v>
      </c>
      <c r="BB116" s="29">
        <f t="shared" si="40"/>
        <v>0</v>
      </c>
      <c r="BC116" s="30">
        <f t="shared" si="41"/>
        <v>7.8853492280009374E-3</v>
      </c>
      <c r="BE116" s="30">
        <f t="shared" si="42"/>
        <v>0</v>
      </c>
      <c r="BF116" s="30">
        <f t="shared" si="43"/>
        <v>1.1876005319473915E-2</v>
      </c>
      <c r="BH116" s="30"/>
    </row>
    <row r="117" spans="1:60" x14ac:dyDescent="0.25">
      <c r="A117" s="1">
        <v>46191</v>
      </c>
      <c r="B117" s="34">
        <v>67.44</v>
      </c>
      <c r="C117" s="34">
        <v>96.73</v>
      </c>
      <c r="D117" s="16">
        <v>4.7562515346492697E-3</v>
      </c>
      <c r="E117" s="16">
        <v>4.6629792795844002E-3</v>
      </c>
      <c r="F117" s="34">
        <v>0</v>
      </c>
      <c r="G117" s="34">
        <v>1.6249</v>
      </c>
      <c r="H117" s="34">
        <v>0</v>
      </c>
      <c r="I117" s="34">
        <v>2.0900599999999998</v>
      </c>
      <c r="J117" s="34">
        <v>1.6249</v>
      </c>
      <c r="K117" s="34">
        <v>2.0900599999999998</v>
      </c>
      <c r="L117" s="34">
        <v>69.064899999999994</v>
      </c>
      <c r="M117" s="34">
        <v>98.820059999999998</v>
      </c>
      <c r="N117" s="35">
        <v>1.4343119810201601</v>
      </c>
      <c r="O117" s="35">
        <v>1.43329336478799</v>
      </c>
      <c r="P117" s="35">
        <v>1.43459473131444</v>
      </c>
      <c r="Q117" s="35">
        <v>1.43475529852175</v>
      </c>
      <c r="R117" s="34">
        <v>96.661304521302299</v>
      </c>
      <c r="S117" s="34">
        <v>96.750623090952104</v>
      </c>
      <c r="T117" s="34">
        <v>96.759756353159304</v>
      </c>
      <c r="U117" s="16">
        <v>-7.1042988987559698E-4</v>
      </c>
      <c r="V117" s="16">
        <v>2.13179911257289E-4</v>
      </c>
      <c r="W117" s="16">
        <v>3.07575490865631E-4</v>
      </c>
      <c r="X117" s="35">
        <v>1.43082897390715</v>
      </c>
      <c r="Y117" s="35">
        <v>1.43040773636679</v>
      </c>
      <c r="Z117" s="35">
        <v>1.43108097100566</v>
      </c>
      <c r="AA117" s="35">
        <v>1.43145135266826</v>
      </c>
      <c r="AB117" s="34">
        <v>98.790967271399097</v>
      </c>
      <c r="AC117" s="34">
        <v>98.8388605566482</v>
      </c>
      <c r="AD117" s="34">
        <v>98.865198563912202</v>
      </c>
      <c r="AE117" s="16">
        <v>-2.9444438615310303E-4</v>
      </c>
      <c r="AF117" s="16">
        <v>1.9023231182239899E-4</v>
      </c>
      <c r="AG117" s="16">
        <v>4.5667102367312397E-4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9">
        <f t="shared" si="28"/>
        <v>0</v>
      </c>
      <c r="AP117" s="29">
        <f t="shared" si="29"/>
        <v>0</v>
      </c>
      <c r="AQ117" s="29">
        <f t="shared" si="36"/>
        <v>0</v>
      </c>
      <c r="AR117" s="30">
        <f t="shared" si="37"/>
        <v>3.990656091472978E-3</v>
      </c>
      <c r="AT117" s="12"/>
      <c r="AU117">
        <f t="shared" si="30"/>
        <v>0</v>
      </c>
      <c r="AV117">
        <f t="shared" si="31"/>
        <v>0</v>
      </c>
      <c r="AW117">
        <f t="shared" si="38"/>
        <v>0</v>
      </c>
      <c r="AX117">
        <f t="shared" si="25"/>
        <v>1</v>
      </c>
      <c r="AY117">
        <f t="shared" si="39"/>
        <v>0</v>
      </c>
      <c r="AZ117" s="29">
        <f t="shared" si="32"/>
        <v>0</v>
      </c>
      <c r="BA117" s="29">
        <f t="shared" si="33"/>
        <v>0</v>
      </c>
      <c r="BB117" s="29">
        <f t="shared" si="40"/>
        <v>0</v>
      </c>
      <c r="BC117" s="30">
        <f t="shared" si="41"/>
        <v>7.8853492280009374E-3</v>
      </c>
      <c r="BE117" s="30">
        <f t="shared" si="42"/>
        <v>0</v>
      </c>
      <c r="BF117" s="30">
        <f t="shared" si="43"/>
        <v>1.1876005319473915E-2</v>
      </c>
      <c r="BH117" s="30"/>
    </row>
    <row r="118" spans="1:60" x14ac:dyDescent="0.25">
      <c r="A118" s="1">
        <v>46195</v>
      </c>
      <c r="B118" s="34">
        <v>67.19</v>
      </c>
      <c r="C118" s="34">
        <v>96.4</v>
      </c>
      <c r="D118" s="16">
        <v>-3.7138867615413899E-3</v>
      </c>
      <c r="E118" s="16">
        <v>-3.4173905779556601E-3</v>
      </c>
      <c r="F118" s="34">
        <v>0</v>
      </c>
      <c r="G118" s="34">
        <v>1.6249</v>
      </c>
      <c r="H118" s="34">
        <v>0</v>
      </c>
      <c r="I118" s="34">
        <v>2.0900599999999998</v>
      </c>
      <c r="J118" s="34">
        <v>1.6249</v>
      </c>
      <c r="K118" s="34">
        <v>2.0900599999999998</v>
      </c>
      <c r="L118" s="34">
        <v>68.814899999999994</v>
      </c>
      <c r="M118" s="34">
        <v>98.49006</v>
      </c>
      <c r="N118" s="35">
        <v>1.43473731210001</v>
      </c>
      <c r="O118" s="35">
        <v>1.43329336478799</v>
      </c>
      <c r="P118" s="35">
        <v>1.4347391356013599</v>
      </c>
      <c r="Q118" s="35">
        <v>1.43476911972929</v>
      </c>
      <c r="R118" s="34">
        <v>96.302981180105206</v>
      </c>
      <c r="S118" s="34">
        <v>96.390419997017403</v>
      </c>
      <c r="T118" s="34">
        <v>96.4012085076766</v>
      </c>
      <c r="U118" s="16">
        <v>-1.0069260734614201E-3</v>
      </c>
      <c r="V118" s="16">
        <v>-9.9382562583956707E-5</v>
      </c>
      <c r="W118" s="16">
        <v>1.25363081073508E-5</v>
      </c>
      <c r="X118" s="35">
        <v>1.43123160827088</v>
      </c>
      <c r="Y118" s="35">
        <v>1.43040773636679</v>
      </c>
      <c r="Z118" s="35">
        <v>1.4312251731483501</v>
      </c>
      <c r="AA118" s="35">
        <v>1.43143086099106</v>
      </c>
      <c r="AB118" s="34">
        <v>98.433365337307393</v>
      </c>
      <c r="AC118" s="34">
        <v>98.479693911657606</v>
      </c>
      <c r="AD118" s="34">
        <v>98.505181688731597</v>
      </c>
      <c r="AE118" s="16">
        <v>-5.7580416511477501E-4</v>
      </c>
      <c r="AF118" s="16">
        <v>-1.05255635914222E-4</v>
      </c>
      <c r="AG118" s="16">
        <v>1.5352339103906799E-4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9">
        <f t="shared" si="28"/>
        <v>0</v>
      </c>
      <c r="AP118" s="29">
        <f t="shared" si="29"/>
        <v>0</v>
      </c>
      <c r="AQ118" s="29">
        <f t="shared" si="36"/>
        <v>0</v>
      </c>
      <c r="AR118" s="30">
        <f t="shared" si="37"/>
        <v>3.990656091472978E-3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9">
        <f t="shared" si="32"/>
        <v>0</v>
      </c>
      <c r="BA118" s="29">
        <f t="shared" si="33"/>
        <v>0</v>
      </c>
      <c r="BB118" s="29">
        <f t="shared" si="40"/>
        <v>0</v>
      </c>
      <c r="BC118" s="30">
        <f t="shared" si="41"/>
        <v>7.8853492280009374E-3</v>
      </c>
      <c r="BE118" s="30">
        <f t="shared" si="42"/>
        <v>0</v>
      </c>
      <c r="BF118" s="30">
        <f t="shared" si="43"/>
        <v>1.1876005319473915E-2</v>
      </c>
      <c r="BH118" s="30"/>
    </row>
    <row r="119" spans="1:60" x14ac:dyDescent="0.25">
      <c r="A119" s="1">
        <v>46196</v>
      </c>
      <c r="B119" s="34">
        <v>67.08</v>
      </c>
      <c r="C119" s="34">
        <v>96.26</v>
      </c>
      <c r="D119" s="16">
        <v>-1.6384899770504899E-3</v>
      </c>
      <c r="E119" s="16">
        <v>-1.45333774153661E-3</v>
      </c>
      <c r="F119" s="34">
        <v>0</v>
      </c>
      <c r="G119" s="34">
        <v>1.6249</v>
      </c>
      <c r="H119" s="34">
        <v>0</v>
      </c>
      <c r="I119" s="34">
        <v>2.0900599999999998</v>
      </c>
      <c r="J119" s="34">
        <v>1.6249</v>
      </c>
      <c r="K119" s="34">
        <v>2.0900599999999998</v>
      </c>
      <c r="L119" s="34">
        <v>68.704899999999995</v>
      </c>
      <c r="M119" s="34">
        <v>98.350059999999999</v>
      </c>
      <c r="N119" s="35">
        <v>1.4350029815145999</v>
      </c>
      <c r="O119" s="35">
        <v>1.43329336478799</v>
      </c>
      <c r="P119" s="35">
        <v>1.4348318479611299</v>
      </c>
      <c r="Q119" s="35">
        <v>1.43475784518867</v>
      </c>
      <c r="R119" s="34">
        <v>96.145318909978599</v>
      </c>
      <c r="S119" s="34">
        <v>96.242301216139694</v>
      </c>
      <c r="T119" s="34">
        <v>96.244312551440899</v>
      </c>
      <c r="U119" s="16">
        <v>-1.19207830897525E-3</v>
      </c>
      <c r="V119" s="16">
        <v>-1.8388127101151799E-4</v>
      </c>
      <c r="W119" s="16">
        <v>-1.6298282761470899E-4</v>
      </c>
      <c r="X119" s="35">
        <v>1.4314853816831099</v>
      </c>
      <c r="Y119" s="35">
        <v>1.43040773636679</v>
      </c>
      <c r="Z119" s="35">
        <v>1.4313189797296</v>
      </c>
      <c r="AA119" s="35">
        <v>1.43138523241785</v>
      </c>
      <c r="AB119" s="34">
        <v>98.276020486307104</v>
      </c>
      <c r="AC119" s="34">
        <v>98.3321823986401</v>
      </c>
      <c r="AD119" s="34">
        <v>98.346314161304804</v>
      </c>
      <c r="AE119" s="16">
        <v>-7.5309966011726599E-4</v>
      </c>
      <c r="AF119" s="16">
        <v>-1.8179171836835899E-4</v>
      </c>
      <c r="AG119" s="16">
        <v>-3.8087521558286803E-5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9">
        <f t="shared" si="28"/>
        <v>0</v>
      </c>
      <c r="AP119" s="29">
        <f t="shared" si="29"/>
        <v>0</v>
      </c>
      <c r="AQ119" s="29">
        <f t="shared" si="36"/>
        <v>0</v>
      </c>
      <c r="AR119" s="30">
        <f t="shared" si="37"/>
        <v>3.990656091472978E-3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9">
        <f t="shared" si="32"/>
        <v>0</v>
      </c>
      <c r="BA119" s="29">
        <f t="shared" si="33"/>
        <v>0</v>
      </c>
      <c r="BB119" s="29">
        <f t="shared" si="40"/>
        <v>0</v>
      </c>
      <c r="BC119" s="30">
        <f t="shared" si="41"/>
        <v>7.8853492280009374E-3</v>
      </c>
      <c r="BE119" s="30">
        <f t="shared" si="42"/>
        <v>0</v>
      </c>
      <c r="BF119" s="30">
        <f t="shared" si="43"/>
        <v>1.1876005319473915E-2</v>
      </c>
      <c r="BH119" s="30"/>
    </row>
    <row r="120" spans="1:60" x14ac:dyDescent="0.25">
      <c r="A120" s="1">
        <v>46197</v>
      </c>
      <c r="B120" s="34">
        <v>67.290000000000006</v>
      </c>
      <c r="C120" s="34">
        <v>96.57</v>
      </c>
      <c r="D120" s="16">
        <v>3.1257002452186899E-3</v>
      </c>
      <c r="E120" s="16">
        <v>3.2152701038630199E-3</v>
      </c>
      <c r="F120" s="34">
        <v>0</v>
      </c>
      <c r="G120" s="34">
        <v>1.6249</v>
      </c>
      <c r="H120" s="34">
        <v>0</v>
      </c>
      <c r="I120" s="34">
        <v>2.0900599999999998</v>
      </c>
      <c r="J120" s="34">
        <v>1.6249</v>
      </c>
      <c r="K120" s="34">
        <v>2.0900599999999998</v>
      </c>
      <c r="L120" s="34">
        <v>68.914900000000003</v>
      </c>
      <c r="M120" s="34">
        <v>98.660059999999902</v>
      </c>
      <c r="N120" s="35">
        <v>1.4351315202853301</v>
      </c>
      <c r="O120" s="35">
        <v>1.43329336478799</v>
      </c>
      <c r="P120" s="35">
        <v>1.43484717488092</v>
      </c>
      <c r="Q120" s="35">
        <v>1.43475571772154</v>
      </c>
      <c r="R120" s="34">
        <v>96.446310516584106</v>
      </c>
      <c r="S120" s="34">
        <v>96.549835049304903</v>
      </c>
      <c r="T120" s="34">
        <v>96.544855402745895</v>
      </c>
      <c r="U120" s="16">
        <v>-1.2816481676196901E-3</v>
      </c>
      <c r="V120" s="16">
        <v>-2.0883355418383501E-4</v>
      </c>
      <c r="W120" s="16">
        <v>-2.6041080416848802E-4</v>
      </c>
      <c r="X120" s="35">
        <v>1.43162160867969</v>
      </c>
      <c r="Y120" s="35">
        <v>1.43040773636679</v>
      </c>
      <c r="Z120" s="35">
        <v>1.4313371283799601</v>
      </c>
      <c r="AA120" s="35">
        <v>1.4313483956823201</v>
      </c>
      <c r="AB120" s="34">
        <v>98.576406110944106</v>
      </c>
      <c r="AC120" s="34">
        <v>98.639204356167596</v>
      </c>
      <c r="AD120" s="34">
        <v>98.643770153553405</v>
      </c>
      <c r="AE120" s="16">
        <v>-8.4825991583941599E-4</v>
      </c>
      <c r="AF120" s="16">
        <v>-2.1141126884638301E-4</v>
      </c>
      <c r="AG120" s="16">
        <v>-1.65124483096394E-4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9">
        <f t="shared" si="28"/>
        <v>0</v>
      </c>
      <c r="AP120" s="29">
        <f t="shared" si="29"/>
        <v>0</v>
      </c>
      <c r="AQ120" s="29">
        <f t="shared" si="36"/>
        <v>0</v>
      </c>
      <c r="AR120" s="30">
        <f t="shared" si="37"/>
        <v>3.990656091472978E-3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9">
        <f t="shared" si="32"/>
        <v>0</v>
      </c>
      <c r="BA120" s="29">
        <f t="shared" si="33"/>
        <v>0</v>
      </c>
      <c r="BB120" s="29">
        <f t="shared" si="40"/>
        <v>0</v>
      </c>
      <c r="BC120" s="30">
        <f t="shared" si="41"/>
        <v>7.8853492280009374E-3</v>
      </c>
      <c r="BE120" s="30">
        <f t="shared" si="42"/>
        <v>0</v>
      </c>
      <c r="BF120" s="30">
        <f t="shared" si="43"/>
        <v>1.1876005319473915E-2</v>
      </c>
      <c r="BH120" s="30"/>
    </row>
    <row r="121" spans="1:60" x14ac:dyDescent="0.25">
      <c r="A121" s="1">
        <v>46198</v>
      </c>
      <c r="B121" s="34">
        <v>67.290000000000006</v>
      </c>
      <c r="C121" s="34">
        <v>96.56</v>
      </c>
      <c r="D121" s="16">
        <v>0</v>
      </c>
      <c r="E121" s="16">
        <v>-1.03557189550284E-4</v>
      </c>
      <c r="F121" s="34">
        <v>0</v>
      </c>
      <c r="G121" s="34">
        <v>1.6249</v>
      </c>
      <c r="H121" s="34">
        <v>0</v>
      </c>
      <c r="I121" s="34">
        <v>2.0900599999999998</v>
      </c>
      <c r="J121" s="34">
        <v>1.6249</v>
      </c>
      <c r="K121" s="34">
        <v>2.0900599999999998</v>
      </c>
      <c r="L121" s="34">
        <v>68.914900000000003</v>
      </c>
      <c r="M121" s="34">
        <v>98.650059999999996</v>
      </c>
      <c r="N121" s="35">
        <v>1.4349829097934299</v>
      </c>
      <c r="O121" s="35">
        <v>1.43329336478799</v>
      </c>
      <c r="P121" s="35">
        <v>1.4348325218506299</v>
      </c>
      <c r="Q121" s="35">
        <v>1.43476020780682</v>
      </c>
      <c r="R121" s="34">
        <v>96.446310516584106</v>
      </c>
      <c r="S121" s="34">
        <v>96.550866397737394</v>
      </c>
      <c r="T121" s="34">
        <v>96.544712245482998</v>
      </c>
      <c r="U121" s="16">
        <v>-1.17809097806928E-3</v>
      </c>
      <c r="V121" s="16">
        <v>-9.4594389634400505E-5</v>
      </c>
      <c r="W121" s="16">
        <v>-1.5833642142802699E-4</v>
      </c>
      <c r="X121" s="35">
        <v>1.4314765021787701</v>
      </c>
      <c r="Y121" s="35">
        <v>1.43040773636679</v>
      </c>
      <c r="Z121" s="35">
        <v>1.4313272039889</v>
      </c>
      <c r="AA121" s="35">
        <v>1.4313175665593401</v>
      </c>
      <c r="AB121" s="34">
        <v>98.576406110944106</v>
      </c>
      <c r="AC121" s="34">
        <v>98.640455068592701</v>
      </c>
      <c r="AD121" s="34">
        <v>98.641231553607895</v>
      </c>
      <c r="AE121" s="16">
        <v>-7.4689664051887799E-4</v>
      </c>
      <c r="AF121" s="16">
        <v>-9.7368405282790706E-5</v>
      </c>
      <c r="AG121" s="16">
        <v>-8.9496564480135403E-5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9">
        <f t="shared" si="28"/>
        <v>0</v>
      </c>
      <c r="AP121" s="29">
        <f t="shared" si="29"/>
        <v>0</v>
      </c>
      <c r="AQ121" s="29">
        <f t="shared" si="36"/>
        <v>0</v>
      </c>
      <c r="AR121" s="30">
        <f t="shared" si="37"/>
        <v>3.990656091472978E-3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9">
        <f t="shared" si="32"/>
        <v>0</v>
      </c>
      <c r="BA121" s="29">
        <f t="shared" si="33"/>
        <v>0</v>
      </c>
      <c r="BB121" s="29">
        <f t="shared" si="40"/>
        <v>0</v>
      </c>
      <c r="BC121" s="30">
        <f t="shared" si="41"/>
        <v>7.8853492280009374E-3</v>
      </c>
      <c r="BE121" s="30">
        <f t="shared" si="42"/>
        <v>0</v>
      </c>
      <c r="BF121" s="30">
        <f t="shared" si="43"/>
        <v>1.1876005319473915E-2</v>
      </c>
      <c r="BH121" s="30"/>
    </row>
    <row r="122" spans="1:60" x14ac:dyDescent="0.25">
      <c r="A122" s="1">
        <v>46199</v>
      </c>
      <c r="B122" s="34">
        <v>67.239999999999995</v>
      </c>
      <c r="C122" s="34">
        <v>96.54</v>
      </c>
      <c r="D122" s="16">
        <v>-7.4332865981193103E-4</v>
      </c>
      <c r="E122" s="16">
        <v>-2.0714655692913401E-4</v>
      </c>
      <c r="F122" s="34">
        <v>0</v>
      </c>
      <c r="G122" s="34">
        <v>1.6249</v>
      </c>
      <c r="H122" s="34">
        <v>0</v>
      </c>
      <c r="I122" s="34">
        <v>2.0900599999999998</v>
      </c>
      <c r="J122" s="34">
        <v>1.6249</v>
      </c>
      <c r="K122" s="34">
        <v>2.0900599999999998</v>
      </c>
      <c r="L122" s="34">
        <v>68.864899999999906</v>
      </c>
      <c r="M122" s="34">
        <v>98.63006</v>
      </c>
      <c r="N122" s="35">
        <v>1.4357525282569901</v>
      </c>
      <c r="O122" s="35">
        <v>1.43329336478799</v>
      </c>
      <c r="P122" s="35">
        <v>1.4348711711277999</v>
      </c>
      <c r="Q122" s="35">
        <v>1.4348307377820499</v>
      </c>
      <c r="R122" s="34">
        <v>96.374645848344699</v>
      </c>
      <c r="S122" s="34">
        <v>96.478138769236693</v>
      </c>
      <c r="T122" s="34">
        <v>96.473276372930897</v>
      </c>
      <c r="U122" s="16">
        <v>-1.71427308095198E-3</v>
      </c>
      <c r="V122" s="16">
        <v>-6.4098880318474104E-4</v>
      </c>
      <c r="W122" s="16">
        <v>-6.9138901717925502E-4</v>
      </c>
      <c r="X122" s="35">
        <v>1.4322254152695999</v>
      </c>
      <c r="Y122" s="35">
        <v>1.43040773636679</v>
      </c>
      <c r="Z122" s="35">
        <v>1.43136581191963</v>
      </c>
      <c r="AA122" s="35">
        <v>1.4313508064438201</v>
      </c>
      <c r="AB122" s="34">
        <v>98.504885724125799</v>
      </c>
      <c r="AC122" s="34">
        <v>98.568204769975594</v>
      </c>
      <c r="AD122" s="34">
        <v>98.567541089352602</v>
      </c>
      <c r="AE122" s="16">
        <v>-1.26993509179348E-3</v>
      </c>
      <c r="AF122" s="16">
        <v>-6.2734053086213495E-4</v>
      </c>
      <c r="AG122" s="16">
        <v>-6.3407376556973497E-4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9">
        <f t="shared" si="28"/>
        <v>0</v>
      </c>
      <c r="AP122" s="29">
        <f t="shared" si="29"/>
        <v>0</v>
      </c>
      <c r="AQ122" s="29">
        <f t="shared" si="36"/>
        <v>0</v>
      </c>
      <c r="AR122" s="30">
        <f t="shared" si="37"/>
        <v>3.990656091472978E-3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9">
        <f t="shared" si="32"/>
        <v>0</v>
      </c>
      <c r="BA122" s="29">
        <f t="shared" si="33"/>
        <v>0</v>
      </c>
      <c r="BB122" s="29">
        <f t="shared" si="40"/>
        <v>0</v>
      </c>
      <c r="BC122" s="30">
        <f t="shared" si="41"/>
        <v>7.8853492280009374E-3</v>
      </c>
      <c r="BE122" s="30">
        <f t="shared" si="42"/>
        <v>0</v>
      </c>
      <c r="BF122" s="30">
        <f t="shared" si="43"/>
        <v>1.1876005319473915E-2</v>
      </c>
      <c r="BH122" s="30"/>
    </row>
    <row r="123" spans="1:60" x14ac:dyDescent="0.25">
      <c r="A123" s="1">
        <v>46202</v>
      </c>
      <c r="B123" s="34">
        <v>67.48</v>
      </c>
      <c r="C123" s="34">
        <v>96.82</v>
      </c>
      <c r="D123" s="16">
        <v>3.5629491373528701E-3</v>
      </c>
      <c r="E123" s="16">
        <v>2.8961542792012599E-3</v>
      </c>
      <c r="F123" s="34">
        <v>0</v>
      </c>
      <c r="G123" s="34">
        <v>1.6249</v>
      </c>
      <c r="H123" s="34">
        <v>0</v>
      </c>
      <c r="I123" s="34">
        <v>2.0900599999999998</v>
      </c>
      <c r="J123" s="34">
        <v>1.6249</v>
      </c>
      <c r="K123" s="34">
        <v>2.0900599999999998</v>
      </c>
      <c r="L123" s="34">
        <v>69.104900000000001</v>
      </c>
      <c r="M123" s="34">
        <v>98.910059999999902</v>
      </c>
      <c r="N123" s="35">
        <v>1.4347954949614601</v>
      </c>
      <c r="O123" s="35">
        <v>1.43329336478799</v>
      </c>
      <c r="P123" s="35">
        <v>1.43491517433041</v>
      </c>
      <c r="Q123" s="35">
        <v>1.4348753452438801</v>
      </c>
      <c r="R123" s="34">
        <v>96.718636255893799</v>
      </c>
      <c r="S123" s="34">
        <v>96.825106627704102</v>
      </c>
      <c r="T123" s="34">
        <v>96.822378185532997</v>
      </c>
      <c r="U123" s="16">
        <v>-1.0474782228005199E-3</v>
      </c>
      <c r="V123" s="16">
        <v>5.2742130119215103E-5</v>
      </c>
      <c r="W123" s="16">
        <v>2.4562655710020999E-5</v>
      </c>
      <c r="X123" s="35">
        <v>1.4313031347994101</v>
      </c>
      <c r="Y123" s="35">
        <v>1.43040773636679</v>
      </c>
      <c r="Z123" s="35">
        <v>1.4314102986633901</v>
      </c>
      <c r="AA123" s="35">
        <v>1.4313591191438799</v>
      </c>
      <c r="AB123" s="34">
        <v>98.848183580853799</v>
      </c>
      <c r="AC123" s="34">
        <v>98.914391296125004</v>
      </c>
      <c r="AD123" s="34">
        <v>98.913354344219997</v>
      </c>
      <c r="AE123" s="16">
        <v>-6.2577842566711702E-4</v>
      </c>
      <c r="AF123" s="16">
        <v>4.3789289921997397E-5</v>
      </c>
      <c r="AG123" s="16">
        <v>3.3305908011287498E-5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9">
        <f t="shared" si="28"/>
        <v>0</v>
      </c>
      <c r="AP123" s="29">
        <f t="shared" si="29"/>
        <v>0</v>
      </c>
      <c r="AQ123" s="29">
        <f t="shared" si="36"/>
        <v>0</v>
      </c>
      <c r="AR123" s="30">
        <f t="shared" si="37"/>
        <v>3.990656091472978E-3</v>
      </c>
      <c r="AT123" s="12"/>
      <c r="AU123">
        <f t="shared" si="30"/>
        <v>0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9">
        <f t="shared" si="32"/>
        <v>0</v>
      </c>
      <c r="BA123" s="29">
        <f t="shared" si="33"/>
        <v>0</v>
      </c>
      <c r="BB123" s="29">
        <f t="shared" si="40"/>
        <v>0</v>
      </c>
      <c r="BC123" s="30">
        <f t="shared" si="41"/>
        <v>7.8853492280009374E-3</v>
      </c>
      <c r="BE123" s="30">
        <f t="shared" si="42"/>
        <v>0</v>
      </c>
      <c r="BF123" s="30">
        <f t="shared" si="43"/>
        <v>1.1876005319473915E-2</v>
      </c>
      <c r="BH123" s="30"/>
    </row>
    <row r="124" spans="1:60" x14ac:dyDescent="0.25">
      <c r="A124" s="1">
        <v>46203</v>
      </c>
      <c r="B124" s="34">
        <v>67.239999999999995</v>
      </c>
      <c r="C124" s="34">
        <v>96.44</v>
      </c>
      <c r="D124" s="16">
        <v>-3.5629491373527899E-3</v>
      </c>
      <c r="E124" s="16">
        <v>-3.9325311985779201E-3</v>
      </c>
      <c r="F124" s="34">
        <v>0</v>
      </c>
      <c r="G124" s="34">
        <v>1.6249</v>
      </c>
      <c r="H124" s="34">
        <v>0</v>
      </c>
      <c r="I124" s="34">
        <v>2.0900599999999998</v>
      </c>
      <c r="J124" s="34">
        <v>1.6249</v>
      </c>
      <c r="K124" s="34">
        <v>2.0900599999999998</v>
      </c>
      <c r="L124" s="34">
        <v>68.864899999999906</v>
      </c>
      <c r="M124" s="34">
        <v>98.530059999999906</v>
      </c>
      <c r="N124" s="35">
        <v>1.4342653182629299</v>
      </c>
      <c r="O124" s="35">
        <v>1.43329336478799</v>
      </c>
      <c r="P124" s="35">
        <v>1.43479116437252</v>
      </c>
      <c r="Q124" s="35">
        <v>1.4348000662190801</v>
      </c>
      <c r="R124" s="34">
        <v>96.374645848344699</v>
      </c>
      <c r="S124" s="34">
        <v>96.483696321976794</v>
      </c>
      <c r="T124" s="34">
        <v>96.481018214198599</v>
      </c>
      <c r="U124" s="16">
        <v>-6.7789616157535801E-4</v>
      </c>
      <c r="V124" s="16">
        <v>4.5299072697721401E-4</v>
      </c>
      <c r="W124" s="16">
        <v>4.2523323996936102E-4</v>
      </c>
      <c r="X124" s="35">
        <v>1.4307732967012201</v>
      </c>
      <c r="Y124" s="35">
        <v>1.43040773636679</v>
      </c>
      <c r="Z124" s="35">
        <v>1.43128855130028</v>
      </c>
      <c r="AA124" s="35">
        <v>1.4312865691293699</v>
      </c>
      <c r="AB124" s="34">
        <v>98.504885724125799</v>
      </c>
      <c r="AC124" s="34">
        <v>98.573927076424894</v>
      </c>
      <c r="AD124" s="34">
        <v>98.570402603931896</v>
      </c>
      <c r="AE124" s="16">
        <v>-2.5553107768416902E-4</v>
      </c>
      <c r="AF124" s="16">
        <v>4.4511608110949402E-4</v>
      </c>
      <c r="AG124" s="16">
        <v>4.0936083013038901E-4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9">
        <f t="shared" si="28"/>
        <v>0</v>
      </c>
      <c r="AP124" s="29">
        <f t="shared" si="29"/>
        <v>0</v>
      </c>
      <c r="AQ124" s="29">
        <f t="shared" si="36"/>
        <v>0</v>
      </c>
      <c r="AR124" s="30">
        <f t="shared" si="37"/>
        <v>3.990656091472978E-3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0</v>
      </c>
      <c r="AY124">
        <f t="shared" si="39"/>
        <v>0</v>
      </c>
      <c r="AZ124" s="29">
        <f t="shared" si="32"/>
        <v>0</v>
      </c>
      <c r="BA124" s="29">
        <f t="shared" si="33"/>
        <v>0</v>
      </c>
      <c r="BB124" s="29">
        <f t="shared" si="40"/>
        <v>0</v>
      </c>
      <c r="BC124" s="30">
        <f t="shared" si="41"/>
        <v>7.8853492280009374E-3</v>
      </c>
      <c r="BE124" s="30">
        <f t="shared" si="42"/>
        <v>0</v>
      </c>
      <c r="BF124" s="30">
        <f t="shared" si="43"/>
        <v>1.1876005319473915E-2</v>
      </c>
      <c r="BH124" s="30"/>
    </row>
    <row r="125" spans="1:60" x14ac:dyDescent="0.25">
      <c r="A125" s="1">
        <v>46204</v>
      </c>
      <c r="B125" s="34">
        <v>66.87</v>
      </c>
      <c r="C125" s="34">
        <v>96.02</v>
      </c>
      <c r="D125" s="16">
        <v>-5.5178724745274998E-3</v>
      </c>
      <c r="E125" s="16">
        <v>-4.3645502101760597E-3</v>
      </c>
      <c r="F125" s="34">
        <v>0.31369999999999998</v>
      </c>
      <c r="G125" s="34">
        <v>1.9386000000000001</v>
      </c>
      <c r="H125" s="34">
        <v>0.3997</v>
      </c>
      <c r="I125" s="34">
        <v>2.48976</v>
      </c>
      <c r="J125" s="34">
        <v>1.9386000000000001</v>
      </c>
      <c r="K125" s="34">
        <v>2.48976</v>
      </c>
      <c r="L125" s="34">
        <v>68.808599999999998</v>
      </c>
      <c r="M125" s="34">
        <v>98.50976</v>
      </c>
      <c r="N125" s="35">
        <v>1.4359204426499099</v>
      </c>
      <c r="O125" s="35">
        <v>1.43329336478799</v>
      </c>
      <c r="P125" s="35">
        <v>1.4349346257617199</v>
      </c>
      <c r="Q125" s="35">
        <v>1.4348031289243699</v>
      </c>
      <c r="R125" s="34">
        <v>95.844327303373106</v>
      </c>
      <c r="S125" s="34">
        <v>95.944485161590904</v>
      </c>
      <c r="T125" s="34">
        <v>95.945080428070497</v>
      </c>
      <c r="U125" s="16">
        <v>-1.83121842592697E-3</v>
      </c>
      <c r="V125" s="16">
        <v>-7.8675846983611503E-4</v>
      </c>
      <c r="W125" s="16">
        <v>-7.8055420877838101E-4</v>
      </c>
      <c r="X125" s="35">
        <v>1.43164895085788</v>
      </c>
      <c r="Y125" s="35">
        <v>1.43040773636679</v>
      </c>
      <c r="Z125" s="35">
        <v>1.4313538258693399</v>
      </c>
      <c r="AA125" s="35">
        <v>1.4312530527664</v>
      </c>
      <c r="AB125" s="34">
        <v>98.424353768568295</v>
      </c>
      <c r="AC125" s="34">
        <v>98.484961411001095</v>
      </c>
      <c r="AD125" s="34">
        <v>98.484825020595594</v>
      </c>
      <c r="AE125" s="16">
        <v>-8.6735847996672396E-4</v>
      </c>
      <c r="AF125" s="16">
        <v>-2.5176907231091701E-4</v>
      </c>
      <c r="AG125" s="16">
        <v>-2.5315395887596902E-4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9">
        <f t="shared" si="28"/>
        <v>0</v>
      </c>
      <c r="AP125" s="29">
        <f t="shared" si="29"/>
        <v>0</v>
      </c>
      <c r="AQ125" s="29">
        <f t="shared" si="36"/>
        <v>0</v>
      </c>
      <c r="AR125" s="30">
        <f t="shared" si="37"/>
        <v>3.990656091472978E-3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9">
        <f t="shared" si="32"/>
        <v>0</v>
      </c>
      <c r="BA125" s="29">
        <f t="shared" si="33"/>
        <v>0</v>
      </c>
      <c r="BB125" s="29">
        <f t="shared" si="40"/>
        <v>0</v>
      </c>
      <c r="BC125" s="30">
        <f t="shared" si="41"/>
        <v>7.8853492280009374E-3</v>
      </c>
      <c r="BE125" s="30">
        <f t="shared" si="42"/>
        <v>0</v>
      </c>
      <c r="BF125" s="30">
        <f t="shared" si="43"/>
        <v>1.1876005319473915E-2</v>
      </c>
      <c r="BH125" s="30"/>
    </row>
    <row r="126" spans="1:60" x14ac:dyDescent="0.25">
      <c r="A126" s="1">
        <v>46205</v>
      </c>
      <c r="B126" s="34">
        <v>67</v>
      </c>
      <c r="C126" s="34">
        <v>96.2</v>
      </c>
      <c r="D126" s="16">
        <v>1.9421833250787199E-3</v>
      </c>
      <c r="E126" s="16">
        <v>1.8728545688665599E-3</v>
      </c>
      <c r="F126" s="34">
        <v>0</v>
      </c>
      <c r="G126" s="34">
        <v>1.9386000000000001</v>
      </c>
      <c r="H126" s="34">
        <v>0</v>
      </c>
      <c r="I126" s="34">
        <v>2.48976</v>
      </c>
      <c r="J126" s="34">
        <v>1.9386000000000001</v>
      </c>
      <c r="K126" s="34">
        <v>2.48976</v>
      </c>
      <c r="L126" s="34">
        <v>68.938599999999994</v>
      </c>
      <c r="M126" s="34">
        <v>98.689760000000007</v>
      </c>
      <c r="N126" s="35">
        <v>1.4358208955223799</v>
      </c>
      <c r="O126" s="35">
        <v>1.43329336478799</v>
      </c>
      <c r="P126" s="35">
        <v>1.43507213843672</v>
      </c>
      <c r="Q126" s="35">
        <v>1.4348449592758299</v>
      </c>
      <c r="R126" s="34">
        <v>96.030655440795499</v>
      </c>
      <c r="S126" s="34">
        <v>96.140619926035299</v>
      </c>
      <c r="T126" s="34">
        <v>96.131809637933301</v>
      </c>
      <c r="U126" s="16">
        <v>-1.7618896697146899E-3</v>
      </c>
      <c r="V126" s="16">
        <v>-6.1744706733273403E-4</v>
      </c>
      <c r="W126" s="16">
        <v>-7.09090868039996E-4</v>
      </c>
      <c r="X126" s="35">
        <v>1.4315602579686799</v>
      </c>
      <c r="Y126" s="35">
        <v>1.43040773636679</v>
      </c>
      <c r="Z126" s="35">
        <v>1.4314155130316399</v>
      </c>
      <c r="AA126" s="35">
        <v>1.43125835136681</v>
      </c>
      <c r="AB126" s="34">
        <v>98.610306774296006</v>
      </c>
      <c r="AC126" s="34">
        <v>98.675528860076696</v>
      </c>
      <c r="AD126" s="34">
        <v>98.668581703441902</v>
      </c>
      <c r="AE126" s="16">
        <v>-8.0540499856809303E-4</v>
      </c>
      <c r="AF126" s="16">
        <v>-1.4421117340515199E-4</v>
      </c>
      <c r="AG126" s="16">
        <v>-2.1461769952575301E-4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9">
        <f t="shared" si="28"/>
        <v>0</v>
      </c>
      <c r="AP126" s="29">
        <f t="shared" si="29"/>
        <v>0</v>
      </c>
      <c r="AQ126" s="29">
        <f t="shared" si="36"/>
        <v>0</v>
      </c>
      <c r="AR126" s="30">
        <f t="shared" si="37"/>
        <v>3.990656091472978E-3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9">
        <f t="shared" si="32"/>
        <v>0</v>
      </c>
      <c r="BA126" s="29">
        <f t="shared" si="33"/>
        <v>0</v>
      </c>
      <c r="BB126" s="29">
        <f t="shared" si="40"/>
        <v>0</v>
      </c>
      <c r="BC126" s="30">
        <f t="shared" si="41"/>
        <v>7.8853492280009374E-3</v>
      </c>
      <c r="BE126" s="30">
        <f t="shared" si="42"/>
        <v>0</v>
      </c>
      <c r="BF126" s="30">
        <f t="shared" si="43"/>
        <v>1.1876005319473915E-2</v>
      </c>
      <c r="BH126" s="30"/>
    </row>
    <row r="127" spans="1:60" x14ac:dyDescent="0.25">
      <c r="A127" s="1">
        <v>46209</v>
      </c>
      <c r="B127" s="34">
        <v>67.05</v>
      </c>
      <c r="C127" s="34">
        <v>96.35</v>
      </c>
      <c r="D127" s="16">
        <v>7.4599033672139499E-4</v>
      </c>
      <c r="E127" s="16">
        <v>1.55803718871455E-3</v>
      </c>
      <c r="F127" s="34">
        <v>0</v>
      </c>
      <c r="G127" s="34">
        <v>1.9386000000000001</v>
      </c>
      <c r="H127" s="34">
        <v>0</v>
      </c>
      <c r="I127" s="34">
        <v>2.48976</v>
      </c>
      <c r="J127" s="34">
        <v>1.9386000000000001</v>
      </c>
      <c r="K127" s="34">
        <v>2.48976</v>
      </c>
      <c r="L127" s="34">
        <v>68.988599999999906</v>
      </c>
      <c r="M127" s="34">
        <v>98.839759999999998</v>
      </c>
      <c r="N127" s="35">
        <v>1.4369873228933601</v>
      </c>
      <c r="O127" s="35">
        <v>1.43329336478799</v>
      </c>
      <c r="P127" s="35">
        <v>1.4353396726240399</v>
      </c>
      <c r="Q127" s="35">
        <v>1.4349672019692401</v>
      </c>
      <c r="R127" s="34">
        <v>96.102320109034906</v>
      </c>
      <c r="S127" s="34">
        <v>96.221586882182393</v>
      </c>
      <c r="T127" s="34">
        <v>96.206354519444901</v>
      </c>
      <c r="U127" s="16">
        <v>-2.5739365217078299E-3</v>
      </c>
      <c r="V127" s="16">
        <v>-1.33366649701825E-3</v>
      </c>
      <c r="W127" s="16">
        <v>-1.49198407458427E-3</v>
      </c>
      <c r="X127" s="35">
        <v>1.43269699631533</v>
      </c>
      <c r="Y127" s="35">
        <v>1.43040773636679</v>
      </c>
      <c r="Z127" s="35">
        <v>1.43160231527246</v>
      </c>
      <c r="AA127" s="35">
        <v>1.43134164313906</v>
      </c>
      <c r="AB127" s="34">
        <v>98.681827161114299</v>
      </c>
      <c r="AC127" s="34">
        <v>98.751352262334706</v>
      </c>
      <c r="AD127" s="34">
        <v>98.740509899104296</v>
      </c>
      <c r="AE127" s="16">
        <v>-1.5991454383478901E-3</v>
      </c>
      <c r="AF127" s="16">
        <v>-8.9485546746008297E-4</v>
      </c>
      <c r="AG127" s="16">
        <v>-1.00465607516745E-3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9">
        <f t="shared" si="28"/>
        <v>0</v>
      </c>
      <c r="AP127" s="29">
        <f t="shared" si="29"/>
        <v>0</v>
      </c>
      <c r="AQ127" s="29">
        <f t="shared" si="36"/>
        <v>0</v>
      </c>
      <c r="AR127" s="30">
        <f t="shared" si="37"/>
        <v>3.990656091472978E-3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9">
        <f t="shared" si="32"/>
        <v>0</v>
      </c>
      <c r="BA127" s="29">
        <f t="shared" si="33"/>
        <v>0</v>
      </c>
      <c r="BB127" s="29">
        <f t="shared" si="40"/>
        <v>0</v>
      </c>
      <c r="BC127" s="30">
        <f t="shared" si="41"/>
        <v>7.8853492280009374E-3</v>
      </c>
      <c r="BE127" s="30">
        <f t="shared" si="42"/>
        <v>0</v>
      </c>
      <c r="BF127" s="30">
        <f t="shared" si="43"/>
        <v>1.1876005319473915E-2</v>
      </c>
      <c r="BH127" s="30"/>
    </row>
    <row r="128" spans="1:60" x14ac:dyDescent="0.25">
      <c r="A128" s="1">
        <v>46210</v>
      </c>
      <c r="B128" s="34">
        <v>66.680000000000007</v>
      </c>
      <c r="C128" s="34">
        <v>95.94</v>
      </c>
      <c r="D128" s="16">
        <v>-5.5335518450941503E-3</v>
      </c>
      <c r="E128" s="16">
        <v>-4.2643987864575397E-3</v>
      </c>
      <c r="F128" s="34">
        <v>0</v>
      </c>
      <c r="G128" s="34">
        <v>1.9386000000000001</v>
      </c>
      <c r="H128" s="34">
        <v>0</v>
      </c>
      <c r="I128" s="34">
        <v>2.48976</v>
      </c>
      <c r="J128" s="34">
        <v>1.9386000000000001</v>
      </c>
      <c r="K128" s="34">
        <v>2.48976</v>
      </c>
      <c r="L128" s="34">
        <v>68.618600000000001</v>
      </c>
      <c r="M128" s="34">
        <v>98.429760000000002</v>
      </c>
      <c r="N128" s="35">
        <v>1.4388122375524799</v>
      </c>
      <c r="O128" s="35">
        <v>1.43329336478799</v>
      </c>
      <c r="P128" s="35">
        <v>1.4357471651692899</v>
      </c>
      <c r="Q128" s="35">
        <v>1.43524315038533</v>
      </c>
      <c r="R128" s="34">
        <v>95.572001564063399</v>
      </c>
      <c r="S128" s="34">
        <v>95.708449370571302</v>
      </c>
      <c r="T128" s="34">
        <v>95.683613027309207</v>
      </c>
      <c r="U128" s="16">
        <v>-3.8430895803445199E-3</v>
      </c>
      <c r="V128" s="16">
        <v>-2.41641132874936E-3</v>
      </c>
      <c r="W128" s="16">
        <v>-2.67594501149864E-3</v>
      </c>
      <c r="X128" s="35">
        <v>1.43444721985001</v>
      </c>
      <c r="Y128" s="35">
        <v>1.43040773636679</v>
      </c>
      <c r="Z128" s="35">
        <v>1.4319238764303699</v>
      </c>
      <c r="AA128" s="35">
        <v>1.4315745247893601</v>
      </c>
      <c r="AB128" s="34">
        <v>98.152576298658602</v>
      </c>
      <c r="AC128" s="34">
        <v>98.234546630754807</v>
      </c>
      <c r="AD128" s="34">
        <v>98.216659673902001</v>
      </c>
      <c r="AE128" s="16">
        <v>-2.82002839373635E-3</v>
      </c>
      <c r="AF128" s="16">
        <v>-1.9852451795047601E-3</v>
      </c>
      <c r="AG128" s="16">
        <v>-2.1673459386572298E-3</v>
      </c>
      <c r="AI128" s="12"/>
      <c r="AJ128">
        <f t="shared" si="26"/>
        <v>1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9">
        <f t="shared" si="28"/>
        <v>0</v>
      </c>
      <c r="AP128" s="29">
        <f t="shared" si="29"/>
        <v>0</v>
      </c>
      <c r="AQ128" s="29">
        <f t="shared" si="36"/>
        <v>0</v>
      </c>
      <c r="AR128" s="30">
        <f t="shared" si="37"/>
        <v>3.990656091472978E-3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9">
        <f t="shared" si="32"/>
        <v>0</v>
      </c>
      <c r="BA128" s="29">
        <f t="shared" si="33"/>
        <v>0</v>
      </c>
      <c r="BB128" s="29">
        <f t="shared" si="40"/>
        <v>0</v>
      </c>
      <c r="BC128" s="30">
        <f t="shared" si="41"/>
        <v>7.8853492280009374E-3</v>
      </c>
      <c r="BE128" s="30">
        <f t="shared" si="42"/>
        <v>0</v>
      </c>
      <c r="BF128" s="30">
        <f t="shared" si="43"/>
        <v>1.1876005319473915E-2</v>
      </c>
      <c r="BH128" s="30"/>
    </row>
    <row r="129" spans="1:60" x14ac:dyDescent="0.25">
      <c r="A129" s="1">
        <v>46211</v>
      </c>
      <c r="B129" s="34">
        <v>66.62</v>
      </c>
      <c r="C129" s="34">
        <v>95.79</v>
      </c>
      <c r="D129" s="16">
        <v>-9.0022511705972795E-4</v>
      </c>
      <c r="E129" s="16">
        <v>-1.56470067911738E-3</v>
      </c>
      <c r="F129" s="34">
        <v>0</v>
      </c>
      <c r="G129" s="34">
        <v>1.9386000000000001</v>
      </c>
      <c r="H129" s="34">
        <v>0</v>
      </c>
      <c r="I129" s="34">
        <v>2.48976</v>
      </c>
      <c r="J129" s="34">
        <v>1.9386000000000001</v>
      </c>
      <c r="K129" s="34">
        <v>2.48976</v>
      </c>
      <c r="L129" s="34">
        <v>68.558599999999998</v>
      </c>
      <c r="M129" s="34">
        <v>98.279759999999996</v>
      </c>
      <c r="N129" s="35">
        <v>1.4378564995496801</v>
      </c>
      <c r="O129" s="35">
        <v>1.43329336478799</v>
      </c>
      <c r="P129" s="35">
        <v>1.4360325169728001</v>
      </c>
      <c r="Q129" s="35">
        <v>1.43543218246696</v>
      </c>
      <c r="R129" s="34">
        <v>95.486003962176099</v>
      </c>
      <c r="S129" s="34">
        <v>95.649476143578298</v>
      </c>
      <c r="T129" s="34">
        <v>95.615898678670703</v>
      </c>
      <c r="U129" s="16">
        <v>-3.1786140182866302E-3</v>
      </c>
      <c r="V129" s="16">
        <v>-1.46807632878136E-3</v>
      </c>
      <c r="W129" s="16">
        <v>-1.8191849942547299E-3</v>
      </c>
      <c r="X129" s="35">
        <v>1.43351468670597</v>
      </c>
      <c r="Y129" s="35">
        <v>1.43040773636679</v>
      </c>
      <c r="Z129" s="35">
        <v>1.43212680693265</v>
      </c>
      <c r="AA129" s="35">
        <v>1.4317228933311299</v>
      </c>
      <c r="AB129" s="34">
        <v>98.066751834476605</v>
      </c>
      <c r="AC129" s="34">
        <v>98.170696274639397</v>
      </c>
      <c r="AD129" s="34">
        <v>98.146745215223902</v>
      </c>
      <c r="AE129" s="16">
        <v>-2.16971768021349E-3</v>
      </c>
      <c r="AF129" s="16">
        <v>-1.1103434284028501E-3</v>
      </c>
      <c r="AG129" s="16">
        <v>-1.3543468073436899E-3</v>
      </c>
      <c r="AI129" s="12"/>
      <c r="AJ129">
        <f t="shared" si="26"/>
        <v>0</v>
      </c>
      <c r="AK129">
        <f t="shared" si="27"/>
        <v>0</v>
      </c>
      <c r="AL129">
        <f t="shared" si="34"/>
        <v>1</v>
      </c>
      <c r="AM129">
        <f t="shared" si="24"/>
        <v>1</v>
      </c>
      <c r="AN129">
        <f t="shared" si="35"/>
        <v>1</v>
      </c>
      <c r="AO129" s="29">
        <f t="shared" si="28"/>
        <v>-9.0022511705972795E-4</v>
      </c>
      <c r="AP129" s="29">
        <f t="shared" si="29"/>
        <v>1.56470067911738E-3</v>
      </c>
      <c r="AQ129" s="29">
        <f t="shared" si="36"/>
        <v>6.6447556205765203E-4</v>
      </c>
      <c r="AR129" s="30">
        <f t="shared" si="37"/>
        <v>4.6551316535306305E-3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9">
        <f t="shared" si="32"/>
        <v>0</v>
      </c>
      <c r="BA129" s="29">
        <f t="shared" si="33"/>
        <v>0</v>
      </c>
      <c r="BB129" s="29">
        <f t="shared" si="40"/>
        <v>0</v>
      </c>
      <c r="BC129" s="30">
        <f t="shared" si="41"/>
        <v>7.8853492280009374E-3</v>
      </c>
      <c r="BE129" s="30">
        <f t="shared" si="42"/>
        <v>6.6447556205765203E-4</v>
      </c>
      <c r="BF129" s="30">
        <f t="shared" si="43"/>
        <v>1.2540480881531566E-2</v>
      </c>
      <c r="BH129" s="30"/>
    </row>
    <row r="130" spans="1:60" x14ac:dyDescent="0.25">
      <c r="A130" s="1">
        <v>46212</v>
      </c>
      <c r="B130" s="34">
        <v>66.7</v>
      </c>
      <c r="C130" s="34">
        <v>95.96</v>
      </c>
      <c r="D130" s="16">
        <v>1.2001201560444001E-3</v>
      </c>
      <c r="E130" s="16">
        <v>1.7731425766934299E-3</v>
      </c>
      <c r="F130" s="34">
        <v>0</v>
      </c>
      <c r="G130" s="34">
        <v>1.9386000000000001</v>
      </c>
      <c r="H130" s="34">
        <v>0</v>
      </c>
      <c r="I130" s="34">
        <v>2.48976</v>
      </c>
      <c r="J130" s="34">
        <v>1.9386000000000001</v>
      </c>
      <c r="K130" s="34">
        <v>2.48976</v>
      </c>
      <c r="L130" s="34">
        <v>68.638599999999997</v>
      </c>
      <c r="M130" s="34">
        <v>98.449759999999998</v>
      </c>
      <c r="N130" s="35">
        <v>1.43868065967016</v>
      </c>
      <c r="O130" s="35">
        <v>1.43329336478799</v>
      </c>
      <c r="P130" s="35">
        <v>1.4363874309112801</v>
      </c>
      <c r="Q130" s="35">
        <v>1.4356173028960999</v>
      </c>
      <c r="R130" s="34">
        <v>95.600667431359099</v>
      </c>
      <c r="S130" s="34">
        <v>95.783368882085696</v>
      </c>
      <c r="T130" s="34">
        <v>95.743326570546799</v>
      </c>
      <c r="U130" s="16">
        <v>-3.75163643893565E-3</v>
      </c>
      <c r="V130" s="16">
        <v>-1.8423705487811701E-3</v>
      </c>
      <c r="W130" s="16">
        <v>-2.2605087308007399E-3</v>
      </c>
      <c r="X130" s="35">
        <v>1.43432063008278</v>
      </c>
      <c r="Y130" s="35">
        <v>1.43040773636679</v>
      </c>
      <c r="Z130" s="35">
        <v>1.4323967090729599</v>
      </c>
      <c r="AA130" s="35">
        <v>1.4318669187264601</v>
      </c>
      <c r="AB130" s="34">
        <v>98.181184453385995</v>
      </c>
      <c r="AC130" s="34">
        <v>98.299179050327993</v>
      </c>
      <c r="AD130" s="34">
        <v>98.271454986198194</v>
      </c>
      <c r="AE130" s="16">
        <v>-2.7317746388601902E-3</v>
      </c>
      <c r="AF130" s="16">
        <v>-1.53069164997693E-3</v>
      </c>
      <c r="AG130" s="16">
        <v>-1.81276902587353E-3</v>
      </c>
      <c r="AI130" s="12"/>
      <c r="AJ130">
        <f t="shared" si="26"/>
        <v>1</v>
      </c>
      <c r="AK130">
        <f t="shared" si="27"/>
        <v>0</v>
      </c>
      <c r="AL130">
        <f t="shared" si="34"/>
        <v>1</v>
      </c>
      <c r="AM130">
        <f t="shared" si="24"/>
        <v>1</v>
      </c>
      <c r="AN130">
        <f t="shared" si="35"/>
        <v>1</v>
      </c>
      <c r="AO130" s="29">
        <f t="shared" si="28"/>
        <v>1.2001201560444001E-3</v>
      </c>
      <c r="AP130" s="29">
        <f t="shared" si="29"/>
        <v>-1.7731425766934299E-3</v>
      </c>
      <c r="AQ130" s="29">
        <f t="shared" si="36"/>
        <v>-5.7302242064902979E-4</v>
      </c>
      <c r="AR130" s="30">
        <f t="shared" si="37"/>
        <v>4.0821092328816007E-3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9">
        <f t="shared" si="32"/>
        <v>0</v>
      </c>
      <c r="BA130" s="29">
        <f t="shared" si="33"/>
        <v>0</v>
      </c>
      <c r="BB130" s="29">
        <f t="shared" si="40"/>
        <v>0</v>
      </c>
      <c r="BC130" s="30">
        <f t="shared" si="41"/>
        <v>7.8853492280009374E-3</v>
      </c>
      <c r="BE130" s="30">
        <f t="shared" si="42"/>
        <v>-5.7302242064902979E-4</v>
      </c>
      <c r="BF130" s="30">
        <f t="shared" si="43"/>
        <v>1.1967458460882537E-2</v>
      </c>
      <c r="BH130" s="30"/>
    </row>
    <row r="131" spans="1:60" x14ac:dyDescent="0.25">
      <c r="A131" s="1">
        <v>46213</v>
      </c>
      <c r="B131" s="34">
        <v>66.8</v>
      </c>
      <c r="C131" s="34">
        <v>95.99</v>
      </c>
      <c r="D131" s="16">
        <v>1.49812762102199E-3</v>
      </c>
      <c r="E131" s="16">
        <v>3.1258140395184E-4</v>
      </c>
      <c r="F131" s="34">
        <v>0</v>
      </c>
      <c r="G131" s="34">
        <v>1.9386000000000001</v>
      </c>
      <c r="H131" s="34">
        <v>0</v>
      </c>
      <c r="I131" s="34">
        <v>2.48976</v>
      </c>
      <c r="J131" s="34">
        <v>1.9386000000000001</v>
      </c>
      <c r="K131" s="34">
        <v>2.48976</v>
      </c>
      <c r="L131" s="34">
        <v>68.738599999999906</v>
      </c>
      <c r="M131" s="34">
        <v>98.479759999999999</v>
      </c>
      <c r="N131" s="35">
        <v>1.43697604790419</v>
      </c>
      <c r="O131" s="35">
        <v>1.43329336478799</v>
      </c>
      <c r="P131" s="35">
        <v>1.4365867447223599</v>
      </c>
      <c r="Q131" s="35">
        <v>1.43570963328649</v>
      </c>
      <c r="R131" s="34">
        <v>95.743996767837899</v>
      </c>
      <c r="S131" s="34">
        <v>95.950680384873706</v>
      </c>
      <c r="T131" s="34">
        <v>95.899235833459699</v>
      </c>
      <c r="U131" s="16">
        <v>-2.56609022186533E-3</v>
      </c>
      <c r="V131" s="16">
        <v>-4.0970591119504298E-4</v>
      </c>
      <c r="W131" s="16">
        <v>-9.4600588631173102E-4</v>
      </c>
      <c r="X131" s="35">
        <v>1.4326704355340301</v>
      </c>
      <c r="Y131" s="35">
        <v>1.43040773636679</v>
      </c>
      <c r="Z131" s="35">
        <v>1.43251610240849</v>
      </c>
      <c r="AA131" s="35">
        <v>1.4319216531987</v>
      </c>
      <c r="AB131" s="34">
        <v>98.324225227022694</v>
      </c>
      <c r="AC131" s="34">
        <v>98.460944426283106</v>
      </c>
      <c r="AD131" s="34">
        <v>98.424527379571202</v>
      </c>
      <c r="AE131" s="16">
        <v>-1.58060625834524E-3</v>
      </c>
      <c r="AF131" s="16">
        <v>-1.91078566809177E-4</v>
      </c>
      <c r="AG131" s="16">
        <v>-5.6100984506145301E-4</v>
      </c>
      <c r="AI131" s="12"/>
      <c r="AJ131">
        <f t="shared" si="26"/>
        <v>0</v>
      </c>
      <c r="AK131">
        <f t="shared" si="27"/>
        <v>0</v>
      </c>
      <c r="AL131">
        <f t="shared" si="34"/>
        <v>1</v>
      </c>
      <c r="AM131">
        <f t="shared" si="24"/>
        <v>1</v>
      </c>
      <c r="AN131">
        <f t="shared" si="35"/>
        <v>1</v>
      </c>
      <c r="AO131" s="29">
        <f t="shared" si="28"/>
        <v>1.49812762102199E-3</v>
      </c>
      <c r="AP131" s="29">
        <f t="shared" si="29"/>
        <v>-3.1258140395184E-4</v>
      </c>
      <c r="AQ131" s="29">
        <f t="shared" si="36"/>
        <v>1.18554621707015E-3</v>
      </c>
      <c r="AR131" s="30">
        <f t="shared" si="37"/>
        <v>5.2676554499517508E-3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9">
        <f t="shared" si="32"/>
        <v>0</v>
      </c>
      <c r="BA131" s="29">
        <f t="shared" si="33"/>
        <v>0</v>
      </c>
      <c r="BB131" s="29">
        <f t="shared" si="40"/>
        <v>0</v>
      </c>
      <c r="BC131" s="30">
        <f t="shared" si="41"/>
        <v>7.8853492280009374E-3</v>
      </c>
      <c r="BE131" s="30">
        <f t="shared" si="42"/>
        <v>1.18554621707015E-3</v>
      </c>
      <c r="BF131" s="30">
        <f t="shared" si="43"/>
        <v>1.3153004677952686E-2</v>
      </c>
      <c r="BH131" s="30"/>
    </row>
    <row r="132" spans="1:60" x14ac:dyDescent="0.25">
      <c r="A132" s="1">
        <v>46216</v>
      </c>
      <c r="B132" s="34">
        <v>66.39</v>
      </c>
      <c r="C132" s="34">
        <v>95.38</v>
      </c>
      <c r="D132" s="16">
        <v>-6.1566378115319696E-3</v>
      </c>
      <c r="E132" s="16">
        <v>-6.3751065053672803E-3</v>
      </c>
      <c r="F132" s="34">
        <v>0</v>
      </c>
      <c r="G132" s="34">
        <v>1.9386000000000001</v>
      </c>
      <c r="H132" s="34">
        <v>0</v>
      </c>
      <c r="I132" s="34">
        <v>2.48976</v>
      </c>
      <c r="J132" s="34">
        <v>1.9386000000000001</v>
      </c>
      <c r="K132" s="34">
        <v>2.48976</v>
      </c>
      <c r="L132" s="34">
        <v>68.328599999999994</v>
      </c>
      <c r="M132" s="34">
        <v>97.869759999999999</v>
      </c>
      <c r="N132" s="35">
        <v>1.4366621479138399</v>
      </c>
      <c r="O132" s="35">
        <v>1.43329336478799</v>
      </c>
      <c r="P132" s="35">
        <v>1.4366777066880401</v>
      </c>
      <c r="Q132" s="35">
        <v>1.4357744389079199</v>
      </c>
      <c r="R132" s="34">
        <v>95.156346488274906</v>
      </c>
      <c r="S132" s="34">
        <v>95.374993982117402</v>
      </c>
      <c r="T132" s="34">
        <v>95.316762553890499</v>
      </c>
      <c r="U132" s="16">
        <v>-2.3476215280301598E-3</v>
      </c>
      <c r="V132" s="16">
        <v>-5.2486362523683997E-5</v>
      </c>
      <c r="W132" s="16">
        <v>-6.6322519145610296E-4</v>
      </c>
      <c r="X132" s="35">
        <v>1.4323396059629401</v>
      </c>
      <c r="Y132" s="35">
        <v>1.43040773636679</v>
      </c>
      <c r="Z132" s="35">
        <v>1.4325275214778199</v>
      </c>
      <c r="AA132" s="35">
        <v>1.4319466666987299</v>
      </c>
      <c r="AB132" s="34">
        <v>97.737758055112295</v>
      </c>
      <c r="AC132" s="34">
        <v>97.881819755029099</v>
      </c>
      <c r="AD132" s="34">
        <v>97.841201872752706</v>
      </c>
      <c r="AE132" s="16">
        <v>-1.34966146739044E-3</v>
      </c>
      <c r="AF132" s="16">
        <v>1.2321489368775901E-4</v>
      </c>
      <c r="AG132" s="16">
        <v>-2.9183983540477098E-4</v>
      </c>
      <c r="AI132" s="12"/>
      <c r="AJ132">
        <f t="shared" si="26"/>
        <v>0</v>
      </c>
      <c r="AK132">
        <f t="shared" si="27"/>
        <v>1</v>
      </c>
      <c r="AL132">
        <f t="shared" si="34"/>
        <v>1</v>
      </c>
      <c r="AM132">
        <f t="shared" si="24"/>
        <v>1</v>
      </c>
      <c r="AN132">
        <f t="shared" si="35"/>
        <v>1</v>
      </c>
      <c r="AO132" s="29">
        <f t="shared" si="28"/>
        <v>-6.1566378115319696E-3</v>
      </c>
      <c r="AP132" s="29">
        <f t="shared" si="29"/>
        <v>6.3751065053672803E-3</v>
      </c>
      <c r="AQ132" s="29">
        <f t="shared" si="36"/>
        <v>2.1846869383531069E-4</v>
      </c>
      <c r="AR132" s="30">
        <f t="shared" si="37"/>
        <v>5.4861241437870615E-3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9">
        <f t="shared" si="32"/>
        <v>0</v>
      </c>
      <c r="BA132" s="29">
        <f t="shared" si="33"/>
        <v>0</v>
      </c>
      <c r="BB132" s="29">
        <f t="shared" si="40"/>
        <v>0</v>
      </c>
      <c r="BC132" s="30">
        <f t="shared" si="41"/>
        <v>7.8853492280009374E-3</v>
      </c>
      <c r="BE132" s="30">
        <f t="shared" si="42"/>
        <v>2.1846869383531069E-4</v>
      </c>
      <c r="BF132" s="30">
        <f t="shared" si="43"/>
        <v>1.3371473371787998E-2</v>
      </c>
      <c r="BH132" s="30"/>
    </row>
    <row r="133" spans="1:60" x14ac:dyDescent="0.25">
      <c r="A133" s="1">
        <v>46217</v>
      </c>
      <c r="B133" s="34">
        <v>66.510000000000005</v>
      </c>
      <c r="C133" s="34">
        <v>95.57</v>
      </c>
      <c r="D133" s="16">
        <v>1.8058695652619001E-3</v>
      </c>
      <c r="E133" s="16">
        <v>1.9900504080100001E-3</v>
      </c>
      <c r="F133" s="34">
        <v>0</v>
      </c>
      <c r="G133" s="34">
        <v>1.9386000000000001</v>
      </c>
      <c r="H133" s="34">
        <v>0</v>
      </c>
      <c r="I133" s="34">
        <v>2.48976</v>
      </c>
      <c r="J133" s="34">
        <v>1.9386000000000001</v>
      </c>
      <c r="K133" s="34">
        <v>2.48976</v>
      </c>
      <c r="L133" s="34">
        <v>68.448599999999999</v>
      </c>
      <c r="M133" s="34">
        <v>98.059759999999997</v>
      </c>
      <c r="N133" s="35">
        <v>1.4369267779281301</v>
      </c>
      <c r="O133" s="35">
        <v>1.43329336478799</v>
      </c>
      <c r="P133" s="35">
        <v>1.43689083498471</v>
      </c>
      <c r="Q133" s="35">
        <v>1.43590300465756</v>
      </c>
      <c r="R133" s="34">
        <v>95.328341692049406</v>
      </c>
      <c r="S133" s="34">
        <v>95.5534342718218</v>
      </c>
      <c r="T133" s="34">
        <v>95.493357931765999</v>
      </c>
      <c r="U133" s="16">
        <v>-2.5318023707782199E-3</v>
      </c>
      <c r="V133" s="16">
        <v>-1.7335109410025E-4</v>
      </c>
      <c r="W133" s="16">
        <v>-8.0226866286016104E-4</v>
      </c>
      <c r="X133" s="35">
        <v>1.43260431915335</v>
      </c>
      <c r="Y133" s="35">
        <v>1.43040773636679</v>
      </c>
      <c r="Z133" s="35">
        <v>1.43265763991322</v>
      </c>
      <c r="AA133" s="35">
        <v>1.4320339692883099</v>
      </c>
      <c r="AB133" s="34">
        <v>97.909406983476302</v>
      </c>
      <c r="AC133" s="34">
        <v>98.054503306627296</v>
      </c>
      <c r="AD133" s="34">
        <v>98.014744610194697</v>
      </c>
      <c r="AE133" s="16">
        <v>-1.5344561426600201E-3</v>
      </c>
      <c r="AF133" s="16">
        <v>-5.3608475847416502E-5</v>
      </c>
      <c r="AG133" s="16">
        <v>-4.5916617956636498E-4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9">
        <f t="shared" si="28"/>
        <v>0</v>
      </c>
      <c r="AP133" s="29">
        <f t="shared" si="29"/>
        <v>0</v>
      </c>
      <c r="AQ133" s="29">
        <f t="shared" si="36"/>
        <v>0</v>
      </c>
      <c r="AR133" s="30">
        <f t="shared" si="37"/>
        <v>5.4861241437870615E-3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9">
        <f t="shared" si="32"/>
        <v>0</v>
      </c>
      <c r="BA133" s="29">
        <f t="shared" si="33"/>
        <v>0</v>
      </c>
      <c r="BB133" s="29">
        <f t="shared" si="40"/>
        <v>0</v>
      </c>
      <c r="BC133" s="30">
        <f t="shared" si="41"/>
        <v>7.8853492280009374E-3</v>
      </c>
      <c r="BE133" s="30">
        <f t="shared" si="42"/>
        <v>0</v>
      </c>
      <c r="BF133" s="30">
        <f t="shared" si="43"/>
        <v>1.3371473371787998E-2</v>
      </c>
      <c r="BH133" s="30"/>
    </row>
    <row r="134" spans="1:60" x14ac:dyDescent="0.25">
      <c r="A134" s="1">
        <v>46218</v>
      </c>
      <c r="B134" s="34">
        <v>66.599999999999994</v>
      </c>
      <c r="C134" s="34">
        <v>95.73</v>
      </c>
      <c r="D134" s="16">
        <v>1.3522652500135299E-3</v>
      </c>
      <c r="E134" s="16">
        <v>1.67276568017361E-3</v>
      </c>
      <c r="F134" s="34">
        <v>0</v>
      </c>
      <c r="G134" s="34">
        <v>1.9386000000000001</v>
      </c>
      <c r="H134" s="34">
        <v>0</v>
      </c>
      <c r="I134" s="34">
        <v>2.48976</v>
      </c>
      <c r="J134" s="34">
        <v>1.9386000000000001</v>
      </c>
      <c r="K134" s="34">
        <v>2.48976</v>
      </c>
      <c r="L134" s="34">
        <v>68.538599999999903</v>
      </c>
      <c r="M134" s="34">
        <v>98.219759999999994</v>
      </c>
      <c r="N134" s="35">
        <v>1.4373873873873799</v>
      </c>
      <c r="O134" s="35">
        <v>1.43329336478799</v>
      </c>
      <c r="P134" s="35">
        <v>1.43720304189715</v>
      </c>
      <c r="Q134" s="35">
        <v>1.43599710313484</v>
      </c>
      <c r="R134" s="34">
        <v>95.457338094880299</v>
      </c>
      <c r="S134" s="34">
        <v>95.696929609981694</v>
      </c>
      <c r="T134" s="34">
        <v>95.631140110193499</v>
      </c>
      <c r="U134" s="16">
        <v>-2.85230280093853E-3</v>
      </c>
      <c r="V134" s="16">
        <v>-3.4551450430331298E-4</v>
      </c>
      <c r="W134" s="16">
        <v>-1.0332285702775001E-3</v>
      </c>
      <c r="X134" s="35">
        <v>1.43305757631466</v>
      </c>
      <c r="Y134" s="35">
        <v>1.43040773636679</v>
      </c>
      <c r="Z134" s="35">
        <v>1.4328860678745601</v>
      </c>
      <c r="AA134" s="35">
        <v>1.43208730958742</v>
      </c>
      <c r="AB134" s="34">
        <v>98.038143679749297</v>
      </c>
      <c r="AC134" s="34">
        <v>98.192348918956398</v>
      </c>
      <c r="AD134" s="34">
        <v>98.149603407463701</v>
      </c>
      <c r="AE134" s="16">
        <v>-1.8507929483434699E-3</v>
      </c>
      <c r="AF134" s="16">
        <v>-2.7911803780763801E-4</v>
      </c>
      <c r="AG134" s="16">
        <v>-7.1453707751368504E-4</v>
      </c>
      <c r="AI134" s="12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9">
        <f t="shared" si="28"/>
        <v>0</v>
      </c>
      <c r="AP134" s="29">
        <f t="shared" si="29"/>
        <v>0</v>
      </c>
      <c r="AQ134" s="29">
        <f t="shared" si="36"/>
        <v>0</v>
      </c>
      <c r="AR134" s="30">
        <f t="shared" si="37"/>
        <v>5.4861241437870615E-3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9">
        <f t="shared" si="32"/>
        <v>0</v>
      </c>
      <c r="BA134" s="29">
        <f t="shared" si="33"/>
        <v>0</v>
      </c>
      <c r="BB134" s="29">
        <f t="shared" si="40"/>
        <v>0</v>
      </c>
      <c r="BC134" s="30">
        <f t="shared" si="41"/>
        <v>7.8853492280009374E-3</v>
      </c>
      <c r="BE134" s="30">
        <f t="shared" si="42"/>
        <v>0</v>
      </c>
      <c r="BF134" s="30">
        <f t="shared" si="43"/>
        <v>1.3371473371787998E-2</v>
      </c>
      <c r="BH134" s="30"/>
    </row>
    <row r="135" spans="1:60" x14ac:dyDescent="0.25">
      <c r="A135" s="1">
        <v>46219</v>
      </c>
      <c r="B135" s="34">
        <v>66.56</v>
      </c>
      <c r="C135" s="34">
        <v>95.59</v>
      </c>
      <c r="D135" s="16">
        <v>-6.0078103339021897E-4</v>
      </c>
      <c r="E135" s="16">
        <v>-1.4635168825906299E-3</v>
      </c>
      <c r="F135" s="34">
        <v>0</v>
      </c>
      <c r="G135" s="34">
        <v>1.9386000000000001</v>
      </c>
      <c r="H135" s="34">
        <v>0</v>
      </c>
      <c r="I135" s="34">
        <v>2.48976</v>
      </c>
      <c r="J135" s="34">
        <v>1.9386000000000001</v>
      </c>
      <c r="K135" s="34">
        <v>2.48976</v>
      </c>
      <c r="L135" s="34">
        <v>68.498599999999996</v>
      </c>
      <c r="M135" s="34">
        <v>98.079759999999993</v>
      </c>
      <c r="N135" s="35">
        <v>1.4361478365384599</v>
      </c>
      <c r="O135" s="35">
        <v>1.43329336478799</v>
      </c>
      <c r="P135" s="35">
        <v>1.4372257812860101</v>
      </c>
      <c r="Q135" s="35">
        <v>1.43608020352386</v>
      </c>
      <c r="R135" s="34">
        <v>95.400006360288799</v>
      </c>
      <c r="S135" s="34">
        <v>95.660234468674702</v>
      </c>
      <c r="T135" s="34">
        <v>95.579967184655004</v>
      </c>
      <c r="U135" s="16">
        <v>-1.9895669517380099E-3</v>
      </c>
      <c r="V135" s="16">
        <v>7.34477236351504E-4</v>
      </c>
      <c r="W135" s="16">
        <v>-1.04962254290149E-4</v>
      </c>
      <c r="X135" s="35">
        <v>1.43185057796801</v>
      </c>
      <c r="Y135" s="35">
        <v>1.43040773636679</v>
      </c>
      <c r="Z135" s="35">
        <v>1.43290623058557</v>
      </c>
      <c r="AA135" s="35">
        <v>1.4321300282274601</v>
      </c>
      <c r="AB135" s="34">
        <v>97.980927370294594</v>
      </c>
      <c r="AC135" s="34">
        <v>98.1506896089127</v>
      </c>
      <c r="AD135" s="34">
        <v>98.095975784505399</v>
      </c>
      <c r="AE135" s="16">
        <v>-1.00818414341364E-3</v>
      </c>
      <c r="AF135" s="16">
        <v>7.2292156638503703E-4</v>
      </c>
      <c r="AG135" s="16">
        <v>1.6531896238324199E-4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9">
        <f t="shared" si="28"/>
        <v>0</v>
      </c>
      <c r="AP135" s="29">
        <f t="shared" si="29"/>
        <v>0</v>
      </c>
      <c r="AQ135" s="29">
        <f t="shared" si="36"/>
        <v>0</v>
      </c>
      <c r="AR135" s="30">
        <f t="shared" si="37"/>
        <v>5.4861241437870615E-3</v>
      </c>
      <c r="AT135" s="12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9">
        <f t="shared" si="32"/>
        <v>0</v>
      </c>
      <c r="BA135" s="29">
        <f t="shared" si="33"/>
        <v>0</v>
      </c>
      <c r="BB135" s="29">
        <f t="shared" si="40"/>
        <v>0</v>
      </c>
      <c r="BC135" s="30">
        <f t="shared" si="41"/>
        <v>7.8853492280009374E-3</v>
      </c>
      <c r="BE135" s="30">
        <f t="shared" si="42"/>
        <v>0</v>
      </c>
      <c r="BF135" s="30">
        <f t="shared" si="43"/>
        <v>1.3371473371787998E-2</v>
      </c>
      <c r="BH135" s="30"/>
    </row>
    <row r="136" spans="1:60" x14ac:dyDescent="0.25">
      <c r="A136" s="1">
        <v>46220</v>
      </c>
      <c r="B136" s="34">
        <v>66.48</v>
      </c>
      <c r="C136" s="34">
        <v>95.53</v>
      </c>
      <c r="D136" s="16">
        <v>-1.20264596576034E-3</v>
      </c>
      <c r="E136" s="16">
        <v>-6.27877793754274E-4</v>
      </c>
      <c r="F136" s="34">
        <v>0</v>
      </c>
      <c r="G136" s="34">
        <v>1.9386000000000001</v>
      </c>
      <c r="H136" s="34">
        <v>0</v>
      </c>
      <c r="I136" s="34">
        <v>2.48976</v>
      </c>
      <c r="J136" s="34">
        <v>1.9386000000000001</v>
      </c>
      <c r="K136" s="34">
        <v>2.48976</v>
      </c>
      <c r="L136" s="34">
        <v>68.418599999999998</v>
      </c>
      <c r="M136" s="34">
        <v>98.019760000000005</v>
      </c>
      <c r="N136" s="35">
        <v>1.4369735258724401</v>
      </c>
      <c r="O136" s="35">
        <v>1.43329336478799</v>
      </c>
      <c r="P136" s="35">
        <v>1.43734104432101</v>
      </c>
      <c r="Q136" s="35">
        <v>1.43620659137887</v>
      </c>
      <c r="R136" s="34">
        <v>95.285342891105799</v>
      </c>
      <c r="S136" s="34">
        <v>95.546769939893906</v>
      </c>
      <c r="T136" s="34">
        <v>95.4706119302666</v>
      </c>
      <c r="U136" s="16">
        <v>-2.5643351237441799E-3</v>
      </c>
      <c r="V136" s="16">
        <v>1.7553091296561399E-4</v>
      </c>
      <c r="W136" s="16">
        <v>-6.2186263224020804E-4</v>
      </c>
      <c r="X136" s="35">
        <v>1.4326478472228299</v>
      </c>
      <c r="Y136" s="35">
        <v>1.43040773636679</v>
      </c>
      <c r="Z136" s="35">
        <v>1.43301498951099</v>
      </c>
      <c r="AA136" s="35">
        <v>1.43221525127131</v>
      </c>
      <c r="AB136" s="34">
        <v>97.866494751385304</v>
      </c>
      <c r="AC136" s="34">
        <v>98.037438227942502</v>
      </c>
      <c r="AD136" s="34">
        <v>97.984331549283596</v>
      </c>
      <c r="AE136" s="16">
        <v>-1.56483955532813E-3</v>
      </c>
      <c r="AF136" s="16">
        <v>1.80337454071822E-4</v>
      </c>
      <c r="AG136" s="16">
        <v>-3.61507260610786E-4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9">
        <f t="shared" si="28"/>
        <v>0</v>
      </c>
      <c r="AP136" s="29">
        <f t="shared" si="29"/>
        <v>0</v>
      </c>
      <c r="AQ136" s="29">
        <f t="shared" si="36"/>
        <v>0</v>
      </c>
      <c r="AR136" s="30">
        <f t="shared" si="37"/>
        <v>5.4861241437870615E-3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9">
        <f t="shared" si="32"/>
        <v>0</v>
      </c>
      <c r="BA136" s="29">
        <f t="shared" si="33"/>
        <v>0</v>
      </c>
      <c r="BB136" s="29">
        <f t="shared" si="40"/>
        <v>0</v>
      </c>
      <c r="BC136" s="30">
        <f t="shared" si="41"/>
        <v>7.8853492280009374E-3</v>
      </c>
      <c r="BE136" s="30">
        <f t="shared" si="42"/>
        <v>0</v>
      </c>
      <c r="BF136" s="30">
        <f t="shared" si="43"/>
        <v>1.3371473371787998E-2</v>
      </c>
      <c r="BH136" s="30"/>
    </row>
    <row r="137" spans="1:60" x14ac:dyDescent="0.25">
      <c r="A137" s="1">
        <v>46223</v>
      </c>
      <c r="B137" s="34">
        <v>66.36</v>
      </c>
      <c r="C137" s="34">
        <v>95.37</v>
      </c>
      <c r="D137" s="16">
        <v>-1.80668522494903E-3</v>
      </c>
      <c r="E137" s="16">
        <v>-1.67627069109591E-3</v>
      </c>
      <c r="F137" s="34">
        <v>0</v>
      </c>
      <c r="G137" s="34">
        <v>1.9386000000000001</v>
      </c>
      <c r="H137" s="34">
        <v>0</v>
      </c>
      <c r="I137" s="34">
        <v>2.48976</v>
      </c>
      <c r="J137" s="34">
        <v>1.9386000000000001</v>
      </c>
      <c r="K137" s="34">
        <v>2.48976</v>
      </c>
      <c r="L137" s="34">
        <v>68.298599999999993</v>
      </c>
      <c r="M137" s="34">
        <v>97.859759999999994</v>
      </c>
      <c r="N137" s="35">
        <v>1.4371609403254899</v>
      </c>
      <c r="O137" s="35">
        <v>1.43329336478799</v>
      </c>
      <c r="P137" s="35">
        <v>1.4373584060642199</v>
      </c>
      <c r="Q137" s="35">
        <v>1.4363490393441301</v>
      </c>
      <c r="R137" s="34">
        <v>95.113347687331199</v>
      </c>
      <c r="S137" s="34">
        <v>95.381951701142597</v>
      </c>
      <c r="T137" s="34">
        <v>95.306669403901793</v>
      </c>
      <c r="U137" s="16">
        <v>-2.6947496575972399E-3</v>
      </c>
      <c r="V137" s="16">
        <v>1.25311442967267E-4</v>
      </c>
      <c r="W137" s="16">
        <v>-6.6427212752235296E-4</v>
      </c>
      <c r="X137" s="35">
        <v>1.4328223418928001</v>
      </c>
      <c r="Y137" s="35">
        <v>1.43040773636679</v>
      </c>
      <c r="Z137" s="35">
        <v>1.43302752406874</v>
      </c>
      <c r="AA137" s="35">
        <v>1.4323149196706</v>
      </c>
      <c r="AB137" s="34">
        <v>97.694845823021296</v>
      </c>
      <c r="AC137" s="34">
        <v>97.872917562615598</v>
      </c>
      <c r="AD137" s="34">
        <v>97.818296560479197</v>
      </c>
      <c r="AE137" s="16">
        <v>-1.68663085565532E-3</v>
      </c>
      <c r="AF137" s="16">
        <v>1.34444210330601E-4</v>
      </c>
      <c r="AG137" s="16">
        <v>-4.23792436108052E-4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9">
        <f t="shared" si="28"/>
        <v>0</v>
      </c>
      <c r="AP137" s="29">
        <f t="shared" si="29"/>
        <v>0</v>
      </c>
      <c r="AQ137" s="29">
        <f t="shared" si="36"/>
        <v>0</v>
      </c>
      <c r="AR137" s="30">
        <f t="shared" si="37"/>
        <v>5.4861241437870615E-3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9">
        <f t="shared" si="32"/>
        <v>0</v>
      </c>
      <c r="BA137" s="29">
        <f t="shared" si="33"/>
        <v>0</v>
      </c>
      <c r="BB137" s="29">
        <f t="shared" si="40"/>
        <v>0</v>
      </c>
      <c r="BC137" s="30">
        <f t="shared" si="41"/>
        <v>7.8853492280009374E-3</v>
      </c>
      <c r="BE137" s="30">
        <f t="shared" si="42"/>
        <v>0</v>
      </c>
      <c r="BF137" s="30">
        <f t="shared" si="43"/>
        <v>1.3371473371787998E-2</v>
      </c>
      <c r="BH137" s="30"/>
    </row>
    <row r="138" spans="1:60" x14ac:dyDescent="0.25">
      <c r="A138" s="1">
        <v>46224</v>
      </c>
      <c r="B138" s="34">
        <v>66.3</v>
      </c>
      <c r="C138" s="34">
        <v>95.38</v>
      </c>
      <c r="D138" s="16">
        <v>-9.0456813042693804E-4</v>
      </c>
      <c r="E138" s="16">
        <v>1.04849279257072E-4</v>
      </c>
      <c r="F138" s="34">
        <v>0</v>
      </c>
      <c r="G138" s="34">
        <v>1.9386000000000001</v>
      </c>
      <c r="H138" s="34">
        <v>0</v>
      </c>
      <c r="I138" s="34">
        <v>2.48976</v>
      </c>
      <c r="J138" s="34">
        <v>1.9386000000000001</v>
      </c>
      <c r="K138" s="34">
        <v>2.48976</v>
      </c>
      <c r="L138" s="34">
        <v>68.238599999999906</v>
      </c>
      <c r="M138" s="34">
        <v>97.869759999999999</v>
      </c>
      <c r="N138" s="35">
        <v>1.4386123680241301</v>
      </c>
      <c r="O138" s="35">
        <v>1.43329336478799</v>
      </c>
      <c r="P138" s="35">
        <v>1.43733841911139</v>
      </c>
      <c r="Q138" s="35">
        <v>1.43654279214034</v>
      </c>
      <c r="R138" s="34">
        <v>95.027350085443899</v>
      </c>
      <c r="S138" s="34">
        <v>95.296862322058402</v>
      </c>
      <c r="T138" s="34">
        <v>95.229941308516302</v>
      </c>
      <c r="U138" s="16">
        <v>-3.7041670672813701E-3</v>
      </c>
      <c r="V138" s="16">
        <v>-8.7202696958107203E-4</v>
      </c>
      <c r="W138" s="16">
        <v>-1.5745109772789499E-3</v>
      </c>
      <c r="X138" s="35">
        <v>1.4342287209878199</v>
      </c>
      <c r="Y138" s="35">
        <v>1.43040773636679</v>
      </c>
      <c r="Z138" s="35">
        <v>1.4330056741825199</v>
      </c>
      <c r="AA138" s="35">
        <v>1.4324647753064399</v>
      </c>
      <c r="AB138" s="34">
        <v>97.6090213588392</v>
      </c>
      <c r="AC138" s="34">
        <v>97.787792003917204</v>
      </c>
      <c r="AD138" s="34">
        <v>97.739164877434206</v>
      </c>
      <c r="AE138" s="16">
        <v>-2.6676940993705699E-3</v>
      </c>
      <c r="AF138" s="16">
        <v>-8.3787208864248401E-4</v>
      </c>
      <c r="AG138" s="16">
        <v>-1.3352677241199699E-3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9">
        <f t="shared" si="28"/>
        <v>0</v>
      </c>
      <c r="AP138" s="29">
        <f t="shared" si="29"/>
        <v>0</v>
      </c>
      <c r="AQ138" s="29">
        <f t="shared" si="36"/>
        <v>0</v>
      </c>
      <c r="AR138" s="30">
        <f t="shared" si="37"/>
        <v>5.4861241437870615E-3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9">
        <f t="shared" si="32"/>
        <v>0</v>
      </c>
      <c r="BA138" s="29">
        <f t="shared" si="33"/>
        <v>0</v>
      </c>
      <c r="BB138" s="29">
        <f t="shared" si="40"/>
        <v>0</v>
      </c>
      <c r="BC138" s="30">
        <f t="shared" si="41"/>
        <v>7.8853492280009374E-3</v>
      </c>
      <c r="BE138" s="30">
        <f t="shared" si="42"/>
        <v>0</v>
      </c>
      <c r="BF138" s="30">
        <f t="shared" si="43"/>
        <v>1.3371473371787998E-2</v>
      </c>
      <c r="BH138" s="30"/>
    </row>
    <row r="139" spans="1:60" x14ac:dyDescent="0.25">
      <c r="A139" s="1">
        <v>46225</v>
      </c>
      <c r="B139" s="34">
        <v>66.12</v>
      </c>
      <c r="C139" s="34">
        <v>95.09</v>
      </c>
      <c r="D139" s="16">
        <v>-2.7186242389932698E-3</v>
      </c>
      <c r="E139" s="16">
        <v>-3.0451013187253301E-3</v>
      </c>
      <c r="F139" s="34">
        <v>0</v>
      </c>
      <c r="G139" s="34">
        <v>1.9386000000000001</v>
      </c>
      <c r="H139" s="34">
        <v>0</v>
      </c>
      <c r="I139" s="34">
        <v>2.48976</v>
      </c>
      <c r="J139" s="34">
        <v>1.9386000000000001</v>
      </c>
      <c r="K139" s="34">
        <v>2.48976</v>
      </c>
      <c r="L139" s="34">
        <v>68.058599999999998</v>
      </c>
      <c r="M139" s="34">
        <v>97.579759999999993</v>
      </c>
      <c r="N139" s="35">
        <v>1.4381427707198999</v>
      </c>
      <c r="O139" s="35">
        <v>1.43329336478799</v>
      </c>
      <c r="P139" s="35">
        <v>1.4373670462284101</v>
      </c>
      <c r="Q139" s="35">
        <v>1.4366997816006</v>
      </c>
      <c r="R139" s="34">
        <v>94.769357279782099</v>
      </c>
      <c r="S139" s="34">
        <v>95.036816271645307</v>
      </c>
      <c r="T139" s="34">
        <v>94.984209416319501</v>
      </c>
      <c r="U139" s="16">
        <v>-3.3776899875492998E-3</v>
      </c>
      <c r="V139" s="16">
        <v>-5.5945532339671895E-4</v>
      </c>
      <c r="W139" s="16">
        <v>-1.1131504366547901E-3</v>
      </c>
      <c r="X139" s="35">
        <v>1.4337609060427301</v>
      </c>
      <c r="Y139" s="35">
        <v>1.43040773636679</v>
      </c>
      <c r="Z139" s="35">
        <v>1.43303029611619</v>
      </c>
      <c r="AA139" s="35">
        <v>1.43257855152442</v>
      </c>
      <c r="AB139" s="34">
        <v>97.351547966293197</v>
      </c>
      <c r="AC139" s="34">
        <v>97.528359976918694</v>
      </c>
      <c r="AD139" s="34">
        <v>97.491547156671402</v>
      </c>
      <c r="AE139" s="16">
        <v>-2.3414621319782902E-3</v>
      </c>
      <c r="AF139" s="16">
        <v>-5.2688759726141098E-4</v>
      </c>
      <c r="AG139" s="16">
        <v>-9.0441644778282103E-4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9">
        <f t="shared" si="28"/>
        <v>0</v>
      </c>
      <c r="AP139" s="29">
        <f t="shared" si="29"/>
        <v>0</v>
      </c>
      <c r="AQ139" s="29">
        <f t="shared" si="36"/>
        <v>0</v>
      </c>
      <c r="AR139" s="30">
        <f t="shared" si="37"/>
        <v>5.4861241437870615E-3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9">
        <f t="shared" si="32"/>
        <v>0</v>
      </c>
      <c r="BA139" s="29">
        <f t="shared" si="33"/>
        <v>0</v>
      </c>
      <c r="BB139" s="29">
        <f t="shared" si="40"/>
        <v>0</v>
      </c>
      <c r="BC139" s="30">
        <f t="shared" si="41"/>
        <v>7.8853492280009374E-3</v>
      </c>
      <c r="BE139" s="30">
        <f t="shared" si="42"/>
        <v>0</v>
      </c>
      <c r="BF139" s="30">
        <f t="shared" si="43"/>
        <v>1.3371473371787998E-2</v>
      </c>
      <c r="BH139" s="30"/>
    </row>
    <row r="140" spans="1:60" x14ac:dyDescent="0.25">
      <c r="A140" s="1">
        <v>46226</v>
      </c>
      <c r="B140" s="34">
        <v>65.72</v>
      </c>
      <c r="C140" s="34">
        <v>94.53</v>
      </c>
      <c r="D140" s="16">
        <v>-6.0679797837561601E-3</v>
      </c>
      <c r="E140" s="16">
        <v>-5.90656711405996E-3</v>
      </c>
      <c r="F140" s="34">
        <v>0</v>
      </c>
      <c r="G140" s="34">
        <v>1.9386000000000001</v>
      </c>
      <c r="H140" s="34">
        <v>0</v>
      </c>
      <c r="I140" s="34">
        <v>2.48976</v>
      </c>
      <c r="J140" s="34">
        <v>1.9386000000000001</v>
      </c>
      <c r="K140" s="34">
        <v>2.48976</v>
      </c>
      <c r="L140" s="34">
        <v>67.658599999999893</v>
      </c>
      <c r="M140" s="34">
        <v>97.019760000000005</v>
      </c>
      <c r="N140" s="35">
        <v>1.4383749239196499</v>
      </c>
      <c r="O140" s="35">
        <v>1.43329336478799</v>
      </c>
      <c r="P140" s="35">
        <v>1.43733647265336</v>
      </c>
      <c r="Q140" s="35">
        <v>1.43686195178232</v>
      </c>
      <c r="R140" s="34">
        <v>94.196039933866899</v>
      </c>
      <c r="S140" s="34">
        <v>94.463762278131398</v>
      </c>
      <c r="T140" s="34">
        <v>94.419909646791893</v>
      </c>
      <c r="U140" s="16">
        <v>-3.53910265724562E-3</v>
      </c>
      <c r="V140" s="16">
        <v>-7.0095143651500405E-4</v>
      </c>
      <c r="W140" s="16">
        <v>-1.16528624831219E-3</v>
      </c>
      <c r="X140" s="35">
        <v>1.4339605016952699</v>
      </c>
      <c r="Y140" s="35">
        <v>1.43040773636679</v>
      </c>
      <c r="Z140" s="35">
        <v>1.4329942832774401</v>
      </c>
      <c r="AA140" s="35">
        <v>1.4326954961752001</v>
      </c>
      <c r="AB140" s="34">
        <v>96.779384871746501</v>
      </c>
      <c r="AC140" s="34">
        <v>96.956823592807496</v>
      </c>
      <c r="AD140" s="34">
        <v>96.926259186170697</v>
      </c>
      <c r="AE140" s="16">
        <v>-2.4806636962069798E-3</v>
      </c>
      <c r="AF140" s="16">
        <v>-6.4890728803710502E-4</v>
      </c>
      <c r="AG140" s="16">
        <v>-9.6419427906101196E-4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9">
        <f t="shared" si="28"/>
        <v>0</v>
      </c>
      <c r="AP140" s="29">
        <f t="shared" si="29"/>
        <v>0</v>
      </c>
      <c r="AQ140" s="29">
        <f t="shared" si="36"/>
        <v>0</v>
      </c>
      <c r="AR140" s="30">
        <f t="shared" si="37"/>
        <v>5.4861241437870615E-3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9">
        <f t="shared" si="32"/>
        <v>0</v>
      </c>
      <c r="BA140" s="29">
        <f t="shared" si="33"/>
        <v>0</v>
      </c>
      <c r="BB140" s="29">
        <f t="shared" si="40"/>
        <v>0</v>
      </c>
      <c r="BC140" s="30">
        <f t="shared" si="41"/>
        <v>7.8853492280009374E-3</v>
      </c>
      <c r="BE140" s="30">
        <f t="shared" si="42"/>
        <v>0</v>
      </c>
      <c r="BF140" s="30">
        <f t="shared" si="43"/>
        <v>1.3371473371787998E-2</v>
      </c>
      <c r="BH140" s="30"/>
    </row>
    <row r="141" spans="1:60" x14ac:dyDescent="0.25">
      <c r="A141" s="1">
        <v>46227</v>
      </c>
      <c r="B141" s="34">
        <v>65.849999999999994</v>
      </c>
      <c r="C141" s="34">
        <v>94.64</v>
      </c>
      <c r="D141" s="16">
        <v>1.9761350202225302E-3</v>
      </c>
      <c r="E141" s="16">
        <v>1.16297523283839E-3</v>
      </c>
      <c r="F141" s="34">
        <v>0</v>
      </c>
      <c r="G141" s="34">
        <v>1.9386000000000001</v>
      </c>
      <c r="H141" s="34">
        <v>0</v>
      </c>
      <c r="I141" s="34">
        <v>2.48976</v>
      </c>
      <c r="J141" s="34">
        <v>1.9386000000000001</v>
      </c>
      <c r="K141" s="34">
        <v>2.48976</v>
      </c>
      <c r="L141" s="34">
        <v>67.788599999999903</v>
      </c>
      <c r="M141" s="34">
        <v>97.129760000000005</v>
      </c>
      <c r="N141" s="35">
        <v>1.43720577069096</v>
      </c>
      <c r="O141" s="35">
        <v>1.43329336478799</v>
      </c>
      <c r="P141" s="35">
        <v>1.4373594449320399</v>
      </c>
      <c r="Q141" s="35">
        <v>1.4369730948271999</v>
      </c>
      <c r="R141" s="34">
        <v>94.382368071289306</v>
      </c>
      <c r="S141" s="34">
        <v>94.648606724223995</v>
      </c>
      <c r="T141" s="34">
        <v>94.617359524866004</v>
      </c>
      <c r="U141" s="16">
        <v>-2.7259428698613499E-3</v>
      </c>
      <c r="V141" s="16">
        <v>9.0937583396740598E-5</v>
      </c>
      <c r="W141" s="16">
        <v>-2.39255956003845E-4</v>
      </c>
      <c r="X141" s="35">
        <v>1.43283324924839</v>
      </c>
      <c r="Y141" s="35">
        <v>1.43040773636679</v>
      </c>
      <c r="Z141" s="35">
        <v>1.43301056464888</v>
      </c>
      <c r="AA141" s="35">
        <v>1.43276333352869</v>
      </c>
      <c r="AB141" s="34">
        <v>96.965337877474198</v>
      </c>
      <c r="AC141" s="34">
        <v>97.140676271381594</v>
      </c>
      <c r="AD141" s="34">
        <v>97.120421912022707</v>
      </c>
      <c r="AE141" s="16">
        <v>-1.69424332355034E-3</v>
      </c>
      <c r="AF141" s="16">
        <v>1.12382219370734E-4</v>
      </c>
      <c r="AG141" s="16">
        <v>-9.6144959994688798E-5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9">
        <f t="shared" si="28"/>
        <v>0</v>
      </c>
      <c r="AP141" s="29">
        <f t="shared" si="29"/>
        <v>0</v>
      </c>
      <c r="AQ141" s="29">
        <f t="shared" si="36"/>
        <v>0</v>
      </c>
      <c r="AR141" s="30">
        <f t="shared" si="37"/>
        <v>5.4861241437870615E-3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9">
        <f t="shared" si="32"/>
        <v>0</v>
      </c>
      <c r="BA141" s="29">
        <f t="shared" si="33"/>
        <v>0</v>
      </c>
      <c r="BB141" s="29">
        <f t="shared" si="40"/>
        <v>0</v>
      </c>
      <c r="BC141" s="30">
        <f t="shared" si="41"/>
        <v>7.8853492280009374E-3</v>
      </c>
      <c r="BE141" s="30">
        <f t="shared" si="42"/>
        <v>0</v>
      </c>
      <c r="BF141" s="30">
        <f t="shared" si="43"/>
        <v>1.3371473371787998E-2</v>
      </c>
      <c r="BH141" s="30"/>
    </row>
    <row r="142" spans="1:60" x14ac:dyDescent="0.25">
      <c r="A142" s="1">
        <v>46230</v>
      </c>
      <c r="B142" s="34">
        <v>66.02</v>
      </c>
      <c r="C142" s="34">
        <v>94.96</v>
      </c>
      <c r="D142" s="16">
        <v>2.57829823575698E-3</v>
      </c>
      <c r="E142" s="16">
        <v>3.3755306312812099E-3</v>
      </c>
      <c r="F142" s="34">
        <v>0</v>
      </c>
      <c r="G142" s="34">
        <v>1.9386000000000001</v>
      </c>
      <c r="H142" s="34">
        <v>0</v>
      </c>
      <c r="I142" s="34">
        <v>2.48976</v>
      </c>
      <c r="J142" s="34">
        <v>1.9386000000000001</v>
      </c>
      <c r="K142" s="34">
        <v>2.48976</v>
      </c>
      <c r="L142" s="34">
        <v>67.958599999999905</v>
      </c>
      <c r="M142" s="34">
        <v>97.449759999999998</v>
      </c>
      <c r="N142" s="35">
        <v>1.43835201454104</v>
      </c>
      <c r="O142" s="35">
        <v>1.43329336478799</v>
      </c>
      <c r="P142" s="35">
        <v>1.4375284315947601</v>
      </c>
      <c r="Q142" s="35">
        <v>1.4371030691414</v>
      </c>
      <c r="R142" s="34">
        <v>94.626027943303299</v>
      </c>
      <c r="S142" s="34">
        <v>94.894470554413402</v>
      </c>
      <c r="T142" s="34">
        <v>94.868963720491806</v>
      </c>
      <c r="U142" s="16">
        <v>-3.5231752653856101E-3</v>
      </c>
      <c r="V142" s="16">
        <v>-6.9031240610187598E-4</v>
      </c>
      <c r="W142" s="16">
        <v>-9.5914010910681596E-4</v>
      </c>
      <c r="X142" s="35">
        <v>1.4339577330904401</v>
      </c>
      <c r="Y142" s="35">
        <v>1.43040773636679</v>
      </c>
      <c r="Z142" s="35">
        <v>1.4331723773616301</v>
      </c>
      <c r="AA142" s="35">
        <v>1.43284994941973</v>
      </c>
      <c r="AB142" s="34">
        <v>97.208507192656498</v>
      </c>
      <c r="AC142" s="34">
        <v>97.385391758747701</v>
      </c>
      <c r="AD142" s="34">
        <v>97.368590277942801</v>
      </c>
      <c r="AE142" s="16">
        <v>-2.4787329543873799E-3</v>
      </c>
      <c r="AF142" s="16">
        <v>-6.6074569206920101E-4</v>
      </c>
      <c r="AG142" s="16">
        <v>-8.3328625499761897E-4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9">
        <f t="shared" si="28"/>
        <v>0</v>
      </c>
      <c r="AP142" s="29">
        <f t="shared" si="29"/>
        <v>0</v>
      </c>
      <c r="AQ142" s="29">
        <f t="shared" si="36"/>
        <v>0</v>
      </c>
      <c r="AR142" s="30">
        <f t="shared" si="37"/>
        <v>5.4861241437870615E-3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9">
        <f t="shared" si="32"/>
        <v>0</v>
      </c>
      <c r="BA142" s="29">
        <f t="shared" si="33"/>
        <v>0</v>
      </c>
      <c r="BB142" s="29">
        <f t="shared" si="40"/>
        <v>0</v>
      </c>
      <c r="BC142" s="30">
        <f t="shared" si="41"/>
        <v>7.8853492280009374E-3</v>
      </c>
      <c r="BE142" s="30">
        <f t="shared" si="42"/>
        <v>0</v>
      </c>
      <c r="BF142" s="30">
        <f t="shared" si="43"/>
        <v>1.3371473371787998E-2</v>
      </c>
      <c r="BH142" s="30"/>
    </row>
    <row r="143" spans="1:60" x14ac:dyDescent="0.25">
      <c r="A143" s="1">
        <v>46231</v>
      </c>
      <c r="B143" s="34">
        <v>66.13</v>
      </c>
      <c r="C143" s="34">
        <v>95.19</v>
      </c>
      <c r="D143" s="16">
        <v>1.66477526152409E-3</v>
      </c>
      <c r="E143" s="16">
        <v>2.4191439618014101E-3</v>
      </c>
      <c r="F143" s="34">
        <v>0</v>
      </c>
      <c r="G143" s="34">
        <v>1.9386000000000001</v>
      </c>
      <c r="H143" s="34">
        <v>0</v>
      </c>
      <c r="I143" s="34">
        <v>2.48976</v>
      </c>
      <c r="J143" s="34">
        <v>1.9386000000000001</v>
      </c>
      <c r="K143" s="34">
        <v>2.48976</v>
      </c>
      <c r="L143" s="34">
        <v>68.068599999999904</v>
      </c>
      <c r="M143" s="34">
        <v>97.679760000000002</v>
      </c>
      <c r="N143" s="35">
        <v>1.43943747164675</v>
      </c>
      <c r="O143" s="35">
        <v>1.43329336478799</v>
      </c>
      <c r="P143" s="35">
        <v>1.4377795009666201</v>
      </c>
      <c r="Q143" s="35">
        <v>1.4373351679756601</v>
      </c>
      <c r="R143" s="34">
        <v>94.783690213430006</v>
      </c>
      <c r="S143" s="34">
        <v>95.0637551813616</v>
      </c>
      <c r="T143" s="34">
        <v>95.035625962321006</v>
      </c>
      <c r="U143" s="16">
        <v>-4.2775439656628196E-3</v>
      </c>
      <c r="V143" s="16">
        <v>-1.3271205821618799E-3</v>
      </c>
      <c r="W143" s="16">
        <v>-1.6230628317021999E-3</v>
      </c>
      <c r="X143" s="35">
        <v>1.4350193775103299</v>
      </c>
      <c r="Y143" s="35">
        <v>1.43040773636679</v>
      </c>
      <c r="Z143" s="35">
        <v>1.43341388319733</v>
      </c>
      <c r="AA143" s="35">
        <v>1.43303576155527</v>
      </c>
      <c r="AB143" s="34">
        <v>97.365852043656901</v>
      </c>
      <c r="AC143" s="34">
        <v>97.554037285678106</v>
      </c>
      <c r="AD143" s="34">
        <v>97.532090067071906</v>
      </c>
      <c r="AE143" s="16">
        <v>-3.2188186556150501E-3</v>
      </c>
      <c r="AF143" s="16">
        <v>-1.28791975004537E-3</v>
      </c>
      <c r="AG143" s="16">
        <v>-1.51292005115955E-3</v>
      </c>
      <c r="AI143" s="12"/>
      <c r="AJ143">
        <f t="shared" si="26"/>
        <v>1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9">
        <f t="shared" si="28"/>
        <v>0</v>
      </c>
      <c r="AP143" s="29">
        <f t="shared" si="29"/>
        <v>0</v>
      </c>
      <c r="AQ143" s="29">
        <f t="shared" si="36"/>
        <v>0</v>
      </c>
      <c r="AR143" s="30">
        <f t="shared" si="37"/>
        <v>5.4861241437870615E-3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9">
        <f t="shared" si="32"/>
        <v>0</v>
      </c>
      <c r="BA143" s="29">
        <f t="shared" si="33"/>
        <v>0</v>
      </c>
      <c r="BB143" s="29">
        <f t="shared" si="40"/>
        <v>0</v>
      </c>
      <c r="BC143" s="30">
        <f t="shared" si="41"/>
        <v>7.8853492280009374E-3</v>
      </c>
      <c r="BE143" s="30">
        <f t="shared" si="42"/>
        <v>0</v>
      </c>
      <c r="BF143" s="30">
        <f t="shared" si="43"/>
        <v>1.3371473371787998E-2</v>
      </c>
      <c r="BH143" s="30"/>
    </row>
    <row r="144" spans="1:60" x14ac:dyDescent="0.25">
      <c r="A144" s="1">
        <v>46232</v>
      </c>
      <c r="B144" s="34">
        <v>65.739999999999995</v>
      </c>
      <c r="C144" s="34">
        <v>94.56</v>
      </c>
      <c r="D144" s="16">
        <v>-5.9149334504976303E-3</v>
      </c>
      <c r="E144" s="16">
        <v>-6.6403406054257198E-3</v>
      </c>
      <c r="F144" s="34">
        <v>0</v>
      </c>
      <c r="G144" s="34">
        <v>1.9386000000000001</v>
      </c>
      <c r="H144" s="34">
        <v>0</v>
      </c>
      <c r="I144" s="34">
        <v>2.48976</v>
      </c>
      <c r="J144" s="34">
        <v>1.9386000000000001</v>
      </c>
      <c r="K144" s="34">
        <v>2.48976</v>
      </c>
      <c r="L144" s="34">
        <v>67.678599999999904</v>
      </c>
      <c r="M144" s="34">
        <v>97.049760000000006</v>
      </c>
      <c r="N144" s="35">
        <v>1.4383936720413699</v>
      </c>
      <c r="O144" s="35">
        <v>1.43329336478799</v>
      </c>
      <c r="P144" s="35">
        <v>1.43788012943202</v>
      </c>
      <c r="Q144" s="35">
        <v>1.4375415856645899</v>
      </c>
      <c r="R144" s="34">
        <v>94.224705801162699</v>
      </c>
      <c r="S144" s="34">
        <v>94.519624393545897</v>
      </c>
      <c r="T144" s="34">
        <v>94.490413942720394</v>
      </c>
      <c r="U144" s="16">
        <v>-3.5521368107347502E-3</v>
      </c>
      <c r="V144" s="16">
        <v>-4.2707517742595702E-4</v>
      </c>
      <c r="W144" s="16">
        <v>-7.3616406302377704E-4</v>
      </c>
      <c r="X144" s="35">
        <v>1.43398001731714</v>
      </c>
      <c r="Y144" s="35">
        <v>1.43040773636679</v>
      </c>
      <c r="Z144" s="35">
        <v>1.43350612729758</v>
      </c>
      <c r="AA144" s="35">
        <v>1.43319609758607</v>
      </c>
      <c r="AB144" s="34">
        <v>96.807993026473795</v>
      </c>
      <c r="AC144" s="34">
        <v>97.011444835359001</v>
      </c>
      <c r="AD144" s="34">
        <v>96.985854091994995</v>
      </c>
      <c r="AE144" s="16">
        <v>-2.4942731987320898E-3</v>
      </c>
      <c r="AF144" s="16">
        <v>-3.9487712313622297E-4</v>
      </c>
      <c r="AG144" s="16">
        <v>-6.58702894463028E-4</v>
      </c>
      <c r="AI144" s="12"/>
      <c r="AJ144">
        <f t="shared" si="26"/>
        <v>0</v>
      </c>
      <c r="AK144">
        <f t="shared" si="27"/>
        <v>0</v>
      </c>
      <c r="AL144">
        <f t="shared" si="34"/>
        <v>1</v>
      </c>
      <c r="AM144">
        <f t="shared" si="24"/>
        <v>1</v>
      </c>
      <c r="AN144">
        <f t="shared" si="35"/>
        <v>1</v>
      </c>
      <c r="AO144" s="29">
        <f t="shared" si="28"/>
        <v>-5.9149334504976303E-3</v>
      </c>
      <c r="AP144" s="29">
        <f t="shared" si="29"/>
        <v>6.6403406054257198E-3</v>
      </c>
      <c r="AQ144" s="29">
        <f t="shared" si="36"/>
        <v>7.2540715492808942E-4</v>
      </c>
      <c r="AR144" s="30">
        <f t="shared" si="37"/>
        <v>6.2115312987151509E-3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9">
        <f t="shared" si="32"/>
        <v>0</v>
      </c>
      <c r="BA144" s="29">
        <f t="shared" si="33"/>
        <v>0</v>
      </c>
      <c r="BB144" s="29">
        <f t="shared" si="40"/>
        <v>0</v>
      </c>
      <c r="BC144" s="30">
        <f t="shared" si="41"/>
        <v>7.8853492280009374E-3</v>
      </c>
      <c r="BE144" s="30">
        <f t="shared" si="42"/>
        <v>7.2540715492808942E-4</v>
      </c>
      <c r="BF144" s="30">
        <f t="shared" si="43"/>
        <v>1.4096880526716087E-2</v>
      </c>
      <c r="BH144" s="30"/>
    </row>
    <row r="145" spans="1:60" x14ac:dyDescent="0.25">
      <c r="A145" s="1">
        <v>46233</v>
      </c>
      <c r="B145" s="34">
        <v>65.87</v>
      </c>
      <c r="C145" s="34">
        <v>94.79</v>
      </c>
      <c r="D145" s="16">
        <v>1.9755344165282699E-3</v>
      </c>
      <c r="E145" s="16">
        <v>2.4293648071622999E-3</v>
      </c>
      <c r="F145" s="34">
        <v>0</v>
      </c>
      <c r="G145" s="34">
        <v>1.9386000000000001</v>
      </c>
      <c r="H145" s="34">
        <v>0</v>
      </c>
      <c r="I145" s="34">
        <v>2.48976</v>
      </c>
      <c r="J145" s="34">
        <v>1.9386000000000001</v>
      </c>
      <c r="K145" s="34">
        <v>2.48976</v>
      </c>
      <c r="L145" s="34">
        <v>67.808599999999998</v>
      </c>
      <c r="M145" s="34">
        <v>97.279759999999996</v>
      </c>
      <c r="N145" s="35">
        <v>1.4390466069530801</v>
      </c>
      <c r="O145" s="35">
        <v>1.43329336478799</v>
      </c>
      <c r="P145" s="35">
        <v>1.4381700064734799</v>
      </c>
      <c r="Q145" s="35">
        <v>1.43769789387974</v>
      </c>
      <c r="R145" s="34">
        <v>94.411033938585106</v>
      </c>
      <c r="S145" s="34">
        <v>94.713164125687399</v>
      </c>
      <c r="T145" s="34">
        <v>94.690864247726495</v>
      </c>
      <c r="U145" s="16">
        <v>-4.0059672013686596E-3</v>
      </c>
      <c r="V145" s="16">
        <v>-8.1091921475424998E-4</v>
      </c>
      <c r="W145" s="16">
        <v>-1.0463933834445199E-3</v>
      </c>
      <c r="X145" s="35">
        <v>1.4346227469671899</v>
      </c>
      <c r="Y145" s="35">
        <v>1.43040773636679</v>
      </c>
      <c r="Z145" s="35">
        <v>1.4337833441974901</v>
      </c>
      <c r="AA145" s="35">
        <v>1.4333447873915299</v>
      </c>
      <c r="AB145" s="34">
        <v>96.993946032201507</v>
      </c>
      <c r="AC145" s="34">
        <v>97.204043583470707</v>
      </c>
      <c r="AD145" s="34">
        <v>97.183020902774999</v>
      </c>
      <c r="AE145" s="16">
        <v>-2.9423865930390501E-3</v>
      </c>
      <c r="AF145" s="16">
        <v>-7.7863985544892602E-4</v>
      </c>
      <c r="AG145" s="16">
        <v>-9.9493697206240093E-4</v>
      </c>
      <c r="AI145" s="12"/>
      <c r="AJ145">
        <f t="shared" si="26"/>
        <v>0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29">
        <f t="shared" si="28"/>
        <v>1.9755344165282699E-3</v>
      </c>
      <c r="AP145" s="29">
        <f t="shared" si="29"/>
        <v>-2.4293648071622999E-3</v>
      </c>
      <c r="AQ145" s="29">
        <f t="shared" si="36"/>
        <v>-4.5383039063403002E-4</v>
      </c>
      <c r="AR145" s="30">
        <f t="shared" si="37"/>
        <v>5.7577009080811209E-3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9">
        <f t="shared" si="32"/>
        <v>0</v>
      </c>
      <c r="BA145" s="29">
        <f t="shared" si="33"/>
        <v>0</v>
      </c>
      <c r="BB145" s="29">
        <f t="shared" si="40"/>
        <v>0</v>
      </c>
      <c r="BC145" s="30">
        <f t="shared" si="41"/>
        <v>7.8853492280009374E-3</v>
      </c>
      <c r="BE145" s="30">
        <f t="shared" si="42"/>
        <v>-4.5383039063403002E-4</v>
      </c>
      <c r="BF145" s="30">
        <f t="shared" si="43"/>
        <v>1.3643050136082056E-2</v>
      </c>
      <c r="BH145" s="30"/>
    </row>
    <row r="146" spans="1:60" x14ac:dyDescent="0.25">
      <c r="A146" s="1">
        <v>46234</v>
      </c>
      <c r="B146" s="34">
        <v>65.84</v>
      </c>
      <c r="C146" s="34">
        <v>94.66</v>
      </c>
      <c r="D146" s="16">
        <v>-4.5554628378719202E-4</v>
      </c>
      <c r="E146" s="16">
        <v>-1.37239398684841E-3</v>
      </c>
      <c r="F146" s="34">
        <v>0</v>
      </c>
      <c r="G146" s="34">
        <v>1.9386000000000001</v>
      </c>
      <c r="H146" s="34">
        <v>0</v>
      </c>
      <c r="I146" s="34">
        <v>2.48976</v>
      </c>
      <c r="J146" s="34">
        <v>1.9386000000000001</v>
      </c>
      <c r="K146" s="34">
        <v>2.48976</v>
      </c>
      <c r="L146" s="34">
        <v>67.778599999999997</v>
      </c>
      <c r="M146" s="34">
        <v>97.149760000000001</v>
      </c>
      <c r="N146" s="35">
        <v>1.43772782503037</v>
      </c>
      <c r="O146" s="35">
        <v>1.43329336478799</v>
      </c>
      <c r="P146" s="35">
        <v>1.43824543638928</v>
      </c>
      <c r="Q146" s="35">
        <v>1.4377932403551399</v>
      </c>
      <c r="R146" s="34">
        <v>94.368035137641499</v>
      </c>
      <c r="S146" s="34">
        <v>94.689113226214303</v>
      </c>
      <c r="T146" s="34">
        <v>94.658029333042606</v>
      </c>
      <c r="U146" s="16">
        <v>-3.0891194983073801E-3</v>
      </c>
      <c r="V146" s="16">
        <v>3.0750845301320199E-4</v>
      </c>
      <c r="W146" s="16">
        <v>-2.08185872666214E-5</v>
      </c>
      <c r="X146" s="35">
        <v>1.43333972669839</v>
      </c>
      <c r="Y146" s="35">
        <v>1.43040773636679</v>
      </c>
      <c r="Z146" s="35">
        <v>1.4338525321450499</v>
      </c>
      <c r="AA146" s="35">
        <v>1.4334337608280201</v>
      </c>
      <c r="AB146" s="34">
        <v>96.951033800110494</v>
      </c>
      <c r="AC146" s="34">
        <v>97.179827773024599</v>
      </c>
      <c r="AD146" s="34">
        <v>97.150103006696199</v>
      </c>
      <c r="AE146" s="16">
        <v>-2.04766055239199E-3</v>
      </c>
      <c r="AF146" s="16">
        <v>3.09451315253985E-4</v>
      </c>
      <c r="AG146" s="16">
        <v>3.53069416425054E-6</v>
      </c>
      <c r="AI146" s="12"/>
      <c r="AJ146">
        <f t="shared" si="26"/>
        <v>0</v>
      </c>
      <c r="AK146">
        <f t="shared" si="27"/>
        <v>1</v>
      </c>
      <c r="AL146">
        <f t="shared" si="34"/>
        <v>1</v>
      </c>
      <c r="AM146">
        <f t="shared" si="24"/>
        <v>0</v>
      </c>
      <c r="AN146">
        <f t="shared" si="35"/>
        <v>1</v>
      </c>
      <c r="AO146" s="29">
        <f t="shared" si="28"/>
        <v>-4.5554628378719202E-4</v>
      </c>
      <c r="AP146" s="29">
        <f t="shared" si="29"/>
        <v>1.37239398684841E-3</v>
      </c>
      <c r="AQ146" s="29">
        <f t="shared" si="36"/>
        <v>9.1684770306121801E-4</v>
      </c>
      <c r="AR146" s="30">
        <f t="shared" si="37"/>
        <v>6.6745486111423388E-3</v>
      </c>
      <c r="AT146" s="12"/>
      <c r="AU146">
        <f t="shared" si="30"/>
        <v>0</v>
      </c>
      <c r="AV146">
        <f t="shared" si="31"/>
        <v>0</v>
      </c>
      <c r="AW146">
        <f t="shared" si="38"/>
        <v>0</v>
      </c>
      <c r="AX146">
        <f t="shared" si="25"/>
        <v>0</v>
      </c>
      <c r="AY146">
        <f t="shared" si="39"/>
        <v>0</v>
      </c>
      <c r="AZ146" s="29">
        <f t="shared" si="32"/>
        <v>0</v>
      </c>
      <c r="BA146" s="29">
        <f t="shared" si="33"/>
        <v>0</v>
      </c>
      <c r="BB146" s="29">
        <f t="shared" si="40"/>
        <v>0</v>
      </c>
      <c r="BC146" s="30">
        <f t="shared" si="41"/>
        <v>7.8853492280009374E-3</v>
      </c>
      <c r="BE146" s="30">
        <f t="shared" si="42"/>
        <v>9.1684770306121801E-4</v>
      </c>
      <c r="BF146" s="30">
        <f t="shared" si="43"/>
        <v>1.4559897839143274E-2</v>
      </c>
      <c r="BH146" s="30"/>
    </row>
    <row r="147" spans="1:60" x14ac:dyDescent="0.25">
      <c r="A147" s="1">
        <v>46237</v>
      </c>
      <c r="B147" s="34">
        <v>65.81</v>
      </c>
      <c r="C147" s="34">
        <v>94.75</v>
      </c>
      <c r="D147" s="16">
        <v>-4.5575390078659602E-4</v>
      </c>
      <c r="E147" s="16">
        <v>9.5031948443394503E-4</v>
      </c>
      <c r="F147" s="34">
        <v>0.34660000000000002</v>
      </c>
      <c r="G147" s="34">
        <v>2.2852000000000001</v>
      </c>
      <c r="H147" s="34">
        <v>0.41359000000000001</v>
      </c>
      <c r="I147" s="34">
        <v>2.9033500000000001</v>
      </c>
      <c r="J147" s="34">
        <v>2.2852000000000001</v>
      </c>
      <c r="K147" s="34">
        <v>2.9033500000000001</v>
      </c>
      <c r="L147" s="34">
        <v>68.095200000000006</v>
      </c>
      <c r="M147" s="34">
        <v>97.653350000000003</v>
      </c>
      <c r="N147" s="35">
        <v>1.4397507977510999</v>
      </c>
      <c r="O147" s="35">
        <v>1.43329336478799</v>
      </c>
      <c r="P147" s="35">
        <v>1.4385044221318399</v>
      </c>
      <c r="Q147" s="35">
        <v>1.4379314140980299</v>
      </c>
      <c r="R147" s="34">
        <v>94.325036336697806</v>
      </c>
      <c r="S147" s="34">
        <v>94.650932168778496</v>
      </c>
      <c r="T147" s="34">
        <v>94.621173147772197</v>
      </c>
      <c r="U147" s="16">
        <v>-4.4951928835278198E-3</v>
      </c>
      <c r="V147" s="16">
        <v>-1.0461177685004599E-3</v>
      </c>
      <c r="W147" s="16">
        <v>-1.3605753184040301E-3</v>
      </c>
      <c r="X147" s="35">
        <v>1.4340709771026401</v>
      </c>
      <c r="Y147" s="35">
        <v>1.43040773636679</v>
      </c>
      <c r="Z147" s="35">
        <v>1.43397739566603</v>
      </c>
      <c r="AA147" s="35">
        <v>1.43350245986739</v>
      </c>
      <c r="AB147" s="34">
        <v>97.403900889444301</v>
      </c>
      <c r="AC147" s="34">
        <v>97.638474946924006</v>
      </c>
      <c r="AD147" s="34">
        <v>97.609958630336493</v>
      </c>
      <c r="AE147" s="16">
        <v>-2.55770288370519E-3</v>
      </c>
      <c r="AF147" s="16">
        <v>-1.52336669584566E-4</v>
      </c>
      <c r="AG147" s="16">
        <v>-4.4443956913432E-4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9">
        <f t="shared" si="28"/>
        <v>0</v>
      </c>
      <c r="AP147" s="29">
        <f t="shared" si="29"/>
        <v>0</v>
      </c>
      <c r="AQ147" s="29">
        <f t="shared" si="36"/>
        <v>0</v>
      </c>
      <c r="AR147" s="30">
        <f t="shared" si="37"/>
        <v>6.6745486111423388E-3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9">
        <f t="shared" si="32"/>
        <v>0</v>
      </c>
      <c r="BA147" s="29">
        <f t="shared" si="33"/>
        <v>0</v>
      </c>
      <c r="BB147" s="29">
        <f t="shared" si="40"/>
        <v>0</v>
      </c>
      <c r="BC147" s="30">
        <f t="shared" si="41"/>
        <v>7.8853492280009374E-3</v>
      </c>
      <c r="BE147" s="30">
        <f t="shared" si="42"/>
        <v>0</v>
      </c>
      <c r="BF147" s="30">
        <f t="shared" si="43"/>
        <v>1.4559897839143274E-2</v>
      </c>
      <c r="BH147" s="30"/>
    </row>
    <row r="148" spans="1:60" x14ac:dyDescent="0.25">
      <c r="A148" s="1">
        <v>46238</v>
      </c>
      <c r="B148" s="34">
        <v>66.13</v>
      </c>
      <c r="C148" s="34">
        <v>95.22</v>
      </c>
      <c r="D148" s="16">
        <v>4.8506992185431298E-3</v>
      </c>
      <c r="E148" s="16">
        <v>4.9481598038369698E-3</v>
      </c>
      <c r="F148" s="34">
        <v>0</v>
      </c>
      <c r="G148" s="34">
        <v>2.2852000000000001</v>
      </c>
      <c r="H148" s="34">
        <v>0</v>
      </c>
      <c r="I148" s="34">
        <v>2.9033500000000001</v>
      </c>
      <c r="J148" s="34">
        <v>2.2852000000000001</v>
      </c>
      <c r="K148" s="34">
        <v>2.9033500000000001</v>
      </c>
      <c r="L148" s="34">
        <v>68.415199999999999</v>
      </c>
      <c r="M148" s="34">
        <v>98.123350000000002</v>
      </c>
      <c r="N148" s="35">
        <v>1.43989112354453</v>
      </c>
      <c r="O148" s="35">
        <v>1.43329336478799</v>
      </c>
      <c r="P148" s="35">
        <v>1.4386322976838799</v>
      </c>
      <c r="Q148" s="35">
        <v>1.4379853583976301</v>
      </c>
      <c r="R148" s="34">
        <v>94.783690213430006</v>
      </c>
      <c r="S148" s="34">
        <v>95.128297435578602</v>
      </c>
      <c r="T148" s="34">
        <v>95.090404414302995</v>
      </c>
      <c r="U148" s="16">
        <v>-4.5926534688216399E-3</v>
      </c>
      <c r="V148" s="16">
        <v>-9.6352394795611702E-4</v>
      </c>
      <c r="W148" s="16">
        <v>-1.3619392605232501E-3</v>
      </c>
      <c r="X148" s="35">
        <v>1.4342331820998799</v>
      </c>
      <c r="Y148" s="35">
        <v>1.43040773636679</v>
      </c>
      <c r="Z148" s="35">
        <v>1.43397784177724</v>
      </c>
      <c r="AA148" s="35">
        <v>1.43349175797988</v>
      </c>
      <c r="AB148" s="34">
        <v>97.861631365081607</v>
      </c>
      <c r="AC148" s="34">
        <v>98.105850319971196</v>
      </c>
      <c r="AD148" s="34">
        <v>98.073357492319502</v>
      </c>
      <c r="AE148" s="16">
        <v>-2.6708045552224099E-3</v>
      </c>
      <c r="AF148" s="16">
        <v>-1.7835959221801801E-4</v>
      </c>
      <c r="AG148" s="16">
        <v>-5.0961618471012898E-4</v>
      </c>
      <c r="AI148" s="12"/>
      <c r="AJ148">
        <f t="shared" si="26"/>
        <v>0</v>
      </c>
      <c r="AK148">
        <f t="shared" si="27"/>
        <v>0</v>
      </c>
      <c r="AL148">
        <f t="shared" si="34"/>
        <v>0</v>
      </c>
      <c r="AM148">
        <f t="shared" si="24"/>
        <v>1</v>
      </c>
      <c r="AN148">
        <f t="shared" si="35"/>
        <v>0</v>
      </c>
      <c r="AO148" s="29">
        <f t="shared" si="28"/>
        <v>0</v>
      </c>
      <c r="AP148" s="29">
        <f t="shared" si="29"/>
        <v>0</v>
      </c>
      <c r="AQ148" s="29">
        <f t="shared" si="36"/>
        <v>0</v>
      </c>
      <c r="AR148" s="30">
        <f t="shared" si="37"/>
        <v>6.6745486111423388E-3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9">
        <f t="shared" si="32"/>
        <v>0</v>
      </c>
      <c r="BA148" s="29">
        <f t="shared" si="33"/>
        <v>0</v>
      </c>
      <c r="BB148" s="29">
        <f t="shared" si="40"/>
        <v>0</v>
      </c>
      <c r="BC148" s="30">
        <f t="shared" si="41"/>
        <v>7.8853492280009374E-3</v>
      </c>
      <c r="BE148" s="30">
        <f t="shared" si="42"/>
        <v>0</v>
      </c>
      <c r="BF148" s="30">
        <f t="shared" si="43"/>
        <v>1.4559897839143274E-2</v>
      </c>
      <c r="BH148" s="30"/>
    </row>
    <row r="149" spans="1:60" x14ac:dyDescent="0.25">
      <c r="A149" s="1">
        <v>46239</v>
      </c>
      <c r="B149" s="34">
        <v>66.16</v>
      </c>
      <c r="C149" s="34">
        <v>95.17</v>
      </c>
      <c r="D149" s="16">
        <v>4.5354902886489298E-4</v>
      </c>
      <c r="E149" s="16">
        <v>-5.2523768212066595E-4</v>
      </c>
      <c r="F149" s="34">
        <v>0</v>
      </c>
      <c r="G149" s="34">
        <v>2.2852000000000001</v>
      </c>
      <c r="H149" s="34">
        <v>0</v>
      </c>
      <c r="I149" s="34">
        <v>2.9033500000000001</v>
      </c>
      <c r="J149" s="34">
        <v>2.2852000000000001</v>
      </c>
      <c r="K149" s="34">
        <v>2.9033500000000001</v>
      </c>
      <c r="L149" s="34">
        <v>68.4452</v>
      </c>
      <c r="M149" s="34">
        <v>98.073350000000005</v>
      </c>
      <c r="N149" s="35">
        <v>1.43848246674727</v>
      </c>
      <c r="O149" s="35">
        <v>1.43329336478799</v>
      </c>
      <c r="P149" s="35">
        <v>1.43866626728661</v>
      </c>
      <c r="Q149" s="35">
        <v>1.4380166567575099</v>
      </c>
      <c r="R149" s="34">
        <v>94.826689014373599</v>
      </c>
      <c r="S149" s="34">
        <v>95.179912814765501</v>
      </c>
      <c r="T149" s="34">
        <v>95.137111311587603</v>
      </c>
      <c r="U149" s="16">
        <v>-3.6138667578362298E-3</v>
      </c>
      <c r="V149" s="16">
        <v>1.04153604568846E-4</v>
      </c>
      <c r="W149" s="16">
        <v>-3.4563804277294399E-4</v>
      </c>
      <c r="X149" s="35">
        <v>1.43287403645544</v>
      </c>
      <c r="Y149" s="35">
        <v>1.43040773636679</v>
      </c>
      <c r="Z149" s="35">
        <v>1.43388915481851</v>
      </c>
      <c r="AA149" s="35">
        <v>1.43345972546735</v>
      </c>
      <c r="AB149" s="34">
        <v>97.904543597172605</v>
      </c>
      <c r="AC149" s="34">
        <v>98.148900176011907</v>
      </c>
      <c r="AD149" s="34">
        <v>98.115630073284706</v>
      </c>
      <c r="AE149" s="16">
        <v>-1.7227090410706599E-3</v>
      </c>
      <c r="AF149" s="16">
        <v>7.7004702246960598E-4</v>
      </c>
      <c r="AG149" s="16">
        <v>4.3101374933012698E-4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9">
        <f t="shared" si="28"/>
        <v>0</v>
      </c>
      <c r="AP149" s="29">
        <f t="shared" si="29"/>
        <v>0</v>
      </c>
      <c r="AQ149" s="29">
        <f t="shared" si="36"/>
        <v>0</v>
      </c>
      <c r="AR149" s="30">
        <f t="shared" si="37"/>
        <v>6.6745486111423388E-3</v>
      </c>
      <c r="AT149" s="12"/>
      <c r="AU149">
        <f t="shared" si="30"/>
        <v>0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9">
        <f t="shared" si="32"/>
        <v>0</v>
      </c>
      <c r="BA149" s="29">
        <f t="shared" si="33"/>
        <v>0</v>
      </c>
      <c r="BB149" s="29">
        <f t="shared" si="40"/>
        <v>0</v>
      </c>
      <c r="BC149" s="30">
        <f t="shared" si="41"/>
        <v>7.8853492280009374E-3</v>
      </c>
      <c r="BE149" s="30">
        <f t="shared" si="42"/>
        <v>0</v>
      </c>
      <c r="BF149" s="30">
        <f t="shared" si="43"/>
        <v>1.4559897839143274E-2</v>
      </c>
      <c r="BH149" s="30"/>
    </row>
    <row r="150" spans="1:60" x14ac:dyDescent="0.25">
      <c r="A150" s="1">
        <v>46240</v>
      </c>
      <c r="B150" s="34">
        <v>66.03</v>
      </c>
      <c r="C150" s="34">
        <v>94.95</v>
      </c>
      <c r="D150" s="16">
        <v>-1.96686650895585E-3</v>
      </c>
      <c r="E150" s="16">
        <v>-2.31432882595712E-3</v>
      </c>
      <c r="F150" s="34">
        <v>0</v>
      </c>
      <c r="G150" s="34">
        <v>2.2852000000000001</v>
      </c>
      <c r="H150" s="34">
        <v>0</v>
      </c>
      <c r="I150" s="34">
        <v>2.9033500000000001</v>
      </c>
      <c r="J150" s="34">
        <v>2.2852000000000001</v>
      </c>
      <c r="K150" s="34">
        <v>2.9033500000000001</v>
      </c>
      <c r="L150" s="34">
        <v>68.315200000000004</v>
      </c>
      <c r="M150" s="34">
        <v>97.853350000000006</v>
      </c>
      <c r="N150" s="35">
        <v>1.43798273512039</v>
      </c>
      <c r="O150" s="35">
        <v>1.43329336478799</v>
      </c>
      <c r="P150" s="35">
        <v>1.4386270484066901</v>
      </c>
      <c r="Q150" s="35">
        <v>1.43798176053002</v>
      </c>
      <c r="R150" s="34">
        <v>94.640360876951206</v>
      </c>
      <c r="S150" s="34">
        <v>94.995133628935406</v>
      </c>
      <c r="T150" s="34">
        <v>94.952239845698799</v>
      </c>
      <c r="U150" s="16">
        <v>-3.2664044408348102E-3</v>
      </c>
      <c r="V150" s="16">
        <v>4.7522807162850397E-4</v>
      </c>
      <c r="W150" s="16">
        <v>2.35894605641675E-5</v>
      </c>
      <c r="X150" s="35">
        <v>1.4323803487364399</v>
      </c>
      <c r="Y150" s="35">
        <v>1.43040773636679</v>
      </c>
      <c r="Z150" s="35">
        <v>1.43373113952263</v>
      </c>
      <c r="AA150" s="35">
        <v>1.43336271140004</v>
      </c>
      <c r="AB150" s="34">
        <v>97.718590591444993</v>
      </c>
      <c r="AC150" s="34">
        <v>97.956424389257904</v>
      </c>
      <c r="AD150" s="34">
        <v>97.927087837247598</v>
      </c>
      <c r="AE150" s="16">
        <v>-1.37810597445742E-3</v>
      </c>
      <c r="AF150" s="16">
        <v>1.0528013639765901E-3</v>
      </c>
      <c r="AG150" s="16">
        <v>7.5327077157320897E-4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9">
        <f t="shared" ref="AO150:AO176" si="48">AN150*D150</f>
        <v>0</v>
      </c>
      <c r="AP150" s="29">
        <f t="shared" ref="AP150:AP176" si="49">-AN150*$E150</f>
        <v>0</v>
      </c>
      <c r="AQ150" s="29">
        <f t="shared" si="36"/>
        <v>0</v>
      </c>
      <c r="AR150" s="30">
        <f t="shared" si="37"/>
        <v>6.6745486111423388E-3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0</v>
      </c>
      <c r="AX150">
        <f t="shared" si="45"/>
        <v>1</v>
      </c>
      <c r="AY150">
        <f t="shared" si="39"/>
        <v>0</v>
      </c>
      <c r="AZ150" s="29">
        <f t="shared" ref="AZ150:AZ176" si="52">-AY150*D150</f>
        <v>0</v>
      </c>
      <c r="BA150" s="29">
        <f t="shared" ref="BA150:BA176" si="53">AY150*$E150</f>
        <v>0</v>
      </c>
      <c r="BB150" s="29">
        <f t="shared" si="40"/>
        <v>0</v>
      </c>
      <c r="BC150" s="30">
        <f t="shared" si="41"/>
        <v>7.8853492280009374E-3</v>
      </c>
      <c r="BE150" s="30">
        <f t="shared" si="42"/>
        <v>0</v>
      </c>
      <c r="BF150" s="30">
        <f t="shared" si="43"/>
        <v>1.4559897839143274E-2</v>
      </c>
      <c r="BH150" s="30"/>
    </row>
    <row r="151" spans="1:60" x14ac:dyDescent="0.25">
      <c r="A151" s="1">
        <v>46241</v>
      </c>
      <c r="B151" s="34">
        <v>66.209999999999994</v>
      </c>
      <c r="C151" s="34">
        <v>95.24</v>
      </c>
      <c r="D151" s="16">
        <v>2.7223247302746601E-3</v>
      </c>
      <c r="E151" s="16">
        <v>3.0495843603669599E-3</v>
      </c>
      <c r="F151" s="34">
        <v>0</v>
      </c>
      <c r="G151" s="34">
        <v>2.2852000000000001</v>
      </c>
      <c r="H151" s="34">
        <v>0</v>
      </c>
      <c r="I151" s="34">
        <v>2.9033500000000001</v>
      </c>
      <c r="J151" s="34">
        <v>2.2852000000000001</v>
      </c>
      <c r="K151" s="34">
        <v>2.9033500000000001</v>
      </c>
      <c r="L151" s="34">
        <v>68.495199999999997</v>
      </c>
      <c r="M151" s="34">
        <v>98.143349999999998</v>
      </c>
      <c r="N151" s="35">
        <v>1.4384534058299301</v>
      </c>
      <c r="O151" s="35">
        <v>1.43329336478799</v>
      </c>
      <c r="P151" s="35">
        <v>1.43875181192058</v>
      </c>
      <c r="Q151" s="35">
        <v>1.43805562842631</v>
      </c>
      <c r="R151" s="34">
        <v>94.898353682613006</v>
      </c>
      <c r="S151" s="34">
        <v>95.251496875007106</v>
      </c>
      <c r="T151" s="34">
        <v>95.208772364693104</v>
      </c>
      <c r="U151" s="16">
        <v>-3.5936640709272501E-3</v>
      </c>
      <c r="V151" s="16">
        <v>1.2070748783718601E-4</v>
      </c>
      <c r="W151" s="16">
        <v>-3.2793737863410599E-4</v>
      </c>
      <c r="X151" s="35">
        <v>1.43285003912682</v>
      </c>
      <c r="Y151" s="35">
        <v>1.43040773636679</v>
      </c>
      <c r="Z151" s="35">
        <v>1.4337328185104701</v>
      </c>
      <c r="AA151" s="35">
        <v>1.4333716915796799</v>
      </c>
      <c r="AB151" s="34">
        <v>97.976063983990997</v>
      </c>
      <c r="AC151" s="34">
        <v>98.2037011478306</v>
      </c>
      <c r="AD151" s="34">
        <v>98.178465589888006</v>
      </c>
      <c r="AE151" s="16">
        <v>-1.70596121191467E-3</v>
      </c>
      <c r="AF151" s="16">
        <v>6.1473955812868595E-4</v>
      </c>
      <c r="AG151" s="16">
        <v>3.5773497873450199E-4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9">
        <f t="shared" si="48"/>
        <v>0</v>
      </c>
      <c r="AP151" s="29">
        <f t="shared" si="49"/>
        <v>0</v>
      </c>
      <c r="AQ151" s="29">
        <f t="shared" ref="AQ151:AQ176" si="56">AO151+AP151</f>
        <v>0</v>
      </c>
      <c r="AR151" s="30">
        <f t="shared" ref="AR151:AR176" si="57">AR150+AQ151</f>
        <v>6.6745486111423388E-3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9">
        <f t="shared" si="52"/>
        <v>0</v>
      </c>
      <c r="BA151" s="29">
        <f t="shared" si="53"/>
        <v>0</v>
      </c>
      <c r="BB151" s="29">
        <f t="shared" ref="BB151:BB176" si="60">AZ151+BA151</f>
        <v>0</v>
      </c>
      <c r="BC151" s="30">
        <f t="shared" ref="BC151:BC176" si="61">BC150+BB151</f>
        <v>7.8853492280009374E-3</v>
      </c>
      <c r="BE151" s="30">
        <f t="shared" ref="BE151:BE176" si="62">AQ151+BB151</f>
        <v>0</v>
      </c>
      <c r="BF151" s="30">
        <f t="shared" ref="BF151:BF176" si="63">BF150+BE151</f>
        <v>1.4559897839143274E-2</v>
      </c>
      <c r="BH151" s="30"/>
    </row>
    <row r="152" spans="1:60" x14ac:dyDescent="0.25">
      <c r="A152" s="1">
        <v>46244</v>
      </c>
      <c r="B152" s="34">
        <v>65.959999999999994</v>
      </c>
      <c r="C152" s="34">
        <v>94.84</v>
      </c>
      <c r="D152" s="16">
        <v>-3.7830112453566102E-3</v>
      </c>
      <c r="E152" s="16">
        <v>-4.20876042145723E-3</v>
      </c>
      <c r="F152" s="34">
        <v>0</v>
      </c>
      <c r="G152" s="34">
        <v>2.2852000000000001</v>
      </c>
      <c r="H152" s="34">
        <v>0</v>
      </c>
      <c r="I152" s="34">
        <v>2.9033500000000001</v>
      </c>
      <c r="J152" s="34">
        <v>2.2852000000000001</v>
      </c>
      <c r="K152" s="34">
        <v>2.9033500000000001</v>
      </c>
      <c r="L152" s="34">
        <v>68.245199999999997</v>
      </c>
      <c r="M152" s="34">
        <v>97.743350000000007</v>
      </c>
      <c r="N152" s="35">
        <v>1.43784111582777</v>
      </c>
      <c r="O152" s="35">
        <v>1.43329336478799</v>
      </c>
      <c r="P152" s="35">
        <v>1.43870072204926</v>
      </c>
      <c r="Q152" s="35">
        <v>1.43811457682201</v>
      </c>
      <c r="R152" s="34">
        <v>94.540030341415999</v>
      </c>
      <c r="S152" s="34">
        <v>94.900069514281995</v>
      </c>
      <c r="T152" s="34">
        <v>94.854149250999797</v>
      </c>
      <c r="U152" s="16">
        <v>-3.1679148948266199E-3</v>
      </c>
      <c r="V152" s="16">
        <v>6.33176918747245E-4</v>
      </c>
      <c r="W152" s="16">
        <v>1.49179625011206E-4</v>
      </c>
      <c r="X152" s="35">
        <v>1.4322377251440299</v>
      </c>
      <c r="Y152" s="35">
        <v>1.43040773636679</v>
      </c>
      <c r="Z152" s="35">
        <v>1.4335608177158301</v>
      </c>
      <c r="AA152" s="35">
        <v>1.43336659753873</v>
      </c>
      <c r="AB152" s="34">
        <v>97.618462049899307</v>
      </c>
      <c r="AC152" s="34">
        <v>97.845382945811096</v>
      </c>
      <c r="AD152" s="34">
        <v>97.820737766193602</v>
      </c>
      <c r="AE152" s="16">
        <v>-1.2785299829324501E-3</v>
      </c>
      <c r="AF152" s="16">
        <v>1.0433418482767699E-3</v>
      </c>
      <c r="AG152" s="16">
        <v>7.9143130128824998E-4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9">
        <f t="shared" si="48"/>
        <v>0</v>
      </c>
      <c r="AP152" s="29">
        <f t="shared" si="49"/>
        <v>0</v>
      </c>
      <c r="AQ152" s="29">
        <f t="shared" si="56"/>
        <v>0</v>
      </c>
      <c r="AR152" s="30">
        <f t="shared" si="57"/>
        <v>6.6745486111423388E-3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9">
        <f t="shared" si="52"/>
        <v>0</v>
      </c>
      <c r="BA152" s="29">
        <f t="shared" si="53"/>
        <v>0</v>
      </c>
      <c r="BB152" s="29">
        <f t="shared" si="60"/>
        <v>0</v>
      </c>
      <c r="BC152" s="30">
        <f t="shared" si="61"/>
        <v>7.8853492280009374E-3</v>
      </c>
      <c r="BE152" s="30">
        <f t="shared" si="62"/>
        <v>0</v>
      </c>
      <c r="BF152" s="30">
        <f t="shared" si="63"/>
        <v>1.4559897839143274E-2</v>
      </c>
      <c r="BH152" s="30"/>
    </row>
    <row r="153" spans="1:60" x14ac:dyDescent="0.25">
      <c r="A153" s="1">
        <v>46245</v>
      </c>
      <c r="B153" s="34">
        <v>65.94</v>
      </c>
      <c r="C153" s="34">
        <v>94.83</v>
      </c>
      <c r="D153" s="16">
        <v>-3.0326004781304499E-4</v>
      </c>
      <c r="E153" s="16">
        <v>-1.0544630156875201E-4</v>
      </c>
      <c r="F153" s="34">
        <v>0</v>
      </c>
      <c r="G153" s="34">
        <v>2.2852000000000001</v>
      </c>
      <c r="H153" s="34">
        <v>0</v>
      </c>
      <c r="I153" s="34">
        <v>2.9033500000000001</v>
      </c>
      <c r="J153" s="34">
        <v>2.2852000000000001</v>
      </c>
      <c r="K153" s="34">
        <v>2.9033500000000001</v>
      </c>
      <c r="L153" s="34">
        <v>68.225200000000001</v>
      </c>
      <c r="M153" s="34">
        <v>97.733350000000002</v>
      </c>
      <c r="N153" s="35">
        <v>1.4381255686988099</v>
      </c>
      <c r="O153" s="35">
        <v>1.43329336478799</v>
      </c>
      <c r="P153" s="35">
        <v>1.43856953175446</v>
      </c>
      <c r="Q153" s="35">
        <v>1.4381745163605399</v>
      </c>
      <c r="R153" s="34">
        <v>94.511364474120299</v>
      </c>
      <c r="S153" s="34">
        <v>94.8679256119283</v>
      </c>
      <c r="T153" s="34">
        <v>94.829275195643504</v>
      </c>
      <c r="U153" s="16">
        <v>-3.36572864107107E-3</v>
      </c>
      <c r="V153" s="16">
        <v>3.9985268485480201E-4</v>
      </c>
      <c r="W153" s="16">
        <v>-7.6432260510335193E-6</v>
      </c>
      <c r="X153" s="35">
        <v>1.43251100766285</v>
      </c>
      <c r="Y153" s="35">
        <v>1.43040773636679</v>
      </c>
      <c r="Z153" s="35">
        <v>1.4333099807310801</v>
      </c>
      <c r="AA153" s="35">
        <v>1.4333619319642099</v>
      </c>
      <c r="AB153" s="34">
        <v>97.589853895171899</v>
      </c>
      <c r="AC153" s="34">
        <v>97.804973500826407</v>
      </c>
      <c r="AD153" s="34">
        <v>97.791722790399703</v>
      </c>
      <c r="AE153" s="16">
        <v>-1.46931985327445E-3</v>
      </c>
      <c r="AF153" s="16">
        <v>7.3257766301090897E-4</v>
      </c>
      <c r="AG153" s="16">
        <v>5.9708753768393595E-4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9">
        <f t="shared" si="48"/>
        <v>0</v>
      </c>
      <c r="AP153" s="29">
        <f t="shared" si="49"/>
        <v>0</v>
      </c>
      <c r="AQ153" s="29">
        <f t="shared" si="56"/>
        <v>0</v>
      </c>
      <c r="AR153" s="30">
        <f t="shared" si="57"/>
        <v>6.6745486111423388E-3</v>
      </c>
      <c r="AT153" s="12"/>
      <c r="AU153">
        <f t="shared" si="50"/>
        <v>0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9">
        <f t="shared" si="52"/>
        <v>0</v>
      </c>
      <c r="BA153" s="29">
        <f t="shared" si="53"/>
        <v>0</v>
      </c>
      <c r="BB153" s="29">
        <f t="shared" si="60"/>
        <v>0</v>
      </c>
      <c r="BC153" s="30">
        <f t="shared" si="61"/>
        <v>7.8853492280009374E-3</v>
      </c>
      <c r="BE153" s="30">
        <f t="shared" si="62"/>
        <v>0</v>
      </c>
      <c r="BF153" s="30">
        <f t="shared" si="63"/>
        <v>1.4559897839143274E-2</v>
      </c>
      <c r="BH153" s="30"/>
    </row>
    <row r="154" spans="1:60" x14ac:dyDescent="0.25">
      <c r="A154" s="1">
        <v>46246</v>
      </c>
      <c r="B154" s="34">
        <v>65.989999999999995</v>
      </c>
      <c r="C154" s="34">
        <v>94.94</v>
      </c>
      <c r="D154" s="16">
        <v>7.5797775174527601E-4</v>
      </c>
      <c r="E154" s="16">
        <v>1.1592982275358901E-3</v>
      </c>
      <c r="F154" s="34">
        <v>0</v>
      </c>
      <c r="G154" s="34">
        <v>2.2852000000000001</v>
      </c>
      <c r="H154" s="34">
        <v>0</v>
      </c>
      <c r="I154" s="34">
        <v>2.9033500000000001</v>
      </c>
      <c r="J154" s="34">
        <v>2.2852000000000001</v>
      </c>
      <c r="K154" s="34">
        <v>2.9033500000000001</v>
      </c>
      <c r="L154" s="34">
        <v>68.275199999999998</v>
      </c>
      <c r="M154" s="34">
        <v>97.843350000000001</v>
      </c>
      <c r="N154" s="35">
        <v>1.4387028337626899</v>
      </c>
      <c r="O154" s="35">
        <v>1.43329336478799</v>
      </c>
      <c r="P154" s="35">
        <v>1.4386004479265999</v>
      </c>
      <c r="Q154" s="35">
        <v>1.43824028867931</v>
      </c>
      <c r="R154" s="34">
        <v>94.583029142359706</v>
      </c>
      <c r="S154" s="34">
        <v>94.931203400477301</v>
      </c>
      <c r="T154" s="34">
        <v>94.905136334632402</v>
      </c>
      <c r="U154" s="16">
        <v>-3.7670491168617002E-3</v>
      </c>
      <c r="V154" s="16">
        <v>-9.2658595631216705E-5</v>
      </c>
      <c r="W154" s="16">
        <v>-3.6728531931411401E-4</v>
      </c>
      <c r="X154" s="35">
        <v>1.43307306313273</v>
      </c>
      <c r="Y154" s="35">
        <v>1.43040773636679</v>
      </c>
      <c r="Z154" s="35">
        <v>1.43321928531264</v>
      </c>
      <c r="AA154" s="35">
        <v>1.43336270630511</v>
      </c>
      <c r="AB154" s="34">
        <v>97.661374281990305</v>
      </c>
      <c r="AC154" s="34">
        <v>97.859525596411203</v>
      </c>
      <c r="AD154" s="34">
        <v>97.863072577242804</v>
      </c>
      <c r="AE154" s="16">
        <v>-1.8615997258570501E-3</v>
      </c>
      <c r="AF154" s="16">
        <v>1.6530770331026301E-4</v>
      </c>
      <c r="AG154" s="16">
        <v>2.0155268334984199E-4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9">
        <f t="shared" si="48"/>
        <v>0</v>
      </c>
      <c r="AP154" s="29">
        <f t="shared" si="49"/>
        <v>0</v>
      </c>
      <c r="AQ154" s="29">
        <f t="shared" si="56"/>
        <v>0</v>
      </c>
      <c r="AR154" s="30">
        <f t="shared" si="57"/>
        <v>6.6745486111423388E-3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9">
        <f t="shared" si="52"/>
        <v>0</v>
      </c>
      <c r="BA154" s="29">
        <f t="shared" si="53"/>
        <v>0</v>
      </c>
      <c r="BB154" s="29">
        <f t="shared" si="60"/>
        <v>0</v>
      </c>
      <c r="BC154" s="30">
        <f t="shared" si="61"/>
        <v>7.8853492280009374E-3</v>
      </c>
      <c r="BE154" s="30">
        <f t="shared" si="62"/>
        <v>0</v>
      </c>
      <c r="BF154" s="30">
        <f t="shared" si="63"/>
        <v>1.4559897839143274E-2</v>
      </c>
      <c r="BH154" s="30"/>
    </row>
    <row r="155" spans="1:60" x14ac:dyDescent="0.25">
      <c r="A155" s="1">
        <v>46247</v>
      </c>
      <c r="B155" s="34">
        <v>66.28</v>
      </c>
      <c r="C155" s="34">
        <v>95.36</v>
      </c>
      <c r="D155" s="16">
        <v>4.3849771630318996E-3</v>
      </c>
      <c r="E155" s="16">
        <v>4.4140901938675703E-3</v>
      </c>
      <c r="F155" s="34">
        <v>0</v>
      </c>
      <c r="G155" s="34">
        <v>2.2852000000000001</v>
      </c>
      <c r="H155" s="34">
        <v>0</v>
      </c>
      <c r="I155" s="34">
        <v>2.9033500000000001</v>
      </c>
      <c r="J155" s="34">
        <v>2.2852000000000001</v>
      </c>
      <c r="K155" s="34">
        <v>2.9033500000000001</v>
      </c>
      <c r="L155" s="34">
        <v>68.565200000000004</v>
      </c>
      <c r="M155" s="34">
        <v>98.263350000000003</v>
      </c>
      <c r="N155" s="35">
        <v>1.4387447193723499</v>
      </c>
      <c r="O155" s="35">
        <v>1.43329336478799</v>
      </c>
      <c r="P155" s="35">
        <v>1.4385702591685201</v>
      </c>
      <c r="Q155" s="35">
        <v>1.4383701328209999</v>
      </c>
      <c r="R155" s="34">
        <v>94.998684218148199</v>
      </c>
      <c r="S155" s="34">
        <v>95.350437688574999</v>
      </c>
      <c r="T155" s="34">
        <v>95.3265663336648</v>
      </c>
      <c r="U155" s="16">
        <v>-3.79616214769736E-3</v>
      </c>
      <c r="V155" s="16">
        <v>-1.0028094475438601E-4</v>
      </c>
      <c r="W155" s="16">
        <v>-3.5066619868019699E-4</v>
      </c>
      <c r="X155" s="35">
        <v>1.4331373641439</v>
      </c>
      <c r="Y155" s="35">
        <v>1.43040773636679</v>
      </c>
      <c r="Z155" s="35">
        <v>1.4330707470303099</v>
      </c>
      <c r="AA155" s="35">
        <v>1.4334270456139</v>
      </c>
      <c r="AB155" s="34">
        <v>98.076192525536698</v>
      </c>
      <c r="AC155" s="34">
        <v>98.268966941318695</v>
      </c>
      <c r="AD155" s="34">
        <v>98.278800630351398</v>
      </c>
      <c r="AE155" s="16">
        <v>-1.9064680373913E-3</v>
      </c>
      <c r="AF155" s="16">
        <v>5.7160485437308801E-5</v>
      </c>
      <c r="AG155" s="16">
        <v>1.5722459873058201E-4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9">
        <f t="shared" si="48"/>
        <v>0</v>
      </c>
      <c r="AP155" s="29">
        <f t="shared" si="49"/>
        <v>0</v>
      </c>
      <c r="AQ155" s="29">
        <f t="shared" si="56"/>
        <v>0</v>
      </c>
      <c r="AR155" s="30">
        <f t="shared" si="57"/>
        <v>6.6745486111423388E-3</v>
      </c>
      <c r="AT155" s="12"/>
      <c r="AU155">
        <f t="shared" si="50"/>
        <v>0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29">
        <f t="shared" si="52"/>
        <v>0</v>
      </c>
      <c r="BA155" s="29">
        <f t="shared" si="53"/>
        <v>0</v>
      </c>
      <c r="BB155" s="29">
        <f t="shared" si="60"/>
        <v>0</v>
      </c>
      <c r="BC155" s="30">
        <f t="shared" si="61"/>
        <v>7.8853492280009374E-3</v>
      </c>
      <c r="BE155" s="30">
        <f t="shared" si="62"/>
        <v>0</v>
      </c>
      <c r="BF155" s="30">
        <f t="shared" si="63"/>
        <v>1.4559897839143274E-2</v>
      </c>
      <c r="BH155" s="30"/>
    </row>
    <row r="156" spans="1:60" x14ac:dyDescent="0.25">
      <c r="A156" s="1">
        <v>46248</v>
      </c>
      <c r="B156" s="34">
        <v>66.13</v>
      </c>
      <c r="C156" s="34">
        <v>95.05</v>
      </c>
      <c r="D156" s="16">
        <v>-2.2656908717911899E-3</v>
      </c>
      <c r="E156" s="16">
        <v>-3.25613438260146E-3</v>
      </c>
      <c r="F156" s="34">
        <v>0</v>
      </c>
      <c r="G156" s="34">
        <v>2.2852000000000001</v>
      </c>
      <c r="H156" s="34">
        <v>0</v>
      </c>
      <c r="I156" s="34">
        <v>2.9033500000000001</v>
      </c>
      <c r="J156" s="34">
        <v>2.2852000000000001</v>
      </c>
      <c r="K156" s="34">
        <v>2.9033500000000001</v>
      </c>
      <c r="L156" s="34">
        <v>68.415199999999999</v>
      </c>
      <c r="M156" s="34">
        <v>97.95335</v>
      </c>
      <c r="N156" s="35">
        <v>1.43732042945713</v>
      </c>
      <c r="O156" s="35">
        <v>1.43329336478799</v>
      </c>
      <c r="P156" s="35">
        <v>1.4385295196112</v>
      </c>
      <c r="Q156" s="35">
        <v>1.4383874780002399</v>
      </c>
      <c r="R156" s="34">
        <v>94.783690213430006</v>
      </c>
      <c r="S156" s="34">
        <v>95.132651238814603</v>
      </c>
      <c r="T156" s="34">
        <v>95.119416883453098</v>
      </c>
      <c r="U156" s="16">
        <v>-2.8057186368871702E-3</v>
      </c>
      <c r="V156" s="16">
        <v>8.6917753517131401E-4</v>
      </c>
      <c r="W156" s="16">
        <v>7.3005310395262801E-4</v>
      </c>
      <c r="X156" s="35">
        <v>1.43174835416691</v>
      </c>
      <c r="Y156" s="35">
        <v>1.43040773636679</v>
      </c>
      <c r="Z156" s="35">
        <v>1.4329116097771599</v>
      </c>
      <c r="AA156" s="35">
        <v>1.43338207096111</v>
      </c>
      <c r="AB156" s="34">
        <v>97.861631365081607</v>
      </c>
      <c r="AC156" s="34">
        <v>98.043821772228597</v>
      </c>
      <c r="AD156" s="34">
        <v>98.068198011084704</v>
      </c>
      <c r="AE156" s="16">
        <v>-9.3678880937923001E-4</v>
      </c>
      <c r="AF156" s="16">
        <v>9.2319473629384101E-4</v>
      </c>
      <c r="AG156" s="16">
        <v>1.17178978935129E-3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9">
        <f t="shared" si="48"/>
        <v>0</v>
      </c>
      <c r="AP156" s="29">
        <f t="shared" si="49"/>
        <v>0</v>
      </c>
      <c r="AQ156" s="29">
        <f t="shared" si="56"/>
        <v>0</v>
      </c>
      <c r="AR156" s="30">
        <f t="shared" si="57"/>
        <v>6.6745486111423388E-3</v>
      </c>
      <c r="AT156" s="12"/>
      <c r="AU156">
        <f t="shared" si="50"/>
        <v>1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9">
        <f t="shared" si="52"/>
        <v>0</v>
      </c>
      <c r="BA156" s="29">
        <f t="shared" si="53"/>
        <v>0</v>
      </c>
      <c r="BB156" s="29">
        <f t="shared" si="60"/>
        <v>0</v>
      </c>
      <c r="BC156" s="30">
        <f t="shared" si="61"/>
        <v>7.8853492280009374E-3</v>
      </c>
      <c r="BE156" s="30">
        <f t="shared" si="62"/>
        <v>0</v>
      </c>
      <c r="BF156" s="30">
        <f t="shared" si="63"/>
        <v>1.4559897839143274E-2</v>
      </c>
      <c r="BH156" s="30"/>
    </row>
    <row r="157" spans="1:60" x14ac:dyDescent="0.25">
      <c r="A157" s="1">
        <v>46251</v>
      </c>
      <c r="B157" s="34">
        <v>65.900000000000006</v>
      </c>
      <c r="C157" s="34">
        <v>94.7</v>
      </c>
      <c r="D157" s="16">
        <v>-3.48406017810932E-3</v>
      </c>
      <c r="E157" s="16">
        <v>-3.6890687424055899E-3</v>
      </c>
      <c r="F157" s="34">
        <v>0</v>
      </c>
      <c r="G157" s="34">
        <v>2.2852000000000001</v>
      </c>
      <c r="H157" s="34">
        <v>0</v>
      </c>
      <c r="I157" s="34">
        <v>2.9033500000000001</v>
      </c>
      <c r="J157" s="34">
        <v>2.2852000000000001</v>
      </c>
      <c r="K157" s="34">
        <v>2.9033500000000001</v>
      </c>
      <c r="L157" s="34">
        <v>68.185199999999995</v>
      </c>
      <c r="M157" s="34">
        <v>97.603350000000006</v>
      </c>
      <c r="N157" s="35">
        <v>1.4370257966616</v>
      </c>
      <c r="O157" s="35">
        <v>1.43329336478799</v>
      </c>
      <c r="P157" s="35">
        <v>1.4382570195022499</v>
      </c>
      <c r="Q157" s="35">
        <v>1.43838072081704</v>
      </c>
      <c r="R157" s="34">
        <v>94.454032739528799</v>
      </c>
      <c r="S157" s="34">
        <v>94.799095342378195</v>
      </c>
      <c r="T157" s="34">
        <v>94.789734800215896</v>
      </c>
      <c r="U157" s="16">
        <v>-2.6007100725908899E-3</v>
      </c>
      <c r="V157" s="16">
        <v>1.04586622149344E-3</v>
      </c>
      <c r="W157" s="16">
        <v>9.4712050780462504E-4</v>
      </c>
      <c r="X157" s="35">
        <v>1.4314448003378999</v>
      </c>
      <c r="Y157" s="35">
        <v>1.43040773636679</v>
      </c>
      <c r="Z157" s="35">
        <v>1.43264899210069</v>
      </c>
      <c r="AA157" s="35">
        <v>1.4333131938833601</v>
      </c>
      <c r="AB157" s="34">
        <v>97.532637585717296</v>
      </c>
      <c r="AC157" s="34">
        <v>97.703364694978205</v>
      </c>
      <c r="AD157" s="34">
        <v>97.735443184897605</v>
      </c>
      <c r="AE157" s="16">
        <v>-7.2475014222412096E-4</v>
      </c>
      <c r="AF157" s="16">
        <v>1.0241809031191101E-3</v>
      </c>
      <c r="AG157" s="16">
        <v>1.35245235089841E-3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9">
        <f t="shared" si="48"/>
        <v>0</v>
      </c>
      <c r="AP157" s="29">
        <f t="shared" si="49"/>
        <v>0</v>
      </c>
      <c r="AQ157" s="29">
        <f t="shared" si="56"/>
        <v>0</v>
      </c>
      <c r="AR157" s="30">
        <f t="shared" si="57"/>
        <v>6.6745486111423388E-3</v>
      </c>
      <c r="AT157" s="12"/>
      <c r="AU157">
        <f t="shared" si="50"/>
        <v>1</v>
      </c>
      <c r="AV157">
        <f t="shared" si="51"/>
        <v>0</v>
      </c>
      <c r="AW157">
        <f t="shared" si="58"/>
        <v>1</v>
      </c>
      <c r="AX157">
        <f t="shared" si="45"/>
        <v>1</v>
      </c>
      <c r="AY157">
        <f t="shared" si="59"/>
        <v>1</v>
      </c>
      <c r="AZ157" s="29">
        <f t="shared" si="52"/>
        <v>3.48406017810932E-3</v>
      </c>
      <c r="BA157" s="29">
        <f t="shared" si="53"/>
        <v>-3.6890687424055899E-3</v>
      </c>
      <c r="BB157" s="29">
        <f t="shared" si="60"/>
        <v>-2.0500856429626988E-4</v>
      </c>
      <c r="BC157" s="30">
        <f t="shared" si="61"/>
        <v>7.6803406637046675E-3</v>
      </c>
      <c r="BE157" s="30">
        <f t="shared" si="62"/>
        <v>-2.0500856429626988E-4</v>
      </c>
      <c r="BF157" s="30">
        <f t="shared" si="63"/>
        <v>1.4354889274847005E-2</v>
      </c>
      <c r="BH157" s="30"/>
    </row>
    <row r="158" spans="1:60" x14ac:dyDescent="0.25">
      <c r="A158" s="1">
        <v>46252</v>
      </c>
      <c r="B158" s="34">
        <v>65.83</v>
      </c>
      <c r="C158" s="34">
        <v>94.64</v>
      </c>
      <c r="D158" s="16">
        <v>-1.0627800286763501E-3</v>
      </c>
      <c r="E158" s="16">
        <v>-6.33780521901299E-4</v>
      </c>
      <c r="F158" s="34">
        <v>0</v>
      </c>
      <c r="G158" s="34">
        <v>2.2852000000000001</v>
      </c>
      <c r="H158" s="34">
        <v>0</v>
      </c>
      <c r="I158" s="34">
        <v>2.9033500000000001</v>
      </c>
      <c r="J158" s="34">
        <v>2.2852000000000001</v>
      </c>
      <c r="K158" s="34">
        <v>2.9033500000000001</v>
      </c>
      <c r="L158" s="34">
        <v>68.115200000000002</v>
      </c>
      <c r="M158" s="34">
        <v>97.543350000000004</v>
      </c>
      <c r="N158" s="35">
        <v>1.4376424122740299</v>
      </c>
      <c r="O158" s="35">
        <v>1.43329336478799</v>
      </c>
      <c r="P158" s="35">
        <v>1.4380321483752001</v>
      </c>
      <c r="Q158" s="35">
        <v>1.4383322230295399</v>
      </c>
      <c r="R158" s="34">
        <v>94.353702203993606</v>
      </c>
      <c r="S158" s="34">
        <v>94.680459593833305</v>
      </c>
      <c r="T158" s="34">
        <v>94.688602851386193</v>
      </c>
      <c r="U158" s="16">
        <v>-3.0297095793660302E-3</v>
      </c>
      <c r="V158" s="16">
        <v>4.2741914461929002E-4</v>
      </c>
      <c r="W158" s="16">
        <v>5.1342324109360303E-4</v>
      </c>
      <c r="X158" s="35">
        <v>1.4320349936578001</v>
      </c>
      <c r="Y158" s="35">
        <v>1.43040773636679</v>
      </c>
      <c r="Z158" s="35">
        <v>1.43242917325648</v>
      </c>
      <c r="AA158" s="35">
        <v>1.4332035075168601</v>
      </c>
      <c r="AB158" s="34">
        <v>97.432509044171596</v>
      </c>
      <c r="AC158" s="34">
        <v>97.585172626737304</v>
      </c>
      <c r="AD158" s="34">
        <v>97.630414864004294</v>
      </c>
      <c r="AE158" s="16">
        <v>-1.1369711954302101E-3</v>
      </c>
      <c r="AF158" s="16">
        <v>4.28667493759713E-4</v>
      </c>
      <c r="AG158" s="16">
        <v>8.9217800189681103E-4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9">
        <f t="shared" si="48"/>
        <v>0</v>
      </c>
      <c r="AP158" s="29">
        <f t="shared" si="49"/>
        <v>0</v>
      </c>
      <c r="AQ158" s="29">
        <f t="shared" si="56"/>
        <v>0</v>
      </c>
      <c r="AR158" s="30">
        <f t="shared" si="57"/>
        <v>6.6745486111423388E-3</v>
      </c>
      <c r="AT158" s="12"/>
      <c r="AU158">
        <f t="shared" si="50"/>
        <v>0</v>
      </c>
      <c r="AV158">
        <f t="shared" si="51"/>
        <v>0</v>
      </c>
      <c r="AW158">
        <f t="shared" si="58"/>
        <v>1</v>
      </c>
      <c r="AX158">
        <f t="shared" si="45"/>
        <v>1</v>
      </c>
      <c r="AY158">
        <f t="shared" si="59"/>
        <v>1</v>
      </c>
      <c r="AZ158" s="29">
        <f t="shared" si="52"/>
        <v>1.0627800286763501E-3</v>
      </c>
      <c r="BA158" s="29">
        <f t="shared" si="53"/>
        <v>-6.33780521901299E-4</v>
      </c>
      <c r="BB158" s="29">
        <f t="shared" si="60"/>
        <v>4.2899950677505107E-4</v>
      </c>
      <c r="BC158" s="30">
        <f t="shared" si="61"/>
        <v>8.1093401704797185E-3</v>
      </c>
      <c r="BE158" s="30">
        <f t="shared" si="62"/>
        <v>4.2899950677505107E-4</v>
      </c>
      <c r="BF158" s="30">
        <f t="shared" si="63"/>
        <v>1.4783888781622057E-2</v>
      </c>
      <c r="BH158" s="30"/>
    </row>
    <row r="159" spans="1:60" x14ac:dyDescent="0.25">
      <c r="A159" s="1">
        <v>46253</v>
      </c>
      <c r="B159" s="34">
        <v>66.11</v>
      </c>
      <c r="C159" s="34">
        <v>95.11</v>
      </c>
      <c r="D159" s="16">
        <v>4.2443598657013696E-3</v>
      </c>
      <c r="E159" s="16">
        <v>4.9538968241628796E-3</v>
      </c>
      <c r="F159" s="34">
        <v>0</v>
      </c>
      <c r="G159" s="34">
        <v>2.2852000000000001</v>
      </c>
      <c r="H159" s="34">
        <v>0</v>
      </c>
      <c r="I159" s="34">
        <v>2.9033500000000001</v>
      </c>
      <c r="J159" s="34">
        <v>2.2852000000000001</v>
      </c>
      <c r="K159" s="34">
        <v>2.9033500000000001</v>
      </c>
      <c r="L159" s="34">
        <v>68.395200000000003</v>
      </c>
      <c r="M159" s="34">
        <v>98.013350000000003</v>
      </c>
      <c r="N159" s="35">
        <v>1.4386628346694901</v>
      </c>
      <c r="O159" s="35">
        <v>1.43329336478799</v>
      </c>
      <c r="P159" s="35">
        <v>1.4380501851674199</v>
      </c>
      <c r="Q159" s="35">
        <v>1.43835822622702</v>
      </c>
      <c r="R159" s="34">
        <v>94.755024346134206</v>
      </c>
      <c r="S159" s="34">
        <v>95.068305329084694</v>
      </c>
      <c r="T159" s="34">
        <v>95.088143264482994</v>
      </c>
      <c r="U159" s="16">
        <v>-3.7392465378274001E-3</v>
      </c>
      <c r="V159" s="16">
        <v>-4.38479788861221E-4</v>
      </c>
      <c r="W159" s="16">
        <v>-2.2983121956973601E-4</v>
      </c>
      <c r="X159" s="35">
        <v>1.43304427796102</v>
      </c>
      <c r="Y159" s="35">
        <v>1.43040773636679</v>
      </c>
      <c r="Z159" s="35">
        <v>1.4324461974070399</v>
      </c>
      <c r="AA159" s="35">
        <v>1.4331676761127801</v>
      </c>
      <c r="AB159" s="34">
        <v>97.833023210354298</v>
      </c>
      <c r="AC159" s="34">
        <v>97.971279790712103</v>
      </c>
      <c r="AD159" s="34">
        <v>98.024240537317496</v>
      </c>
      <c r="AE159" s="16">
        <v>-1.84151319883647E-3</v>
      </c>
      <c r="AF159" s="16">
        <v>-4.2932152362165599E-4</v>
      </c>
      <c r="AG159" s="16">
        <v>1.1110662295878801E-4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9">
        <f t="shared" si="48"/>
        <v>0</v>
      </c>
      <c r="AP159" s="29">
        <f t="shared" si="49"/>
        <v>0</v>
      </c>
      <c r="AQ159" s="29">
        <f t="shared" si="56"/>
        <v>0</v>
      </c>
      <c r="AR159" s="30">
        <f t="shared" si="57"/>
        <v>6.6745486111423388E-3</v>
      </c>
      <c r="AT159" s="12"/>
      <c r="AU159">
        <f t="shared" si="50"/>
        <v>0</v>
      </c>
      <c r="AV159">
        <f t="shared" si="51"/>
        <v>0</v>
      </c>
      <c r="AW159">
        <f t="shared" si="58"/>
        <v>1</v>
      </c>
      <c r="AX159">
        <f t="shared" si="45"/>
        <v>1</v>
      </c>
      <c r="AY159">
        <f t="shared" si="59"/>
        <v>1</v>
      </c>
      <c r="AZ159" s="29">
        <f t="shared" si="52"/>
        <v>-4.2443598657013696E-3</v>
      </c>
      <c r="BA159" s="29">
        <f t="shared" si="53"/>
        <v>4.9538968241628796E-3</v>
      </c>
      <c r="BB159" s="29">
        <f t="shared" si="60"/>
        <v>7.0953695846151001E-4</v>
      </c>
      <c r="BC159" s="30">
        <f t="shared" si="61"/>
        <v>8.8188771289412285E-3</v>
      </c>
      <c r="BE159" s="30">
        <f t="shared" si="62"/>
        <v>7.0953695846151001E-4</v>
      </c>
      <c r="BF159" s="30">
        <f t="shared" si="63"/>
        <v>1.5493425740083567E-2</v>
      </c>
      <c r="BH159" s="30"/>
    </row>
    <row r="160" spans="1:60" x14ac:dyDescent="0.25">
      <c r="A160" s="1">
        <v>46254</v>
      </c>
      <c r="B160" s="34">
        <v>65.88</v>
      </c>
      <c r="C160" s="34">
        <v>94.67</v>
      </c>
      <c r="D160" s="16">
        <v>-3.4851160360472901E-3</v>
      </c>
      <c r="E160" s="16">
        <v>-4.6369563534942402E-3</v>
      </c>
      <c r="F160" s="34">
        <v>0</v>
      </c>
      <c r="G160" s="34">
        <v>2.2852000000000001</v>
      </c>
      <c r="H160" s="34">
        <v>0</v>
      </c>
      <c r="I160" s="34">
        <v>2.9033500000000001</v>
      </c>
      <c r="J160" s="34">
        <v>2.2852000000000001</v>
      </c>
      <c r="K160" s="34">
        <v>2.9033500000000001</v>
      </c>
      <c r="L160" s="34">
        <v>68.165199999999999</v>
      </c>
      <c r="M160" s="34">
        <v>97.573350000000005</v>
      </c>
      <c r="N160" s="35">
        <v>1.43700667880995</v>
      </c>
      <c r="O160" s="35">
        <v>1.43329336478799</v>
      </c>
      <c r="P160" s="35">
        <v>1.4379525795363799</v>
      </c>
      <c r="Q160" s="35">
        <v>1.4382898139715301</v>
      </c>
      <c r="R160" s="34">
        <v>94.425366872232999</v>
      </c>
      <c r="S160" s="34">
        <v>94.738746198829901</v>
      </c>
      <c r="T160" s="34">
        <v>94.7590399438361</v>
      </c>
      <c r="U160" s="16">
        <v>-2.5874062203802501E-3</v>
      </c>
      <c r="V160" s="16">
        <v>7.2590314046536305E-4</v>
      </c>
      <c r="W160" s="16">
        <v>9.4008764886427604E-4</v>
      </c>
      <c r="X160" s="35">
        <v>1.4314246859101101</v>
      </c>
      <c r="Y160" s="35">
        <v>1.43040773636679</v>
      </c>
      <c r="Z160" s="35">
        <v>1.4323506311244101</v>
      </c>
      <c r="AA160" s="35">
        <v>1.4330408853235199</v>
      </c>
      <c r="AB160" s="34">
        <v>97.504029430989902</v>
      </c>
      <c r="AC160" s="34">
        <v>97.642981535490705</v>
      </c>
      <c r="AD160" s="34">
        <v>97.692161275762899</v>
      </c>
      <c r="AE160" s="16">
        <v>-7.1069820734720999E-4</v>
      </c>
      <c r="AF160" s="16">
        <v>7.1337820863720503E-4</v>
      </c>
      <c r="AG160" s="16">
        <v>1.2169203834198001E-3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9">
        <f t="shared" si="48"/>
        <v>0</v>
      </c>
      <c r="AP160" s="29">
        <f t="shared" si="49"/>
        <v>0</v>
      </c>
      <c r="AQ160" s="29">
        <f t="shared" si="56"/>
        <v>0</v>
      </c>
      <c r="AR160" s="30">
        <f t="shared" si="57"/>
        <v>6.6745486111423388E-3</v>
      </c>
      <c r="AT160" s="12"/>
      <c r="AU160">
        <f t="shared" si="50"/>
        <v>1</v>
      </c>
      <c r="AV160">
        <f t="shared" si="51"/>
        <v>0</v>
      </c>
      <c r="AW160">
        <f t="shared" si="58"/>
        <v>1</v>
      </c>
      <c r="AX160">
        <f t="shared" si="45"/>
        <v>1</v>
      </c>
      <c r="AY160">
        <f t="shared" si="59"/>
        <v>1</v>
      </c>
      <c r="AZ160" s="29">
        <f t="shared" si="52"/>
        <v>3.4851160360472901E-3</v>
      </c>
      <c r="BA160" s="29">
        <f t="shared" si="53"/>
        <v>-4.6369563534942402E-3</v>
      </c>
      <c r="BB160" s="29">
        <f t="shared" si="60"/>
        <v>-1.1518403174469501E-3</v>
      </c>
      <c r="BC160" s="30">
        <f t="shared" si="61"/>
        <v>7.6670368114942784E-3</v>
      </c>
      <c r="BE160" s="30">
        <f t="shared" si="62"/>
        <v>-1.1518403174469501E-3</v>
      </c>
      <c r="BF160" s="30">
        <f t="shared" si="63"/>
        <v>1.4341585422636617E-2</v>
      </c>
      <c r="BH160" s="30"/>
    </row>
    <row r="161" spans="1:60" x14ac:dyDescent="0.25">
      <c r="A161" s="1">
        <v>46255</v>
      </c>
      <c r="B161" s="34">
        <v>65.91</v>
      </c>
      <c r="C161" s="34">
        <v>94.72</v>
      </c>
      <c r="D161" s="16">
        <v>4.5526975518904997E-4</v>
      </c>
      <c r="E161" s="16">
        <v>5.2801099489561899E-4</v>
      </c>
      <c r="F161" s="34">
        <v>0</v>
      </c>
      <c r="G161" s="34">
        <v>2.2852000000000001</v>
      </c>
      <c r="H161" s="34">
        <v>0</v>
      </c>
      <c r="I161" s="34">
        <v>2.9033500000000001</v>
      </c>
      <c r="J161" s="34">
        <v>2.2852000000000001</v>
      </c>
      <c r="K161" s="34">
        <v>2.9033500000000001</v>
      </c>
      <c r="L161" s="34">
        <v>68.1952</v>
      </c>
      <c r="M161" s="34">
        <v>97.623350000000002</v>
      </c>
      <c r="N161" s="35">
        <v>1.4371112122591401</v>
      </c>
      <c r="O161" s="35">
        <v>1.43329336478799</v>
      </c>
      <c r="P161" s="35">
        <v>1.4378183601793</v>
      </c>
      <c r="Q161" s="35">
        <v>1.4382850860499401</v>
      </c>
      <c r="R161" s="34">
        <v>94.468365673176606</v>
      </c>
      <c r="S161" s="34">
        <v>94.775454517242807</v>
      </c>
      <c r="T161" s="34">
        <v>94.797681638863907</v>
      </c>
      <c r="U161" s="16">
        <v>-2.660147460087E-3</v>
      </c>
      <c r="V161" s="16">
        <v>5.8528600558920799E-4</v>
      </c>
      <c r="W161" s="16">
        <v>8.1978253999996599E-4</v>
      </c>
      <c r="X161" s="35">
        <v>1.43152817207076</v>
      </c>
      <c r="Y161" s="35">
        <v>1.43040773636679</v>
      </c>
      <c r="Z161" s="35">
        <v>1.4322184444188</v>
      </c>
      <c r="AA161" s="35">
        <v>1.43297563146464</v>
      </c>
      <c r="AB161" s="34">
        <v>97.546941663080901</v>
      </c>
      <c r="AC161" s="34">
        <v>97.679437759655499</v>
      </c>
      <c r="AD161" s="34">
        <v>97.726509782814702</v>
      </c>
      <c r="AE161" s="16">
        <v>-7.8299151137812195E-4</v>
      </c>
      <c r="AF161" s="16">
        <v>5.7436723603244001E-4</v>
      </c>
      <c r="AG161" s="16">
        <v>1.0561542508258301E-3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9">
        <f t="shared" si="48"/>
        <v>0</v>
      </c>
      <c r="AP161" s="29">
        <f t="shared" si="49"/>
        <v>0</v>
      </c>
      <c r="AQ161" s="29">
        <f t="shared" si="56"/>
        <v>0</v>
      </c>
      <c r="AR161" s="30">
        <f t="shared" si="57"/>
        <v>6.6745486111423388E-3</v>
      </c>
      <c r="AT161" s="12"/>
      <c r="AU161">
        <f t="shared" si="50"/>
        <v>1</v>
      </c>
      <c r="AV161">
        <f t="shared" si="51"/>
        <v>0</v>
      </c>
      <c r="AW161">
        <f t="shared" si="58"/>
        <v>1</v>
      </c>
      <c r="AX161">
        <f t="shared" si="45"/>
        <v>1</v>
      </c>
      <c r="AY161">
        <f t="shared" si="59"/>
        <v>1</v>
      </c>
      <c r="AZ161" s="29">
        <f t="shared" si="52"/>
        <v>-4.5526975518904997E-4</v>
      </c>
      <c r="BA161" s="29">
        <f t="shared" si="53"/>
        <v>5.2801099489561899E-4</v>
      </c>
      <c r="BB161" s="29">
        <f t="shared" si="60"/>
        <v>7.274123970656902E-5</v>
      </c>
      <c r="BC161" s="30">
        <f t="shared" si="61"/>
        <v>7.7397780512008475E-3</v>
      </c>
      <c r="BE161" s="30">
        <f t="shared" si="62"/>
        <v>7.274123970656902E-5</v>
      </c>
      <c r="BF161" s="30">
        <f t="shared" si="63"/>
        <v>1.4414326662343185E-2</v>
      </c>
      <c r="BH161" s="30"/>
    </row>
    <row r="162" spans="1:60" x14ac:dyDescent="0.25">
      <c r="A162" s="1">
        <v>46258</v>
      </c>
      <c r="B162" s="34">
        <v>65.989999999999995</v>
      </c>
      <c r="C162" s="34">
        <v>94.85</v>
      </c>
      <c r="D162" s="16">
        <v>1.21304033070164E-3</v>
      </c>
      <c r="E162" s="16">
        <v>1.37152524532767E-3</v>
      </c>
      <c r="F162" s="34">
        <v>0</v>
      </c>
      <c r="G162" s="34">
        <v>2.2852000000000001</v>
      </c>
      <c r="H162" s="34">
        <v>0</v>
      </c>
      <c r="I162" s="34">
        <v>2.9033500000000001</v>
      </c>
      <c r="J162" s="34">
        <v>2.2852000000000001</v>
      </c>
      <c r="K162" s="34">
        <v>2.9033500000000001</v>
      </c>
      <c r="L162" s="34">
        <v>68.275199999999998</v>
      </c>
      <c r="M162" s="34">
        <v>97.753349999999998</v>
      </c>
      <c r="N162" s="35">
        <v>1.43733899075617</v>
      </c>
      <c r="O162" s="35">
        <v>1.43329336478799</v>
      </c>
      <c r="P162" s="35">
        <v>1.43776814767214</v>
      </c>
      <c r="Q162" s="35">
        <v>1.4382344348606999</v>
      </c>
      <c r="R162" s="34">
        <v>94.583029142359706</v>
      </c>
      <c r="S162" s="34">
        <v>94.881633588232006</v>
      </c>
      <c r="T162" s="34">
        <v>94.912432828435897</v>
      </c>
      <c r="U162" s="16">
        <v>-2.8186323747128798E-3</v>
      </c>
      <c r="V162" s="16">
        <v>3.33456134087354E-4</v>
      </c>
      <c r="W162" s="16">
        <v>6.5801043713456704E-4</v>
      </c>
      <c r="X162" s="35">
        <v>1.43175486853205</v>
      </c>
      <c r="Y162" s="35">
        <v>1.43040773636679</v>
      </c>
      <c r="Z162" s="35">
        <v>1.4321701587575999</v>
      </c>
      <c r="AA162" s="35">
        <v>1.43286548823672</v>
      </c>
      <c r="AB162" s="34">
        <v>97.661374281990305</v>
      </c>
      <c r="AC162" s="34">
        <v>97.785000736382798</v>
      </c>
      <c r="AD162" s="34">
        <v>97.8366978333746</v>
      </c>
      <c r="AE162" s="16">
        <v>-9.4133873626363904E-4</v>
      </c>
      <c r="AF162" s="16">
        <v>3.2372919726556898E-4</v>
      </c>
      <c r="AG162" s="16">
        <v>8.5227075040886105E-4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9">
        <f t="shared" si="48"/>
        <v>0</v>
      </c>
      <c r="AP162" s="29">
        <f t="shared" si="49"/>
        <v>0</v>
      </c>
      <c r="AQ162" s="29">
        <f t="shared" si="56"/>
        <v>0</v>
      </c>
      <c r="AR162" s="30">
        <f t="shared" si="57"/>
        <v>6.6745486111423388E-3</v>
      </c>
      <c r="AT162" s="12"/>
      <c r="AU162">
        <f t="shared" si="50"/>
        <v>0</v>
      </c>
      <c r="AV162">
        <f t="shared" si="51"/>
        <v>0</v>
      </c>
      <c r="AW162">
        <f t="shared" si="58"/>
        <v>1</v>
      </c>
      <c r="AX162">
        <f t="shared" si="45"/>
        <v>1</v>
      </c>
      <c r="AY162">
        <f t="shared" si="59"/>
        <v>1</v>
      </c>
      <c r="AZ162" s="29">
        <f t="shared" si="52"/>
        <v>-1.21304033070164E-3</v>
      </c>
      <c r="BA162" s="29">
        <f t="shared" si="53"/>
        <v>1.37152524532767E-3</v>
      </c>
      <c r="BB162" s="29">
        <f t="shared" si="60"/>
        <v>1.5848491462603005E-4</v>
      </c>
      <c r="BC162" s="30">
        <f t="shared" si="61"/>
        <v>7.8982629658268782E-3</v>
      </c>
      <c r="BE162" s="30">
        <f t="shared" si="62"/>
        <v>1.5848491462603005E-4</v>
      </c>
      <c r="BF162" s="30">
        <f t="shared" si="63"/>
        <v>1.4572811576969215E-2</v>
      </c>
      <c r="BH162" s="30"/>
    </row>
    <row r="163" spans="1:60" x14ac:dyDescent="0.25">
      <c r="A163" s="1">
        <v>46259</v>
      </c>
      <c r="B163" s="34">
        <v>66.31</v>
      </c>
      <c r="C163" s="34">
        <v>95.38</v>
      </c>
      <c r="D163" s="16">
        <v>4.8374999854461399E-3</v>
      </c>
      <c r="E163" s="16">
        <v>5.5722164890550903E-3</v>
      </c>
      <c r="F163" s="34">
        <v>0</v>
      </c>
      <c r="G163" s="34">
        <v>2.2852000000000001</v>
      </c>
      <c r="H163" s="34">
        <v>0</v>
      </c>
      <c r="I163" s="34">
        <v>2.9033500000000001</v>
      </c>
      <c r="J163" s="34">
        <v>2.2852000000000001</v>
      </c>
      <c r="K163" s="34">
        <v>2.9033500000000001</v>
      </c>
      <c r="L163" s="34">
        <v>68.595200000000006</v>
      </c>
      <c r="M163" s="34">
        <v>98.283349999999999</v>
      </c>
      <c r="N163" s="35">
        <v>1.4383954154727701</v>
      </c>
      <c r="O163" s="35">
        <v>1.43329336478799</v>
      </c>
      <c r="P163" s="35">
        <v>1.4377951323495299</v>
      </c>
      <c r="Q163" s="35">
        <v>1.438182332052</v>
      </c>
      <c r="R163" s="34">
        <v>95.041683019091806</v>
      </c>
      <c r="S163" s="34">
        <v>95.338405872139603</v>
      </c>
      <c r="T163" s="34">
        <v>95.369325375613101</v>
      </c>
      <c r="U163" s="16">
        <v>-3.5533488783220002E-3</v>
      </c>
      <c r="V163" s="16">
        <v>-4.3618368483728902E-4</v>
      </c>
      <c r="W163" s="16">
        <v>-1.1192306318245699E-4</v>
      </c>
      <c r="X163" s="35">
        <v>1.4328021494215299</v>
      </c>
      <c r="Y163" s="35">
        <v>1.43040773636679</v>
      </c>
      <c r="Z163" s="35">
        <v>1.43219927293347</v>
      </c>
      <c r="AA163" s="35">
        <v>1.4327546268322799</v>
      </c>
      <c r="AB163" s="34">
        <v>98.119104757627696</v>
      </c>
      <c r="AC163" s="34">
        <v>98.239998474009795</v>
      </c>
      <c r="AD163" s="34">
        <v>98.287694738695507</v>
      </c>
      <c r="AE163" s="16">
        <v>-1.67253796153468E-3</v>
      </c>
      <c r="AF163" s="16">
        <v>-4.4118449059558001E-4</v>
      </c>
      <c r="AG163" s="16">
        <v>4.4205276540935497E-5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9">
        <f t="shared" si="48"/>
        <v>0</v>
      </c>
      <c r="AP163" s="29">
        <f t="shared" si="49"/>
        <v>0</v>
      </c>
      <c r="AQ163" s="29">
        <f t="shared" si="56"/>
        <v>0</v>
      </c>
      <c r="AR163" s="30">
        <f t="shared" si="57"/>
        <v>6.6745486111423388E-3</v>
      </c>
      <c r="AT163" s="12"/>
      <c r="AU163">
        <f t="shared" si="50"/>
        <v>0</v>
      </c>
      <c r="AV163">
        <f t="shared" si="51"/>
        <v>0</v>
      </c>
      <c r="AW163">
        <f t="shared" si="58"/>
        <v>1</v>
      </c>
      <c r="AX163">
        <f t="shared" si="45"/>
        <v>1</v>
      </c>
      <c r="AY163">
        <f t="shared" si="59"/>
        <v>1</v>
      </c>
      <c r="AZ163" s="29">
        <f t="shared" si="52"/>
        <v>-4.8374999854461399E-3</v>
      </c>
      <c r="BA163" s="29">
        <f t="shared" si="53"/>
        <v>5.5722164890550903E-3</v>
      </c>
      <c r="BB163" s="29">
        <f t="shared" si="60"/>
        <v>7.3471650360895039E-4</v>
      </c>
      <c r="BC163" s="30">
        <f t="shared" si="61"/>
        <v>8.6329794694358294E-3</v>
      </c>
      <c r="BE163" s="30">
        <f t="shared" si="62"/>
        <v>7.3471650360895039E-4</v>
      </c>
      <c r="BF163" s="30">
        <f t="shared" si="63"/>
        <v>1.5307528080578166E-2</v>
      </c>
      <c r="BH163" s="30"/>
    </row>
    <row r="164" spans="1:60" x14ac:dyDescent="0.25">
      <c r="A164" s="1">
        <v>46260</v>
      </c>
      <c r="B164" s="34">
        <v>66.239999999999995</v>
      </c>
      <c r="C164" s="34">
        <v>95.31</v>
      </c>
      <c r="D164" s="16">
        <v>-1.05620530377215E-3</v>
      </c>
      <c r="E164" s="16">
        <v>-7.3417592054371905E-4</v>
      </c>
      <c r="F164" s="34">
        <v>0</v>
      </c>
      <c r="G164" s="34">
        <v>2.2852000000000001</v>
      </c>
      <c r="H164" s="34">
        <v>0</v>
      </c>
      <c r="I164" s="34">
        <v>2.9033500000000001</v>
      </c>
      <c r="J164" s="34">
        <v>2.2852000000000001</v>
      </c>
      <c r="K164" s="34">
        <v>2.9033500000000001</v>
      </c>
      <c r="L164" s="34">
        <v>68.525199999999998</v>
      </c>
      <c r="M164" s="34">
        <v>98.213350000000005</v>
      </c>
      <c r="N164" s="35">
        <v>1.4388586956521701</v>
      </c>
      <c r="O164" s="35">
        <v>1.43329336478799</v>
      </c>
      <c r="P164" s="35">
        <v>1.4378107185384801</v>
      </c>
      <c r="Q164" s="35">
        <v>1.43820558323254</v>
      </c>
      <c r="R164" s="34">
        <v>94.941352483556699</v>
      </c>
      <c r="S164" s="34">
        <v>95.239549566833304</v>
      </c>
      <c r="T164" s="34">
        <v>95.265197675124597</v>
      </c>
      <c r="U164" s="16">
        <v>-3.8753782615502802E-3</v>
      </c>
      <c r="V164" s="16">
        <v>-7.39444795717193E-4</v>
      </c>
      <c r="W164" s="16">
        <v>-4.7018002601872298E-4</v>
      </c>
      <c r="X164" s="35">
        <v>1.4332442663428899</v>
      </c>
      <c r="Y164" s="35">
        <v>1.43040773636679</v>
      </c>
      <c r="Z164" s="35">
        <v>1.43221639325449</v>
      </c>
      <c r="AA164" s="35">
        <v>1.43271783928356</v>
      </c>
      <c r="AB164" s="34">
        <v>98.018976216081995</v>
      </c>
      <c r="AC164" s="34">
        <v>98.141741617620895</v>
      </c>
      <c r="AD164" s="34">
        <v>98.179797354607402</v>
      </c>
      <c r="AE164" s="16">
        <v>-1.9810583835586999E-3</v>
      </c>
      <c r="AF164" s="16">
        <v>-7.2937640642466704E-4</v>
      </c>
      <c r="AG164" s="16">
        <v>-3.4168855859713999E-4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9">
        <f t="shared" si="48"/>
        <v>0</v>
      </c>
      <c r="AP164" s="29">
        <f t="shared" si="49"/>
        <v>0</v>
      </c>
      <c r="AQ164" s="29">
        <f t="shared" si="56"/>
        <v>0</v>
      </c>
      <c r="AR164" s="30">
        <f t="shared" si="57"/>
        <v>6.6745486111423388E-3</v>
      </c>
      <c r="AT164" s="12"/>
      <c r="AU164">
        <f t="shared" si="50"/>
        <v>0</v>
      </c>
      <c r="AV164">
        <f t="shared" si="51"/>
        <v>1</v>
      </c>
      <c r="AW164">
        <f t="shared" si="58"/>
        <v>1</v>
      </c>
      <c r="AX164">
        <f t="shared" si="45"/>
        <v>1</v>
      </c>
      <c r="AY164">
        <f t="shared" si="59"/>
        <v>1</v>
      </c>
      <c r="AZ164" s="29">
        <f t="shared" si="52"/>
        <v>1.05620530377215E-3</v>
      </c>
      <c r="BA164" s="29">
        <f t="shared" si="53"/>
        <v>-7.3417592054371905E-4</v>
      </c>
      <c r="BB164" s="29">
        <f t="shared" si="60"/>
        <v>3.2202938322843091E-4</v>
      </c>
      <c r="BC164" s="30">
        <f t="shared" si="61"/>
        <v>8.9550088526642608E-3</v>
      </c>
      <c r="BE164" s="30">
        <f t="shared" si="62"/>
        <v>3.2202938322843091E-4</v>
      </c>
      <c r="BF164" s="30">
        <f t="shared" si="63"/>
        <v>1.5629557463806596E-2</v>
      </c>
      <c r="BH164" s="30"/>
    </row>
    <row r="165" spans="1:60" x14ac:dyDescent="0.25">
      <c r="A165" s="1">
        <v>46261</v>
      </c>
      <c r="B165" s="34">
        <v>66.2</v>
      </c>
      <c r="C165" s="34">
        <v>95.13</v>
      </c>
      <c r="D165" s="16">
        <v>-6.04047134041618E-4</v>
      </c>
      <c r="E165" s="16">
        <v>-1.8903597311688901E-3</v>
      </c>
      <c r="F165" s="34">
        <v>0</v>
      </c>
      <c r="G165" s="34">
        <v>2.2852000000000001</v>
      </c>
      <c r="H165" s="34">
        <v>0</v>
      </c>
      <c r="I165" s="34">
        <v>2.9033500000000001</v>
      </c>
      <c r="J165" s="34">
        <v>2.2852000000000001</v>
      </c>
      <c r="K165" s="34">
        <v>2.9033500000000001</v>
      </c>
      <c r="L165" s="34">
        <v>68.485200000000006</v>
      </c>
      <c r="M165" s="34">
        <v>98.033349999999999</v>
      </c>
      <c r="N165" s="35">
        <v>1.4370090634441</v>
      </c>
      <c r="O165" s="35">
        <v>1.43329336478799</v>
      </c>
      <c r="P165" s="35">
        <v>1.43763715294566</v>
      </c>
      <c r="Q165" s="35">
        <v>1.43810370605709</v>
      </c>
      <c r="R165" s="34">
        <v>94.884020748965099</v>
      </c>
      <c r="S165" s="34">
        <v>95.183069567247699</v>
      </c>
      <c r="T165" s="34">
        <v>95.209209609994303</v>
      </c>
      <c r="U165" s="16">
        <v>-2.5890656644229999E-3</v>
      </c>
      <c r="V165" s="16">
        <v>5.5770808325429405E-4</v>
      </c>
      <c r="W165" s="16">
        <v>8.3229950076137604E-4</v>
      </c>
      <c r="X165" s="35">
        <v>1.43145307307272</v>
      </c>
      <c r="Y165" s="35">
        <v>1.43040773636679</v>
      </c>
      <c r="Z165" s="35">
        <v>1.43204796414737</v>
      </c>
      <c r="AA165" s="35">
        <v>1.4325593555888401</v>
      </c>
      <c r="AB165" s="34">
        <v>97.961759906627293</v>
      </c>
      <c r="AC165" s="34">
        <v>98.085626135312395</v>
      </c>
      <c r="AD165" s="34">
        <v>98.119967766903102</v>
      </c>
      <c r="AE165" s="16">
        <v>-7.3052941566298596E-4</v>
      </c>
      <c r="AF165" s="16">
        <v>5.3310635799473205E-4</v>
      </c>
      <c r="AG165" s="16">
        <v>8.8316398131035401E-4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9">
        <f t="shared" si="48"/>
        <v>0</v>
      </c>
      <c r="AP165" s="29">
        <f t="shared" si="49"/>
        <v>0</v>
      </c>
      <c r="AQ165" s="29">
        <f t="shared" si="56"/>
        <v>0</v>
      </c>
      <c r="AR165" s="30">
        <f t="shared" si="57"/>
        <v>6.6745486111423388E-3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9">
        <f t="shared" si="52"/>
        <v>0</v>
      </c>
      <c r="BA165" s="29">
        <f t="shared" si="53"/>
        <v>0</v>
      </c>
      <c r="BB165" s="29">
        <f t="shared" si="60"/>
        <v>0</v>
      </c>
      <c r="BC165" s="30">
        <f t="shared" si="61"/>
        <v>8.9550088526642608E-3</v>
      </c>
      <c r="BE165" s="30">
        <f t="shared" si="62"/>
        <v>0</v>
      </c>
      <c r="BF165" s="30">
        <f t="shared" si="63"/>
        <v>1.5629557463806596E-2</v>
      </c>
      <c r="BH165" s="30"/>
    </row>
    <row r="166" spans="1:60" x14ac:dyDescent="0.25">
      <c r="A166" s="1">
        <v>46262</v>
      </c>
      <c r="B166" s="34">
        <v>66.010000000000005</v>
      </c>
      <c r="C166" s="34">
        <v>94.89</v>
      </c>
      <c r="D166" s="16">
        <v>-2.8742172422830999E-3</v>
      </c>
      <c r="E166" s="16">
        <v>-2.52605123269845E-3</v>
      </c>
      <c r="F166" s="34">
        <v>0</v>
      </c>
      <c r="G166" s="34">
        <v>2.2852000000000001</v>
      </c>
      <c r="H166" s="34">
        <v>0</v>
      </c>
      <c r="I166" s="34">
        <v>2.9033500000000001</v>
      </c>
      <c r="J166" s="34">
        <v>2.2852000000000001</v>
      </c>
      <c r="K166" s="34">
        <v>2.9033500000000001</v>
      </c>
      <c r="L166" s="34">
        <v>68.295199999999994</v>
      </c>
      <c r="M166" s="34">
        <v>97.793350000000004</v>
      </c>
      <c r="N166" s="35">
        <v>1.4375094682623799</v>
      </c>
      <c r="O166" s="35">
        <v>1.43329336478799</v>
      </c>
      <c r="P166" s="35">
        <v>1.43765605682618</v>
      </c>
      <c r="Q166" s="35">
        <v>1.43809278821869</v>
      </c>
      <c r="R166" s="34">
        <v>94.611695009655406</v>
      </c>
      <c r="S166" s="34">
        <v>94.898428465942999</v>
      </c>
      <c r="T166" s="34">
        <v>94.929225636828704</v>
      </c>
      <c r="U166" s="16">
        <v>-2.9372316740075501E-3</v>
      </c>
      <c r="V166" s="16">
        <v>8.8819597872610894E-5</v>
      </c>
      <c r="W166" s="16">
        <v>4.1329467292374698E-4</v>
      </c>
      <c r="X166" s="35">
        <v>1.4319212770443599</v>
      </c>
      <c r="Y166" s="35">
        <v>1.43040773636679</v>
      </c>
      <c r="Z166" s="35">
        <v>1.43206525643511</v>
      </c>
      <c r="AA166" s="35">
        <v>1.43248843310614</v>
      </c>
      <c r="AB166" s="34">
        <v>97.6899824367176</v>
      </c>
      <c r="AC166" s="34">
        <v>97.802002121037603</v>
      </c>
      <c r="AD166" s="34">
        <v>97.836927701811305</v>
      </c>
      <c r="AE166" s="16">
        <v>-1.05755893996656E-3</v>
      </c>
      <c r="AF166" s="16">
        <v>8.8469597559044004E-5</v>
      </c>
      <c r="AG166" s="16">
        <v>4.4551081810066499E-4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9">
        <f t="shared" si="48"/>
        <v>0</v>
      </c>
      <c r="AP166" s="29">
        <f t="shared" si="49"/>
        <v>0</v>
      </c>
      <c r="AQ166" s="29">
        <f t="shared" si="56"/>
        <v>0</v>
      </c>
      <c r="AR166" s="30">
        <f t="shared" si="57"/>
        <v>6.6745486111423388E-3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9">
        <f t="shared" si="52"/>
        <v>0</v>
      </c>
      <c r="BA166" s="29">
        <f t="shared" si="53"/>
        <v>0</v>
      </c>
      <c r="BB166" s="29">
        <f t="shared" si="60"/>
        <v>0</v>
      </c>
      <c r="BC166" s="30">
        <f t="shared" si="61"/>
        <v>8.9550088526642608E-3</v>
      </c>
      <c r="BE166" s="30">
        <f t="shared" si="62"/>
        <v>0</v>
      </c>
      <c r="BF166" s="30">
        <f t="shared" si="63"/>
        <v>1.5629557463806596E-2</v>
      </c>
      <c r="BH166" s="30"/>
    </row>
    <row r="167" spans="1:60" x14ac:dyDescent="0.25">
      <c r="A167" s="1">
        <v>46265</v>
      </c>
      <c r="B167" s="34">
        <v>65.94</v>
      </c>
      <c r="C167" s="34">
        <v>94.77</v>
      </c>
      <c r="D167" s="16">
        <v>-1.0610080570944899E-3</v>
      </c>
      <c r="E167" s="16">
        <v>-1.26542250356374E-3</v>
      </c>
      <c r="F167" s="34">
        <v>0</v>
      </c>
      <c r="G167" s="34">
        <v>2.2852000000000001</v>
      </c>
      <c r="H167" s="34">
        <v>0</v>
      </c>
      <c r="I167" s="34">
        <v>2.9033500000000001</v>
      </c>
      <c r="J167" s="34">
        <v>2.2852000000000001</v>
      </c>
      <c r="K167" s="34">
        <v>2.9033500000000001</v>
      </c>
      <c r="L167" s="34">
        <v>68.225200000000001</v>
      </c>
      <c r="M167" s="34">
        <v>97.673349999999999</v>
      </c>
      <c r="N167" s="35">
        <v>1.43721565059144</v>
      </c>
      <c r="O167" s="35">
        <v>1.43329336478799</v>
      </c>
      <c r="P167" s="35">
        <v>1.43767504221916</v>
      </c>
      <c r="Q167" s="35">
        <v>1.4379660308607101</v>
      </c>
      <c r="R167" s="34">
        <v>94.511364474120299</v>
      </c>
      <c r="S167" s="34">
        <v>94.799040387118694</v>
      </c>
      <c r="T167" s="34">
        <v>94.827838455140594</v>
      </c>
      <c r="U167" s="16">
        <v>-2.73281722753849E-3</v>
      </c>
      <c r="V167" s="16">
        <v>3.06383228891964E-4</v>
      </c>
      <c r="W167" s="16">
        <v>6.1011726089400104E-4</v>
      </c>
      <c r="X167" s="35">
        <v>1.4316315672214901</v>
      </c>
      <c r="Y167" s="35">
        <v>1.43040773636679</v>
      </c>
      <c r="Z167" s="35">
        <v>1.43208393312347</v>
      </c>
      <c r="AA167" s="35">
        <v>1.43236646261208</v>
      </c>
      <c r="AB167" s="34">
        <v>97.589853895171899</v>
      </c>
      <c r="AC167" s="34">
        <v>97.702938533337104</v>
      </c>
      <c r="AD167" s="34">
        <v>97.731809846353201</v>
      </c>
      <c r="AE167" s="16">
        <v>-8.5521601870144101E-4</v>
      </c>
      <c r="AF167" s="16">
        <v>3.0288766139952998E-4</v>
      </c>
      <c r="AG167" s="16">
        <v>5.9834497864211104E-4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9">
        <f t="shared" si="48"/>
        <v>0</v>
      </c>
      <c r="AP167" s="29">
        <f t="shared" si="49"/>
        <v>0</v>
      </c>
      <c r="AQ167" s="29">
        <f t="shared" si="56"/>
        <v>0</v>
      </c>
      <c r="AR167" s="30">
        <f t="shared" si="57"/>
        <v>6.6745486111423388E-3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0</v>
      </c>
      <c r="AY167">
        <f t="shared" si="59"/>
        <v>0</v>
      </c>
      <c r="AZ167" s="29">
        <f t="shared" si="52"/>
        <v>0</v>
      </c>
      <c r="BA167" s="29">
        <f t="shared" si="53"/>
        <v>0</v>
      </c>
      <c r="BB167" s="29">
        <f t="shared" si="60"/>
        <v>0</v>
      </c>
      <c r="BC167" s="30">
        <f t="shared" si="61"/>
        <v>8.9550088526642608E-3</v>
      </c>
      <c r="BE167" s="30">
        <f t="shared" si="62"/>
        <v>0</v>
      </c>
      <c r="BF167" s="30">
        <f t="shared" si="63"/>
        <v>1.5629557463806596E-2</v>
      </c>
      <c r="BH167" s="30"/>
    </row>
    <row r="168" spans="1:60" x14ac:dyDescent="0.25">
      <c r="A168" s="1">
        <v>46266</v>
      </c>
      <c r="B168" s="34">
        <v>65.430000000000007</v>
      </c>
      <c r="C168" s="34">
        <v>94.09</v>
      </c>
      <c r="D168" s="16">
        <v>-7.7643687619374799E-3</v>
      </c>
      <c r="E168" s="16">
        <v>-7.2011324634291404E-3</v>
      </c>
      <c r="F168" s="34">
        <v>0.32069999999999999</v>
      </c>
      <c r="G168" s="34">
        <v>2.6059000000000001</v>
      </c>
      <c r="H168" s="34">
        <v>0.41367700000000002</v>
      </c>
      <c r="I168" s="34">
        <v>3.3170269999999999</v>
      </c>
      <c r="J168" s="34">
        <v>2.6059000000000001</v>
      </c>
      <c r="K168" s="34">
        <v>3.3170269999999999</v>
      </c>
      <c r="L168" s="34">
        <v>68.035899999999998</v>
      </c>
      <c r="M168" s="34">
        <v>97.407026999999999</v>
      </c>
      <c r="N168" s="35">
        <v>1.4380253706250901</v>
      </c>
      <c r="O168" s="35">
        <v>1.43329336478799</v>
      </c>
      <c r="P168" s="35">
        <v>1.4377133380542699</v>
      </c>
      <c r="Q168" s="35">
        <v>1.43787274321473</v>
      </c>
      <c r="R168" s="34">
        <v>93.780384858078406</v>
      </c>
      <c r="S168" s="34">
        <v>94.067078012400202</v>
      </c>
      <c r="T168" s="34">
        <v>94.086117399216306</v>
      </c>
      <c r="U168" s="16">
        <v>-3.29605352604682E-3</v>
      </c>
      <c r="V168" s="16">
        <v>-2.4364736054859301E-4</v>
      </c>
      <c r="W168" s="16">
        <v>-4.1265606261532403E-5</v>
      </c>
      <c r="X168" s="35">
        <v>1.43170042580461</v>
      </c>
      <c r="Y168" s="35">
        <v>1.43040773636679</v>
      </c>
      <c r="Z168" s="35">
        <v>1.4320504763381501</v>
      </c>
      <c r="AA168" s="35">
        <v>1.43223982479732</v>
      </c>
      <c r="AB168" s="34">
        <v>97.319077710677703</v>
      </c>
      <c r="AC168" s="34">
        <v>97.433119265595494</v>
      </c>
      <c r="AD168" s="34">
        <v>97.452341413629597</v>
      </c>
      <c r="AE168" s="16">
        <v>-9.0331283967556603E-4</v>
      </c>
      <c r="AF168" s="16">
        <v>2.6783254120506299E-4</v>
      </c>
      <c r="AG168" s="16">
        <v>4.6509864848080898E-4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9">
        <f t="shared" si="48"/>
        <v>0</v>
      </c>
      <c r="AP168" s="29">
        <f t="shared" si="49"/>
        <v>0</v>
      </c>
      <c r="AQ168" s="29">
        <f t="shared" si="56"/>
        <v>0</v>
      </c>
      <c r="AR168" s="30">
        <f t="shared" si="57"/>
        <v>6.6745486111423388E-3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9">
        <f t="shared" si="52"/>
        <v>0</v>
      </c>
      <c r="BA168" s="29">
        <f t="shared" si="53"/>
        <v>0</v>
      </c>
      <c r="BB168" s="29">
        <f t="shared" si="60"/>
        <v>0</v>
      </c>
      <c r="BC168" s="30">
        <f t="shared" si="61"/>
        <v>8.9550088526642608E-3</v>
      </c>
      <c r="BE168" s="30">
        <f t="shared" si="62"/>
        <v>0</v>
      </c>
      <c r="BF168" s="30">
        <f t="shared" si="63"/>
        <v>1.5629557463806596E-2</v>
      </c>
      <c r="BH168" s="30"/>
    </row>
    <row r="169" spans="1:60" x14ac:dyDescent="0.25">
      <c r="A169" s="1">
        <v>46267</v>
      </c>
      <c r="B169" s="34">
        <v>65.45</v>
      </c>
      <c r="C169" s="34">
        <v>94.15</v>
      </c>
      <c r="D169" s="16">
        <v>3.0562347426157103E-4</v>
      </c>
      <c r="E169" s="16">
        <v>6.3748408448709301E-4</v>
      </c>
      <c r="F169" s="34">
        <v>0</v>
      </c>
      <c r="G169" s="34">
        <v>2.6059000000000001</v>
      </c>
      <c r="H169" s="34">
        <v>0</v>
      </c>
      <c r="I169" s="34">
        <v>3.3170269999999999</v>
      </c>
      <c r="J169" s="34">
        <v>2.6059000000000001</v>
      </c>
      <c r="K169" s="34">
        <v>3.3170269999999999</v>
      </c>
      <c r="L169" s="34">
        <v>68.055899999999994</v>
      </c>
      <c r="M169" s="34">
        <v>97.467027000000002</v>
      </c>
      <c r="N169" s="35">
        <v>1.4385026737967901</v>
      </c>
      <c r="O169" s="35">
        <v>1.43329336478799</v>
      </c>
      <c r="P169" s="35">
        <v>1.437697321967</v>
      </c>
      <c r="Q169" s="35">
        <v>1.4378737535672099</v>
      </c>
      <c r="R169" s="34">
        <v>93.809050725374107</v>
      </c>
      <c r="S169" s="34">
        <v>94.098337975652299</v>
      </c>
      <c r="T169" s="34">
        <v>94.108771043404701</v>
      </c>
      <c r="U169" s="16">
        <v>-3.6279141362724702E-3</v>
      </c>
      <c r="V169" s="16">
        <v>-5.4887098818743804E-4</v>
      </c>
      <c r="W169" s="16">
        <v>-4.3800304257737702E-4</v>
      </c>
      <c r="X169" s="35">
        <v>1.43216131151009</v>
      </c>
      <c r="Y169" s="35">
        <v>1.43040773636679</v>
      </c>
      <c r="Z169" s="35">
        <v>1.4319621796930599</v>
      </c>
      <c r="AA169" s="35">
        <v>1.4322041885500501</v>
      </c>
      <c r="AB169" s="34">
        <v>97.347685865405097</v>
      </c>
      <c r="AC169" s="34">
        <v>97.459484012621999</v>
      </c>
      <c r="AD169" s="34">
        <v>97.472370292424102</v>
      </c>
      <c r="AE169" s="16">
        <v>-1.2251759404383899E-3</v>
      </c>
      <c r="AF169" s="16">
        <v>-7.7393140035781496E-5</v>
      </c>
      <c r="AG169" s="16">
        <v>5.4820036377156597E-5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9">
        <f t="shared" si="48"/>
        <v>0</v>
      </c>
      <c r="AP169" s="29">
        <f t="shared" si="49"/>
        <v>0</v>
      </c>
      <c r="AQ169" s="29">
        <f t="shared" si="56"/>
        <v>0</v>
      </c>
      <c r="AR169" s="30">
        <f t="shared" si="57"/>
        <v>6.6745486111423388E-3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9">
        <f t="shared" si="52"/>
        <v>0</v>
      </c>
      <c r="BA169" s="29">
        <f t="shared" si="53"/>
        <v>0</v>
      </c>
      <c r="BB169" s="29">
        <f t="shared" si="60"/>
        <v>0</v>
      </c>
      <c r="BC169" s="30">
        <f t="shared" si="61"/>
        <v>8.9550088526642608E-3</v>
      </c>
      <c r="BE169" s="30">
        <f t="shared" si="62"/>
        <v>0</v>
      </c>
      <c r="BF169" s="30">
        <f t="shared" si="63"/>
        <v>1.5629557463806596E-2</v>
      </c>
      <c r="BH169" s="30"/>
    </row>
    <row r="170" spans="1:60" x14ac:dyDescent="0.25">
      <c r="A170" s="1">
        <v>46268</v>
      </c>
      <c r="B170" s="34">
        <v>65.62</v>
      </c>
      <c r="C170" s="34">
        <v>94.45</v>
      </c>
      <c r="D170" s="16">
        <v>2.5940351770467399E-3</v>
      </c>
      <c r="E170" s="16">
        <v>3.1813388443572102E-3</v>
      </c>
      <c r="F170" s="34">
        <v>0</v>
      </c>
      <c r="G170" s="34">
        <v>2.6059000000000001</v>
      </c>
      <c r="H170" s="34">
        <v>0</v>
      </c>
      <c r="I170" s="34">
        <v>3.3170269999999999</v>
      </c>
      <c r="J170" s="34">
        <v>2.6059000000000001</v>
      </c>
      <c r="K170" s="34">
        <v>3.3170269999999999</v>
      </c>
      <c r="L170" s="34">
        <v>68.225899999999996</v>
      </c>
      <c r="M170" s="34">
        <v>97.767026999999999</v>
      </c>
      <c r="N170" s="35">
        <v>1.4393477598293201</v>
      </c>
      <c r="O170" s="35">
        <v>1.43329336478799</v>
      </c>
      <c r="P170" s="35">
        <v>1.4379314300689401</v>
      </c>
      <c r="Q170" s="35">
        <v>1.4379420048026601</v>
      </c>
      <c r="R170" s="34">
        <v>94.052710597388099</v>
      </c>
      <c r="S170" s="34">
        <v>94.341698267474897</v>
      </c>
      <c r="T170" s="34">
        <v>94.353275709080606</v>
      </c>
      <c r="U170" s="16">
        <v>-4.2152178035828897E-3</v>
      </c>
      <c r="V170" s="16">
        <v>-1.1473146902013301E-3</v>
      </c>
      <c r="W170" s="16">
        <v>-1.02460403844102E-3</v>
      </c>
      <c r="X170" s="35">
        <v>1.4329899202502201</v>
      </c>
      <c r="Y170" s="35">
        <v>1.43040773636679</v>
      </c>
      <c r="Z170" s="35">
        <v>1.4321187031270699</v>
      </c>
      <c r="AA170" s="35">
        <v>1.43223466712574</v>
      </c>
      <c r="AB170" s="34">
        <v>97.590855180587397</v>
      </c>
      <c r="AC170" s="34">
        <v>97.696908475520999</v>
      </c>
      <c r="AD170" s="34">
        <v>97.7134197475972</v>
      </c>
      <c r="AE170" s="16">
        <v>-1.8035808455941799E-3</v>
      </c>
      <c r="AF170" s="16">
        <v>-7.1745744109891695E-4</v>
      </c>
      <c r="AG170" s="16">
        <v>-5.4846665882441598E-4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9">
        <f t="shared" si="48"/>
        <v>0</v>
      </c>
      <c r="AP170" s="29">
        <f t="shared" si="49"/>
        <v>0</v>
      </c>
      <c r="AQ170" s="29">
        <f t="shared" si="56"/>
        <v>0</v>
      </c>
      <c r="AR170" s="30">
        <f t="shared" si="57"/>
        <v>6.6745486111423388E-3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9">
        <f t="shared" si="52"/>
        <v>0</v>
      </c>
      <c r="BA170" s="29">
        <f t="shared" si="53"/>
        <v>0</v>
      </c>
      <c r="BB170" s="29">
        <f t="shared" si="60"/>
        <v>0</v>
      </c>
      <c r="BC170" s="30">
        <f t="shared" si="61"/>
        <v>8.9550088526642608E-3</v>
      </c>
      <c r="BE170" s="30">
        <f t="shared" si="62"/>
        <v>0</v>
      </c>
      <c r="BF170" s="30">
        <f t="shared" si="63"/>
        <v>1.5629557463806596E-2</v>
      </c>
      <c r="BH170" s="30"/>
    </row>
    <row r="171" spans="1:60" x14ac:dyDescent="0.25">
      <c r="A171" s="1">
        <v>46269</v>
      </c>
      <c r="B171" s="34">
        <v>65.67</v>
      </c>
      <c r="C171" s="34">
        <v>94.47</v>
      </c>
      <c r="D171" s="16">
        <v>7.6167266992566596E-4</v>
      </c>
      <c r="E171" s="16">
        <v>2.1172983352444699E-4</v>
      </c>
      <c r="F171" s="34">
        <v>0</v>
      </c>
      <c r="G171" s="34">
        <v>2.6059000000000001</v>
      </c>
      <c r="H171" s="34">
        <v>0</v>
      </c>
      <c r="I171" s="34">
        <v>3.3170269999999999</v>
      </c>
      <c r="J171" s="34">
        <v>2.6059000000000001</v>
      </c>
      <c r="K171" s="34">
        <v>3.3170269999999999</v>
      </c>
      <c r="L171" s="34">
        <v>68.275899999999993</v>
      </c>
      <c r="M171" s="34">
        <v>97.787026999999995</v>
      </c>
      <c r="N171" s="35">
        <v>1.4385564184559101</v>
      </c>
      <c r="O171" s="35">
        <v>1.43329336478799</v>
      </c>
      <c r="P171" s="35">
        <v>1.43807595068861</v>
      </c>
      <c r="Q171" s="35">
        <v>1.43794715543396</v>
      </c>
      <c r="R171" s="34">
        <v>94.124375265627506</v>
      </c>
      <c r="S171" s="34">
        <v>94.428957012627393</v>
      </c>
      <c r="T171" s="34">
        <v>94.429651455390697</v>
      </c>
      <c r="U171" s="16">
        <v>-3.66527496718163E-3</v>
      </c>
      <c r="V171" s="16">
        <v>-4.3454965202081901E-4</v>
      </c>
      <c r="W171" s="16">
        <v>-4.2719554972171499E-4</v>
      </c>
      <c r="X171" s="35">
        <v>1.4322334381531401</v>
      </c>
      <c r="Y171" s="35">
        <v>1.43040773636679</v>
      </c>
      <c r="Z171" s="35">
        <v>1.43218922973531</v>
      </c>
      <c r="AA171" s="35">
        <v>1.43220383707706</v>
      </c>
      <c r="AB171" s="34">
        <v>97.662375567405704</v>
      </c>
      <c r="AC171" s="34">
        <v>97.779193362833894</v>
      </c>
      <c r="AD171" s="34">
        <v>97.787110909210597</v>
      </c>
      <c r="AE171" s="16">
        <v>-1.2755367666249301E-3</v>
      </c>
      <c r="AF171" s="16">
        <v>-8.0112374782360495E-5</v>
      </c>
      <c r="AG171" s="16">
        <v>8.5808084371156501E-7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9">
        <f t="shared" si="48"/>
        <v>0</v>
      </c>
      <c r="AP171" s="29">
        <f t="shared" si="49"/>
        <v>0</v>
      </c>
      <c r="AQ171" s="29">
        <f t="shared" si="56"/>
        <v>0</v>
      </c>
      <c r="AR171" s="30">
        <f t="shared" si="57"/>
        <v>6.6745486111423388E-3</v>
      </c>
      <c r="AT171" s="12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29">
        <f t="shared" si="52"/>
        <v>0</v>
      </c>
      <c r="BA171" s="29">
        <f t="shared" si="53"/>
        <v>0</v>
      </c>
      <c r="BB171" s="29">
        <f t="shared" si="60"/>
        <v>0</v>
      </c>
      <c r="BC171" s="30">
        <f t="shared" si="61"/>
        <v>8.9550088526642608E-3</v>
      </c>
      <c r="BE171" s="30">
        <f t="shared" si="62"/>
        <v>0</v>
      </c>
      <c r="BF171" s="30">
        <f t="shared" si="63"/>
        <v>1.5629557463806596E-2</v>
      </c>
      <c r="BH171" s="30"/>
    </row>
    <row r="172" spans="1:60" x14ac:dyDescent="0.25">
      <c r="A172" s="1">
        <v>46273</v>
      </c>
      <c r="B172" s="34">
        <v>65.56</v>
      </c>
      <c r="C172" s="34">
        <v>94.36</v>
      </c>
      <c r="D172" s="16">
        <v>-1.67644632725237E-3</v>
      </c>
      <c r="E172" s="16">
        <v>-1.1650692415686201E-3</v>
      </c>
      <c r="F172" s="34">
        <v>0</v>
      </c>
      <c r="G172" s="34">
        <v>2.6059000000000001</v>
      </c>
      <c r="H172" s="34">
        <v>0</v>
      </c>
      <c r="I172" s="34">
        <v>3.3170269999999999</v>
      </c>
      <c r="J172" s="34">
        <v>2.6059000000000001</v>
      </c>
      <c r="K172" s="34">
        <v>3.3170269999999999</v>
      </c>
      <c r="L172" s="34">
        <v>68.165899999999993</v>
      </c>
      <c r="M172" s="34">
        <v>97.677026999999995</v>
      </c>
      <c r="N172" s="35">
        <v>1.4392922513727799</v>
      </c>
      <c r="O172" s="35">
        <v>1.43329336478799</v>
      </c>
      <c r="P172" s="35">
        <v>1.4382712767502801</v>
      </c>
      <c r="Q172" s="35">
        <v>1.4380197122112099</v>
      </c>
      <c r="R172" s="34">
        <v>93.966712995500799</v>
      </c>
      <c r="S172" s="34">
        <v>94.280259327145799</v>
      </c>
      <c r="T172" s="34">
        <v>94.271815510250406</v>
      </c>
      <c r="U172" s="16">
        <v>-4.1766520528653201E-3</v>
      </c>
      <c r="V172" s="16">
        <v>-8.4542586919751303E-4</v>
      </c>
      <c r="W172" s="16">
        <v>-9.3499069534301398E-4</v>
      </c>
      <c r="X172" s="35">
        <v>1.43293093760956</v>
      </c>
      <c r="Y172" s="35">
        <v>1.43040773636679</v>
      </c>
      <c r="Z172" s="35">
        <v>1.43230683664306</v>
      </c>
      <c r="AA172" s="35">
        <v>1.43223849770033</v>
      </c>
      <c r="AB172" s="34">
        <v>97.5050307164054</v>
      </c>
      <c r="AC172" s="34">
        <v>97.626467815214397</v>
      </c>
      <c r="AD172" s="34">
        <v>97.627463537811096</v>
      </c>
      <c r="AE172" s="16">
        <v>-1.7624194572698E-3</v>
      </c>
      <c r="AF172" s="16">
        <v>-5.1774993543051697E-4</v>
      </c>
      <c r="AG172" s="16">
        <v>-5.0755067757353705E-4</v>
      </c>
      <c r="AI172" s="12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9">
        <f t="shared" si="48"/>
        <v>0</v>
      </c>
      <c r="AP172" s="29">
        <f t="shared" si="49"/>
        <v>0</v>
      </c>
      <c r="AQ172" s="29">
        <f t="shared" si="56"/>
        <v>0</v>
      </c>
      <c r="AR172" s="30">
        <f t="shared" si="57"/>
        <v>6.6745486111423388E-3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9">
        <f t="shared" si="52"/>
        <v>0</v>
      </c>
      <c r="BA172" s="29">
        <f t="shared" si="53"/>
        <v>0</v>
      </c>
      <c r="BB172" s="29">
        <f t="shared" si="60"/>
        <v>0</v>
      </c>
      <c r="BC172" s="30">
        <f t="shared" si="61"/>
        <v>8.9550088526642608E-3</v>
      </c>
      <c r="BE172" s="30">
        <f t="shared" si="62"/>
        <v>0</v>
      </c>
      <c r="BF172" s="30">
        <f t="shared" si="63"/>
        <v>1.5629557463806596E-2</v>
      </c>
      <c r="BH172" s="30"/>
    </row>
    <row r="173" spans="1:60" x14ac:dyDescent="0.25">
      <c r="A173" s="1">
        <v>46274</v>
      </c>
      <c r="B173" s="34">
        <v>65.38</v>
      </c>
      <c r="C173" s="34">
        <v>94.17</v>
      </c>
      <c r="D173" s="16">
        <v>-2.7493525795644299E-3</v>
      </c>
      <c r="E173" s="16">
        <v>-2.01559501750239E-3</v>
      </c>
      <c r="F173" s="34">
        <v>0</v>
      </c>
      <c r="G173" s="34">
        <v>2.6059000000000001</v>
      </c>
      <c r="H173" s="34">
        <v>0</v>
      </c>
      <c r="I173" s="34">
        <v>3.3170269999999999</v>
      </c>
      <c r="J173" s="34">
        <v>2.6059000000000001</v>
      </c>
      <c r="K173" s="34">
        <v>3.3170269999999999</v>
      </c>
      <c r="L173" s="34">
        <v>67.985900000000001</v>
      </c>
      <c r="M173" s="34">
        <v>97.487026999999998</v>
      </c>
      <c r="N173" s="35">
        <v>1.44034873049862</v>
      </c>
      <c r="O173" s="35">
        <v>1.43329336478799</v>
      </c>
      <c r="P173" s="35">
        <v>1.4384666082528601</v>
      </c>
      <c r="Q173" s="35">
        <v>1.4381308703011999</v>
      </c>
      <c r="R173" s="34">
        <v>93.708720189838999</v>
      </c>
      <c r="S173" s="34">
        <v>94.034176073933295</v>
      </c>
      <c r="T173" s="34">
        <v>94.017728784368899</v>
      </c>
      <c r="U173" s="16">
        <v>-4.9104096149273496E-3</v>
      </c>
      <c r="V173" s="16">
        <v>-1.4433680748254501E-3</v>
      </c>
      <c r="W173" s="16">
        <v>-1.6182909464519E-3</v>
      </c>
      <c r="X173" s="35">
        <v>1.4339300796194501</v>
      </c>
      <c r="Y173" s="35">
        <v>1.43040773636679</v>
      </c>
      <c r="Z173" s="35">
        <v>1.43241962966285</v>
      </c>
      <c r="AA173" s="35">
        <v>1.43230945129816</v>
      </c>
      <c r="AB173" s="34">
        <v>97.247557323859397</v>
      </c>
      <c r="AC173" s="34">
        <v>97.376669365331693</v>
      </c>
      <c r="AD173" s="34">
        <v>97.372023280805195</v>
      </c>
      <c r="AE173" s="16">
        <v>-2.4594480500976898E-3</v>
      </c>
      <c r="AF173" s="16">
        <v>-1.13266502201387E-3</v>
      </c>
      <c r="AG173" s="16">
        <v>-1.1803786622363299E-3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9">
        <f t="shared" si="48"/>
        <v>0</v>
      </c>
      <c r="AP173" s="29">
        <f t="shared" si="49"/>
        <v>0</v>
      </c>
      <c r="AQ173" s="29">
        <f t="shared" si="56"/>
        <v>0</v>
      </c>
      <c r="AR173" s="30">
        <f t="shared" si="57"/>
        <v>6.6745486111423388E-3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9">
        <f t="shared" si="52"/>
        <v>0</v>
      </c>
      <c r="BA173" s="29">
        <f t="shared" si="53"/>
        <v>0</v>
      </c>
      <c r="BB173" s="29">
        <f t="shared" si="60"/>
        <v>0</v>
      </c>
      <c r="BC173" s="30">
        <f t="shared" si="61"/>
        <v>8.9550088526642608E-3</v>
      </c>
      <c r="BE173" s="30">
        <f t="shared" si="62"/>
        <v>0</v>
      </c>
      <c r="BF173" s="30">
        <f t="shared" si="63"/>
        <v>1.5629557463806596E-2</v>
      </c>
      <c r="BH173" s="30"/>
    </row>
    <row r="174" spans="1:60" x14ac:dyDescent="0.25">
      <c r="A174" s="1">
        <v>46275</v>
      </c>
      <c r="B174" s="34">
        <v>64.92</v>
      </c>
      <c r="C174" s="34">
        <v>93.41</v>
      </c>
      <c r="D174" s="16">
        <v>-7.0606586496739501E-3</v>
      </c>
      <c r="E174" s="16">
        <v>-8.1032536372146208E-3</v>
      </c>
      <c r="F174" s="34">
        <v>0</v>
      </c>
      <c r="G174" s="34">
        <v>2.6059000000000001</v>
      </c>
      <c r="H174" s="34">
        <v>0</v>
      </c>
      <c r="I174" s="34">
        <v>3.3170269999999999</v>
      </c>
      <c r="J174" s="34">
        <v>2.6059000000000001</v>
      </c>
      <c r="K174" s="34">
        <v>3.3170269999999999</v>
      </c>
      <c r="L174" s="34">
        <v>67.525899999999993</v>
      </c>
      <c r="M174" s="34">
        <v>96.727026999999893</v>
      </c>
      <c r="N174" s="35">
        <v>1.4388478126925399</v>
      </c>
      <c r="O174" s="35">
        <v>1.43329336478799</v>
      </c>
      <c r="P174" s="35">
        <v>1.4384655199569001</v>
      </c>
      <c r="Q174" s="35">
        <v>1.4381381192476901</v>
      </c>
      <c r="R174" s="34">
        <v>93.049405242036499</v>
      </c>
      <c r="S174" s="34">
        <v>93.385252207775906</v>
      </c>
      <c r="T174" s="34">
        <v>93.363456099953893</v>
      </c>
      <c r="U174" s="16">
        <v>-3.86781462738676E-3</v>
      </c>
      <c r="V174" s="16">
        <v>-2.6497239171015301E-4</v>
      </c>
      <c r="W174" s="16">
        <v>-4.9839952615725195E-4</v>
      </c>
      <c r="X174" s="35">
        <v>1.4324433587704799</v>
      </c>
      <c r="Y174" s="35">
        <v>1.43040773636679</v>
      </c>
      <c r="Z174" s="35">
        <v>1.4323395389056099</v>
      </c>
      <c r="AA174" s="35">
        <v>1.43227796608005</v>
      </c>
      <c r="AB174" s="34">
        <v>96.589569765130705</v>
      </c>
      <c r="AC174" s="34">
        <v>96.725424670651094</v>
      </c>
      <c r="AD174" s="34">
        <v>96.717984777414799</v>
      </c>
      <c r="AE174" s="16">
        <v>-1.4220947433901099E-3</v>
      </c>
      <c r="AF174" s="16">
        <v>-1.6565614290207001E-5</v>
      </c>
      <c r="AG174" s="16">
        <v>-9.3486231654821796E-5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9">
        <f t="shared" si="48"/>
        <v>0</v>
      </c>
      <c r="AP174" s="29">
        <f t="shared" si="49"/>
        <v>0</v>
      </c>
      <c r="AQ174" s="29">
        <f t="shared" si="56"/>
        <v>0</v>
      </c>
      <c r="AR174" s="30">
        <f t="shared" si="57"/>
        <v>6.6745486111423388E-3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9">
        <f t="shared" si="52"/>
        <v>0</v>
      </c>
      <c r="BA174" s="29">
        <f t="shared" si="53"/>
        <v>0</v>
      </c>
      <c r="BB174" s="29">
        <f t="shared" si="60"/>
        <v>0</v>
      </c>
      <c r="BC174" s="30">
        <f t="shared" si="61"/>
        <v>8.9550088526642608E-3</v>
      </c>
      <c r="BE174" s="30">
        <f t="shared" si="62"/>
        <v>0</v>
      </c>
      <c r="BF174" s="30">
        <f t="shared" si="63"/>
        <v>1.5629557463806596E-2</v>
      </c>
      <c r="BH174" s="30"/>
    </row>
    <row r="175" spans="1:60" x14ac:dyDescent="0.25">
      <c r="A175" s="1">
        <v>46276</v>
      </c>
      <c r="B175" s="34">
        <v>64.88</v>
      </c>
      <c r="C175" s="34">
        <v>93.34</v>
      </c>
      <c r="D175" s="16">
        <v>-6.1633283923302697E-4</v>
      </c>
      <c r="E175" s="16">
        <v>-7.4966536308772303E-4</v>
      </c>
      <c r="F175" s="34">
        <v>0</v>
      </c>
      <c r="G175" s="34">
        <v>2.6059000000000001</v>
      </c>
      <c r="H175" s="34">
        <v>0</v>
      </c>
      <c r="I175" s="34">
        <v>3.3170269999999999</v>
      </c>
      <c r="J175" s="34">
        <v>2.6059000000000001</v>
      </c>
      <c r="K175" s="34">
        <v>3.3170269999999999</v>
      </c>
      <c r="L175" s="34">
        <v>67.485900000000001</v>
      </c>
      <c r="M175" s="34">
        <v>96.657026999999999</v>
      </c>
      <c r="N175" s="35">
        <v>1.43865598027127</v>
      </c>
      <c r="O175" s="35">
        <v>1.43329336478799</v>
      </c>
      <c r="P175" s="35">
        <v>1.4386302116396099</v>
      </c>
      <c r="Q175" s="35">
        <v>1.4381336822926301</v>
      </c>
      <c r="R175" s="34">
        <v>92.992073507444999</v>
      </c>
      <c r="S175" s="34">
        <v>93.327642934803706</v>
      </c>
      <c r="T175" s="34">
        <v>93.306401176790303</v>
      </c>
      <c r="U175" s="16">
        <v>-3.73448210353208E-3</v>
      </c>
      <c r="V175" s="16">
        <v>-1.32396434861319E-4</v>
      </c>
      <c r="W175" s="16">
        <v>-3.6002648173996102E-4</v>
      </c>
      <c r="X175" s="35">
        <v>1.43225513773988</v>
      </c>
      <c r="Y175" s="35">
        <v>1.43040773636679</v>
      </c>
      <c r="Z175" s="35">
        <v>1.43241974537233</v>
      </c>
      <c r="AA175" s="35">
        <v>1.4322338547598501</v>
      </c>
      <c r="AB175" s="34">
        <v>96.532353455676002</v>
      </c>
      <c r="AC175" s="34">
        <v>96.662722888630498</v>
      </c>
      <c r="AD175" s="34">
        <v>96.658567591081805</v>
      </c>
      <c r="AE175" s="16">
        <v>-1.2906875247226501E-3</v>
      </c>
      <c r="AF175" s="16">
        <v>5.8927126022471897E-5</v>
      </c>
      <c r="AG175" s="16">
        <v>1.5938611524652499E-5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9">
        <f t="shared" si="48"/>
        <v>0</v>
      </c>
      <c r="AP175" s="29">
        <f t="shared" si="49"/>
        <v>0</v>
      </c>
      <c r="AQ175" s="29">
        <f t="shared" si="56"/>
        <v>0</v>
      </c>
      <c r="AR175" s="30">
        <f t="shared" si="57"/>
        <v>6.6745486111423388E-3</v>
      </c>
      <c r="AT175" s="12"/>
      <c r="AU175">
        <f t="shared" si="50"/>
        <v>0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9">
        <f t="shared" si="52"/>
        <v>0</v>
      </c>
      <c r="BA175" s="29">
        <f t="shared" si="53"/>
        <v>0</v>
      </c>
      <c r="BB175" s="29">
        <f t="shared" si="60"/>
        <v>0</v>
      </c>
      <c r="BC175" s="30">
        <f t="shared" si="61"/>
        <v>8.9550088526642608E-3</v>
      </c>
      <c r="BE175" s="30">
        <f t="shared" si="62"/>
        <v>0</v>
      </c>
      <c r="BF175" s="30">
        <f t="shared" si="63"/>
        <v>1.5629557463806596E-2</v>
      </c>
      <c r="BH175" s="30"/>
    </row>
    <row r="176" spans="1:60" x14ac:dyDescent="0.25">
      <c r="A176" s="1">
        <v>46279</v>
      </c>
      <c r="B176" s="34">
        <v>64.72</v>
      </c>
      <c r="C176" s="34">
        <v>93.22</v>
      </c>
      <c r="D176" s="16">
        <v>-2.4691370569211498E-3</v>
      </c>
      <c r="E176" s="16">
        <v>-1.28644957707475E-3</v>
      </c>
      <c r="F176" s="34">
        <v>0</v>
      </c>
      <c r="G176" s="34">
        <v>2.6059000000000001</v>
      </c>
      <c r="H176" s="34">
        <v>0</v>
      </c>
      <c r="I176" s="34">
        <v>3.3170269999999999</v>
      </c>
      <c r="J176" s="34">
        <v>2.6059000000000001</v>
      </c>
      <c r="K176" s="34">
        <v>3.3170269999999999</v>
      </c>
      <c r="L176" s="34">
        <v>67.325900000000004</v>
      </c>
      <c r="M176" s="34">
        <v>96.537026999999995</v>
      </c>
      <c r="N176" s="35">
        <v>1.4403584672435099</v>
      </c>
      <c r="O176" s="35">
        <v>1.43329336478799</v>
      </c>
      <c r="P176" s="35">
        <v>1.4389151115377301</v>
      </c>
      <c r="Q176" s="35">
        <v>1.43828558418195</v>
      </c>
      <c r="R176" s="34">
        <v>92.762746569078899</v>
      </c>
      <c r="S176" s="34">
        <v>93.108147297315995</v>
      </c>
      <c r="T176" s="34">
        <v>93.076011917979599</v>
      </c>
      <c r="U176" s="16">
        <v>-4.9171695833785303E-3</v>
      </c>
      <c r="V176" s="16">
        <v>-1.20059924109232E-3</v>
      </c>
      <c r="W176" s="16">
        <v>-1.54579917422342E-3</v>
      </c>
      <c r="X176" s="35">
        <v>1.4338765170610399</v>
      </c>
      <c r="Y176" s="35">
        <v>1.43040773636679</v>
      </c>
      <c r="Z176" s="35">
        <v>1.432615269374</v>
      </c>
      <c r="AA176" s="35">
        <v>1.4323402629045501</v>
      </c>
      <c r="AB176" s="34">
        <v>96.303488217857307</v>
      </c>
      <c r="AC176" s="34">
        <v>96.438948534963004</v>
      </c>
      <c r="AD176" s="34">
        <v>96.426433282176305</v>
      </c>
      <c r="AE176" s="16">
        <v>-2.4220936772629902E-3</v>
      </c>
      <c r="AF176" s="16">
        <v>-1.0164837691312499E-3</v>
      </c>
      <c r="AG176" s="16">
        <v>-1.1462660316234601E-3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9">
        <f t="shared" si="48"/>
        <v>0</v>
      </c>
      <c r="AP176" s="29">
        <f t="shared" si="49"/>
        <v>0</v>
      </c>
      <c r="AQ176" s="29">
        <f t="shared" si="56"/>
        <v>0</v>
      </c>
      <c r="AR176" s="30">
        <f t="shared" si="57"/>
        <v>6.6745486111423388E-3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9">
        <f t="shared" si="52"/>
        <v>0</v>
      </c>
      <c r="BA176" s="29">
        <f t="shared" si="53"/>
        <v>0</v>
      </c>
      <c r="BB176" s="29">
        <f t="shared" si="60"/>
        <v>0</v>
      </c>
      <c r="BC176" s="30">
        <f t="shared" si="61"/>
        <v>8.9550088526642608E-3</v>
      </c>
      <c r="BE176" s="30">
        <f t="shared" si="62"/>
        <v>0</v>
      </c>
      <c r="BF176" s="30">
        <f t="shared" si="63"/>
        <v>1.5629557463806596E-2</v>
      </c>
      <c r="BH176" s="30"/>
    </row>
    <row r="177" spans="85:100" x14ac:dyDescent="0.25">
      <c r="CG177" s="29"/>
      <c r="CH177" s="29"/>
      <c r="CI177" s="29"/>
      <c r="CJ177" s="30"/>
      <c r="CL177" s="29"/>
      <c r="CS177" s="29"/>
      <c r="CT177" s="29"/>
      <c r="CU177" s="29"/>
      <c r="CV177" s="30"/>
    </row>
    <row r="178" spans="85:100" x14ac:dyDescent="0.25">
      <c r="CG178" s="29"/>
      <c r="CH178" s="29"/>
      <c r="CI178" s="29"/>
      <c r="CJ178" s="30"/>
      <c r="CL178" s="29"/>
      <c r="CS178" s="29"/>
      <c r="CT178" s="29"/>
      <c r="CU178" s="29"/>
      <c r="CV178" s="30"/>
    </row>
    <row r="179" spans="85:100" x14ac:dyDescent="0.25">
      <c r="CG179" s="29"/>
      <c r="CH179" s="29"/>
      <c r="CI179" s="29"/>
      <c r="CJ179" s="30"/>
      <c r="CL179" s="29"/>
      <c r="CS179" s="29"/>
      <c r="CT179" s="29"/>
      <c r="CU179" s="29"/>
      <c r="CV179" s="30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2026-09-22T13:02:50Z</dcterms:created>
  <dcterms:modified xsi:type="dcterms:W3CDTF">2026-09-22T13:07:11Z</dcterms:modified>
</cp:coreProperties>
</file>