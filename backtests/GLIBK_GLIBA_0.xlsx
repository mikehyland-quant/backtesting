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7F4E7ADC-1096-4077-B8C6-8202B7273297}" xr6:coauthVersionLast="47" xr6:coauthVersionMax="47" xr10:uidLastSave="{00000000-0000-0000-0000-000000000000}"/>
  <bookViews>
    <workbookView xWindow="24900" yWindow="405" windowWidth="32835" windowHeight="14970" xr2:uid="{27DE8786-ECD4-43CC-ADB9-EA73143DD09C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86" i="1" l="1"/>
  <c r="AV186" i="1"/>
  <c r="AU186" i="1"/>
  <c r="AM186" i="1"/>
  <c r="AK186" i="1"/>
  <c r="AJ186" i="1"/>
  <c r="AX185" i="1"/>
  <c r="AV185" i="1"/>
  <c r="AU185" i="1"/>
  <c r="AM185" i="1"/>
  <c r="AK185" i="1"/>
  <c r="AJ185" i="1"/>
  <c r="AX184" i="1"/>
  <c r="AV184" i="1"/>
  <c r="AU184" i="1"/>
  <c r="AY185" i="1" s="1"/>
  <c r="AM184" i="1"/>
  <c r="AK184" i="1"/>
  <c r="AJ184" i="1"/>
  <c r="AX183" i="1"/>
  <c r="AV183" i="1"/>
  <c r="AU183" i="1"/>
  <c r="AY184" i="1" s="1"/>
  <c r="AM183" i="1"/>
  <c r="AK183" i="1"/>
  <c r="AJ183" i="1"/>
  <c r="AN184" i="1" s="1"/>
  <c r="AX182" i="1"/>
  <c r="AV182" i="1"/>
  <c r="AU182" i="1"/>
  <c r="AY183" i="1" s="1"/>
  <c r="AM182" i="1"/>
  <c r="AK182" i="1"/>
  <c r="AJ182" i="1"/>
  <c r="AX181" i="1"/>
  <c r="AV181" i="1"/>
  <c r="AU181" i="1"/>
  <c r="AY182" i="1" s="1"/>
  <c r="AM181" i="1"/>
  <c r="AK181" i="1"/>
  <c r="AJ181" i="1"/>
  <c r="AX180" i="1"/>
  <c r="AV180" i="1"/>
  <c r="AU180" i="1"/>
  <c r="AM180" i="1"/>
  <c r="AK180" i="1"/>
  <c r="AJ180" i="1"/>
  <c r="AN181" i="1" s="1"/>
  <c r="AX179" i="1"/>
  <c r="AV179" i="1"/>
  <c r="AU179" i="1"/>
  <c r="AY180" i="1" s="1"/>
  <c r="AM179" i="1"/>
  <c r="AK179" i="1"/>
  <c r="AJ179" i="1"/>
  <c r="AN180" i="1" s="1"/>
  <c r="AX178" i="1"/>
  <c r="AV178" i="1"/>
  <c r="AU178" i="1"/>
  <c r="AY179" i="1" s="1"/>
  <c r="AM178" i="1"/>
  <c r="AK178" i="1"/>
  <c r="AJ178" i="1"/>
  <c r="AN179" i="1" s="1"/>
  <c r="AX177" i="1"/>
  <c r="AV177" i="1"/>
  <c r="AU177" i="1"/>
  <c r="AY178" i="1" s="1"/>
  <c r="AM177" i="1"/>
  <c r="AK177" i="1"/>
  <c r="AJ177" i="1"/>
  <c r="AN178" i="1" s="1"/>
  <c r="AX176" i="1"/>
  <c r="AV176" i="1"/>
  <c r="AU176" i="1"/>
  <c r="AM176" i="1"/>
  <c r="AK176" i="1"/>
  <c r="AJ176" i="1"/>
  <c r="AN177" i="1" s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M79" i="1"/>
  <c r="AK79" i="1"/>
  <c r="AJ79" i="1"/>
  <c r="AN80" i="1" s="1"/>
  <c r="AX78" i="1"/>
  <c r="AV78" i="1"/>
  <c r="AU78" i="1"/>
  <c r="AY79" i="1" s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Y50" i="1" s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N44" i="1" s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72" i="1" l="1"/>
  <c r="AN27" i="1"/>
  <c r="AN162" i="1"/>
  <c r="AN186" i="1"/>
  <c r="AN185" i="1"/>
  <c r="AN183" i="1"/>
  <c r="AN140" i="1"/>
  <c r="AN104" i="1"/>
  <c r="AN106" i="1"/>
  <c r="AN138" i="1"/>
  <c r="AN34" i="1"/>
  <c r="AN133" i="1"/>
  <c r="AN29" i="1"/>
  <c r="AN136" i="1"/>
  <c r="AN156" i="1"/>
  <c r="AN134" i="1"/>
  <c r="AN99" i="1"/>
  <c r="AN107" i="1"/>
  <c r="AN23" i="1"/>
  <c r="AN176" i="1"/>
  <c r="AN26" i="1"/>
  <c r="AN164" i="1"/>
  <c r="AN135" i="1"/>
  <c r="AN88" i="1"/>
  <c r="AN57" i="1"/>
  <c r="AN35" i="1"/>
  <c r="AN32" i="1"/>
  <c r="AN130" i="1"/>
  <c r="AN105" i="1"/>
  <c r="AN132" i="1"/>
  <c r="AN95" i="1"/>
  <c r="AN60" i="1"/>
  <c r="AN30" i="1"/>
  <c r="AN56" i="1"/>
  <c r="AN31" i="1"/>
  <c r="AN67" i="1"/>
  <c r="AN153" i="1"/>
  <c r="AN96" i="1"/>
  <c r="AN62" i="1"/>
  <c r="AN100" i="1"/>
  <c r="AN94" i="1"/>
  <c r="AN65" i="1"/>
  <c r="AN63" i="1"/>
  <c r="AN61" i="1"/>
  <c r="AN55" i="1"/>
  <c r="AN52" i="1"/>
  <c r="AN43" i="1"/>
  <c r="AN98" i="1"/>
  <c r="AN53" i="1"/>
  <c r="AN66" i="1"/>
  <c r="AN103" i="1"/>
  <c r="AN97" i="1"/>
  <c r="AN93" i="1"/>
  <c r="AN64" i="1"/>
  <c r="AN59" i="1"/>
  <c r="AN54" i="1"/>
  <c r="AN33" i="1"/>
  <c r="AN154" i="1"/>
  <c r="AN115" i="1"/>
  <c r="AN101" i="1"/>
  <c r="AN58" i="1"/>
  <c r="AN36" i="1"/>
  <c r="AN28" i="1"/>
  <c r="AN112" i="1"/>
  <c r="AY69" i="1"/>
  <c r="AY118" i="1"/>
  <c r="AY158" i="1"/>
  <c r="AY152" i="1"/>
  <c r="AY143" i="1"/>
  <c r="AY141" i="1"/>
  <c r="AY126" i="1"/>
  <c r="AY119" i="1"/>
  <c r="AY109" i="1"/>
  <c r="AY70" i="1"/>
  <c r="AY48" i="1"/>
  <c r="AY40" i="1"/>
  <c r="AY25" i="1"/>
  <c r="AY159" i="1"/>
  <c r="AY91" i="1"/>
  <c r="AY89" i="1"/>
  <c r="AY77" i="1"/>
  <c r="AY37" i="1"/>
  <c r="AY24" i="1"/>
  <c r="AY90" i="1"/>
  <c r="AY78" i="1"/>
  <c r="AY72" i="1"/>
  <c r="AY71" i="1"/>
  <c r="AY49" i="1"/>
  <c r="AY47" i="1"/>
  <c r="AY41" i="1"/>
  <c r="AY23" i="1"/>
  <c r="AY128" i="1"/>
  <c r="AY86" i="1"/>
  <c r="AY80" i="1"/>
  <c r="AY68" i="1"/>
  <c r="AY46" i="1"/>
  <c r="AY73" i="1"/>
  <c r="AY45" i="1"/>
  <c r="AY38" i="1"/>
  <c r="AY165" i="1"/>
  <c r="AY142" i="1"/>
  <c r="AY95" i="1"/>
  <c r="AN155" i="1"/>
  <c r="AN92" i="1"/>
  <c r="AN42" i="1"/>
  <c r="AN139" i="1"/>
  <c r="AN131" i="1"/>
  <c r="AN182" i="1"/>
  <c r="AN39" i="1"/>
  <c r="AY181" i="1"/>
  <c r="AZ185" i="1"/>
  <c r="BA185" i="1"/>
  <c r="AW185" i="1"/>
  <c r="AY186" i="1" s="1"/>
  <c r="AZ184" i="1"/>
  <c r="BA184" i="1"/>
  <c r="AW184" i="1"/>
  <c r="AO184" i="1"/>
  <c r="AP184" i="1"/>
  <c r="AL184" i="1"/>
  <c r="AZ183" i="1"/>
  <c r="BA183" i="1"/>
  <c r="AW183" i="1"/>
  <c r="AZ182" i="1"/>
  <c r="BA182" i="1"/>
  <c r="AW182" i="1"/>
  <c r="AO181" i="1"/>
  <c r="AP181" i="1"/>
  <c r="AL181" i="1"/>
  <c r="BA180" i="1"/>
  <c r="AZ180" i="1"/>
  <c r="BB180" i="1" s="1"/>
  <c r="AW180" i="1"/>
  <c r="AO180" i="1"/>
  <c r="AP180" i="1"/>
  <c r="AL180" i="1"/>
  <c r="AW179" i="1"/>
  <c r="AZ179" i="1"/>
  <c r="BA179" i="1"/>
  <c r="AO179" i="1"/>
  <c r="AP179" i="1"/>
  <c r="AL179" i="1"/>
  <c r="BA178" i="1"/>
  <c r="AZ178" i="1"/>
  <c r="BB178" i="1" s="1"/>
  <c r="AW178" i="1"/>
  <c r="AL178" i="1"/>
  <c r="AP178" i="1"/>
  <c r="AO178" i="1"/>
  <c r="AQ178" i="1" s="1"/>
  <c r="BE178" i="1" s="1"/>
  <c r="AL177" i="1"/>
  <c r="AP177" i="1"/>
  <c r="AO177" i="1"/>
  <c r="AQ177" i="1" s="1"/>
  <c r="AP175" i="1"/>
  <c r="AL175" i="1"/>
  <c r="AO175" i="1"/>
  <c r="AQ175" i="1" s="1"/>
  <c r="AL174" i="1"/>
  <c r="AO174" i="1"/>
  <c r="AP174" i="1"/>
  <c r="AL173" i="1"/>
  <c r="AP173" i="1"/>
  <c r="AO173" i="1"/>
  <c r="AP172" i="1"/>
  <c r="AL172" i="1"/>
  <c r="AO172" i="1"/>
  <c r="AQ172" i="1" s="1"/>
  <c r="AW171" i="1"/>
  <c r="AY172" i="1" s="1"/>
  <c r="AZ171" i="1"/>
  <c r="BA171" i="1"/>
  <c r="AW170" i="1"/>
  <c r="BA170" i="1"/>
  <c r="AZ170" i="1"/>
  <c r="BB170" i="1" s="1"/>
  <c r="AW169" i="1"/>
  <c r="BA169" i="1"/>
  <c r="AZ169" i="1"/>
  <c r="BB169" i="1" s="1"/>
  <c r="AW168" i="1"/>
  <c r="BA168" i="1"/>
  <c r="AZ168" i="1"/>
  <c r="BB168" i="1" s="1"/>
  <c r="AZ167" i="1"/>
  <c r="AW167" i="1"/>
  <c r="BA167" i="1"/>
  <c r="BA166" i="1"/>
  <c r="AW166" i="1"/>
  <c r="AZ166" i="1"/>
  <c r="BB166" i="1" s="1"/>
  <c r="AZ164" i="1"/>
  <c r="AW164" i="1"/>
  <c r="BA164" i="1"/>
  <c r="AZ163" i="1"/>
  <c r="AW163" i="1"/>
  <c r="BA163" i="1"/>
  <c r="BA162" i="1"/>
  <c r="AW162" i="1"/>
  <c r="AZ162" i="1"/>
  <c r="BB162" i="1" s="1"/>
  <c r="AP162" i="1"/>
  <c r="AO162" i="1"/>
  <c r="AL162" i="1"/>
  <c r="AN163" i="1" s="1"/>
  <c r="BA161" i="1"/>
  <c r="AW161" i="1"/>
  <c r="AZ161" i="1"/>
  <c r="BB161" i="1" s="1"/>
  <c r="AW160" i="1"/>
  <c r="AZ160" i="1"/>
  <c r="BA160" i="1"/>
  <c r="AO157" i="1"/>
  <c r="AL157" i="1"/>
  <c r="AN158" i="1" s="1"/>
  <c r="AP157" i="1"/>
  <c r="AL156" i="1"/>
  <c r="AP156" i="1"/>
  <c r="AO156" i="1"/>
  <c r="BA155" i="1"/>
  <c r="AW155" i="1"/>
  <c r="AY156" i="1" s="1"/>
  <c r="AZ155" i="1"/>
  <c r="BB155" i="1" s="1"/>
  <c r="AZ154" i="1"/>
  <c r="AW154" i="1"/>
  <c r="BA154" i="1"/>
  <c r="BA151" i="1"/>
  <c r="AW151" i="1"/>
  <c r="AZ151" i="1"/>
  <c r="BB151" i="1" s="1"/>
  <c r="BA150" i="1"/>
  <c r="AW150" i="1"/>
  <c r="AZ150" i="1"/>
  <c r="BB150" i="1" s="1"/>
  <c r="AZ149" i="1"/>
  <c r="BA149" i="1"/>
  <c r="AW149" i="1"/>
  <c r="AW148" i="1"/>
  <c r="AZ148" i="1"/>
  <c r="BA148" i="1"/>
  <c r="AW147" i="1"/>
  <c r="BA147" i="1"/>
  <c r="AZ147" i="1"/>
  <c r="BA146" i="1"/>
  <c r="AW146" i="1"/>
  <c r="AZ146" i="1"/>
  <c r="BB146" i="1" s="1"/>
  <c r="AW145" i="1"/>
  <c r="BA145" i="1"/>
  <c r="AZ145" i="1"/>
  <c r="BB145" i="1" s="1"/>
  <c r="AW144" i="1"/>
  <c r="BA144" i="1"/>
  <c r="AZ144" i="1"/>
  <c r="AP140" i="1"/>
  <c r="AL140" i="1"/>
  <c r="AN141" i="1" s="1"/>
  <c r="AO140" i="1"/>
  <c r="AZ138" i="1"/>
  <c r="AW138" i="1"/>
  <c r="AY139" i="1" s="1"/>
  <c r="BA138" i="1"/>
  <c r="AL138" i="1"/>
  <c r="AO138" i="1"/>
  <c r="AP138" i="1"/>
  <c r="AW137" i="1"/>
  <c r="BA137" i="1"/>
  <c r="AZ137" i="1"/>
  <c r="BB137" i="1" s="1"/>
  <c r="AP137" i="1"/>
  <c r="AO137" i="1"/>
  <c r="AQ137" i="1" s="1"/>
  <c r="BE137" i="1" s="1"/>
  <c r="AL137" i="1"/>
  <c r="AZ136" i="1"/>
  <c r="AW136" i="1"/>
  <c r="BA136" i="1"/>
  <c r="AP136" i="1"/>
  <c r="AL136" i="1"/>
  <c r="AO136" i="1"/>
  <c r="AQ136" i="1" s="1"/>
  <c r="AW135" i="1"/>
  <c r="BA135" i="1"/>
  <c r="AZ135" i="1"/>
  <c r="BB135" i="1" s="1"/>
  <c r="AL134" i="1"/>
  <c r="AO134" i="1"/>
  <c r="AP134" i="1"/>
  <c r="AP133" i="1"/>
  <c r="AO133" i="1"/>
  <c r="AQ133" i="1" s="1"/>
  <c r="AL133" i="1"/>
  <c r="BA129" i="1"/>
  <c r="AW129" i="1"/>
  <c r="AY130" i="1" s="1"/>
  <c r="AZ129" i="1"/>
  <c r="BB129" i="1" s="1"/>
  <c r="AZ127" i="1"/>
  <c r="AW127" i="1"/>
  <c r="BA127" i="1"/>
  <c r="AW125" i="1"/>
  <c r="BA125" i="1"/>
  <c r="AZ125" i="1"/>
  <c r="BB125" i="1" s="1"/>
  <c r="AZ124" i="1"/>
  <c r="AW124" i="1"/>
  <c r="BA124" i="1"/>
  <c r="AZ123" i="1"/>
  <c r="AW123" i="1"/>
  <c r="BA123" i="1"/>
  <c r="AL123" i="1"/>
  <c r="AN124" i="1" s="1"/>
  <c r="AP123" i="1"/>
  <c r="AO123" i="1"/>
  <c r="BA122" i="1"/>
  <c r="AW122" i="1"/>
  <c r="AZ122" i="1"/>
  <c r="BB122" i="1" s="1"/>
  <c r="AO122" i="1"/>
  <c r="AP122" i="1"/>
  <c r="AL122" i="1"/>
  <c r="AW121" i="1"/>
  <c r="BA121" i="1"/>
  <c r="AZ121" i="1"/>
  <c r="BB121" i="1" s="1"/>
  <c r="AW120" i="1"/>
  <c r="AZ120" i="1"/>
  <c r="BA120" i="1"/>
  <c r="AO119" i="1"/>
  <c r="AL119" i="1"/>
  <c r="AN120" i="1" s="1"/>
  <c r="AP119" i="1"/>
  <c r="AO118" i="1"/>
  <c r="AL118" i="1"/>
  <c r="AP118" i="1"/>
  <c r="AW117" i="1"/>
  <c r="BA117" i="1"/>
  <c r="AZ117" i="1"/>
  <c r="BB117" i="1" s="1"/>
  <c r="AO116" i="1"/>
  <c r="AL116" i="1"/>
  <c r="AN117" i="1" s="1"/>
  <c r="AP116" i="1"/>
  <c r="AW114" i="1"/>
  <c r="AY115" i="1" s="1"/>
  <c r="BA114" i="1"/>
  <c r="AZ114" i="1"/>
  <c r="BB114" i="1" s="1"/>
  <c r="AP114" i="1"/>
  <c r="AO114" i="1"/>
  <c r="AL114" i="1"/>
  <c r="AW113" i="1"/>
  <c r="BA113" i="1"/>
  <c r="AZ113" i="1"/>
  <c r="BB113" i="1" s="1"/>
  <c r="AP113" i="1"/>
  <c r="AO113" i="1"/>
  <c r="AQ113" i="1" s="1"/>
  <c r="BE113" i="1" s="1"/>
  <c r="AL113" i="1"/>
  <c r="AZ112" i="1"/>
  <c r="AW112" i="1"/>
  <c r="BA112" i="1"/>
  <c r="BA111" i="1"/>
  <c r="AW111" i="1"/>
  <c r="AZ111" i="1"/>
  <c r="BB111" i="1" s="1"/>
  <c r="AO110" i="1"/>
  <c r="AL110" i="1"/>
  <c r="AN111" i="1" s="1"/>
  <c r="AP110" i="1"/>
  <c r="AP108" i="1"/>
  <c r="AL108" i="1"/>
  <c r="AN109" i="1" s="1"/>
  <c r="AO108" i="1"/>
  <c r="AL106" i="1"/>
  <c r="AO106" i="1"/>
  <c r="AP106" i="1"/>
  <c r="AZ104" i="1"/>
  <c r="BA104" i="1"/>
  <c r="AW104" i="1"/>
  <c r="AY105" i="1" s="1"/>
  <c r="AP104" i="1"/>
  <c r="AL104" i="1"/>
  <c r="AO104" i="1"/>
  <c r="AQ104" i="1" s="1"/>
  <c r="BA102" i="1"/>
  <c r="AW102" i="1"/>
  <c r="AY103" i="1" s="1"/>
  <c r="AZ102" i="1"/>
  <c r="BB102" i="1" s="1"/>
  <c r="BA101" i="1"/>
  <c r="AZ101" i="1"/>
  <c r="AW101" i="1"/>
  <c r="AW100" i="1"/>
  <c r="AZ100" i="1"/>
  <c r="BA100" i="1"/>
  <c r="BA98" i="1"/>
  <c r="AW98" i="1"/>
  <c r="AY99" i="1" s="1"/>
  <c r="AZ98" i="1"/>
  <c r="BB98" i="1" s="1"/>
  <c r="AW96" i="1"/>
  <c r="AY97" i="1" s="1"/>
  <c r="BA96" i="1"/>
  <c r="AZ96" i="1"/>
  <c r="AZ94" i="1"/>
  <c r="BA94" i="1"/>
  <c r="AW94" i="1"/>
  <c r="AZ87" i="1"/>
  <c r="AW87" i="1"/>
  <c r="AY88" i="1" s="1"/>
  <c r="BA87" i="1"/>
  <c r="BA85" i="1"/>
  <c r="AW85" i="1"/>
  <c r="AZ85" i="1"/>
  <c r="BB85" i="1" s="1"/>
  <c r="AW84" i="1"/>
  <c r="AZ84" i="1"/>
  <c r="BA84" i="1"/>
  <c r="AZ83" i="1"/>
  <c r="BA83" i="1"/>
  <c r="AW83" i="1"/>
  <c r="AW82" i="1"/>
  <c r="BA82" i="1"/>
  <c r="AZ82" i="1"/>
  <c r="BB82" i="1" s="1"/>
  <c r="BA81" i="1"/>
  <c r="AZ81" i="1"/>
  <c r="BB81" i="1" s="1"/>
  <c r="AW81" i="1"/>
  <c r="AP80" i="1"/>
  <c r="AL80" i="1"/>
  <c r="AN81" i="1" s="1"/>
  <c r="AO80" i="1"/>
  <c r="AW79" i="1"/>
  <c r="BA79" i="1"/>
  <c r="AZ79" i="1"/>
  <c r="BB79" i="1" s="1"/>
  <c r="AW76" i="1"/>
  <c r="AZ76" i="1"/>
  <c r="BA76" i="1"/>
  <c r="BA75" i="1"/>
  <c r="AZ75" i="1"/>
  <c r="BB75" i="1" s="1"/>
  <c r="AW75" i="1"/>
  <c r="AW74" i="1"/>
  <c r="BA74" i="1"/>
  <c r="AZ74" i="1"/>
  <c r="BB74" i="1" s="1"/>
  <c r="AZ59" i="1"/>
  <c r="AW59" i="1"/>
  <c r="AY60" i="1" s="1"/>
  <c r="BA59" i="1"/>
  <c r="BA58" i="1"/>
  <c r="AW58" i="1"/>
  <c r="AZ58" i="1"/>
  <c r="BB58" i="1" s="1"/>
  <c r="AW55" i="1"/>
  <c r="AY56" i="1" s="1"/>
  <c r="AZ55" i="1"/>
  <c r="BA55" i="1"/>
  <c r="AO51" i="1"/>
  <c r="AP51" i="1"/>
  <c r="AL51" i="1"/>
  <c r="BA50" i="1"/>
  <c r="AZ50" i="1"/>
  <c r="BB50" i="1" s="1"/>
  <c r="AW50" i="1"/>
  <c r="AY51" i="1" s="1"/>
  <c r="AP44" i="1"/>
  <c r="AL44" i="1"/>
  <c r="AN45" i="1" s="1"/>
  <c r="AO44" i="1"/>
  <c r="AQ44" i="1" s="1"/>
  <c r="BA34" i="1"/>
  <c r="AZ34" i="1"/>
  <c r="BB34" i="1" s="1"/>
  <c r="AW34" i="1"/>
  <c r="AY35" i="1" s="1"/>
  <c r="AL34" i="1"/>
  <c r="AP34" i="1"/>
  <c r="AO34" i="1"/>
  <c r="AZ33" i="1"/>
  <c r="AW33" i="1"/>
  <c r="BA33" i="1"/>
  <c r="BA32" i="1"/>
  <c r="AW32" i="1"/>
  <c r="AZ32" i="1"/>
  <c r="BB32" i="1" s="1"/>
  <c r="AP29" i="1"/>
  <c r="AO29" i="1"/>
  <c r="AQ29" i="1" s="1"/>
  <c r="AL29" i="1"/>
  <c r="AL27" i="1"/>
  <c r="AO27" i="1"/>
  <c r="AP27" i="1"/>
  <c r="AZ22" i="1"/>
  <c r="BB22" i="1" s="1"/>
  <c r="BA22" i="1"/>
  <c r="AO22" i="1"/>
  <c r="AQ22" i="1" s="1"/>
  <c r="AP22" i="1"/>
  <c r="AQ162" i="1" l="1"/>
  <c r="BE162" i="1" s="1"/>
  <c r="AQ114" i="1"/>
  <c r="AO186" i="1"/>
  <c r="AP186" i="1"/>
  <c r="AL186" i="1"/>
  <c r="AP185" i="1"/>
  <c r="AO185" i="1"/>
  <c r="AL185" i="1"/>
  <c r="AP183" i="1"/>
  <c r="AO183" i="1"/>
  <c r="AQ183" i="1" s="1"/>
  <c r="AL183" i="1"/>
  <c r="AQ123" i="1"/>
  <c r="AQ173" i="1"/>
  <c r="AQ108" i="1"/>
  <c r="AQ140" i="1"/>
  <c r="AQ80" i="1"/>
  <c r="AP99" i="1"/>
  <c r="AL99" i="1"/>
  <c r="AO99" i="1"/>
  <c r="AQ99" i="1" s="1"/>
  <c r="AL107" i="1"/>
  <c r="AO107" i="1"/>
  <c r="AP107" i="1"/>
  <c r="AP23" i="1"/>
  <c r="AO23" i="1"/>
  <c r="AL23" i="1"/>
  <c r="AN24" i="1" s="1"/>
  <c r="AP26" i="1"/>
  <c r="AL26" i="1"/>
  <c r="AO26" i="1"/>
  <c r="AQ26" i="1" s="1"/>
  <c r="AP176" i="1"/>
  <c r="AL176" i="1"/>
  <c r="AO176" i="1"/>
  <c r="AQ176" i="1" s="1"/>
  <c r="AP57" i="1"/>
  <c r="AO57" i="1"/>
  <c r="AL57" i="1"/>
  <c r="AL35" i="1"/>
  <c r="AP35" i="1"/>
  <c r="AO35" i="1"/>
  <c r="AQ35" i="1" s="1"/>
  <c r="AL32" i="1"/>
  <c r="AP32" i="1"/>
  <c r="AO32" i="1"/>
  <c r="AP60" i="1"/>
  <c r="AO60" i="1"/>
  <c r="AL60" i="1"/>
  <c r="AP30" i="1"/>
  <c r="AO30" i="1"/>
  <c r="AL30" i="1"/>
  <c r="AL56" i="1"/>
  <c r="AO56" i="1"/>
  <c r="AP56" i="1"/>
  <c r="AQ56" i="1" s="1"/>
  <c r="AP31" i="1"/>
  <c r="AL31" i="1"/>
  <c r="AO31" i="1"/>
  <c r="AP124" i="1"/>
  <c r="AL124" i="1"/>
  <c r="AN125" i="1" s="1"/>
  <c r="AO124" i="1"/>
  <c r="AQ124" i="1" s="1"/>
  <c r="BE124" i="1" s="1"/>
  <c r="AL81" i="1"/>
  <c r="AN82" i="1" s="1"/>
  <c r="AO81" i="1"/>
  <c r="AP81" i="1"/>
  <c r="AQ57" i="1"/>
  <c r="AO164" i="1"/>
  <c r="AL164" i="1"/>
  <c r="AN165" i="1" s="1"/>
  <c r="AP164" i="1"/>
  <c r="AP135" i="1"/>
  <c r="AL135" i="1"/>
  <c r="AO135" i="1"/>
  <c r="AQ135" i="1" s="1"/>
  <c r="BE135" i="1" s="1"/>
  <c r="AP88" i="1"/>
  <c r="AO88" i="1"/>
  <c r="AL88" i="1"/>
  <c r="AN89" i="1" s="1"/>
  <c r="AO130" i="1"/>
  <c r="AL130" i="1"/>
  <c r="AP130" i="1"/>
  <c r="AP105" i="1"/>
  <c r="AO105" i="1"/>
  <c r="AL105" i="1"/>
  <c r="AP132" i="1"/>
  <c r="AO132" i="1"/>
  <c r="AQ132" i="1" s="1"/>
  <c r="AL132" i="1"/>
  <c r="AP95" i="1"/>
  <c r="AO95" i="1"/>
  <c r="AQ95" i="1" s="1"/>
  <c r="AL95" i="1"/>
  <c r="AQ130" i="1"/>
  <c r="AQ30" i="1"/>
  <c r="AL67" i="1"/>
  <c r="AN68" i="1" s="1"/>
  <c r="AP67" i="1"/>
  <c r="AO67" i="1"/>
  <c r="AO153" i="1"/>
  <c r="AP153" i="1"/>
  <c r="AL153" i="1"/>
  <c r="AO96" i="1"/>
  <c r="AP96" i="1"/>
  <c r="AL96" i="1"/>
  <c r="AO62" i="1"/>
  <c r="AP62" i="1"/>
  <c r="AL62" i="1"/>
  <c r="AP100" i="1"/>
  <c r="AO100" i="1"/>
  <c r="AQ100" i="1" s="1"/>
  <c r="BE100" i="1" s="1"/>
  <c r="AL100" i="1"/>
  <c r="AP94" i="1"/>
  <c r="AL94" i="1"/>
  <c r="AO94" i="1"/>
  <c r="AQ94" i="1" s="1"/>
  <c r="AL65" i="1"/>
  <c r="AO65" i="1"/>
  <c r="AP65" i="1"/>
  <c r="AP63" i="1"/>
  <c r="AL63" i="1"/>
  <c r="AO63" i="1"/>
  <c r="AQ63" i="1" s="1"/>
  <c r="AL61" i="1"/>
  <c r="AP61" i="1"/>
  <c r="AO61" i="1"/>
  <c r="AL55" i="1"/>
  <c r="AP55" i="1"/>
  <c r="AO55" i="1"/>
  <c r="AP52" i="1"/>
  <c r="AO52" i="1"/>
  <c r="AQ52" i="1" s="1"/>
  <c r="AL52" i="1"/>
  <c r="AL43" i="1"/>
  <c r="AP43" i="1"/>
  <c r="AO43" i="1"/>
  <c r="AL98" i="1"/>
  <c r="AO98" i="1"/>
  <c r="AP98" i="1"/>
  <c r="AP53" i="1"/>
  <c r="AL53" i="1"/>
  <c r="AO53" i="1"/>
  <c r="AP66" i="1"/>
  <c r="AO66" i="1"/>
  <c r="AL66" i="1"/>
  <c r="AP103" i="1"/>
  <c r="AO103" i="1"/>
  <c r="AQ103" i="1" s="1"/>
  <c r="AL103" i="1"/>
  <c r="AL97" i="1"/>
  <c r="AO97" i="1"/>
  <c r="AP97" i="1"/>
  <c r="AP93" i="1"/>
  <c r="AO93" i="1"/>
  <c r="AL93" i="1"/>
  <c r="AO64" i="1"/>
  <c r="AL64" i="1"/>
  <c r="AP64" i="1"/>
  <c r="AL59" i="1"/>
  <c r="AO59" i="1"/>
  <c r="AP59" i="1"/>
  <c r="AL54" i="1"/>
  <c r="AP54" i="1"/>
  <c r="AO54" i="1"/>
  <c r="AP33" i="1"/>
  <c r="AL33" i="1"/>
  <c r="AO33" i="1"/>
  <c r="AO154" i="1"/>
  <c r="AP154" i="1"/>
  <c r="AL154" i="1"/>
  <c r="AL115" i="1"/>
  <c r="AP115" i="1"/>
  <c r="AO115" i="1"/>
  <c r="AQ115" i="1" s="1"/>
  <c r="BE115" i="1" s="1"/>
  <c r="AL101" i="1"/>
  <c r="AN102" i="1" s="1"/>
  <c r="AO101" i="1"/>
  <c r="AP101" i="1"/>
  <c r="AP58" i="1"/>
  <c r="AO58" i="1"/>
  <c r="AL58" i="1"/>
  <c r="AO28" i="1"/>
  <c r="AL28" i="1"/>
  <c r="AP28" i="1"/>
  <c r="AO112" i="1"/>
  <c r="AP112" i="1"/>
  <c r="AL112" i="1"/>
  <c r="AL92" i="1"/>
  <c r="AP92" i="1"/>
  <c r="AO92" i="1"/>
  <c r="AO36" i="1"/>
  <c r="AL36" i="1"/>
  <c r="AN37" i="1" s="1"/>
  <c r="AP36" i="1"/>
  <c r="AL42" i="1"/>
  <c r="AP42" i="1"/>
  <c r="AO42" i="1"/>
  <c r="AQ42" i="1" s="1"/>
  <c r="AL39" i="1"/>
  <c r="AN40" i="1" s="1"/>
  <c r="AP39" i="1"/>
  <c r="AO39" i="1"/>
  <c r="AQ31" i="1"/>
  <c r="AQ60" i="1"/>
  <c r="AQ53" i="1"/>
  <c r="AP155" i="1"/>
  <c r="AL155" i="1"/>
  <c r="AO155" i="1"/>
  <c r="AL139" i="1"/>
  <c r="AO139" i="1"/>
  <c r="AP139" i="1"/>
  <c r="AL131" i="1"/>
  <c r="AP131" i="1"/>
  <c r="AO131" i="1"/>
  <c r="AQ131" i="1" s="1"/>
  <c r="AP158" i="1"/>
  <c r="AL158" i="1"/>
  <c r="AN159" i="1" s="1"/>
  <c r="AO158" i="1"/>
  <c r="AQ158" i="1" s="1"/>
  <c r="BE158" i="1" s="1"/>
  <c r="AP141" i="1"/>
  <c r="AO141" i="1"/>
  <c r="AQ141" i="1" s="1"/>
  <c r="BE141" i="1" s="1"/>
  <c r="AL141" i="1"/>
  <c r="AN142" i="1" s="1"/>
  <c r="AL125" i="1"/>
  <c r="AN126" i="1" s="1"/>
  <c r="AP125" i="1"/>
  <c r="AO125" i="1"/>
  <c r="AP120" i="1"/>
  <c r="AO120" i="1"/>
  <c r="AL120" i="1"/>
  <c r="AN121" i="1" s="1"/>
  <c r="AL117" i="1"/>
  <c r="AP117" i="1"/>
  <c r="AO117" i="1"/>
  <c r="AQ117" i="1" s="1"/>
  <c r="BE117" i="1" s="1"/>
  <c r="AL102" i="1"/>
  <c r="AP102" i="1"/>
  <c r="AO102" i="1"/>
  <c r="AO89" i="1"/>
  <c r="AP89" i="1"/>
  <c r="AL89" i="1"/>
  <c r="AN90" i="1" s="1"/>
  <c r="AP45" i="1"/>
  <c r="AL45" i="1"/>
  <c r="AN46" i="1" s="1"/>
  <c r="AO45" i="1"/>
  <c r="AQ45" i="1" s="1"/>
  <c r="BE45" i="1" s="1"/>
  <c r="AP24" i="1"/>
  <c r="AL24" i="1"/>
  <c r="AN25" i="1" s="1"/>
  <c r="AO24" i="1"/>
  <c r="BA69" i="1"/>
  <c r="AW69" i="1"/>
  <c r="AZ69" i="1"/>
  <c r="BA118" i="1"/>
  <c r="AW118" i="1"/>
  <c r="AZ118" i="1"/>
  <c r="BB118" i="1" s="1"/>
  <c r="BA70" i="1"/>
  <c r="AW70" i="1"/>
  <c r="AZ70" i="1"/>
  <c r="BA48" i="1"/>
  <c r="AZ48" i="1"/>
  <c r="AW48" i="1"/>
  <c r="AZ40" i="1"/>
  <c r="AW40" i="1"/>
  <c r="BA40" i="1"/>
  <c r="AZ25" i="1"/>
  <c r="AW25" i="1"/>
  <c r="AY26" i="1" s="1"/>
  <c r="BA25" i="1"/>
  <c r="AZ91" i="1"/>
  <c r="AW91" i="1"/>
  <c r="AY92" i="1" s="1"/>
  <c r="BA91" i="1"/>
  <c r="AW89" i="1"/>
  <c r="BA89" i="1"/>
  <c r="AZ89" i="1"/>
  <c r="AZ77" i="1"/>
  <c r="BA77" i="1"/>
  <c r="AW77" i="1"/>
  <c r="AW37" i="1"/>
  <c r="BA37" i="1"/>
  <c r="AZ37" i="1"/>
  <c r="BA24" i="1"/>
  <c r="AZ24" i="1"/>
  <c r="BB24" i="1" s="1"/>
  <c r="AW24" i="1"/>
  <c r="AW90" i="1"/>
  <c r="BA90" i="1"/>
  <c r="AZ90" i="1"/>
  <c r="BA78" i="1"/>
  <c r="AZ78" i="1"/>
  <c r="AW78" i="1"/>
  <c r="AZ72" i="1"/>
  <c r="AW72" i="1"/>
  <c r="BA72" i="1"/>
  <c r="AZ71" i="1"/>
  <c r="BA71" i="1"/>
  <c r="AW71" i="1"/>
  <c r="AW49" i="1"/>
  <c r="BA49" i="1"/>
  <c r="AZ49" i="1"/>
  <c r="AW47" i="1"/>
  <c r="BA47" i="1"/>
  <c r="AZ47" i="1"/>
  <c r="BB47" i="1" s="1"/>
  <c r="AZ41" i="1"/>
  <c r="AW41" i="1"/>
  <c r="AY42" i="1" s="1"/>
  <c r="BA41" i="1"/>
  <c r="AW23" i="1"/>
  <c r="AZ23" i="1"/>
  <c r="BA23" i="1"/>
  <c r="AZ86" i="1"/>
  <c r="BA86" i="1"/>
  <c r="AW86" i="1"/>
  <c r="BA80" i="1"/>
  <c r="AZ80" i="1"/>
  <c r="AW80" i="1"/>
  <c r="AW68" i="1"/>
  <c r="BA68" i="1"/>
  <c r="AZ68" i="1"/>
  <c r="BB68" i="1" s="1"/>
  <c r="BA46" i="1"/>
  <c r="AZ46" i="1"/>
  <c r="BB46" i="1" s="1"/>
  <c r="AW46" i="1"/>
  <c r="BA73" i="1"/>
  <c r="AW73" i="1"/>
  <c r="AZ73" i="1"/>
  <c r="AW45" i="1"/>
  <c r="AZ45" i="1"/>
  <c r="BA45" i="1"/>
  <c r="BA38" i="1"/>
  <c r="AW38" i="1"/>
  <c r="AY39" i="1" s="1"/>
  <c r="AZ38" i="1"/>
  <c r="BB38" i="1" s="1"/>
  <c r="BB96" i="1"/>
  <c r="BA158" i="1"/>
  <c r="AZ158" i="1"/>
  <c r="AW158" i="1"/>
  <c r="BA152" i="1"/>
  <c r="AW152" i="1"/>
  <c r="AY153" i="1" s="1"/>
  <c r="AZ152" i="1"/>
  <c r="BB152" i="1" s="1"/>
  <c r="AW143" i="1"/>
  <c r="BA143" i="1"/>
  <c r="AZ143" i="1"/>
  <c r="BB143" i="1" s="1"/>
  <c r="AW141" i="1"/>
  <c r="AZ141" i="1"/>
  <c r="BA141" i="1"/>
  <c r="AW126" i="1"/>
  <c r="AZ126" i="1"/>
  <c r="BA126" i="1"/>
  <c r="BA119" i="1"/>
  <c r="AZ119" i="1"/>
  <c r="BB119" i="1" s="1"/>
  <c r="AW119" i="1"/>
  <c r="BA109" i="1"/>
  <c r="AW109" i="1"/>
  <c r="AY110" i="1" s="1"/>
  <c r="AZ109" i="1"/>
  <c r="BB109" i="1" s="1"/>
  <c r="AW159" i="1"/>
  <c r="BA159" i="1"/>
  <c r="AZ159" i="1"/>
  <c r="BB159" i="1" s="1"/>
  <c r="AW128" i="1"/>
  <c r="BA128" i="1"/>
  <c r="AZ128" i="1"/>
  <c r="BB128" i="1" s="1"/>
  <c r="BA165" i="1"/>
  <c r="AW165" i="1"/>
  <c r="AZ165" i="1"/>
  <c r="BB165" i="1" s="1"/>
  <c r="BB101" i="1"/>
  <c r="AW186" i="1"/>
  <c r="BA186" i="1"/>
  <c r="AZ186" i="1"/>
  <c r="AZ172" i="1"/>
  <c r="BA172" i="1"/>
  <c r="AW172" i="1"/>
  <c r="AY173" i="1" s="1"/>
  <c r="AW156" i="1"/>
  <c r="AY157" i="1" s="1"/>
  <c r="BA156" i="1"/>
  <c r="AZ156" i="1"/>
  <c r="AZ153" i="1"/>
  <c r="AW153" i="1"/>
  <c r="BA153" i="1"/>
  <c r="AZ139" i="1"/>
  <c r="AW139" i="1"/>
  <c r="AY140" i="1" s="1"/>
  <c r="BA139" i="1"/>
  <c r="AZ130" i="1"/>
  <c r="BA130" i="1"/>
  <c r="AW130" i="1"/>
  <c r="AY131" i="1" s="1"/>
  <c r="AZ115" i="1"/>
  <c r="AW115" i="1"/>
  <c r="AY116" i="1" s="1"/>
  <c r="BA115" i="1"/>
  <c r="AZ110" i="1"/>
  <c r="BA110" i="1"/>
  <c r="AW110" i="1"/>
  <c r="AW105" i="1"/>
  <c r="AY106" i="1" s="1"/>
  <c r="BA105" i="1"/>
  <c r="AZ105" i="1"/>
  <c r="AZ103" i="1"/>
  <c r="AW103" i="1"/>
  <c r="BA103" i="1"/>
  <c r="AZ99" i="1"/>
  <c r="BA99" i="1"/>
  <c r="AW99" i="1"/>
  <c r="AW97" i="1"/>
  <c r="AZ97" i="1"/>
  <c r="BA97" i="1"/>
  <c r="AZ92" i="1"/>
  <c r="BA92" i="1"/>
  <c r="AW92" i="1"/>
  <c r="AY93" i="1" s="1"/>
  <c r="BA60" i="1"/>
  <c r="AW60" i="1"/>
  <c r="AY61" i="1" s="1"/>
  <c r="AZ60" i="1"/>
  <c r="AZ56" i="1"/>
  <c r="BA56" i="1"/>
  <c r="AW56" i="1"/>
  <c r="AY57" i="1" s="1"/>
  <c r="BA51" i="1"/>
  <c r="AW51" i="1"/>
  <c r="AY52" i="1" s="1"/>
  <c r="AZ51" i="1"/>
  <c r="AZ42" i="1"/>
  <c r="BA42" i="1"/>
  <c r="AW42" i="1"/>
  <c r="AY43" i="1" s="1"/>
  <c r="BA39" i="1"/>
  <c r="AW39" i="1"/>
  <c r="AZ39" i="1"/>
  <c r="AZ35" i="1"/>
  <c r="BA35" i="1"/>
  <c r="AW35" i="1"/>
  <c r="AY36" i="1" s="1"/>
  <c r="AW26" i="1"/>
  <c r="AY27" i="1" s="1"/>
  <c r="BA26" i="1"/>
  <c r="AZ26" i="1"/>
  <c r="BB26" i="1" s="1"/>
  <c r="BE26" i="1" s="1"/>
  <c r="BB164" i="1"/>
  <c r="BB160" i="1"/>
  <c r="BB156" i="1"/>
  <c r="BB148" i="1"/>
  <c r="BB138" i="1"/>
  <c r="BB120" i="1"/>
  <c r="BB60" i="1"/>
  <c r="BE60" i="1" s="1"/>
  <c r="BB55" i="1"/>
  <c r="BB48" i="1"/>
  <c r="BB40" i="1"/>
  <c r="AZ142" i="1"/>
  <c r="AW142" i="1"/>
  <c r="BA142" i="1"/>
  <c r="AW95" i="1"/>
  <c r="BA95" i="1"/>
  <c r="AZ95" i="1"/>
  <c r="BB95" i="1" s="1"/>
  <c r="BE95" i="1" s="1"/>
  <c r="AQ138" i="1"/>
  <c r="BE138" i="1" s="1"/>
  <c r="AQ134" i="1"/>
  <c r="AQ122" i="1"/>
  <c r="BE122" i="1" s="1"/>
  <c r="AQ120" i="1"/>
  <c r="BE120" i="1" s="1"/>
  <c r="AQ116" i="1"/>
  <c r="AQ51" i="1"/>
  <c r="AQ62" i="1"/>
  <c r="AQ59" i="1"/>
  <c r="BB182" i="1"/>
  <c r="BB179" i="1"/>
  <c r="AQ174" i="1"/>
  <c r="BB171" i="1"/>
  <c r="BB167" i="1"/>
  <c r="BE114" i="1"/>
  <c r="AQ107" i="1"/>
  <c r="BB105" i="1"/>
  <c r="AQ105" i="1"/>
  <c r="BE105" i="1" s="1"/>
  <c r="BB104" i="1"/>
  <c r="BE104" i="1" s="1"/>
  <c r="AQ96" i="1"/>
  <c r="BE96" i="1" s="1"/>
  <c r="AQ93" i="1"/>
  <c r="BB91" i="1"/>
  <c r="AQ89" i="1"/>
  <c r="BB84" i="1"/>
  <c r="BB83" i="1"/>
  <c r="BB76" i="1"/>
  <c r="BB73" i="1"/>
  <c r="BB72" i="1"/>
  <c r="BB71" i="1"/>
  <c r="BB144" i="1"/>
  <c r="AQ34" i="1"/>
  <c r="BE34" i="1" s="1"/>
  <c r="BB115" i="1"/>
  <c r="AQ58" i="1"/>
  <c r="BE58" i="1" s="1"/>
  <c r="AQ27" i="1"/>
  <c r="BB25" i="1"/>
  <c r="AP182" i="1"/>
  <c r="AO182" i="1"/>
  <c r="AL182" i="1"/>
  <c r="AZ181" i="1"/>
  <c r="AW181" i="1"/>
  <c r="BA181" i="1"/>
  <c r="AP163" i="1"/>
  <c r="AO163" i="1"/>
  <c r="AL163" i="1"/>
  <c r="BA157" i="1"/>
  <c r="AZ157" i="1"/>
  <c r="BB157" i="1" s="1"/>
  <c r="AW157" i="1"/>
  <c r="AO111" i="1"/>
  <c r="AP111" i="1"/>
  <c r="AL111" i="1"/>
  <c r="AP109" i="1"/>
  <c r="AL109" i="1"/>
  <c r="AO109" i="1"/>
  <c r="AZ88" i="1"/>
  <c r="AW88" i="1"/>
  <c r="BA88" i="1"/>
  <c r="BC22" i="1"/>
  <c r="BE22" i="1"/>
  <c r="AR22" i="1"/>
  <c r="BB149" i="1"/>
  <c r="BB124" i="1"/>
  <c r="BB70" i="1"/>
  <c r="BB69" i="1"/>
  <c r="BB59" i="1"/>
  <c r="BB37" i="1"/>
  <c r="BB39" i="1"/>
  <c r="BB87" i="1"/>
  <c r="BB45" i="1"/>
  <c r="BB186" i="1"/>
  <c r="AQ186" i="1"/>
  <c r="BE186" i="1" s="1"/>
  <c r="BB185" i="1"/>
  <c r="AQ185" i="1"/>
  <c r="BE185" i="1" s="1"/>
  <c r="BB184" i="1"/>
  <c r="AQ184" i="1"/>
  <c r="BE184" i="1" s="1"/>
  <c r="BB183" i="1"/>
  <c r="BE183" i="1" s="1"/>
  <c r="AQ181" i="1"/>
  <c r="AQ180" i="1"/>
  <c r="BE180" i="1" s="1"/>
  <c r="AQ179" i="1"/>
  <c r="BE179" i="1" s="1"/>
  <c r="BB163" i="1"/>
  <c r="BB158" i="1"/>
  <c r="AQ157" i="1"/>
  <c r="BE157" i="1" s="1"/>
  <c r="AQ156" i="1"/>
  <c r="BE156" i="1" s="1"/>
  <c r="BB154" i="1"/>
  <c r="BB147" i="1"/>
  <c r="BB141" i="1"/>
  <c r="BB126" i="1"/>
  <c r="BB112" i="1"/>
  <c r="AQ110" i="1"/>
  <c r="AQ106" i="1"/>
  <c r="BB99" i="1"/>
  <c r="BE99" i="1" s="1"/>
  <c r="BB89" i="1"/>
  <c r="BB80" i="1"/>
  <c r="BE80" i="1" s="1"/>
  <c r="BB78" i="1"/>
  <c r="BB41" i="1"/>
  <c r="BB23" i="1"/>
  <c r="BB142" i="1"/>
  <c r="BB127" i="1"/>
  <c r="BB123" i="1"/>
  <c r="BE123" i="1" s="1"/>
  <c r="BB100" i="1"/>
  <c r="BB90" i="1"/>
  <c r="BB33" i="1"/>
  <c r="BB136" i="1"/>
  <c r="BE136" i="1" s="1"/>
  <c r="AQ119" i="1"/>
  <c r="BE119" i="1" s="1"/>
  <c r="AQ118" i="1"/>
  <c r="BE118" i="1" s="1"/>
  <c r="BB94" i="1"/>
  <c r="BB51" i="1"/>
  <c r="BB49" i="1"/>
  <c r="AQ23" i="1" l="1"/>
  <c r="AQ32" i="1"/>
  <c r="BE32" i="1" s="1"/>
  <c r="AQ54" i="1"/>
  <c r="AQ92" i="1"/>
  <c r="AQ55" i="1"/>
  <c r="BE55" i="1" s="1"/>
  <c r="AQ164" i="1"/>
  <c r="BE164" i="1" s="1"/>
  <c r="AR23" i="1"/>
  <c r="AQ43" i="1"/>
  <c r="BE43" i="1" s="1"/>
  <c r="AQ88" i="1"/>
  <c r="BE94" i="1"/>
  <c r="AQ24" i="1"/>
  <c r="BE24" i="1" s="1"/>
  <c r="AQ65" i="1"/>
  <c r="AQ98" i="1"/>
  <c r="BE98" i="1" s="1"/>
  <c r="AQ28" i="1"/>
  <c r="AQ112" i="1"/>
  <c r="BE112" i="1" s="1"/>
  <c r="AQ36" i="1"/>
  <c r="AQ139" i="1"/>
  <c r="AQ125" i="1"/>
  <c r="BE125" i="1" s="1"/>
  <c r="AQ102" i="1"/>
  <c r="BE102" i="1" s="1"/>
  <c r="AO165" i="1"/>
  <c r="AP165" i="1"/>
  <c r="AL165" i="1"/>
  <c r="AN166" i="1" s="1"/>
  <c r="AO68" i="1"/>
  <c r="AP68" i="1"/>
  <c r="AL68" i="1"/>
  <c r="AN69" i="1" s="1"/>
  <c r="AL82" i="1"/>
  <c r="AN83" i="1" s="1"/>
  <c r="AO82" i="1"/>
  <c r="AP82" i="1"/>
  <c r="AQ81" i="1"/>
  <c r="BE81" i="1" s="1"/>
  <c r="AQ66" i="1"/>
  <c r="AQ67" i="1"/>
  <c r="AQ155" i="1"/>
  <c r="BE155" i="1" s="1"/>
  <c r="AP121" i="1"/>
  <c r="AO121" i="1"/>
  <c r="AQ121" i="1" s="1"/>
  <c r="BE121" i="1" s="1"/>
  <c r="AL121" i="1"/>
  <c r="AQ61" i="1"/>
  <c r="BE51" i="1"/>
  <c r="AQ39" i="1"/>
  <c r="AQ64" i="1"/>
  <c r="BE59" i="1"/>
  <c r="BE39" i="1"/>
  <c r="BE89" i="1"/>
  <c r="AQ33" i="1"/>
  <c r="BE33" i="1" s="1"/>
  <c r="AO37" i="1"/>
  <c r="AP37" i="1"/>
  <c r="AL37" i="1"/>
  <c r="AN38" i="1" s="1"/>
  <c r="AP40" i="1"/>
  <c r="AL40" i="1"/>
  <c r="AN41" i="1" s="1"/>
  <c r="AO40" i="1"/>
  <c r="AO159" i="1"/>
  <c r="AP159" i="1"/>
  <c r="AL159" i="1"/>
  <c r="AN160" i="1" s="1"/>
  <c r="AL142" i="1"/>
  <c r="AN143" i="1" s="1"/>
  <c r="AO142" i="1"/>
  <c r="AP142" i="1"/>
  <c r="AO126" i="1"/>
  <c r="AP126" i="1"/>
  <c r="AL126" i="1"/>
  <c r="AN127" i="1" s="1"/>
  <c r="AQ153" i="1"/>
  <c r="AQ97" i="1"/>
  <c r="AQ154" i="1"/>
  <c r="BE154" i="1" s="1"/>
  <c r="AQ101" i="1"/>
  <c r="BE101" i="1" s="1"/>
  <c r="AQ182" i="1"/>
  <c r="BE182" i="1" s="1"/>
  <c r="AQ163" i="1"/>
  <c r="BE163" i="1" s="1"/>
  <c r="AL90" i="1"/>
  <c r="AN91" i="1" s="1"/>
  <c r="AO90" i="1"/>
  <c r="AP90" i="1"/>
  <c r="AP46" i="1"/>
  <c r="AO46" i="1"/>
  <c r="AL46" i="1"/>
  <c r="AN47" i="1" s="1"/>
  <c r="AP25" i="1"/>
  <c r="AL25" i="1"/>
  <c r="AO25" i="1"/>
  <c r="AQ25" i="1" s="1"/>
  <c r="BE25" i="1" s="1"/>
  <c r="AP127" i="1"/>
  <c r="AL127" i="1"/>
  <c r="AN128" i="1" s="1"/>
  <c r="AO127" i="1"/>
  <c r="AQ127" i="1" s="1"/>
  <c r="BE127" i="1" s="1"/>
  <c r="AP41" i="1"/>
  <c r="AO41" i="1"/>
  <c r="AL41" i="1"/>
  <c r="BB77" i="1"/>
  <c r="BB86" i="1"/>
  <c r="AZ173" i="1"/>
  <c r="BA173" i="1"/>
  <c r="AW173" i="1"/>
  <c r="AY174" i="1" s="1"/>
  <c r="BA140" i="1"/>
  <c r="AW140" i="1"/>
  <c r="AZ140" i="1"/>
  <c r="BB140" i="1" s="1"/>
  <c r="BE140" i="1" s="1"/>
  <c r="AW131" i="1"/>
  <c r="AY132" i="1" s="1"/>
  <c r="AZ131" i="1"/>
  <c r="BA131" i="1"/>
  <c r="BA116" i="1"/>
  <c r="AZ116" i="1"/>
  <c r="BB116" i="1" s="1"/>
  <c r="BE116" i="1" s="1"/>
  <c r="AW116" i="1"/>
  <c r="AZ106" i="1"/>
  <c r="BA106" i="1"/>
  <c r="AW106" i="1"/>
  <c r="AY107" i="1" s="1"/>
  <c r="BA93" i="1"/>
  <c r="AZ93" i="1"/>
  <c r="BB93" i="1" s="1"/>
  <c r="BE93" i="1" s="1"/>
  <c r="AW93" i="1"/>
  <c r="AZ61" i="1"/>
  <c r="BA61" i="1"/>
  <c r="AW61" i="1"/>
  <c r="AY62" i="1" s="1"/>
  <c r="BA57" i="1"/>
  <c r="AZ57" i="1"/>
  <c r="BB57" i="1" s="1"/>
  <c r="BE57" i="1" s="1"/>
  <c r="AW57" i="1"/>
  <c r="AW52" i="1"/>
  <c r="AY53" i="1" s="1"/>
  <c r="BA52" i="1"/>
  <c r="AZ52" i="1"/>
  <c r="BB52" i="1" s="1"/>
  <c r="BE52" i="1" s="1"/>
  <c r="AW43" i="1"/>
  <c r="AY44" i="1" s="1"/>
  <c r="BA43" i="1"/>
  <c r="AZ43" i="1"/>
  <c r="BB43" i="1" s="1"/>
  <c r="AZ36" i="1"/>
  <c r="BA36" i="1"/>
  <c r="AW36" i="1"/>
  <c r="AZ27" i="1"/>
  <c r="BA27" i="1"/>
  <c r="AW27" i="1"/>
  <c r="AY28" i="1" s="1"/>
  <c r="BB172" i="1"/>
  <c r="BE172" i="1" s="1"/>
  <c r="BB153" i="1"/>
  <c r="BB139" i="1"/>
  <c r="BB130" i="1"/>
  <c r="BE130" i="1" s="1"/>
  <c r="BB110" i="1"/>
  <c r="BE110" i="1" s="1"/>
  <c r="BB103" i="1"/>
  <c r="BE103" i="1" s="1"/>
  <c r="BB97" i="1"/>
  <c r="BB92" i="1"/>
  <c r="BB56" i="1"/>
  <c r="BE56" i="1" s="1"/>
  <c r="BB42" i="1"/>
  <c r="BE42" i="1" s="1"/>
  <c r="BB35" i="1"/>
  <c r="BE35" i="1" s="1"/>
  <c r="BB181" i="1"/>
  <c r="BE181" i="1" s="1"/>
  <c r="AQ109" i="1"/>
  <c r="BE109" i="1" s="1"/>
  <c r="BF22" i="1"/>
  <c r="AQ111" i="1"/>
  <c r="BE111" i="1" s="1"/>
  <c r="BB88" i="1"/>
  <c r="BC23" i="1"/>
  <c r="BC24" i="1" s="1"/>
  <c r="BC25" i="1" s="1"/>
  <c r="BC26" i="1" s="1"/>
  <c r="BE23" i="1"/>
  <c r="BE92" i="1" l="1"/>
  <c r="BE153" i="1"/>
  <c r="BE139" i="1"/>
  <c r="AQ41" i="1"/>
  <c r="BE41" i="1" s="1"/>
  <c r="AQ46" i="1"/>
  <c r="BE46" i="1" s="1"/>
  <c r="AR24" i="1"/>
  <c r="BE88" i="1"/>
  <c r="AQ165" i="1"/>
  <c r="BE165" i="1" s="1"/>
  <c r="AQ68" i="1"/>
  <c r="BE68" i="1" s="1"/>
  <c r="BE97" i="1"/>
  <c r="AQ159" i="1"/>
  <c r="BE159" i="1" s="1"/>
  <c r="AL166" i="1"/>
  <c r="AN167" i="1" s="1"/>
  <c r="AP166" i="1"/>
  <c r="AO166" i="1"/>
  <c r="AL69" i="1"/>
  <c r="AN70" i="1" s="1"/>
  <c r="AP69" i="1"/>
  <c r="AO69" i="1"/>
  <c r="AP83" i="1"/>
  <c r="AO83" i="1"/>
  <c r="AQ83" i="1" s="1"/>
  <c r="BE83" i="1" s="1"/>
  <c r="AL83" i="1"/>
  <c r="AN84" i="1" s="1"/>
  <c r="AQ166" i="1"/>
  <c r="BE166" i="1" s="1"/>
  <c r="AQ82" i="1"/>
  <c r="BE82" i="1" s="1"/>
  <c r="AQ37" i="1"/>
  <c r="BE37" i="1" s="1"/>
  <c r="AR25" i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Q142" i="1"/>
  <c r="BE142" i="1" s="1"/>
  <c r="AQ126" i="1"/>
  <c r="BE126" i="1" s="1"/>
  <c r="AQ40" i="1"/>
  <c r="BE40" i="1" s="1"/>
  <c r="AL38" i="1"/>
  <c r="AO38" i="1"/>
  <c r="AP38" i="1"/>
  <c r="AP160" i="1"/>
  <c r="AO160" i="1"/>
  <c r="AL160" i="1"/>
  <c r="AN161" i="1" s="1"/>
  <c r="AP143" i="1"/>
  <c r="AO143" i="1"/>
  <c r="AQ143" i="1" s="1"/>
  <c r="BE143" i="1" s="1"/>
  <c r="AL143" i="1"/>
  <c r="AN144" i="1" s="1"/>
  <c r="AO91" i="1"/>
  <c r="AP91" i="1"/>
  <c r="AL91" i="1"/>
  <c r="AP47" i="1"/>
  <c r="AO47" i="1"/>
  <c r="AQ47" i="1" s="1"/>
  <c r="BE47" i="1" s="1"/>
  <c r="AL47" i="1"/>
  <c r="AN48" i="1" s="1"/>
  <c r="AO128" i="1"/>
  <c r="AL128" i="1"/>
  <c r="AN129" i="1" s="1"/>
  <c r="AP128" i="1"/>
  <c r="AQ90" i="1"/>
  <c r="BE90" i="1" s="1"/>
  <c r="AO167" i="1"/>
  <c r="AP167" i="1"/>
  <c r="AL167" i="1"/>
  <c r="AN168" i="1" s="1"/>
  <c r="AP161" i="1"/>
  <c r="AL161" i="1"/>
  <c r="AO161" i="1"/>
  <c r="AQ161" i="1" s="1"/>
  <c r="BE161" i="1" s="1"/>
  <c r="AP144" i="1"/>
  <c r="AL144" i="1"/>
  <c r="AN145" i="1" s="1"/>
  <c r="AO144" i="1"/>
  <c r="AL70" i="1"/>
  <c r="AN71" i="1" s="1"/>
  <c r="AP70" i="1"/>
  <c r="AO70" i="1"/>
  <c r="BA174" i="1"/>
  <c r="AZ174" i="1"/>
  <c r="BB174" i="1" s="1"/>
  <c r="BE174" i="1" s="1"/>
  <c r="AW174" i="1"/>
  <c r="AY175" i="1" s="1"/>
  <c r="AZ132" i="1"/>
  <c r="BA132" i="1"/>
  <c r="AW132" i="1"/>
  <c r="AY133" i="1" s="1"/>
  <c r="BA107" i="1"/>
  <c r="AW107" i="1"/>
  <c r="AY108" i="1" s="1"/>
  <c r="AZ107" i="1"/>
  <c r="BB107" i="1" s="1"/>
  <c r="BE107" i="1" s="1"/>
  <c r="BA62" i="1"/>
  <c r="AW62" i="1"/>
  <c r="AY63" i="1" s="1"/>
  <c r="AZ62" i="1"/>
  <c r="BB62" i="1" s="1"/>
  <c r="BE62" i="1" s="1"/>
  <c r="BA53" i="1"/>
  <c r="AW53" i="1"/>
  <c r="AY54" i="1" s="1"/>
  <c r="AZ53" i="1"/>
  <c r="BB53" i="1" s="1"/>
  <c r="BE53" i="1" s="1"/>
  <c r="AZ44" i="1"/>
  <c r="AW44" i="1"/>
  <c r="BA44" i="1"/>
  <c r="AZ28" i="1"/>
  <c r="AW28" i="1"/>
  <c r="AY29" i="1" s="1"/>
  <c r="BA28" i="1"/>
  <c r="BB173" i="1"/>
  <c r="BE173" i="1" s="1"/>
  <c r="BB131" i="1"/>
  <c r="BE131" i="1" s="1"/>
  <c r="BB106" i="1"/>
  <c r="BE106" i="1" s="1"/>
  <c r="BB61" i="1"/>
  <c r="BE61" i="1" s="1"/>
  <c r="BB36" i="1"/>
  <c r="BE36" i="1" s="1"/>
  <c r="BB27" i="1"/>
  <c r="BF23" i="1"/>
  <c r="BF24" i="1" s="1"/>
  <c r="BF25" i="1" s="1"/>
  <c r="BF26" i="1" s="1"/>
  <c r="AQ69" i="1" l="1"/>
  <c r="BE69" i="1" s="1"/>
  <c r="AQ144" i="1"/>
  <c r="BE144" i="1" s="1"/>
  <c r="AP84" i="1"/>
  <c r="AL84" i="1"/>
  <c r="AN85" i="1" s="1"/>
  <c r="AO84" i="1"/>
  <c r="AQ84" i="1" s="1"/>
  <c r="BE84" i="1" s="1"/>
  <c r="AQ160" i="1"/>
  <c r="BE160" i="1" s="1"/>
  <c r="AQ38" i="1"/>
  <c r="AQ70" i="1"/>
  <c r="BE70" i="1" s="1"/>
  <c r="AL145" i="1"/>
  <c r="AN146" i="1" s="1"/>
  <c r="AP145" i="1"/>
  <c r="AO145" i="1"/>
  <c r="AO48" i="1"/>
  <c r="AL48" i="1"/>
  <c r="AN49" i="1" s="1"/>
  <c r="AP48" i="1"/>
  <c r="AP129" i="1"/>
  <c r="AO129" i="1"/>
  <c r="AL129" i="1"/>
  <c r="AP168" i="1"/>
  <c r="AO168" i="1"/>
  <c r="AQ168" i="1" s="1"/>
  <c r="BE168" i="1" s="1"/>
  <c r="AL168" i="1"/>
  <c r="AN169" i="1" s="1"/>
  <c r="AO71" i="1"/>
  <c r="AP71" i="1"/>
  <c r="AL71" i="1"/>
  <c r="AN72" i="1" s="1"/>
  <c r="AQ91" i="1"/>
  <c r="BE91" i="1" s="1"/>
  <c r="AQ128" i="1"/>
  <c r="BE128" i="1" s="1"/>
  <c r="AQ167" i="1"/>
  <c r="BE167" i="1" s="1"/>
  <c r="AZ175" i="1"/>
  <c r="AW175" i="1"/>
  <c r="AY176" i="1" s="1"/>
  <c r="BA175" i="1"/>
  <c r="BA133" i="1"/>
  <c r="AW133" i="1"/>
  <c r="AY134" i="1" s="1"/>
  <c r="AZ133" i="1"/>
  <c r="BB133" i="1" s="1"/>
  <c r="BE133" i="1" s="1"/>
  <c r="AZ108" i="1"/>
  <c r="BA108" i="1"/>
  <c r="AW108" i="1"/>
  <c r="AZ63" i="1"/>
  <c r="AW63" i="1"/>
  <c r="AY64" i="1" s="1"/>
  <c r="BA63" i="1"/>
  <c r="AZ54" i="1"/>
  <c r="AW54" i="1"/>
  <c r="BA54" i="1"/>
  <c r="AW29" i="1"/>
  <c r="AY30" i="1" s="1"/>
  <c r="BA29" i="1"/>
  <c r="AZ29" i="1"/>
  <c r="BB29" i="1" s="1"/>
  <c r="BE29" i="1" s="1"/>
  <c r="BC27" i="1"/>
  <c r="BE27" i="1"/>
  <c r="BF27" i="1" s="1"/>
  <c r="BB132" i="1"/>
  <c r="BE132" i="1" s="1"/>
  <c r="BB44" i="1"/>
  <c r="BE44" i="1" s="1"/>
  <c r="BB28" i="1"/>
  <c r="AP85" i="1" l="1"/>
  <c r="AO85" i="1"/>
  <c r="AL85" i="1"/>
  <c r="AN86" i="1" s="1"/>
  <c r="AR38" i="1"/>
  <c r="AR39" i="1" s="1"/>
  <c r="AR40" i="1" s="1"/>
  <c r="AR41" i="1" s="1"/>
  <c r="AR42" i="1" s="1"/>
  <c r="AR43" i="1" s="1"/>
  <c r="AR44" i="1" s="1"/>
  <c r="AR45" i="1" s="1"/>
  <c r="AR46" i="1" s="1"/>
  <c r="AR47" i="1" s="1"/>
  <c r="BE38" i="1"/>
  <c r="AQ145" i="1"/>
  <c r="BE145" i="1" s="1"/>
  <c r="AL146" i="1"/>
  <c r="AN147" i="1" s="1"/>
  <c r="AO146" i="1"/>
  <c r="AP146" i="1"/>
  <c r="AQ129" i="1"/>
  <c r="BE129" i="1" s="1"/>
  <c r="AO49" i="1"/>
  <c r="AP49" i="1"/>
  <c r="AL49" i="1"/>
  <c r="AN50" i="1" s="1"/>
  <c r="AP169" i="1"/>
  <c r="AO169" i="1"/>
  <c r="AQ169" i="1" s="1"/>
  <c r="BE169" i="1" s="1"/>
  <c r="AL169" i="1"/>
  <c r="AN170" i="1" s="1"/>
  <c r="AO72" i="1"/>
  <c r="AL72" i="1"/>
  <c r="AN73" i="1" s="1"/>
  <c r="AP72" i="1"/>
  <c r="AQ48" i="1"/>
  <c r="AQ71" i="1"/>
  <c r="BE71" i="1" s="1"/>
  <c r="BB108" i="1"/>
  <c r="BE108" i="1" s="1"/>
  <c r="BB54" i="1"/>
  <c r="BE54" i="1" s="1"/>
  <c r="BC28" i="1"/>
  <c r="BC29" i="1" s="1"/>
  <c r="AZ176" i="1"/>
  <c r="AW176" i="1"/>
  <c r="AY177" i="1" s="1"/>
  <c r="BA176" i="1"/>
  <c r="AZ134" i="1"/>
  <c r="BA134" i="1"/>
  <c r="AW134" i="1"/>
  <c r="AW64" i="1"/>
  <c r="AY65" i="1" s="1"/>
  <c r="AZ64" i="1"/>
  <c r="BA64" i="1"/>
  <c r="BA30" i="1"/>
  <c r="AW30" i="1"/>
  <c r="AY31" i="1" s="1"/>
  <c r="AZ30" i="1"/>
  <c r="BB30" i="1" s="1"/>
  <c r="BE28" i="1"/>
  <c r="BB175" i="1"/>
  <c r="BE175" i="1" s="1"/>
  <c r="BB63" i="1"/>
  <c r="BE63" i="1" s="1"/>
  <c r="AQ85" i="1" l="1"/>
  <c r="BE85" i="1" s="1"/>
  <c r="AO86" i="1"/>
  <c r="AL86" i="1"/>
  <c r="AN87" i="1" s="1"/>
  <c r="AP86" i="1"/>
  <c r="AO147" i="1"/>
  <c r="AL147" i="1"/>
  <c r="AN148" i="1" s="1"/>
  <c r="AP147" i="1"/>
  <c r="AQ146" i="1"/>
  <c r="BE146" i="1" s="1"/>
  <c r="AP50" i="1"/>
  <c r="AL50" i="1"/>
  <c r="AO50" i="1"/>
  <c r="AP170" i="1"/>
  <c r="AL170" i="1"/>
  <c r="AN171" i="1" s="1"/>
  <c r="AO170" i="1"/>
  <c r="AO73" i="1"/>
  <c r="AL73" i="1"/>
  <c r="AN74" i="1" s="1"/>
  <c r="AP73" i="1"/>
  <c r="AR48" i="1"/>
  <c r="BE48" i="1"/>
  <c r="AQ49" i="1"/>
  <c r="AQ72" i="1"/>
  <c r="BE72" i="1" s="1"/>
  <c r="AZ177" i="1"/>
  <c r="AW177" i="1"/>
  <c r="BA177" i="1"/>
  <c r="AW65" i="1"/>
  <c r="AY66" i="1" s="1"/>
  <c r="AZ65" i="1"/>
  <c r="BA65" i="1"/>
  <c r="AZ31" i="1"/>
  <c r="BA31" i="1"/>
  <c r="AW31" i="1"/>
  <c r="BC30" i="1"/>
  <c r="BE30" i="1"/>
  <c r="BF28" i="1"/>
  <c r="BF29" i="1" s="1"/>
  <c r="BB176" i="1"/>
  <c r="BE176" i="1" s="1"/>
  <c r="BB134" i="1"/>
  <c r="BE134" i="1" s="1"/>
  <c r="BB64" i="1"/>
  <c r="BE64" i="1" s="1"/>
  <c r="AQ170" i="1" l="1"/>
  <c r="BE170" i="1" s="1"/>
  <c r="AL87" i="1"/>
  <c r="AP87" i="1"/>
  <c r="AO87" i="1"/>
  <c r="AQ87" i="1" s="1"/>
  <c r="BE87" i="1" s="1"/>
  <c r="AQ86" i="1"/>
  <c r="BE86" i="1" s="1"/>
  <c r="AQ50" i="1"/>
  <c r="BE50" i="1" s="1"/>
  <c r="AO148" i="1"/>
  <c r="AP148" i="1"/>
  <c r="AL148" i="1"/>
  <c r="AN149" i="1" s="1"/>
  <c r="AQ147" i="1"/>
  <c r="BE147" i="1" s="1"/>
  <c r="AP74" i="1"/>
  <c r="AO74" i="1"/>
  <c r="AL74" i="1"/>
  <c r="AN75" i="1" s="1"/>
  <c r="AO171" i="1"/>
  <c r="AL171" i="1"/>
  <c r="AP171" i="1"/>
  <c r="AQ73" i="1"/>
  <c r="AR49" i="1"/>
  <c r="BE49" i="1"/>
  <c r="BF30" i="1"/>
  <c r="AZ66" i="1"/>
  <c r="BA66" i="1"/>
  <c r="AW66" i="1"/>
  <c r="AY67" i="1" s="1"/>
  <c r="BB177" i="1"/>
  <c r="BE177" i="1" s="1"/>
  <c r="BB65" i="1"/>
  <c r="BE65" i="1" s="1"/>
  <c r="BB31" i="1"/>
  <c r="AR50" i="1" l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Q74" i="1"/>
  <c r="AQ148" i="1"/>
  <c r="BE148" i="1" s="1"/>
  <c r="AL149" i="1"/>
  <c r="AN150" i="1" s="1"/>
  <c r="AP149" i="1"/>
  <c r="AO149" i="1"/>
  <c r="AL75" i="1"/>
  <c r="AN76" i="1" s="1"/>
  <c r="AO75" i="1"/>
  <c r="AP75" i="1"/>
  <c r="BE73" i="1"/>
  <c r="AQ171" i="1"/>
  <c r="AZ67" i="1"/>
  <c r="AW67" i="1"/>
  <c r="BA67" i="1"/>
  <c r="BE31" i="1"/>
  <c r="BC31" i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B66" i="1"/>
  <c r="AR74" i="1" l="1"/>
  <c r="BE74" i="1"/>
  <c r="AP150" i="1"/>
  <c r="AL150" i="1"/>
  <c r="AN151" i="1" s="1"/>
  <c r="AO150" i="1"/>
  <c r="AQ150" i="1" s="1"/>
  <c r="BE150" i="1" s="1"/>
  <c r="AQ149" i="1"/>
  <c r="BE149" i="1" s="1"/>
  <c r="AL76" i="1"/>
  <c r="AN77" i="1" s="1"/>
  <c r="AO76" i="1"/>
  <c r="AP76" i="1"/>
  <c r="AQ75" i="1"/>
  <c r="BE171" i="1"/>
  <c r="BF31" i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B67" i="1"/>
  <c r="BE66" i="1"/>
  <c r="BB19" i="1"/>
  <c r="BB15" i="1"/>
  <c r="BF66" i="1" l="1"/>
  <c r="AP151" i="1"/>
  <c r="AL151" i="1"/>
  <c r="AN152" i="1" s="1"/>
  <c r="AO151" i="1"/>
  <c r="AQ151" i="1" s="1"/>
  <c r="BE151" i="1" s="1"/>
  <c r="AO77" i="1"/>
  <c r="AL77" i="1"/>
  <c r="AN78" i="1" s="1"/>
  <c r="AP77" i="1"/>
  <c r="BE75" i="1"/>
  <c r="AR75" i="1"/>
  <c r="AQ76" i="1"/>
  <c r="BC67" i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9" i="1" s="1"/>
  <c r="BB14" i="1"/>
  <c r="BB16" i="1" s="1"/>
  <c r="AT1" i="1" s="1"/>
  <c r="BE67" i="1"/>
  <c r="AP152" i="1" l="1"/>
  <c r="AO152" i="1"/>
  <c r="AQ152" i="1" s="1"/>
  <c r="BE152" i="1" s="1"/>
  <c r="AL152" i="1"/>
  <c r="AL78" i="1"/>
  <c r="AN79" i="1" s="1"/>
  <c r="AP78" i="1"/>
  <c r="AO78" i="1"/>
  <c r="AQ77" i="1"/>
  <c r="AR76" i="1"/>
  <c r="AR77" i="1" s="1"/>
  <c r="BE76" i="1"/>
  <c r="BF67" i="1"/>
  <c r="BF68" i="1" s="1"/>
  <c r="BF69" i="1" s="1"/>
  <c r="BF70" i="1" s="1"/>
  <c r="BF71" i="1" s="1"/>
  <c r="BF72" i="1" s="1"/>
  <c r="BF73" i="1" s="1"/>
  <c r="BF74" i="1" s="1"/>
  <c r="BF75" i="1" s="1"/>
  <c r="AQ78" i="1" l="1"/>
  <c r="BF76" i="1"/>
  <c r="AL79" i="1"/>
  <c r="AP79" i="1"/>
  <c r="AO79" i="1"/>
  <c r="BE77" i="1"/>
  <c r="AQ79" i="1" l="1"/>
  <c r="AQ14" i="1" s="1"/>
  <c r="AR78" i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9" i="1" s="1"/>
  <c r="BE78" i="1"/>
  <c r="AQ15" i="1"/>
  <c r="AQ16" i="1" s="1"/>
  <c r="AI1" i="1" s="1"/>
  <c r="AQ19" i="1"/>
  <c r="BE79" i="1"/>
  <c r="BE18" i="1"/>
  <c r="BE14" i="1"/>
  <c r="BE15" i="1"/>
  <c r="BF77" i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77" i="1" s="1"/>
  <c r="BF178" i="1" s="1"/>
  <c r="BF179" i="1" s="1"/>
  <c r="BF180" i="1" s="1"/>
  <c r="BF181" i="1" s="1"/>
  <c r="BF182" i="1" s="1"/>
  <c r="BF183" i="1" s="1"/>
  <c r="BF184" i="1" s="1"/>
  <c r="BF185" i="1" s="1"/>
  <c r="BF18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<sst xmlns="http://schemas.openxmlformats.org/spreadsheetml/2006/main" count="74" uniqueCount="53">
  <si>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</si>
  <si>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GLIBK</t>
  </si>
  <si>
    <t>GLIBA</t>
  </si>
  <si>
    <t>GLIBK log rtn</t>
  </si>
  <si>
    <t>GLIBA log rtn</t>
  </si>
  <si>
    <t>GLIBK div</t>
  </si>
  <si>
    <t>GLIBK div cumsum</t>
  </si>
  <si>
    <t>GLIBA div</t>
  </si>
  <si>
    <t>GLIBA div cumsum</t>
  </si>
  <si>
    <t>GLIBK div adjustment</t>
  </si>
  <si>
    <t>GLIBA div adjustment</t>
  </si>
  <si>
    <t>GLIBK*</t>
  </si>
  <si>
    <t>GLIBA*</t>
  </si>
  <si>
    <t>GLIBA/GLIBK</t>
  </si>
  <si>
    <t>GLIBA/GLIBK avg</t>
  </si>
  <si>
    <t>GLIBA/GLIBK 10 dma</t>
  </si>
  <si>
    <t>GLIBA/GLIBK 20 dma</t>
  </si>
  <si>
    <t>GLIBK x avg</t>
  </si>
  <si>
    <t>GLIBK x 10 dma</t>
  </si>
  <si>
    <t>GLIBK x 20 dma</t>
  </si>
  <si>
    <t>log diff GLIBK x avg / GLIBA</t>
  </si>
  <si>
    <t>log diff GLIBK x 10 dma / GLIBA</t>
  </si>
  <si>
    <t>log diff GLIBK x 20 dma / GLIBA</t>
  </si>
  <si>
    <t>GLIBA*/GLIBK*</t>
  </si>
  <si>
    <t>GLIBA*/GLIBK* avg</t>
  </si>
  <si>
    <t>GLIBA*/GLIBK* 10 dma</t>
  </si>
  <si>
    <t>GLIBA*/GLIBK* 20 dma</t>
  </si>
  <si>
    <t>GLIBK* x avg</t>
  </si>
  <si>
    <t>GLIBK* x 10 dma</t>
  </si>
  <si>
    <t>GLIBK* x 20 dma</t>
  </si>
  <si>
    <t>log diff GLIBK* x avg / GLIBA*</t>
  </si>
  <si>
    <t>log diff GLIBK* x 10 dma / GLIBA*</t>
  </si>
  <si>
    <t>log diff GLIBK* x 20 dma / GLIBA*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</si>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</sst>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GLIBA/GLIBK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Sheet1!$O$2:$O$186</c:f>
              <c:numCache>
                <c:formatCode>_(* #,##0.0000_);_(* \(#,##0.0000\);_(* "-"??_);_(@_)</c:formatCode>
                <c:ptCount val="185"/>
                <c:pt idx="0">
                  <c:v>1.0078468940038601</c:v>
                </c:pt>
                <c:pt idx="1">
                  <c:v>1.0078468940038601</c:v>
                </c:pt>
                <c:pt idx="2">
                  <c:v>1.0078468940038601</c:v>
                </c:pt>
                <c:pt idx="3">
                  <c:v>1.0078468940038601</c:v>
                </c:pt>
                <c:pt idx="4">
                  <c:v>1.0078468940038601</c:v>
                </c:pt>
                <c:pt idx="5">
                  <c:v>1.0078468940038601</c:v>
                </c:pt>
                <c:pt idx="6">
                  <c:v>1.0078468940038601</c:v>
                </c:pt>
                <c:pt idx="7">
                  <c:v>1.0078468940038601</c:v>
                </c:pt>
                <c:pt idx="8">
                  <c:v>1.0078468940038601</c:v>
                </c:pt>
                <c:pt idx="9">
                  <c:v>1.0078468940038601</c:v>
                </c:pt>
                <c:pt idx="10">
                  <c:v>1.0078468940038601</c:v>
                </c:pt>
                <c:pt idx="11">
                  <c:v>1.0078468940038601</c:v>
                </c:pt>
                <c:pt idx="12">
                  <c:v>1.0078468940038601</c:v>
                </c:pt>
                <c:pt idx="13">
                  <c:v>1.0078468940038601</c:v>
                </c:pt>
                <c:pt idx="14">
                  <c:v>1.0078468940038601</c:v>
                </c:pt>
                <c:pt idx="15">
                  <c:v>1.0078468940038601</c:v>
                </c:pt>
                <c:pt idx="16">
                  <c:v>1.0078468940038601</c:v>
                </c:pt>
                <c:pt idx="17">
                  <c:v>1.0078468940038601</c:v>
                </c:pt>
                <c:pt idx="18">
                  <c:v>1.0078468940038601</c:v>
                </c:pt>
                <c:pt idx="19">
                  <c:v>1.0078468940038601</c:v>
                </c:pt>
                <c:pt idx="20">
                  <c:v>1.0078468940038601</c:v>
                </c:pt>
                <c:pt idx="21">
                  <c:v>1.0078468940038601</c:v>
                </c:pt>
                <c:pt idx="22">
                  <c:v>1.0078468940038601</c:v>
                </c:pt>
                <c:pt idx="23">
                  <c:v>1.0078468940038601</c:v>
                </c:pt>
                <c:pt idx="24">
                  <c:v>1.0078468940038601</c:v>
                </c:pt>
                <c:pt idx="25">
                  <c:v>1.0078468940038601</c:v>
                </c:pt>
                <c:pt idx="26">
                  <c:v>1.0078468940038601</c:v>
                </c:pt>
                <c:pt idx="27">
                  <c:v>1.0078468940038601</c:v>
                </c:pt>
                <c:pt idx="28">
                  <c:v>1.0078468940038601</c:v>
                </c:pt>
                <c:pt idx="29">
                  <c:v>1.0078468940038601</c:v>
                </c:pt>
                <c:pt idx="30">
                  <c:v>1.0078468940038601</c:v>
                </c:pt>
                <c:pt idx="31">
                  <c:v>1.0078468940038601</c:v>
                </c:pt>
                <c:pt idx="32">
                  <c:v>1.0078468940038601</c:v>
                </c:pt>
                <c:pt idx="33">
                  <c:v>1.0078468940038601</c:v>
                </c:pt>
                <c:pt idx="34">
                  <c:v>1.0078468940038601</c:v>
                </c:pt>
                <c:pt idx="35">
                  <c:v>1.0078468940038601</c:v>
                </c:pt>
                <c:pt idx="36">
                  <c:v>1.0078468940038601</c:v>
                </c:pt>
                <c:pt idx="37">
                  <c:v>1.0078468940038601</c:v>
                </c:pt>
                <c:pt idx="38">
                  <c:v>1.0078468940038601</c:v>
                </c:pt>
                <c:pt idx="39">
                  <c:v>1.0078468940038601</c:v>
                </c:pt>
                <c:pt idx="40">
                  <c:v>1.0078468940038601</c:v>
                </c:pt>
                <c:pt idx="41">
                  <c:v>1.0078468940038601</c:v>
                </c:pt>
                <c:pt idx="42">
                  <c:v>1.0078468940038601</c:v>
                </c:pt>
                <c:pt idx="43">
                  <c:v>1.0078468940038601</c:v>
                </c:pt>
                <c:pt idx="44">
                  <c:v>1.0078468940038601</c:v>
                </c:pt>
                <c:pt idx="45">
                  <c:v>1.0078468940038601</c:v>
                </c:pt>
                <c:pt idx="46">
                  <c:v>1.0078468940038601</c:v>
                </c:pt>
                <c:pt idx="47">
                  <c:v>1.0078468940038601</c:v>
                </c:pt>
                <c:pt idx="48">
                  <c:v>1.0078468940038601</c:v>
                </c:pt>
                <c:pt idx="49">
                  <c:v>1.0078468940038601</c:v>
                </c:pt>
                <c:pt idx="50">
                  <c:v>1.0078468940038601</c:v>
                </c:pt>
                <c:pt idx="51">
                  <c:v>1.0078468940038601</c:v>
                </c:pt>
                <c:pt idx="52">
                  <c:v>1.0078468940038601</c:v>
                </c:pt>
                <c:pt idx="53">
                  <c:v>1.0078468940038601</c:v>
                </c:pt>
                <c:pt idx="54">
                  <c:v>1.0078468940038601</c:v>
                </c:pt>
                <c:pt idx="55">
                  <c:v>1.0078468940038601</c:v>
                </c:pt>
                <c:pt idx="56">
                  <c:v>1.0078468940038601</c:v>
                </c:pt>
                <c:pt idx="57">
                  <c:v>1.0078468940038601</c:v>
                </c:pt>
                <c:pt idx="58">
                  <c:v>1.0078468940038601</c:v>
                </c:pt>
                <c:pt idx="59">
                  <c:v>1.0078468940038601</c:v>
                </c:pt>
                <c:pt idx="60">
                  <c:v>1.0078468940038601</c:v>
                </c:pt>
                <c:pt idx="61">
                  <c:v>1.0078468940038601</c:v>
                </c:pt>
                <c:pt idx="62">
                  <c:v>1.0078468940038601</c:v>
                </c:pt>
                <c:pt idx="63">
                  <c:v>1.0078468940038601</c:v>
                </c:pt>
                <c:pt idx="64">
                  <c:v>1.0078468940038601</c:v>
                </c:pt>
                <c:pt idx="65">
                  <c:v>1.0078468940038601</c:v>
                </c:pt>
                <c:pt idx="66">
                  <c:v>1.0078468940038601</c:v>
                </c:pt>
                <c:pt idx="67">
                  <c:v>1.0078468940038601</c:v>
                </c:pt>
                <c:pt idx="68">
                  <c:v>1.0078468940038601</c:v>
                </c:pt>
                <c:pt idx="69">
                  <c:v>1.0078468940038601</c:v>
                </c:pt>
                <c:pt idx="70">
                  <c:v>1.0078468940038601</c:v>
                </c:pt>
                <c:pt idx="71">
                  <c:v>1.0078468940038601</c:v>
                </c:pt>
                <c:pt idx="72">
                  <c:v>1.0078468940038601</c:v>
                </c:pt>
                <c:pt idx="73">
                  <c:v>1.0078468940038601</c:v>
                </c:pt>
                <c:pt idx="74">
                  <c:v>1.0078468940038601</c:v>
                </c:pt>
                <c:pt idx="75">
                  <c:v>1.0078468940038601</c:v>
                </c:pt>
                <c:pt idx="76">
                  <c:v>1.0078468940038601</c:v>
                </c:pt>
                <c:pt idx="77">
                  <c:v>1.0078468940038601</c:v>
                </c:pt>
                <c:pt idx="78">
                  <c:v>1.0078468940038601</c:v>
                </c:pt>
                <c:pt idx="79">
                  <c:v>1.0078468940038601</c:v>
                </c:pt>
                <c:pt idx="80">
                  <c:v>1.0078468940038601</c:v>
                </c:pt>
                <c:pt idx="81">
                  <c:v>1.0078468940038601</c:v>
                </c:pt>
                <c:pt idx="82">
                  <c:v>1.0078468940038601</c:v>
                </c:pt>
                <c:pt idx="83">
                  <c:v>1.0078468940038601</c:v>
                </c:pt>
                <c:pt idx="84">
                  <c:v>1.0078468940038601</c:v>
                </c:pt>
                <c:pt idx="85">
                  <c:v>1.0078468940038601</c:v>
                </c:pt>
                <c:pt idx="86">
                  <c:v>1.0078468940038601</c:v>
                </c:pt>
                <c:pt idx="87">
                  <c:v>1.0078468940038601</c:v>
                </c:pt>
                <c:pt idx="88">
                  <c:v>1.0078468940038601</c:v>
                </c:pt>
                <c:pt idx="89">
                  <c:v>1.0078468940038601</c:v>
                </c:pt>
                <c:pt idx="90">
                  <c:v>1.0078468940038601</c:v>
                </c:pt>
                <c:pt idx="91">
                  <c:v>1.0078468940038601</c:v>
                </c:pt>
                <c:pt idx="92">
                  <c:v>1.0078468940038601</c:v>
                </c:pt>
                <c:pt idx="93">
                  <c:v>1.0078468940038601</c:v>
                </c:pt>
                <c:pt idx="94">
                  <c:v>1.0078468940038601</c:v>
                </c:pt>
                <c:pt idx="95">
                  <c:v>1.0078468940038601</c:v>
                </c:pt>
                <c:pt idx="96">
                  <c:v>1.0078468940038601</c:v>
                </c:pt>
                <c:pt idx="97">
                  <c:v>1.0078468940038601</c:v>
                </c:pt>
                <c:pt idx="98">
                  <c:v>1.0078468940038601</c:v>
                </c:pt>
                <c:pt idx="99">
                  <c:v>1.0078468940038601</c:v>
                </c:pt>
                <c:pt idx="100">
                  <c:v>1.0078468940038601</c:v>
                </c:pt>
                <c:pt idx="101">
                  <c:v>1.0078468940038601</c:v>
                </c:pt>
                <c:pt idx="102">
                  <c:v>1.0078468940038601</c:v>
                </c:pt>
                <c:pt idx="103">
                  <c:v>1.0078468940038601</c:v>
                </c:pt>
                <c:pt idx="104">
                  <c:v>1.0078468940038601</c:v>
                </c:pt>
                <c:pt idx="105">
                  <c:v>1.0078468940038601</c:v>
                </c:pt>
                <c:pt idx="106">
                  <c:v>1.0078468940038601</c:v>
                </c:pt>
                <c:pt idx="107">
                  <c:v>1.0078468940038601</c:v>
                </c:pt>
                <c:pt idx="108">
                  <c:v>1.0078468940038601</c:v>
                </c:pt>
                <c:pt idx="109">
                  <c:v>1.0078468940038601</c:v>
                </c:pt>
                <c:pt idx="110">
                  <c:v>1.0078468940038601</c:v>
                </c:pt>
                <c:pt idx="111">
                  <c:v>1.0078468940038601</c:v>
                </c:pt>
                <c:pt idx="112">
                  <c:v>1.0078468940038601</c:v>
                </c:pt>
                <c:pt idx="113">
                  <c:v>1.0078468940038601</c:v>
                </c:pt>
                <c:pt idx="114">
                  <c:v>1.0078468940038601</c:v>
                </c:pt>
                <c:pt idx="115">
                  <c:v>1.0078468940038601</c:v>
                </c:pt>
                <c:pt idx="116">
                  <c:v>1.0078468940038601</c:v>
                </c:pt>
                <c:pt idx="117">
                  <c:v>1.0078468940038601</c:v>
                </c:pt>
                <c:pt idx="118">
                  <c:v>1.0078468940038601</c:v>
                </c:pt>
                <c:pt idx="119">
                  <c:v>1.0078468940038601</c:v>
                </c:pt>
                <c:pt idx="120">
                  <c:v>1.0078468940038601</c:v>
                </c:pt>
                <c:pt idx="121">
                  <c:v>1.0078468940038601</c:v>
                </c:pt>
                <c:pt idx="122">
                  <c:v>1.0078468940038601</c:v>
                </c:pt>
                <c:pt idx="123">
                  <c:v>1.0078468940038601</c:v>
                </c:pt>
                <c:pt idx="124">
                  <c:v>1.0078468940038601</c:v>
                </c:pt>
                <c:pt idx="125">
                  <c:v>1.0078468940038601</c:v>
                </c:pt>
                <c:pt idx="126">
                  <c:v>1.0078468940038601</c:v>
                </c:pt>
                <c:pt idx="127">
                  <c:v>1.0078468940038601</c:v>
                </c:pt>
                <c:pt idx="128">
                  <c:v>1.0078468940038601</c:v>
                </c:pt>
                <c:pt idx="129">
                  <c:v>1.0078468940038601</c:v>
                </c:pt>
                <c:pt idx="130">
                  <c:v>1.0078468940038601</c:v>
                </c:pt>
                <c:pt idx="131">
                  <c:v>1.0078468940038601</c:v>
                </c:pt>
                <c:pt idx="132">
                  <c:v>1.0078468940038601</c:v>
                </c:pt>
                <c:pt idx="133">
                  <c:v>1.0078468940038601</c:v>
                </c:pt>
                <c:pt idx="134">
                  <c:v>1.0078468940038601</c:v>
                </c:pt>
                <c:pt idx="135">
                  <c:v>1.0078468940038601</c:v>
                </c:pt>
                <c:pt idx="136">
                  <c:v>1.0078468940038601</c:v>
                </c:pt>
                <c:pt idx="137">
                  <c:v>1.0078468940038601</c:v>
                </c:pt>
                <c:pt idx="138">
                  <c:v>1.0078468940038601</c:v>
                </c:pt>
                <c:pt idx="139">
                  <c:v>1.0078468940038601</c:v>
                </c:pt>
                <c:pt idx="140">
                  <c:v>1.0078468940038601</c:v>
                </c:pt>
                <c:pt idx="141">
                  <c:v>1.0078468940038601</c:v>
                </c:pt>
                <c:pt idx="142">
                  <c:v>1.0078468940038601</c:v>
                </c:pt>
                <c:pt idx="143">
                  <c:v>1.0078468940038601</c:v>
                </c:pt>
                <c:pt idx="144">
                  <c:v>1.0078468940038601</c:v>
                </c:pt>
                <c:pt idx="145">
                  <c:v>1.0078468940038601</c:v>
                </c:pt>
                <c:pt idx="146">
                  <c:v>1.0078468940038601</c:v>
                </c:pt>
                <c:pt idx="147">
                  <c:v>1.0078468940038601</c:v>
                </c:pt>
                <c:pt idx="148">
                  <c:v>1.0078468940038601</c:v>
                </c:pt>
                <c:pt idx="149">
                  <c:v>1.0078468940038601</c:v>
                </c:pt>
                <c:pt idx="150">
                  <c:v>1.0078468940038601</c:v>
                </c:pt>
                <c:pt idx="151">
                  <c:v>1.0078468940038601</c:v>
                </c:pt>
                <c:pt idx="152">
                  <c:v>1.0078468940038601</c:v>
                </c:pt>
                <c:pt idx="153">
                  <c:v>1.0078468940038601</c:v>
                </c:pt>
                <c:pt idx="154">
                  <c:v>1.0078468940038601</c:v>
                </c:pt>
                <c:pt idx="155">
                  <c:v>1.0078468940038601</c:v>
                </c:pt>
                <c:pt idx="156">
                  <c:v>1.0078468940038601</c:v>
                </c:pt>
                <c:pt idx="157">
                  <c:v>1.0078468940038601</c:v>
                </c:pt>
                <c:pt idx="158">
                  <c:v>1.0078468940038601</c:v>
                </c:pt>
                <c:pt idx="159">
                  <c:v>1.0078468940038601</c:v>
                </c:pt>
                <c:pt idx="160">
                  <c:v>1.0078468940038601</c:v>
                </c:pt>
                <c:pt idx="161">
                  <c:v>1.0078468940038601</c:v>
                </c:pt>
                <c:pt idx="162">
                  <c:v>1.0078468940038601</c:v>
                </c:pt>
                <c:pt idx="163">
                  <c:v>1.0078468940038601</c:v>
                </c:pt>
                <c:pt idx="164">
                  <c:v>1.0078468940038601</c:v>
                </c:pt>
                <c:pt idx="165">
                  <c:v>1.0078468940038601</c:v>
                </c:pt>
                <c:pt idx="166">
                  <c:v>1.0078468940038601</c:v>
                </c:pt>
                <c:pt idx="167">
                  <c:v>1.0078468940038601</c:v>
                </c:pt>
                <c:pt idx="168">
                  <c:v>1.0078468940038601</c:v>
                </c:pt>
                <c:pt idx="169">
                  <c:v>1.0078468940038601</c:v>
                </c:pt>
                <c:pt idx="170">
                  <c:v>1.0078468940038601</c:v>
                </c:pt>
                <c:pt idx="171">
                  <c:v>1.0078468940038601</c:v>
                </c:pt>
                <c:pt idx="172">
                  <c:v>1.0078468940038601</c:v>
                </c:pt>
                <c:pt idx="173">
                  <c:v>1.0078468940038601</c:v>
                </c:pt>
                <c:pt idx="174">
                  <c:v>1.0078468940038601</c:v>
                </c:pt>
                <c:pt idx="175">
                  <c:v>1.0078468940038601</c:v>
                </c:pt>
                <c:pt idx="176">
                  <c:v>1.0078468940038601</c:v>
                </c:pt>
                <c:pt idx="177">
                  <c:v>1.0078468940038601</c:v>
                </c:pt>
                <c:pt idx="178">
                  <c:v>1.0078468940038601</c:v>
                </c:pt>
                <c:pt idx="179">
                  <c:v>1.0078468940038601</c:v>
                </c:pt>
                <c:pt idx="180">
                  <c:v>1.0078468940038601</c:v>
                </c:pt>
                <c:pt idx="181">
                  <c:v>1.0078468940038601</c:v>
                </c:pt>
                <c:pt idx="182">
                  <c:v>1.0078468940038601</c:v>
                </c:pt>
                <c:pt idx="183">
                  <c:v>1.0078468940038601</c:v>
                </c:pt>
                <c:pt idx="184">
                  <c:v>1.0078468940038601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2-4C4E-8E02-ED7DB9095B74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GLIBA/GLIBK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Sheet1!$P$2:$P$186</c:f>
              <c:numCache>
                <c:formatCode>_(* #,##0.0000_);_(* \(#,##0.0000\);_(* "-"??_);_(@_)</c:formatCode>
                <c:ptCount val="185"/>
                <c:pt idx="9">
                  <c:v>0.99925500942443901</c:v>
                </c:pt>
                <c:pt idx="10">
                  <c:v>1.0014681655706099</c:v>
                </c:pt>
                <c:pt idx="11">
                  <c:v>1.00326875960368</c:v>
                </c:pt>
                <c:pt idx="12">
                  <c:v>1.00504553408356</c:v>
                </c:pt>
                <c:pt idx="13">
                  <c:v>1.0061566210035899</c:v>
                </c:pt>
                <c:pt idx="14">
                  <c:v>1.0070879881686301</c:v>
                </c:pt>
                <c:pt idx="15">
                  <c:v>1.0081398501576999</c:v>
                </c:pt>
                <c:pt idx="16">
                  <c:v>1.0099332995321399</c:v>
                </c:pt>
                <c:pt idx="17">
                  <c:v>1.0103662152950601</c:v>
                </c:pt>
                <c:pt idx="18">
                  <c:v>1.0110719725700099</c:v>
                </c:pt>
                <c:pt idx="19">
                  <c:v>1.0112270602090601</c:v>
                </c:pt>
                <c:pt idx="20">
                  <c:v>1.0104300311071099</c:v>
                </c:pt>
                <c:pt idx="21">
                  <c:v>1.01079736647486</c:v>
                </c:pt>
                <c:pt idx="22">
                  <c:v>1.01062902802598</c:v>
                </c:pt>
                <c:pt idx="23">
                  <c:v>1.0104090949468101</c:v>
                </c:pt>
                <c:pt idx="24">
                  <c:v>1.0097035985367</c:v>
                </c:pt>
                <c:pt idx="25">
                  <c:v>1.00893707551861</c:v>
                </c:pt>
                <c:pt idx="26">
                  <c:v>1.0086667494978001</c:v>
                </c:pt>
                <c:pt idx="27">
                  <c:v>1.0079249838511799</c:v>
                </c:pt>
                <c:pt idx="28">
                  <c:v>1.0068147086915</c:v>
                </c:pt>
                <c:pt idx="29">
                  <c:v>1.0051748653639601</c:v>
                </c:pt>
                <c:pt idx="30">
                  <c:v>1.00419951496312</c:v>
                </c:pt>
                <c:pt idx="31">
                  <c:v>1.00180461083759</c:v>
                </c:pt>
                <c:pt idx="32">
                  <c:v>1.0009304072518801</c:v>
                </c:pt>
                <c:pt idx="33">
                  <c:v>1.0009410152006299</c:v>
                </c:pt>
                <c:pt idx="34">
                  <c:v>1.0013028937714501</c:v>
                </c:pt>
                <c:pt idx="35">
                  <c:v>1.0019153636040301</c:v>
                </c:pt>
                <c:pt idx="36">
                  <c:v>1.0015231897696</c:v>
                </c:pt>
                <c:pt idx="37">
                  <c:v>1.0022377206259701</c:v>
                </c:pt>
                <c:pt idx="38">
                  <c:v>1.0027513725088499</c:v>
                </c:pt>
                <c:pt idx="39">
                  <c:v>1.0034504375659501</c:v>
                </c:pt>
                <c:pt idx="40">
                  <c:v>1.00357480469442</c:v>
                </c:pt>
                <c:pt idx="41">
                  <c:v>1.00429735459142</c:v>
                </c:pt>
                <c:pt idx="42">
                  <c:v>1.0045544908920401</c:v>
                </c:pt>
                <c:pt idx="43">
                  <c:v>1.00503614071632</c:v>
                </c:pt>
                <c:pt idx="44">
                  <c:v>1.0050391211645799</c:v>
                </c:pt>
                <c:pt idx="45">
                  <c:v>1.00549273438692</c:v>
                </c:pt>
                <c:pt idx="46">
                  <c:v>1.00567728574475</c:v>
                </c:pt>
                <c:pt idx="47">
                  <c:v>1.00579928516242</c:v>
                </c:pt>
                <c:pt idx="48">
                  <c:v>1.0050814037423501</c:v>
                </c:pt>
                <c:pt idx="49">
                  <c:v>1.0045877725118399</c:v>
                </c:pt>
                <c:pt idx="50">
                  <c:v>1.0042307359589699</c:v>
                </c:pt>
                <c:pt idx="51">
                  <c:v>1.00393831942585</c:v>
                </c:pt>
                <c:pt idx="52">
                  <c:v>1.00268234326119</c:v>
                </c:pt>
                <c:pt idx="53">
                  <c:v>1.0016696707872399</c:v>
                </c:pt>
                <c:pt idx="54">
                  <c:v>1.00099941980758</c:v>
                </c:pt>
                <c:pt idx="55">
                  <c:v>0.99899161682063897</c:v>
                </c:pt>
                <c:pt idx="56">
                  <c:v>0.99758434223388603</c:v>
                </c:pt>
                <c:pt idx="57">
                  <c:v>0.99631132308551396</c:v>
                </c:pt>
                <c:pt idx="58">
                  <c:v>0.99582058952575703</c:v>
                </c:pt>
                <c:pt idx="59">
                  <c:v>0.99538483192975202</c:v>
                </c:pt>
                <c:pt idx="60">
                  <c:v>0.99492906566389605</c:v>
                </c:pt>
                <c:pt idx="61">
                  <c:v>0.99463414937513395</c:v>
                </c:pt>
                <c:pt idx="62">
                  <c:v>0.994304250059454</c:v>
                </c:pt>
                <c:pt idx="63">
                  <c:v>0.99326963976050897</c:v>
                </c:pt>
                <c:pt idx="64">
                  <c:v>0.99257616934552195</c:v>
                </c:pt>
                <c:pt idx="65">
                  <c:v>0.99330674544120701</c:v>
                </c:pt>
                <c:pt idx="66">
                  <c:v>0.99381909274172897</c:v>
                </c:pt>
                <c:pt idx="67">
                  <c:v>0.99419828289989098</c:v>
                </c:pt>
                <c:pt idx="68">
                  <c:v>0.99447003705927395</c:v>
                </c:pt>
                <c:pt idx="69">
                  <c:v>0.99550665660734405</c:v>
                </c:pt>
                <c:pt idx="70">
                  <c:v>0.99623063197355299</c:v>
                </c:pt>
                <c:pt idx="71">
                  <c:v>0.99758469557469398</c:v>
                </c:pt>
                <c:pt idx="72">
                  <c:v>0.99933001759215101</c:v>
                </c:pt>
                <c:pt idx="73">
                  <c:v>1.00143095039374</c:v>
                </c:pt>
                <c:pt idx="74">
                  <c:v>1.00347655724052</c:v>
                </c:pt>
                <c:pt idx="75">
                  <c:v>1.0040381685522499</c:v>
                </c:pt>
                <c:pt idx="76">
                  <c:v>1.0054305125364</c:v>
                </c:pt>
                <c:pt idx="77">
                  <c:v>1.00752448622512</c:v>
                </c:pt>
                <c:pt idx="78">
                  <c:v>1.0091856521554601</c:v>
                </c:pt>
                <c:pt idx="79">
                  <c:v>1.0104486674081099</c:v>
                </c:pt>
                <c:pt idx="80">
                  <c:v>1.01245562783898</c:v>
                </c:pt>
                <c:pt idx="81">
                  <c:v>1.01367515241059</c:v>
                </c:pt>
                <c:pt idx="82">
                  <c:v>1.0146082199744699</c:v>
                </c:pt>
                <c:pt idx="83">
                  <c:v>1.01491457771605</c:v>
                </c:pt>
                <c:pt idx="84">
                  <c:v>1.0151062643500799</c:v>
                </c:pt>
                <c:pt idx="85">
                  <c:v>1.0154767828667399</c:v>
                </c:pt>
                <c:pt idx="86">
                  <c:v>1.0158167756643299</c:v>
                </c:pt>
                <c:pt idx="87">
                  <c:v>1.0157743284546299</c:v>
                </c:pt>
                <c:pt idx="88">
                  <c:v>1.0153644930397401</c:v>
                </c:pt>
                <c:pt idx="89">
                  <c:v>1.0147057533913599</c:v>
                </c:pt>
                <c:pt idx="90">
                  <c:v>1.01349195134113</c:v>
                </c:pt>
                <c:pt idx="91">
                  <c:v>1.01197871827271</c:v>
                </c:pt>
                <c:pt idx="92">
                  <c:v>1.01163321417024</c:v>
                </c:pt>
                <c:pt idx="93">
                  <c:v>1.00996738075149</c:v>
                </c:pt>
                <c:pt idx="94">
                  <c:v>1.0087120901656901</c:v>
                </c:pt>
                <c:pt idx="95">
                  <c:v>1.0076621912109001</c:v>
                </c:pt>
                <c:pt idx="96">
                  <c:v>1.0063603752825101</c:v>
                </c:pt>
                <c:pt idx="97">
                  <c:v>1.00445830605153</c:v>
                </c:pt>
                <c:pt idx="98">
                  <c:v>1.0030259346121</c:v>
                </c:pt>
                <c:pt idx="99">
                  <c:v>1.0031376284737901</c:v>
                </c:pt>
                <c:pt idx="100">
                  <c:v>1.0025879765866501</c:v>
                </c:pt>
                <c:pt idx="101">
                  <c:v>1.00205197139608</c:v>
                </c:pt>
                <c:pt idx="102">
                  <c:v>1.0007908890101</c:v>
                </c:pt>
                <c:pt idx="103">
                  <c:v>1.00104646598251</c:v>
                </c:pt>
                <c:pt idx="104">
                  <c:v>1.00048745058703</c:v>
                </c:pt>
                <c:pt idx="105">
                  <c:v>1.0009778077550699</c:v>
                </c:pt>
                <c:pt idx="106">
                  <c:v>1.00137935526625</c:v>
                </c:pt>
                <c:pt idx="107">
                  <c:v>1.0012911608436399</c:v>
                </c:pt>
                <c:pt idx="108">
                  <c:v>1.0019498720179001</c:v>
                </c:pt>
                <c:pt idx="109">
                  <c:v>0.99992789376229196</c:v>
                </c:pt>
                <c:pt idx="110">
                  <c:v>0.99894566738249801</c:v>
                </c:pt>
                <c:pt idx="111">
                  <c:v>0.99824300995728799</c:v>
                </c:pt>
                <c:pt idx="112">
                  <c:v>0.99736511659941995</c:v>
                </c:pt>
                <c:pt idx="113">
                  <c:v>0.99651712685842597</c:v>
                </c:pt>
                <c:pt idx="114">
                  <c:v>0.99715452453080999</c:v>
                </c:pt>
                <c:pt idx="115">
                  <c:v>0.99975413360930698</c:v>
                </c:pt>
                <c:pt idx="116">
                  <c:v>1.0023256506154901</c:v>
                </c:pt>
                <c:pt idx="117">
                  <c:v>1.00331021886314</c:v>
                </c:pt>
                <c:pt idx="118">
                  <c:v>1.0046145322573701</c:v>
                </c:pt>
                <c:pt idx="119">
                  <c:v>1.00827617875007</c:v>
                </c:pt>
                <c:pt idx="120">
                  <c:v>1.0176864354329</c:v>
                </c:pt>
                <c:pt idx="121">
                  <c:v>1.02147288875943</c:v>
                </c:pt>
                <c:pt idx="122">
                  <c:v>1.02388244563575</c:v>
                </c:pt>
                <c:pt idx="123">
                  <c:v>1.0260602066944799</c:v>
                </c:pt>
                <c:pt idx="124">
                  <c:v>1.0273149593792501</c:v>
                </c:pt>
                <c:pt idx="125">
                  <c:v>1.0264792066158599</c:v>
                </c:pt>
                <c:pt idx="126">
                  <c:v>1.0247739579408399</c:v>
                </c:pt>
                <c:pt idx="127">
                  <c:v>1.02480541991208</c:v>
                </c:pt>
                <c:pt idx="128">
                  <c:v>1.0238668576924601</c:v>
                </c:pt>
                <c:pt idx="129">
                  <c:v>1.02158187888358</c:v>
                </c:pt>
                <c:pt idx="130">
                  <c:v>1.0141993031259999</c:v>
                </c:pt>
                <c:pt idx="131">
                  <c:v>1.0123586539480001</c:v>
                </c:pt>
                <c:pt idx="132">
                  <c:v>1.0109640580546699</c:v>
                </c:pt>
                <c:pt idx="133">
                  <c:v>1.01017319997182</c:v>
                </c:pt>
                <c:pt idx="134">
                  <c:v>1.0091166137423799</c:v>
                </c:pt>
                <c:pt idx="135">
                  <c:v>1.0066935273022599</c:v>
                </c:pt>
                <c:pt idx="136">
                  <c:v>1.00654109012308</c:v>
                </c:pt>
                <c:pt idx="137">
                  <c:v>1.00662399436021</c:v>
                </c:pt>
                <c:pt idx="138">
                  <c:v>1.00761992612788</c:v>
                </c:pt>
                <c:pt idx="139">
                  <c:v>1.0087708159723201</c:v>
                </c:pt>
                <c:pt idx="140">
                  <c:v>1.0093661596530299</c:v>
                </c:pt>
                <c:pt idx="141">
                  <c:v>1.01019535300226</c:v>
                </c:pt>
                <c:pt idx="142">
                  <c:v>1.01262537416166</c:v>
                </c:pt>
                <c:pt idx="143">
                  <c:v>1.01382983985956</c:v>
                </c:pt>
                <c:pt idx="144">
                  <c:v>1.0152660698443401</c:v>
                </c:pt>
                <c:pt idx="145">
                  <c:v>1.01800044972075</c:v>
                </c:pt>
                <c:pt idx="146">
                  <c:v>1.01944628804381</c:v>
                </c:pt>
                <c:pt idx="147">
                  <c:v>1.0212903488245999</c:v>
                </c:pt>
                <c:pt idx="148">
                  <c:v>1.0213591727006099</c:v>
                </c:pt>
                <c:pt idx="149">
                  <c:v>1.0221735234978799</c:v>
                </c:pt>
                <c:pt idx="150">
                  <c:v>1.0210865227400701</c:v>
                </c:pt>
                <c:pt idx="151">
                  <c:v>1.0195631852300899</c:v>
                </c:pt>
                <c:pt idx="152">
                  <c:v>1.0170285562727801</c:v>
                </c:pt>
                <c:pt idx="153">
                  <c:v>1.01612859504094</c:v>
                </c:pt>
                <c:pt idx="154">
                  <c:v>1.0155233309046701</c:v>
                </c:pt>
                <c:pt idx="155">
                  <c:v>1.0153876408540401</c:v>
                </c:pt>
                <c:pt idx="156">
                  <c:v>1.0145929838782899</c:v>
                </c:pt>
                <c:pt idx="157">
                  <c:v>1.0135871095630999</c:v>
                </c:pt>
                <c:pt idx="158">
                  <c:v>1.01401590698095</c:v>
                </c:pt>
                <c:pt idx="159">
                  <c:v>1.0133177087827501</c:v>
                </c:pt>
                <c:pt idx="160">
                  <c:v>1.01478097880858</c:v>
                </c:pt>
                <c:pt idx="161">
                  <c:v>1.0163204428916299</c:v>
                </c:pt>
                <c:pt idx="162">
                  <c:v>1.0181788708275401</c:v>
                </c:pt>
                <c:pt idx="163">
                  <c:v>1.0193805594036001</c:v>
                </c:pt>
                <c:pt idx="164">
                  <c:v>1.02041793050978</c:v>
                </c:pt>
                <c:pt idx="165">
                  <c:v>1.0207627088265501</c:v>
                </c:pt>
                <c:pt idx="166">
                  <c:v>1.02139924959126</c:v>
                </c:pt>
                <c:pt idx="167">
                  <c:v>1.0216501298301499</c:v>
                </c:pt>
                <c:pt idx="168">
                  <c:v>1.0211694953393</c:v>
                </c:pt>
                <c:pt idx="169">
                  <c:v>1.0207000117712299</c:v>
                </c:pt>
                <c:pt idx="170">
                  <c:v>1.0197246109437099</c:v>
                </c:pt>
                <c:pt idx="171">
                  <c:v>1.01959461223162</c:v>
                </c:pt>
                <c:pt idx="172">
                  <c:v>1.0191753130393899</c:v>
                </c:pt>
                <c:pt idx="173">
                  <c:v>1.0182716036462101</c:v>
                </c:pt>
                <c:pt idx="174">
                  <c:v>1.0167398041358999</c:v>
                </c:pt>
                <c:pt idx="175">
                  <c:v>1.0148703519833699</c:v>
                </c:pt>
                <c:pt idx="176">
                  <c:v>1.0128749134131201</c:v>
                </c:pt>
                <c:pt idx="177">
                  <c:v>1.0111886668649801</c:v>
                </c:pt>
                <c:pt idx="178">
                  <c:v>1.01066521967879</c:v>
                </c:pt>
                <c:pt idx="179">
                  <c:v>1.00933290144506</c:v>
                </c:pt>
                <c:pt idx="180">
                  <c:v>1.0080044670602499</c:v>
                </c:pt>
                <c:pt idx="181">
                  <c:v>1.00521716907442</c:v>
                </c:pt>
                <c:pt idx="182">
                  <c:v>1.00239608467408</c:v>
                </c:pt>
                <c:pt idx="183">
                  <c:v>1.00177338961759</c:v>
                </c:pt>
                <c:pt idx="184">
                  <c:v>1.0013158909639599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2-4C4E-8E02-ED7DB9095B74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GLIBA/GLIBK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Sheet1!$Q$2:$Q$186</c:f>
              <c:numCache>
                <c:formatCode>_(* #,##0.0000_);_(* \(#,##0.0000\);_(* "-"??_);_(@_)</c:formatCode>
                <c:ptCount val="185"/>
                <c:pt idx="19">
                  <c:v>1.00524103481675</c:v>
                </c:pt>
                <c:pt idx="20">
                  <c:v>1.0059490983388599</c:v>
                </c:pt>
                <c:pt idx="21">
                  <c:v>1.0070330630392701</c:v>
                </c:pt>
                <c:pt idx="22">
                  <c:v>1.00783728105477</c:v>
                </c:pt>
                <c:pt idx="23">
                  <c:v>1.0082828579751999</c:v>
                </c:pt>
                <c:pt idx="24">
                  <c:v>1.0083957933526599</c:v>
                </c:pt>
                <c:pt idx="25">
                  <c:v>1.00853846283816</c:v>
                </c:pt>
                <c:pt idx="26">
                  <c:v>1.0093000245149699</c:v>
                </c:pt>
                <c:pt idx="27">
                  <c:v>1.00914559957312</c:v>
                </c:pt>
                <c:pt idx="28">
                  <c:v>1.00894334063075</c:v>
                </c:pt>
                <c:pt idx="29">
                  <c:v>1.0082009627865101</c:v>
                </c:pt>
                <c:pt idx="30">
                  <c:v>1.00731477303512</c:v>
                </c:pt>
                <c:pt idx="31">
                  <c:v>1.00630098865623</c:v>
                </c:pt>
                <c:pt idx="32">
                  <c:v>1.00577971763893</c:v>
                </c:pt>
                <c:pt idx="33">
                  <c:v>1.0056750550737199</c:v>
                </c:pt>
                <c:pt idx="34">
                  <c:v>1.0055032461540701</c:v>
                </c:pt>
                <c:pt idx="35">
                  <c:v>1.0054262195613199</c:v>
                </c:pt>
                <c:pt idx="36">
                  <c:v>1.0050949696336999</c:v>
                </c:pt>
                <c:pt idx="37">
                  <c:v>1.00508135223857</c:v>
                </c:pt>
                <c:pt idx="38">
                  <c:v>1.0047830406001801</c:v>
                </c:pt>
                <c:pt idx="39">
                  <c:v>1.0043126514649601</c:v>
                </c:pt>
                <c:pt idx="40">
                  <c:v>1.00388715982877</c:v>
                </c:pt>
                <c:pt idx="41">
                  <c:v>1.00305098271451</c:v>
                </c:pt>
                <c:pt idx="42">
                  <c:v>1.0027424490719601</c:v>
                </c:pt>
                <c:pt idx="43">
                  <c:v>1.00298857795848</c:v>
                </c:pt>
                <c:pt idx="44">
                  <c:v>1.00317100746801</c:v>
                </c:pt>
                <c:pt idx="45">
                  <c:v>1.00370404899548</c:v>
                </c:pt>
                <c:pt idx="46">
                  <c:v>1.00360023775717</c:v>
                </c:pt>
                <c:pt idx="47">
                  <c:v>1.0040185028941999</c:v>
                </c:pt>
                <c:pt idx="48">
                  <c:v>1.0039163881255999</c:v>
                </c:pt>
                <c:pt idx="49">
                  <c:v>1.0040191050389</c:v>
                </c:pt>
                <c:pt idx="50">
                  <c:v>1.0039027703267001</c:v>
                </c:pt>
                <c:pt idx="51">
                  <c:v>1.0041178370086301</c:v>
                </c:pt>
                <c:pt idx="52">
                  <c:v>1.00361841707661</c:v>
                </c:pt>
                <c:pt idx="53">
                  <c:v>1.00335290575178</c:v>
                </c:pt>
                <c:pt idx="54">
                  <c:v>1.0030192704860801</c:v>
                </c:pt>
                <c:pt idx="55">
                  <c:v>1.00224217560378</c:v>
                </c:pt>
                <c:pt idx="56">
                  <c:v>1.00163081398932</c:v>
                </c:pt>
                <c:pt idx="57">
                  <c:v>1.00105530412397</c:v>
                </c:pt>
                <c:pt idx="58">
                  <c:v>1.00045099663405</c:v>
                </c:pt>
                <c:pt idx="59">
                  <c:v>0.99998630222079998</c:v>
                </c:pt>
                <c:pt idx="60">
                  <c:v>0.99957990081143699</c:v>
                </c:pt>
                <c:pt idx="61">
                  <c:v>0.99928623440049402</c:v>
                </c:pt>
                <c:pt idx="62">
                  <c:v>0.99849329666032205</c:v>
                </c:pt>
                <c:pt idx="63">
                  <c:v>0.99746965527387699</c:v>
                </c:pt>
                <c:pt idx="64">
                  <c:v>0.99678779457655298</c:v>
                </c:pt>
                <c:pt idx="65">
                  <c:v>0.99614918113092299</c:v>
                </c:pt>
                <c:pt idx="66">
                  <c:v>0.995701717487807</c:v>
                </c:pt>
                <c:pt idx="67">
                  <c:v>0.99525480299270297</c:v>
                </c:pt>
                <c:pt idx="68">
                  <c:v>0.99514531329251499</c:v>
                </c:pt>
                <c:pt idx="69">
                  <c:v>0.99544574426854804</c:v>
                </c:pt>
                <c:pt idx="70">
                  <c:v>0.99557984881872497</c:v>
                </c:pt>
                <c:pt idx="71">
                  <c:v>0.99610942247491396</c:v>
                </c:pt>
                <c:pt idx="72">
                  <c:v>0.99681713382580295</c:v>
                </c:pt>
                <c:pt idx="73">
                  <c:v>0.99735029507712902</c:v>
                </c:pt>
                <c:pt idx="74">
                  <c:v>0.99802636329302097</c:v>
                </c:pt>
                <c:pt idx="75">
                  <c:v>0.99867245699672902</c:v>
                </c:pt>
                <c:pt idx="76">
                  <c:v>0.99962480263906806</c:v>
                </c:pt>
                <c:pt idx="77">
                  <c:v>1.0008613845625001</c:v>
                </c:pt>
                <c:pt idx="78">
                  <c:v>1.0018278446073601</c:v>
                </c:pt>
                <c:pt idx="79">
                  <c:v>1.00297766200773</c:v>
                </c:pt>
                <c:pt idx="80">
                  <c:v>1.0043431299062699</c:v>
                </c:pt>
                <c:pt idx="81">
                  <c:v>1.0056299239926401</c:v>
                </c:pt>
                <c:pt idx="82">
                  <c:v>1.0069691187833101</c:v>
                </c:pt>
                <c:pt idx="83">
                  <c:v>1.0081727640549001</c:v>
                </c:pt>
                <c:pt idx="84">
                  <c:v>1.0092914107952999</c:v>
                </c:pt>
                <c:pt idx="85">
                  <c:v>1.00975747570949</c:v>
                </c:pt>
                <c:pt idx="86">
                  <c:v>1.01062364410036</c:v>
                </c:pt>
                <c:pt idx="87">
                  <c:v>1.0116494073398801</c:v>
                </c:pt>
                <c:pt idx="88">
                  <c:v>1.0122750725976</c:v>
                </c:pt>
                <c:pt idx="89">
                  <c:v>1.0125772103997399</c:v>
                </c:pt>
                <c:pt idx="90">
                  <c:v>1.0129737895900599</c:v>
                </c:pt>
                <c:pt idx="91">
                  <c:v>1.0128269353416499</c:v>
                </c:pt>
                <c:pt idx="92">
                  <c:v>1.01312071707235</c:v>
                </c:pt>
                <c:pt idx="93">
                  <c:v>1.0124409792337701</c:v>
                </c:pt>
                <c:pt idx="94">
                  <c:v>1.0119091772578801</c:v>
                </c:pt>
                <c:pt idx="95">
                  <c:v>1.0115694870388201</c:v>
                </c:pt>
                <c:pt idx="96">
                  <c:v>1.01108857547342</c:v>
                </c:pt>
                <c:pt idx="97">
                  <c:v>1.01011631725308</c:v>
                </c:pt>
                <c:pt idx="98">
                  <c:v>1.0091952138259199</c:v>
                </c:pt>
                <c:pt idx="99">
                  <c:v>1.00892169093258</c:v>
                </c:pt>
                <c:pt idx="100">
                  <c:v>1.00803996396389</c:v>
                </c:pt>
                <c:pt idx="101">
                  <c:v>1.0070153448343899</c:v>
                </c:pt>
                <c:pt idx="102">
                  <c:v>1.00621205159017</c:v>
                </c:pt>
                <c:pt idx="103">
                  <c:v>1.005506923367</c:v>
                </c:pt>
                <c:pt idx="104">
                  <c:v>1.0045997703763601</c:v>
                </c:pt>
                <c:pt idx="105">
                  <c:v>1.0043199994829899</c:v>
                </c:pt>
                <c:pt idx="106">
                  <c:v>1.00386986527438</c:v>
                </c:pt>
                <c:pt idx="107">
                  <c:v>1.00287473344758</c:v>
                </c:pt>
                <c:pt idx="108">
                  <c:v>1.002487903315</c:v>
                </c:pt>
                <c:pt idx="109">
                  <c:v>1.00153276111804</c:v>
                </c:pt>
                <c:pt idx="110">
                  <c:v>1.00076682198457</c:v>
                </c:pt>
                <c:pt idx="111">
                  <c:v>1.0001474906766801</c:v>
                </c:pt>
                <c:pt idx="112">
                  <c:v>0.999078002804761</c:v>
                </c:pt>
                <c:pt idx="113">
                  <c:v>0.99878179642047205</c:v>
                </c:pt>
                <c:pt idx="114">
                  <c:v>0.99882098755892001</c:v>
                </c:pt>
                <c:pt idx="115">
                  <c:v>1.0003659706821899</c:v>
                </c:pt>
                <c:pt idx="116">
                  <c:v>1.00185250294087</c:v>
                </c:pt>
                <c:pt idx="117">
                  <c:v>1.0023006898533899</c:v>
                </c:pt>
                <c:pt idx="118">
                  <c:v>1.00328220213763</c:v>
                </c:pt>
                <c:pt idx="119">
                  <c:v>1.0041020362561801</c:v>
                </c:pt>
                <c:pt idx="120">
                  <c:v>1.0083160514077001</c:v>
                </c:pt>
                <c:pt idx="121">
                  <c:v>1.0098579493583599</c:v>
                </c:pt>
                <c:pt idx="122">
                  <c:v>1.01062378111758</c:v>
                </c:pt>
                <c:pt idx="123">
                  <c:v>1.01128866677645</c:v>
                </c:pt>
                <c:pt idx="124">
                  <c:v>1.0122347419550299</c:v>
                </c:pt>
                <c:pt idx="125">
                  <c:v>1.01311667011258</c:v>
                </c:pt>
                <c:pt idx="126">
                  <c:v>1.0135498042781701</c:v>
                </c:pt>
                <c:pt idx="127">
                  <c:v>1.01405781938761</c:v>
                </c:pt>
                <c:pt idx="128">
                  <c:v>1.0142406949749101</c:v>
                </c:pt>
                <c:pt idx="129">
                  <c:v>1.01492902881683</c:v>
                </c:pt>
                <c:pt idx="130">
                  <c:v>1.0159428692794501</c:v>
                </c:pt>
                <c:pt idx="131">
                  <c:v>1.01691577135371</c:v>
                </c:pt>
                <c:pt idx="132">
                  <c:v>1.01742325184521</c:v>
                </c:pt>
                <c:pt idx="133">
                  <c:v>1.01811670333315</c:v>
                </c:pt>
                <c:pt idx="134">
                  <c:v>1.0182157865608199</c:v>
                </c:pt>
                <c:pt idx="135">
                  <c:v>1.01658636695906</c:v>
                </c:pt>
                <c:pt idx="136">
                  <c:v>1.0156575240319601</c:v>
                </c:pt>
                <c:pt idx="137">
                  <c:v>1.0157147071361501</c:v>
                </c:pt>
                <c:pt idx="138">
                  <c:v>1.0157433919101699</c:v>
                </c:pt>
                <c:pt idx="139">
                  <c:v>1.01517634742795</c:v>
                </c:pt>
                <c:pt idx="140">
                  <c:v>1.01178273138952</c:v>
                </c:pt>
                <c:pt idx="141">
                  <c:v>1.0112770034751299</c:v>
                </c:pt>
                <c:pt idx="142">
                  <c:v>1.01179471610817</c:v>
                </c:pt>
                <c:pt idx="143">
                  <c:v>1.01200151991569</c:v>
                </c:pt>
                <c:pt idx="144">
                  <c:v>1.0121913417933599</c:v>
                </c:pt>
                <c:pt idx="145">
                  <c:v>1.0123469885115</c:v>
                </c:pt>
                <c:pt idx="146">
                  <c:v>1.0129936890834399</c:v>
                </c:pt>
                <c:pt idx="147">
                  <c:v>1.0139571715924101</c:v>
                </c:pt>
                <c:pt idx="148">
                  <c:v>1.0144895494142401</c:v>
                </c:pt>
                <c:pt idx="149">
                  <c:v>1.0154721697350999</c:v>
                </c:pt>
                <c:pt idx="150">
                  <c:v>1.0152263411965501</c:v>
                </c:pt>
                <c:pt idx="151">
                  <c:v>1.0148792691161701</c:v>
                </c:pt>
                <c:pt idx="152">
                  <c:v>1.0148269652172199</c:v>
                </c:pt>
                <c:pt idx="153">
                  <c:v>1.0149792174502501</c:v>
                </c:pt>
                <c:pt idx="154">
                  <c:v>1.0153947003745001</c:v>
                </c:pt>
                <c:pt idx="155">
                  <c:v>1.01669404528739</c:v>
                </c:pt>
                <c:pt idx="156">
                  <c:v>1.0170196359610499</c:v>
                </c:pt>
                <c:pt idx="157">
                  <c:v>1.01743872919385</c:v>
                </c:pt>
                <c:pt idx="158">
                  <c:v>1.0176875398407801</c:v>
                </c:pt>
                <c:pt idx="159">
                  <c:v>1.01774561614031</c:v>
                </c:pt>
                <c:pt idx="160">
                  <c:v>1.01793375077432</c:v>
                </c:pt>
                <c:pt idx="161">
                  <c:v>1.01794181406086</c:v>
                </c:pt>
                <c:pt idx="162">
                  <c:v>1.0176037135501601</c:v>
                </c:pt>
                <c:pt idx="163">
                  <c:v>1.01775457722227</c:v>
                </c:pt>
                <c:pt idx="164">
                  <c:v>1.01797063070722</c:v>
                </c:pt>
                <c:pt idx="165">
                  <c:v>1.0180751748402901</c:v>
                </c:pt>
                <c:pt idx="166">
                  <c:v>1.01799611673477</c:v>
                </c:pt>
                <c:pt idx="167">
                  <c:v>1.0176186196966299</c:v>
                </c:pt>
                <c:pt idx="168">
                  <c:v>1.01759270116013</c:v>
                </c:pt>
                <c:pt idx="169">
                  <c:v>1.01700886027699</c:v>
                </c:pt>
                <c:pt idx="170">
                  <c:v>1.0172527948761401</c:v>
                </c:pt>
                <c:pt idx="171">
                  <c:v>1.0179575275616299</c:v>
                </c:pt>
                <c:pt idx="172">
                  <c:v>1.01867709193347</c:v>
                </c:pt>
                <c:pt idx="173">
                  <c:v>1.0188260815249</c:v>
                </c:pt>
                <c:pt idx="174">
                  <c:v>1.01857886732284</c:v>
                </c:pt>
                <c:pt idx="175">
                  <c:v>1.01781653040496</c:v>
                </c:pt>
                <c:pt idx="176">
                  <c:v>1.0171370815021901</c:v>
                </c:pt>
                <c:pt idx="177">
                  <c:v>1.01641939834757</c:v>
                </c:pt>
                <c:pt idx="178">
                  <c:v>1.0159173575090401</c:v>
                </c:pt>
                <c:pt idx="179">
                  <c:v>1.0150164566081401</c:v>
                </c:pt>
                <c:pt idx="180">
                  <c:v>1.01386453900198</c:v>
                </c:pt>
                <c:pt idx="181">
                  <c:v>1.01240589065302</c:v>
                </c:pt>
                <c:pt idx="182">
                  <c:v>1.0107856988567301</c:v>
                </c:pt>
                <c:pt idx="183">
                  <c:v>1.0100224966319</c:v>
                </c:pt>
                <c:pt idx="184">
                  <c:v>1.0090278475499299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12-4C4E-8E02-ED7DB9095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GLIBK* x 10 dma / GLIBA*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Sheet1!$AF$2:$AF$186</c:f>
              <c:numCache>
                <c:formatCode>0.0000%</c:formatCode>
                <c:ptCount val="185"/>
                <c:pt idx="10">
                  <c:v>-1.5568197110580899E-2</c:v>
                </c:pt>
                <c:pt idx="11">
                  <c:v>-9.4707285923843094E-3</c:v>
                </c:pt>
                <c:pt idx="12">
                  <c:v>-1.0095038592320599E-2</c:v>
                </c:pt>
                <c:pt idx="13">
                  <c:v>-1.78238149395412E-3</c:v>
                </c:pt>
                <c:pt idx="14">
                  <c:v>-4.1893677139471603E-3</c:v>
                </c:pt>
                <c:pt idx="15">
                  <c:v>-1.8451572179173301E-3</c:v>
                </c:pt>
                <c:pt idx="16">
                  <c:v>-2.8072599192174499E-3</c:v>
                </c:pt>
                <c:pt idx="17">
                  <c:v>3.0114093174848102E-3</c:v>
                </c:pt>
                <c:pt idx="18">
                  <c:v>-5.4397072148271398E-3</c:v>
                </c:pt>
                <c:pt idx="19">
                  <c:v>-1.88187997107795E-3</c:v>
                </c:pt>
                <c:pt idx="20">
                  <c:v>4.2255922616847201E-3</c:v>
                </c:pt>
                <c:pt idx="21">
                  <c:v>-4.1886131587343797E-3</c:v>
                </c:pt>
                <c:pt idx="22">
                  <c:v>-9.5654862163531396E-4</c:v>
                </c:pt>
                <c:pt idx="23">
                  <c:v>5.94448956926159E-3</c:v>
                </c:pt>
                <c:pt idx="24">
                  <c:v>7.03515238324903E-3</c:v>
                </c:pt>
                <c:pt idx="25">
                  <c:v>8.3749338749099199E-3</c:v>
                </c:pt>
                <c:pt idx="26">
                  <c:v>6.60714148453961E-4</c:v>
                </c:pt>
                <c:pt idx="27">
                  <c:v>9.1506493818003503E-3</c:v>
                </c:pt>
                <c:pt idx="28">
                  <c:v>3.1305722333431199E-3</c:v>
                </c:pt>
                <c:pt idx="29">
                  <c:v>1.0219414938602501E-2</c:v>
                </c:pt>
                <c:pt idx="30">
                  <c:v>7.9558840534372996E-3</c:v>
                </c:pt>
                <c:pt idx="31">
                  <c:v>1.3511862280449601E-2</c:v>
                </c:pt>
                <c:pt idx="32">
                  <c:v>-1.2151264591160899E-3</c:v>
                </c:pt>
                <c:pt idx="33">
                  <c:v>-3.8040568233392298E-3</c:v>
                </c:pt>
                <c:pt idx="34">
                  <c:v>-5.97987012118089E-3</c:v>
                </c:pt>
                <c:pt idx="35">
                  <c:v>-6.0780615557445E-3</c:v>
                </c:pt>
                <c:pt idx="36">
                  <c:v>-2.42597740939784E-3</c:v>
                </c:pt>
                <c:pt idx="37">
                  <c:v>-5.0803293021727597E-3</c:v>
                </c:pt>
                <c:pt idx="38">
                  <c:v>-7.62704160229297E-3</c:v>
                </c:pt>
                <c:pt idx="39">
                  <c:v>-8.14750322286578E-4</c:v>
                </c:pt>
                <c:pt idx="40">
                  <c:v>4.99248638922151E-3</c:v>
                </c:pt>
                <c:pt idx="41">
                  <c:v>5.6228737221762498E-3</c:v>
                </c:pt>
                <c:pt idx="42">
                  <c:v>-1.29029720500793E-3</c:v>
                </c:pt>
                <c:pt idx="43">
                  <c:v>-4.9721781721753198E-3</c:v>
                </c:pt>
                <c:pt idx="44">
                  <c:v>-1.92653956474321E-3</c:v>
                </c:pt>
                <c:pt idx="45">
                  <c:v>-6.8463111449362001E-3</c:v>
                </c:pt>
                <c:pt idx="46">
                  <c:v>-6.9764083797175104E-4</c:v>
                </c:pt>
                <c:pt idx="47">
                  <c:v>-2.15236152945381E-3</c:v>
                </c:pt>
                <c:pt idx="48">
                  <c:v>3.0540193868478002E-3</c:v>
                </c:pt>
                <c:pt idx="49">
                  <c:v>6.4370878978354E-3</c:v>
                </c:pt>
                <c:pt idx="50">
                  <c:v>9.7075741783736007E-3</c:v>
                </c:pt>
                <c:pt idx="51">
                  <c:v>9.2107354310036107E-3</c:v>
                </c:pt>
                <c:pt idx="52">
                  <c:v>1.09206871044419E-2</c:v>
                </c:pt>
                <c:pt idx="53">
                  <c:v>3.2438836068026601E-3</c:v>
                </c:pt>
                <c:pt idx="54">
                  <c:v>1.39657622056016E-3</c:v>
                </c:pt>
                <c:pt idx="55">
                  <c:v>9.1666764457860508E-3</c:v>
                </c:pt>
                <c:pt idx="56">
                  <c:v>6.9005997244371E-3</c:v>
                </c:pt>
                <c:pt idx="57">
                  <c:v>2.4793888009040001E-3</c:v>
                </c:pt>
                <c:pt idx="58">
                  <c:v>-1.5180327437393001E-3</c:v>
                </c:pt>
                <c:pt idx="59">
                  <c:v>1.5534739463638799E-3</c:v>
                </c:pt>
                <c:pt idx="60">
                  <c:v>5.0960728835902098E-3</c:v>
                </c:pt>
                <c:pt idx="61">
                  <c:v>2.8734026054036302E-3</c:v>
                </c:pt>
                <c:pt idx="62">
                  <c:v>4.9374688314605796E-3</c:v>
                </c:pt>
                <c:pt idx="63">
                  <c:v>5.2590045032788598E-3</c:v>
                </c:pt>
                <c:pt idx="64">
                  <c:v>-6.7849585868761403E-5</c:v>
                </c:pt>
                <c:pt idx="65">
                  <c:v>-6.6224515652977701E-3</c:v>
                </c:pt>
                <c:pt idx="66">
                  <c:v>-3.9571324042969799E-3</c:v>
                </c:pt>
                <c:pt idx="67">
                  <c:v>-5.1053972840488203E-3</c:v>
                </c:pt>
                <c:pt idx="68">
                  <c:v>-6.3609118029767696E-3</c:v>
                </c:pt>
                <c:pt idx="69">
                  <c:v>-1.0175578174440199E-2</c:v>
                </c:pt>
                <c:pt idx="70">
                  <c:v>-2.0654342753285001E-3</c:v>
                </c:pt>
                <c:pt idx="71">
                  <c:v>-9.37575805838263E-3</c:v>
                </c:pt>
                <c:pt idx="72">
                  <c:v>-9.5810102831555503E-3</c:v>
                </c:pt>
                <c:pt idx="73">
                  <c:v>-1.07178135384933E-2</c:v>
                </c:pt>
                <c:pt idx="74">
                  <c:v>-1.2268916798293899E-2</c:v>
                </c:pt>
                <c:pt idx="75">
                  <c:v>-1.30543277142262E-3</c:v>
                </c:pt>
                <c:pt idx="76">
                  <c:v>-7.0766733760221504E-3</c:v>
                </c:pt>
                <c:pt idx="77">
                  <c:v>-1.42354669277838E-2</c:v>
                </c:pt>
                <c:pt idx="78">
                  <c:v>-9.5123168294035491E-3</c:v>
                </c:pt>
                <c:pt idx="79">
                  <c:v>-7.9799854425877895E-3</c:v>
                </c:pt>
                <c:pt idx="80">
                  <c:v>-7.0863976513357097E-3</c:v>
                </c:pt>
                <c:pt idx="81">
                  <c:v>-5.2747807019529504E-3</c:v>
                </c:pt>
                <c:pt idx="82">
                  <c:v>-2.8017253856256201E-3</c:v>
                </c:pt>
                <c:pt idx="83">
                  <c:v>1.42658140976004E-3</c:v>
                </c:pt>
                <c:pt idx="84">
                  <c:v>-7.8339653100003204E-4</c:v>
                </c:pt>
                <c:pt idx="85">
                  <c:v>6.53659093646735E-3</c:v>
                </c:pt>
                <c:pt idx="86">
                  <c:v>8.9479385823996202E-4</c:v>
                </c:pt>
                <c:pt idx="87">
                  <c:v>-3.5419946773967001E-3</c:v>
                </c:pt>
                <c:pt idx="88">
                  <c:v>2.67994695131233E-3</c:v>
                </c:pt>
                <c:pt idx="89">
                  <c:v>4.6205618992771298E-3</c:v>
                </c:pt>
                <c:pt idx="90">
                  <c:v>9.1172041911428796E-3</c:v>
                </c:pt>
                <c:pt idx="91">
                  <c:v>1.0727436289850199E-2</c:v>
                </c:pt>
                <c:pt idx="92">
                  <c:v>-1.07199197999136E-3</c:v>
                </c:pt>
                <c:pt idx="93">
                  <c:v>1.50686991297912E-2</c:v>
                </c:pt>
                <c:pt idx="94">
                  <c:v>6.7659431776661101E-3</c:v>
                </c:pt>
                <c:pt idx="95">
                  <c:v>1.0682794999227301E-2</c:v>
                </c:pt>
                <c:pt idx="96">
                  <c:v>6.0837987275322199E-3</c:v>
                </c:pt>
                <c:pt idx="97">
                  <c:v>5.93983305116227E-3</c:v>
                </c:pt>
                <c:pt idx="98">
                  <c:v>5.7171645966099796E-3</c:v>
                </c:pt>
                <c:pt idx="99">
                  <c:v>-8.7102483341545394E-3</c:v>
                </c:pt>
                <c:pt idx="100">
                  <c:v>3.1327163897584701E-3</c:v>
                </c:pt>
                <c:pt idx="101">
                  <c:v>5.2704005994221401E-3</c:v>
                </c:pt>
                <c:pt idx="102">
                  <c:v>1.5966625350629701E-3</c:v>
                </c:pt>
                <c:pt idx="103">
                  <c:v>1.7317529622576601E-3</c:v>
                </c:pt>
                <c:pt idx="104">
                  <c:v>3.4819736165656E-3</c:v>
                </c:pt>
                <c:pt idx="105">
                  <c:v>-2.4056306589409901E-3</c:v>
                </c:pt>
                <c:pt idx="106">
                  <c:v>-4.57310051817308E-3</c:v>
                </c:pt>
                <c:pt idx="107">
                  <c:v>1.8599844200099999E-3</c:v>
                </c:pt>
                <c:pt idx="108">
                  <c:v>-4.0147242174118098E-3</c:v>
                </c:pt>
                <c:pt idx="109">
                  <c:v>1.04026974039199E-2</c:v>
                </c:pt>
                <c:pt idx="110">
                  <c:v>9.7987116126380305E-3</c:v>
                </c:pt>
                <c:pt idx="111">
                  <c:v>8.7012861282480397E-3</c:v>
                </c:pt>
                <c:pt idx="112">
                  <c:v>6.6019406484076198E-3</c:v>
                </c:pt>
                <c:pt idx="113">
                  <c:v>6.8269251849779099E-3</c:v>
                </c:pt>
                <c:pt idx="114">
                  <c:v>-7.4220942108479803E-3</c:v>
                </c:pt>
                <c:pt idx="115">
                  <c:v>-3.1333233651011802E-2</c:v>
                </c:pt>
                <c:pt idx="116">
                  <c:v>-3.1047647218393801E-2</c:v>
                </c:pt>
                <c:pt idx="117">
                  <c:v>-6.9976958579031703E-3</c:v>
                </c:pt>
                <c:pt idx="118">
                  <c:v>-1.48909797605014E-2</c:v>
                </c:pt>
                <c:pt idx="119">
                  <c:v>-2.32032361752323E-2</c:v>
                </c:pt>
                <c:pt idx="120">
                  <c:v>-7.26743327452639E-2</c:v>
                </c:pt>
                <c:pt idx="121">
                  <c:v>-1.0234857019920199E-2</c:v>
                </c:pt>
                <c:pt idx="122">
                  <c:v>5.5987035243768198E-3</c:v>
                </c:pt>
                <c:pt idx="123">
                  <c:v>1.1320465731015399E-2</c:v>
                </c:pt>
                <c:pt idx="124">
                  <c:v>9.3724703738920605E-3</c:v>
                </c:pt>
                <c:pt idx="125">
                  <c:v>6.62086346938685E-3</c:v>
                </c:pt>
                <c:pt idx="126">
                  <c:v>1.2006430361965701E-2</c:v>
                </c:pt>
                <c:pt idx="127">
                  <c:v>1.4839760790010099E-2</c:v>
                </c:pt>
                <c:pt idx="128">
                  <c:v>1.5566150371051199E-2</c:v>
                </c:pt>
                <c:pt idx="129">
                  <c:v>1.82531504036853E-2</c:v>
                </c:pt>
                <c:pt idx="130">
                  <c:v>1.09520129849502E-2</c:v>
                </c:pt>
                <c:pt idx="131">
                  <c:v>4.3973514551621301E-3</c:v>
                </c:pt>
                <c:pt idx="132">
                  <c:v>1.04605852476926E-2</c:v>
                </c:pt>
                <c:pt idx="133">
                  <c:v>6.4658548247784001E-3</c:v>
                </c:pt>
                <c:pt idx="134">
                  <c:v>4.2167193841790001E-3</c:v>
                </c:pt>
                <c:pt idx="135">
                  <c:v>1.2777302320957499E-2</c:v>
                </c:pt>
                <c:pt idx="136">
                  <c:v>-5.9529281151106603E-3</c:v>
                </c:pt>
                <c:pt idx="137">
                  <c:v>-3.9332668255535903E-3</c:v>
                </c:pt>
                <c:pt idx="138">
                  <c:v>-1.21567722442116E-2</c:v>
                </c:pt>
                <c:pt idx="139">
                  <c:v>-9.1249568595862893E-3</c:v>
                </c:pt>
                <c:pt idx="140">
                  <c:v>-7.5422500962668698E-3</c:v>
                </c:pt>
                <c:pt idx="141">
                  <c:v>-8.5578561257930608E-3</c:v>
                </c:pt>
                <c:pt idx="142">
                  <c:v>-1.56450581680606E-2</c:v>
                </c:pt>
                <c:pt idx="143">
                  <c:v>-3.8121836766629299E-3</c:v>
                </c:pt>
                <c:pt idx="144">
                  <c:v>-6.3467737958068501E-3</c:v>
                </c:pt>
                <c:pt idx="145">
                  <c:v>-8.2226352659871601E-3</c:v>
                </c:pt>
                <c:pt idx="146">
                  <c:v>-8.9598423204613302E-3</c:v>
                </c:pt>
                <c:pt idx="147">
                  <c:v>-9.2777710064454195E-3</c:v>
                </c:pt>
                <c:pt idx="148">
                  <c:v>1.6327308389480499E-3</c:v>
                </c:pt>
                <c:pt idx="149">
                  <c:v>-3.55835005857345E-3</c:v>
                </c:pt>
                <c:pt idx="150">
                  <c:v>1.6408569044879098E-2</c:v>
                </c:pt>
                <c:pt idx="151">
                  <c:v>1.8063351393549198E-2</c:v>
                </c:pt>
                <c:pt idx="152">
                  <c:v>1.8596680780785E-2</c:v>
                </c:pt>
                <c:pt idx="153">
                  <c:v>9.4196887388323901E-3</c:v>
                </c:pt>
                <c:pt idx="154">
                  <c:v>1.8680284313114001E-3</c:v>
                </c:pt>
                <c:pt idx="155">
                  <c:v>-6.6428423232525796E-3</c:v>
                </c:pt>
                <c:pt idx="156">
                  <c:v>-3.7632404779739501E-3</c:v>
                </c:pt>
                <c:pt idx="157">
                  <c:v>-4.2260187617242199E-3</c:v>
                </c:pt>
                <c:pt idx="158">
                  <c:v>-1.0135139789768301E-2</c:v>
                </c:pt>
                <c:pt idx="159">
                  <c:v>-3.9390249961176096E-3</c:v>
                </c:pt>
                <c:pt idx="160">
                  <c:v>-6.7401340059164696E-3</c:v>
                </c:pt>
                <c:pt idx="161">
                  <c:v>-3.3660158057780502E-3</c:v>
                </c:pt>
                <c:pt idx="162">
                  <c:v>-2.9884286636010999E-3</c:v>
                </c:pt>
                <c:pt idx="163">
                  <c:v>-1.30683164023389E-3</c:v>
                </c:pt>
                <c:pt idx="164">
                  <c:v>-5.1129230355859397E-3</c:v>
                </c:pt>
                <c:pt idx="165">
                  <c:v>-5.2015672284292398E-3</c:v>
                </c:pt>
                <c:pt idx="166">
                  <c:v>-4.7095651400836901E-3</c:v>
                </c:pt>
                <c:pt idx="167">
                  <c:v>6.8693591491049497E-7</c:v>
                </c:pt>
                <c:pt idx="168">
                  <c:v>2.49347280032478E-3</c:v>
                </c:pt>
                <c:pt idx="169">
                  <c:v>7.7133252822321804E-3</c:v>
                </c:pt>
                <c:pt idx="170">
                  <c:v>1.01258909242769E-2</c:v>
                </c:pt>
                <c:pt idx="171">
                  <c:v>2.7713438456319901E-3</c:v>
                </c:pt>
                <c:pt idx="172">
                  <c:v>4.3498162569237898E-3</c:v>
                </c:pt>
                <c:pt idx="173">
                  <c:v>8.5750129539491505E-3</c:v>
                </c:pt>
                <c:pt idx="174">
                  <c:v>8.8616256233456005E-3</c:v>
                </c:pt>
                <c:pt idx="175">
                  <c:v>9.5809282141584903E-3</c:v>
                </c:pt>
                <c:pt idx="176">
                  <c:v>9.1496351314533497E-3</c:v>
                </c:pt>
                <c:pt idx="177">
                  <c:v>8.2669108543056095E-3</c:v>
                </c:pt>
                <c:pt idx="178">
                  <c:v>-2.6495108062574001E-3</c:v>
                </c:pt>
                <c:pt idx="179">
                  <c:v>1.0608747394756601E-2</c:v>
                </c:pt>
                <c:pt idx="180">
                  <c:v>1.21614158579044E-2</c:v>
                </c:pt>
                <c:pt idx="181">
                  <c:v>1.9003684679023001E-2</c:v>
                </c:pt>
                <c:pt idx="182">
                  <c:v>1.8331044945292502E-2</c:v>
                </c:pt>
                <c:pt idx="183">
                  <c:v>-1.8440758350537401E-3</c:v>
                </c:pt>
                <c:pt idx="184">
                  <c:v>-2.93004901506849E-3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E-486C-9997-096C88590083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GLIBK* x 20 dma / GLIBA*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Sheet1!$AG$2:$AG$186</c:f>
              <c:numCache>
                <c:formatCode>0.0000%</c:formatCode>
                <c:ptCount val="185"/>
                <c:pt idx="20">
                  <c:v>-1.71156388864432E-3</c:v>
                </c:pt>
                <c:pt idx="21">
                  <c:v>-8.6331544447968301E-3</c:v>
                </c:pt>
                <c:pt idx="22">
                  <c:v>-4.6875933589367704E-3</c:v>
                </c:pt>
                <c:pt idx="23">
                  <c:v>3.17828164313978E-3</c:v>
                </c:pt>
                <c:pt idx="24">
                  <c:v>4.9286023919962799E-3</c:v>
                </c:pt>
                <c:pt idx="25">
                  <c:v>7.07885760397476E-3</c:v>
                </c:pt>
                <c:pt idx="26">
                  <c:v>2.6555427854485102E-4</c:v>
                </c:pt>
                <c:pt idx="27">
                  <c:v>9.7782861160789804E-3</c:v>
                </c:pt>
                <c:pt idx="28">
                  <c:v>4.3408579625253997E-3</c:v>
                </c:pt>
                <c:pt idx="29">
                  <c:v>1.23314072297448E-2</c:v>
                </c:pt>
                <c:pt idx="30">
                  <c:v>1.09618799126206E-2</c:v>
                </c:pt>
                <c:pt idx="31">
                  <c:v>1.66092905028065E-2</c:v>
                </c:pt>
                <c:pt idx="32">
                  <c:v>3.2631094804554E-3</c:v>
                </c:pt>
                <c:pt idx="33">
                  <c:v>1.02904763599025E-3</c:v>
                </c:pt>
                <c:pt idx="34">
                  <c:v>-1.2614302299518701E-3</c:v>
                </c:pt>
                <c:pt idx="35">
                  <c:v>-1.89194867437412E-3</c:v>
                </c:pt>
                <c:pt idx="36">
                  <c:v>1.07204162899187E-3</c:v>
                </c:pt>
                <c:pt idx="37">
                  <c:v>-1.5203260004546201E-3</c:v>
                </c:pt>
                <c:pt idx="38">
                  <c:v>-4.7937765242191902E-3</c:v>
                </c:pt>
                <c:pt idx="39">
                  <c:v>1.20929347159242E-3</c:v>
                </c:pt>
                <c:pt idx="40">
                  <c:v>5.8513665596147896E-3</c:v>
                </c:pt>
                <c:pt idx="41">
                  <c:v>5.9340677994644897E-3</c:v>
                </c:pt>
                <c:pt idx="42">
                  <c:v>-2.53210662484573E-3</c:v>
                </c:pt>
                <c:pt idx="43">
                  <c:v>-6.7776333355127599E-3</c:v>
                </c:pt>
                <c:pt idx="44">
                  <c:v>-3.9659203039025797E-3</c:v>
                </c:pt>
                <c:pt idx="45">
                  <c:v>-8.7067880031941308E-3</c:v>
                </c:pt>
                <c:pt idx="46">
                  <c:v>-2.4781392727471901E-3</c:v>
                </c:pt>
                <c:pt idx="47">
                  <c:v>-4.21981981047625E-3</c:v>
                </c:pt>
                <c:pt idx="48">
                  <c:v>1.28193562400897E-3</c:v>
                </c:pt>
                <c:pt idx="49">
                  <c:v>5.2772899607179896E-3</c:v>
                </c:pt>
                <c:pt idx="50">
                  <c:v>9.1413434295952601E-3</c:v>
                </c:pt>
                <c:pt idx="51">
                  <c:v>8.8840981490043505E-3</c:v>
                </c:pt>
                <c:pt idx="52">
                  <c:v>1.1099484477899E-2</c:v>
                </c:pt>
                <c:pt idx="53">
                  <c:v>4.1770177628140002E-3</c:v>
                </c:pt>
                <c:pt idx="54">
                  <c:v>3.07559508016946E-3</c:v>
                </c:pt>
                <c:pt idx="55">
                  <c:v>1.11824773684501E-2</c:v>
                </c:pt>
                <c:pt idx="56">
                  <c:v>1.01491573433215E-2</c:v>
                </c:pt>
                <c:pt idx="57">
                  <c:v>6.5274546317143902E-3</c:v>
                </c:pt>
                <c:pt idx="58">
                  <c:v>3.2322117976669798E-3</c:v>
                </c:pt>
                <c:pt idx="59">
                  <c:v>6.1925375333172997E-3</c:v>
                </c:pt>
                <c:pt idx="60">
                  <c:v>9.70822585017014E-3</c:v>
                </c:pt>
                <c:pt idx="61">
                  <c:v>7.5370503053626796E-3</c:v>
                </c:pt>
                <c:pt idx="62">
                  <c:v>9.6037468879744004E-3</c:v>
                </c:pt>
                <c:pt idx="63">
                  <c:v>9.4631975262592406E-3</c:v>
                </c:pt>
                <c:pt idx="64">
                  <c:v>4.1517102083289698E-3</c:v>
                </c:pt>
                <c:pt idx="65">
                  <c:v>-2.38830276238172E-3</c:v>
                </c:pt>
                <c:pt idx="66">
                  <c:v>-1.09962992247039E-3</c:v>
                </c:pt>
                <c:pt idx="67">
                  <c:v>-3.2128558255058001E-3</c:v>
                </c:pt>
                <c:pt idx="68">
                  <c:v>-5.2987905600831902E-3</c:v>
                </c:pt>
                <c:pt idx="69">
                  <c:v>-9.4967773609555897E-3</c:v>
                </c:pt>
                <c:pt idx="70">
                  <c:v>-2.1266234215762598E-3</c:v>
                </c:pt>
                <c:pt idx="71">
                  <c:v>-1.0029216993618899E-2</c:v>
                </c:pt>
                <c:pt idx="72">
                  <c:v>-1.1060949814188099E-2</c:v>
                </c:pt>
                <c:pt idx="73">
                  <c:v>-1.323554885875E-2</c:v>
                </c:pt>
                <c:pt idx="74">
                  <c:v>-1.6352065962607801E-2</c:v>
                </c:pt>
                <c:pt idx="75">
                  <c:v>-6.7515476511130802E-3</c:v>
                </c:pt>
                <c:pt idx="76">
                  <c:v>-1.2435135378391899E-2</c:v>
                </c:pt>
                <c:pt idx="77">
                  <c:v>-2.0026555162360501E-2</c:v>
                </c:pt>
                <c:pt idx="78">
                  <c:v>-1.6147621534569102E-2</c:v>
                </c:pt>
                <c:pt idx="79">
                  <c:v>-1.52975299463445E-2</c:v>
                </c:pt>
                <c:pt idx="80">
                  <c:v>-1.45076174692112E-2</c:v>
                </c:pt>
                <c:pt idx="81">
                  <c:v>-1.3319749646873101E-2</c:v>
                </c:pt>
                <c:pt idx="82">
                  <c:v>-1.0770081510742499E-2</c:v>
                </c:pt>
                <c:pt idx="83">
                  <c:v>-6.1310196823092704E-3</c:v>
                </c:pt>
                <c:pt idx="84">
                  <c:v>-7.4482977227513002E-3</c:v>
                </c:pt>
                <c:pt idx="85">
                  <c:v>7.9180114711250302E-4</c:v>
                </c:pt>
                <c:pt idx="86">
                  <c:v>-4.7532661991290604E-3</c:v>
                </c:pt>
                <c:pt idx="87">
                  <c:v>-8.6673789539323601E-3</c:v>
                </c:pt>
                <c:pt idx="88">
                  <c:v>-1.3891844626823301E-3</c:v>
                </c:pt>
                <c:pt idx="89">
                  <c:v>1.5732522243042601E-3</c:v>
                </c:pt>
                <c:pt idx="90">
                  <c:v>7.0173061386185499E-3</c:v>
                </c:pt>
                <c:pt idx="91">
                  <c:v>1.02160417452478E-2</c:v>
                </c:pt>
                <c:pt idx="92">
                  <c:v>-2.34166268624035E-4</c:v>
                </c:pt>
                <c:pt idx="93">
                  <c:v>1.6538016607608501E-2</c:v>
                </c:pt>
                <c:pt idx="94">
                  <c:v>9.2121353164015003E-3</c:v>
                </c:pt>
                <c:pt idx="95">
                  <c:v>1.3847257149218599E-2</c:v>
                </c:pt>
                <c:pt idx="96">
                  <c:v>9.9538853023609306E-3</c:v>
                </c:pt>
                <c:pt idx="97">
                  <c:v>1.0627147539136499E-2</c:v>
                </c:pt>
                <c:pt idx="98">
                  <c:v>1.13342571706579E-2</c:v>
                </c:pt>
                <c:pt idx="99">
                  <c:v>-2.57841878980889E-3</c:v>
                </c:pt>
                <c:pt idx="100">
                  <c:v>8.8821277873488806E-3</c:v>
                </c:pt>
                <c:pt idx="101">
                  <c:v>1.06935827104437E-2</c:v>
                </c:pt>
                <c:pt idx="102">
                  <c:v>6.5376453442615003E-3</c:v>
                </c:pt>
                <c:pt idx="103">
                  <c:v>7.1340128741395501E-3</c:v>
                </c:pt>
                <c:pt idx="104">
                  <c:v>7.9278705015194996E-3</c:v>
                </c:pt>
                <c:pt idx="105">
                  <c:v>1.6962612810484401E-3</c:v>
                </c:pt>
                <c:pt idx="106">
                  <c:v>-1.23973545834775E-3</c:v>
                </c:pt>
                <c:pt idx="107">
                  <c:v>4.3439761983861498E-3</c:v>
                </c:pt>
                <c:pt idx="108">
                  <c:v>-2.43444292631763E-3</c:v>
                </c:pt>
                <c:pt idx="109">
                  <c:v>1.0939537526017101E-2</c:v>
                </c:pt>
                <c:pt idx="110">
                  <c:v>1.14024080888037E-2</c:v>
                </c:pt>
                <c:pt idx="111">
                  <c:v>1.0522703072179901E-2</c:v>
                </c:pt>
                <c:pt idx="112">
                  <c:v>8.5079558094651904E-3</c:v>
                </c:pt>
                <c:pt idx="113">
                  <c:v>8.5428635044663501E-3</c:v>
                </c:pt>
                <c:pt idx="114">
                  <c:v>-5.1520879395091004E-3</c:v>
                </c:pt>
                <c:pt idx="115">
                  <c:v>-2.96634101434241E-2</c:v>
                </c:pt>
                <c:pt idx="116">
                  <c:v>-3.0435846866348201E-2</c:v>
                </c:pt>
                <c:pt idx="117">
                  <c:v>-7.4698571600995203E-3</c:v>
                </c:pt>
                <c:pt idx="118">
                  <c:v>-1.5897684591058499E-2</c:v>
                </c:pt>
                <c:pt idx="119">
                  <c:v>-2.45303266500068E-2</c:v>
                </c:pt>
                <c:pt idx="120">
                  <c:v>-7.6822805879311104E-2</c:v>
                </c:pt>
                <c:pt idx="121">
                  <c:v>-1.9485043928831498E-2</c:v>
                </c:pt>
                <c:pt idx="122">
                  <c:v>-5.83721401945652E-3</c:v>
                </c:pt>
                <c:pt idx="123">
                  <c:v>-1.71350983196924E-3</c:v>
                </c:pt>
                <c:pt idx="124">
                  <c:v>-5.1285303676951097E-3</c:v>
                </c:pt>
                <c:pt idx="125">
                  <c:v>-8.1671970850082792E-3</c:v>
                </c:pt>
                <c:pt idx="126">
                  <c:v>-1.0968788250768501E-3</c:v>
                </c:pt>
                <c:pt idx="127">
                  <c:v>3.82652793678226E-3</c:v>
                </c:pt>
                <c:pt idx="128">
                  <c:v>5.0233146692655597E-3</c:v>
                </c:pt>
                <c:pt idx="129">
                  <c:v>8.8069027955429997E-3</c:v>
                </c:pt>
                <c:pt idx="130">
                  <c:v>4.4184130833294999E-3</c:v>
                </c:pt>
                <c:pt idx="131">
                  <c:v>6.1150307446575201E-3</c:v>
                </c:pt>
                <c:pt idx="132">
                  <c:v>1.4951968975401001E-2</c:v>
                </c:pt>
                <c:pt idx="133">
                  <c:v>1.2834673631788999E-2</c:v>
                </c:pt>
                <c:pt idx="134">
                  <c:v>1.2049469486433701E-2</c:v>
                </c:pt>
                <c:pt idx="135">
                  <c:v>2.1753860794426198E-2</c:v>
                </c:pt>
                <c:pt idx="136">
                  <c:v>3.82616228451371E-3</c:v>
                </c:pt>
                <c:pt idx="137">
                  <c:v>5.08315283337386E-3</c:v>
                </c:pt>
                <c:pt idx="138">
                  <c:v>-3.1664146942924098E-3</c:v>
                </c:pt>
                <c:pt idx="139">
                  <c:v>-1.0952477536054E-3</c:v>
                </c:pt>
                <c:pt idx="140">
                  <c:v>-1.2124871870431799E-3</c:v>
                </c:pt>
                <c:pt idx="141">
                  <c:v>-6.16656976510909E-3</c:v>
                </c:pt>
                <c:pt idx="142">
                  <c:v>-1.4574897032655101E-2</c:v>
                </c:pt>
                <c:pt idx="143">
                  <c:v>-4.6328217488732998E-3</c:v>
                </c:pt>
                <c:pt idx="144">
                  <c:v>-8.1517813364859193E-3</c:v>
                </c:pt>
                <c:pt idx="145">
                  <c:v>-1.1255725273723999E-2</c:v>
                </c:pt>
                <c:pt idx="146">
                  <c:v>-1.4528816096967399E-2</c:v>
                </c:pt>
                <c:pt idx="147">
                  <c:v>-1.5627400724923399E-2</c:v>
                </c:pt>
                <c:pt idx="148">
                  <c:v>-5.5734776370064002E-3</c:v>
                </c:pt>
                <c:pt idx="149">
                  <c:v>-1.03070335777854E-2</c:v>
                </c:pt>
                <c:pt idx="150">
                  <c:v>9.8309997001583202E-3</c:v>
                </c:pt>
                <c:pt idx="151">
                  <c:v>1.23076565538112E-2</c:v>
                </c:pt>
                <c:pt idx="152">
                  <c:v>1.39920537196099E-2</c:v>
                </c:pt>
                <c:pt idx="153">
                  <c:v>7.2526134779500699E-3</c:v>
                </c:pt>
                <c:pt idx="154">
                  <c:v>7.3625422778886296E-4</c:v>
                </c:pt>
                <c:pt idx="155">
                  <c:v>-6.7695146245033101E-3</c:v>
                </c:pt>
                <c:pt idx="156">
                  <c:v>-2.4774608538102099E-3</c:v>
                </c:pt>
                <c:pt idx="157">
                  <c:v>-1.8371251182218099E-3</c:v>
                </c:pt>
                <c:pt idx="158">
                  <c:v>-6.3423527415135596E-3</c:v>
                </c:pt>
                <c:pt idx="159">
                  <c:v>-3.2468170935741E-4</c:v>
                </c:pt>
                <c:pt idx="160">
                  <c:v>-2.3799406842769299E-3</c:v>
                </c:pt>
                <c:pt idx="161">
                  <c:v>-2.63982403827159E-4</c:v>
                </c:pt>
                <c:pt idx="162">
                  <c:v>-1.3943652560732499E-3</c:v>
                </c:pt>
                <c:pt idx="163">
                  <c:v>-1.8718794966200399E-3</c:v>
                </c:pt>
                <c:pt idx="164">
                  <c:v>-6.7092653669185501E-3</c:v>
                </c:pt>
                <c:pt idx="165">
                  <c:v>-7.60277868046722E-3</c:v>
                </c:pt>
                <c:pt idx="166">
                  <c:v>-7.3459057382076597E-3</c:v>
                </c:pt>
                <c:pt idx="167">
                  <c:v>-3.3367100900982198E-3</c:v>
                </c:pt>
                <c:pt idx="168">
                  <c:v>-1.46041055769589E-3</c:v>
                </c:pt>
                <c:pt idx="169">
                  <c:v>4.20453170640675E-3</c:v>
                </c:pt>
                <c:pt idx="170">
                  <c:v>6.5030421630272901E-3</c:v>
                </c:pt>
                <c:pt idx="171">
                  <c:v>3.4439765195497799E-4</c:v>
                </c:pt>
                <c:pt idx="172">
                  <c:v>2.7429027548884302E-3</c:v>
                </c:pt>
                <c:pt idx="173">
                  <c:v>8.0860461233439908E-3</c:v>
                </c:pt>
                <c:pt idx="174">
                  <c:v>9.4060058918236204E-3</c:v>
                </c:pt>
                <c:pt idx="175">
                  <c:v>1.13880788222946E-2</c:v>
                </c:pt>
                <c:pt idx="176">
                  <c:v>1.20484391825751E-2</c:v>
                </c:pt>
                <c:pt idx="177">
                  <c:v>1.24660725958402E-2</c:v>
                </c:pt>
                <c:pt idx="178">
                  <c:v>2.5100100854958999E-3</c:v>
                </c:pt>
                <c:pt idx="179">
                  <c:v>1.57920048135286E-2</c:v>
                </c:pt>
                <c:pt idx="180">
                  <c:v>1.7776622614845299E-2</c:v>
                </c:pt>
                <c:pt idx="181">
                  <c:v>2.4800388949402299E-2</c:v>
                </c:pt>
                <c:pt idx="182">
                  <c:v>2.54570063222587E-2</c:v>
                </c:pt>
                <c:pt idx="183">
                  <c:v>6.4906536151222802E-3</c:v>
                </c:pt>
                <c:pt idx="184">
                  <c:v>5.27073646420749E-3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9E-486C-9997-096C88590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GLIBA*/GLIBK*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Sheet1!$Y$2:$Y$186</c:f>
              <c:numCache>
                <c:formatCode>_(* #,##0.0000_);_(* \(#,##0.0000\);_(* "-"??_);_(@_)</c:formatCode>
                <c:ptCount val="185"/>
                <c:pt idx="0">
                  <c:v>1.0078468940038601</c:v>
                </c:pt>
                <c:pt idx="1">
                  <c:v>1.0078468940038601</c:v>
                </c:pt>
                <c:pt idx="2">
                  <c:v>1.0078468940038601</c:v>
                </c:pt>
                <c:pt idx="3">
                  <c:v>1.0078468940038601</c:v>
                </c:pt>
                <c:pt idx="4">
                  <c:v>1.0078468940038601</c:v>
                </c:pt>
                <c:pt idx="5">
                  <c:v>1.0078468940038601</c:v>
                </c:pt>
                <c:pt idx="6">
                  <c:v>1.0078468940038601</c:v>
                </c:pt>
                <c:pt idx="7">
                  <c:v>1.0078468940038601</c:v>
                </c:pt>
                <c:pt idx="8">
                  <c:v>1.0078468940038601</c:v>
                </c:pt>
                <c:pt idx="9">
                  <c:v>1.0078468940038601</c:v>
                </c:pt>
                <c:pt idx="10">
                  <c:v>1.0078468940038601</c:v>
                </c:pt>
                <c:pt idx="11">
                  <c:v>1.0078468940038601</c:v>
                </c:pt>
                <c:pt idx="12">
                  <c:v>1.0078468940038601</c:v>
                </c:pt>
                <c:pt idx="13">
                  <c:v>1.0078468940038601</c:v>
                </c:pt>
                <c:pt idx="14">
                  <c:v>1.0078468940038601</c:v>
                </c:pt>
                <c:pt idx="15">
                  <c:v>1.0078468940038601</c:v>
                </c:pt>
                <c:pt idx="16">
                  <c:v>1.0078468940038601</c:v>
                </c:pt>
                <c:pt idx="17">
                  <c:v>1.0078468940038601</c:v>
                </c:pt>
                <c:pt idx="18">
                  <c:v>1.0078468940038601</c:v>
                </c:pt>
                <c:pt idx="19">
                  <c:v>1.0078468940038601</c:v>
                </c:pt>
                <c:pt idx="20">
                  <c:v>1.0078468940038601</c:v>
                </c:pt>
                <c:pt idx="21">
                  <c:v>1.0078468940038601</c:v>
                </c:pt>
                <c:pt idx="22">
                  <c:v>1.0078468940038601</c:v>
                </c:pt>
                <c:pt idx="23">
                  <c:v>1.0078468940038601</c:v>
                </c:pt>
                <c:pt idx="24">
                  <c:v>1.0078468940038601</c:v>
                </c:pt>
                <c:pt idx="25">
                  <c:v>1.0078468940038601</c:v>
                </c:pt>
                <c:pt idx="26">
                  <c:v>1.0078468940038601</c:v>
                </c:pt>
                <c:pt idx="27">
                  <c:v>1.0078468940038601</c:v>
                </c:pt>
                <c:pt idx="28">
                  <c:v>1.0078468940038601</c:v>
                </c:pt>
                <c:pt idx="29">
                  <c:v>1.0078468940038601</c:v>
                </c:pt>
                <c:pt idx="30">
                  <c:v>1.0078468940038601</c:v>
                </c:pt>
                <c:pt idx="31">
                  <c:v>1.0078468940038601</c:v>
                </c:pt>
                <c:pt idx="32">
                  <c:v>1.0078468940038601</c:v>
                </c:pt>
                <c:pt idx="33">
                  <c:v>1.0078468940038601</c:v>
                </c:pt>
                <c:pt idx="34">
                  <c:v>1.0078468940038601</c:v>
                </c:pt>
                <c:pt idx="35">
                  <c:v>1.0078468940038601</c:v>
                </c:pt>
                <c:pt idx="36">
                  <c:v>1.0078468940038601</c:v>
                </c:pt>
                <c:pt idx="37">
                  <c:v>1.0078468940038601</c:v>
                </c:pt>
                <c:pt idx="38">
                  <c:v>1.0078468940038601</c:v>
                </c:pt>
                <c:pt idx="39">
                  <c:v>1.0078468940038601</c:v>
                </c:pt>
                <c:pt idx="40">
                  <c:v>1.0078468940038601</c:v>
                </c:pt>
                <c:pt idx="41">
                  <c:v>1.0078468940038601</c:v>
                </c:pt>
                <c:pt idx="42">
                  <c:v>1.0078468940038601</c:v>
                </c:pt>
                <c:pt idx="43">
                  <c:v>1.0078468940038601</c:v>
                </c:pt>
                <c:pt idx="44">
                  <c:v>1.0078468940038601</c:v>
                </c:pt>
                <c:pt idx="45">
                  <c:v>1.0078468940038601</c:v>
                </c:pt>
                <c:pt idx="46">
                  <c:v>1.0078468940038601</c:v>
                </c:pt>
                <c:pt idx="47">
                  <c:v>1.0078468940038601</c:v>
                </c:pt>
                <c:pt idx="48">
                  <c:v>1.0078468940038601</c:v>
                </c:pt>
                <c:pt idx="49">
                  <c:v>1.0078468940038601</c:v>
                </c:pt>
                <c:pt idx="50">
                  <c:v>1.0078468940038601</c:v>
                </c:pt>
                <c:pt idx="51">
                  <c:v>1.0078468940038601</c:v>
                </c:pt>
                <c:pt idx="52">
                  <c:v>1.0078468940038601</c:v>
                </c:pt>
                <c:pt idx="53">
                  <c:v>1.0078468940038601</c:v>
                </c:pt>
                <c:pt idx="54">
                  <c:v>1.0078468940038601</c:v>
                </c:pt>
                <c:pt idx="55">
                  <c:v>1.0078468940038601</c:v>
                </c:pt>
                <c:pt idx="56">
                  <c:v>1.0078468940038601</c:v>
                </c:pt>
                <c:pt idx="57">
                  <c:v>1.0078468940038601</c:v>
                </c:pt>
                <c:pt idx="58">
                  <c:v>1.0078468940038601</c:v>
                </c:pt>
                <c:pt idx="59">
                  <c:v>1.0078468940038601</c:v>
                </c:pt>
                <c:pt idx="60">
                  <c:v>1.0078468940038601</c:v>
                </c:pt>
                <c:pt idx="61">
                  <c:v>1.0078468940038601</c:v>
                </c:pt>
                <c:pt idx="62">
                  <c:v>1.0078468940038601</c:v>
                </c:pt>
                <c:pt idx="63">
                  <c:v>1.0078468940038601</c:v>
                </c:pt>
                <c:pt idx="64">
                  <c:v>1.0078468940038601</c:v>
                </c:pt>
                <c:pt idx="65">
                  <c:v>1.0078468940038601</c:v>
                </c:pt>
                <c:pt idx="66">
                  <c:v>1.0078468940038601</c:v>
                </c:pt>
                <c:pt idx="67">
                  <c:v>1.0078468940038601</c:v>
                </c:pt>
                <c:pt idx="68">
                  <c:v>1.0078468940038601</c:v>
                </c:pt>
                <c:pt idx="69">
                  <c:v>1.0078468940038601</c:v>
                </c:pt>
                <c:pt idx="70">
                  <c:v>1.0078468940038601</c:v>
                </c:pt>
                <c:pt idx="71">
                  <c:v>1.0078468940038601</c:v>
                </c:pt>
                <c:pt idx="72">
                  <c:v>1.0078468940038601</c:v>
                </c:pt>
                <c:pt idx="73">
                  <c:v>1.0078468940038601</c:v>
                </c:pt>
                <c:pt idx="74">
                  <c:v>1.0078468940038601</c:v>
                </c:pt>
                <c:pt idx="75">
                  <c:v>1.0078468940038601</c:v>
                </c:pt>
                <c:pt idx="76">
                  <c:v>1.0078468940038601</c:v>
                </c:pt>
                <c:pt idx="77">
                  <c:v>1.0078468940038601</c:v>
                </c:pt>
                <c:pt idx="78">
                  <c:v>1.0078468940038601</c:v>
                </c:pt>
                <c:pt idx="79">
                  <c:v>1.0078468940038601</c:v>
                </c:pt>
                <c:pt idx="80">
                  <c:v>1.0078468940038601</c:v>
                </c:pt>
                <c:pt idx="81">
                  <c:v>1.0078468940038601</c:v>
                </c:pt>
                <c:pt idx="82">
                  <c:v>1.0078468940038601</c:v>
                </c:pt>
                <c:pt idx="83">
                  <c:v>1.0078468940038601</c:v>
                </c:pt>
                <c:pt idx="84">
                  <c:v>1.0078468940038601</c:v>
                </c:pt>
                <c:pt idx="85">
                  <c:v>1.0078468940038601</c:v>
                </c:pt>
                <c:pt idx="86">
                  <c:v>1.0078468940038601</c:v>
                </c:pt>
                <c:pt idx="87">
                  <c:v>1.0078468940038601</c:v>
                </c:pt>
                <c:pt idx="88">
                  <c:v>1.0078468940038601</c:v>
                </c:pt>
                <c:pt idx="89">
                  <c:v>1.0078468940038601</c:v>
                </c:pt>
                <c:pt idx="90">
                  <c:v>1.0078468940038601</c:v>
                </c:pt>
                <c:pt idx="91">
                  <c:v>1.0078468940038601</c:v>
                </c:pt>
                <c:pt idx="92">
                  <c:v>1.0078468940038601</c:v>
                </c:pt>
                <c:pt idx="93">
                  <c:v>1.0078468940038601</c:v>
                </c:pt>
                <c:pt idx="94">
                  <c:v>1.0078468940038601</c:v>
                </c:pt>
                <c:pt idx="95">
                  <c:v>1.0078468940038601</c:v>
                </c:pt>
                <c:pt idx="96">
                  <c:v>1.0078468940038601</c:v>
                </c:pt>
                <c:pt idx="97">
                  <c:v>1.0078468940038601</c:v>
                </c:pt>
                <c:pt idx="98">
                  <c:v>1.0078468940038601</c:v>
                </c:pt>
                <c:pt idx="99">
                  <c:v>1.0078468940038601</c:v>
                </c:pt>
                <c:pt idx="100">
                  <c:v>1.0078468940038601</c:v>
                </c:pt>
                <c:pt idx="101">
                  <c:v>1.0078468940038601</c:v>
                </c:pt>
                <c:pt idx="102">
                  <c:v>1.0078468940038601</c:v>
                </c:pt>
                <c:pt idx="103">
                  <c:v>1.0078468940038601</c:v>
                </c:pt>
                <c:pt idx="104">
                  <c:v>1.0078468940038601</c:v>
                </c:pt>
                <c:pt idx="105">
                  <c:v>1.0078468940038601</c:v>
                </c:pt>
                <c:pt idx="106">
                  <c:v>1.0078468940038601</c:v>
                </c:pt>
                <c:pt idx="107">
                  <c:v>1.0078468940038601</c:v>
                </c:pt>
                <c:pt idx="108">
                  <c:v>1.0078468940038601</c:v>
                </c:pt>
                <c:pt idx="109">
                  <c:v>1.0078468940038601</c:v>
                </c:pt>
                <c:pt idx="110">
                  <c:v>1.0078468940038601</c:v>
                </c:pt>
                <c:pt idx="111">
                  <c:v>1.0078468940038601</c:v>
                </c:pt>
                <c:pt idx="112">
                  <c:v>1.0078468940038601</c:v>
                </c:pt>
                <c:pt idx="113">
                  <c:v>1.0078468940038601</c:v>
                </c:pt>
                <c:pt idx="114">
                  <c:v>1.0078468940038601</c:v>
                </c:pt>
                <c:pt idx="115">
                  <c:v>1.0078468940038601</c:v>
                </c:pt>
                <c:pt idx="116">
                  <c:v>1.0078468940038601</c:v>
                </c:pt>
                <c:pt idx="117">
                  <c:v>1.0078468940038601</c:v>
                </c:pt>
                <c:pt idx="118">
                  <c:v>1.0078468940038601</c:v>
                </c:pt>
                <c:pt idx="119">
                  <c:v>1.0078468940038601</c:v>
                </c:pt>
                <c:pt idx="120">
                  <c:v>1.0078468940038601</c:v>
                </c:pt>
                <c:pt idx="121">
                  <c:v>1.0078468940038601</c:v>
                </c:pt>
                <c:pt idx="122">
                  <c:v>1.0078468940038601</c:v>
                </c:pt>
                <c:pt idx="123">
                  <c:v>1.0078468940038601</c:v>
                </c:pt>
                <c:pt idx="124">
                  <c:v>1.0078468940038601</c:v>
                </c:pt>
                <c:pt idx="125">
                  <c:v>1.0078468940038601</c:v>
                </c:pt>
                <c:pt idx="126">
                  <c:v>1.0078468940038601</c:v>
                </c:pt>
                <c:pt idx="127">
                  <c:v>1.0078468940038601</c:v>
                </c:pt>
                <c:pt idx="128">
                  <c:v>1.0078468940038601</c:v>
                </c:pt>
                <c:pt idx="129">
                  <c:v>1.0078468940038601</c:v>
                </c:pt>
                <c:pt idx="130">
                  <c:v>1.0078468940038601</c:v>
                </c:pt>
                <c:pt idx="131">
                  <c:v>1.0078468940038601</c:v>
                </c:pt>
                <c:pt idx="132">
                  <c:v>1.0078468940038601</c:v>
                </c:pt>
                <c:pt idx="133">
                  <c:v>1.0078468940038601</c:v>
                </c:pt>
                <c:pt idx="134">
                  <c:v>1.0078468940038601</c:v>
                </c:pt>
                <c:pt idx="135">
                  <c:v>1.0078468940038601</c:v>
                </c:pt>
                <c:pt idx="136">
                  <c:v>1.0078468940038601</c:v>
                </c:pt>
                <c:pt idx="137">
                  <c:v>1.0078468940038601</c:v>
                </c:pt>
                <c:pt idx="138">
                  <c:v>1.0078468940038601</c:v>
                </c:pt>
                <c:pt idx="139">
                  <c:v>1.0078468940038601</c:v>
                </c:pt>
                <c:pt idx="140">
                  <c:v>1.0078468940038601</c:v>
                </c:pt>
                <c:pt idx="141">
                  <c:v>1.0078468940038601</c:v>
                </c:pt>
                <c:pt idx="142">
                  <c:v>1.0078468940038601</c:v>
                </c:pt>
                <c:pt idx="143">
                  <c:v>1.0078468940038601</c:v>
                </c:pt>
                <c:pt idx="144">
                  <c:v>1.0078468940038601</c:v>
                </c:pt>
                <c:pt idx="145">
                  <c:v>1.0078468940038601</c:v>
                </c:pt>
                <c:pt idx="146">
                  <c:v>1.0078468940038601</c:v>
                </c:pt>
                <c:pt idx="147">
                  <c:v>1.0078468940038601</c:v>
                </c:pt>
                <c:pt idx="148">
                  <c:v>1.0078468940038601</c:v>
                </c:pt>
                <c:pt idx="149">
                  <c:v>1.0078468940038601</c:v>
                </c:pt>
                <c:pt idx="150">
                  <c:v>1.0078468940038601</c:v>
                </c:pt>
                <c:pt idx="151">
                  <c:v>1.0078468940038601</c:v>
                </c:pt>
                <c:pt idx="152">
                  <c:v>1.0078468940038601</c:v>
                </c:pt>
                <c:pt idx="153">
                  <c:v>1.0078468940038601</c:v>
                </c:pt>
                <c:pt idx="154">
                  <c:v>1.0078468940038601</c:v>
                </c:pt>
                <c:pt idx="155">
                  <c:v>1.0078468940038601</c:v>
                </c:pt>
                <c:pt idx="156">
                  <c:v>1.0078468940038601</c:v>
                </c:pt>
                <c:pt idx="157">
                  <c:v>1.0078468940038601</c:v>
                </c:pt>
                <c:pt idx="158">
                  <c:v>1.0078468940038601</c:v>
                </c:pt>
                <c:pt idx="159">
                  <c:v>1.0078468940038601</c:v>
                </c:pt>
                <c:pt idx="160">
                  <c:v>1.0078468940038601</c:v>
                </c:pt>
                <c:pt idx="161">
                  <c:v>1.0078468940038601</c:v>
                </c:pt>
                <c:pt idx="162">
                  <c:v>1.0078468940038601</c:v>
                </c:pt>
                <c:pt idx="163">
                  <c:v>1.0078468940038601</c:v>
                </c:pt>
                <c:pt idx="164">
                  <c:v>1.0078468940038601</c:v>
                </c:pt>
                <c:pt idx="165">
                  <c:v>1.0078468940038601</c:v>
                </c:pt>
                <c:pt idx="166">
                  <c:v>1.0078468940038601</c:v>
                </c:pt>
                <c:pt idx="167">
                  <c:v>1.0078468940038601</c:v>
                </c:pt>
                <c:pt idx="168">
                  <c:v>1.0078468940038601</c:v>
                </c:pt>
                <c:pt idx="169">
                  <c:v>1.0078468940038601</c:v>
                </c:pt>
                <c:pt idx="170">
                  <c:v>1.0078468940038601</c:v>
                </c:pt>
                <c:pt idx="171">
                  <c:v>1.0078468940038601</c:v>
                </c:pt>
                <c:pt idx="172">
                  <c:v>1.0078468940038601</c:v>
                </c:pt>
                <c:pt idx="173">
                  <c:v>1.0078468940038601</c:v>
                </c:pt>
                <c:pt idx="174">
                  <c:v>1.0078468940038601</c:v>
                </c:pt>
                <c:pt idx="175">
                  <c:v>1.0078468940038601</c:v>
                </c:pt>
                <c:pt idx="176">
                  <c:v>1.0078468940038601</c:v>
                </c:pt>
                <c:pt idx="177">
                  <c:v>1.0078468940038601</c:v>
                </c:pt>
                <c:pt idx="178">
                  <c:v>1.0078468940038601</c:v>
                </c:pt>
                <c:pt idx="179">
                  <c:v>1.0078468940038601</c:v>
                </c:pt>
                <c:pt idx="180">
                  <c:v>1.0078468940038601</c:v>
                </c:pt>
                <c:pt idx="181">
                  <c:v>1.0078468940038601</c:v>
                </c:pt>
                <c:pt idx="182">
                  <c:v>1.0078468940038601</c:v>
                </c:pt>
                <c:pt idx="183">
                  <c:v>1.0078468940038601</c:v>
                </c:pt>
                <c:pt idx="184">
                  <c:v>1.0078468940038601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3-422A-B07E-FDDC6BC29FA9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GLIBA*/GLIBK*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Sheet1!$Z$2:$Z$186</c:f>
              <c:numCache>
                <c:formatCode>_(* #,##0.0000_);_(* \(#,##0.0000\);_(* "-"??_);_(@_)</c:formatCode>
                <c:ptCount val="185"/>
                <c:pt idx="9">
                  <c:v>0.99925500942443901</c:v>
                </c:pt>
                <c:pt idx="10">
                  <c:v>1.0014681655706099</c:v>
                </c:pt>
                <c:pt idx="11">
                  <c:v>1.00326875960368</c:v>
                </c:pt>
                <c:pt idx="12">
                  <c:v>1.00504553408356</c:v>
                </c:pt>
                <c:pt idx="13">
                  <c:v>1.0061566210035899</c:v>
                </c:pt>
                <c:pt idx="14">
                  <c:v>1.0070879881686301</c:v>
                </c:pt>
                <c:pt idx="15">
                  <c:v>1.0081398501576999</c:v>
                </c:pt>
                <c:pt idx="16">
                  <c:v>1.0099332995321399</c:v>
                </c:pt>
                <c:pt idx="17">
                  <c:v>1.0103662152950601</c:v>
                </c:pt>
                <c:pt idx="18">
                  <c:v>1.0110719725700099</c:v>
                </c:pt>
                <c:pt idx="19">
                  <c:v>1.0112270602090601</c:v>
                </c:pt>
                <c:pt idx="20">
                  <c:v>1.0104300311071099</c:v>
                </c:pt>
                <c:pt idx="21">
                  <c:v>1.01079736647486</c:v>
                </c:pt>
                <c:pt idx="22">
                  <c:v>1.01062902802598</c:v>
                </c:pt>
                <c:pt idx="23">
                  <c:v>1.0104090949468101</c:v>
                </c:pt>
                <c:pt idx="24">
                  <c:v>1.0097035985367</c:v>
                </c:pt>
                <c:pt idx="25">
                  <c:v>1.00893707551861</c:v>
                </c:pt>
                <c:pt idx="26">
                  <c:v>1.0086667494978001</c:v>
                </c:pt>
                <c:pt idx="27">
                  <c:v>1.0079249838511799</c:v>
                </c:pt>
                <c:pt idx="28">
                  <c:v>1.0068147086915</c:v>
                </c:pt>
                <c:pt idx="29">
                  <c:v>1.0051748653639601</c:v>
                </c:pt>
                <c:pt idx="30">
                  <c:v>1.00419951496312</c:v>
                </c:pt>
                <c:pt idx="31">
                  <c:v>1.00180461083759</c:v>
                </c:pt>
                <c:pt idx="32">
                  <c:v>1.0009304072518801</c:v>
                </c:pt>
                <c:pt idx="33">
                  <c:v>1.0009410152006299</c:v>
                </c:pt>
                <c:pt idx="34">
                  <c:v>1.0013028937714501</c:v>
                </c:pt>
                <c:pt idx="35">
                  <c:v>1.0019153636040301</c:v>
                </c:pt>
                <c:pt idx="36">
                  <c:v>1.0015231897696</c:v>
                </c:pt>
                <c:pt idx="37">
                  <c:v>1.0022377206259701</c:v>
                </c:pt>
                <c:pt idx="38">
                  <c:v>1.0027513725088499</c:v>
                </c:pt>
                <c:pt idx="39">
                  <c:v>1.0034504375659501</c:v>
                </c:pt>
                <c:pt idx="40">
                  <c:v>1.00357480469442</c:v>
                </c:pt>
                <c:pt idx="41">
                  <c:v>1.00429735459142</c:v>
                </c:pt>
                <c:pt idx="42">
                  <c:v>1.0045544908920401</c:v>
                </c:pt>
                <c:pt idx="43">
                  <c:v>1.00503614071632</c:v>
                </c:pt>
                <c:pt idx="44">
                  <c:v>1.0050391211645799</c:v>
                </c:pt>
                <c:pt idx="45">
                  <c:v>1.00549273438692</c:v>
                </c:pt>
                <c:pt idx="46">
                  <c:v>1.00567728574475</c:v>
                </c:pt>
                <c:pt idx="47">
                  <c:v>1.00579928516242</c:v>
                </c:pt>
                <c:pt idx="48">
                  <c:v>1.0050814037423501</c:v>
                </c:pt>
                <c:pt idx="49">
                  <c:v>1.0045877725118399</c:v>
                </c:pt>
                <c:pt idx="50">
                  <c:v>1.0042307359589699</c:v>
                </c:pt>
                <c:pt idx="51">
                  <c:v>1.00393831942585</c:v>
                </c:pt>
                <c:pt idx="52">
                  <c:v>1.00268234326119</c:v>
                </c:pt>
                <c:pt idx="53">
                  <c:v>1.0016696707872399</c:v>
                </c:pt>
                <c:pt idx="54">
                  <c:v>1.00099941980758</c:v>
                </c:pt>
                <c:pt idx="55">
                  <c:v>0.99899161682063897</c:v>
                </c:pt>
                <c:pt idx="56">
                  <c:v>0.99758434223388603</c:v>
                </c:pt>
                <c:pt idx="57">
                  <c:v>0.99631132308551396</c:v>
                </c:pt>
                <c:pt idx="58">
                  <c:v>0.99582058952575703</c:v>
                </c:pt>
                <c:pt idx="59">
                  <c:v>0.99538483192975202</c:v>
                </c:pt>
                <c:pt idx="60">
                  <c:v>0.99492906566389605</c:v>
                </c:pt>
                <c:pt idx="61">
                  <c:v>0.99463414937513395</c:v>
                </c:pt>
                <c:pt idx="62">
                  <c:v>0.994304250059454</c:v>
                </c:pt>
                <c:pt idx="63">
                  <c:v>0.99326963976050897</c:v>
                </c:pt>
                <c:pt idx="64">
                  <c:v>0.99257616934552195</c:v>
                </c:pt>
                <c:pt idx="65">
                  <c:v>0.99330674544120701</c:v>
                </c:pt>
                <c:pt idx="66">
                  <c:v>0.99381909274172897</c:v>
                </c:pt>
                <c:pt idx="67">
                  <c:v>0.99419828289989098</c:v>
                </c:pt>
                <c:pt idx="68">
                  <c:v>0.99447003705927395</c:v>
                </c:pt>
                <c:pt idx="69">
                  <c:v>0.99550665660734405</c:v>
                </c:pt>
                <c:pt idx="70">
                  <c:v>0.99623063197355299</c:v>
                </c:pt>
                <c:pt idx="71">
                  <c:v>0.99758469557469398</c:v>
                </c:pt>
                <c:pt idx="72">
                  <c:v>0.99933001759215101</c:v>
                </c:pt>
                <c:pt idx="73">
                  <c:v>1.00143095039374</c:v>
                </c:pt>
                <c:pt idx="74">
                  <c:v>1.00347655724052</c:v>
                </c:pt>
                <c:pt idx="75">
                  <c:v>1.0040381685522499</c:v>
                </c:pt>
                <c:pt idx="76">
                  <c:v>1.0054305125364</c:v>
                </c:pt>
                <c:pt idx="77">
                  <c:v>1.00752448622512</c:v>
                </c:pt>
                <c:pt idx="78">
                  <c:v>1.0091856521554601</c:v>
                </c:pt>
                <c:pt idx="79">
                  <c:v>1.0104486674081099</c:v>
                </c:pt>
                <c:pt idx="80">
                  <c:v>1.01245562783898</c:v>
                </c:pt>
                <c:pt idx="81">
                  <c:v>1.01367515241059</c:v>
                </c:pt>
                <c:pt idx="82">
                  <c:v>1.0146082199744699</c:v>
                </c:pt>
                <c:pt idx="83">
                  <c:v>1.01491457771605</c:v>
                </c:pt>
                <c:pt idx="84">
                  <c:v>1.0151062643500799</c:v>
                </c:pt>
                <c:pt idx="85">
                  <c:v>1.0154767828667399</c:v>
                </c:pt>
                <c:pt idx="86">
                  <c:v>1.0158167756643299</c:v>
                </c:pt>
                <c:pt idx="87">
                  <c:v>1.0157743284546299</c:v>
                </c:pt>
                <c:pt idx="88">
                  <c:v>1.0153644930397401</c:v>
                </c:pt>
                <c:pt idx="89">
                  <c:v>1.0147057533913599</c:v>
                </c:pt>
                <c:pt idx="90">
                  <c:v>1.01349195134113</c:v>
                </c:pt>
                <c:pt idx="91">
                  <c:v>1.01197871827271</c:v>
                </c:pt>
                <c:pt idx="92">
                  <c:v>1.01163321417024</c:v>
                </c:pt>
                <c:pt idx="93">
                  <c:v>1.00996738075149</c:v>
                </c:pt>
                <c:pt idx="94">
                  <c:v>1.0087120901656901</c:v>
                </c:pt>
                <c:pt idx="95">
                  <c:v>1.0076621912109001</c:v>
                </c:pt>
                <c:pt idx="96">
                  <c:v>1.0063603752825101</c:v>
                </c:pt>
                <c:pt idx="97">
                  <c:v>1.00445830605153</c:v>
                </c:pt>
                <c:pt idx="98">
                  <c:v>1.0030259346121</c:v>
                </c:pt>
                <c:pt idx="99">
                  <c:v>1.0031376284737901</c:v>
                </c:pt>
                <c:pt idx="100">
                  <c:v>1.0025879765866501</c:v>
                </c:pt>
                <c:pt idx="101">
                  <c:v>1.00205197139608</c:v>
                </c:pt>
                <c:pt idx="102">
                  <c:v>1.0007908890101</c:v>
                </c:pt>
                <c:pt idx="103">
                  <c:v>1.00104646598251</c:v>
                </c:pt>
                <c:pt idx="104">
                  <c:v>1.00048745058703</c:v>
                </c:pt>
                <c:pt idx="105">
                  <c:v>1.0009778077550699</c:v>
                </c:pt>
                <c:pt idx="106">
                  <c:v>1.00137935526625</c:v>
                </c:pt>
                <c:pt idx="107">
                  <c:v>1.0012911608436399</c:v>
                </c:pt>
                <c:pt idx="108">
                  <c:v>1.0019498720179001</c:v>
                </c:pt>
                <c:pt idx="109">
                  <c:v>0.99992789376229196</c:v>
                </c:pt>
                <c:pt idx="110">
                  <c:v>0.99894566738249801</c:v>
                </c:pt>
                <c:pt idx="111">
                  <c:v>0.99824300995728799</c:v>
                </c:pt>
                <c:pt idx="112">
                  <c:v>0.99736511659941995</c:v>
                </c:pt>
                <c:pt idx="113">
                  <c:v>0.99651712685842597</c:v>
                </c:pt>
                <c:pt idx="114">
                  <c:v>0.99715452453080999</c:v>
                </c:pt>
                <c:pt idx="115">
                  <c:v>0.99975413360930698</c:v>
                </c:pt>
                <c:pt idx="116">
                  <c:v>1.0023256506154901</c:v>
                </c:pt>
                <c:pt idx="117">
                  <c:v>1.00331021886314</c:v>
                </c:pt>
                <c:pt idx="118">
                  <c:v>1.0046145322573701</c:v>
                </c:pt>
                <c:pt idx="119">
                  <c:v>1.00827617875007</c:v>
                </c:pt>
                <c:pt idx="120">
                  <c:v>1.0176864354329</c:v>
                </c:pt>
                <c:pt idx="121">
                  <c:v>1.02147288875943</c:v>
                </c:pt>
                <c:pt idx="122">
                  <c:v>1.02388244563575</c:v>
                </c:pt>
                <c:pt idx="123">
                  <c:v>1.0260602066944799</c:v>
                </c:pt>
                <c:pt idx="124">
                  <c:v>1.0273149593792501</c:v>
                </c:pt>
                <c:pt idx="125">
                  <c:v>1.0264792066158599</c:v>
                </c:pt>
                <c:pt idx="126">
                  <c:v>1.0247739579408399</c:v>
                </c:pt>
                <c:pt idx="127">
                  <c:v>1.02480541991208</c:v>
                </c:pt>
                <c:pt idx="128">
                  <c:v>1.0238668576924601</c:v>
                </c:pt>
                <c:pt idx="129">
                  <c:v>1.02158187888358</c:v>
                </c:pt>
                <c:pt idx="130">
                  <c:v>1.0141993031259999</c:v>
                </c:pt>
                <c:pt idx="131">
                  <c:v>1.0123586539480001</c:v>
                </c:pt>
                <c:pt idx="132">
                  <c:v>1.0109640580546699</c:v>
                </c:pt>
                <c:pt idx="133">
                  <c:v>1.01017319997182</c:v>
                </c:pt>
                <c:pt idx="134">
                  <c:v>1.0091166137423799</c:v>
                </c:pt>
                <c:pt idx="135">
                  <c:v>1.0066935273022599</c:v>
                </c:pt>
                <c:pt idx="136">
                  <c:v>1.00654109012308</c:v>
                </c:pt>
                <c:pt idx="137">
                  <c:v>1.00662399436021</c:v>
                </c:pt>
                <c:pt idx="138">
                  <c:v>1.00761992612788</c:v>
                </c:pt>
                <c:pt idx="139">
                  <c:v>1.0087708159723201</c:v>
                </c:pt>
                <c:pt idx="140">
                  <c:v>1.0093661596530299</c:v>
                </c:pt>
                <c:pt idx="141">
                  <c:v>1.01019535300226</c:v>
                </c:pt>
                <c:pt idx="142">
                  <c:v>1.01262537416166</c:v>
                </c:pt>
                <c:pt idx="143">
                  <c:v>1.01382983985956</c:v>
                </c:pt>
                <c:pt idx="144">
                  <c:v>1.0152660698443401</c:v>
                </c:pt>
                <c:pt idx="145">
                  <c:v>1.01800044972075</c:v>
                </c:pt>
                <c:pt idx="146">
                  <c:v>1.01944628804381</c:v>
                </c:pt>
                <c:pt idx="147">
                  <c:v>1.0212903488245999</c:v>
                </c:pt>
                <c:pt idx="148">
                  <c:v>1.0213591727006099</c:v>
                </c:pt>
                <c:pt idx="149">
                  <c:v>1.0221735234978799</c:v>
                </c:pt>
                <c:pt idx="150">
                  <c:v>1.0210865227400701</c:v>
                </c:pt>
                <c:pt idx="151">
                  <c:v>1.0195631852300899</c:v>
                </c:pt>
                <c:pt idx="152">
                  <c:v>1.0170285562727801</c:v>
                </c:pt>
                <c:pt idx="153">
                  <c:v>1.01612859504094</c:v>
                </c:pt>
                <c:pt idx="154">
                  <c:v>1.0155233309046701</c:v>
                </c:pt>
                <c:pt idx="155">
                  <c:v>1.0153876408540401</c:v>
                </c:pt>
                <c:pt idx="156">
                  <c:v>1.0145929838782899</c:v>
                </c:pt>
                <c:pt idx="157">
                  <c:v>1.0135871095630999</c:v>
                </c:pt>
                <c:pt idx="158">
                  <c:v>1.01401590698095</c:v>
                </c:pt>
                <c:pt idx="159">
                  <c:v>1.0133177087827501</c:v>
                </c:pt>
                <c:pt idx="160">
                  <c:v>1.01478097880858</c:v>
                </c:pt>
                <c:pt idx="161">
                  <c:v>1.0163204428916299</c:v>
                </c:pt>
                <c:pt idx="162">
                  <c:v>1.0181788708275401</c:v>
                </c:pt>
                <c:pt idx="163">
                  <c:v>1.0193805594036001</c:v>
                </c:pt>
                <c:pt idx="164">
                  <c:v>1.02041793050978</c:v>
                </c:pt>
                <c:pt idx="165">
                  <c:v>1.0207627088265501</c:v>
                </c:pt>
                <c:pt idx="166">
                  <c:v>1.02139924959126</c:v>
                </c:pt>
                <c:pt idx="167">
                  <c:v>1.0216501298301499</c:v>
                </c:pt>
                <c:pt idx="168">
                  <c:v>1.0211694953393</c:v>
                </c:pt>
                <c:pt idx="169">
                  <c:v>1.0207000117712299</c:v>
                </c:pt>
                <c:pt idx="170">
                  <c:v>1.0197246109437099</c:v>
                </c:pt>
                <c:pt idx="171">
                  <c:v>1.01959461223162</c:v>
                </c:pt>
                <c:pt idx="172">
                  <c:v>1.0191753130393899</c:v>
                </c:pt>
                <c:pt idx="173">
                  <c:v>1.0182716036462101</c:v>
                </c:pt>
                <c:pt idx="174">
                  <c:v>1.0167398041358999</c:v>
                </c:pt>
                <c:pt idx="175">
                  <c:v>1.0148703519833699</c:v>
                </c:pt>
                <c:pt idx="176">
                  <c:v>1.0128749134131201</c:v>
                </c:pt>
                <c:pt idx="177">
                  <c:v>1.0111886668649801</c:v>
                </c:pt>
                <c:pt idx="178">
                  <c:v>1.01066521967879</c:v>
                </c:pt>
                <c:pt idx="179">
                  <c:v>1.00933290144506</c:v>
                </c:pt>
                <c:pt idx="180">
                  <c:v>1.0080044670602499</c:v>
                </c:pt>
                <c:pt idx="181">
                  <c:v>1.00521716907442</c:v>
                </c:pt>
                <c:pt idx="182">
                  <c:v>1.00239608467408</c:v>
                </c:pt>
                <c:pt idx="183">
                  <c:v>1.00177338961759</c:v>
                </c:pt>
                <c:pt idx="184">
                  <c:v>1.0013158909639599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3-422A-B07E-FDDC6BC29FA9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GLIBA*/GLIBK*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Sheet1!$AA$2:$AA$186</c:f>
              <c:numCache>
                <c:formatCode>_(* #,##0.0000_);_(* \(#,##0.0000\);_(* "-"??_);_(@_)</c:formatCode>
                <c:ptCount val="185"/>
                <c:pt idx="19">
                  <c:v>1.00524103481675</c:v>
                </c:pt>
                <c:pt idx="20">
                  <c:v>1.0059490983388599</c:v>
                </c:pt>
                <c:pt idx="21">
                  <c:v>1.0070330630392701</c:v>
                </c:pt>
                <c:pt idx="22">
                  <c:v>1.00783728105477</c:v>
                </c:pt>
                <c:pt idx="23">
                  <c:v>1.0082828579751999</c:v>
                </c:pt>
                <c:pt idx="24">
                  <c:v>1.0083957933526599</c:v>
                </c:pt>
                <c:pt idx="25">
                  <c:v>1.00853846283816</c:v>
                </c:pt>
                <c:pt idx="26">
                  <c:v>1.0093000245149699</c:v>
                </c:pt>
                <c:pt idx="27">
                  <c:v>1.00914559957312</c:v>
                </c:pt>
                <c:pt idx="28">
                  <c:v>1.00894334063075</c:v>
                </c:pt>
                <c:pt idx="29">
                  <c:v>1.0082009627865101</c:v>
                </c:pt>
                <c:pt idx="30">
                  <c:v>1.00731477303512</c:v>
                </c:pt>
                <c:pt idx="31">
                  <c:v>1.00630098865623</c:v>
                </c:pt>
                <c:pt idx="32">
                  <c:v>1.00577971763893</c:v>
                </c:pt>
                <c:pt idx="33">
                  <c:v>1.0056750550737199</c:v>
                </c:pt>
                <c:pt idx="34">
                  <c:v>1.0055032461540701</c:v>
                </c:pt>
                <c:pt idx="35">
                  <c:v>1.0054262195613199</c:v>
                </c:pt>
                <c:pt idx="36">
                  <c:v>1.0050949696336999</c:v>
                </c:pt>
                <c:pt idx="37">
                  <c:v>1.00508135223857</c:v>
                </c:pt>
                <c:pt idx="38">
                  <c:v>1.0047830406001801</c:v>
                </c:pt>
                <c:pt idx="39">
                  <c:v>1.0043126514649601</c:v>
                </c:pt>
                <c:pt idx="40">
                  <c:v>1.00388715982877</c:v>
                </c:pt>
                <c:pt idx="41">
                  <c:v>1.00305098271451</c:v>
                </c:pt>
                <c:pt idx="42">
                  <c:v>1.0027424490719601</c:v>
                </c:pt>
                <c:pt idx="43">
                  <c:v>1.00298857795848</c:v>
                </c:pt>
                <c:pt idx="44">
                  <c:v>1.00317100746801</c:v>
                </c:pt>
                <c:pt idx="45">
                  <c:v>1.00370404899548</c:v>
                </c:pt>
                <c:pt idx="46">
                  <c:v>1.00360023775717</c:v>
                </c:pt>
                <c:pt idx="47">
                  <c:v>1.0040185028941999</c:v>
                </c:pt>
                <c:pt idx="48">
                  <c:v>1.0039163881255999</c:v>
                </c:pt>
                <c:pt idx="49">
                  <c:v>1.0040191050389</c:v>
                </c:pt>
                <c:pt idx="50">
                  <c:v>1.0039027703267001</c:v>
                </c:pt>
                <c:pt idx="51">
                  <c:v>1.0041178370086301</c:v>
                </c:pt>
                <c:pt idx="52">
                  <c:v>1.00361841707661</c:v>
                </c:pt>
                <c:pt idx="53">
                  <c:v>1.00335290575178</c:v>
                </c:pt>
                <c:pt idx="54">
                  <c:v>1.0030192704860801</c:v>
                </c:pt>
                <c:pt idx="55">
                  <c:v>1.00224217560378</c:v>
                </c:pt>
                <c:pt idx="56">
                  <c:v>1.00163081398932</c:v>
                </c:pt>
                <c:pt idx="57">
                  <c:v>1.00105530412397</c:v>
                </c:pt>
                <c:pt idx="58">
                  <c:v>1.00045099663405</c:v>
                </c:pt>
                <c:pt idx="59">
                  <c:v>0.99998630222079998</c:v>
                </c:pt>
                <c:pt idx="60">
                  <c:v>0.99957990081143699</c:v>
                </c:pt>
                <c:pt idx="61">
                  <c:v>0.99928623440049402</c:v>
                </c:pt>
                <c:pt idx="62">
                  <c:v>0.99849329666032205</c:v>
                </c:pt>
                <c:pt idx="63">
                  <c:v>0.99746965527387699</c:v>
                </c:pt>
                <c:pt idx="64">
                  <c:v>0.99678779457655298</c:v>
                </c:pt>
                <c:pt idx="65">
                  <c:v>0.99614918113092299</c:v>
                </c:pt>
                <c:pt idx="66">
                  <c:v>0.995701717487807</c:v>
                </c:pt>
                <c:pt idx="67">
                  <c:v>0.99525480299270297</c:v>
                </c:pt>
                <c:pt idx="68">
                  <c:v>0.99514531329251499</c:v>
                </c:pt>
                <c:pt idx="69">
                  <c:v>0.99544574426854804</c:v>
                </c:pt>
                <c:pt idx="70">
                  <c:v>0.99557984881872497</c:v>
                </c:pt>
                <c:pt idx="71">
                  <c:v>0.99610942247491396</c:v>
                </c:pt>
                <c:pt idx="72">
                  <c:v>0.99681713382580295</c:v>
                </c:pt>
                <c:pt idx="73">
                  <c:v>0.99735029507712902</c:v>
                </c:pt>
                <c:pt idx="74">
                  <c:v>0.99802636329302097</c:v>
                </c:pt>
                <c:pt idx="75">
                  <c:v>0.99867245699672902</c:v>
                </c:pt>
                <c:pt idx="76">
                  <c:v>0.99962480263906806</c:v>
                </c:pt>
                <c:pt idx="77">
                  <c:v>1.0008613845625001</c:v>
                </c:pt>
                <c:pt idx="78">
                  <c:v>1.0018278446073601</c:v>
                </c:pt>
                <c:pt idx="79">
                  <c:v>1.00297766200773</c:v>
                </c:pt>
                <c:pt idx="80">
                  <c:v>1.0043431299062699</c:v>
                </c:pt>
                <c:pt idx="81">
                  <c:v>1.0056299239926401</c:v>
                </c:pt>
                <c:pt idx="82">
                  <c:v>1.0069691187833101</c:v>
                </c:pt>
                <c:pt idx="83">
                  <c:v>1.0081727640549001</c:v>
                </c:pt>
                <c:pt idx="84">
                  <c:v>1.0092914107952999</c:v>
                </c:pt>
                <c:pt idx="85">
                  <c:v>1.00975747570949</c:v>
                </c:pt>
                <c:pt idx="86">
                  <c:v>1.01062364410036</c:v>
                </c:pt>
                <c:pt idx="87">
                  <c:v>1.0116494073398801</c:v>
                </c:pt>
                <c:pt idx="88">
                  <c:v>1.0122750725976</c:v>
                </c:pt>
                <c:pt idx="89">
                  <c:v>1.0125772103997399</c:v>
                </c:pt>
                <c:pt idx="90">
                  <c:v>1.0129737895900599</c:v>
                </c:pt>
                <c:pt idx="91">
                  <c:v>1.0128269353416499</c:v>
                </c:pt>
                <c:pt idx="92">
                  <c:v>1.01312071707235</c:v>
                </c:pt>
                <c:pt idx="93">
                  <c:v>1.0124409792337701</c:v>
                </c:pt>
                <c:pt idx="94">
                  <c:v>1.0119091772578801</c:v>
                </c:pt>
                <c:pt idx="95">
                  <c:v>1.0115694870388201</c:v>
                </c:pt>
                <c:pt idx="96">
                  <c:v>1.01108857547342</c:v>
                </c:pt>
                <c:pt idx="97">
                  <c:v>1.01011631725308</c:v>
                </c:pt>
                <c:pt idx="98">
                  <c:v>1.0091952138259199</c:v>
                </c:pt>
                <c:pt idx="99">
                  <c:v>1.00892169093258</c:v>
                </c:pt>
                <c:pt idx="100">
                  <c:v>1.00803996396389</c:v>
                </c:pt>
                <c:pt idx="101">
                  <c:v>1.0070153448343899</c:v>
                </c:pt>
                <c:pt idx="102">
                  <c:v>1.00621205159017</c:v>
                </c:pt>
                <c:pt idx="103">
                  <c:v>1.005506923367</c:v>
                </c:pt>
                <c:pt idx="104">
                  <c:v>1.0045997703763601</c:v>
                </c:pt>
                <c:pt idx="105">
                  <c:v>1.0043199994829899</c:v>
                </c:pt>
                <c:pt idx="106">
                  <c:v>1.00386986527438</c:v>
                </c:pt>
                <c:pt idx="107">
                  <c:v>1.00287473344758</c:v>
                </c:pt>
                <c:pt idx="108">
                  <c:v>1.002487903315</c:v>
                </c:pt>
                <c:pt idx="109">
                  <c:v>1.00153276111804</c:v>
                </c:pt>
                <c:pt idx="110">
                  <c:v>1.00076682198457</c:v>
                </c:pt>
                <c:pt idx="111">
                  <c:v>1.0001474906766801</c:v>
                </c:pt>
                <c:pt idx="112">
                  <c:v>0.999078002804761</c:v>
                </c:pt>
                <c:pt idx="113">
                  <c:v>0.99878179642047205</c:v>
                </c:pt>
                <c:pt idx="114">
                  <c:v>0.99882098755892001</c:v>
                </c:pt>
                <c:pt idx="115">
                  <c:v>1.0003659706821899</c:v>
                </c:pt>
                <c:pt idx="116">
                  <c:v>1.00185250294087</c:v>
                </c:pt>
                <c:pt idx="117">
                  <c:v>1.0023006898533899</c:v>
                </c:pt>
                <c:pt idx="118">
                  <c:v>1.00328220213763</c:v>
                </c:pt>
                <c:pt idx="119">
                  <c:v>1.0041020362561801</c:v>
                </c:pt>
                <c:pt idx="120">
                  <c:v>1.0083160514077001</c:v>
                </c:pt>
                <c:pt idx="121">
                  <c:v>1.0098579493583599</c:v>
                </c:pt>
                <c:pt idx="122">
                  <c:v>1.01062378111758</c:v>
                </c:pt>
                <c:pt idx="123">
                  <c:v>1.01128866677645</c:v>
                </c:pt>
                <c:pt idx="124">
                  <c:v>1.0122347419550299</c:v>
                </c:pt>
                <c:pt idx="125">
                  <c:v>1.01311667011258</c:v>
                </c:pt>
                <c:pt idx="126">
                  <c:v>1.0135498042781701</c:v>
                </c:pt>
                <c:pt idx="127">
                  <c:v>1.01405781938761</c:v>
                </c:pt>
                <c:pt idx="128">
                  <c:v>1.0142406949749101</c:v>
                </c:pt>
                <c:pt idx="129">
                  <c:v>1.01492902881683</c:v>
                </c:pt>
                <c:pt idx="130">
                  <c:v>1.0159428692794501</c:v>
                </c:pt>
                <c:pt idx="131">
                  <c:v>1.01691577135371</c:v>
                </c:pt>
                <c:pt idx="132">
                  <c:v>1.01742325184521</c:v>
                </c:pt>
                <c:pt idx="133">
                  <c:v>1.01811670333315</c:v>
                </c:pt>
                <c:pt idx="134">
                  <c:v>1.0182157865608199</c:v>
                </c:pt>
                <c:pt idx="135">
                  <c:v>1.01658636695906</c:v>
                </c:pt>
                <c:pt idx="136">
                  <c:v>1.0156575240319601</c:v>
                </c:pt>
                <c:pt idx="137">
                  <c:v>1.0157147071361501</c:v>
                </c:pt>
                <c:pt idx="138">
                  <c:v>1.0157433919101699</c:v>
                </c:pt>
                <c:pt idx="139">
                  <c:v>1.01517634742795</c:v>
                </c:pt>
                <c:pt idx="140">
                  <c:v>1.01178273138952</c:v>
                </c:pt>
                <c:pt idx="141">
                  <c:v>1.0112770034751299</c:v>
                </c:pt>
                <c:pt idx="142">
                  <c:v>1.01179471610817</c:v>
                </c:pt>
                <c:pt idx="143">
                  <c:v>1.01200151991569</c:v>
                </c:pt>
                <c:pt idx="144">
                  <c:v>1.0121913417933599</c:v>
                </c:pt>
                <c:pt idx="145">
                  <c:v>1.0123469885115</c:v>
                </c:pt>
                <c:pt idx="146">
                  <c:v>1.0129936890834399</c:v>
                </c:pt>
                <c:pt idx="147">
                  <c:v>1.0139571715924101</c:v>
                </c:pt>
                <c:pt idx="148">
                  <c:v>1.0144895494142401</c:v>
                </c:pt>
                <c:pt idx="149">
                  <c:v>1.0154721697350999</c:v>
                </c:pt>
                <c:pt idx="150">
                  <c:v>1.0152263411965501</c:v>
                </c:pt>
                <c:pt idx="151">
                  <c:v>1.0148792691161701</c:v>
                </c:pt>
                <c:pt idx="152">
                  <c:v>1.0148269652172199</c:v>
                </c:pt>
                <c:pt idx="153">
                  <c:v>1.0149792174502501</c:v>
                </c:pt>
                <c:pt idx="154">
                  <c:v>1.0153947003745001</c:v>
                </c:pt>
                <c:pt idx="155">
                  <c:v>1.01669404528739</c:v>
                </c:pt>
                <c:pt idx="156">
                  <c:v>1.0170196359610499</c:v>
                </c:pt>
                <c:pt idx="157">
                  <c:v>1.01743872919385</c:v>
                </c:pt>
                <c:pt idx="158">
                  <c:v>1.0176875398407801</c:v>
                </c:pt>
                <c:pt idx="159">
                  <c:v>1.01774561614031</c:v>
                </c:pt>
                <c:pt idx="160">
                  <c:v>1.01793375077432</c:v>
                </c:pt>
                <c:pt idx="161">
                  <c:v>1.01794181406086</c:v>
                </c:pt>
                <c:pt idx="162">
                  <c:v>1.0176037135501601</c:v>
                </c:pt>
                <c:pt idx="163">
                  <c:v>1.01775457722227</c:v>
                </c:pt>
                <c:pt idx="164">
                  <c:v>1.01797063070722</c:v>
                </c:pt>
                <c:pt idx="165">
                  <c:v>1.0180751748402901</c:v>
                </c:pt>
                <c:pt idx="166">
                  <c:v>1.01799611673477</c:v>
                </c:pt>
                <c:pt idx="167">
                  <c:v>1.0176186196966299</c:v>
                </c:pt>
                <c:pt idx="168">
                  <c:v>1.01759270116013</c:v>
                </c:pt>
                <c:pt idx="169">
                  <c:v>1.01700886027699</c:v>
                </c:pt>
                <c:pt idx="170">
                  <c:v>1.0172527948761401</c:v>
                </c:pt>
                <c:pt idx="171">
                  <c:v>1.0179575275616299</c:v>
                </c:pt>
                <c:pt idx="172">
                  <c:v>1.01867709193347</c:v>
                </c:pt>
                <c:pt idx="173">
                  <c:v>1.0188260815249</c:v>
                </c:pt>
                <c:pt idx="174">
                  <c:v>1.01857886732284</c:v>
                </c:pt>
                <c:pt idx="175">
                  <c:v>1.01781653040496</c:v>
                </c:pt>
                <c:pt idx="176">
                  <c:v>1.0171370815021901</c:v>
                </c:pt>
                <c:pt idx="177">
                  <c:v>1.01641939834757</c:v>
                </c:pt>
                <c:pt idx="178">
                  <c:v>1.0159173575090401</c:v>
                </c:pt>
                <c:pt idx="179">
                  <c:v>1.0150164566081401</c:v>
                </c:pt>
                <c:pt idx="180">
                  <c:v>1.01386453900198</c:v>
                </c:pt>
                <c:pt idx="181">
                  <c:v>1.01240589065302</c:v>
                </c:pt>
                <c:pt idx="182">
                  <c:v>1.0107856988567301</c:v>
                </c:pt>
                <c:pt idx="183">
                  <c:v>1.0100224966319</c:v>
                </c:pt>
                <c:pt idx="184">
                  <c:v>1.0090278475499299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53-422A-B07E-FDDC6BC29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GLIBK x avg / GLIBA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Sheet1!$U$2:$U$186</c:f>
              <c:numCache>
                <c:formatCode>0.0000%</c:formatCode>
                <c:ptCount val="185"/>
                <c:pt idx="1">
                  <c:v>1.4849025469697101E-2</c:v>
                </c:pt>
                <c:pt idx="2">
                  <c:v>1.21452783329992E-2</c:v>
                </c:pt>
                <c:pt idx="3">
                  <c:v>1.20977830159128E-2</c:v>
                </c:pt>
                <c:pt idx="4">
                  <c:v>6.7498848443048997E-3</c:v>
                </c:pt>
                <c:pt idx="5">
                  <c:v>9.3881826836703305E-3</c:v>
                </c:pt>
                <c:pt idx="6">
                  <c:v>1.4801161765364701E-2</c:v>
                </c:pt>
                <c:pt idx="7">
                  <c:v>5.2521632744761603E-3</c:v>
                </c:pt>
                <c:pt idx="8">
                  <c:v>-9.6478091490363098E-4</c:v>
                </c:pt>
                <c:pt idx="9">
                  <c:v>-3.5445572465260902E-3</c:v>
                </c:pt>
                <c:pt idx="10">
                  <c:v>-7.0066616482245296E-3</c:v>
                </c:pt>
                <c:pt idx="11">
                  <c:v>-3.1215502182397599E-3</c:v>
                </c:pt>
                <c:pt idx="12">
                  <c:v>-5.5422001714504404E-3</c:v>
                </c:pt>
                <c:pt idx="13">
                  <c:v>1.0010377189435999E-3</c:v>
                </c:pt>
                <c:pt idx="14">
                  <c:v>-2.51084691243575E-3</c:v>
                </c:pt>
                <c:pt idx="15">
                  <c:v>-1.0918764267242101E-3</c:v>
                </c:pt>
                <c:pt idx="16">
                  <c:v>-3.0978929372646102E-3</c:v>
                </c:pt>
                <c:pt idx="17">
                  <c:v>9.4338795565165195E-4</c:v>
                </c:pt>
                <c:pt idx="18">
                  <c:v>-7.9362945059821E-3</c:v>
                </c:pt>
                <c:pt idx="19">
                  <c:v>-5.0767397178194101E-3</c:v>
                </c:pt>
                <c:pt idx="20">
                  <c:v>8.7735496114164501E-4</c:v>
                </c:pt>
                <c:pt idx="21">
                  <c:v>-6.7483595261084899E-3</c:v>
                </c:pt>
                <c:pt idx="22">
                  <c:v>-3.8797725197775501E-3</c:v>
                </c:pt>
                <c:pt idx="23">
                  <c:v>3.1878197932268199E-3</c:v>
                </c:pt>
                <c:pt idx="24">
                  <c:v>4.4961262800770696E-3</c:v>
                </c:pt>
                <c:pt idx="25">
                  <c:v>6.5343801303048097E-3</c:v>
                </c:pt>
                <c:pt idx="26">
                  <c:v>-4.2039482246524401E-4</c:v>
                </c:pt>
                <c:pt idx="27">
                  <c:v>8.3375078077303107E-3</c:v>
                </c:pt>
                <c:pt idx="28">
                  <c:v>3.0530933795014999E-3</c:v>
                </c:pt>
                <c:pt idx="29">
                  <c:v>1.12440886617712E-2</c:v>
                </c:pt>
                <c:pt idx="30">
                  <c:v>1.0610629534219001E-2</c:v>
                </c:pt>
                <c:pt idx="31">
                  <c:v>1.71374079137523E-2</c:v>
                </c:pt>
                <c:pt idx="32">
                  <c:v>4.7981563005083799E-3</c:v>
                </c:pt>
                <c:pt idx="33">
                  <c:v>3.0822357287369302E-3</c:v>
                </c:pt>
                <c:pt idx="34">
                  <c:v>8.9582439883999297E-4</c:v>
                </c:pt>
                <c:pt idx="35">
                  <c:v>4.36159945791368E-4</c:v>
                </c:pt>
                <c:pt idx="36">
                  <c:v>3.47675819996235E-3</c:v>
                </c:pt>
                <c:pt idx="37">
                  <c:v>1.2139070485321E-3</c:v>
                </c:pt>
                <c:pt idx="38">
                  <c:v>-2.0459950168447301E-3</c:v>
                </c:pt>
                <c:pt idx="39">
                  <c:v>4.2539225092288798E-3</c:v>
                </c:pt>
                <c:pt idx="40">
                  <c:v>9.3642551686288003E-3</c:v>
                </c:pt>
                <c:pt idx="41">
                  <c:v>9.8707106984279001E-3</c:v>
                </c:pt>
                <c:pt idx="42">
                  <c:v>2.23782270674285E-3</c:v>
                </c:pt>
                <c:pt idx="43">
                  <c:v>-1.70006151184103E-3</c:v>
                </c:pt>
                <c:pt idx="44">
                  <c:v>8.6622590244160298E-4</c:v>
                </c:pt>
                <c:pt idx="45">
                  <c:v>-4.0565111868704597E-3</c:v>
                </c:pt>
                <c:pt idx="46">
                  <c:v>1.64092207176076E-3</c:v>
                </c:pt>
                <c:pt idx="47">
                  <c:v>2.67501851197228E-6</c:v>
                </c:pt>
                <c:pt idx="48">
                  <c:v>5.08775259020996E-3</c:v>
                </c:pt>
                <c:pt idx="49">
                  <c:v>9.1848181618177493E-3</c:v>
                </c:pt>
                <c:pt idx="50">
                  <c:v>1.29465606613087E-2</c:v>
                </c:pt>
                <c:pt idx="51">
                  <c:v>1.28051911164812E-2</c:v>
                </c:pt>
                <c:pt idx="52">
                  <c:v>1.4806369800321E-2</c:v>
                </c:pt>
                <c:pt idx="53">
                  <c:v>8.3813986515031795E-3</c:v>
                </c:pt>
                <c:pt idx="54">
                  <c:v>7.5445650273692202E-3</c:v>
                </c:pt>
                <c:pt idx="55">
                  <c:v>1.59840229690873E-2</c:v>
                </c:pt>
                <c:pt idx="56">
                  <c:v>1.5725758907575799E-2</c:v>
                </c:pt>
                <c:pt idx="57">
                  <c:v>1.27142362189609E-2</c:v>
                </c:pt>
                <c:pt idx="58">
                  <c:v>9.9937313590643898E-3</c:v>
                </c:pt>
                <c:pt idx="59">
                  <c:v>1.3557909811089E-2</c:v>
                </c:pt>
                <c:pt idx="60">
                  <c:v>1.75381909665994E-2</c:v>
                </c:pt>
                <c:pt idx="61">
                  <c:v>1.5773505003724299E-2</c:v>
                </c:pt>
                <c:pt idx="62">
                  <c:v>1.8134034582835998E-2</c:v>
                </c:pt>
                <c:pt idx="63">
                  <c:v>1.8787304328267598E-2</c:v>
                </c:pt>
                <c:pt idx="64">
                  <c:v>1.45015289106507E-2</c:v>
                </c:pt>
                <c:pt idx="65">
                  <c:v>8.6453401111328595E-3</c:v>
                </c:pt>
                <c:pt idx="66">
                  <c:v>1.05748896824933E-2</c:v>
                </c:pt>
                <c:pt idx="67">
                  <c:v>8.9109581025954097E-3</c:v>
                </c:pt>
                <c:pt idx="68">
                  <c:v>7.2739678808826699E-3</c:v>
                </c:pt>
                <c:pt idx="69">
                  <c:v>3.18599885925168E-3</c:v>
                </c:pt>
                <c:pt idx="70">
                  <c:v>1.02543017708442E-2</c:v>
                </c:pt>
                <c:pt idx="71">
                  <c:v>2.2169991816550702E-3</c:v>
                </c:pt>
                <c:pt idx="72">
                  <c:v>6.5348293853825302E-4</c:v>
                </c:pt>
                <c:pt idx="73">
                  <c:v>-2.2313393487212799E-3</c:v>
                </c:pt>
                <c:pt idx="74">
                  <c:v>-5.8825771147480704E-3</c:v>
                </c:pt>
                <c:pt idx="75">
                  <c:v>3.0403064866016401E-3</c:v>
                </c:pt>
                <c:pt idx="76">
                  <c:v>-3.2904431658429198E-3</c:v>
                </c:pt>
                <c:pt idx="77">
                  <c:v>-1.1835020153874699E-2</c:v>
                </c:pt>
                <c:pt idx="78">
                  <c:v>-9.1923680748888098E-3</c:v>
                </c:pt>
                <c:pt idx="79">
                  <c:v>-9.3074388351775707E-3</c:v>
                </c:pt>
                <c:pt idx="80">
                  <c:v>-9.6645877788556402E-3</c:v>
                </c:pt>
                <c:pt idx="81">
                  <c:v>-9.8372081402266793E-3</c:v>
                </c:pt>
                <c:pt idx="82">
                  <c:v>-8.5679494699651398E-3</c:v>
                </c:pt>
                <c:pt idx="83">
                  <c:v>-5.25969915425923E-3</c:v>
                </c:pt>
                <c:pt idx="84">
                  <c:v>-7.7715783540382999E-3</c:v>
                </c:pt>
                <c:pt idx="85">
                  <c:v>-6.4044277480973999E-4</c:v>
                </c:pt>
                <c:pt idx="86">
                  <c:v>-6.6471779148204596E-3</c:v>
                </c:pt>
                <c:pt idx="87">
                  <c:v>-1.1418721414196999E-2</c:v>
                </c:pt>
                <c:pt idx="88">
                  <c:v>-5.1549926270243098E-3</c:v>
                </c:pt>
                <c:pt idx="89">
                  <c:v>-2.8108253308724799E-3</c:v>
                </c:pt>
                <c:pt idx="90">
                  <c:v>2.33479910597632E-3</c:v>
                </c:pt>
                <c:pt idx="91">
                  <c:v>5.1419581041746397E-3</c:v>
                </c:pt>
                <c:pt idx="92">
                  <c:v>-5.1632660059384404E-3</c:v>
                </c:pt>
                <c:pt idx="93">
                  <c:v>1.13188977946158E-2</c:v>
                </c:pt>
                <c:pt idx="94">
                  <c:v>4.6641763750988E-3</c:v>
                </c:pt>
                <c:pt idx="95">
                  <c:v>9.8247033473529699E-3</c:v>
                </c:pt>
                <c:pt idx="96">
                  <c:v>6.2670802565843601E-3</c:v>
                </c:pt>
                <c:pt idx="97">
                  <c:v>7.4158668376641699E-3</c:v>
                </c:pt>
                <c:pt idx="98">
                  <c:v>9.08503459483803E-3</c:v>
                </c:pt>
                <c:pt idx="99">
                  <c:v>-3.9153467772320401E-3</c:v>
                </c:pt>
                <c:pt idx="100">
                  <c:v>7.8162672434138394E-3</c:v>
                </c:pt>
                <c:pt idx="101">
                  <c:v>1.0502034301010901E-2</c:v>
                </c:pt>
                <c:pt idx="102">
                  <c:v>7.3630608001251903E-3</c:v>
                </c:pt>
                <c:pt idx="103">
                  <c:v>8.7574437834779095E-3</c:v>
                </c:pt>
                <c:pt idx="104">
                  <c:v>1.02523220412951E-2</c:v>
                </c:pt>
                <c:pt idx="105">
                  <c:v>4.9233047628856504E-3</c:v>
                </c:pt>
                <c:pt idx="106">
                  <c:v>2.2658367127647802E-3</c:v>
                </c:pt>
                <c:pt idx="107">
                  <c:v>8.2978468337466492E-3</c:v>
                </c:pt>
                <c:pt idx="108">
                  <c:v>2.5112150137205701E-3</c:v>
                </c:pt>
                <c:pt idx="109">
                  <c:v>1.6270991162346201E-2</c:v>
                </c:pt>
                <c:pt idx="110">
                  <c:v>1.7687087693539098E-2</c:v>
                </c:pt>
                <c:pt idx="111">
                  <c:v>1.75724421887784E-2</c:v>
                </c:pt>
                <c:pt idx="112">
                  <c:v>1.6176743251874699E-2</c:v>
                </c:pt>
                <c:pt idx="113">
                  <c:v>1.7281553243970099E-2</c:v>
                </c:pt>
                <c:pt idx="114">
                  <c:v>3.8831254965768598E-3</c:v>
                </c:pt>
                <c:pt idx="115">
                  <c:v>-2.0667434876975602E-2</c:v>
                </c:pt>
                <c:pt idx="116">
                  <c:v>-2.2985483354190699E-2</c:v>
                </c:pt>
                <c:pt idx="117">
                  <c:v>-1.50437909016995E-3</c:v>
                </c:pt>
                <c:pt idx="118">
                  <c:v>-1.03794646664629E-2</c:v>
                </c:pt>
                <c:pt idx="119">
                  <c:v>-1.9990886876079202E-2</c:v>
                </c:pt>
                <c:pt idx="120">
                  <c:v>-7.3100184478719299E-2</c:v>
                </c:pt>
                <c:pt idx="121">
                  <c:v>-1.9950440253435599E-2</c:v>
                </c:pt>
                <c:pt idx="122">
                  <c:v>-7.8306235382448897E-3</c:v>
                </c:pt>
                <c:pt idx="123">
                  <c:v>-4.4649878691210704E-3</c:v>
                </c:pt>
                <c:pt idx="124">
                  <c:v>-8.5376883983871599E-3</c:v>
                </c:pt>
                <c:pt idx="125">
                  <c:v>-1.2511432262256501E-2</c:v>
                </c:pt>
                <c:pt idx="126">
                  <c:v>-6.3120030816584804E-3</c:v>
                </c:pt>
                <c:pt idx="127">
                  <c:v>-1.8160313986885E-3</c:v>
                </c:pt>
                <c:pt idx="128">
                  <c:v>-1.12034272299315E-3</c:v>
                </c:pt>
                <c:pt idx="129">
                  <c:v>2.4829212680514399E-3</c:v>
                </c:pt>
                <c:pt idx="130">
                  <c:v>-2.58400737437548E-3</c:v>
                </c:pt>
                <c:pt idx="131">
                  <c:v>-1.8858185630368E-3</c:v>
                </c:pt>
                <c:pt idx="132">
                  <c:v>5.99394327669177E-3</c:v>
                </c:pt>
                <c:pt idx="133">
                  <c:v>3.37773354738831E-3</c:v>
                </c:pt>
                <c:pt idx="134">
                  <c:v>1.91118535569974E-3</c:v>
                </c:pt>
                <c:pt idx="135">
                  <c:v>1.1518261290847501E-2</c:v>
                </c:pt>
                <c:pt idx="136">
                  <c:v>-4.8078859849826601E-3</c:v>
                </c:pt>
                <c:pt idx="137">
                  <c:v>-2.63678960867543E-3</c:v>
                </c:pt>
                <c:pt idx="138">
                  <c:v>-1.09426571126054E-2</c:v>
                </c:pt>
                <c:pt idx="139">
                  <c:v>-8.8997307485160597E-3</c:v>
                </c:pt>
                <c:pt idx="140">
                  <c:v>-8.4585586544377294E-3</c:v>
                </c:pt>
                <c:pt idx="141">
                  <c:v>-1.0064158034434501E-2</c:v>
                </c:pt>
                <c:pt idx="142">
                  <c:v>-1.7972521888928401E-2</c:v>
                </c:pt>
                <c:pt idx="143">
                  <c:v>-8.5422550984670907E-3</c:v>
                </c:pt>
                <c:pt idx="144">
                  <c:v>-1.22655868501987E-2</c:v>
                </c:pt>
                <c:pt idx="145">
                  <c:v>-1.5557083941894799E-2</c:v>
                </c:pt>
                <c:pt idx="146">
                  <c:v>-1.89839349741928E-2</c:v>
                </c:pt>
                <c:pt idx="147">
                  <c:v>-2.07211288011564E-2</c:v>
                </c:pt>
                <c:pt idx="148">
                  <c:v>-1.16178775822206E-2</c:v>
                </c:pt>
                <c:pt idx="149">
                  <c:v>-1.68763453469577E-2</c:v>
                </c:pt>
                <c:pt idx="150">
                  <c:v>2.2935707607626798E-3</c:v>
                </c:pt>
                <c:pt idx="151">
                  <c:v>5.0123399106795103E-3</c:v>
                </c:pt>
                <c:pt idx="152">
                  <c:v>7.0386622275591098E-3</c:v>
                </c:pt>
                <c:pt idx="153">
                  <c:v>3.5076037907330002E-4</c:v>
                </c:pt>
                <c:pt idx="154">
                  <c:v>-6.3156153944564399E-3</c:v>
                </c:pt>
                <c:pt idx="155">
                  <c:v>-1.4230651649566699E-2</c:v>
                </c:pt>
                <c:pt idx="156">
                  <c:v>-1.1217424989888701E-2</c:v>
                </c:pt>
                <c:pt idx="157">
                  <c:v>-1.08972824844861E-2</c:v>
                </c:pt>
                <c:pt idx="158">
                  <c:v>-1.5814505011096401E-2</c:v>
                </c:pt>
                <c:pt idx="159">
                  <c:v>-1.00413501565925E-2</c:v>
                </c:pt>
                <c:pt idx="160">
                  <c:v>-1.21536744292636E-2</c:v>
                </c:pt>
                <c:pt idx="161">
                  <c:v>-1.02225533462645E-2</c:v>
                </c:pt>
                <c:pt idx="162">
                  <c:v>-1.13608573963249E-2</c:v>
                </c:pt>
                <c:pt idx="163">
                  <c:v>-1.15061751723637E-2</c:v>
                </c:pt>
                <c:pt idx="164">
                  <c:v>-1.64918039078795E-2</c:v>
                </c:pt>
                <c:pt idx="165">
                  <c:v>-1.75975791563159E-2</c:v>
                </c:pt>
                <c:pt idx="166">
                  <c:v>-1.7443399515824101E-2</c:v>
                </c:pt>
                <c:pt idx="167">
                  <c:v>-1.33565463653592E-2</c:v>
                </c:pt>
                <c:pt idx="168">
                  <c:v>-1.1109354408454499E-2</c:v>
                </c:pt>
                <c:pt idx="169">
                  <c:v>-5.4189420261032501E-3</c:v>
                </c:pt>
                <c:pt idx="170">
                  <c:v>-2.5465197921327198E-3</c:v>
                </c:pt>
                <c:pt idx="171">
                  <c:v>-8.9449904826025099E-3</c:v>
                </c:pt>
                <c:pt idx="172">
                  <c:v>-7.2390258074358799E-3</c:v>
                </c:pt>
                <c:pt idx="173">
                  <c:v>-2.6025034449206601E-3</c:v>
                </c:pt>
                <c:pt idx="174">
                  <c:v>-1.42879090063725E-3</c:v>
                </c:pt>
                <c:pt idx="175">
                  <c:v>7.9595759947452798E-4</c:v>
                </c:pt>
                <c:pt idx="176">
                  <c:v>2.2050300756274802E-3</c:v>
                </c:pt>
                <c:pt idx="177">
                  <c:v>3.2904417852099598E-3</c:v>
                </c:pt>
                <c:pt idx="178">
                  <c:v>-5.9597803007046301E-3</c:v>
                </c:pt>
                <c:pt idx="179">
                  <c:v>7.8162672434138394E-3</c:v>
                </c:pt>
                <c:pt idx="180">
                  <c:v>1.06880640889013E-2</c:v>
                </c:pt>
                <c:pt idx="181">
                  <c:v>1.8847350675687401E-2</c:v>
                </c:pt>
                <c:pt idx="182">
                  <c:v>2.09437053901869E-2</c:v>
                </c:pt>
                <c:pt idx="183">
                  <c:v>3.5789727678987599E-3</c:v>
                </c:pt>
                <c:pt idx="184">
                  <c:v>3.1143992095353898E-3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0-4E0E-A3E3-32972CD66625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GLIBK x 10 dma / GLIBA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Sheet1!$V$2:$V$186</c:f>
              <c:numCache>
                <c:formatCode>0.0000%</c:formatCode>
                <c:ptCount val="185"/>
                <c:pt idx="10">
                  <c:v>-1.5568197110580899E-2</c:v>
                </c:pt>
                <c:pt idx="11">
                  <c:v>-9.4707285923843094E-3</c:v>
                </c:pt>
                <c:pt idx="12">
                  <c:v>-1.0095038592320599E-2</c:v>
                </c:pt>
                <c:pt idx="13">
                  <c:v>-1.78238149395412E-3</c:v>
                </c:pt>
                <c:pt idx="14">
                  <c:v>-4.1893677139471603E-3</c:v>
                </c:pt>
                <c:pt idx="15">
                  <c:v>-1.8451572179173301E-3</c:v>
                </c:pt>
                <c:pt idx="16">
                  <c:v>-2.8072599192174499E-3</c:v>
                </c:pt>
                <c:pt idx="17">
                  <c:v>3.0114093174848102E-3</c:v>
                </c:pt>
                <c:pt idx="18">
                  <c:v>-5.4397072148271398E-3</c:v>
                </c:pt>
                <c:pt idx="19">
                  <c:v>-1.88187997107795E-3</c:v>
                </c:pt>
                <c:pt idx="20">
                  <c:v>4.2255922616847201E-3</c:v>
                </c:pt>
                <c:pt idx="21">
                  <c:v>-4.1886131587343797E-3</c:v>
                </c:pt>
                <c:pt idx="22">
                  <c:v>-9.5654862163531396E-4</c:v>
                </c:pt>
                <c:pt idx="23">
                  <c:v>5.94448956926159E-3</c:v>
                </c:pt>
                <c:pt idx="24">
                  <c:v>7.03515238324903E-3</c:v>
                </c:pt>
                <c:pt idx="25">
                  <c:v>8.3749338749099199E-3</c:v>
                </c:pt>
                <c:pt idx="26">
                  <c:v>6.60714148453961E-4</c:v>
                </c:pt>
                <c:pt idx="27">
                  <c:v>9.1506493818003503E-3</c:v>
                </c:pt>
                <c:pt idx="28">
                  <c:v>3.1305722333431199E-3</c:v>
                </c:pt>
                <c:pt idx="29">
                  <c:v>1.0219414938602501E-2</c:v>
                </c:pt>
                <c:pt idx="30">
                  <c:v>7.9558840534372996E-3</c:v>
                </c:pt>
                <c:pt idx="31">
                  <c:v>1.3511862280449601E-2</c:v>
                </c:pt>
                <c:pt idx="32">
                  <c:v>-1.2151264591160899E-3</c:v>
                </c:pt>
                <c:pt idx="33">
                  <c:v>-3.8040568233392298E-3</c:v>
                </c:pt>
                <c:pt idx="34">
                  <c:v>-5.97987012118089E-3</c:v>
                </c:pt>
                <c:pt idx="35">
                  <c:v>-6.0780615557445E-3</c:v>
                </c:pt>
                <c:pt idx="36">
                  <c:v>-2.42597740939784E-3</c:v>
                </c:pt>
                <c:pt idx="37">
                  <c:v>-5.0803293021727597E-3</c:v>
                </c:pt>
                <c:pt idx="38">
                  <c:v>-7.62704160229297E-3</c:v>
                </c:pt>
                <c:pt idx="39">
                  <c:v>-8.14750322286578E-4</c:v>
                </c:pt>
                <c:pt idx="40">
                  <c:v>4.99248638922151E-3</c:v>
                </c:pt>
                <c:pt idx="41">
                  <c:v>5.6228737221762498E-3</c:v>
                </c:pt>
                <c:pt idx="42">
                  <c:v>-1.29029720500793E-3</c:v>
                </c:pt>
                <c:pt idx="43">
                  <c:v>-4.9721781721753198E-3</c:v>
                </c:pt>
                <c:pt idx="44">
                  <c:v>-1.92653956474321E-3</c:v>
                </c:pt>
                <c:pt idx="45">
                  <c:v>-6.8463111449362001E-3</c:v>
                </c:pt>
                <c:pt idx="46">
                  <c:v>-6.9764083797175104E-4</c:v>
                </c:pt>
                <c:pt idx="47">
                  <c:v>-2.15236152945381E-3</c:v>
                </c:pt>
                <c:pt idx="48">
                  <c:v>3.0540193868478002E-3</c:v>
                </c:pt>
                <c:pt idx="49">
                  <c:v>6.4370878978354E-3</c:v>
                </c:pt>
                <c:pt idx="50">
                  <c:v>9.7075741783736007E-3</c:v>
                </c:pt>
                <c:pt idx="51">
                  <c:v>9.2107354310036107E-3</c:v>
                </c:pt>
                <c:pt idx="52">
                  <c:v>1.09206871044419E-2</c:v>
                </c:pt>
                <c:pt idx="53">
                  <c:v>3.2438836068026601E-3</c:v>
                </c:pt>
                <c:pt idx="54">
                  <c:v>1.39657622056016E-3</c:v>
                </c:pt>
                <c:pt idx="55">
                  <c:v>9.1666764457860508E-3</c:v>
                </c:pt>
                <c:pt idx="56">
                  <c:v>6.9005997244371E-3</c:v>
                </c:pt>
                <c:pt idx="57">
                  <c:v>2.4793888009040001E-3</c:v>
                </c:pt>
                <c:pt idx="58">
                  <c:v>-1.5180327437393001E-3</c:v>
                </c:pt>
                <c:pt idx="59">
                  <c:v>1.5534739463638799E-3</c:v>
                </c:pt>
                <c:pt idx="60">
                  <c:v>5.0960728835902098E-3</c:v>
                </c:pt>
                <c:pt idx="61">
                  <c:v>2.8734026054036302E-3</c:v>
                </c:pt>
                <c:pt idx="62">
                  <c:v>4.9374688314605796E-3</c:v>
                </c:pt>
                <c:pt idx="63">
                  <c:v>5.2590045032788598E-3</c:v>
                </c:pt>
                <c:pt idx="64">
                  <c:v>-6.7849585868761403E-5</c:v>
                </c:pt>
                <c:pt idx="65">
                  <c:v>-6.6224515652977701E-3</c:v>
                </c:pt>
                <c:pt idx="66">
                  <c:v>-3.9571324042969799E-3</c:v>
                </c:pt>
                <c:pt idx="67">
                  <c:v>-5.1053972840488203E-3</c:v>
                </c:pt>
                <c:pt idx="68">
                  <c:v>-6.3609118029767696E-3</c:v>
                </c:pt>
                <c:pt idx="69">
                  <c:v>-1.0175578174440199E-2</c:v>
                </c:pt>
                <c:pt idx="70">
                  <c:v>-2.0654342753285001E-3</c:v>
                </c:pt>
                <c:pt idx="71">
                  <c:v>-9.37575805838263E-3</c:v>
                </c:pt>
                <c:pt idx="72">
                  <c:v>-9.5810102831555503E-3</c:v>
                </c:pt>
                <c:pt idx="73">
                  <c:v>-1.07178135384933E-2</c:v>
                </c:pt>
                <c:pt idx="74">
                  <c:v>-1.2268916798293899E-2</c:v>
                </c:pt>
                <c:pt idx="75">
                  <c:v>-1.30543277142262E-3</c:v>
                </c:pt>
                <c:pt idx="76">
                  <c:v>-7.0766733760221504E-3</c:v>
                </c:pt>
                <c:pt idx="77">
                  <c:v>-1.42354669277838E-2</c:v>
                </c:pt>
                <c:pt idx="78">
                  <c:v>-9.5123168294035491E-3</c:v>
                </c:pt>
                <c:pt idx="79">
                  <c:v>-7.9799854425877895E-3</c:v>
                </c:pt>
                <c:pt idx="80">
                  <c:v>-7.0863976513357097E-3</c:v>
                </c:pt>
                <c:pt idx="81">
                  <c:v>-5.2747807019529504E-3</c:v>
                </c:pt>
                <c:pt idx="82">
                  <c:v>-2.8017253856256201E-3</c:v>
                </c:pt>
                <c:pt idx="83">
                  <c:v>1.42658140976004E-3</c:v>
                </c:pt>
                <c:pt idx="84">
                  <c:v>-7.8339653100003204E-4</c:v>
                </c:pt>
                <c:pt idx="85">
                  <c:v>6.53659093646735E-3</c:v>
                </c:pt>
                <c:pt idx="86">
                  <c:v>8.9479385823996202E-4</c:v>
                </c:pt>
                <c:pt idx="87">
                  <c:v>-3.5419946773967001E-3</c:v>
                </c:pt>
                <c:pt idx="88">
                  <c:v>2.67994695131233E-3</c:v>
                </c:pt>
                <c:pt idx="89">
                  <c:v>4.6205618992771298E-3</c:v>
                </c:pt>
                <c:pt idx="90">
                  <c:v>9.1172041911428796E-3</c:v>
                </c:pt>
                <c:pt idx="91">
                  <c:v>1.0727436289850199E-2</c:v>
                </c:pt>
                <c:pt idx="92">
                  <c:v>-1.07199197999136E-3</c:v>
                </c:pt>
                <c:pt idx="93">
                  <c:v>1.50686991297912E-2</c:v>
                </c:pt>
                <c:pt idx="94">
                  <c:v>6.7659431776661101E-3</c:v>
                </c:pt>
                <c:pt idx="95">
                  <c:v>1.0682794999227301E-2</c:v>
                </c:pt>
                <c:pt idx="96">
                  <c:v>6.0837987275322199E-3</c:v>
                </c:pt>
                <c:pt idx="97">
                  <c:v>5.93983305116227E-3</c:v>
                </c:pt>
                <c:pt idx="98">
                  <c:v>5.7171645966099796E-3</c:v>
                </c:pt>
                <c:pt idx="99">
                  <c:v>-8.7102483341545394E-3</c:v>
                </c:pt>
                <c:pt idx="100">
                  <c:v>3.1327163897584701E-3</c:v>
                </c:pt>
                <c:pt idx="101">
                  <c:v>5.2704005994221401E-3</c:v>
                </c:pt>
                <c:pt idx="102">
                  <c:v>1.5966625350629701E-3</c:v>
                </c:pt>
                <c:pt idx="103">
                  <c:v>1.7317529622576601E-3</c:v>
                </c:pt>
                <c:pt idx="104">
                  <c:v>3.4819736165656E-3</c:v>
                </c:pt>
                <c:pt idx="105">
                  <c:v>-2.4056306589409901E-3</c:v>
                </c:pt>
                <c:pt idx="106">
                  <c:v>-4.57310051817308E-3</c:v>
                </c:pt>
                <c:pt idx="107">
                  <c:v>1.8599844200099999E-3</c:v>
                </c:pt>
                <c:pt idx="108">
                  <c:v>-4.0147242174118098E-3</c:v>
                </c:pt>
                <c:pt idx="109">
                  <c:v>1.04026974039199E-2</c:v>
                </c:pt>
                <c:pt idx="110">
                  <c:v>9.7987116126380305E-3</c:v>
                </c:pt>
                <c:pt idx="111">
                  <c:v>8.7012861282480397E-3</c:v>
                </c:pt>
                <c:pt idx="112">
                  <c:v>6.6019406484076198E-3</c:v>
                </c:pt>
                <c:pt idx="113">
                  <c:v>6.8269251849779099E-3</c:v>
                </c:pt>
                <c:pt idx="114">
                  <c:v>-7.4220942108479803E-3</c:v>
                </c:pt>
                <c:pt idx="115">
                  <c:v>-3.1333233651011802E-2</c:v>
                </c:pt>
                <c:pt idx="116">
                  <c:v>-3.1047647218393801E-2</c:v>
                </c:pt>
                <c:pt idx="117">
                  <c:v>-6.9976958579031703E-3</c:v>
                </c:pt>
                <c:pt idx="118">
                  <c:v>-1.48909797605014E-2</c:v>
                </c:pt>
                <c:pt idx="119">
                  <c:v>-2.32032361752323E-2</c:v>
                </c:pt>
                <c:pt idx="120">
                  <c:v>-7.26743327452639E-2</c:v>
                </c:pt>
                <c:pt idx="121">
                  <c:v>-1.0234857019920199E-2</c:v>
                </c:pt>
                <c:pt idx="122">
                  <c:v>5.5987035243768198E-3</c:v>
                </c:pt>
                <c:pt idx="123">
                  <c:v>1.1320465731015399E-2</c:v>
                </c:pt>
                <c:pt idx="124">
                  <c:v>9.3724703738920605E-3</c:v>
                </c:pt>
                <c:pt idx="125">
                  <c:v>6.62086346938685E-3</c:v>
                </c:pt>
                <c:pt idx="126">
                  <c:v>1.2006430361965701E-2</c:v>
                </c:pt>
                <c:pt idx="127">
                  <c:v>1.4839760790010099E-2</c:v>
                </c:pt>
                <c:pt idx="128">
                  <c:v>1.5566150371051199E-2</c:v>
                </c:pt>
                <c:pt idx="129">
                  <c:v>1.82531504036853E-2</c:v>
                </c:pt>
                <c:pt idx="130">
                  <c:v>1.09520129849502E-2</c:v>
                </c:pt>
                <c:pt idx="131">
                  <c:v>4.3973514551621301E-3</c:v>
                </c:pt>
                <c:pt idx="132">
                  <c:v>1.04605852476926E-2</c:v>
                </c:pt>
                <c:pt idx="133">
                  <c:v>6.4658548247784001E-3</c:v>
                </c:pt>
                <c:pt idx="134">
                  <c:v>4.2167193841790001E-3</c:v>
                </c:pt>
                <c:pt idx="135">
                  <c:v>1.2777302320957499E-2</c:v>
                </c:pt>
                <c:pt idx="136">
                  <c:v>-5.9529281151106603E-3</c:v>
                </c:pt>
                <c:pt idx="137">
                  <c:v>-3.9332668255535903E-3</c:v>
                </c:pt>
                <c:pt idx="138">
                  <c:v>-1.21567722442116E-2</c:v>
                </c:pt>
                <c:pt idx="139">
                  <c:v>-9.1249568595862893E-3</c:v>
                </c:pt>
                <c:pt idx="140">
                  <c:v>-7.5422500962668698E-3</c:v>
                </c:pt>
                <c:pt idx="141">
                  <c:v>-8.5578561257930608E-3</c:v>
                </c:pt>
                <c:pt idx="142">
                  <c:v>-1.56450581680606E-2</c:v>
                </c:pt>
                <c:pt idx="143">
                  <c:v>-3.8121836766629299E-3</c:v>
                </c:pt>
                <c:pt idx="144">
                  <c:v>-6.3467737958068501E-3</c:v>
                </c:pt>
                <c:pt idx="145">
                  <c:v>-8.2226352659871601E-3</c:v>
                </c:pt>
                <c:pt idx="146">
                  <c:v>-8.9598423204613302E-3</c:v>
                </c:pt>
                <c:pt idx="147">
                  <c:v>-9.2777710064454195E-3</c:v>
                </c:pt>
                <c:pt idx="148">
                  <c:v>1.6327308389480499E-3</c:v>
                </c:pt>
                <c:pt idx="149">
                  <c:v>-3.55835005857345E-3</c:v>
                </c:pt>
                <c:pt idx="150">
                  <c:v>1.6408569044879098E-2</c:v>
                </c:pt>
                <c:pt idx="151">
                  <c:v>1.8063351393549198E-2</c:v>
                </c:pt>
                <c:pt idx="152">
                  <c:v>1.8596680780785E-2</c:v>
                </c:pt>
                <c:pt idx="153">
                  <c:v>9.4196887388323901E-3</c:v>
                </c:pt>
                <c:pt idx="154">
                  <c:v>1.8680284313114001E-3</c:v>
                </c:pt>
                <c:pt idx="155">
                  <c:v>-6.6428423232525796E-3</c:v>
                </c:pt>
                <c:pt idx="156">
                  <c:v>-3.7632404779739501E-3</c:v>
                </c:pt>
                <c:pt idx="157">
                  <c:v>-4.2260187617242199E-3</c:v>
                </c:pt>
                <c:pt idx="158">
                  <c:v>-1.0135139789768301E-2</c:v>
                </c:pt>
                <c:pt idx="159">
                  <c:v>-3.9390249961176096E-3</c:v>
                </c:pt>
                <c:pt idx="160">
                  <c:v>-6.7401340059164696E-3</c:v>
                </c:pt>
                <c:pt idx="161">
                  <c:v>-3.3660158057780502E-3</c:v>
                </c:pt>
                <c:pt idx="162">
                  <c:v>-2.9884286636010999E-3</c:v>
                </c:pt>
                <c:pt idx="163">
                  <c:v>-1.30683164023389E-3</c:v>
                </c:pt>
                <c:pt idx="164">
                  <c:v>-5.1129230355859397E-3</c:v>
                </c:pt>
                <c:pt idx="165">
                  <c:v>-5.2015672284292398E-3</c:v>
                </c:pt>
                <c:pt idx="166">
                  <c:v>-4.7095651400836901E-3</c:v>
                </c:pt>
                <c:pt idx="167">
                  <c:v>6.8693591491049497E-7</c:v>
                </c:pt>
                <c:pt idx="168">
                  <c:v>2.49347280032478E-3</c:v>
                </c:pt>
                <c:pt idx="169">
                  <c:v>7.7133252822321804E-3</c:v>
                </c:pt>
                <c:pt idx="170">
                  <c:v>1.01258909242769E-2</c:v>
                </c:pt>
                <c:pt idx="171">
                  <c:v>2.7713438456319901E-3</c:v>
                </c:pt>
                <c:pt idx="172">
                  <c:v>4.3498162569237898E-3</c:v>
                </c:pt>
                <c:pt idx="173">
                  <c:v>8.5750129539491505E-3</c:v>
                </c:pt>
                <c:pt idx="174">
                  <c:v>8.8616256233456005E-3</c:v>
                </c:pt>
                <c:pt idx="175">
                  <c:v>9.5809282141584903E-3</c:v>
                </c:pt>
                <c:pt idx="176">
                  <c:v>9.1496351314533497E-3</c:v>
                </c:pt>
                <c:pt idx="177">
                  <c:v>8.2669108543056095E-3</c:v>
                </c:pt>
                <c:pt idx="178">
                  <c:v>-2.6495108062574001E-3</c:v>
                </c:pt>
                <c:pt idx="179">
                  <c:v>1.0608747394756601E-2</c:v>
                </c:pt>
                <c:pt idx="180">
                  <c:v>1.21614158579044E-2</c:v>
                </c:pt>
                <c:pt idx="181">
                  <c:v>1.9003684679023001E-2</c:v>
                </c:pt>
                <c:pt idx="182">
                  <c:v>1.8331044945292502E-2</c:v>
                </c:pt>
                <c:pt idx="183">
                  <c:v>-1.8440758350537401E-3</c:v>
                </c:pt>
                <c:pt idx="184">
                  <c:v>-2.93004901506849E-3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0-4E0E-A3E3-32972CD66625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GLIBK x 20 dma / GLIBA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Sheet1!$W$2:$W$186</c:f>
              <c:numCache>
                <c:formatCode>0.0000%</c:formatCode>
                <c:ptCount val="185"/>
                <c:pt idx="20">
                  <c:v>-1.71156388864432E-3</c:v>
                </c:pt>
                <c:pt idx="21">
                  <c:v>-8.6331544447968301E-3</c:v>
                </c:pt>
                <c:pt idx="22">
                  <c:v>-4.6875933589367704E-3</c:v>
                </c:pt>
                <c:pt idx="23">
                  <c:v>3.17828164313978E-3</c:v>
                </c:pt>
                <c:pt idx="24">
                  <c:v>4.9286023919962799E-3</c:v>
                </c:pt>
                <c:pt idx="25">
                  <c:v>7.07885760397476E-3</c:v>
                </c:pt>
                <c:pt idx="26">
                  <c:v>2.6555427854485102E-4</c:v>
                </c:pt>
                <c:pt idx="27">
                  <c:v>9.7782861160789804E-3</c:v>
                </c:pt>
                <c:pt idx="28">
                  <c:v>4.3408579625253997E-3</c:v>
                </c:pt>
                <c:pt idx="29">
                  <c:v>1.23314072297448E-2</c:v>
                </c:pt>
                <c:pt idx="30">
                  <c:v>1.09618799126206E-2</c:v>
                </c:pt>
                <c:pt idx="31">
                  <c:v>1.66092905028065E-2</c:v>
                </c:pt>
                <c:pt idx="32">
                  <c:v>3.2631094804554E-3</c:v>
                </c:pt>
                <c:pt idx="33">
                  <c:v>1.02904763599025E-3</c:v>
                </c:pt>
                <c:pt idx="34">
                  <c:v>-1.2614302299518701E-3</c:v>
                </c:pt>
                <c:pt idx="35">
                  <c:v>-1.89194867437412E-3</c:v>
                </c:pt>
                <c:pt idx="36">
                  <c:v>1.07204162899187E-3</c:v>
                </c:pt>
                <c:pt idx="37">
                  <c:v>-1.5203260004546201E-3</c:v>
                </c:pt>
                <c:pt idx="38">
                  <c:v>-4.7937765242191902E-3</c:v>
                </c:pt>
                <c:pt idx="39">
                  <c:v>1.20929347159242E-3</c:v>
                </c:pt>
                <c:pt idx="40">
                  <c:v>5.8513665596147896E-3</c:v>
                </c:pt>
                <c:pt idx="41">
                  <c:v>5.9340677994644897E-3</c:v>
                </c:pt>
                <c:pt idx="42">
                  <c:v>-2.53210662484573E-3</c:v>
                </c:pt>
                <c:pt idx="43">
                  <c:v>-6.7776333355127599E-3</c:v>
                </c:pt>
                <c:pt idx="44">
                  <c:v>-3.9659203039025797E-3</c:v>
                </c:pt>
                <c:pt idx="45">
                  <c:v>-8.7067880031941308E-3</c:v>
                </c:pt>
                <c:pt idx="46">
                  <c:v>-2.4781392727471901E-3</c:v>
                </c:pt>
                <c:pt idx="47">
                  <c:v>-4.21981981047625E-3</c:v>
                </c:pt>
                <c:pt idx="48">
                  <c:v>1.28193562400897E-3</c:v>
                </c:pt>
                <c:pt idx="49">
                  <c:v>5.2772899607179896E-3</c:v>
                </c:pt>
                <c:pt idx="50">
                  <c:v>9.1413434295952601E-3</c:v>
                </c:pt>
                <c:pt idx="51">
                  <c:v>8.8840981490043505E-3</c:v>
                </c:pt>
                <c:pt idx="52">
                  <c:v>1.1099484477899E-2</c:v>
                </c:pt>
                <c:pt idx="53">
                  <c:v>4.1770177628140002E-3</c:v>
                </c:pt>
                <c:pt idx="54">
                  <c:v>3.07559508016946E-3</c:v>
                </c:pt>
                <c:pt idx="55">
                  <c:v>1.11824773684501E-2</c:v>
                </c:pt>
                <c:pt idx="56">
                  <c:v>1.01491573433215E-2</c:v>
                </c:pt>
                <c:pt idx="57">
                  <c:v>6.5274546317143902E-3</c:v>
                </c:pt>
                <c:pt idx="58">
                  <c:v>3.2322117976669798E-3</c:v>
                </c:pt>
                <c:pt idx="59">
                  <c:v>6.1925375333172997E-3</c:v>
                </c:pt>
                <c:pt idx="60">
                  <c:v>9.70822585017014E-3</c:v>
                </c:pt>
                <c:pt idx="61">
                  <c:v>7.5370503053626796E-3</c:v>
                </c:pt>
                <c:pt idx="62">
                  <c:v>9.6037468879744004E-3</c:v>
                </c:pt>
                <c:pt idx="63">
                  <c:v>9.4631975262592406E-3</c:v>
                </c:pt>
                <c:pt idx="64">
                  <c:v>4.1517102083289698E-3</c:v>
                </c:pt>
                <c:pt idx="65">
                  <c:v>-2.38830276238172E-3</c:v>
                </c:pt>
                <c:pt idx="66">
                  <c:v>-1.09962992247039E-3</c:v>
                </c:pt>
                <c:pt idx="67">
                  <c:v>-3.2128558255058001E-3</c:v>
                </c:pt>
                <c:pt idx="68">
                  <c:v>-5.2987905600831902E-3</c:v>
                </c:pt>
                <c:pt idx="69">
                  <c:v>-9.4967773609555897E-3</c:v>
                </c:pt>
                <c:pt idx="70">
                  <c:v>-2.1266234215762598E-3</c:v>
                </c:pt>
                <c:pt idx="71">
                  <c:v>-1.0029216993618899E-2</c:v>
                </c:pt>
                <c:pt idx="72">
                  <c:v>-1.1060949814188099E-2</c:v>
                </c:pt>
                <c:pt idx="73">
                  <c:v>-1.323554885875E-2</c:v>
                </c:pt>
                <c:pt idx="74">
                  <c:v>-1.6352065962607801E-2</c:v>
                </c:pt>
                <c:pt idx="75">
                  <c:v>-6.7515476511130802E-3</c:v>
                </c:pt>
                <c:pt idx="76">
                  <c:v>-1.2435135378391899E-2</c:v>
                </c:pt>
                <c:pt idx="77">
                  <c:v>-2.0026555162360501E-2</c:v>
                </c:pt>
                <c:pt idx="78">
                  <c:v>-1.6147621534569102E-2</c:v>
                </c:pt>
                <c:pt idx="79">
                  <c:v>-1.52975299463445E-2</c:v>
                </c:pt>
                <c:pt idx="80">
                  <c:v>-1.45076174692112E-2</c:v>
                </c:pt>
                <c:pt idx="81">
                  <c:v>-1.3319749646873101E-2</c:v>
                </c:pt>
                <c:pt idx="82">
                  <c:v>-1.0770081510742499E-2</c:v>
                </c:pt>
                <c:pt idx="83">
                  <c:v>-6.1310196823092704E-3</c:v>
                </c:pt>
                <c:pt idx="84">
                  <c:v>-7.4482977227513002E-3</c:v>
                </c:pt>
                <c:pt idx="85">
                  <c:v>7.9180114711250302E-4</c:v>
                </c:pt>
                <c:pt idx="86">
                  <c:v>-4.7532661991290604E-3</c:v>
                </c:pt>
                <c:pt idx="87">
                  <c:v>-8.6673789539323601E-3</c:v>
                </c:pt>
                <c:pt idx="88">
                  <c:v>-1.3891844626823301E-3</c:v>
                </c:pt>
                <c:pt idx="89">
                  <c:v>1.5732522243042601E-3</c:v>
                </c:pt>
                <c:pt idx="90">
                  <c:v>7.0173061386185499E-3</c:v>
                </c:pt>
                <c:pt idx="91">
                  <c:v>1.02160417452478E-2</c:v>
                </c:pt>
                <c:pt idx="92">
                  <c:v>-2.34166268624035E-4</c:v>
                </c:pt>
                <c:pt idx="93">
                  <c:v>1.6538016607608501E-2</c:v>
                </c:pt>
                <c:pt idx="94">
                  <c:v>9.2121353164015003E-3</c:v>
                </c:pt>
                <c:pt idx="95">
                  <c:v>1.3847257149218599E-2</c:v>
                </c:pt>
                <c:pt idx="96">
                  <c:v>9.9538853023609306E-3</c:v>
                </c:pt>
                <c:pt idx="97">
                  <c:v>1.0627147539136499E-2</c:v>
                </c:pt>
                <c:pt idx="98">
                  <c:v>1.13342571706579E-2</c:v>
                </c:pt>
                <c:pt idx="99">
                  <c:v>-2.57841878980889E-3</c:v>
                </c:pt>
                <c:pt idx="100">
                  <c:v>8.8821277873488806E-3</c:v>
                </c:pt>
                <c:pt idx="101">
                  <c:v>1.06935827104437E-2</c:v>
                </c:pt>
                <c:pt idx="102">
                  <c:v>6.5376453442615003E-3</c:v>
                </c:pt>
                <c:pt idx="103">
                  <c:v>7.1340128741395501E-3</c:v>
                </c:pt>
                <c:pt idx="104">
                  <c:v>7.9278705015194996E-3</c:v>
                </c:pt>
                <c:pt idx="105">
                  <c:v>1.6962612810484401E-3</c:v>
                </c:pt>
                <c:pt idx="106">
                  <c:v>-1.23973545834775E-3</c:v>
                </c:pt>
                <c:pt idx="107">
                  <c:v>4.3439761983861498E-3</c:v>
                </c:pt>
                <c:pt idx="108">
                  <c:v>-2.43444292631763E-3</c:v>
                </c:pt>
                <c:pt idx="109">
                  <c:v>1.0939537526017101E-2</c:v>
                </c:pt>
                <c:pt idx="110">
                  <c:v>1.14024080888037E-2</c:v>
                </c:pt>
                <c:pt idx="111">
                  <c:v>1.0522703072179901E-2</c:v>
                </c:pt>
                <c:pt idx="112">
                  <c:v>8.5079558094651904E-3</c:v>
                </c:pt>
                <c:pt idx="113">
                  <c:v>8.5428635044663501E-3</c:v>
                </c:pt>
                <c:pt idx="114">
                  <c:v>-5.1520879395091004E-3</c:v>
                </c:pt>
                <c:pt idx="115">
                  <c:v>-2.96634101434241E-2</c:v>
                </c:pt>
                <c:pt idx="116">
                  <c:v>-3.0435846866348201E-2</c:v>
                </c:pt>
                <c:pt idx="117">
                  <c:v>-7.4698571600995203E-3</c:v>
                </c:pt>
                <c:pt idx="118">
                  <c:v>-1.5897684591058499E-2</c:v>
                </c:pt>
                <c:pt idx="119">
                  <c:v>-2.45303266500068E-2</c:v>
                </c:pt>
                <c:pt idx="120">
                  <c:v>-7.6822805879311104E-2</c:v>
                </c:pt>
                <c:pt idx="121">
                  <c:v>-1.9485043928831498E-2</c:v>
                </c:pt>
                <c:pt idx="122">
                  <c:v>-5.83721401945652E-3</c:v>
                </c:pt>
                <c:pt idx="123">
                  <c:v>-1.71350983196924E-3</c:v>
                </c:pt>
                <c:pt idx="124">
                  <c:v>-5.1285303676951097E-3</c:v>
                </c:pt>
                <c:pt idx="125">
                  <c:v>-8.1671970850082792E-3</c:v>
                </c:pt>
                <c:pt idx="126">
                  <c:v>-1.0968788250768501E-3</c:v>
                </c:pt>
                <c:pt idx="127">
                  <c:v>3.82652793678226E-3</c:v>
                </c:pt>
                <c:pt idx="128">
                  <c:v>5.0233146692655597E-3</c:v>
                </c:pt>
                <c:pt idx="129">
                  <c:v>8.8069027955429997E-3</c:v>
                </c:pt>
                <c:pt idx="130">
                  <c:v>4.4184130833294999E-3</c:v>
                </c:pt>
                <c:pt idx="131">
                  <c:v>6.1150307446575201E-3</c:v>
                </c:pt>
                <c:pt idx="132">
                  <c:v>1.4951968975401001E-2</c:v>
                </c:pt>
                <c:pt idx="133">
                  <c:v>1.2834673631788999E-2</c:v>
                </c:pt>
                <c:pt idx="134">
                  <c:v>1.2049469486433701E-2</c:v>
                </c:pt>
                <c:pt idx="135">
                  <c:v>2.1753860794426198E-2</c:v>
                </c:pt>
                <c:pt idx="136">
                  <c:v>3.82616228451371E-3</c:v>
                </c:pt>
                <c:pt idx="137">
                  <c:v>5.08315283337386E-3</c:v>
                </c:pt>
                <c:pt idx="138">
                  <c:v>-3.1664146942924098E-3</c:v>
                </c:pt>
                <c:pt idx="139">
                  <c:v>-1.0952477536054E-3</c:v>
                </c:pt>
                <c:pt idx="140">
                  <c:v>-1.2124871870431799E-3</c:v>
                </c:pt>
                <c:pt idx="141">
                  <c:v>-6.16656976510909E-3</c:v>
                </c:pt>
                <c:pt idx="142">
                  <c:v>-1.4574897032655101E-2</c:v>
                </c:pt>
                <c:pt idx="143">
                  <c:v>-4.6328217488732998E-3</c:v>
                </c:pt>
                <c:pt idx="144">
                  <c:v>-8.1517813364859193E-3</c:v>
                </c:pt>
                <c:pt idx="145">
                  <c:v>-1.1255725273723999E-2</c:v>
                </c:pt>
                <c:pt idx="146">
                  <c:v>-1.4528816096967399E-2</c:v>
                </c:pt>
                <c:pt idx="147">
                  <c:v>-1.5627400724923399E-2</c:v>
                </c:pt>
                <c:pt idx="148">
                  <c:v>-5.5734776370064002E-3</c:v>
                </c:pt>
                <c:pt idx="149">
                  <c:v>-1.03070335777854E-2</c:v>
                </c:pt>
                <c:pt idx="150">
                  <c:v>9.8309997001583202E-3</c:v>
                </c:pt>
                <c:pt idx="151">
                  <c:v>1.23076565538112E-2</c:v>
                </c:pt>
                <c:pt idx="152">
                  <c:v>1.39920537196099E-2</c:v>
                </c:pt>
                <c:pt idx="153">
                  <c:v>7.2526134779500699E-3</c:v>
                </c:pt>
                <c:pt idx="154">
                  <c:v>7.3625422778886296E-4</c:v>
                </c:pt>
                <c:pt idx="155">
                  <c:v>-6.7695146245033101E-3</c:v>
                </c:pt>
                <c:pt idx="156">
                  <c:v>-2.4774608538102099E-3</c:v>
                </c:pt>
                <c:pt idx="157">
                  <c:v>-1.8371251182218099E-3</c:v>
                </c:pt>
                <c:pt idx="158">
                  <c:v>-6.3423527415135596E-3</c:v>
                </c:pt>
                <c:pt idx="159">
                  <c:v>-3.2468170935741E-4</c:v>
                </c:pt>
                <c:pt idx="160">
                  <c:v>-2.3799406842769299E-3</c:v>
                </c:pt>
                <c:pt idx="161">
                  <c:v>-2.63982403827159E-4</c:v>
                </c:pt>
                <c:pt idx="162">
                  <c:v>-1.3943652560732499E-3</c:v>
                </c:pt>
                <c:pt idx="163">
                  <c:v>-1.8718794966200399E-3</c:v>
                </c:pt>
                <c:pt idx="164">
                  <c:v>-6.7092653669185501E-3</c:v>
                </c:pt>
                <c:pt idx="165">
                  <c:v>-7.60277868046722E-3</c:v>
                </c:pt>
                <c:pt idx="166">
                  <c:v>-7.3459057382076597E-3</c:v>
                </c:pt>
                <c:pt idx="167">
                  <c:v>-3.3367100900982198E-3</c:v>
                </c:pt>
                <c:pt idx="168">
                  <c:v>-1.46041055769589E-3</c:v>
                </c:pt>
                <c:pt idx="169">
                  <c:v>4.20453170640675E-3</c:v>
                </c:pt>
                <c:pt idx="170">
                  <c:v>6.5030421630272901E-3</c:v>
                </c:pt>
                <c:pt idx="171">
                  <c:v>3.4439765195497799E-4</c:v>
                </c:pt>
                <c:pt idx="172">
                  <c:v>2.7429027548884302E-3</c:v>
                </c:pt>
                <c:pt idx="173">
                  <c:v>8.0860461233439908E-3</c:v>
                </c:pt>
                <c:pt idx="174">
                  <c:v>9.4060058918236204E-3</c:v>
                </c:pt>
                <c:pt idx="175">
                  <c:v>1.13880788222946E-2</c:v>
                </c:pt>
                <c:pt idx="176">
                  <c:v>1.20484391825751E-2</c:v>
                </c:pt>
                <c:pt idx="177">
                  <c:v>1.24660725958402E-2</c:v>
                </c:pt>
                <c:pt idx="178">
                  <c:v>2.5100100854958999E-3</c:v>
                </c:pt>
                <c:pt idx="179">
                  <c:v>1.57920048135286E-2</c:v>
                </c:pt>
                <c:pt idx="180">
                  <c:v>1.7776622614845299E-2</c:v>
                </c:pt>
                <c:pt idx="181">
                  <c:v>2.4800388949402299E-2</c:v>
                </c:pt>
                <c:pt idx="182">
                  <c:v>2.54570063222587E-2</c:v>
                </c:pt>
                <c:pt idx="183">
                  <c:v>6.4906536151222802E-3</c:v>
                </c:pt>
                <c:pt idx="184">
                  <c:v>5.27073646420749E-3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20-4E0E-A3E3-32972CD66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  <c:min val="-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2.6426520789857993E-3</c:v>
                </c:pt>
                <c:pt idx="59">
                  <c:v>2.5275813186970975E-3</c:v>
                </c:pt>
                <c:pt idx="60">
                  <c:v>2.1704323750189949E-3</c:v>
                </c:pt>
                <c:pt idx="61">
                  <c:v>1.9978120136480981E-3</c:v>
                </c:pt>
                <c:pt idx="62">
                  <c:v>3.2670706839095977E-3</c:v>
                </c:pt>
                <c:pt idx="63">
                  <c:v>6.5753209996154988E-3</c:v>
                </c:pt>
                <c:pt idx="64">
                  <c:v>6.5753209996154988E-3</c:v>
                </c:pt>
                <c:pt idx="65">
                  <c:v>6.5753209996154988E-3</c:v>
                </c:pt>
                <c:pt idx="66">
                  <c:v>6.5753209996154988E-3</c:v>
                </c:pt>
                <c:pt idx="67">
                  <c:v>6.5753209996154988E-3</c:v>
                </c:pt>
                <c:pt idx="68">
                  <c:v>6.5753209996154988E-3</c:v>
                </c:pt>
                <c:pt idx="69">
                  <c:v>6.5753209996154988E-3</c:v>
                </c:pt>
                <c:pt idx="70">
                  <c:v>6.5753209996154988E-3</c:v>
                </c:pt>
                <c:pt idx="71">
                  <c:v>6.5753209996154988E-3</c:v>
                </c:pt>
                <c:pt idx="72">
                  <c:v>6.5753209996154988E-3</c:v>
                </c:pt>
                <c:pt idx="73">
                  <c:v>6.5753209996154988E-3</c:v>
                </c:pt>
                <c:pt idx="74">
                  <c:v>6.5753209996154988E-3</c:v>
                </c:pt>
                <c:pt idx="75">
                  <c:v>6.5753209996154988E-3</c:v>
                </c:pt>
                <c:pt idx="76">
                  <c:v>6.5753209996154988E-3</c:v>
                </c:pt>
                <c:pt idx="77">
                  <c:v>6.5753209996154988E-3</c:v>
                </c:pt>
                <c:pt idx="78">
                  <c:v>6.5753209996154988E-3</c:v>
                </c:pt>
                <c:pt idx="79">
                  <c:v>6.5753209996154988E-3</c:v>
                </c:pt>
                <c:pt idx="80">
                  <c:v>6.5753209996154988E-3</c:v>
                </c:pt>
                <c:pt idx="81">
                  <c:v>6.5753209996154988E-3</c:v>
                </c:pt>
                <c:pt idx="82">
                  <c:v>6.5753209996154988E-3</c:v>
                </c:pt>
                <c:pt idx="83">
                  <c:v>6.5753209996154988E-3</c:v>
                </c:pt>
                <c:pt idx="84">
                  <c:v>6.5753209996154988E-3</c:v>
                </c:pt>
                <c:pt idx="85">
                  <c:v>6.5753209996154988E-3</c:v>
                </c:pt>
                <c:pt idx="86">
                  <c:v>6.5753209996154988E-3</c:v>
                </c:pt>
                <c:pt idx="87">
                  <c:v>6.5753209996154988E-3</c:v>
                </c:pt>
                <c:pt idx="88">
                  <c:v>6.5753209996154988E-3</c:v>
                </c:pt>
                <c:pt idx="89">
                  <c:v>6.5753209996154988E-3</c:v>
                </c:pt>
                <c:pt idx="90">
                  <c:v>6.5753209996154988E-3</c:v>
                </c:pt>
                <c:pt idx="91">
                  <c:v>6.5753209996154988E-3</c:v>
                </c:pt>
                <c:pt idx="92">
                  <c:v>6.5753209996154988E-3</c:v>
                </c:pt>
                <c:pt idx="93">
                  <c:v>6.5753209996154988E-3</c:v>
                </c:pt>
                <c:pt idx="94">
                  <c:v>6.5753209996154988E-3</c:v>
                </c:pt>
                <c:pt idx="95">
                  <c:v>6.5753209996154988E-3</c:v>
                </c:pt>
                <c:pt idx="96">
                  <c:v>4.2572725224002995E-3</c:v>
                </c:pt>
                <c:pt idx="97">
                  <c:v>2.5738376786421099E-2</c:v>
                </c:pt>
                <c:pt idx="98">
                  <c:v>2.5738376786421099E-2</c:v>
                </c:pt>
                <c:pt idx="99">
                  <c:v>2.5738376786421099E-2</c:v>
                </c:pt>
                <c:pt idx="100">
                  <c:v>-2.73709208162187E-2</c:v>
                </c:pt>
                <c:pt idx="101">
                  <c:v>2.5778823409064861E-2</c:v>
                </c:pt>
                <c:pt idx="102">
                  <c:v>3.7898640124255499E-2</c:v>
                </c:pt>
                <c:pt idx="103">
                  <c:v>3.7898640124255499E-2</c:v>
                </c:pt>
                <c:pt idx="104">
                  <c:v>3.7898640124255499E-2</c:v>
                </c:pt>
                <c:pt idx="105">
                  <c:v>3.7898640124255499E-2</c:v>
                </c:pt>
                <c:pt idx="106">
                  <c:v>3.7898640124255499E-2</c:v>
                </c:pt>
                <c:pt idx="107">
                  <c:v>3.7898640124255499E-2</c:v>
                </c:pt>
                <c:pt idx="108">
                  <c:v>3.7898640124255499E-2</c:v>
                </c:pt>
                <c:pt idx="109">
                  <c:v>3.7898640124255499E-2</c:v>
                </c:pt>
                <c:pt idx="110">
                  <c:v>3.7898640124255499E-2</c:v>
                </c:pt>
                <c:pt idx="111">
                  <c:v>3.7898640124255499E-2</c:v>
                </c:pt>
                <c:pt idx="112">
                  <c:v>3.7898640124255499E-2</c:v>
                </c:pt>
                <c:pt idx="113">
                  <c:v>3.7898640124255499E-2</c:v>
                </c:pt>
                <c:pt idx="114">
                  <c:v>3.7898640124255499E-2</c:v>
                </c:pt>
                <c:pt idx="115">
                  <c:v>3.7898640124255499E-2</c:v>
                </c:pt>
                <c:pt idx="116">
                  <c:v>3.7898640124255499E-2</c:v>
                </c:pt>
                <c:pt idx="117">
                  <c:v>3.7898640124255499E-2</c:v>
                </c:pt>
                <c:pt idx="118">
                  <c:v>3.7898640124255499E-2</c:v>
                </c:pt>
                <c:pt idx="119">
                  <c:v>3.7898640124255499E-2</c:v>
                </c:pt>
                <c:pt idx="120">
                  <c:v>3.7898640124255499E-2</c:v>
                </c:pt>
                <c:pt idx="121">
                  <c:v>3.7898640124255499E-2</c:v>
                </c:pt>
                <c:pt idx="122">
                  <c:v>3.7898640124255499E-2</c:v>
                </c:pt>
                <c:pt idx="123">
                  <c:v>3.7898640124255499E-2</c:v>
                </c:pt>
                <c:pt idx="124">
                  <c:v>3.7898640124255499E-2</c:v>
                </c:pt>
                <c:pt idx="125">
                  <c:v>3.7898640124255499E-2</c:v>
                </c:pt>
                <c:pt idx="126">
                  <c:v>3.7898640124255499E-2</c:v>
                </c:pt>
                <c:pt idx="127">
                  <c:v>3.7898640124255499E-2</c:v>
                </c:pt>
                <c:pt idx="128">
                  <c:v>3.7898640124255499E-2</c:v>
                </c:pt>
                <c:pt idx="129">
                  <c:v>3.7898640124255499E-2</c:v>
                </c:pt>
                <c:pt idx="130">
                  <c:v>3.7898640124255499E-2</c:v>
                </c:pt>
                <c:pt idx="131">
                  <c:v>3.7898640124255499E-2</c:v>
                </c:pt>
                <c:pt idx="132">
                  <c:v>3.7898640124255499E-2</c:v>
                </c:pt>
                <c:pt idx="133">
                  <c:v>3.7898640124255499E-2</c:v>
                </c:pt>
                <c:pt idx="134">
                  <c:v>3.7898640124255499E-2</c:v>
                </c:pt>
                <c:pt idx="135">
                  <c:v>3.7898640124255499E-2</c:v>
                </c:pt>
                <c:pt idx="136">
                  <c:v>3.7898640124255499E-2</c:v>
                </c:pt>
                <c:pt idx="137">
                  <c:v>3.7898640124255499E-2</c:v>
                </c:pt>
                <c:pt idx="138">
                  <c:v>3.7898640124255499E-2</c:v>
                </c:pt>
                <c:pt idx="139">
                  <c:v>3.7898640124255499E-2</c:v>
                </c:pt>
                <c:pt idx="140">
                  <c:v>3.7898640124255499E-2</c:v>
                </c:pt>
                <c:pt idx="141">
                  <c:v>3.7898640124255499E-2</c:v>
                </c:pt>
                <c:pt idx="142">
                  <c:v>3.7898640124255499E-2</c:v>
                </c:pt>
                <c:pt idx="143">
                  <c:v>3.7898640124255499E-2</c:v>
                </c:pt>
                <c:pt idx="144">
                  <c:v>3.7898640124255499E-2</c:v>
                </c:pt>
                <c:pt idx="145">
                  <c:v>3.7898640124255499E-2</c:v>
                </c:pt>
                <c:pt idx="146">
                  <c:v>3.7898640124255499E-2</c:v>
                </c:pt>
                <c:pt idx="147">
                  <c:v>3.7898640124255499E-2</c:v>
                </c:pt>
                <c:pt idx="148">
                  <c:v>3.7898640124255499E-2</c:v>
                </c:pt>
                <c:pt idx="149">
                  <c:v>3.7898640124255499E-2</c:v>
                </c:pt>
                <c:pt idx="150">
                  <c:v>3.7898640124255499E-2</c:v>
                </c:pt>
                <c:pt idx="151">
                  <c:v>3.7898640124255499E-2</c:v>
                </c:pt>
                <c:pt idx="152">
                  <c:v>3.7898640124255499E-2</c:v>
                </c:pt>
                <c:pt idx="153">
                  <c:v>3.7898640124255499E-2</c:v>
                </c:pt>
                <c:pt idx="154">
                  <c:v>3.7898640124255499E-2</c:v>
                </c:pt>
                <c:pt idx="155">
                  <c:v>3.7898640124255499E-2</c:v>
                </c:pt>
                <c:pt idx="156">
                  <c:v>3.7898640124255499E-2</c:v>
                </c:pt>
                <c:pt idx="157">
                  <c:v>3.7898640124255499E-2</c:v>
                </c:pt>
                <c:pt idx="158">
                  <c:v>3.7898640124255499E-2</c:v>
                </c:pt>
                <c:pt idx="159">
                  <c:v>3.7898640124255499E-2</c:v>
                </c:pt>
                <c:pt idx="160">
                  <c:v>3.7898640124255499E-2</c:v>
                </c:pt>
                <c:pt idx="161">
                  <c:v>3.7898640124255499E-2</c:v>
                </c:pt>
                <c:pt idx="162">
                  <c:v>3.7898640124255499E-2</c:v>
                </c:pt>
                <c:pt idx="163">
                  <c:v>3.7898640124255499E-2</c:v>
                </c:pt>
                <c:pt idx="164">
                  <c:v>3.7898640124255499E-2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C-4A33-B3D8-74803739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6.3345912755249922E-4</c:v>
                </c:pt>
                <c:pt idx="11">
                  <c:v>-5.8933192519806804E-3</c:v>
                </c:pt>
                <c:pt idx="12">
                  <c:v>6.4459323612630383E-3</c:v>
                </c:pt>
                <c:pt idx="13">
                  <c:v>6.4459323612630383E-3</c:v>
                </c:pt>
                <c:pt idx="14">
                  <c:v>6.4459323612630383E-3</c:v>
                </c:pt>
                <c:pt idx="15">
                  <c:v>6.4459323612630383E-3</c:v>
                </c:pt>
                <c:pt idx="16">
                  <c:v>6.4459323612630383E-3</c:v>
                </c:pt>
                <c:pt idx="17">
                  <c:v>6.4459323612630383E-3</c:v>
                </c:pt>
                <c:pt idx="18">
                  <c:v>6.4459323612630383E-3</c:v>
                </c:pt>
                <c:pt idx="19">
                  <c:v>6.4459323612630383E-3</c:v>
                </c:pt>
                <c:pt idx="20">
                  <c:v>6.4459323612630383E-3</c:v>
                </c:pt>
                <c:pt idx="21">
                  <c:v>6.4459323612630383E-3</c:v>
                </c:pt>
                <c:pt idx="22">
                  <c:v>6.4459323612630383E-3</c:v>
                </c:pt>
                <c:pt idx="23">
                  <c:v>6.4459323612630383E-3</c:v>
                </c:pt>
                <c:pt idx="24">
                  <c:v>6.4459323612630383E-3</c:v>
                </c:pt>
                <c:pt idx="25">
                  <c:v>6.4459323612630383E-3</c:v>
                </c:pt>
                <c:pt idx="26">
                  <c:v>6.4459323612630383E-3</c:v>
                </c:pt>
                <c:pt idx="27">
                  <c:v>6.4459323612630383E-3</c:v>
                </c:pt>
                <c:pt idx="28">
                  <c:v>6.4459323612630383E-3</c:v>
                </c:pt>
                <c:pt idx="29">
                  <c:v>6.4459323612630383E-3</c:v>
                </c:pt>
                <c:pt idx="30">
                  <c:v>6.4459323612630383E-3</c:v>
                </c:pt>
                <c:pt idx="31">
                  <c:v>6.4459323612630383E-3</c:v>
                </c:pt>
                <c:pt idx="32">
                  <c:v>6.4459323612630383E-3</c:v>
                </c:pt>
                <c:pt idx="33">
                  <c:v>1.2870903510080887E-2</c:v>
                </c:pt>
                <c:pt idx="34">
                  <c:v>1.2870903510080887E-2</c:v>
                </c:pt>
                <c:pt idx="35">
                  <c:v>1.2870903510080887E-2</c:v>
                </c:pt>
                <c:pt idx="36">
                  <c:v>1.3129167571592427E-2</c:v>
                </c:pt>
                <c:pt idx="37">
                  <c:v>1.6140690260207164E-2</c:v>
                </c:pt>
                <c:pt idx="38">
                  <c:v>1.8861195120104233E-2</c:v>
                </c:pt>
                <c:pt idx="39">
                  <c:v>1.8861195120104233E-2</c:v>
                </c:pt>
                <c:pt idx="40">
                  <c:v>1.8861195120104233E-2</c:v>
                </c:pt>
                <c:pt idx="41">
                  <c:v>1.8861195120104233E-2</c:v>
                </c:pt>
                <c:pt idx="42">
                  <c:v>1.8861195120104233E-2</c:v>
                </c:pt>
                <c:pt idx="43">
                  <c:v>1.8861195120104233E-2</c:v>
                </c:pt>
                <c:pt idx="44">
                  <c:v>1.8861195120104233E-2</c:v>
                </c:pt>
                <c:pt idx="45">
                  <c:v>1.8861195120104233E-2</c:v>
                </c:pt>
                <c:pt idx="46">
                  <c:v>1.8861195120104233E-2</c:v>
                </c:pt>
                <c:pt idx="47">
                  <c:v>1.8861195120104233E-2</c:v>
                </c:pt>
                <c:pt idx="48">
                  <c:v>1.8861195120104233E-2</c:v>
                </c:pt>
                <c:pt idx="49">
                  <c:v>1.8861195120104233E-2</c:v>
                </c:pt>
                <c:pt idx="50">
                  <c:v>1.8861195120104233E-2</c:v>
                </c:pt>
                <c:pt idx="51">
                  <c:v>1.8861195120104233E-2</c:v>
                </c:pt>
                <c:pt idx="52">
                  <c:v>1.8861195120104233E-2</c:v>
                </c:pt>
                <c:pt idx="53">
                  <c:v>1.8861195120104233E-2</c:v>
                </c:pt>
                <c:pt idx="54">
                  <c:v>1.8861195120104233E-2</c:v>
                </c:pt>
                <c:pt idx="55">
                  <c:v>1.8861195120104233E-2</c:v>
                </c:pt>
                <c:pt idx="56">
                  <c:v>1.8861195120104233E-2</c:v>
                </c:pt>
                <c:pt idx="57">
                  <c:v>1.8861195120104233E-2</c:v>
                </c:pt>
                <c:pt idx="58">
                  <c:v>1.8861195120104233E-2</c:v>
                </c:pt>
                <c:pt idx="59">
                  <c:v>1.8861195120104233E-2</c:v>
                </c:pt>
                <c:pt idx="60">
                  <c:v>1.8861195120104233E-2</c:v>
                </c:pt>
                <c:pt idx="61">
                  <c:v>1.8861195120104233E-2</c:v>
                </c:pt>
                <c:pt idx="62">
                  <c:v>1.8861195120104233E-2</c:v>
                </c:pt>
                <c:pt idx="63">
                  <c:v>1.8861195120104233E-2</c:v>
                </c:pt>
                <c:pt idx="64">
                  <c:v>1.8861195120104233E-2</c:v>
                </c:pt>
                <c:pt idx="65">
                  <c:v>1.8861195120104233E-2</c:v>
                </c:pt>
                <c:pt idx="66">
                  <c:v>1.8861195120104233E-2</c:v>
                </c:pt>
                <c:pt idx="67">
                  <c:v>1.8861195120104233E-2</c:v>
                </c:pt>
                <c:pt idx="68">
                  <c:v>1.8861195120104233E-2</c:v>
                </c:pt>
                <c:pt idx="69">
                  <c:v>1.8861195120104233E-2</c:v>
                </c:pt>
                <c:pt idx="70">
                  <c:v>1.8861195120104233E-2</c:v>
                </c:pt>
                <c:pt idx="71">
                  <c:v>1.8861195120104233E-2</c:v>
                </c:pt>
                <c:pt idx="72">
                  <c:v>2.9166419230217532E-2</c:v>
                </c:pt>
                <c:pt idx="73">
                  <c:v>2.9166419230217532E-2</c:v>
                </c:pt>
                <c:pt idx="74">
                  <c:v>3.5821140649734629E-2</c:v>
                </c:pt>
                <c:pt idx="75">
                  <c:v>3.066061367748053E-2</c:v>
                </c:pt>
                <c:pt idx="76">
                  <c:v>3.4218236768248936E-2</c:v>
                </c:pt>
                <c:pt idx="77">
                  <c:v>3.3069450187169433E-2</c:v>
                </c:pt>
                <c:pt idx="78">
                  <c:v>3.1400282429995235E-2</c:v>
                </c:pt>
                <c:pt idx="79">
                  <c:v>4.4400663802065338E-2</c:v>
                </c:pt>
                <c:pt idx="80">
                  <c:v>4.4400663802065338E-2</c:v>
                </c:pt>
                <c:pt idx="81">
                  <c:v>4.4400663802065338E-2</c:v>
                </c:pt>
                <c:pt idx="82">
                  <c:v>4.7539637302951236E-2</c:v>
                </c:pt>
                <c:pt idx="83">
                  <c:v>4.6145254319598532E-2</c:v>
                </c:pt>
                <c:pt idx="84">
                  <c:v>4.4650376061781231E-2</c:v>
                </c:pt>
                <c:pt idx="85">
                  <c:v>4.997939334019038E-2</c:v>
                </c:pt>
                <c:pt idx="86">
                  <c:v>4.997939334019038E-2</c:v>
                </c:pt>
                <c:pt idx="87">
                  <c:v>4.997939334019038E-2</c:v>
                </c:pt>
                <c:pt idx="88">
                  <c:v>4.997939334019038E-2</c:v>
                </c:pt>
                <c:pt idx="89">
                  <c:v>4.997939334019038E-2</c:v>
                </c:pt>
                <c:pt idx="90">
                  <c:v>4.8563296808997541E-2</c:v>
                </c:pt>
                <c:pt idx="91">
                  <c:v>4.8677942313758236E-2</c:v>
                </c:pt>
                <c:pt idx="92">
                  <c:v>5.0073641250661938E-2</c:v>
                </c:pt>
                <c:pt idx="93">
                  <c:v>4.8968831258566638E-2</c:v>
                </c:pt>
                <c:pt idx="94">
                  <c:v>6.2367259005959942E-2</c:v>
                </c:pt>
                <c:pt idx="95">
                  <c:v>6.2367259005959942E-2</c:v>
                </c:pt>
                <c:pt idx="96">
                  <c:v>6.2367259005959942E-2</c:v>
                </c:pt>
                <c:pt idx="97">
                  <c:v>6.2367259005959942E-2</c:v>
                </c:pt>
                <c:pt idx="98">
                  <c:v>6.2367259005959942E-2</c:v>
                </c:pt>
                <c:pt idx="99">
                  <c:v>6.2367259005959942E-2</c:v>
                </c:pt>
                <c:pt idx="100">
                  <c:v>6.2367259005959942E-2</c:v>
                </c:pt>
                <c:pt idx="101">
                  <c:v>6.2367259005959942E-2</c:v>
                </c:pt>
                <c:pt idx="102">
                  <c:v>6.2367259005959942E-2</c:v>
                </c:pt>
                <c:pt idx="103">
                  <c:v>6.2367259005959942E-2</c:v>
                </c:pt>
                <c:pt idx="104">
                  <c:v>6.2367259005959942E-2</c:v>
                </c:pt>
                <c:pt idx="105">
                  <c:v>6.2367259005959942E-2</c:v>
                </c:pt>
                <c:pt idx="106">
                  <c:v>6.2367259005959942E-2</c:v>
                </c:pt>
                <c:pt idx="107">
                  <c:v>6.2367259005959942E-2</c:v>
                </c:pt>
                <c:pt idx="108">
                  <c:v>6.2367259005959942E-2</c:v>
                </c:pt>
                <c:pt idx="109">
                  <c:v>6.2367259005959942E-2</c:v>
                </c:pt>
                <c:pt idx="110">
                  <c:v>6.2367259005959942E-2</c:v>
                </c:pt>
                <c:pt idx="111">
                  <c:v>6.2367259005959942E-2</c:v>
                </c:pt>
                <c:pt idx="112">
                  <c:v>6.2367259005959942E-2</c:v>
                </c:pt>
                <c:pt idx="113">
                  <c:v>6.4983468735263436E-2</c:v>
                </c:pt>
                <c:pt idx="114">
                  <c:v>6.6450016926952044E-2</c:v>
                </c:pt>
                <c:pt idx="115">
                  <c:v>5.6842940991804043E-2</c:v>
                </c:pt>
                <c:pt idx="116">
                  <c:v>7.3169088267634241E-2</c:v>
                </c:pt>
                <c:pt idx="117">
                  <c:v>7.3169088267634241E-2</c:v>
                </c:pt>
                <c:pt idx="118">
                  <c:v>7.3169088267634241E-2</c:v>
                </c:pt>
                <c:pt idx="119">
                  <c:v>7.3169088267634241E-2</c:v>
                </c:pt>
                <c:pt idx="120">
                  <c:v>7.3169088267634241E-2</c:v>
                </c:pt>
                <c:pt idx="121">
                  <c:v>7.3169088267634241E-2</c:v>
                </c:pt>
                <c:pt idx="122">
                  <c:v>7.3169088267634241E-2</c:v>
                </c:pt>
                <c:pt idx="123">
                  <c:v>7.3169088267634241E-2</c:v>
                </c:pt>
                <c:pt idx="124">
                  <c:v>7.3169088267634241E-2</c:v>
                </c:pt>
                <c:pt idx="125">
                  <c:v>7.3169088267634241E-2</c:v>
                </c:pt>
                <c:pt idx="126">
                  <c:v>7.3169088267634241E-2</c:v>
                </c:pt>
                <c:pt idx="127">
                  <c:v>7.3169088267634241E-2</c:v>
                </c:pt>
                <c:pt idx="128">
                  <c:v>7.3169088267634241E-2</c:v>
                </c:pt>
                <c:pt idx="129">
                  <c:v>7.3169088267634241E-2</c:v>
                </c:pt>
                <c:pt idx="130">
                  <c:v>7.3169088267634241E-2</c:v>
                </c:pt>
                <c:pt idx="131">
                  <c:v>7.3169088267634241E-2</c:v>
                </c:pt>
                <c:pt idx="132">
                  <c:v>7.1142765950754638E-2</c:v>
                </c:pt>
                <c:pt idx="133">
                  <c:v>7.7830667799240444E-2</c:v>
                </c:pt>
                <c:pt idx="134">
                  <c:v>8.449704357277027E-2</c:v>
                </c:pt>
                <c:pt idx="135">
                  <c:v>8.449704357277027E-2</c:v>
                </c:pt>
                <c:pt idx="136">
                  <c:v>8.449704357277027E-2</c:v>
                </c:pt>
                <c:pt idx="137">
                  <c:v>8.449704357277027E-2</c:v>
                </c:pt>
                <c:pt idx="138">
                  <c:v>8.449704357277027E-2</c:v>
                </c:pt>
                <c:pt idx="139">
                  <c:v>8.449704357277027E-2</c:v>
                </c:pt>
                <c:pt idx="140">
                  <c:v>8.449704357277027E-2</c:v>
                </c:pt>
                <c:pt idx="141">
                  <c:v>8.449704357277027E-2</c:v>
                </c:pt>
                <c:pt idx="142">
                  <c:v>8.449704357277027E-2</c:v>
                </c:pt>
                <c:pt idx="143">
                  <c:v>8.449704357277027E-2</c:v>
                </c:pt>
                <c:pt idx="144">
                  <c:v>8.449704357277027E-2</c:v>
                </c:pt>
                <c:pt idx="145">
                  <c:v>8.449704357277027E-2</c:v>
                </c:pt>
                <c:pt idx="146">
                  <c:v>8.449704357277027E-2</c:v>
                </c:pt>
                <c:pt idx="147">
                  <c:v>8.449704357277027E-2</c:v>
                </c:pt>
                <c:pt idx="148">
                  <c:v>8.449704357277027E-2</c:v>
                </c:pt>
                <c:pt idx="149">
                  <c:v>8.449704357277027E-2</c:v>
                </c:pt>
                <c:pt idx="150">
                  <c:v>8.449704357277027E-2</c:v>
                </c:pt>
                <c:pt idx="151">
                  <c:v>8.449704357277027E-2</c:v>
                </c:pt>
                <c:pt idx="152">
                  <c:v>8.449704357277027E-2</c:v>
                </c:pt>
                <c:pt idx="153">
                  <c:v>8.449704357277027E-2</c:v>
                </c:pt>
                <c:pt idx="154">
                  <c:v>8.449704357277027E-2</c:v>
                </c:pt>
                <c:pt idx="155">
                  <c:v>8.449704357277027E-2</c:v>
                </c:pt>
                <c:pt idx="156">
                  <c:v>8.3087971096617363E-2</c:v>
                </c:pt>
                <c:pt idx="157">
                  <c:v>8.2002559387034962E-2</c:v>
                </c:pt>
                <c:pt idx="158">
                  <c:v>9.1252781472949296E-2</c:v>
                </c:pt>
                <c:pt idx="159">
                  <c:v>9.1252781472949296E-2</c:v>
                </c:pt>
                <c:pt idx="160">
                  <c:v>8.8380984627461606E-2</c:v>
                </c:pt>
                <c:pt idx="161">
                  <c:v>8.0221698040675513E-2</c:v>
                </c:pt>
                <c:pt idx="162">
                  <c:v>7.8125343326176128E-2</c:v>
                </c:pt>
                <c:pt idx="163">
                  <c:v>9.5490075948464495E-2</c:v>
                </c:pt>
                <c:pt idx="164">
                  <c:v>9.5954649506827736E-2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E-4F98-A901-64DC60B4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Sheet1!$BF$22:$BF$186</c:f>
              <c:numCache>
                <c:formatCode>0.00%</c:formatCode>
                <c:ptCount val="1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6.3345912755249922E-4</c:v>
                </c:pt>
                <c:pt idx="11">
                  <c:v>-5.8933192519806804E-3</c:v>
                </c:pt>
                <c:pt idx="12">
                  <c:v>6.4459323612630383E-3</c:v>
                </c:pt>
                <c:pt idx="13">
                  <c:v>6.4459323612630383E-3</c:v>
                </c:pt>
                <c:pt idx="14">
                  <c:v>6.4459323612630383E-3</c:v>
                </c:pt>
                <c:pt idx="15">
                  <c:v>6.4459323612630383E-3</c:v>
                </c:pt>
                <c:pt idx="16">
                  <c:v>6.4459323612630383E-3</c:v>
                </c:pt>
                <c:pt idx="17">
                  <c:v>6.4459323612630383E-3</c:v>
                </c:pt>
                <c:pt idx="18">
                  <c:v>6.4459323612630383E-3</c:v>
                </c:pt>
                <c:pt idx="19">
                  <c:v>6.4459323612630383E-3</c:v>
                </c:pt>
                <c:pt idx="20">
                  <c:v>6.4459323612630383E-3</c:v>
                </c:pt>
                <c:pt idx="21">
                  <c:v>6.4459323612630383E-3</c:v>
                </c:pt>
                <c:pt idx="22">
                  <c:v>6.4459323612630383E-3</c:v>
                </c:pt>
                <c:pt idx="23">
                  <c:v>6.4459323612630383E-3</c:v>
                </c:pt>
                <c:pt idx="24">
                  <c:v>6.4459323612630383E-3</c:v>
                </c:pt>
                <c:pt idx="25">
                  <c:v>6.4459323612630383E-3</c:v>
                </c:pt>
                <c:pt idx="26">
                  <c:v>6.4459323612630383E-3</c:v>
                </c:pt>
                <c:pt idx="27">
                  <c:v>6.4459323612630383E-3</c:v>
                </c:pt>
                <c:pt idx="28">
                  <c:v>6.4459323612630383E-3</c:v>
                </c:pt>
                <c:pt idx="29">
                  <c:v>6.4459323612630383E-3</c:v>
                </c:pt>
                <c:pt idx="30">
                  <c:v>6.4459323612630383E-3</c:v>
                </c:pt>
                <c:pt idx="31">
                  <c:v>6.4459323612630383E-3</c:v>
                </c:pt>
                <c:pt idx="32">
                  <c:v>6.4459323612630383E-3</c:v>
                </c:pt>
                <c:pt idx="33">
                  <c:v>1.2870903510080887E-2</c:v>
                </c:pt>
                <c:pt idx="34">
                  <c:v>1.2870903510080887E-2</c:v>
                </c:pt>
                <c:pt idx="35">
                  <c:v>1.2870903510080887E-2</c:v>
                </c:pt>
                <c:pt idx="36">
                  <c:v>1.3129167571592427E-2</c:v>
                </c:pt>
                <c:pt idx="37">
                  <c:v>1.6140690260207164E-2</c:v>
                </c:pt>
                <c:pt idx="38">
                  <c:v>1.8861195120104233E-2</c:v>
                </c:pt>
                <c:pt idx="39">
                  <c:v>1.8861195120104233E-2</c:v>
                </c:pt>
                <c:pt idx="40">
                  <c:v>1.8861195120104233E-2</c:v>
                </c:pt>
                <c:pt idx="41">
                  <c:v>1.8861195120104233E-2</c:v>
                </c:pt>
                <c:pt idx="42">
                  <c:v>1.8861195120104233E-2</c:v>
                </c:pt>
                <c:pt idx="43">
                  <c:v>1.8861195120104233E-2</c:v>
                </c:pt>
                <c:pt idx="44">
                  <c:v>1.8861195120104233E-2</c:v>
                </c:pt>
                <c:pt idx="45">
                  <c:v>1.8861195120104233E-2</c:v>
                </c:pt>
                <c:pt idx="46">
                  <c:v>1.8861195120104233E-2</c:v>
                </c:pt>
                <c:pt idx="47">
                  <c:v>1.8861195120104233E-2</c:v>
                </c:pt>
                <c:pt idx="48">
                  <c:v>1.8861195120104233E-2</c:v>
                </c:pt>
                <c:pt idx="49">
                  <c:v>1.8861195120104233E-2</c:v>
                </c:pt>
                <c:pt idx="50">
                  <c:v>1.8861195120104233E-2</c:v>
                </c:pt>
                <c:pt idx="51">
                  <c:v>1.8861195120104233E-2</c:v>
                </c:pt>
                <c:pt idx="52">
                  <c:v>1.8861195120104233E-2</c:v>
                </c:pt>
                <c:pt idx="53">
                  <c:v>1.8861195120104233E-2</c:v>
                </c:pt>
                <c:pt idx="54">
                  <c:v>1.8861195120104233E-2</c:v>
                </c:pt>
                <c:pt idx="55">
                  <c:v>1.8861195120104233E-2</c:v>
                </c:pt>
                <c:pt idx="56">
                  <c:v>1.8861195120104233E-2</c:v>
                </c:pt>
                <c:pt idx="57">
                  <c:v>1.8861195120104233E-2</c:v>
                </c:pt>
                <c:pt idx="58">
                  <c:v>2.1503847199090032E-2</c:v>
                </c:pt>
                <c:pt idx="59">
                  <c:v>2.138877643880133E-2</c:v>
                </c:pt>
                <c:pt idx="60">
                  <c:v>2.1031627495123228E-2</c:v>
                </c:pt>
                <c:pt idx="61">
                  <c:v>2.0859007133752331E-2</c:v>
                </c:pt>
                <c:pt idx="62">
                  <c:v>2.2128265804013829E-2</c:v>
                </c:pt>
                <c:pt idx="63">
                  <c:v>2.543651611971973E-2</c:v>
                </c:pt>
                <c:pt idx="64">
                  <c:v>2.543651611971973E-2</c:v>
                </c:pt>
                <c:pt idx="65">
                  <c:v>2.543651611971973E-2</c:v>
                </c:pt>
                <c:pt idx="66">
                  <c:v>2.543651611971973E-2</c:v>
                </c:pt>
                <c:pt idx="67">
                  <c:v>2.543651611971973E-2</c:v>
                </c:pt>
                <c:pt idx="68">
                  <c:v>2.543651611971973E-2</c:v>
                </c:pt>
                <c:pt idx="69">
                  <c:v>2.543651611971973E-2</c:v>
                </c:pt>
                <c:pt idx="70">
                  <c:v>2.543651611971973E-2</c:v>
                </c:pt>
                <c:pt idx="71">
                  <c:v>2.543651611971973E-2</c:v>
                </c:pt>
                <c:pt idx="72">
                  <c:v>3.5741740229833029E-2</c:v>
                </c:pt>
                <c:pt idx="73">
                  <c:v>3.5741740229833029E-2</c:v>
                </c:pt>
                <c:pt idx="74">
                  <c:v>4.2396461649350126E-2</c:v>
                </c:pt>
                <c:pt idx="75">
                  <c:v>3.723593467709603E-2</c:v>
                </c:pt>
                <c:pt idx="76">
                  <c:v>4.0793557767864433E-2</c:v>
                </c:pt>
                <c:pt idx="77">
                  <c:v>3.964477118678493E-2</c:v>
                </c:pt>
                <c:pt idx="78">
                  <c:v>3.7975603429610733E-2</c:v>
                </c:pt>
                <c:pt idx="79">
                  <c:v>5.0975984801680835E-2</c:v>
                </c:pt>
                <c:pt idx="80">
                  <c:v>5.0975984801680835E-2</c:v>
                </c:pt>
                <c:pt idx="81">
                  <c:v>5.0975984801680835E-2</c:v>
                </c:pt>
                <c:pt idx="82">
                  <c:v>5.4114958302566733E-2</c:v>
                </c:pt>
                <c:pt idx="83">
                  <c:v>5.2720575319214029E-2</c:v>
                </c:pt>
                <c:pt idx="84">
                  <c:v>5.1225697061396729E-2</c:v>
                </c:pt>
                <c:pt idx="85">
                  <c:v>5.6554714339805877E-2</c:v>
                </c:pt>
                <c:pt idx="86">
                  <c:v>5.6554714339805877E-2</c:v>
                </c:pt>
                <c:pt idx="87">
                  <c:v>5.6554714339805877E-2</c:v>
                </c:pt>
                <c:pt idx="88">
                  <c:v>5.6554714339805877E-2</c:v>
                </c:pt>
                <c:pt idx="89">
                  <c:v>5.6554714339805877E-2</c:v>
                </c:pt>
                <c:pt idx="90">
                  <c:v>5.5138617808613039E-2</c:v>
                </c:pt>
                <c:pt idx="91">
                  <c:v>5.5253263313373734E-2</c:v>
                </c:pt>
                <c:pt idx="92">
                  <c:v>5.6648962250277435E-2</c:v>
                </c:pt>
                <c:pt idx="93">
                  <c:v>5.5544152258182135E-2</c:v>
                </c:pt>
                <c:pt idx="94">
                  <c:v>6.8942580005575432E-2</c:v>
                </c:pt>
                <c:pt idx="95">
                  <c:v>6.8942580005575432E-2</c:v>
                </c:pt>
                <c:pt idx="96">
                  <c:v>6.6624531528360231E-2</c:v>
                </c:pt>
                <c:pt idx="97">
                  <c:v>8.8105635792381037E-2</c:v>
                </c:pt>
                <c:pt idx="98">
                  <c:v>8.8105635792381037E-2</c:v>
                </c:pt>
                <c:pt idx="99">
                  <c:v>8.8105635792381037E-2</c:v>
                </c:pt>
                <c:pt idx="100">
                  <c:v>3.4996338189741238E-2</c:v>
                </c:pt>
                <c:pt idx="101">
                  <c:v>8.8146082415024807E-2</c:v>
                </c:pt>
                <c:pt idx="102">
                  <c:v>0.10026589913021544</c:v>
                </c:pt>
                <c:pt idx="103">
                  <c:v>0.10026589913021544</c:v>
                </c:pt>
                <c:pt idx="104">
                  <c:v>0.10026589913021544</c:v>
                </c:pt>
                <c:pt idx="105">
                  <c:v>0.10026589913021544</c:v>
                </c:pt>
                <c:pt idx="106">
                  <c:v>0.10026589913021544</c:v>
                </c:pt>
                <c:pt idx="107">
                  <c:v>0.10026589913021544</c:v>
                </c:pt>
                <c:pt idx="108">
                  <c:v>0.10026589913021544</c:v>
                </c:pt>
                <c:pt idx="109">
                  <c:v>0.10026589913021544</c:v>
                </c:pt>
                <c:pt idx="110">
                  <c:v>0.10026589913021544</c:v>
                </c:pt>
                <c:pt idx="111">
                  <c:v>0.10026589913021544</c:v>
                </c:pt>
                <c:pt idx="112">
                  <c:v>0.10026589913021544</c:v>
                </c:pt>
                <c:pt idx="113">
                  <c:v>0.10288210885951894</c:v>
                </c:pt>
                <c:pt idx="114">
                  <c:v>0.10434865705120755</c:v>
                </c:pt>
                <c:pt idx="115">
                  <c:v>9.4741581116059556E-2</c:v>
                </c:pt>
                <c:pt idx="116">
                  <c:v>0.11106772839188976</c:v>
                </c:pt>
                <c:pt idx="117">
                  <c:v>0.11106772839188976</c:v>
                </c:pt>
                <c:pt idx="118">
                  <c:v>0.11106772839188976</c:v>
                </c:pt>
                <c:pt idx="119">
                  <c:v>0.11106772839188976</c:v>
                </c:pt>
                <c:pt idx="120">
                  <c:v>0.11106772839188976</c:v>
                </c:pt>
                <c:pt idx="121">
                  <c:v>0.11106772839188976</c:v>
                </c:pt>
                <c:pt idx="122">
                  <c:v>0.11106772839188976</c:v>
                </c:pt>
                <c:pt idx="123">
                  <c:v>0.11106772839188976</c:v>
                </c:pt>
                <c:pt idx="124">
                  <c:v>0.11106772839188976</c:v>
                </c:pt>
                <c:pt idx="125">
                  <c:v>0.11106772839188976</c:v>
                </c:pt>
                <c:pt idx="126">
                  <c:v>0.11106772839188976</c:v>
                </c:pt>
                <c:pt idx="127">
                  <c:v>0.11106772839188976</c:v>
                </c:pt>
                <c:pt idx="128">
                  <c:v>0.11106772839188976</c:v>
                </c:pt>
                <c:pt idx="129">
                  <c:v>0.11106772839188976</c:v>
                </c:pt>
                <c:pt idx="130">
                  <c:v>0.11106772839188976</c:v>
                </c:pt>
                <c:pt idx="131">
                  <c:v>0.11106772839188976</c:v>
                </c:pt>
                <c:pt idx="132">
                  <c:v>0.10904140607501016</c:v>
                </c:pt>
                <c:pt idx="133">
                  <c:v>0.11572930792349596</c:v>
                </c:pt>
                <c:pt idx="134">
                  <c:v>0.12239568369702579</c:v>
                </c:pt>
                <c:pt idx="135">
                  <c:v>0.12239568369702579</c:v>
                </c:pt>
                <c:pt idx="136">
                  <c:v>0.12239568369702579</c:v>
                </c:pt>
                <c:pt idx="137">
                  <c:v>0.12239568369702579</c:v>
                </c:pt>
                <c:pt idx="138">
                  <c:v>0.12239568369702579</c:v>
                </c:pt>
                <c:pt idx="139">
                  <c:v>0.12239568369702579</c:v>
                </c:pt>
                <c:pt idx="140">
                  <c:v>0.12239568369702579</c:v>
                </c:pt>
                <c:pt idx="141">
                  <c:v>0.12239568369702579</c:v>
                </c:pt>
                <c:pt idx="142">
                  <c:v>0.12239568369702579</c:v>
                </c:pt>
                <c:pt idx="143">
                  <c:v>0.12239568369702579</c:v>
                </c:pt>
                <c:pt idx="144">
                  <c:v>0.12239568369702579</c:v>
                </c:pt>
                <c:pt idx="145">
                  <c:v>0.12239568369702579</c:v>
                </c:pt>
                <c:pt idx="146">
                  <c:v>0.12239568369702579</c:v>
                </c:pt>
                <c:pt idx="147">
                  <c:v>0.12239568369702579</c:v>
                </c:pt>
                <c:pt idx="148">
                  <c:v>0.12239568369702579</c:v>
                </c:pt>
                <c:pt idx="149">
                  <c:v>0.12239568369702579</c:v>
                </c:pt>
                <c:pt idx="150">
                  <c:v>0.12239568369702579</c:v>
                </c:pt>
                <c:pt idx="151">
                  <c:v>0.12239568369702579</c:v>
                </c:pt>
                <c:pt idx="152">
                  <c:v>0.12239568369702579</c:v>
                </c:pt>
                <c:pt idx="153">
                  <c:v>0.12239568369702579</c:v>
                </c:pt>
                <c:pt idx="154">
                  <c:v>0.12239568369702579</c:v>
                </c:pt>
                <c:pt idx="155">
                  <c:v>0.12239568369702579</c:v>
                </c:pt>
                <c:pt idx="156">
                  <c:v>0.1209866112208729</c:v>
                </c:pt>
                <c:pt idx="157">
                  <c:v>0.1199011995112905</c:v>
                </c:pt>
                <c:pt idx="158">
                  <c:v>0.12915142159720483</c:v>
                </c:pt>
                <c:pt idx="159">
                  <c:v>0.12915142159720483</c:v>
                </c:pt>
                <c:pt idx="160">
                  <c:v>0.12627962475171714</c:v>
                </c:pt>
                <c:pt idx="161">
                  <c:v>0.11812033816493105</c:v>
                </c:pt>
                <c:pt idx="162">
                  <c:v>0.11602398345043166</c:v>
                </c:pt>
                <c:pt idx="163">
                  <c:v>0.13338871607272001</c:v>
                </c:pt>
                <c:pt idx="164">
                  <c:v>0.13385328963108326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0-4863-A8CB-8AA368079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51472-9975-46AC-B6A2-BCEBA51D9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E0ACF-9245-4844-BF49-27020F61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11B9A2-5C01-44D0-9041-941D53577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CC0BEA-5A13-44A6-B0FA-BFB2408C8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7A9173-9B53-4530-AFEF-EDC7798F8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6B445F-158E-444E-B11D-37018109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B8834A-2100-4C73-8AEC-E2406B745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U_IDU_1.xlsx" TargetMode="External"/><Relationship Id="rId1" Type="http://schemas.openxmlformats.org/officeDocument/2006/relationships/externalLinkPath" Target="XLU_IDU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IDU/XLU avg</v>
          </cell>
          <cell r="P1" t="str">
            <v>IDU/XLU 10 dma</v>
          </cell>
          <cell r="Q1" t="str">
            <v>IDU/XLU 20 dma</v>
          </cell>
          <cell r="U1" t="str">
            <v>log diff XLU x avg / IDU</v>
          </cell>
          <cell r="V1" t="str">
            <v>log diff XLU x 10 dma / IDU</v>
          </cell>
          <cell r="W1" t="str">
            <v>log diff XLU x 20 dma / IDU</v>
          </cell>
          <cell r="Y1" t="str">
            <v>IDU*/XLU* avg</v>
          </cell>
          <cell r="Z1" t="str">
            <v>IDU*/XLU* 10 dma</v>
          </cell>
          <cell r="AA1" t="str">
            <v>IDU*/XLU* 20 dma</v>
          </cell>
          <cell r="AF1" t="str">
            <v>log diff XLU* x 10 dma / IDU*</v>
          </cell>
          <cell r="AG1" t="str">
            <v>log diff XLU* x 20 dma / IDU*</v>
          </cell>
        </row>
        <row r="2">
          <cell r="O2">
            <v>2.5341745756035601</v>
          </cell>
          <cell r="Y2">
            <v>2.5351085643703399</v>
          </cell>
        </row>
        <row r="3">
          <cell r="O3">
            <v>2.5341745756035601</v>
          </cell>
          <cell r="U3">
            <v>-1.8534426200627499E-3</v>
          </cell>
          <cell r="Y3">
            <v>2.5351085643703399</v>
          </cell>
        </row>
        <row r="4">
          <cell r="O4">
            <v>2.5341745756035601</v>
          </cell>
          <cell r="U4">
            <v>-1.08978118406199E-3</v>
          </cell>
          <cell r="Y4">
            <v>2.5351085643703399</v>
          </cell>
        </row>
        <row r="5">
          <cell r="O5">
            <v>2.5341745756035601</v>
          </cell>
          <cell r="U5">
            <v>-1.8277324982916099E-3</v>
          </cell>
          <cell r="Y5">
            <v>2.5351085643703399</v>
          </cell>
        </row>
        <row r="6">
          <cell r="O6">
            <v>2.5341745756035601</v>
          </cell>
          <cell r="U6">
            <v>-2.3467376577954698E-3</v>
          </cell>
          <cell r="Y6">
            <v>2.5351085643703399</v>
          </cell>
        </row>
        <row r="7">
          <cell r="O7">
            <v>2.5341745756035601</v>
          </cell>
          <cell r="U7">
            <v>-2.4313150554108902E-3</v>
          </cell>
          <cell r="Y7">
            <v>2.5351085643703399</v>
          </cell>
        </row>
        <row r="8">
          <cell r="O8">
            <v>2.5341745756035601</v>
          </cell>
          <cell r="U8">
            <v>-1.52653303118207E-3</v>
          </cell>
          <cell r="Y8">
            <v>2.5351085643703399</v>
          </cell>
        </row>
        <row r="9">
          <cell r="O9">
            <v>2.5341745756035601</v>
          </cell>
          <cell r="U9">
            <v>-1.20215198054073E-3</v>
          </cell>
          <cell r="Y9">
            <v>2.5351085643703399</v>
          </cell>
        </row>
        <row r="10">
          <cell r="O10">
            <v>2.5341745756035601</v>
          </cell>
          <cell r="U10">
            <v>-6.3675673052108605E-4</v>
          </cell>
          <cell r="Y10">
            <v>2.5351085643703399</v>
          </cell>
        </row>
        <row r="11">
          <cell r="O11">
            <v>2.5341745756035601</v>
          </cell>
          <cell r="P11">
            <v>2.5381380611469</v>
          </cell>
          <cell r="U11">
            <v>-1.8500371961257E-3</v>
          </cell>
          <cell r="Y11">
            <v>2.5351085643703399</v>
          </cell>
          <cell r="Z11">
            <v>2.5381380611469</v>
          </cell>
        </row>
        <row r="12">
          <cell r="O12">
            <v>2.5341745756035601</v>
          </cell>
          <cell r="P12">
            <v>2.5382241743541099</v>
          </cell>
          <cell r="U12">
            <v>-1.2012404534938201E-3</v>
          </cell>
          <cell r="V12">
            <v>3.6155215565868701E-4</v>
          </cell>
          <cell r="Y12">
            <v>2.5351085643703399</v>
          </cell>
          <cell r="Z12">
            <v>2.5382241743541099</v>
          </cell>
          <cell r="AF12">
            <v>3.6155215565868701E-4</v>
          </cell>
        </row>
        <row r="13">
          <cell r="O13">
            <v>2.5341745756035601</v>
          </cell>
          <cell r="P13">
            <v>2.53803770385053</v>
          </cell>
          <cell r="U13">
            <v>-1.1187118820522E-3</v>
          </cell>
          <cell r="V13">
            <v>4.78007859653287E-4</v>
          </cell>
          <cell r="Y13">
            <v>2.5351085643703399</v>
          </cell>
          <cell r="Z13">
            <v>2.53803770385053</v>
          </cell>
          <cell r="AF13">
            <v>4.78007859653287E-4</v>
          </cell>
        </row>
        <row r="14">
          <cell r="O14">
            <v>2.5341745756035601</v>
          </cell>
          <cell r="P14">
            <v>2.5387604766179899</v>
          </cell>
          <cell r="U14">
            <v>-3.9347273107292703E-3</v>
          </cell>
          <cell r="V14">
            <v>-2.4114752143645402E-3</v>
          </cell>
          <cell r="Y14">
            <v>2.5351085643703399</v>
          </cell>
          <cell r="Z14">
            <v>2.5387604766179899</v>
          </cell>
          <cell r="AF14">
            <v>-2.4114752143645402E-3</v>
          </cell>
        </row>
        <row r="15">
          <cell r="O15">
            <v>2.5341745756035601</v>
          </cell>
          <cell r="P15">
            <v>2.5398080043455198</v>
          </cell>
          <cell r="U15">
            <v>-5.9453006712766997E-3</v>
          </cell>
          <cell r="V15">
            <v>-4.1373129022918096E-3</v>
          </cell>
          <cell r="Y15">
            <v>2.5351085643703399</v>
          </cell>
          <cell r="Z15">
            <v>2.5398080043455198</v>
          </cell>
          <cell r="AF15">
            <v>-4.1373129022918096E-3</v>
          </cell>
        </row>
        <row r="16">
          <cell r="O16">
            <v>2.5341745756035601</v>
          </cell>
          <cell r="P16">
            <v>2.54072935466702</v>
          </cell>
          <cell r="U16">
            <v>-5.9673551285665902E-3</v>
          </cell>
          <cell r="V16">
            <v>-3.7468386140053502E-3</v>
          </cell>
          <cell r="Y16">
            <v>2.5351085643703399</v>
          </cell>
          <cell r="Z16">
            <v>2.54072935466702</v>
          </cell>
          <cell r="AF16">
            <v>-3.7468386140053502E-3</v>
          </cell>
        </row>
        <row r="17">
          <cell r="O17">
            <v>2.5341745756035601</v>
          </cell>
          <cell r="P17">
            <v>2.54155855074471</v>
          </cell>
          <cell r="U17">
            <v>-5.6901095391272598E-3</v>
          </cell>
          <cell r="V17">
            <v>-3.1068950394914099E-3</v>
          </cell>
          <cell r="Y17">
            <v>2.5351085643703399</v>
          </cell>
          <cell r="Z17">
            <v>2.54155855074471</v>
          </cell>
          <cell r="AF17">
            <v>-3.1068950394914099E-3</v>
          </cell>
        </row>
        <row r="18">
          <cell r="O18">
            <v>2.5341745756035601</v>
          </cell>
          <cell r="P18">
            <v>2.5421863676308498</v>
          </cell>
          <cell r="U18">
            <v>-3.9971015925182899E-3</v>
          </cell>
          <cell r="V18">
            <v>-1.08757890236821E-3</v>
          </cell>
          <cell r="Y18">
            <v>2.5351085643703399</v>
          </cell>
          <cell r="Z18">
            <v>2.5421863676308498</v>
          </cell>
          <cell r="AF18">
            <v>-1.08757890236821E-3</v>
          </cell>
        </row>
        <row r="19">
          <cell r="O19">
            <v>2.5341745756035601</v>
          </cell>
          <cell r="P19">
            <v>2.5430452022077499</v>
          </cell>
          <cell r="U19">
            <v>-4.5813754109136403E-3</v>
          </cell>
          <cell r="V19">
            <v>-1.42486279526209E-3</v>
          </cell>
          <cell r="Y19">
            <v>2.5351085643703399</v>
          </cell>
          <cell r="Z19">
            <v>2.5430452022077499</v>
          </cell>
          <cell r="AF19">
            <v>-1.42486279526209E-3</v>
          </cell>
        </row>
        <row r="20">
          <cell r="O20">
            <v>2.5341745756035601</v>
          </cell>
          <cell r="P20">
            <v>2.5433320099650798</v>
          </cell>
          <cell r="U20">
            <v>-1.76715722203949E-3</v>
          </cell>
          <cell r="V20">
            <v>1.7271313919199999E-3</v>
          </cell>
          <cell r="Y20">
            <v>2.5351085643703399</v>
          </cell>
          <cell r="Z20">
            <v>2.5433320099650798</v>
          </cell>
          <cell r="AF20">
            <v>1.7271313919199999E-3</v>
          </cell>
        </row>
        <row r="21">
          <cell r="O21">
            <v>2.5341745756035601</v>
          </cell>
          <cell r="P21">
            <v>2.5433412404936799</v>
          </cell>
          <cell r="Q21">
            <v>2.54073965082029</v>
          </cell>
          <cell r="U21">
            <v>-1.88639341317488E-3</v>
          </cell>
          <cell r="V21">
            <v>1.72067006810973E-3</v>
          </cell>
          <cell r="Y21">
            <v>2.5351085643703399</v>
          </cell>
          <cell r="Z21">
            <v>2.5433412404936799</v>
          </cell>
          <cell r="AA21">
            <v>2.54073965082029</v>
          </cell>
          <cell r="AF21">
            <v>1.72067006810973E-3</v>
          </cell>
        </row>
        <row r="22">
          <cell r="O22">
            <v>2.5341745756035601</v>
          </cell>
          <cell r="P22">
            <v>2.5439129435191501</v>
          </cell>
          <cell r="Q22">
            <v>2.54106855893663</v>
          </cell>
          <cell r="U22">
            <v>-3.4519706489384398E-3</v>
          </cell>
          <cell r="V22">
            <v>1.58722131164464E-4</v>
          </cell>
          <cell r="W22">
            <v>-8.6470371751363995E-4</v>
          </cell>
          <cell r="Y22">
            <v>2.5351085643703399</v>
          </cell>
          <cell r="Z22">
            <v>2.5439129435191501</v>
          </cell>
          <cell r="AA22">
            <v>2.54106855893663</v>
          </cell>
          <cell r="AF22">
            <v>1.58722131164464E-4</v>
          </cell>
          <cell r="AG22">
            <v>-8.6470371751363995E-4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2.5341745756035601</v>
          </cell>
          <cell r="P23">
            <v>2.5443515116771298</v>
          </cell>
          <cell r="Q23">
            <v>2.5411946077638299</v>
          </cell>
          <cell r="U23">
            <v>-2.8458998692664299E-3</v>
          </cell>
          <cell r="V23">
            <v>9.8955188972489399E-4</v>
          </cell>
          <cell r="W23">
            <v>-1.29187628918202E-4</v>
          </cell>
          <cell r="Y23">
            <v>2.5351085643703399</v>
          </cell>
          <cell r="Z23">
            <v>2.5443515116771298</v>
          </cell>
          <cell r="AA23">
            <v>2.5411946077638299</v>
          </cell>
          <cell r="AF23">
            <v>9.8955188972489399E-4</v>
          </cell>
          <cell r="AG23">
            <v>-1.29187628918202E-4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2.5341745756035601</v>
          </cell>
          <cell r="P24">
            <v>2.5439275331946201</v>
          </cell>
          <cell r="Q24">
            <v>2.5413440049062999</v>
          </cell>
          <cell r="U24">
            <v>-2.2668635289333598E-3</v>
          </cell>
          <cell r="V24">
            <v>1.74097241445832E-3</v>
          </cell>
          <cell r="W24">
            <v>4.9945213535797998E-4</v>
          </cell>
          <cell r="Y24">
            <v>2.5351085643703399</v>
          </cell>
          <cell r="Z24">
            <v>2.5439275331946201</v>
          </cell>
          <cell r="AA24">
            <v>2.5413440049062999</v>
          </cell>
          <cell r="AF24">
            <v>1.74097241445832E-3</v>
          </cell>
          <cell r="AG24">
            <v>4.9945213535797998E-4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2.5341745756035601</v>
          </cell>
          <cell r="P25">
            <v>2.5433144902855802</v>
          </cell>
          <cell r="Q25">
            <v>2.54156124731555</v>
          </cell>
          <cell r="U25">
            <v>-3.53764129937116E-3</v>
          </cell>
          <cell r="V25">
            <v>3.0354557475699098E-4</v>
          </cell>
          <cell r="W25">
            <v>-7.1253724057848905E-4</v>
          </cell>
          <cell r="Y25">
            <v>2.5351085643703399</v>
          </cell>
          <cell r="Z25">
            <v>2.5433144902855802</v>
          </cell>
          <cell r="AA25">
            <v>2.54156124731555</v>
          </cell>
          <cell r="AF25">
            <v>3.0354557475699098E-4</v>
          </cell>
          <cell r="AG25">
            <v>-7.1253724057848905E-4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2.5341745756035601</v>
          </cell>
          <cell r="P26">
            <v>2.5426824712240799</v>
          </cell>
          <cell r="Q26">
            <v>2.5417059129455501</v>
          </cell>
          <cell r="U26">
            <v>-3.4851312202387901E-3</v>
          </cell>
          <cell r="V26">
            <v>1.1504376211163001E-4</v>
          </cell>
          <cell r="W26">
            <v>-5.7454753961585505E-4</v>
          </cell>
          <cell r="Y26">
            <v>2.5351085643703399</v>
          </cell>
          <cell r="Z26">
            <v>2.5426824712240799</v>
          </cell>
          <cell r="AA26">
            <v>2.5417059129455501</v>
          </cell>
          <cell r="AF26">
            <v>1.1504376211163001E-4</v>
          </cell>
          <cell r="AG26">
            <v>-5.7454753961585505E-4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2.5341745756035601</v>
          </cell>
          <cell r="P27">
            <v>2.5424647444538002</v>
          </cell>
          <cell r="Q27">
            <v>2.5420116475992498</v>
          </cell>
          <cell r="U27">
            <v>-4.83545679779204E-3</v>
          </cell>
          <cell r="V27">
            <v>-1.4838148246159499E-3</v>
          </cell>
          <cell r="W27">
            <v>-1.86795475129009E-3</v>
          </cell>
          <cell r="Y27">
            <v>2.5351085643703399</v>
          </cell>
          <cell r="Z27">
            <v>2.5424647444538002</v>
          </cell>
          <cell r="AA27">
            <v>2.5420116475992498</v>
          </cell>
          <cell r="AF27">
            <v>-1.4838148246159499E-3</v>
          </cell>
          <cell r="AG27">
            <v>-1.86795475129009E-3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2.5341745756035601</v>
          </cell>
          <cell r="P28">
            <v>2.5423309670015501</v>
          </cell>
          <cell r="Q28">
            <v>2.5422586673162</v>
          </cell>
          <cell r="U28">
            <v>-3.47117555737957E-3</v>
          </cell>
          <cell r="V28">
            <v>-2.0516601968034601E-4</v>
          </cell>
          <cell r="W28">
            <v>-3.83393558096003E-4</v>
          </cell>
          <cell r="Y28">
            <v>2.5351085643703399</v>
          </cell>
          <cell r="Z28">
            <v>2.5423309670015501</v>
          </cell>
          <cell r="AA28">
            <v>2.5422586673162</v>
          </cell>
          <cell r="AF28">
            <v>-2.0516601968034601E-4</v>
          </cell>
          <cell r="AG28">
            <v>-3.83393558096003E-4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2.5341745756035601</v>
          </cell>
          <cell r="P29">
            <v>2.5419772506246199</v>
          </cell>
          <cell r="Q29">
            <v>2.54251122641619</v>
          </cell>
          <cell r="U29">
            <v>-3.19100392448082E-3</v>
          </cell>
          <cell r="V29">
            <v>2.23869988743985E-5</v>
          </cell>
          <cell r="W29">
            <v>-6.0517505846659997E-6</v>
          </cell>
          <cell r="Y29">
            <v>2.5351085643703399</v>
          </cell>
          <cell r="Z29">
            <v>2.5419772506246199</v>
          </cell>
          <cell r="AA29">
            <v>2.54251122641619</v>
          </cell>
          <cell r="AF29">
            <v>2.23869988743985E-5</v>
          </cell>
          <cell r="AG29">
            <v>-6.0517505846659997E-6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2.5341745756035601</v>
          </cell>
          <cell r="P30">
            <v>2.5417469277651099</v>
          </cell>
          <cell r="Q30">
            <v>2.54253946886509</v>
          </cell>
          <cell r="U30">
            <v>-8.5948272808308E-4</v>
          </cell>
          <cell r="V30">
            <v>2.2147677803496298E-3</v>
          </cell>
          <cell r="W30">
            <v>2.42480888711416E-3</v>
          </cell>
          <cell r="Y30">
            <v>2.5351085643703399</v>
          </cell>
          <cell r="Z30">
            <v>2.5417469277651099</v>
          </cell>
          <cell r="AA30">
            <v>2.54253946886509</v>
          </cell>
          <cell r="AF30">
            <v>2.2147677803496298E-3</v>
          </cell>
          <cell r="AG30">
            <v>2.42480888711416E-3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2.5341745756035601</v>
          </cell>
          <cell r="P31">
            <v>2.5411197912121799</v>
          </cell>
          <cell r="Q31">
            <v>2.5422305158529301</v>
          </cell>
          <cell r="U31">
            <v>5.8671555841223E-4</v>
          </cell>
          <cell r="V31">
            <v>3.5703542037344499E-3</v>
          </cell>
          <cell r="W31">
            <v>3.8821152040305201E-3</v>
          </cell>
          <cell r="Y31">
            <v>2.5351085643703399</v>
          </cell>
          <cell r="Z31">
            <v>2.5411197912121799</v>
          </cell>
          <cell r="AA31">
            <v>2.5422305158529301</v>
          </cell>
          <cell r="AF31">
            <v>3.5703542037344499E-3</v>
          </cell>
          <cell r="AG31">
            <v>3.8821152040305201E-3</v>
          </cell>
          <cell r="AR31">
            <v>0</v>
          </cell>
          <cell r="BC31">
            <v>-1.4461982864952989E-3</v>
          </cell>
          <cell r="BF31">
            <v>-1.4461982864952989E-3</v>
          </cell>
        </row>
        <row r="32">
          <cell r="O32">
            <v>2.5341745756035601</v>
          </cell>
          <cell r="P32">
            <v>2.5399739409947801</v>
          </cell>
          <cell r="Q32">
            <v>2.54194344225697</v>
          </cell>
          <cell r="U32">
            <v>1.06422200382383E-3</v>
          </cell>
          <cell r="V32">
            <v>3.8010957462753601E-3</v>
          </cell>
          <cell r="W32">
            <v>4.2381007100616899E-3</v>
          </cell>
          <cell r="Y32">
            <v>2.5351085643703399</v>
          </cell>
          <cell r="Z32">
            <v>2.5399739409947801</v>
          </cell>
          <cell r="AA32">
            <v>2.54194344225697</v>
          </cell>
          <cell r="AF32">
            <v>3.8010957462753601E-3</v>
          </cell>
          <cell r="AG32">
            <v>4.2381007100616899E-3</v>
          </cell>
          <cell r="AR32">
            <v>0</v>
          </cell>
          <cell r="BC32">
            <v>-1.9237047319069088E-3</v>
          </cell>
          <cell r="BF32">
            <v>-1.9237047319069088E-3</v>
          </cell>
        </row>
        <row r="33">
          <cell r="O33">
            <v>2.5341745756035601</v>
          </cell>
          <cell r="P33">
            <v>2.5392216705589301</v>
          </cell>
          <cell r="Q33">
            <v>2.5417865911180302</v>
          </cell>
          <cell r="U33">
            <v>1.18556554817862E-4</v>
          </cell>
          <cell r="V33">
            <v>2.4044052632052502E-3</v>
          </cell>
          <cell r="W33">
            <v>3.1795069471789602E-3</v>
          </cell>
          <cell r="Y33">
            <v>2.5351085643703399</v>
          </cell>
          <cell r="Z33">
            <v>2.5392216705589301</v>
          </cell>
          <cell r="AA33">
            <v>2.5417865911180302</v>
          </cell>
          <cell r="AF33">
            <v>2.4044052632052502E-3</v>
          </cell>
          <cell r="AG33">
            <v>3.1795069471789602E-3</v>
          </cell>
          <cell r="AR33">
            <v>0</v>
          </cell>
          <cell r="BC33">
            <v>-9.7803928290081084E-4</v>
          </cell>
          <cell r="BF33">
            <v>-9.7803928290081084E-4</v>
          </cell>
        </row>
        <row r="34">
          <cell r="O34">
            <v>2.5341745756035601</v>
          </cell>
          <cell r="P34">
            <v>2.5384279708617701</v>
          </cell>
          <cell r="Q34">
            <v>2.5411777520281902</v>
          </cell>
          <cell r="U34">
            <v>8.6292248816613004E-4</v>
          </cell>
          <cell r="V34">
            <v>2.8525548273162799E-3</v>
          </cell>
          <cell r="W34">
            <v>3.8621657725742701E-3</v>
          </cell>
          <cell r="Y34">
            <v>2.5351085643703399</v>
          </cell>
          <cell r="Z34">
            <v>2.5384279708617701</v>
          </cell>
          <cell r="AA34">
            <v>2.5411777520281902</v>
          </cell>
          <cell r="AF34">
            <v>2.8525548273162799E-3</v>
          </cell>
          <cell r="AG34">
            <v>3.8621657725742701E-3</v>
          </cell>
          <cell r="AR34">
            <v>0</v>
          </cell>
          <cell r="BC34">
            <v>-1.7224052162492114E-3</v>
          </cell>
          <cell r="BF34">
            <v>-1.7224052162492114E-3</v>
          </cell>
        </row>
        <row r="35">
          <cell r="O35">
            <v>2.5341745756035601</v>
          </cell>
          <cell r="P35">
            <v>2.5369507593112202</v>
          </cell>
          <cell r="Q35">
            <v>2.5401326247984</v>
          </cell>
          <cell r="U35">
            <v>2.28787158547945E-3</v>
          </cell>
          <cell r="V35">
            <v>3.9648790845252099E-3</v>
          </cell>
          <cell r="W35">
            <v>5.0475542309980697E-3</v>
          </cell>
          <cell r="Y35">
            <v>2.5351085643703399</v>
          </cell>
          <cell r="Z35">
            <v>2.5369507593112202</v>
          </cell>
          <cell r="AA35">
            <v>2.5401326247984</v>
          </cell>
          <cell r="AF35">
            <v>3.9648790845252099E-3</v>
          </cell>
          <cell r="AG35">
            <v>5.0475542309980697E-3</v>
          </cell>
          <cell r="AR35">
            <v>0</v>
          </cell>
          <cell r="BC35">
            <v>-3.1473543135625312E-3</v>
          </cell>
          <cell r="BF35">
            <v>-3.1473543135625312E-3</v>
          </cell>
        </row>
        <row r="36">
          <cell r="O36">
            <v>2.5341745756035601</v>
          </cell>
          <cell r="P36">
            <v>2.5351335721308899</v>
          </cell>
          <cell r="Q36">
            <v>2.5389080216774902</v>
          </cell>
          <cell r="U36">
            <v>3.6863008271466602E-3</v>
          </cell>
          <cell r="V36">
            <v>4.7811994153917799E-3</v>
          </cell>
          <cell r="W36">
            <v>6.0346221634655899E-3</v>
          </cell>
          <cell r="Y36">
            <v>2.5351085643703399</v>
          </cell>
          <cell r="Z36">
            <v>2.5351335721308899</v>
          </cell>
          <cell r="AA36">
            <v>2.5389080216774902</v>
          </cell>
          <cell r="AF36">
            <v>4.7811994153917799E-3</v>
          </cell>
          <cell r="AG36">
            <v>6.0346221634655899E-3</v>
          </cell>
          <cell r="AR36">
            <v>0</v>
          </cell>
          <cell r="BC36">
            <v>-4.5457835552297314E-3</v>
          </cell>
          <cell r="BF36">
            <v>-4.5457835552297314E-3</v>
          </cell>
        </row>
        <row r="37">
          <cell r="O37">
            <v>2.5341745756035601</v>
          </cell>
          <cell r="P37">
            <v>2.5326699613532901</v>
          </cell>
          <cell r="Q37">
            <v>2.5375673529035399</v>
          </cell>
          <cell r="U37">
            <v>4.88630323028007E-3</v>
          </cell>
          <cell r="V37">
            <v>5.2646572426325597E-3</v>
          </cell>
          <cell r="W37">
            <v>6.7524062777996503E-3</v>
          </cell>
          <cell r="Y37">
            <v>2.5351085643703399</v>
          </cell>
          <cell r="Z37">
            <v>2.5326699613532901</v>
          </cell>
          <cell r="AA37">
            <v>2.5375673529035399</v>
          </cell>
          <cell r="AF37">
            <v>5.2646572426325597E-3</v>
          </cell>
          <cell r="AG37">
            <v>6.7524062777996503E-3</v>
          </cell>
          <cell r="AR37">
            <v>0</v>
          </cell>
          <cell r="BC37">
            <v>-5.7457859583632115E-3</v>
          </cell>
          <cell r="BF37">
            <v>-5.7457859583632115E-3</v>
          </cell>
        </row>
        <row r="38">
          <cell r="O38">
            <v>2.5341745756035601</v>
          </cell>
          <cell r="P38">
            <v>2.5305672647652999</v>
          </cell>
          <cell r="Q38">
            <v>2.5364491158834199</v>
          </cell>
          <cell r="U38">
            <v>4.8318101633740597E-3</v>
          </cell>
          <cell r="V38">
            <v>4.2379043178240403E-3</v>
          </cell>
          <cell r="W38">
            <v>6.1697243766382403E-3</v>
          </cell>
          <cell r="Y38">
            <v>2.5351085643703399</v>
          </cell>
          <cell r="Z38">
            <v>2.5305672647652999</v>
          </cell>
          <cell r="AA38">
            <v>2.5364491158834199</v>
          </cell>
          <cell r="AF38">
            <v>4.2379043178240403E-3</v>
          </cell>
          <cell r="AG38">
            <v>6.1697243766382403E-3</v>
          </cell>
          <cell r="AR38">
            <v>0</v>
          </cell>
          <cell r="BC38">
            <v>-5.6912928914572211E-3</v>
          </cell>
          <cell r="BF38">
            <v>-5.6912928914572211E-3</v>
          </cell>
        </row>
        <row r="39">
          <cell r="O39">
            <v>2.5341745756035601</v>
          </cell>
          <cell r="P39">
            <v>2.52909526435004</v>
          </cell>
          <cell r="Q39">
            <v>2.5355362574873301</v>
          </cell>
          <cell r="U39">
            <v>2.6159170296371401E-3</v>
          </cell>
          <cell r="V39">
            <v>1.19143714026285E-3</v>
          </cell>
          <cell r="W39">
            <v>3.5130612749272802E-3</v>
          </cell>
          <cell r="Y39">
            <v>2.5351085643703399</v>
          </cell>
          <cell r="Z39">
            <v>2.52909526435004</v>
          </cell>
          <cell r="AA39">
            <v>2.5355362574873301</v>
          </cell>
          <cell r="AF39">
            <v>1.19143714026285E-3</v>
          </cell>
          <cell r="AG39">
            <v>3.5130612749272802E-3</v>
          </cell>
          <cell r="AR39">
            <v>0</v>
          </cell>
          <cell r="BC39">
            <v>-3.4753997577202708E-3</v>
          </cell>
          <cell r="BF39">
            <v>-3.4753997577202708E-3</v>
          </cell>
        </row>
        <row r="40">
          <cell r="O40">
            <v>2.5341745756035601</v>
          </cell>
          <cell r="P40">
            <v>2.5283406929985301</v>
          </cell>
          <cell r="Q40">
            <v>2.5350438103818198</v>
          </cell>
          <cell r="U40">
            <v>2.11997573287803E-3</v>
          </cell>
          <cell r="V40">
            <v>1.13638674842192E-4</v>
          </cell>
          <cell r="W40">
            <v>2.6571590008589701E-3</v>
          </cell>
          <cell r="Y40">
            <v>2.5351085643703399</v>
          </cell>
          <cell r="Z40">
            <v>2.5283406929985301</v>
          </cell>
          <cell r="AA40">
            <v>2.5350438103818198</v>
          </cell>
          <cell r="AF40">
            <v>1.13638674842192E-4</v>
          </cell>
          <cell r="AG40">
            <v>2.6571590008589701E-3</v>
          </cell>
          <cell r="AR40">
            <v>0</v>
          </cell>
          <cell r="BC40">
            <v>-2.9794584609613723E-3</v>
          </cell>
          <cell r="BF40">
            <v>-2.9794584609613723E-3</v>
          </cell>
        </row>
        <row r="41">
          <cell r="O41">
            <v>2.5341745756035601</v>
          </cell>
          <cell r="P41">
            <v>2.5283123233348599</v>
          </cell>
          <cell r="Q41">
            <v>2.5347160572735201</v>
          </cell>
          <cell r="U41">
            <v>6.9873587341066901E-4</v>
          </cell>
          <cell r="V41">
            <v>-1.6060019408487599E-3</v>
          </cell>
          <cell r="W41">
            <v>1.04168215056573E-3</v>
          </cell>
          <cell r="Y41">
            <v>2.5351085643703399</v>
          </cell>
          <cell r="Z41">
            <v>2.5283123233348599</v>
          </cell>
          <cell r="AA41">
            <v>2.5347160572735201</v>
          </cell>
          <cell r="AF41">
            <v>-1.6060019408487599E-3</v>
          </cell>
          <cell r="AG41">
            <v>1.04168215056573E-3</v>
          </cell>
          <cell r="AR41">
            <v>0</v>
          </cell>
          <cell r="BC41">
            <v>-1.5582186014941228E-3</v>
          </cell>
          <cell r="BF41">
            <v>-1.5582186014941228E-3</v>
          </cell>
        </row>
        <row r="42">
          <cell r="O42">
            <v>2.5341745756035601</v>
          </cell>
          <cell r="P42">
            <v>2.5285104950595101</v>
          </cell>
          <cell r="Q42">
            <v>2.53424221802715</v>
          </cell>
          <cell r="U42">
            <v>2.8169846315910502E-4</v>
          </cell>
          <cell r="V42">
            <v>-2.0342600789504898E-3</v>
          </cell>
          <cell r="W42">
            <v>4.9534744919714805E-4</v>
          </cell>
          <cell r="Y42">
            <v>2.5351085643703399</v>
          </cell>
          <cell r="Z42">
            <v>2.5285104950595101</v>
          </cell>
          <cell r="AA42">
            <v>2.53424221802715</v>
          </cell>
          <cell r="AF42">
            <v>-2.0342600789504898E-3</v>
          </cell>
          <cell r="AG42">
            <v>4.9534744919714805E-4</v>
          </cell>
          <cell r="AR42">
            <v>0</v>
          </cell>
          <cell r="BC42">
            <v>-1.1411811912424132E-3</v>
          </cell>
          <cell r="BF42">
            <v>-1.1411811912424132E-3</v>
          </cell>
        </row>
        <row r="43">
          <cell r="O43">
            <v>2.5341745756035601</v>
          </cell>
          <cell r="P43">
            <v>2.52832807261467</v>
          </cell>
          <cell r="Q43">
            <v>2.5337748715867998</v>
          </cell>
          <cell r="U43">
            <v>8.38750738424832E-4</v>
          </cell>
          <cell r="V43">
            <v>-1.39882984508864E-3</v>
          </cell>
          <cell r="W43">
            <v>8.6544247525110205E-4</v>
          </cell>
          <cell r="Y43">
            <v>2.5351085643703399</v>
          </cell>
          <cell r="Z43">
            <v>2.52832807261467</v>
          </cell>
          <cell r="AA43">
            <v>2.5337748715867998</v>
          </cell>
          <cell r="AF43">
            <v>-1.39882984508864E-3</v>
          </cell>
          <cell r="AG43">
            <v>8.6544247525110205E-4</v>
          </cell>
          <cell r="AR43">
            <v>0</v>
          </cell>
          <cell r="BC43">
            <v>-1.6982334665080934E-3</v>
          </cell>
          <cell r="BF43">
            <v>-1.6982334665080934E-3</v>
          </cell>
        </row>
        <row r="44">
          <cell r="O44">
            <v>2.5341745756035601</v>
          </cell>
          <cell r="P44">
            <v>2.52860468009683</v>
          </cell>
          <cell r="Q44">
            <v>2.5335163254793001</v>
          </cell>
          <cell r="U44">
            <v>-2.2893269865658701E-4</v>
          </cell>
          <cell r="V44">
            <v>-2.5386620931206901E-3</v>
          </cell>
          <cell r="W44">
            <v>-3.86670664178491E-4</v>
          </cell>
          <cell r="Y44">
            <v>2.5351085643703399</v>
          </cell>
          <cell r="Z44">
            <v>2.52860468009683</v>
          </cell>
          <cell r="AA44">
            <v>2.5335163254793001</v>
          </cell>
          <cell r="AF44">
            <v>-2.5386620931206901E-3</v>
          </cell>
          <cell r="AG44">
            <v>-3.86670664178491E-4</v>
          </cell>
          <cell r="AR44">
            <v>0</v>
          </cell>
          <cell r="BC44">
            <v>-6.305500294267641E-4</v>
          </cell>
          <cell r="BF44">
            <v>-6.305500294267641E-4</v>
          </cell>
        </row>
        <row r="45">
          <cell r="O45">
            <v>2.5341745756035601</v>
          </cell>
          <cell r="P45">
            <v>2.5291253536780398</v>
          </cell>
          <cell r="Q45">
            <v>2.5330380564946302</v>
          </cell>
          <cell r="U45">
            <v>2.3067482564053499E-4</v>
          </cell>
          <cell r="V45">
            <v>-1.96965723413212E-3</v>
          </cell>
          <cell r="W45">
            <v>-2.91082356434071E-5</v>
          </cell>
          <cell r="Y45">
            <v>2.5351085643703399</v>
          </cell>
          <cell r="Z45">
            <v>2.5291253536780398</v>
          </cell>
          <cell r="AA45">
            <v>2.5330380564946302</v>
          </cell>
          <cell r="AF45">
            <v>-1.96965723413212E-3</v>
          </cell>
          <cell r="AG45">
            <v>-2.91082356434071E-5</v>
          </cell>
          <cell r="AR45">
            <v>0</v>
          </cell>
          <cell r="BC45">
            <v>-6.305500294267641E-4</v>
          </cell>
          <cell r="BF45">
            <v>-6.305500294267641E-4</v>
          </cell>
        </row>
        <row r="46">
          <cell r="O46">
            <v>2.5341745756035601</v>
          </cell>
          <cell r="P46">
            <v>2.5300234870669698</v>
          </cell>
          <cell r="Q46">
            <v>2.53257852959893</v>
          </cell>
          <cell r="U46">
            <v>1.3543743754746901E-4</v>
          </cell>
          <cell r="V46">
            <v>-1.85900242174237E-3</v>
          </cell>
          <cell r="W46">
            <v>-3.13140196944128E-4</v>
          </cell>
          <cell r="Y46">
            <v>2.5351085643703399</v>
          </cell>
          <cell r="Z46">
            <v>2.5300234870669698</v>
          </cell>
          <cell r="AA46">
            <v>2.53257852959893</v>
          </cell>
          <cell r="AF46">
            <v>-1.85900242174237E-3</v>
          </cell>
          <cell r="AG46">
            <v>-3.13140196944128E-4</v>
          </cell>
          <cell r="AR46">
            <v>0</v>
          </cell>
          <cell r="BC46">
            <v>-6.305500294267641E-4</v>
          </cell>
          <cell r="BF46">
            <v>-6.305500294267641E-4</v>
          </cell>
        </row>
        <row r="47">
          <cell r="O47">
            <v>2.5341745756035601</v>
          </cell>
          <cell r="P47">
            <v>2.5305689469073802</v>
          </cell>
          <cell r="Q47">
            <v>2.5316194541303401</v>
          </cell>
          <cell r="U47">
            <v>2.72567976590362E-3</v>
          </cell>
          <cell r="V47">
            <v>1.0862930693661399E-3</v>
          </cell>
          <cell r="W47">
            <v>2.0956723334209898E-3</v>
          </cell>
          <cell r="Y47">
            <v>2.5351085643703399</v>
          </cell>
          <cell r="Z47">
            <v>2.5305689469073802</v>
          </cell>
          <cell r="AA47">
            <v>2.5316194541303401</v>
          </cell>
          <cell r="AF47">
            <v>1.0862930693661399E-3</v>
          </cell>
          <cell r="AG47">
            <v>2.0956723334209898E-3</v>
          </cell>
          <cell r="AR47">
            <v>0</v>
          </cell>
          <cell r="BC47">
            <v>-6.305500294267641E-4</v>
          </cell>
          <cell r="BF47">
            <v>-6.305500294267641E-4</v>
          </cell>
        </row>
        <row r="48">
          <cell r="O48">
            <v>2.5341745756035601</v>
          </cell>
          <cell r="P48">
            <v>2.53145942071452</v>
          </cell>
          <cell r="Q48">
            <v>2.53101334273991</v>
          </cell>
          <cell r="U48">
            <v>1.3071483525893899E-3</v>
          </cell>
          <cell r="V48">
            <v>-1.1666680775384E-4</v>
          </cell>
          <cell r="W48">
            <v>2.9837394332408502E-4</v>
          </cell>
          <cell r="Y48">
            <v>2.5351085643703399</v>
          </cell>
          <cell r="Z48">
            <v>2.53145942071452</v>
          </cell>
          <cell r="AA48">
            <v>2.53101334273991</v>
          </cell>
          <cell r="AF48">
            <v>-1.1666680775384E-4</v>
          </cell>
          <cell r="AG48">
            <v>2.9837394332408502E-4</v>
          </cell>
          <cell r="AR48">
            <v>0</v>
          </cell>
          <cell r="BC48">
            <v>7.879813838874059E-4</v>
          </cell>
          <cell r="BF48">
            <v>7.879813838874059E-4</v>
          </cell>
        </row>
        <row r="49">
          <cell r="O49">
            <v>2.5341745756035601</v>
          </cell>
          <cell r="P49">
            <v>2.5318007900755202</v>
          </cell>
          <cell r="Q49">
            <v>2.5304480272127798</v>
          </cell>
          <cell r="U49">
            <v>1.2662365222984001E-3</v>
          </cell>
          <cell r="V49">
            <v>1.9424626361796E-4</v>
          </cell>
          <cell r="W49">
            <v>1.8016979388499999E-5</v>
          </cell>
          <cell r="Y49">
            <v>2.5351085643703399</v>
          </cell>
          <cell r="Z49">
            <v>2.5318007900755202</v>
          </cell>
          <cell r="AA49">
            <v>2.5304480272127798</v>
          </cell>
          <cell r="AF49">
            <v>1.9424626361796E-4</v>
          </cell>
          <cell r="AG49">
            <v>1.8016979388499999E-5</v>
          </cell>
          <cell r="AR49">
            <v>0</v>
          </cell>
          <cell r="BC49">
            <v>8.2889321417827606E-4</v>
          </cell>
          <cell r="BF49">
            <v>8.2889321417827606E-4</v>
          </cell>
        </row>
        <row r="50">
          <cell r="O50">
            <v>2.5341745756035601</v>
          </cell>
          <cell r="P50">
            <v>2.5317309052070902</v>
          </cell>
          <cell r="Q50">
            <v>2.53003579910281</v>
          </cell>
          <cell r="U50">
            <v>2.39636891932933E-3</v>
          </cell>
          <cell r="V50">
            <v>1.4592203821080501E-3</v>
          </cell>
          <cell r="W50">
            <v>9.2476901720567101E-4</v>
          </cell>
          <cell r="Y50">
            <v>2.5351085643703399</v>
          </cell>
          <cell r="Z50">
            <v>2.5317309052070902</v>
          </cell>
          <cell r="AA50">
            <v>2.53003579910281</v>
          </cell>
          <cell r="AF50">
            <v>1.4592203821080501E-3</v>
          </cell>
          <cell r="AG50">
            <v>9.2476901720567101E-4</v>
          </cell>
          <cell r="AR50">
            <v>0</v>
          </cell>
          <cell r="BC50">
            <v>8.2889321417827606E-4</v>
          </cell>
          <cell r="BF50">
            <v>8.2889321417827606E-4</v>
          </cell>
        </row>
        <row r="51">
          <cell r="O51">
            <v>2.5341745756035601</v>
          </cell>
          <cell r="P51">
            <v>2.53088148602024</v>
          </cell>
          <cell r="Q51">
            <v>2.5295969046775499</v>
          </cell>
          <cell r="U51">
            <v>4.0585741208373702E-3</v>
          </cell>
          <cell r="V51">
            <v>3.0938223720090199E-3</v>
          </cell>
          <cell r="W51">
            <v>2.4240537846085398E-3</v>
          </cell>
          <cell r="Y51">
            <v>2.5351085643703399</v>
          </cell>
          <cell r="Z51">
            <v>2.53088148602024</v>
          </cell>
          <cell r="AA51">
            <v>2.5295969046775499</v>
          </cell>
          <cell r="AF51">
            <v>3.0938223720090199E-3</v>
          </cell>
          <cell r="AG51">
            <v>2.4240537846085398E-3</v>
          </cell>
          <cell r="AR51">
            <v>0</v>
          </cell>
          <cell r="BC51">
            <v>8.2889321417827606E-4</v>
          </cell>
          <cell r="BF51">
            <v>8.2889321417827606E-4</v>
          </cell>
        </row>
        <row r="52">
          <cell r="O52">
            <v>2.5341745756035601</v>
          </cell>
          <cell r="P52">
            <v>2.5287342175114702</v>
          </cell>
          <cell r="Q52">
            <v>2.5286223562854899</v>
          </cell>
          <cell r="U52">
            <v>8.7934543306533008E-3</v>
          </cell>
          <cell r="V52">
            <v>7.4931370163901804E-3</v>
          </cell>
          <cell r="W52">
            <v>6.9854453433494104E-3</v>
          </cell>
          <cell r="Y52">
            <v>2.5351085643703399</v>
          </cell>
          <cell r="Z52">
            <v>2.5300531841993501</v>
          </cell>
          <cell r="AA52">
            <v>2.5292818396294301</v>
          </cell>
          <cell r="AF52">
            <v>2.2561854138808402E-3</v>
          </cell>
          <cell r="AG52">
            <v>1.7484937408401499E-3</v>
          </cell>
          <cell r="AR52">
            <v>0</v>
          </cell>
          <cell r="BC52">
            <v>8.2889321417827606E-4</v>
          </cell>
          <cell r="BF52">
            <v>8.2889321417827606E-4</v>
          </cell>
        </row>
        <row r="53">
          <cell r="O53">
            <v>2.5341745756035601</v>
          </cell>
          <cell r="P53">
            <v>2.5270164921958602</v>
          </cell>
          <cell r="Q53">
            <v>2.5276722824052702</v>
          </cell>
          <cell r="U53">
            <v>7.6457976652715602E-3</v>
          </cell>
          <cell r="V53">
            <v>5.4966931056897499E-3</v>
          </cell>
          <cell r="W53">
            <v>5.4524560722249496E-3</v>
          </cell>
          <cell r="Y53">
            <v>2.5351085643703399</v>
          </cell>
          <cell r="Z53">
            <v>2.5296657156780999</v>
          </cell>
          <cell r="AA53">
            <v>2.5289968941463798</v>
          </cell>
          <cell r="AF53">
            <v>7.4253014422104302E-4</v>
          </cell>
          <cell r="AG53">
            <v>4.3761079325233199E-4</v>
          </cell>
          <cell r="AR53">
            <v>0</v>
          </cell>
          <cell r="BC53">
            <v>1.9765498795600452E-3</v>
          </cell>
          <cell r="BF53">
            <v>1.9765498795600452E-3</v>
          </cell>
        </row>
        <row r="54">
          <cell r="O54">
            <v>2.5341745756035601</v>
          </cell>
          <cell r="P54">
            <v>2.52510955564038</v>
          </cell>
          <cell r="Q54">
            <v>2.5268571178685999</v>
          </cell>
          <cell r="U54">
            <v>7.3226688690191501E-3</v>
          </cell>
          <cell r="V54">
            <v>4.4940508285200497E-3</v>
          </cell>
          <cell r="W54">
            <v>4.7535288072157204E-3</v>
          </cell>
          <cell r="Y54">
            <v>2.5351085643703399</v>
          </cell>
          <cell r="Z54">
            <v>2.52909446670319</v>
          </cell>
          <cell r="AA54">
            <v>2.5288495734000098</v>
          </cell>
          <cell r="AF54">
            <v>2.4646925106980999E-4</v>
          </cell>
          <cell r="AG54">
            <v>-1.7956976649365299E-5</v>
          </cell>
          <cell r="AR54">
            <v>0</v>
          </cell>
          <cell r="BC54">
            <v>2.299678675812405E-3</v>
          </cell>
          <cell r="BF54">
            <v>2.299678675812405E-3</v>
          </cell>
        </row>
        <row r="55">
          <cell r="O55">
            <v>2.5341745756035601</v>
          </cell>
          <cell r="P55">
            <v>2.52386700973228</v>
          </cell>
          <cell r="Q55">
            <v>2.5264961817051601</v>
          </cell>
          <cell r="U55">
            <v>5.1470297743541104E-3</v>
          </cell>
          <cell r="V55">
            <v>1.5635071143000499E-3</v>
          </cell>
          <cell r="W55">
            <v>2.2553415664513998E-3</v>
          </cell>
          <cell r="Y55">
            <v>2.5351085643703399</v>
          </cell>
          <cell r="Z55">
            <v>2.5292441469989</v>
          </cell>
          <cell r="AA55">
            <v>2.5291847503384699</v>
          </cell>
          <cell r="AF55">
            <v>-2.3665865767243401E-3</v>
          </cell>
          <cell r="AG55">
            <v>-2.4634216944844E-3</v>
          </cell>
          <cell r="AR55">
            <v>0</v>
          </cell>
          <cell r="BC55">
            <v>2.299678675812405E-3</v>
          </cell>
          <cell r="BF55">
            <v>2.299678675812405E-3</v>
          </cell>
        </row>
        <row r="56">
          <cell r="O56">
            <v>2.5341745756035601</v>
          </cell>
          <cell r="P56">
            <v>2.5237665875568398</v>
          </cell>
          <cell r="Q56">
            <v>2.5268950373119101</v>
          </cell>
          <cell r="U56">
            <v>5.3184140328560697E-4</v>
          </cell>
          <cell r="V56">
            <v>-3.5438784048829699E-3</v>
          </cell>
          <cell r="W56">
            <v>-2.5026969647630598E-3</v>
          </cell>
          <cell r="Y56">
            <v>2.5351085643703399</v>
          </cell>
          <cell r="Z56">
            <v>2.5291437248234598</v>
          </cell>
          <cell r="AA56">
            <v>2.5295836059452199</v>
          </cell>
          <cell r="AF56">
            <v>-1.4156294392629601E-3</v>
          </cell>
          <cell r="AG56">
            <v>-1.4391136718724001E-3</v>
          </cell>
          <cell r="AR56">
            <v>0</v>
          </cell>
          <cell r="BC56">
            <v>2.299678675812405E-3</v>
          </cell>
          <cell r="BF56">
            <v>2.299678675812405E-3</v>
          </cell>
        </row>
        <row r="57">
          <cell r="O57">
            <v>2.5341745756035601</v>
          </cell>
          <cell r="P57">
            <v>2.5241105588353601</v>
          </cell>
          <cell r="Q57">
            <v>2.5273397528713701</v>
          </cell>
          <cell r="U57">
            <v>1.36556980496316E-3</v>
          </cell>
          <cell r="V57">
            <v>-2.7499398070858299E-3</v>
          </cell>
          <cell r="W57">
            <v>-1.51111195143924E-3</v>
          </cell>
          <cell r="Y57">
            <v>2.5351085643703399</v>
          </cell>
          <cell r="Z57">
            <v>2.5294876961019801</v>
          </cell>
          <cell r="AA57">
            <v>2.5300283215046799</v>
          </cell>
          <cell r="AF57">
            <v>-6.2160624722633502E-4</v>
          </cell>
          <cell r="AG57">
            <v>-4.4769644972088198E-4</v>
          </cell>
          <cell r="AR57">
            <v>0</v>
          </cell>
          <cell r="BC57">
            <v>2.299678675812405E-3</v>
          </cell>
          <cell r="BF57">
            <v>2.299678675812405E-3</v>
          </cell>
        </row>
        <row r="58">
          <cell r="O58">
            <v>2.5341745756035601</v>
          </cell>
          <cell r="P58">
            <v>2.5240407136679099</v>
          </cell>
          <cell r="Q58">
            <v>2.5277500671912199</v>
          </cell>
          <cell r="U58">
            <v>1.5831600287728601E-3</v>
          </cell>
          <cell r="V58">
            <v>-2.3960660450375098E-3</v>
          </cell>
          <cell r="W58">
            <v>-1.1175443229089199E-3</v>
          </cell>
          <cell r="Y58">
            <v>2.5351085643703399</v>
          </cell>
          <cell r="Z58">
            <v>2.52941785093453</v>
          </cell>
          <cell r="AA58">
            <v>2.5304386358245301</v>
          </cell>
          <cell r="AF58">
            <v>-2.6802221385512803E-4</v>
          </cell>
          <cell r="AG58">
            <v>-5.4315842384956397E-5</v>
          </cell>
          <cell r="AR58">
            <v>0</v>
          </cell>
          <cell r="BC58">
            <v>2.299678675812405E-3</v>
          </cell>
          <cell r="BF58">
            <v>2.299678675812405E-3</v>
          </cell>
        </row>
        <row r="59">
          <cell r="O59">
            <v>2.5341745756035601</v>
          </cell>
          <cell r="P59">
            <v>2.5242199156490801</v>
          </cell>
          <cell r="Q59">
            <v>2.5280103528622999</v>
          </cell>
          <cell r="U59">
            <v>5.5844966559596E-4</v>
          </cell>
          <cell r="V59">
            <v>-3.4484479908138701E-3</v>
          </cell>
          <cell r="W59">
            <v>-1.9799175821565498E-3</v>
          </cell>
          <cell r="Y59">
            <v>2.5351085643703399</v>
          </cell>
          <cell r="Z59">
            <v>2.5295970529157001</v>
          </cell>
          <cell r="AA59">
            <v>2.5306989214956102</v>
          </cell>
          <cell r="AF59">
            <v>-1.32034533509056E-3</v>
          </cell>
          <cell r="AG59">
            <v>-9.16861597353354E-4</v>
          </cell>
          <cell r="AR59">
            <v>0</v>
          </cell>
          <cell r="BC59">
            <v>2.299678675812405E-3</v>
          </cell>
          <cell r="BF59">
            <v>2.299678675812405E-3</v>
          </cell>
        </row>
        <row r="60">
          <cell r="O60">
            <v>2.5341745756035601</v>
          </cell>
          <cell r="P60">
            <v>2.5244030904016102</v>
          </cell>
          <cell r="Q60">
            <v>2.5280669978043502</v>
          </cell>
          <cell r="U60">
            <v>1.6720788566423001E-3</v>
          </cell>
          <cell r="V60">
            <v>-2.2638232651057502E-3</v>
          </cell>
          <cell r="W60">
            <v>-7.6332240788100001E-4</v>
          </cell>
          <cell r="Y60">
            <v>2.5351085643703399</v>
          </cell>
          <cell r="Z60">
            <v>2.5297802276682302</v>
          </cell>
          <cell r="AA60">
            <v>2.53075556643766</v>
          </cell>
          <cell r="AF60">
            <v>-1.3587152917300099E-4</v>
          </cell>
          <cell r="AG60">
            <v>2.9962418210318303E-4</v>
          </cell>
          <cell r="AR60">
            <v>0</v>
          </cell>
          <cell r="BC60">
            <v>2.299678675812405E-3</v>
          </cell>
          <cell r="BF60">
            <v>2.299678675812405E-3</v>
          </cell>
        </row>
        <row r="61">
          <cell r="O61">
            <v>2.5341745756035601</v>
          </cell>
          <cell r="P61">
            <v>2.5250826195391101</v>
          </cell>
          <cell r="Q61">
            <v>2.5279820527796701</v>
          </cell>
          <cell r="U61">
            <v>1.36982559508742E-3</v>
          </cell>
          <cell r="V61">
            <v>-2.4935122839408199E-3</v>
          </cell>
          <cell r="W61">
            <v>-1.0431689940142901E-3</v>
          </cell>
          <cell r="Y61">
            <v>2.5351085643703399</v>
          </cell>
          <cell r="Z61">
            <v>2.5304597568057301</v>
          </cell>
          <cell r="AA61">
            <v>2.5306706214129799</v>
          </cell>
          <cell r="AF61">
            <v>-3.65714791454479E-4</v>
          </cell>
          <cell r="AG61">
            <v>1.9753791790811199E-5</v>
          </cell>
          <cell r="AR61">
            <v>0</v>
          </cell>
          <cell r="BC61">
            <v>2.299678675812405E-3</v>
          </cell>
          <cell r="BF61">
            <v>2.299678675812405E-3</v>
          </cell>
        </row>
        <row r="62">
          <cell r="O62">
            <v>2.5341745756035601</v>
          </cell>
          <cell r="P62">
            <v>2.5269018944710901</v>
          </cell>
          <cell r="Q62">
            <v>2.52781805599128</v>
          </cell>
          <cell r="U62">
            <v>1.57718358638613E-3</v>
          </cell>
          <cell r="V62">
            <v>-2.0170064306070799E-3</v>
          </cell>
          <cell r="W62">
            <v>-8.6941234788929698E-4</v>
          </cell>
          <cell r="Y62">
            <v>2.5351085643703399</v>
          </cell>
          <cell r="Z62">
            <v>2.5309600650498201</v>
          </cell>
          <cell r="AA62">
            <v>2.5305066246245902</v>
          </cell>
          <cell r="AF62">
            <v>1.10219055404976E-4</v>
          </cell>
          <cell r="AG62">
            <v>1.9354613517563401E-4</v>
          </cell>
          <cell r="AR62">
            <v>0</v>
          </cell>
          <cell r="BC62">
            <v>2.299678675812405E-3</v>
          </cell>
          <cell r="BF62">
            <v>2.299678675812405E-3</v>
          </cell>
        </row>
        <row r="63">
          <cell r="O63">
            <v>2.5341745756035601</v>
          </cell>
          <cell r="P63">
            <v>2.5283098776789301</v>
          </cell>
          <cell r="Q63">
            <v>2.5276631849374001</v>
          </cell>
          <cell r="U63">
            <v>2.0627855049315299E-3</v>
          </cell>
          <cell r="V63">
            <v>-8.1118258518351604E-4</v>
          </cell>
          <cell r="W63">
            <v>-4.4868514152630298E-4</v>
          </cell>
          <cell r="Y63">
            <v>2.5351085643703399</v>
          </cell>
          <cell r="Z63">
            <v>2.53103779146331</v>
          </cell>
          <cell r="AA63">
            <v>2.5303517535707098</v>
          </cell>
          <cell r="AF63">
            <v>7.9351579608806305E-4</v>
          </cell>
          <cell r="AG63">
            <v>6.1434226626023102E-4</v>
          </cell>
          <cell r="AR63">
            <v>0</v>
          </cell>
          <cell r="BC63">
            <v>2.299678675812405E-3</v>
          </cell>
          <cell r="BF63">
            <v>2.299678675812405E-3</v>
          </cell>
        </row>
        <row r="64">
          <cell r="O64">
            <v>2.5341745756035601</v>
          </cell>
          <cell r="P64">
            <v>2.5302588139896298</v>
          </cell>
          <cell r="Q64">
            <v>2.527684184815</v>
          </cell>
          <cell r="U64">
            <v>-3.9461450763039302E-4</v>
          </cell>
          <cell r="V64">
            <v>-2.7115403578899301E-3</v>
          </cell>
          <cell r="W64">
            <v>-2.9673537243980301E-3</v>
          </cell>
          <cell r="Y64">
            <v>2.5351085643703399</v>
          </cell>
          <cell r="Z64">
            <v>2.5316510401934398</v>
          </cell>
          <cell r="AA64">
            <v>2.5303727534483098</v>
          </cell>
          <cell r="AF64">
            <v>-1.63317443914798E-3</v>
          </cell>
          <cell r="AG64">
            <v>-1.9042612190552E-3</v>
          </cell>
          <cell r="AR64">
            <v>0</v>
          </cell>
          <cell r="BC64">
            <v>2.299678675812405E-3</v>
          </cell>
          <cell r="BF64">
            <v>2.299678675812405E-3</v>
          </cell>
        </row>
        <row r="65">
          <cell r="O65">
            <v>2.5341745756035601</v>
          </cell>
          <cell r="P65">
            <v>2.5313803859784398</v>
          </cell>
          <cell r="Q65">
            <v>2.5276236978553599</v>
          </cell>
          <cell r="U65">
            <v>7.0826909441098704E-4</v>
          </cell>
          <cell r="V65">
            <v>-8.3810819718648996E-4</v>
          </cell>
          <cell r="W65">
            <v>-1.8561621363477299E-3</v>
          </cell>
          <cell r="Y65">
            <v>2.5351085643703399</v>
          </cell>
          <cell r="Z65">
            <v>2.5313803859784398</v>
          </cell>
          <cell r="AA65">
            <v>2.5303122664886701</v>
          </cell>
          <cell r="AF65">
            <v>-2.8802876905804897E-4</v>
          </cell>
          <cell r="AG65">
            <v>-7.93078458432965E-4</v>
          </cell>
          <cell r="AR65">
            <v>0</v>
          </cell>
          <cell r="BC65">
            <v>2.299678675812405E-3</v>
          </cell>
          <cell r="BF65">
            <v>2.299678675812405E-3</v>
          </cell>
        </row>
        <row r="66">
          <cell r="O66">
            <v>2.5341745756035601</v>
          </cell>
          <cell r="P66">
            <v>2.5315448284661901</v>
          </cell>
          <cell r="Q66">
            <v>2.5276557080115101</v>
          </cell>
          <cell r="U66">
            <v>-1.17192735506172E-4</v>
          </cell>
          <cell r="V66">
            <v>-1.2204044979707701E-3</v>
          </cell>
          <cell r="W66">
            <v>-2.70555404571897E-3</v>
          </cell>
          <cell r="Y66">
            <v>2.5351085643703399</v>
          </cell>
          <cell r="Z66">
            <v>2.5315448284661901</v>
          </cell>
          <cell r="AA66">
            <v>2.5303442766448199</v>
          </cell>
          <cell r="AF66">
            <v>-1.2204044979707701E-3</v>
          </cell>
          <cell r="AG66">
            <v>-1.64244494134084E-3</v>
          </cell>
          <cell r="AR66">
            <v>0</v>
          </cell>
          <cell r="BC66">
            <v>2.299678675812405E-3</v>
          </cell>
          <cell r="BF66">
            <v>2.299678675812405E-3</v>
          </cell>
        </row>
        <row r="67">
          <cell r="O67">
            <v>2.5341745756035601</v>
          </cell>
          <cell r="P67">
            <v>2.5312735359839298</v>
          </cell>
          <cell r="Q67">
            <v>2.52769204740965</v>
          </cell>
          <cell r="U67">
            <v>2.4381435819078399E-3</v>
          </cell>
          <cell r="V67">
            <v>1.39989129675665E-3</v>
          </cell>
          <cell r="W67">
            <v>-1.37553678077464E-4</v>
          </cell>
          <cell r="Y67">
            <v>2.5351085643703399</v>
          </cell>
          <cell r="Z67">
            <v>2.5312735359839298</v>
          </cell>
          <cell r="AA67">
            <v>2.5303806160429598</v>
          </cell>
          <cell r="AF67">
            <v>1.39989129675665E-3</v>
          </cell>
          <cell r="AG67">
            <v>9.25541970272712E-4</v>
          </cell>
          <cell r="AR67">
            <v>0</v>
          </cell>
          <cell r="BC67">
            <v>2.299678675812405E-3</v>
          </cell>
          <cell r="BF67">
            <v>2.299678675812405E-3</v>
          </cell>
        </row>
        <row r="68">
          <cell r="O68">
            <v>2.5341745756035601</v>
          </cell>
          <cell r="P68">
            <v>2.5309186793198202</v>
          </cell>
          <cell r="Q68">
            <v>2.5274796964938702</v>
          </cell>
          <cell r="U68">
            <v>2.9866480867552698E-3</v>
          </cell>
          <cell r="V68">
            <v>1.8412252641745201E-3</v>
          </cell>
          <cell r="W68">
            <v>4.2532744333239199E-4</v>
          </cell>
          <cell r="Y68">
            <v>2.5351085643703399</v>
          </cell>
          <cell r="Z68">
            <v>2.5309186793198202</v>
          </cell>
          <cell r="AA68">
            <v>2.53016826512718</v>
          </cell>
          <cell r="AF68">
            <v>1.8412252641745201E-3</v>
          </cell>
          <cell r="AG68">
            <v>1.48840781619449E-3</v>
          </cell>
          <cell r="AR68">
            <v>0</v>
          </cell>
          <cell r="BC68">
            <v>2.299678675812405E-3</v>
          </cell>
          <cell r="BF68">
            <v>2.299678675812405E-3</v>
          </cell>
        </row>
        <row r="69">
          <cell r="O69">
            <v>2.5341745756035601</v>
          </cell>
          <cell r="P69">
            <v>2.5300703011008099</v>
          </cell>
          <cell r="Q69">
            <v>2.5271451083749499</v>
          </cell>
          <cell r="U69">
            <v>3.9136919787074696E-3</v>
          </cell>
          <cell r="V69">
            <v>2.6280703451783999E-3</v>
          </cell>
          <cell r="W69">
            <v>1.2683580013515001E-3</v>
          </cell>
          <cell r="Y69">
            <v>2.5351085643703399</v>
          </cell>
          <cell r="Z69">
            <v>2.5300703011008099</v>
          </cell>
          <cell r="AA69">
            <v>2.5298336770082601</v>
          </cell>
          <cell r="AF69">
            <v>2.6280703451783999E-3</v>
          </cell>
          <cell r="AG69">
            <v>2.3315276434292299E-3</v>
          </cell>
          <cell r="AR69">
            <v>0</v>
          </cell>
          <cell r="BC69">
            <v>1.3726347838603254E-3</v>
          </cell>
          <cell r="BF69">
            <v>1.3726347838603254E-3</v>
          </cell>
        </row>
        <row r="70">
          <cell r="O70">
            <v>2.5341745756035601</v>
          </cell>
          <cell r="P70">
            <v>2.5298462169852902</v>
          </cell>
          <cell r="Q70">
            <v>2.5271246536934502</v>
          </cell>
          <cell r="U70">
            <v>2.55820004614201E-3</v>
          </cell>
          <cell r="V70">
            <v>9.3731657733107097E-4</v>
          </cell>
          <cell r="W70">
            <v>-2.19522835366695E-4</v>
          </cell>
          <cell r="Y70">
            <v>2.5351085643703399</v>
          </cell>
          <cell r="Z70">
            <v>2.5298462169852902</v>
          </cell>
          <cell r="AA70">
            <v>2.52981322232676</v>
          </cell>
          <cell r="AF70">
            <v>9.3731657733084903E-4</v>
          </cell>
          <cell r="AG70">
            <v>8.4378749308253295E-4</v>
          </cell>
          <cell r="AR70">
            <v>0</v>
          </cell>
          <cell r="BC70">
            <v>2.7281267164259251E-3</v>
          </cell>
          <cell r="BF70">
            <v>2.7281267164259251E-3</v>
          </cell>
        </row>
        <row r="71">
          <cell r="O71">
            <v>2.5341745756035601</v>
          </cell>
          <cell r="P71">
            <v>2.52943328807158</v>
          </cell>
          <cell r="Q71">
            <v>2.5272579538053499</v>
          </cell>
          <cell r="U71">
            <v>3.0028332733251801E-3</v>
          </cell>
          <cell r="V71">
            <v>1.2933775465080999E-3</v>
          </cell>
          <cell r="W71">
            <v>2.1701637133121499E-4</v>
          </cell>
          <cell r="Y71">
            <v>2.5351085643703399</v>
          </cell>
          <cell r="Z71">
            <v>2.52943328807158</v>
          </cell>
          <cell r="AA71">
            <v>2.5299465224386499</v>
          </cell>
          <cell r="AF71">
            <v>1.2933775465080999E-3</v>
          </cell>
          <cell r="AG71">
            <v>1.2803353016969099E-3</v>
          </cell>
          <cell r="AR71">
            <v>0</v>
          </cell>
          <cell r="BC71">
            <v>2.2834934892425451E-3</v>
          </cell>
          <cell r="BF71">
            <v>2.2834934892425451E-3</v>
          </cell>
        </row>
        <row r="72">
          <cell r="O72">
            <v>2.5341745756035601</v>
          </cell>
          <cell r="P72">
            <v>2.52915314136852</v>
          </cell>
          <cell r="Q72">
            <v>2.5280275179198002</v>
          </cell>
          <cell r="U72">
            <v>2.6850170748310902E-3</v>
          </cell>
          <cell r="V72">
            <v>8.1232509501915197E-4</v>
          </cell>
          <cell r="W72">
            <v>-4.8053479180613499E-5</v>
          </cell>
          <cell r="Y72">
            <v>2.5351085643703399</v>
          </cell>
          <cell r="Z72">
            <v>2.52915314136852</v>
          </cell>
          <cell r="AA72">
            <v>2.5300566032091698</v>
          </cell>
          <cell r="AF72">
            <v>8.1232509501915197E-4</v>
          </cell>
          <cell r="AG72">
            <v>1.0152093962797E-3</v>
          </cell>
          <cell r="AR72">
            <v>0</v>
          </cell>
          <cell r="BC72">
            <v>2.6013096877365548E-3</v>
          </cell>
          <cell r="BF72">
            <v>2.6013096877365548E-3</v>
          </cell>
        </row>
        <row r="73">
          <cell r="O73">
            <v>2.5341745756035601</v>
          </cell>
          <cell r="P73">
            <v>2.5286850753465799</v>
          </cell>
          <cell r="Q73">
            <v>2.5284974765127499</v>
          </cell>
          <cell r="U73">
            <v>3.9153300326668699E-3</v>
          </cell>
          <cell r="V73">
            <v>1.93187718823255E-3</v>
          </cell>
          <cell r="W73">
            <v>1.48671869256434E-3</v>
          </cell>
          <cell r="Y73">
            <v>2.5351085643703399</v>
          </cell>
          <cell r="Z73">
            <v>2.5286850753465799</v>
          </cell>
          <cell r="AA73">
            <v>2.5298614334049501</v>
          </cell>
          <cell r="AF73">
            <v>1.93187718823255E-3</v>
          </cell>
          <cell r="AG73">
            <v>2.2890325132203398E-3</v>
          </cell>
          <cell r="AR73">
            <v>0</v>
          </cell>
          <cell r="BC73">
            <v>1.3709967299009246E-3</v>
          </cell>
          <cell r="BF73">
            <v>1.3709967299009246E-3</v>
          </cell>
        </row>
        <row r="74">
          <cell r="O74">
            <v>2.5341745756035601</v>
          </cell>
          <cell r="P74">
            <v>2.5277022578922899</v>
          </cell>
          <cell r="Q74">
            <v>2.5289805359409598</v>
          </cell>
          <cell r="U74">
            <v>3.4896440866618301E-3</v>
          </cell>
          <cell r="V74">
            <v>1.3211058348957E-3</v>
          </cell>
          <cell r="W74">
            <v>1.2469147880087199E-3</v>
          </cell>
          <cell r="Y74">
            <v>2.5351085643703399</v>
          </cell>
          <cell r="Z74">
            <v>2.5277022578922899</v>
          </cell>
          <cell r="AA74">
            <v>2.5296766490428602</v>
          </cell>
          <cell r="AF74">
            <v>1.3211058348957E-3</v>
          </cell>
          <cell r="AG74">
            <v>1.7862031024755299E-3</v>
          </cell>
          <cell r="AR74">
            <v>0</v>
          </cell>
          <cell r="BC74">
            <v>1.7966826759059249E-3</v>
          </cell>
          <cell r="BF74">
            <v>1.7966826759059249E-3</v>
          </cell>
        </row>
        <row r="75">
          <cell r="O75">
            <v>2.5341745756035601</v>
          </cell>
          <cell r="P75">
            <v>2.5271855360126998</v>
          </cell>
          <cell r="Q75">
            <v>2.52928296099557</v>
          </cell>
          <cell r="U75">
            <v>2.75081288575884E-3</v>
          </cell>
          <cell r="V75">
            <v>1.9353168298975499E-4</v>
          </cell>
          <cell r="W75">
            <v>6.99111379409867E-4</v>
          </cell>
          <cell r="Y75">
            <v>2.5351085643703399</v>
          </cell>
          <cell r="Z75">
            <v>2.5271855360126998</v>
          </cell>
          <cell r="AA75">
            <v>2.52928296099557</v>
          </cell>
          <cell r="AF75">
            <v>1.9353168298975499E-4</v>
          </cell>
          <cell r="AG75">
            <v>9.7432793623207395E-4</v>
          </cell>
          <cell r="AR75">
            <v>0</v>
          </cell>
          <cell r="BC75">
            <v>2.5355138768088448E-3</v>
          </cell>
          <cell r="BF75">
            <v>2.5355138768088448E-3</v>
          </cell>
        </row>
        <row r="76">
          <cell r="O76">
            <v>2.5341745756035601</v>
          </cell>
          <cell r="P76">
            <v>2.52639688748192</v>
          </cell>
          <cell r="Q76">
            <v>2.5289708579740502</v>
          </cell>
          <cell r="U76">
            <v>2.9993468326331499E-3</v>
          </cell>
          <cell r="V76">
            <v>2.37621178295376E-4</v>
          </cell>
          <cell r="W76">
            <v>1.0672219577337199E-3</v>
          </cell>
          <cell r="Y76">
            <v>2.5351085643703399</v>
          </cell>
          <cell r="Z76">
            <v>2.52639688748192</v>
          </cell>
          <cell r="AA76">
            <v>2.5289708579740502</v>
          </cell>
          <cell r="AF76">
            <v>2.37621178295376E-4</v>
          </cell>
          <cell r="AG76">
            <v>1.0672219577337199E-3</v>
          </cell>
          <cell r="AR76">
            <v>0</v>
          </cell>
          <cell r="BC76">
            <v>2.2869799299346455E-3</v>
          </cell>
          <cell r="BF76">
            <v>2.2869799299346455E-3</v>
          </cell>
        </row>
        <row r="77">
          <cell r="O77">
            <v>2.5341745756035601</v>
          </cell>
          <cell r="P77">
            <v>2.5266386671402801</v>
          </cell>
          <cell r="Q77">
            <v>2.5289561015621098</v>
          </cell>
          <cell r="U77">
            <v>1.4821950638703901E-3</v>
          </cell>
          <cell r="V77">
            <v>-1.5916452335458099E-3</v>
          </cell>
          <cell r="W77">
            <v>-5.7333327518318102E-4</v>
          </cell>
          <cell r="Y77">
            <v>2.5351085643703399</v>
          </cell>
          <cell r="Z77">
            <v>2.5266386671402801</v>
          </cell>
          <cell r="AA77">
            <v>2.5289561015621098</v>
          </cell>
          <cell r="AF77">
            <v>-1.5916452335458099E-3</v>
          </cell>
          <cell r="AG77">
            <v>-5.7333327518318102E-4</v>
          </cell>
          <cell r="AR77">
            <v>0</v>
          </cell>
          <cell r="BC77">
            <v>3.8041316986973986E-3</v>
          </cell>
          <cell r="BF77">
            <v>3.8041316986973986E-3</v>
          </cell>
        </row>
        <row r="78">
          <cell r="O78">
            <v>2.5341745756035601</v>
          </cell>
          <cell r="P78">
            <v>2.5272206029397299</v>
          </cell>
          <cell r="Q78">
            <v>2.5290696411297802</v>
          </cell>
          <cell r="U78">
            <v>6.8607533644542802E-4</v>
          </cell>
          <cell r="V78">
            <v>-2.2920681640921699E-3</v>
          </cell>
          <cell r="W78">
            <v>-1.3752879670371301E-3</v>
          </cell>
          <cell r="Y78">
            <v>2.5351085643703399</v>
          </cell>
          <cell r="Z78">
            <v>2.5272206029397299</v>
          </cell>
          <cell r="AA78">
            <v>2.5290696411297802</v>
          </cell>
          <cell r="AF78">
            <v>-2.2920681640921699E-3</v>
          </cell>
          <cell r="AG78">
            <v>-1.3752879670371301E-3</v>
          </cell>
          <cell r="AR78">
            <v>0</v>
          </cell>
          <cell r="BC78">
            <v>3.8041316986973986E-3</v>
          </cell>
          <cell r="BF78">
            <v>3.8041316986973986E-3</v>
          </cell>
        </row>
        <row r="79">
          <cell r="O79">
            <v>2.5341745756035601</v>
          </cell>
          <cell r="P79">
            <v>2.5278029660061101</v>
          </cell>
          <cell r="Q79">
            <v>2.5289366335534602</v>
          </cell>
          <cell r="U79">
            <v>1.60929922536771E-3</v>
          </cell>
          <cell r="V79">
            <v>-1.13855064373844E-3</v>
          </cell>
          <cell r="W79">
            <v>-4.0716926204696998E-4</v>
          </cell>
          <cell r="Y79">
            <v>2.5351085643703399</v>
          </cell>
          <cell r="Z79">
            <v>2.5278029660061101</v>
          </cell>
          <cell r="AA79">
            <v>2.5289366335534602</v>
          </cell>
          <cell r="AF79">
            <v>-1.13855064373844E-3</v>
          </cell>
          <cell r="AG79">
            <v>-4.0716926204696998E-4</v>
          </cell>
          <cell r="AR79">
            <v>0</v>
          </cell>
          <cell r="BC79">
            <v>3.8041316986973986E-3</v>
          </cell>
          <cell r="BF79">
            <v>3.8041316986973986E-3</v>
          </cell>
        </row>
        <row r="80">
          <cell r="O80">
            <v>2.5341745756035601</v>
          </cell>
          <cell r="P80">
            <v>2.52762011254663</v>
          </cell>
          <cell r="Q80">
            <v>2.5287331647659599</v>
          </cell>
          <cell r="U80">
            <v>3.2818604253069699E-3</v>
          </cell>
          <cell r="V80">
            <v>7.6442019169070501E-4</v>
          </cell>
          <cell r="W80">
            <v>1.21279905084421E-3</v>
          </cell>
          <cell r="Y80">
            <v>2.5351085643703399</v>
          </cell>
          <cell r="Z80">
            <v>2.52762011254663</v>
          </cell>
          <cell r="AA80">
            <v>2.5287331647659599</v>
          </cell>
          <cell r="AF80">
            <v>7.6442019169070501E-4</v>
          </cell>
          <cell r="AG80">
            <v>1.21279905084421E-3</v>
          </cell>
          <cell r="AR80">
            <v>0</v>
          </cell>
          <cell r="BC80">
            <v>3.8041316986973986E-3</v>
          </cell>
          <cell r="BF80">
            <v>3.8041316986973986E-3</v>
          </cell>
        </row>
        <row r="81">
          <cell r="O81">
            <v>2.5341745756035601</v>
          </cell>
          <cell r="P81">
            <v>2.52765437586095</v>
          </cell>
          <cell r="Q81">
            <v>2.5285438319662599</v>
          </cell>
          <cell r="U81">
            <v>2.8672308319271202E-3</v>
          </cell>
          <cell r="V81">
            <v>2.7745107035506098E-4</v>
          </cell>
          <cell r="W81">
            <v>7.1770995903040703E-4</v>
          </cell>
          <cell r="Y81">
            <v>2.5351085643703399</v>
          </cell>
          <cell r="Z81">
            <v>2.52765437586095</v>
          </cell>
          <cell r="AA81">
            <v>2.5285438319662599</v>
          </cell>
          <cell r="AF81">
            <v>2.7745107035506098E-4</v>
          </cell>
          <cell r="AG81">
            <v>7.1770995903040703E-4</v>
          </cell>
          <cell r="AR81">
            <v>0</v>
          </cell>
          <cell r="BC81">
            <v>4.2187612920772883E-3</v>
          </cell>
          <cell r="BF81">
            <v>4.2187612920772883E-3</v>
          </cell>
        </row>
        <row r="82">
          <cell r="O82">
            <v>2.5341745756035601</v>
          </cell>
          <cell r="P82">
            <v>2.5278279945038702</v>
          </cell>
          <cell r="Q82">
            <v>2.5284905679362</v>
          </cell>
          <cell r="U82">
            <v>1.9983016713862201E-3</v>
          </cell>
          <cell r="V82">
            <v>-5.77922618808698E-4</v>
          </cell>
          <cell r="W82">
            <v>-2.2609459390447701E-4</v>
          </cell>
          <cell r="Y82">
            <v>2.5351085643703399</v>
          </cell>
          <cell r="Z82">
            <v>2.5278279945038702</v>
          </cell>
          <cell r="AA82">
            <v>2.5284905679362</v>
          </cell>
          <cell r="AF82">
            <v>-5.77922618808698E-4</v>
          </cell>
          <cell r="AG82">
            <v>-2.2609459390447701E-4</v>
          </cell>
          <cell r="AR82">
            <v>0</v>
          </cell>
          <cell r="BC82">
            <v>5.0876904526181875E-3</v>
          </cell>
          <cell r="BF82">
            <v>5.0876904526181875E-3</v>
          </cell>
        </row>
        <row r="83">
          <cell r="O83">
            <v>2.5341745756035601</v>
          </cell>
          <cell r="P83">
            <v>2.5279088143067998</v>
          </cell>
          <cell r="Q83">
            <v>2.5282969448266899</v>
          </cell>
          <cell r="U83">
            <v>3.5952105186489E-3</v>
          </cell>
          <cell r="V83">
            <v>1.08767152108268E-3</v>
          </cell>
          <cell r="W83">
            <v>1.3497489309353299E-3</v>
          </cell>
          <cell r="Y83">
            <v>2.5351085643703399</v>
          </cell>
          <cell r="Z83">
            <v>2.5279088143067998</v>
          </cell>
          <cell r="AA83">
            <v>2.5282969448266899</v>
          </cell>
          <cell r="AF83">
            <v>1.0876715210829E-3</v>
          </cell>
          <cell r="AG83">
            <v>1.3497489309353299E-3</v>
          </cell>
          <cell r="AR83">
            <v>0</v>
          </cell>
          <cell r="BC83">
            <v>5.0876904526181875E-3</v>
          </cell>
          <cell r="BF83">
            <v>5.0876904526181875E-3</v>
          </cell>
        </row>
        <row r="84">
          <cell r="O84">
            <v>2.5341745756035601</v>
          </cell>
          <cell r="P84">
            <v>2.5275975679438001</v>
          </cell>
          <cell r="Q84">
            <v>2.5276499129180401</v>
          </cell>
          <cell r="U84">
            <v>4.7228938995142198E-3</v>
          </cell>
          <cell r="V84">
            <v>2.2473264249871202E-3</v>
          </cell>
          <cell r="W84">
            <v>2.4008528197355002E-3</v>
          </cell>
          <cell r="Y84">
            <v>2.5351085643703399</v>
          </cell>
          <cell r="Z84">
            <v>2.5275975679438001</v>
          </cell>
          <cell r="AA84">
            <v>2.5276499129180401</v>
          </cell>
          <cell r="AF84">
            <v>2.2473264249871202E-3</v>
          </cell>
          <cell r="AG84">
            <v>2.4008528197355002E-3</v>
          </cell>
          <cell r="AR84">
            <v>0</v>
          </cell>
          <cell r="BC84">
            <v>3.9600070717527476E-3</v>
          </cell>
          <cell r="BF84">
            <v>3.9600070717527476E-3</v>
          </cell>
        </row>
        <row r="85">
          <cell r="O85">
            <v>2.5341745756035601</v>
          </cell>
          <cell r="P85">
            <v>2.52741022239463</v>
          </cell>
          <cell r="Q85">
            <v>2.5272978792036702</v>
          </cell>
          <cell r="U85">
            <v>3.4924006182565498E-3</v>
          </cell>
          <cell r="V85">
            <v>8.9370151660519504E-4</v>
          </cell>
          <cell r="W85">
            <v>9.1441068047636096E-4</v>
          </cell>
          <cell r="Y85">
            <v>2.5351085643703399</v>
          </cell>
          <cell r="Z85">
            <v>2.52741022239463</v>
          </cell>
          <cell r="AA85">
            <v>2.5272978792036702</v>
          </cell>
          <cell r="AF85">
            <v>8.9370151660519504E-4</v>
          </cell>
          <cell r="AG85">
            <v>9.1441068047636096E-4</v>
          </cell>
          <cell r="AR85">
            <v>0</v>
          </cell>
          <cell r="BC85">
            <v>5.1905003530105876E-3</v>
          </cell>
          <cell r="BF85">
            <v>5.1905003530105876E-3</v>
          </cell>
        </row>
        <row r="86">
          <cell r="O86">
            <v>2.5341745756035601</v>
          </cell>
          <cell r="P86">
            <v>2.5269837595215301</v>
          </cell>
          <cell r="Q86">
            <v>2.52669032350172</v>
          </cell>
          <cell r="U86">
            <v>4.6886752204598299E-3</v>
          </cell>
          <cell r="V86">
            <v>2.01585336488997E-3</v>
          </cell>
          <cell r="W86">
            <v>1.9714024534915799E-3</v>
          </cell>
          <cell r="Y86">
            <v>2.5351085643703399</v>
          </cell>
          <cell r="Z86">
            <v>2.5269837595215301</v>
          </cell>
          <cell r="AA86">
            <v>2.52669032350172</v>
          </cell>
          <cell r="AF86">
            <v>2.01585336488997E-3</v>
          </cell>
          <cell r="AG86">
            <v>1.9714024534915799E-3</v>
          </cell>
          <cell r="AR86">
            <v>0</v>
          </cell>
          <cell r="BC86">
            <v>3.9942257508073379E-3</v>
          </cell>
          <cell r="BF86">
            <v>3.9942257508073379E-3</v>
          </cell>
        </row>
        <row r="87">
          <cell r="O87">
            <v>2.5341745756035601</v>
          </cell>
          <cell r="P87">
            <v>2.5261402814595</v>
          </cell>
          <cell r="Q87">
            <v>2.52638947429989</v>
          </cell>
          <cell r="U87">
            <v>4.82111347094504E-3</v>
          </cell>
          <cell r="V87">
            <v>1.9795422556511499E-3</v>
          </cell>
          <cell r="W87">
            <v>1.8634144582060201E-3</v>
          </cell>
          <cell r="Y87">
            <v>2.5351085643703399</v>
          </cell>
          <cell r="Z87">
            <v>2.5261402814595</v>
          </cell>
          <cell r="AA87">
            <v>2.52638947429989</v>
          </cell>
          <cell r="AF87">
            <v>1.9795422556513802E-3</v>
          </cell>
          <cell r="AG87">
            <v>1.8634144582060201E-3</v>
          </cell>
          <cell r="AR87">
            <v>0</v>
          </cell>
          <cell r="BC87">
            <v>3.8617875003219377E-3</v>
          </cell>
          <cell r="BF87">
            <v>3.8617875003219377E-3</v>
          </cell>
        </row>
        <row r="88">
          <cell r="O88">
            <v>2.5341745756035601</v>
          </cell>
          <cell r="P88">
            <v>2.5253788972420601</v>
          </cell>
          <cell r="Q88">
            <v>2.5262997500908999</v>
          </cell>
          <cell r="U88">
            <v>3.69713234469657E-3</v>
          </cell>
          <cell r="V88">
            <v>5.2171693202275702E-4</v>
          </cell>
          <cell r="W88">
            <v>6.2035775261661203E-4</v>
          </cell>
          <cell r="Y88">
            <v>2.5351085643703399</v>
          </cell>
          <cell r="Z88">
            <v>2.5253788972420601</v>
          </cell>
          <cell r="AA88">
            <v>2.5262997500908999</v>
          </cell>
          <cell r="AF88">
            <v>5.2171693202275702E-4</v>
          </cell>
          <cell r="AG88">
            <v>6.2035775261661203E-4</v>
          </cell>
          <cell r="AR88">
            <v>0</v>
          </cell>
          <cell r="BC88">
            <v>4.9857686265706381E-3</v>
          </cell>
          <cell r="BF88">
            <v>4.9857686265706381E-3</v>
          </cell>
        </row>
        <row r="89">
          <cell r="O89">
            <v>2.5341745756035601</v>
          </cell>
          <cell r="P89">
            <v>2.5246945176153299</v>
          </cell>
          <cell r="Q89">
            <v>2.5262487418107198</v>
          </cell>
          <cell r="U89">
            <v>4.3179155316067199E-3</v>
          </cell>
          <cell r="V89">
            <v>8.4105249643933204E-4</v>
          </cell>
          <cell r="W89">
            <v>1.20562551199307E-3</v>
          </cell>
          <cell r="Y89">
            <v>2.5351085643703399</v>
          </cell>
          <cell r="Z89">
            <v>2.5246945176153299</v>
          </cell>
          <cell r="AA89">
            <v>2.5262487418107198</v>
          </cell>
          <cell r="AF89">
            <v>8.4105249643933204E-4</v>
          </cell>
          <cell r="AG89">
            <v>1.20562551199307E-3</v>
          </cell>
          <cell r="AR89">
            <v>0</v>
          </cell>
          <cell r="BC89">
            <v>4.3649854396602484E-3</v>
          </cell>
          <cell r="BF89">
            <v>4.3649854396602484E-3</v>
          </cell>
        </row>
        <row r="90">
          <cell r="O90">
            <v>2.5341745756035601</v>
          </cell>
          <cell r="P90">
            <v>2.5241454812191599</v>
          </cell>
          <cell r="Q90">
            <v>2.5258827968828999</v>
          </cell>
          <cell r="U90">
            <v>5.45787765632325E-3</v>
          </cell>
          <cell r="V90">
            <v>1.7099771233978201E-3</v>
          </cell>
          <cell r="W90">
            <v>2.32539652710903E-3</v>
          </cell>
          <cell r="Y90">
            <v>2.5351085643703399</v>
          </cell>
          <cell r="Z90">
            <v>2.5241454812191599</v>
          </cell>
          <cell r="AA90">
            <v>2.5258827968828999</v>
          </cell>
          <cell r="AF90">
            <v>1.7099771233978201E-3</v>
          </cell>
          <cell r="AG90">
            <v>2.32539652710903E-3</v>
          </cell>
          <cell r="AR90">
            <v>0</v>
          </cell>
          <cell r="BC90">
            <v>3.2250233149438883E-3</v>
          </cell>
          <cell r="BF90">
            <v>3.2250233149438883E-3</v>
          </cell>
        </row>
        <row r="91">
          <cell r="O91">
            <v>2.5341745756035601</v>
          </cell>
          <cell r="P91">
            <v>2.5239430781522301</v>
          </cell>
          <cell r="Q91">
            <v>2.52579872700659</v>
          </cell>
          <cell r="U91">
            <v>3.6685393737170302E-3</v>
          </cell>
          <cell r="V91">
            <v>-2.96851275136679E-4</v>
          </cell>
          <cell r="W91">
            <v>3.91190706649554E-4</v>
          </cell>
          <cell r="Y91">
            <v>2.5351085643703399</v>
          </cell>
          <cell r="Z91">
            <v>2.5239430781522301</v>
          </cell>
          <cell r="AA91">
            <v>2.52579872700659</v>
          </cell>
          <cell r="AF91">
            <v>-2.96851275136679E-4</v>
          </cell>
          <cell r="AG91">
            <v>3.91190706649554E-4</v>
          </cell>
          <cell r="AR91">
            <v>0</v>
          </cell>
          <cell r="BC91">
            <v>5.0143615975502282E-3</v>
          </cell>
          <cell r="BF91">
            <v>5.0143615975502282E-3</v>
          </cell>
        </row>
        <row r="92">
          <cell r="O92">
            <v>2.5341745756035601</v>
          </cell>
          <cell r="P92">
            <v>2.5234380563088399</v>
          </cell>
          <cell r="Q92">
            <v>2.5256330254063601</v>
          </cell>
          <cell r="U92">
            <v>3.9971297997983797E-3</v>
          </cell>
          <cell r="V92">
            <v>-4.8450831722585002E-5</v>
          </cell>
          <cell r="W92">
            <v>6.8649721492334095E-4</v>
          </cell>
          <cell r="Y92">
            <v>2.5351085643703399</v>
          </cell>
          <cell r="Z92">
            <v>2.5234380563088399</v>
          </cell>
          <cell r="AA92">
            <v>2.5256330254063601</v>
          </cell>
          <cell r="AF92">
            <v>-4.8450831722585002E-5</v>
          </cell>
          <cell r="AG92">
            <v>6.8649721492334095E-4</v>
          </cell>
          <cell r="AR92">
            <v>0</v>
          </cell>
          <cell r="BC92">
            <v>4.6857711714689276E-3</v>
          </cell>
          <cell r="BF92">
            <v>4.6857711714689276E-3</v>
          </cell>
        </row>
        <row r="93">
          <cell r="O93">
            <v>2.5341745756035601</v>
          </cell>
          <cell r="P93">
            <v>2.5235358426857801</v>
          </cell>
          <cell r="Q93">
            <v>2.5257223284962902</v>
          </cell>
          <cell r="U93">
            <v>3.20802498088528E-3</v>
          </cell>
          <cell r="V93">
            <v>-1.03766807790165E-3</v>
          </cell>
          <cell r="W93">
            <v>-1.68213399896224E-4</v>
          </cell>
          <cell r="Y93">
            <v>2.5351085643703399</v>
          </cell>
          <cell r="Z93">
            <v>2.5235358426857801</v>
          </cell>
          <cell r="AA93">
            <v>2.5257223284962902</v>
          </cell>
          <cell r="AF93">
            <v>-1.03766807790165E-3</v>
          </cell>
          <cell r="AG93">
            <v>-1.68213399896224E-4</v>
          </cell>
          <cell r="AR93">
            <v>0</v>
          </cell>
          <cell r="BC93">
            <v>5.4748759903818578E-3</v>
          </cell>
          <cell r="BF93">
            <v>5.4748759903818578E-3</v>
          </cell>
        </row>
        <row r="94">
          <cell r="O94">
            <v>2.5341745756035601</v>
          </cell>
          <cell r="P94">
            <v>2.5245150711796902</v>
          </cell>
          <cell r="Q94">
            <v>2.5260563195617398</v>
          </cell>
          <cell r="U94">
            <v>8.4802555808254597E-4</v>
          </cell>
          <cell r="V94">
            <v>-3.35891700232445E-3</v>
          </cell>
          <cell r="W94">
            <v>-2.4928547519703801E-3</v>
          </cell>
          <cell r="Y94">
            <v>2.5351085643703399</v>
          </cell>
          <cell r="Z94">
            <v>2.5245150711796902</v>
          </cell>
          <cell r="AA94">
            <v>2.5260563195617398</v>
          </cell>
          <cell r="AF94">
            <v>-3.35891700232445E-3</v>
          </cell>
          <cell r="AG94">
            <v>-2.4928547519703801E-3</v>
          </cell>
          <cell r="AR94">
            <v>0</v>
          </cell>
          <cell r="BC94">
            <v>5.4748759903818578E-3</v>
          </cell>
          <cell r="BF94">
            <v>5.4748759903818578E-3</v>
          </cell>
        </row>
        <row r="95">
          <cell r="O95">
            <v>2.5341745756035601</v>
          </cell>
          <cell r="P95">
            <v>2.5253265763504</v>
          </cell>
          <cell r="Q95">
            <v>2.5263683993725099</v>
          </cell>
          <cell r="U95">
            <v>2.8410311733295299E-4</v>
          </cell>
          <cell r="V95">
            <v>-3.5348764360034601E-3</v>
          </cell>
          <cell r="W95">
            <v>-2.9245500746250801E-3</v>
          </cell>
          <cell r="Y95">
            <v>2.5351085643703399</v>
          </cell>
          <cell r="Z95">
            <v>2.5253265763504</v>
          </cell>
          <cell r="AA95">
            <v>2.5263683993725099</v>
          </cell>
          <cell r="AF95">
            <v>-3.5348764360034601E-3</v>
          </cell>
          <cell r="AG95">
            <v>-2.9245500746250801E-3</v>
          </cell>
          <cell r="AR95">
            <v>0</v>
          </cell>
          <cell r="BC95">
            <v>5.4748759903818578E-3</v>
          </cell>
          <cell r="BF95">
            <v>5.4748759903818578E-3</v>
          </cell>
        </row>
        <row r="96">
          <cell r="O96">
            <v>2.5341745756035601</v>
          </cell>
          <cell r="P96">
            <v>2.52627450270495</v>
          </cell>
          <cell r="Q96">
            <v>2.5266291311132401</v>
          </cell>
          <cell r="U96">
            <v>9.3756749267090401E-4</v>
          </cell>
          <cell r="V96">
            <v>-2.56001379341972E-3</v>
          </cell>
          <cell r="W96">
            <v>-2.14754904964716E-3</v>
          </cell>
          <cell r="Y96">
            <v>2.5351085643703399</v>
          </cell>
          <cell r="Z96">
            <v>2.52627450270495</v>
          </cell>
          <cell r="AA96">
            <v>2.5266291311132401</v>
          </cell>
          <cell r="AF96">
            <v>-2.5600137934198301E-3</v>
          </cell>
          <cell r="AG96">
            <v>-2.14754904964716E-3</v>
          </cell>
          <cell r="AR96">
            <v>6.5346437533811939E-4</v>
          </cell>
          <cell r="BC96">
            <v>5.4748759903818578E-3</v>
          </cell>
          <cell r="BF96">
            <v>6.1283403657199772E-3</v>
          </cell>
        </row>
        <row r="97">
          <cell r="O97">
            <v>2.5341745756035601</v>
          </cell>
          <cell r="P97">
            <v>2.5269403839079998</v>
          </cell>
          <cell r="Q97">
            <v>2.5265403326837501</v>
          </cell>
          <cell r="U97">
            <v>2.1842884935803501E-3</v>
          </cell>
          <cell r="V97">
            <v>-9.3799539635803304E-4</v>
          </cell>
          <cell r="W97">
            <v>-7.9762920908492603E-4</v>
          </cell>
          <cell r="Y97">
            <v>2.5351085643703399</v>
          </cell>
          <cell r="Z97">
            <v>2.5269403839079998</v>
          </cell>
          <cell r="AA97">
            <v>2.5265403326837501</v>
          </cell>
          <cell r="AF97">
            <v>-9.3799539635792202E-4</v>
          </cell>
          <cell r="AG97">
            <v>-7.9762920908492603E-4</v>
          </cell>
          <cell r="AR97">
            <v>1.9001853762475895E-3</v>
          </cell>
          <cell r="BC97">
            <v>5.4748759903818578E-3</v>
          </cell>
          <cell r="BF97">
            <v>7.3750613666294478E-3</v>
          </cell>
        </row>
        <row r="98">
          <cell r="O98">
            <v>2.5341745756035601</v>
          </cell>
          <cell r="P98">
            <v>2.5268803366266699</v>
          </cell>
          <cell r="Q98">
            <v>2.5261296169343699</v>
          </cell>
          <cell r="U98">
            <v>3.9349883455483204E-3</v>
          </cell>
          <cell r="V98">
            <v>1.0762520077475699E-3</v>
          </cell>
          <cell r="W98">
            <v>9.1792500601552195E-4</v>
          </cell>
          <cell r="Y98">
            <v>2.5351085643703399</v>
          </cell>
          <cell r="Z98">
            <v>2.5268803366266699</v>
          </cell>
          <cell r="AA98">
            <v>2.5261296169343699</v>
          </cell>
          <cell r="AF98">
            <v>1.0762520077475699E-3</v>
          </cell>
          <cell r="AG98">
            <v>9.1792500601552195E-4</v>
          </cell>
          <cell r="AR98">
            <v>1.9001853762475895E-3</v>
          </cell>
          <cell r="BC98">
            <v>5.4748759903818578E-3</v>
          </cell>
          <cell r="BF98">
            <v>7.3750613666294478E-3</v>
          </cell>
        </row>
        <row r="99">
          <cell r="O99">
            <v>2.5341745756035601</v>
          </cell>
          <cell r="P99">
            <v>2.5269913594209599</v>
          </cell>
          <cell r="Q99">
            <v>2.52584293851814</v>
          </cell>
          <cell r="U99">
            <v>3.8780141315087999E-3</v>
          </cell>
          <cell r="V99">
            <v>9.9551467085654791E-4</v>
          </cell>
          <cell r="W99">
            <v>6.9837704210563302E-4</v>
          </cell>
          <cell r="Y99">
            <v>2.5351085643703399</v>
          </cell>
          <cell r="Z99">
            <v>2.5269913594209599</v>
          </cell>
          <cell r="AA99">
            <v>2.52584293851814</v>
          </cell>
          <cell r="AF99">
            <v>9.9551467085654791E-4</v>
          </cell>
          <cell r="AG99">
            <v>6.9837704210563302E-4</v>
          </cell>
          <cell r="AR99">
            <v>1.9001853762475895E-3</v>
          </cell>
          <cell r="BC99">
            <v>5.4748759903818578E-3</v>
          </cell>
          <cell r="BF99">
            <v>7.3750613666294478E-3</v>
          </cell>
        </row>
        <row r="100">
          <cell r="O100">
            <v>2.5341745756035601</v>
          </cell>
          <cell r="P100">
            <v>2.5273468140933901</v>
          </cell>
          <cell r="Q100">
            <v>2.5257461476562799</v>
          </cell>
          <cell r="U100">
            <v>4.0485500584639504E-3</v>
          </cell>
          <cell r="V100">
            <v>1.20998633697659E-3</v>
          </cell>
          <cell r="W100">
            <v>7.5542129293344501E-4</v>
          </cell>
          <cell r="Y100">
            <v>2.5351085643703399</v>
          </cell>
          <cell r="Z100">
            <v>2.5273468140933901</v>
          </cell>
          <cell r="AA100">
            <v>2.5257461476562799</v>
          </cell>
          <cell r="AF100">
            <v>1.20998633697659E-3</v>
          </cell>
          <cell r="AG100">
            <v>7.5542129293366695E-4</v>
          </cell>
          <cell r="AR100">
            <v>1.9001853762475895E-3</v>
          </cell>
          <cell r="BC100">
            <v>5.4748759903818578E-3</v>
          </cell>
          <cell r="BF100">
            <v>7.3750613666294478E-3</v>
          </cell>
        </row>
        <row r="101">
          <cell r="O101">
            <v>2.5341745756035601</v>
          </cell>
          <cell r="P101">
            <v>2.5270726553526099</v>
          </cell>
          <cell r="Q101">
            <v>2.5255078667524198</v>
          </cell>
          <cell r="U101">
            <v>4.7549516981997397E-3</v>
          </cell>
          <cell r="V101">
            <v>2.0570412772292499E-3</v>
          </cell>
          <cell r="W101">
            <v>1.42350197654029E-3</v>
          </cell>
          <cell r="Y101">
            <v>2.5351085643703399</v>
          </cell>
          <cell r="Z101">
            <v>2.5270726553526099</v>
          </cell>
          <cell r="AA101">
            <v>2.5255078667524198</v>
          </cell>
          <cell r="AF101">
            <v>2.0570412772292499E-3</v>
          </cell>
          <cell r="AG101">
            <v>1.42350197654029E-3</v>
          </cell>
          <cell r="AR101">
            <v>1.9001853762475895E-3</v>
          </cell>
          <cell r="BC101">
            <v>5.4748759903818578E-3</v>
          </cell>
          <cell r="BF101">
            <v>7.3750613666294478E-3</v>
          </cell>
        </row>
        <row r="102">
          <cell r="O102">
            <v>2.5341745756035601</v>
          </cell>
          <cell r="P102">
            <v>2.5269851864185502</v>
          </cell>
          <cell r="Q102">
            <v>2.5252116213637001</v>
          </cell>
          <cell r="U102">
            <v>4.3437297508029998E-3</v>
          </cell>
          <cell r="V102">
            <v>1.53733654849427E-3</v>
          </cell>
          <cell r="W102">
            <v>9.1793478206157904E-4</v>
          </cell>
          <cell r="Y102">
            <v>2.5351085643703399</v>
          </cell>
          <cell r="Z102">
            <v>2.5269851864185502</v>
          </cell>
          <cell r="AA102">
            <v>2.5252116213637001</v>
          </cell>
          <cell r="AF102">
            <v>1.53733654849427E-3</v>
          </cell>
          <cell r="AG102">
            <v>9.1793478206157904E-4</v>
          </cell>
          <cell r="AR102">
            <v>1.9001853762475895E-3</v>
          </cell>
          <cell r="BC102">
            <v>5.8860979377786593E-3</v>
          </cell>
          <cell r="BF102">
            <v>7.7862833140262492E-3</v>
          </cell>
        </row>
        <row r="103">
          <cell r="O103">
            <v>2.5341745756035601</v>
          </cell>
          <cell r="P103">
            <v>2.5267657082445298</v>
          </cell>
          <cell r="Q103">
            <v>2.5251507754651601</v>
          </cell>
          <cell r="U103">
            <v>4.0772591193380401E-3</v>
          </cell>
          <cell r="V103">
            <v>1.23625256799183E-3</v>
          </cell>
          <cell r="W103">
            <v>5.3415595727416599E-4</v>
          </cell>
          <cell r="Y103">
            <v>2.5351085643703399</v>
          </cell>
          <cell r="Z103">
            <v>2.5267657082445298</v>
          </cell>
          <cell r="AA103">
            <v>2.5251507754651601</v>
          </cell>
          <cell r="AF103">
            <v>1.23625256799183E-3</v>
          </cell>
          <cell r="AG103">
            <v>5.3415595727416599E-4</v>
          </cell>
          <cell r="AR103">
            <v>1.9001853762475895E-3</v>
          </cell>
          <cell r="BC103">
            <v>6.152568569243809E-3</v>
          </cell>
          <cell r="BF103">
            <v>8.0527539454913998E-3</v>
          </cell>
        </row>
        <row r="104">
          <cell r="O104">
            <v>2.5341745756035601</v>
          </cell>
          <cell r="P104">
            <v>2.5266489109363102</v>
          </cell>
          <cell r="Q104">
            <v>2.525581991058</v>
          </cell>
          <cell r="U104">
            <v>1.30941195087303E-3</v>
          </cell>
          <cell r="V104">
            <v>-1.618452136087E-3</v>
          </cell>
          <cell r="W104">
            <v>-2.25778686760652E-3</v>
          </cell>
          <cell r="Y104">
            <v>2.5351085643703399</v>
          </cell>
          <cell r="Z104">
            <v>2.5266489109363102</v>
          </cell>
          <cell r="AA104">
            <v>2.525581991058</v>
          </cell>
          <cell r="AF104">
            <v>-1.618452136087E-3</v>
          </cell>
          <cell r="AG104">
            <v>-2.25778686760652E-3</v>
          </cell>
          <cell r="AR104">
            <v>1.9001853762475895E-3</v>
          </cell>
          <cell r="BC104">
            <v>8.9204157377086105E-3</v>
          </cell>
          <cell r="BF104">
            <v>1.0820601113956201E-2</v>
          </cell>
        </row>
        <row r="105">
          <cell r="O105">
            <v>2.5341745756035601</v>
          </cell>
          <cell r="P105">
            <v>2.5260369250329799</v>
          </cell>
          <cell r="Q105">
            <v>2.5256817506916902</v>
          </cell>
          <cell r="U105">
            <v>2.70264352108141E-3</v>
          </cell>
          <cell r="V105">
            <v>-2.7144566991143003E-4</v>
          </cell>
          <cell r="W105">
            <v>-6.9380162112006095E-4</v>
          </cell>
          <cell r="Y105">
            <v>2.5351085643703399</v>
          </cell>
          <cell r="Z105">
            <v>2.5260369250329799</v>
          </cell>
          <cell r="AA105">
            <v>2.5256817506916902</v>
          </cell>
          <cell r="AF105">
            <v>-2.7144566991109701E-4</v>
          </cell>
          <cell r="AG105">
            <v>-6.9380162112006095E-4</v>
          </cell>
          <cell r="AR105">
            <v>1.9001853762475895E-3</v>
          </cell>
          <cell r="BC105">
            <v>8.9204157377086105E-3</v>
          </cell>
          <cell r="BF105">
            <v>1.0820601113956201E-2</v>
          </cell>
        </row>
        <row r="106">
          <cell r="O106">
            <v>2.5341745756035601</v>
          </cell>
          <cell r="P106">
            <v>2.5259798072784601</v>
          </cell>
          <cell r="Q106">
            <v>2.5261271549917099</v>
          </cell>
          <cell r="U106">
            <v>1.1631943372790499E-3</v>
          </cell>
          <cell r="V106">
            <v>-2.0531366736836099E-3</v>
          </cell>
          <cell r="W106">
            <v>-2.1937519235330299E-3</v>
          </cell>
          <cell r="Y106">
            <v>2.5351085643703399</v>
          </cell>
          <cell r="Z106">
            <v>2.5259798072784601</v>
          </cell>
          <cell r="AA106">
            <v>2.5261271549917099</v>
          </cell>
          <cell r="AF106">
            <v>-2.0531366736836099E-3</v>
          </cell>
          <cell r="AG106">
            <v>-2.1937519235330299E-3</v>
          </cell>
          <cell r="AR106">
            <v>1.9001853762475895E-3</v>
          </cell>
          <cell r="BC106">
            <v>8.9204157377086105E-3</v>
          </cell>
          <cell r="BF106">
            <v>1.0820601113956201E-2</v>
          </cell>
        </row>
        <row r="107">
          <cell r="O107">
            <v>2.5341745756035601</v>
          </cell>
          <cell r="P107">
            <v>2.52641523693597</v>
          </cell>
          <cell r="Q107">
            <v>2.52667781042198</v>
          </cell>
          <cell r="U107">
            <v>4.6378149352367101E-4</v>
          </cell>
          <cell r="V107">
            <v>-2.7751613802055402E-3</v>
          </cell>
          <cell r="W107">
            <v>-2.7168301871452402E-3</v>
          </cell>
          <cell r="Y107">
            <v>2.5351085643703399</v>
          </cell>
          <cell r="Z107">
            <v>2.52641523693597</v>
          </cell>
          <cell r="AA107">
            <v>2.52667781042198</v>
          </cell>
          <cell r="AF107">
            <v>-2.7751613802055402E-3</v>
          </cell>
          <cell r="AG107">
            <v>-2.7168301871452402E-3</v>
          </cell>
          <cell r="AR107">
            <v>1.9001853762475895E-3</v>
          </cell>
          <cell r="BC107">
            <v>8.9204157377086105E-3</v>
          </cell>
          <cell r="BF107">
            <v>1.0820601113956201E-2</v>
          </cell>
        </row>
        <row r="108">
          <cell r="O108">
            <v>2.5341745756035601</v>
          </cell>
          <cell r="P108">
            <v>2.5270482571038202</v>
          </cell>
          <cell r="Q108">
            <v>2.5269642968652501</v>
          </cell>
          <cell r="U108">
            <v>1.4303445459828E-3</v>
          </cell>
          <cell r="V108">
            <v>-1.63623268540362E-3</v>
          </cell>
          <cell r="W108">
            <v>-1.53230683888111E-3</v>
          </cell>
          <cell r="Y108">
            <v>2.5351085643703399</v>
          </cell>
          <cell r="Z108">
            <v>2.5270482571038202</v>
          </cell>
          <cell r="AA108">
            <v>2.5269642968652501</v>
          </cell>
          <cell r="AF108">
            <v>-1.6362326854037299E-3</v>
          </cell>
          <cell r="AG108">
            <v>-1.53230683888111E-3</v>
          </cell>
          <cell r="AR108">
            <v>2.8667484287065591E-3</v>
          </cell>
          <cell r="BC108">
            <v>8.9204157377086105E-3</v>
          </cell>
          <cell r="BF108">
            <v>1.1787164166415171E-2</v>
          </cell>
        </row>
        <row r="109">
          <cell r="O109">
            <v>2.5341745756035601</v>
          </cell>
          <cell r="P109">
            <v>2.5277366529141898</v>
          </cell>
          <cell r="Q109">
            <v>2.52736400616757</v>
          </cell>
          <cell r="U109">
            <v>1.15472094584649E-3</v>
          </cell>
          <cell r="V109">
            <v>-1.66132705072316E-3</v>
          </cell>
          <cell r="W109">
            <v>-1.6945522307900099E-3</v>
          </cell>
          <cell r="Y109">
            <v>2.5351085643703399</v>
          </cell>
          <cell r="Z109">
            <v>2.5277366529141898</v>
          </cell>
          <cell r="AA109">
            <v>2.52736400616757</v>
          </cell>
          <cell r="AF109">
            <v>-1.66132705072316E-3</v>
          </cell>
          <cell r="AG109">
            <v>-1.6945522307900099E-3</v>
          </cell>
          <cell r="AR109">
            <v>2.5911248285702617E-3</v>
          </cell>
          <cell r="BC109">
            <v>8.9204157377086105E-3</v>
          </cell>
          <cell r="BF109">
            <v>1.1511540566278873E-2</v>
          </cell>
        </row>
        <row r="110">
          <cell r="O110">
            <v>2.5341745756035601</v>
          </cell>
          <cell r="P110">
            <v>2.52891289902088</v>
          </cell>
          <cell r="Q110">
            <v>2.52812985655713</v>
          </cell>
          <cell r="U110">
            <v>-6.0098906704002795E-4</v>
          </cell>
          <cell r="V110">
            <v>-3.1446631340068202E-3</v>
          </cell>
          <cell r="W110">
            <v>-3.29209709127878E-3</v>
          </cell>
          <cell r="Y110">
            <v>2.5351085643703399</v>
          </cell>
          <cell r="Z110">
            <v>2.52891289902088</v>
          </cell>
          <cell r="AA110">
            <v>2.52812985655713</v>
          </cell>
          <cell r="AF110">
            <v>-3.1446631340068202E-3</v>
          </cell>
          <cell r="AG110">
            <v>-3.29209709127878E-3</v>
          </cell>
          <cell r="AR110">
            <v>8.3541481568366301E-4</v>
          </cell>
          <cell r="BC110">
            <v>8.9204157377086105E-3</v>
          </cell>
          <cell r="BF110">
            <v>9.7558305533922748E-3</v>
          </cell>
        </row>
        <row r="111">
          <cell r="O111">
            <v>2.5341745756035601</v>
          </cell>
          <cell r="P111">
            <v>2.53022029620942</v>
          </cell>
          <cell r="Q111">
            <v>2.5286464757810201</v>
          </cell>
          <cell r="U111">
            <v>-4.1531414172165098E-4</v>
          </cell>
          <cell r="V111">
            <v>-2.49376074302101E-3</v>
          </cell>
          <cell r="W111">
            <v>-2.8034446859293502E-3</v>
          </cell>
          <cell r="Y111">
            <v>2.5351085643703399</v>
          </cell>
          <cell r="Z111">
            <v>2.53022029620942</v>
          </cell>
          <cell r="AA111">
            <v>2.5286464757810201</v>
          </cell>
          <cell r="AF111">
            <v>-2.49376074302101E-3</v>
          </cell>
          <cell r="AG111">
            <v>-2.8034446859293502E-3</v>
          </cell>
          <cell r="AR111">
            <v>1.021089741002044E-3</v>
          </cell>
          <cell r="BC111">
            <v>8.9204157377086105E-3</v>
          </cell>
          <cell r="BF111">
            <v>9.941505478710656E-3</v>
          </cell>
        </row>
        <row r="112">
          <cell r="O112">
            <v>2.5341745756035601</v>
          </cell>
          <cell r="P112">
            <v>2.5307502635051602</v>
          </cell>
          <cell r="Q112">
            <v>2.5288677249618599</v>
          </cell>
          <cell r="U112">
            <v>2.2455470392246401E-3</v>
          </cell>
          <cell r="V112">
            <v>6.8394676997306702E-4</v>
          </cell>
          <cell r="W112">
            <v>6.1743992113024406E-5</v>
          </cell>
          <cell r="Y112">
            <v>2.5351085643703399</v>
          </cell>
          <cell r="Z112">
            <v>2.5307502635051602</v>
          </cell>
          <cell r="AA112">
            <v>2.5288677249618599</v>
          </cell>
          <cell r="AF112">
            <v>6.8394676997306702E-4</v>
          </cell>
          <cell r="AG112">
            <v>6.1743992112802402E-5</v>
          </cell>
          <cell r="AR112">
            <v>3.6819509219482736E-3</v>
          </cell>
          <cell r="BC112">
            <v>8.9204157377086105E-3</v>
          </cell>
          <cell r="BF112">
            <v>1.2602366659656885E-2</v>
          </cell>
        </row>
        <row r="113">
          <cell r="O113">
            <v>2.5341745756035601</v>
          </cell>
          <cell r="P113">
            <v>2.5311822757582001</v>
          </cell>
          <cell r="Q113">
            <v>2.5289739920013701</v>
          </cell>
          <cell r="U113">
            <v>2.36701211628921E-3</v>
          </cell>
          <cell r="V113">
            <v>1.0148449158211301E-3</v>
          </cell>
          <cell r="W113">
            <v>2.7070232068315798E-4</v>
          </cell>
          <cell r="Y113">
            <v>2.5351085643703399</v>
          </cell>
          <cell r="Z113">
            <v>2.5311822757582001</v>
          </cell>
          <cell r="AA113">
            <v>2.5289739920013701</v>
          </cell>
          <cell r="AF113">
            <v>1.0148449158211301E-3</v>
          </cell>
          <cell r="AG113">
            <v>2.7070232068315798E-4</v>
          </cell>
          <cell r="AR113">
            <v>3.6819509219482736E-3</v>
          </cell>
          <cell r="BC113">
            <v>8.9204157377086105E-3</v>
          </cell>
          <cell r="BF113">
            <v>1.2602366659656885E-2</v>
          </cell>
        </row>
        <row r="114">
          <cell r="O114">
            <v>2.5341745756035601</v>
          </cell>
          <cell r="P114">
            <v>2.5293704566061401</v>
          </cell>
          <cell r="Q114">
            <v>2.5280096837712298</v>
          </cell>
          <cell r="U114">
            <v>8.4940713066133707E-3</v>
          </cell>
          <cell r="V114">
            <v>7.3125947468219302E-3</v>
          </cell>
          <cell r="W114">
            <v>6.4397822168636596E-3</v>
          </cell>
          <cell r="Y114">
            <v>2.5351085643703399</v>
          </cell>
          <cell r="Z114">
            <v>2.5307819183853102</v>
          </cell>
          <cell r="AA114">
            <v>2.5287154146608102</v>
          </cell>
          <cell r="AF114">
            <v>1.7110913658357999E-3</v>
          </cell>
          <cell r="AG114">
            <v>8.3827883587743804E-4</v>
          </cell>
          <cell r="AR114">
            <v>3.6819509219482736E-3</v>
          </cell>
          <cell r="BC114">
            <v>8.9204157377086105E-3</v>
          </cell>
          <cell r="BF114">
            <v>1.2602366659656885E-2</v>
          </cell>
        </row>
        <row r="115">
          <cell r="O115">
            <v>2.5341745756035601</v>
          </cell>
          <cell r="P115">
            <v>2.5279019514391501</v>
          </cell>
          <cell r="Q115">
            <v>2.5269694382360699</v>
          </cell>
          <cell r="U115">
            <v>8.5300792141433292E-3</v>
          </cell>
          <cell r="V115">
            <v>6.6325467903798003E-3</v>
          </cell>
          <cell r="W115">
            <v>6.09441327856755E-3</v>
          </cell>
          <cell r="Y115">
            <v>2.5351085643703399</v>
          </cell>
          <cell r="Z115">
            <v>2.5307148513008801</v>
          </cell>
          <cell r="AA115">
            <v>2.5283758881669298</v>
          </cell>
          <cell r="AF115">
            <v>1.6283863920022101E-3</v>
          </cell>
          <cell r="AG115">
            <v>8.1150530544923396E-4</v>
          </cell>
          <cell r="AR115">
            <v>3.6819509219482736E-3</v>
          </cell>
          <cell r="BC115">
            <v>8.9204157377086105E-3</v>
          </cell>
          <cell r="BF115">
            <v>1.2602366659656885E-2</v>
          </cell>
        </row>
        <row r="116">
          <cell r="O116">
            <v>2.5341745756035601</v>
          </cell>
          <cell r="P116">
            <v>2.5262635766891202</v>
          </cell>
          <cell r="Q116">
            <v>2.5261216919837901</v>
          </cell>
          <cell r="U116">
            <v>7.6568791953325402E-3</v>
          </cell>
          <cell r="V116">
            <v>5.1785968772472303E-3</v>
          </cell>
          <cell r="W116">
            <v>4.8096406202911097E-3</v>
          </cell>
          <cell r="Y116">
            <v>2.5351085643703399</v>
          </cell>
          <cell r="Z116">
            <v>2.5304968274280402</v>
          </cell>
          <cell r="AA116">
            <v>2.5282383173532499</v>
          </cell>
          <cell r="AF116">
            <v>6.58741611646037E-4</v>
          </cell>
          <cell r="AG116">
            <v>-2.6591596855943402E-4</v>
          </cell>
          <cell r="AR116">
            <v>3.6819509219482736E-3</v>
          </cell>
          <cell r="BC116">
            <v>8.9204157377086105E-3</v>
          </cell>
          <cell r="BF116">
            <v>1.2602366659656885E-2</v>
          </cell>
        </row>
        <row r="117">
          <cell r="O117">
            <v>2.5341745756035601</v>
          </cell>
          <cell r="P117">
            <v>2.5242817634032302</v>
          </cell>
          <cell r="Q117">
            <v>2.5253485001696001</v>
          </cell>
          <cell r="U117">
            <v>8.3185274575487099E-3</v>
          </cell>
          <cell r="V117">
            <v>5.1919186063090397E-3</v>
          </cell>
          <cell r="W117">
            <v>5.1357531724308802E-3</v>
          </cell>
          <cell r="Y117">
            <v>2.5351085643703399</v>
          </cell>
          <cell r="Z117">
            <v>2.5299258452413498</v>
          </cell>
          <cell r="AA117">
            <v>2.5281705410886599</v>
          </cell>
          <cell r="AF117">
            <v>1.26818514739E-3</v>
          </cell>
          <cell r="AG117">
            <v>3.7527015571329499E-4</v>
          </cell>
          <cell r="AR117">
            <v>3.6819509219482736E-3</v>
          </cell>
          <cell r="BC117">
            <v>8.9204157377086105E-3</v>
          </cell>
          <cell r="BF117">
            <v>1.2602366659656885E-2</v>
          </cell>
        </row>
        <row r="118">
          <cell r="O118">
            <v>2.5341745756035601</v>
          </cell>
          <cell r="P118">
            <v>2.5238428000829201</v>
          </cell>
          <cell r="Q118">
            <v>2.5254455285933699</v>
          </cell>
          <cell r="U118">
            <v>3.1665049265650002E-3</v>
          </cell>
          <cell r="V118">
            <v>-7.4489576561609003E-4</v>
          </cell>
          <cell r="W118">
            <v>-3.2239481938641402E-4</v>
          </cell>
          <cell r="Y118">
            <v>2.5351085643703399</v>
          </cell>
          <cell r="Z118">
            <v>2.5294868819210299</v>
          </cell>
          <cell r="AA118">
            <v>2.5282675695124301</v>
          </cell>
          <cell r="AF118">
            <v>1.4885242365993501E-3</v>
          </cell>
          <cell r="AG118">
            <v>7.9446699091374198E-4</v>
          </cell>
          <cell r="AR118">
            <v>3.6819509219482736E-3</v>
          </cell>
          <cell r="BC118">
            <v>8.9204157377086105E-3</v>
          </cell>
          <cell r="BF118">
            <v>1.2602366659656885E-2</v>
          </cell>
        </row>
        <row r="119">
          <cell r="O119">
            <v>2.5341745756035601</v>
          </cell>
          <cell r="P119">
            <v>2.5235245451461599</v>
          </cell>
          <cell r="Q119">
            <v>2.52563059903017</v>
          </cell>
          <cell r="U119">
            <v>2.4128154688661E-3</v>
          </cell>
          <cell r="V119">
            <v>-1.67249666939646E-3</v>
          </cell>
          <cell r="W119">
            <v>-1.0376632196310799E-3</v>
          </cell>
          <cell r="Y119">
            <v>2.5351085643703399</v>
          </cell>
          <cell r="Z119">
            <v>2.5291686269842701</v>
          </cell>
          <cell r="AA119">
            <v>2.5284526399492302</v>
          </cell>
          <cell r="AF119">
            <v>5.6131135035833804E-4</v>
          </cell>
          <cell r="AG119">
            <v>7.9155704434461795E-5</v>
          </cell>
          <cell r="AR119">
            <v>3.6819509219482736E-3</v>
          </cell>
          <cell r="BC119">
            <v>8.9204157377086105E-3</v>
          </cell>
          <cell r="BF119">
            <v>1.2602366659656885E-2</v>
          </cell>
        </row>
        <row r="120">
          <cell r="O120">
            <v>2.5341745756035601</v>
          </cell>
          <cell r="P120">
            <v>2.5230289611551102</v>
          </cell>
          <cell r="Q120">
            <v>2.5259709300879898</v>
          </cell>
          <cell r="U120">
            <v>1.3553515773944099E-3</v>
          </cell>
          <cell r="V120">
            <v>-2.8560678621280199E-3</v>
          </cell>
          <cell r="W120">
            <v>-2.0218475040622102E-3</v>
          </cell>
          <cell r="Y120">
            <v>2.5351085643703399</v>
          </cell>
          <cell r="Z120">
            <v>2.52867304299322</v>
          </cell>
          <cell r="AA120">
            <v>2.52879297100705</v>
          </cell>
          <cell r="AF120">
            <v>-6.2197843956587103E-4</v>
          </cell>
          <cell r="AG120">
            <v>-9.0511037137191498E-4</v>
          </cell>
          <cell r="AR120">
            <v>3.6819509219482736E-3</v>
          </cell>
          <cell r="BC120">
            <v>8.9204157377086105E-3</v>
          </cell>
          <cell r="BF120">
            <v>1.2602366659656885E-2</v>
          </cell>
        </row>
        <row r="121">
          <cell r="O121">
            <v>2.5341745756035601</v>
          </cell>
          <cell r="P121">
            <v>2.5223742818649302</v>
          </cell>
          <cell r="Q121">
            <v>2.52629728903718</v>
          </cell>
          <cell r="U121">
            <v>2.1703556094458299E-3</v>
          </cell>
          <cell r="V121">
            <v>-2.2374687595082599E-3</v>
          </cell>
          <cell r="W121">
            <v>-1.0721016257362001E-3</v>
          </cell>
          <cell r="Y121">
            <v>2.5351085643703399</v>
          </cell>
          <cell r="Z121">
            <v>2.5280183637030502</v>
          </cell>
          <cell r="AA121">
            <v>2.5291193299562398</v>
          </cell>
          <cell r="AF121">
            <v>-2.9409976010860899E-6</v>
          </cell>
          <cell r="AG121">
            <v>4.4485129838006603E-5</v>
          </cell>
          <cell r="AR121">
            <v>3.6819509219482736E-3</v>
          </cell>
          <cell r="BC121">
            <v>8.9204157377086105E-3</v>
          </cell>
          <cell r="BF121">
            <v>1.2602366659656885E-2</v>
          </cell>
        </row>
        <row r="122">
          <cell r="O122">
            <v>2.5341745756035601</v>
          </cell>
          <cell r="P122">
            <v>2.5223823895347901</v>
          </cell>
          <cell r="Q122">
            <v>2.52656632651997</v>
          </cell>
          <cell r="U122">
            <v>2.2134822940887201E-3</v>
          </cell>
          <cell r="V122">
            <v>-2.4538572265059501E-3</v>
          </cell>
          <cell r="W122">
            <v>-8.9978189928153595E-4</v>
          </cell>
          <cell r="Y122">
            <v>2.5351085643703399</v>
          </cell>
          <cell r="Z122">
            <v>2.5280264713728999</v>
          </cell>
          <cell r="AA122">
            <v>2.5293883674390298</v>
          </cell>
          <cell r="AF122">
            <v>-2.18750143199405E-4</v>
          </cell>
          <cell r="AG122">
            <v>2.1666069086254201E-4</v>
          </cell>
          <cell r="AR122">
            <v>3.6819509219482736E-3</v>
          </cell>
          <cell r="BC122">
            <v>8.9204157377086105E-3</v>
          </cell>
          <cell r="BF122">
            <v>1.2602366659656885E-2</v>
          </cell>
        </row>
        <row r="123">
          <cell r="O123">
            <v>2.5341745756035601</v>
          </cell>
          <cell r="P123">
            <v>2.52217162673948</v>
          </cell>
          <cell r="Q123">
            <v>2.5266769512488398</v>
          </cell>
          <cell r="U123">
            <v>3.20101295831289E-3</v>
          </cell>
          <cell r="V123">
            <v>-1.4631122665747E-3</v>
          </cell>
          <cell r="W123">
            <v>1.9423787825269799E-4</v>
          </cell>
          <cell r="Y123">
            <v>2.5351085643703399</v>
          </cell>
          <cell r="Z123">
            <v>2.5278157085775899</v>
          </cell>
          <cell r="AA123">
            <v>2.5294989921679001</v>
          </cell>
          <cell r="AF123">
            <v>7.71987640470818E-4</v>
          </cell>
          <cell r="AG123">
            <v>1.31056165207652E-3</v>
          </cell>
          <cell r="AR123">
            <v>3.6819509219482736E-3</v>
          </cell>
          <cell r="BC123">
            <v>8.9204157377086105E-3</v>
          </cell>
          <cell r="BF123">
            <v>1.2602366659656885E-2</v>
          </cell>
        </row>
        <row r="124">
          <cell r="O124">
            <v>2.5341745756035601</v>
          </cell>
          <cell r="P124">
            <v>2.52367660211157</v>
          </cell>
          <cell r="Q124">
            <v>2.5265235293588599</v>
          </cell>
          <cell r="U124">
            <v>2.52255738933378E-3</v>
          </cell>
          <cell r="V124">
            <v>-2.22512836231239E-3</v>
          </cell>
          <cell r="W124">
            <v>-4.4043403622759099E-4</v>
          </cell>
          <cell r="Y124">
            <v>2.5351085643703399</v>
          </cell>
          <cell r="Z124">
            <v>2.5279092221705199</v>
          </cell>
          <cell r="AA124">
            <v>2.52934557027791</v>
          </cell>
          <cell r="AF124">
            <v>1.01581100707226E-5</v>
          </cell>
          <cell r="AG124">
            <v>6.7584088920090196E-4</v>
          </cell>
          <cell r="AR124">
            <v>3.6819509219482736E-3</v>
          </cell>
          <cell r="BC124">
            <v>9.5988713066875106E-3</v>
          </cell>
          <cell r="BF124">
            <v>1.3280822228635785E-2</v>
          </cell>
        </row>
        <row r="125">
          <cell r="O125">
            <v>2.5341745756035601</v>
          </cell>
          <cell r="P125">
            <v>2.5255052115421699</v>
          </cell>
          <cell r="Q125">
            <v>2.52670358149066</v>
          </cell>
          <cell r="U125">
            <v>1.2788196789577399E-3</v>
          </cell>
          <cell r="V125">
            <v>-2.8723457857277698E-3</v>
          </cell>
          <cell r="W125">
            <v>-1.74489440766574E-3</v>
          </cell>
          <cell r="Y125">
            <v>2.5351085643703399</v>
          </cell>
          <cell r="Z125">
            <v>2.5283363935185599</v>
          </cell>
          <cell r="AA125">
            <v>2.5295256224097198</v>
          </cell>
          <cell r="AF125">
            <v>-1.19658645126572E-3</v>
          </cell>
          <cell r="AG125">
            <v>-6.2855173481711501E-4</v>
          </cell>
          <cell r="AR125">
            <v>3.6819509219482736E-3</v>
          </cell>
          <cell r="BC125">
            <v>1.084260901706381E-2</v>
          </cell>
          <cell r="BF125">
            <v>1.4524559939012084E-2</v>
          </cell>
        </row>
        <row r="126">
          <cell r="O126">
            <v>2.5341745756035601</v>
          </cell>
          <cell r="P126">
            <v>2.5269709059354901</v>
          </cell>
          <cell r="Q126">
            <v>2.52661724131231</v>
          </cell>
          <cell r="U126">
            <v>1.8456269237577499E-3</v>
          </cell>
          <cell r="V126">
            <v>-1.58121940248988E-3</v>
          </cell>
          <cell r="W126">
            <v>-1.10682492670329E-3</v>
          </cell>
          <cell r="Y126">
            <v>2.5351085643703399</v>
          </cell>
          <cell r="Z126">
            <v>2.5283817370346902</v>
          </cell>
          <cell r="AA126">
            <v>2.5294392822313601</v>
          </cell>
          <cell r="AF126">
            <v>-4.6081140643322501E-4</v>
          </cell>
          <cell r="AG126">
            <v>9.4382402878038095E-6</v>
          </cell>
          <cell r="AR126">
            <v>3.6819509219482736E-3</v>
          </cell>
          <cell r="BC126">
            <v>1.084260901706381E-2</v>
          </cell>
          <cell r="BF126">
            <v>1.4524559939012084E-2</v>
          </cell>
        </row>
        <row r="127">
          <cell r="O127">
            <v>2.5341745756035601</v>
          </cell>
          <cell r="P127">
            <v>2.5289640230161399</v>
          </cell>
          <cell r="Q127">
            <v>2.5266228932096899</v>
          </cell>
          <cell r="U127">
            <v>4.1915636689258701E-4</v>
          </cell>
          <cell r="V127">
            <v>-2.4275013942390801E-3</v>
          </cell>
          <cell r="W127">
            <v>-2.5674671427166301E-3</v>
          </cell>
          <cell r="Y127">
            <v>2.5351085643703399</v>
          </cell>
          <cell r="Z127">
            <v>2.5289640230161399</v>
          </cell>
          <cell r="AA127">
            <v>2.5294449341287399</v>
          </cell>
          <cell r="AF127">
            <v>-1.86934799309709E-3</v>
          </cell>
          <cell r="AG127">
            <v>-1.45116585179231E-3</v>
          </cell>
          <cell r="AR127">
            <v>3.6819509219482736E-3</v>
          </cell>
          <cell r="BC127">
            <v>1.084260901706381E-2</v>
          </cell>
          <cell r="BF127">
            <v>1.4524559939012084E-2</v>
          </cell>
        </row>
        <row r="128">
          <cell r="O128">
            <v>2.5341745756035601</v>
          </cell>
          <cell r="P128">
            <v>2.53011142009517</v>
          </cell>
          <cell r="Q128">
            <v>2.5269771100890499</v>
          </cell>
          <cell r="U128">
            <v>-1.3652662498940199E-3</v>
          </cell>
          <cell r="V128">
            <v>-3.4234972563690698E-3</v>
          </cell>
          <cell r="W128">
            <v>-4.3496528195480699E-3</v>
          </cell>
          <cell r="Y128">
            <v>2.5351085643703399</v>
          </cell>
          <cell r="Z128">
            <v>2.53011142009517</v>
          </cell>
          <cell r="AA128">
            <v>2.5297991510080999</v>
          </cell>
          <cell r="AF128">
            <v>-3.4234972563690698E-3</v>
          </cell>
          <cell r="AG128">
            <v>-3.2333540243265702E-3</v>
          </cell>
          <cell r="AR128">
            <v>3.6819509219482736E-3</v>
          </cell>
          <cell r="BC128">
            <v>1.084260901706381E-2</v>
          </cell>
          <cell r="BF128">
            <v>1.4524559939012084E-2</v>
          </cell>
        </row>
        <row r="129">
          <cell r="O129">
            <v>2.5341745756035601</v>
          </cell>
          <cell r="P129">
            <v>2.5310083787356401</v>
          </cell>
          <cell r="Q129">
            <v>2.5272664619409002</v>
          </cell>
          <cell r="U129">
            <v>-1.12890644529189E-3</v>
          </cell>
          <cell r="V129">
            <v>-2.7335379308248901E-3</v>
          </cell>
          <cell r="W129">
            <v>-3.9731090353240404E-3</v>
          </cell>
          <cell r="Y129">
            <v>2.5351085643703399</v>
          </cell>
          <cell r="Z129">
            <v>2.5310083787356401</v>
          </cell>
          <cell r="AA129">
            <v>2.5300885028599498</v>
          </cell>
          <cell r="AF129">
            <v>-2.73353793082478E-3</v>
          </cell>
          <cell r="AG129">
            <v>-2.85696662904995E-3</v>
          </cell>
          <cell r="AR129">
            <v>3.9183107265504634E-3</v>
          </cell>
          <cell r="BC129">
            <v>1.084260901706381E-2</v>
          </cell>
          <cell r="BF129">
            <v>1.4760919743614275E-2</v>
          </cell>
        </row>
        <row r="130">
          <cell r="O130">
            <v>2.5341745756035601</v>
          </cell>
          <cell r="P130">
            <v>2.5317121330097501</v>
          </cell>
          <cell r="Q130">
            <v>2.5273705470824299</v>
          </cell>
          <cell r="U130">
            <v>-1.4216107521562299E-3</v>
          </cell>
          <cell r="V130">
            <v>-2.6717915684652499E-3</v>
          </cell>
          <cell r="W130">
            <v>-4.1513147636994896E-3</v>
          </cell>
          <cell r="Y130">
            <v>2.5351085643703399</v>
          </cell>
          <cell r="Z130">
            <v>2.5317121330097501</v>
          </cell>
          <cell r="AA130">
            <v>2.5301925880014902</v>
          </cell>
          <cell r="AF130">
            <v>-2.6717915684652499E-3</v>
          </cell>
          <cell r="AG130">
            <v>-3.0353000755470199E-3</v>
          </cell>
          <cell r="AR130">
            <v>3.6256064196860636E-3</v>
          </cell>
          <cell r="BC130">
            <v>1.084260901706381E-2</v>
          </cell>
          <cell r="BF130">
            <v>1.4468215436749875E-2</v>
          </cell>
        </row>
        <row r="131">
          <cell r="O131">
            <v>2.5341745756035601</v>
          </cell>
          <cell r="P131">
            <v>2.5325106782886002</v>
          </cell>
          <cell r="Q131">
            <v>2.5274424800767701</v>
          </cell>
          <cell r="U131">
            <v>-9.8262100999659701E-4</v>
          </cell>
          <cell r="V131">
            <v>-1.9547875543279498E-3</v>
          </cell>
          <cell r="W131">
            <v>-3.6711409992792399E-3</v>
          </cell>
          <cell r="Y131">
            <v>2.5351085643703399</v>
          </cell>
          <cell r="Z131">
            <v>2.5325106782886002</v>
          </cell>
          <cell r="AA131">
            <v>2.5302645209958201</v>
          </cell>
          <cell r="AF131">
            <v>-1.9547875543280599E-3</v>
          </cell>
          <cell r="AG131">
            <v>-2.55517224651821E-3</v>
          </cell>
          <cell r="AR131">
            <v>4.0645961618458433E-3</v>
          </cell>
          <cell r="BC131">
            <v>1.084260901706381E-2</v>
          </cell>
          <cell r="BF131">
            <v>1.4907205178909654E-2</v>
          </cell>
        </row>
        <row r="132">
          <cell r="O132">
            <v>2.5341745756035601</v>
          </cell>
          <cell r="P132">
            <v>2.53348118197564</v>
          </cell>
          <cell r="Q132">
            <v>2.5279317857552099</v>
          </cell>
          <cell r="U132">
            <v>-1.61732097527736E-3</v>
          </cell>
          <cell r="V132">
            <v>-2.2741201610948299E-3</v>
          </cell>
          <cell r="W132">
            <v>-4.2773797756088996E-3</v>
          </cell>
          <cell r="Y132">
            <v>2.5351085643703399</v>
          </cell>
          <cell r="Z132">
            <v>2.53348118197564</v>
          </cell>
          <cell r="AA132">
            <v>2.5307538266742702</v>
          </cell>
          <cell r="AF132">
            <v>-2.2741201610948299E-3</v>
          </cell>
          <cell r="AG132">
            <v>-3.1614427664782702E-3</v>
          </cell>
          <cell r="AR132">
            <v>3.4298961965649735E-3</v>
          </cell>
          <cell r="BC132">
            <v>1.084260901706381E-2</v>
          </cell>
          <cell r="BF132">
            <v>1.4272505213628784E-2</v>
          </cell>
        </row>
        <row r="133">
          <cell r="O133">
            <v>2.5341745756035601</v>
          </cell>
          <cell r="P133">
            <v>2.53462717662297</v>
          </cell>
          <cell r="Q133">
            <v>2.5283994016812299</v>
          </cell>
          <cell r="U133">
            <v>-1.32538751784795E-3</v>
          </cell>
          <cell r="V133">
            <v>-1.59904210901103E-3</v>
          </cell>
          <cell r="W133">
            <v>-3.7918678987603101E-3</v>
          </cell>
          <cell r="Y133">
            <v>2.5351085643703399</v>
          </cell>
          <cell r="Z133">
            <v>2.53462717662297</v>
          </cell>
          <cell r="AA133">
            <v>2.5312214426002799</v>
          </cell>
          <cell r="AF133">
            <v>-1.59904210901103E-3</v>
          </cell>
          <cell r="AG133">
            <v>-2.6761467695918801E-3</v>
          </cell>
          <cell r="AR133">
            <v>3.7218296539943724E-3</v>
          </cell>
          <cell r="BC133">
            <v>1.084260901706381E-2</v>
          </cell>
          <cell r="BF133">
            <v>1.4564438671058184E-2</v>
          </cell>
        </row>
        <row r="134">
          <cell r="O134">
            <v>2.5341745756035601</v>
          </cell>
          <cell r="P134">
            <v>2.53587294133705</v>
          </cell>
          <cell r="Q134">
            <v>2.52977477172431</v>
          </cell>
          <cell r="U134">
            <v>-2.3936144889303399E-3</v>
          </cell>
          <cell r="V134">
            <v>-2.2150314459382699E-3</v>
          </cell>
          <cell r="W134">
            <v>-4.6751323307953297E-3</v>
          </cell>
          <cell r="Y134">
            <v>2.5351085643703399</v>
          </cell>
          <cell r="Z134">
            <v>2.53587294133705</v>
          </cell>
          <cell r="AA134">
            <v>2.5318910817537801</v>
          </cell>
          <cell r="AF134">
            <v>-2.2150314459382699E-3</v>
          </cell>
          <cell r="AG134">
            <v>-3.55961743410667E-3</v>
          </cell>
          <cell r="AR134">
            <v>2.6536026829119823E-3</v>
          </cell>
          <cell r="BC134">
            <v>1.084260901706381E-2</v>
          </cell>
          <cell r="BF134">
            <v>1.3496211699975794E-2</v>
          </cell>
        </row>
        <row r="135">
          <cell r="O135">
            <v>2.5341745756035601</v>
          </cell>
          <cell r="P135">
            <v>2.5371668601270199</v>
          </cell>
          <cell r="Q135">
            <v>2.53133603583459</v>
          </cell>
          <cell r="U135">
            <v>-3.8205686518322699E-3</v>
          </cell>
          <cell r="V135">
            <v>-3.1506081469878898E-3</v>
          </cell>
          <cell r="W135">
            <v>-5.5582657276150296E-3</v>
          </cell>
          <cell r="Y135">
            <v>2.5351085643703399</v>
          </cell>
          <cell r="Z135">
            <v>2.5371668601270199</v>
          </cell>
          <cell r="AA135">
            <v>2.5327516268227899</v>
          </cell>
          <cell r="AF135">
            <v>-3.1506081469878898E-3</v>
          </cell>
          <cell r="AG135">
            <v>-4.72205479862302E-3</v>
          </cell>
          <cell r="AR135">
            <v>1.2266485200100427E-3</v>
          </cell>
          <cell r="BC135">
            <v>1.084260901706381E-2</v>
          </cell>
          <cell r="BF135">
            <v>1.2069257537073854E-2</v>
          </cell>
        </row>
        <row r="136">
          <cell r="O136">
            <v>2.5341745756035601</v>
          </cell>
          <cell r="P136">
            <v>2.5384562248192202</v>
          </cell>
          <cell r="Q136">
            <v>2.5327135653773598</v>
          </cell>
          <cell r="U136">
            <v>-3.2387327677917302E-3</v>
          </cell>
          <cell r="V136">
            <v>-2.05865648673939E-3</v>
          </cell>
          <cell r="W136">
            <v>-4.3594648257468203E-3</v>
          </cell>
          <cell r="Y136">
            <v>2.5351085643703399</v>
          </cell>
          <cell r="Z136">
            <v>2.5384562248192202</v>
          </cell>
          <cell r="AA136">
            <v>2.5334189809269598</v>
          </cell>
          <cell r="AF136">
            <v>-2.0586564867395001E-3</v>
          </cell>
          <cell r="AG136">
            <v>-3.80039432011362E-3</v>
          </cell>
          <cell r="AR136">
            <v>1.8084844040506831E-3</v>
          </cell>
          <cell r="BC136">
            <v>1.084260901706381E-2</v>
          </cell>
          <cell r="BF136">
            <v>1.2651093421114494E-2</v>
          </cell>
        </row>
        <row r="137">
          <cell r="O137">
            <v>2.5341745756035601</v>
          </cell>
          <cell r="P137">
            <v>2.53935057401771</v>
          </cell>
          <cell r="Q137">
            <v>2.5341572985169298</v>
          </cell>
          <cell r="U137">
            <v>-3.1052590155324399E-3</v>
          </cell>
          <cell r="V137">
            <v>-1.4171210843694801E-3</v>
          </cell>
          <cell r="W137">
            <v>-3.6819483862231299E-3</v>
          </cell>
          <cell r="Y137">
            <v>2.5351085643703399</v>
          </cell>
          <cell r="Z137">
            <v>2.53935057401771</v>
          </cell>
          <cell r="AA137">
            <v>2.5341572985169298</v>
          </cell>
          <cell r="AF137">
            <v>-1.4171210843694801E-3</v>
          </cell>
          <cell r="AG137">
            <v>-3.4034655207592101E-3</v>
          </cell>
          <cell r="AR137">
            <v>1.9419581563099027E-3</v>
          </cell>
          <cell r="BC137">
            <v>1.084260901706381E-2</v>
          </cell>
          <cell r="BF137">
            <v>1.2784567173373715E-2</v>
          </cell>
        </row>
        <row r="138">
          <cell r="O138">
            <v>2.5341745756035601</v>
          </cell>
          <cell r="P138">
            <v>2.5393936654557399</v>
          </cell>
          <cell r="Q138">
            <v>2.53475254277545</v>
          </cell>
          <cell r="U138">
            <v>-1.5350611568273E-3</v>
          </cell>
          <cell r="V138">
            <v>5.0533484289477695E-4</v>
          </cell>
          <cell r="W138">
            <v>-1.54187881875662E-3</v>
          </cell>
          <cell r="Y138">
            <v>2.5351085643703399</v>
          </cell>
          <cell r="Z138">
            <v>2.5393936654557399</v>
          </cell>
          <cell r="AA138">
            <v>2.53475254277545</v>
          </cell>
          <cell r="AF138">
            <v>5.0533484289499899E-4</v>
          </cell>
          <cell r="AG138">
            <v>-1.5418788187563899E-3</v>
          </cell>
          <cell r="AR138">
            <v>3.5121560150150853E-3</v>
          </cell>
          <cell r="BC138">
            <v>1.084260901706381E-2</v>
          </cell>
          <cell r="BF138">
            <v>1.4354765032078897E-2</v>
          </cell>
        </row>
        <row r="139">
          <cell r="O139">
            <v>2.5341745756035601</v>
          </cell>
          <cell r="P139">
            <v>2.5392061820873302</v>
          </cell>
          <cell r="Q139">
            <v>2.5351072804114798</v>
          </cell>
          <cell r="U139">
            <v>-3.8964772116173099E-4</v>
          </cell>
          <cell r="V139">
            <v>1.6677176064076901E-3</v>
          </cell>
          <cell r="W139">
            <v>-1.61604523497616E-4</v>
          </cell>
          <cell r="Y139">
            <v>2.5351085643703399</v>
          </cell>
          <cell r="Z139">
            <v>2.5392061820873302</v>
          </cell>
          <cell r="AA139">
            <v>2.5351072804114798</v>
          </cell>
          <cell r="AF139">
            <v>1.6677176064076901E-3</v>
          </cell>
          <cell r="AG139">
            <v>-1.6160452349794899E-4</v>
          </cell>
          <cell r="AR139">
            <v>4.6575694506806875E-3</v>
          </cell>
          <cell r="BC139">
            <v>1.084260901706381E-2</v>
          </cell>
          <cell r="BF139">
            <v>1.5500178467744499E-2</v>
          </cell>
        </row>
        <row r="140">
          <cell r="O140">
            <v>2.5341745756035601</v>
          </cell>
          <cell r="P140">
            <v>2.5387947368995398</v>
          </cell>
          <cell r="Q140">
            <v>2.5352534349546501</v>
          </cell>
          <cell r="U140">
            <v>2.00985074397799E-4</v>
          </cell>
          <cell r="V140">
            <v>2.1845177023553201E-3</v>
          </cell>
          <cell r="W140">
            <v>5.6896809248271202E-4</v>
          </cell>
          <cell r="Y140">
            <v>2.5351085643703399</v>
          </cell>
          <cell r="Z140">
            <v>2.5387947368995398</v>
          </cell>
          <cell r="AA140">
            <v>2.5352534349546501</v>
          </cell>
          <cell r="AF140">
            <v>2.18451770235554E-3</v>
          </cell>
          <cell r="AG140">
            <v>5.6896809248271202E-4</v>
          </cell>
          <cell r="AR140">
            <v>4.6575694506806875E-3</v>
          </cell>
          <cell r="BC140">
            <v>1.084260901706381E-2</v>
          </cell>
          <cell r="BF140">
            <v>1.5500178467744499E-2</v>
          </cell>
        </row>
        <row r="141">
          <cell r="O141">
            <v>2.5341745756035601</v>
          </cell>
          <cell r="P141">
            <v>2.5382281652410801</v>
          </cell>
          <cell r="Q141">
            <v>2.5353694217648401</v>
          </cell>
          <cell r="U141">
            <v>1.25340590220514E-3</v>
          </cell>
          <cell r="V141">
            <v>3.0748884654799801E-3</v>
          </cell>
          <cell r="W141">
            <v>1.67903947077651E-3</v>
          </cell>
          <cell r="Y141">
            <v>2.5351085643703399</v>
          </cell>
          <cell r="Z141">
            <v>2.5382281652410801</v>
          </cell>
          <cell r="AA141">
            <v>2.5353694217648401</v>
          </cell>
          <cell r="AF141">
            <v>3.0748884654799801E-3</v>
          </cell>
          <cell r="AG141">
            <v>1.6790394707767301E-3</v>
          </cell>
          <cell r="AR141">
            <v>4.6575694506806875E-3</v>
          </cell>
          <cell r="BC141">
            <v>1.084260901706381E-2</v>
          </cell>
          <cell r="BF141">
            <v>1.5500178467744499E-2</v>
          </cell>
        </row>
        <row r="142">
          <cell r="O142">
            <v>2.5341745756035601</v>
          </cell>
          <cell r="P142">
            <v>2.5376623400629201</v>
          </cell>
          <cell r="Q142">
            <v>2.5355717610192801</v>
          </cell>
          <cell r="U142">
            <v>6.1433812551601498E-4</v>
          </cell>
          <cell r="V142">
            <v>2.2126301806008001E-3</v>
          </cell>
          <cell r="W142">
            <v>1.0857202395779899E-3</v>
          </cell>
          <cell r="Y142">
            <v>2.5351085643703399</v>
          </cell>
          <cell r="Z142">
            <v>2.5376623400629201</v>
          </cell>
          <cell r="AA142">
            <v>2.5355717610192801</v>
          </cell>
          <cell r="AF142">
            <v>2.2126301806008001E-3</v>
          </cell>
          <cell r="AG142">
            <v>1.0857202395779899E-3</v>
          </cell>
          <cell r="AR142">
            <v>4.6575694506806875E-3</v>
          </cell>
          <cell r="BC142">
            <v>1.148167679375311E-2</v>
          </cell>
          <cell r="BF142">
            <v>1.6139246244433799E-2</v>
          </cell>
        </row>
        <row r="143">
          <cell r="O143">
            <v>2.5341745756035601</v>
          </cell>
          <cell r="P143">
            <v>2.5373578168779098</v>
          </cell>
          <cell r="Q143">
            <v>2.5359924967504401</v>
          </cell>
          <cell r="U143">
            <v>-1.2459230256410799E-4</v>
          </cell>
          <cell r="V143">
            <v>1.2507535798602599E-3</v>
          </cell>
          <cell r="W143">
            <v>4.2659324334834301E-4</v>
          </cell>
          <cell r="Y143">
            <v>2.5351085643703399</v>
          </cell>
          <cell r="Z143">
            <v>2.5373578168779098</v>
          </cell>
          <cell r="AA143">
            <v>2.5359924967504401</v>
          </cell>
          <cell r="AF143">
            <v>1.2507535798602599E-3</v>
          </cell>
          <cell r="AG143">
            <v>4.2659324334834301E-4</v>
          </cell>
          <cell r="AR143">
            <v>4.6575694506806875E-3</v>
          </cell>
          <cell r="BC143">
            <v>1.2220607221833249E-2</v>
          </cell>
          <cell r="BF143">
            <v>1.6878176672513939E-2</v>
          </cell>
        </row>
        <row r="144">
          <cell r="O144">
            <v>2.5341745756035601</v>
          </cell>
          <cell r="P144">
            <v>2.5370627306614399</v>
          </cell>
          <cell r="Q144">
            <v>2.5364678359992499</v>
          </cell>
          <cell r="U144">
            <v>-1.2312957734879799E-3</v>
          </cell>
          <cell r="V144">
            <v>2.4041448491771799E-5</v>
          </cell>
          <cell r="W144">
            <v>-5.1419071606388601E-4</v>
          </cell>
          <cell r="Y144">
            <v>2.5351085643703399</v>
          </cell>
          <cell r="Z144">
            <v>2.5370627306614399</v>
          </cell>
          <cell r="AA144">
            <v>2.5364678359992499</v>
          </cell>
          <cell r="AF144">
            <v>2.4041448491771799E-5</v>
          </cell>
          <cell r="AG144">
            <v>-5.1419071606388601E-4</v>
          </cell>
          <cell r="AR144">
            <v>4.6575694506806875E-3</v>
          </cell>
          <cell r="BC144">
            <v>1.3327310692757149E-2</v>
          </cell>
          <cell r="BF144">
            <v>1.798488014343784E-2</v>
          </cell>
        </row>
        <row r="145">
          <cell r="O145">
            <v>2.5341745756035601</v>
          </cell>
          <cell r="P145">
            <v>2.5359219756610001</v>
          </cell>
          <cell r="Q145">
            <v>2.5365444178940102</v>
          </cell>
          <cell r="U145">
            <v>6.7383610849583301E-4</v>
          </cell>
          <cell r="V145">
            <v>1.8128699165063399E-3</v>
          </cell>
          <cell r="W145">
            <v>1.5783607686435199E-3</v>
          </cell>
          <cell r="Y145">
            <v>2.5351085643703399</v>
          </cell>
          <cell r="Z145">
            <v>2.5359219756610001</v>
          </cell>
          <cell r="AA145">
            <v>2.5365444178940102</v>
          </cell>
          <cell r="AF145">
            <v>1.8128699165063399E-3</v>
          </cell>
          <cell r="AG145">
            <v>1.5783607686435199E-3</v>
          </cell>
          <cell r="AR145">
            <v>4.6575694506806875E-3</v>
          </cell>
          <cell r="BC145">
            <v>1.3327310692757149E-2</v>
          </cell>
          <cell r="BF145">
            <v>1.798488014343784E-2</v>
          </cell>
        </row>
        <row r="146">
          <cell r="O146">
            <v>2.5341745756035601</v>
          </cell>
          <cell r="P146">
            <v>2.5350984451627898</v>
          </cell>
          <cell r="Q146">
            <v>2.5367773349910099</v>
          </cell>
          <cell r="U146">
            <v>5.7160439715813504E-6</v>
          </cell>
          <cell r="V146">
            <v>6.9501263189987201E-4</v>
          </cell>
          <cell r="W146">
            <v>9.40432586550122E-4</v>
          </cell>
          <cell r="Y146">
            <v>2.5351085643703399</v>
          </cell>
          <cell r="Z146">
            <v>2.5350984451627898</v>
          </cell>
          <cell r="AA146">
            <v>2.5367773349910099</v>
          </cell>
          <cell r="AF146">
            <v>6.9501263189987201E-4</v>
          </cell>
          <cell r="AG146">
            <v>9.4043258654989996E-4</v>
          </cell>
          <cell r="AR146">
            <v>4.6575694506806875E-3</v>
          </cell>
          <cell r="BC146">
            <v>1.3995430757281359E-2</v>
          </cell>
          <cell r="BF146">
            <v>1.865300020796205E-2</v>
          </cell>
        </row>
        <row r="147">
          <cell r="O147">
            <v>2.5341745756035601</v>
          </cell>
          <cell r="P147">
            <v>2.5345447763696498</v>
          </cell>
          <cell r="Q147">
            <v>2.5369476751936801</v>
          </cell>
          <cell r="U147">
            <v>-9.2484832093109597E-4</v>
          </cell>
          <cell r="V147">
            <v>-5.6035046663450397E-4</v>
          </cell>
          <cell r="W147">
            <v>1.01688574664222E-4</v>
          </cell>
          <cell r="Y147">
            <v>2.5351085643703399</v>
          </cell>
          <cell r="Z147">
            <v>2.5345447763696498</v>
          </cell>
          <cell r="AA147">
            <v>2.5369476751936801</v>
          </cell>
          <cell r="AF147">
            <v>-5.6035046663450397E-4</v>
          </cell>
          <cell r="AG147">
            <v>1.01688574664222E-4</v>
          </cell>
          <cell r="AR147">
            <v>4.6575694506806875E-3</v>
          </cell>
          <cell r="BC147">
            <v>1.4925995122183911E-2</v>
          </cell>
          <cell r="BF147">
            <v>1.9583564572864604E-2</v>
          </cell>
        </row>
        <row r="148">
          <cell r="O148">
            <v>2.5341745756035601</v>
          </cell>
          <cell r="P148">
            <v>2.5343539688825798</v>
          </cell>
          <cell r="Q148">
            <v>2.5368738171691598</v>
          </cell>
          <cell r="U148">
            <v>-7.8299592343208696E-4</v>
          </cell>
          <cell r="V148">
            <v>-6.3692322102275496E-4</v>
          </cell>
          <cell r="W148">
            <v>3.1068698516110402E-4</v>
          </cell>
          <cell r="Y148">
            <v>2.5351085643703399</v>
          </cell>
          <cell r="Z148">
            <v>2.5343539688825798</v>
          </cell>
          <cell r="AA148">
            <v>2.5368738171691598</v>
          </cell>
          <cell r="AF148">
            <v>-6.3692322102275496E-4</v>
          </cell>
          <cell r="AG148">
            <v>3.1068698516110402E-4</v>
          </cell>
          <cell r="AR148">
            <v>4.6575694506806875E-3</v>
          </cell>
          <cell r="BC148">
            <v>1.4925995122183911E-2</v>
          </cell>
          <cell r="BF148">
            <v>1.9583564572864604E-2</v>
          </cell>
        </row>
        <row r="149">
          <cell r="O149">
            <v>2.5341745756035601</v>
          </cell>
          <cell r="P149">
            <v>2.5344795259178801</v>
          </cell>
          <cell r="Q149">
            <v>2.5368428540025998</v>
          </cell>
          <cell r="U149">
            <v>-8.8478745446461096E-4</v>
          </cell>
          <cell r="V149">
            <v>-8.1400033054069296E-4</v>
          </cell>
          <cell r="W149">
            <v>1.7978208282074499E-4</v>
          </cell>
          <cell r="Y149">
            <v>2.5351085643703399</v>
          </cell>
          <cell r="Z149">
            <v>2.5344795259178801</v>
          </cell>
          <cell r="AA149">
            <v>2.5368428540025998</v>
          </cell>
          <cell r="AF149">
            <v>-8.1400033054069296E-4</v>
          </cell>
          <cell r="AG149">
            <v>1.7978208282074499E-4</v>
          </cell>
          <cell r="AR149">
            <v>4.6575694506806875E-3</v>
          </cell>
          <cell r="BC149">
            <v>1.4925995122183911E-2</v>
          </cell>
          <cell r="BF149">
            <v>1.9583564572864604E-2</v>
          </cell>
        </row>
        <row r="150">
          <cell r="O150">
            <v>2.5341745756035601</v>
          </cell>
          <cell r="P150">
            <v>2.5353545823503501</v>
          </cell>
          <cell r="Q150">
            <v>2.5370746596249401</v>
          </cell>
          <cell r="U150">
            <v>-3.24678210076851E-3</v>
          </cell>
          <cell r="V150">
            <v>-3.1264541760065699E-3</v>
          </cell>
          <cell r="W150">
            <v>-2.19441788300073E-3</v>
          </cell>
          <cell r="Y150">
            <v>2.5351085643703399</v>
          </cell>
          <cell r="Z150">
            <v>2.5353545823503501</v>
          </cell>
          <cell r="AA150">
            <v>2.5370746596249401</v>
          </cell>
          <cell r="AF150">
            <v>-3.1264541760065699E-3</v>
          </cell>
          <cell r="AG150">
            <v>-2.1944178830009499E-3</v>
          </cell>
          <cell r="AR150">
            <v>4.6575694506806875E-3</v>
          </cell>
          <cell r="BC150">
            <v>1.4925995122183911E-2</v>
          </cell>
          <cell r="BF150">
            <v>1.9583564572864604E-2</v>
          </cell>
        </row>
        <row r="151">
          <cell r="O151">
            <v>2.5341745756035601</v>
          </cell>
          <cell r="P151">
            <v>2.5366686859480501</v>
          </cell>
          <cell r="Q151">
            <v>2.5374484255945702</v>
          </cell>
          <cell r="U151">
            <v>-3.9251947053691597E-3</v>
          </cell>
          <cell r="V151">
            <v>-3.4596655679142202E-3</v>
          </cell>
          <cell r="W151">
            <v>-2.7814590288101301E-3</v>
          </cell>
          <cell r="Y151">
            <v>2.5351085643703399</v>
          </cell>
          <cell r="Z151">
            <v>2.5366686859480501</v>
          </cell>
          <cell r="AA151">
            <v>2.5374484255945702</v>
          </cell>
          <cell r="AF151">
            <v>-3.4596655679142202E-3</v>
          </cell>
          <cell r="AG151">
            <v>-2.78145902881035E-3</v>
          </cell>
          <cell r="AR151">
            <v>4.6575694506806875E-3</v>
          </cell>
          <cell r="BC151">
            <v>1.4925995122183911E-2</v>
          </cell>
          <cell r="BF151">
            <v>1.9583564572864604E-2</v>
          </cell>
        </row>
        <row r="152">
          <cell r="O152">
            <v>2.5341745756035601</v>
          </cell>
          <cell r="P152">
            <v>2.53798604380763</v>
          </cell>
          <cell r="Q152">
            <v>2.53782419193527</v>
          </cell>
          <cell r="U152">
            <v>-4.5737455971196703E-3</v>
          </cell>
          <cell r="V152">
            <v>-3.5900391731679099E-3</v>
          </cell>
          <cell r="W152">
            <v>-3.2826991431648199E-3</v>
          </cell>
          <cell r="Y152">
            <v>2.5351085643703399</v>
          </cell>
          <cell r="Z152">
            <v>2.53798604380763</v>
          </cell>
          <cell r="AA152">
            <v>2.53782419193527</v>
          </cell>
          <cell r="AF152">
            <v>-3.5900391731679099E-3</v>
          </cell>
          <cell r="AG152">
            <v>-3.2826991431648199E-3</v>
          </cell>
          <cell r="AR152">
            <v>4.0090185589301865E-3</v>
          </cell>
          <cell r="BC152">
            <v>1.4925995122183911E-2</v>
          </cell>
          <cell r="BF152">
            <v>1.8935013681114103E-2</v>
          </cell>
        </row>
        <row r="153">
          <cell r="O153">
            <v>2.5341745756035601</v>
          </cell>
          <cell r="P153">
            <v>2.5389032721622198</v>
          </cell>
          <cell r="Q153">
            <v>2.5381305445200599</v>
          </cell>
          <cell r="U153">
            <v>-3.7370449436781202E-3</v>
          </cell>
          <cell r="V153">
            <v>-2.2341473789222201E-3</v>
          </cell>
          <cell r="W153">
            <v>-2.2979211864090098E-3</v>
          </cell>
          <cell r="Y153">
            <v>2.5351085643703399</v>
          </cell>
          <cell r="Z153">
            <v>2.5389032721622198</v>
          </cell>
          <cell r="AA153">
            <v>2.5381305445200599</v>
          </cell>
          <cell r="AF153">
            <v>-2.2341473789219998E-3</v>
          </cell>
          <cell r="AG153">
            <v>-2.2979211864090098E-3</v>
          </cell>
          <cell r="AR153">
            <v>4.8457192123715874E-3</v>
          </cell>
          <cell r="BC153">
            <v>1.4925995122183911E-2</v>
          </cell>
          <cell r="BF153">
            <v>1.9771714334555504E-2</v>
          </cell>
        </row>
        <row r="154">
          <cell r="O154">
            <v>2.5341745756035601</v>
          </cell>
          <cell r="P154">
            <v>2.5394847219636798</v>
          </cell>
          <cell r="Q154">
            <v>2.5382737263125601</v>
          </cell>
          <cell r="U154">
            <v>-3.5202853211612302E-3</v>
          </cell>
          <cell r="V154">
            <v>-1.6560529675282299E-3</v>
          </cell>
          <cell r="W154">
            <v>-1.9604541891953399E-3</v>
          </cell>
          <cell r="Y154">
            <v>2.5351085643703399</v>
          </cell>
          <cell r="Z154">
            <v>2.5394847219636798</v>
          </cell>
          <cell r="AA154">
            <v>2.5382737263125601</v>
          </cell>
          <cell r="AF154">
            <v>-1.6560529675283401E-3</v>
          </cell>
          <cell r="AG154">
            <v>-1.9604541891953399E-3</v>
          </cell>
          <cell r="AR154">
            <v>5.0624788348886569E-3</v>
          </cell>
          <cell r="BC154">
            <v>1.4925995122183911E-2</v>
          </cell>
          <cell r="BF154">
            <v>1.9988473957072574E-2</v>
          </cell>
        </row>
        <row r="155">
          <cell r="O155">
            <v>2.5341745756035601</v>
          </cell>
          <cell r="P155">
            <v>2.5402343356560801</v>
          </cell>
          <cell r="Q155">
            <v>2.5380781556585399</v>
          </cell>
          <cell r="U155">
            <v>-2.281804720404E-3</v>
          </cell>
          <cell r="V155">
            <v>-1.8858245710621799E-4</v>
          </cell>
          <cell r="W155">
            <v>-6.6556287530304995E-4</v>
          </cell>
          <cell r="Y155">
            <v>2.5351085643703399</v>
          </cell>
          <cell r="Z155">
            <v>2.5402343356560801</v>
          </cell>
          <cell r="AA155">
            <v>2.5380781556585399</v>
          </cell>
          <cell r="AF155">
            <v>-1.88582457106107E-4</v>
          </cell>
          <cell r="AG155">
            <v>-6.6556287530304995E-4</v>
          </cell>
          <cell r="AR155">
            <v>6.3009594356459265E-3</v>
          </cell>
          <cell r="BC155">
            <v>1.4925995122183911E-2</v>
          </cell>
          <cell r="BF155">
            <v>2.1226954557829844E-2</v>
          </cell>
        </row>
        <row r="156">
          <cell r="O156">
            <v>2.5341745756035601</v>
          </cell>
          <cell r="P156">
            <v>2.5407790578488298</v>
          </cell>
          <cell r="Q156">
            <v>2.5379387515058101</v>
          </cell>
          <cell r="U156">
            <v>-2.1414947319487901E-3</v>
          </cell>
          <cell r="V156">
            <v>2.4686735673374401E-4</v>
          </cell>
          <cell r="W156">
            <v>-6.0230454073985395E-4</v>
          </cell>
          <cell r="Y156">
            <v>2.5351085643703399</v>
          </cell>
          <cell r="Z156">
            <v>2.5407790578488298</v>
          </cell>
          <cell r="AA156">
            <v>2.5379387515058101</v>
          </cell>
          <cell r="AF156">
            <v>2.4686735673374401E-4</v>
          </cell>
          <cell r="AG156">
            <v>-6.0230454073985395E-4</v>
          </cell>
          <cell r="AR156">
            <v>6.3009594356459265E-3</v>
          </cell>
          <cell r="BC156">
            <v>1.4925995122183911E-2</v>
          </cell>
          <cell r="BF156">
            <v>2.1226954557829844E-2</v>
          </cell>
        </row>
        <row r="157">
          <cell r="O157">
            <v>2.5341745756035601</v>
          </cell>
          <cell r="P157">
            <v>2.5409976488167501</v>
          </cell>
          <cell r="Q157">
            <v>2.5377712125932002</v>
          </cell>
          <cell r="U157">
            <v>-1.7862524757500701E-3</v>
          </cell>
          <cell r="V157">
            <v>8.1652439701193104E-4</v>
          </cell>
          <cell r="W157">
            <v>-3.0198887573099097E-4</v>
          </cell>
          <cell r="Y157">
            <v>2.5351085643703399</v>
          </cell>
          <cell r="Z157">
            <v>2.5409976488167598</v>
          </cell>
          <cell r="AA157">
            <v>2.5377712125932002</v>
          </cell>
          <cell r="AF157">
            <v>8.1652439701193104E-4</v>
          </cell>
          <cell r="AG157">
            <v>-3.0198887573099097E-4</v>
          </cell>
          <cell r="AR157">
            <v>6.3009594356459265E-3</v>
          </cell>
          <cell r="BC157">
            <v>1.4925995122183911E-2</v>
          </cell>
          <cell r="BF157">
            <v>2.1226954557829844E-2</v>
          </cell>
        </row>
        <row r="158">
          <cell r="O158">
            <v>2.5341745756035601</v>
          </cell>
          <cell r="P158">
            <v>2.5410391171586202</v>
          </cell>
          <cell r="Q158">
            <v>2.5376965430206</v>
          </cell>
          <cell r="U158">
            <v>-9.4649096533994895E-4</v>
          </cell>
          <cell r="V158">
            <v>1.7423152552976801E-3</v>
          </cell>
          <cell r="W158">
            <v>4.7175668268405597E-4</v>
          </cell>
          <cell r="Y158">
            <v>2.5351085643703399</v>
          </cell>
          <cell r="Z158">
            <v>2.5410391171586202</v>
          </cell>
          <cell r="AA158">
            <v>2.5376965430206</v>
          </cell>
          <cell r="AF158">
            <v>1.74231525529812E-3</v>
          </cell>
          <cell r="AG158">
            <v>4.7175668268405597E-4</v>
          </cell>
          <cell r="AR158">
            <v>6.3009594356459265E-3</v>
          </cell>
          <cell r="BC158">
            <v>1.4925995122183911E-2</v>
          </cell>
          <cell r="BF158">
            <v>2.1226954557829844E-2</v>
          </cell>
        </row>
        <row r="159">
          <cell r="O159">
            <v>2.5341745756035601</v>
          </cell>
          <cell r="P159">
            <v>2.5415091071664899</v>
          </cell>
          <cell r="Q159">
            <v>2.5379943165421901</v>
          </cell>
          <cell r="U159">
            <v>-2.7360404765675301E-3</v>
          </cell>
          <cell r="V159">
            <v>-3.0914680225137301E-5</v>
          </cell>
          <cell r="W159">
            <v>-1.3472165491552699E-3</v>
          </cell>
          <cell r="Y159">
            <v>2.5351085643703399</v>
          </cell>
          <cell r="Z159">
            <v>2.5415091071664899</v>
          </cell>
          <cell r="AA159">
            <v>2.5379943165421901</v>
          </cell>
          <cell r="AF159">
            <v>-3.0914680225137301E-5</v>
          </cell>
          <cell r="AG159">
            <v>-1.34721654915505E-3</v>
          </cell>
          <cell r="AR159">
            <v>6.3009594356459265E-3</v>
          </cell>
          <cell r="BC159">
            <v>1.4925995122183911E-2</v>
          </cell>
          <cell r="BF159">
            <v>2.1226954557829844E-2</v>
          </cell>
        </row>
        <row r="160">
          <cell r="O160">
            <v>2.5341745756035601</v>
          </cell>
          <cell r="P160">
            <v>2.5413685035902098</v>
          </cell>
          <cell r="Q160">
            <v>2.5383615429702799</v>
          </cell>
          <cell r="U160">
            <v>-2.6935977380552001E-3</v>
          </cell>
          <cell r="V160">
            <v>1.9647072423717299E-4</v>
          </cell>
          <cell r="W160">
            <v>-1.1874406120039301E-3</v>
          </cell>
          <cell r="Y160">
            <v>2.5351085643703399</v>
          </cell>
          <cell r="Z160">
            <v>2.5413685035902098</v>
          </cell>
          <cell r="AA160">
            <v>2.5383615429702799</v>
          </cell>
          <cell r="AF160">
            <v>1.9647072423717299E-4</v>
          </cell>
          <cell r="AG160">
            <v>-1.18744061200404E-3</v>
          </cell>
          <cell r="AR160">
            <v>6.3009594356459265E-3</v>
          </cell>
          <cell r="BC160">
            <v>1.4925995122183911E-2</v>
          </cell>
          <cell r="BF160">
            <v>2.1226954557829844E-2</v>
          </cell>
        </row>
        <row r="161">
          <cell r="O161">
            <v>2.5341745756035601</v>
          </cell>
          <cell r="P161">
            <v>2.5417357672135101</v>
          </cell>
          <cell r="Q161">
            <v>2.5392022265807799</v>
          </cell>
          <cell r="U161">
            <v>-5.36771993141868E-3</v>
          </cell>
          <cell r="V161">
            <v>-2.5329758688407301E-3</v>
          </cell>
          <cell r="W161">
            <v>-3.7168816841461698E-3</v>
          </cell>
          <cell r="Y161">
            <v>2.5351085643703399</v>
          </cell>
          <cell r="Z161">
            <v>2.5417357672135101</v>
          </cell>
          <cell r="AA161">
            <v>2.5392022265807799</v>
          </cell>
          <cell r="AF161">
            <v>-2.5329758688408398E-3</v>
          </cell>
          <cell r="AG161">
            <v>-3.7168816841461698E-3</v>
          </cell>
          <cell r="AR161">
            <v>6.3009594356459265E-3</v>
          </cell>
          <cell r="BC161">
            <v>1.4925995122183911E-2</v>
          </cell>
          <cell r="BF161">
            <v>2.1226954557829844E-2</v>
          </cell>
        </row>
        <row r="162">
          <cell r="O162">
            <v>2.5341745756035601</v>
          </cell>
          <cell r="P162">
            <v>2.5417378003895799</v>
          </cell>
          <cell r="Q162">
            <v>2.5398619220985998</v>
          </cell>
          <cell r="U162">
            <v>-4.5817319845226903E-3</v>
          </cell>
          <cell r="V162">
            <v>-1.60248424687826E-3</v>
          </cell>
          <cell r="W162">
            <v>-2.5997571306653399E-3</v>
          </cell>
          <cell r="Y162">
            <v>2.5351085643703399</v>
          </cell>
          <cell r="Z162">
            <v>2.5417378003895799</v>
          </cell>
          <cell r="AA162">
            <v>2.5398619220985998</v>
          </cell>
          <cell r="AF162">
            <v>-1.60248424687814E-3</v>
          </cell>
          <cell r="AG162">
            <v>-2.5997571306652298E-3</v>
          </cell>
          <cell r="AR162">
            <v>7.0869473825418477E-3</v>
          </cell>
          <cell r="BC162">
            <v>1.4925995122183911E-2</v>
          </cell>
          <cell r="BF162">
            <v>2.2012942504725765E-2</v>
          </cell>
        </row>
        <row r="163">
          <cell r="O163">
            <v>2.5341745756035601</v>
          </cell>
          <cell r="P163">
            <v>2.5414698992988098</v>
          </cell>
          <cell r="Q163">
            <v>2.5401865857305101</v>
          </cell>
          <cell r="U163">
            <v>-2.6832799273765499E-3</v>
          </cell>
          <cell r="V163">
            <v>2.9676772632618699E-4</v>
          </cell>
          <cell r="W163">
            <v>-4.41534571623822E-4</v>
          </cell>
          <cell r="Y163">
            <v>2.5351085643703399</v>
          </cell>
          <cell r="Z163">
            <v>2.5414698992988098</v>
          </cell>
          <cell r="AA163">
            <v>2.5401865857305101</v>
          </cell>
          <cell r="AF163">
            <v>2.9676772632618699E-4</v>
          </cell>
          <cell r="AG163">
            <v>-4.4153457162404399E-4</v>
          </cell>
          <cell r="AR163">
            <v>8.9853994396880341E-3</v>
          </cell>
          <cell r="BC163">
            <v>1.4925995122183911E-2</v>
          </cell>
          <cell r="BF163">
            <v>2.3911394561871951E-2</v>
          </cell>
        </row>
        <row r="164">
          <cell r="O164">
            <v>2.5341745756035601</v>
          </cell>
          <cell r="P164">
            <v>2.5411003905274399</v>
          </cell>
          <cell r="Q164">
            <v>2.5402925562455598</v>
          </cell>
          <cell r="U164">
            <v>-2.0662495739361998E-3</v>
          </cell>
          <cell r="V164">
            <v>8.08391766728559E-4</v>
          </cell>
          <cell r="W164">
            <v>3.0331488899726198E-4</v>
          </cell>
          <cell r="Y164">
            <v>2.5351085643703399</v>
          </cell>
          <cell r="Z164">
            <v>2.5411003905274399</v>
          </cell>
          <cell r="AA164">
            <v>2.5402925562455598</v>
          </cell>
          <cell r="AF164">
            <v>8.08391766728559E-4</v>
          </cell>
          <cell r="AG164">
            <v>3.0331488899726198E-4</v>
          </cell>
          <cell r="AR164">
            <v>8.9853994396880341E-3</v>
          </cell>
          <cell r="BC164">
            <v>1.4925995122183911E-2</v>
          </cell>
          <cell r="BF164">
            <v>2.3911394561871951E-2</v>
          </cell>
        </row>
        <row r="165">
          <cell r="O165">
            <v>2.5341745756035601</v>
          </cell>
          <cell r="P165">
            <v>2.5410178725924699</v>
          </cell>
          <cell r="Q165">
            <v>2.5406261041242701</v>
          </cell>
          <cell r="U165">
            <v>-1.9568735293649998E-3</v>
          </cell>
          <cell r="V165">
            <v>7.7236548493685197E-4</v>
          </cell>
          <cell r="W165">
            <v>4.5440767409752703E-4</v>
          </cell>
          <cell r="Y165">
            <v>2.5351085643703399</v>
          </cell>
          <cell r="Z165">
            <v>2.5410178725924699</v>
          </cell>
          <cell r="AA165">
            <v>2.5406261041242701</v>
          </cell>
          <cell r="AF165">
            <v>7.7236548493663003E-4</v>
          </cell>
          <cell r="AG165">
            <v>4.5440767409752703E-4</v>
          </cell>
          <cell r="AR165">
            <v>8.9853994396880341E-3</v>
          </cell>
          <cell r="BC165">
            <v>1.4925995122183911E-2</v>
          </cell>
          <cell r="BF165">
            <v>2.3911394561871951E-2</v>
          </cell>
        </row>
        <row r="166">
          <cell r="O166">
            <v>2.5341745756035601</v>
          </cell>
          <cell r="P166">
            <v>2.5413749508820702</v>
          </cell>
          <cell r="Q166">
            <v>2.5410770043654498</v>
          </cell>
          <cell r="U166">
            <v>-3.5465446002679799E-3</v>
          </cell>
          <cell r="V166">
            <v>-8.4977942097445999E-4</v>
          </cell>
          <cell r="W166">
            <v>-1.0039690772219599E-3</v>
          </cell>
          <cell r="Y166">
            <v>2.5351085643703399</v>
          </cell>
          <cell r="Z166">
            <v>2.5413749508820702</v>
          </cell>
          <cell r="AA166">
            <v>2.5410770043654498</v>
          </cell>
          <cell r="AF166">
            <v>-8.4977942097457101E-4</v>
          </cell>
          <cell r="AG166">
            <v>-1.00396907722174E-3</v>
          </cell>
          <cell r="AR166">
            <v>8.9853994396880341E-3</v>
          </cell>
          <cell r="BC166">
            <v>1.4925995122183911E-2</v>
          </cell>
          <cell r="BF166">
            <v>2.3911394561871951E-2</v>
          </cell>
        </row>
        <row r="167">
          <cell r="O167">
            <v>2.5341745756035601</v>
          </cell>
          <cell r="P167">
            <v>2.5422759106931099</v>
          </cell>
          <cell r="Q167">
            <v>2.54163677975493</v>
          </cell>
          <cell r="U167">
            <v>-5.3288648414069901E-3</v>
          </cell>
          <cell r="V167">
            <v>-2.4915838450192298E-3</v>
          </cell>
          <cell r="W167">
            <v>-2.6088290328090602E-3</v>
          </cell>
          <cell r="Y167">
            <v>2.5351085643703399</v>
          </cell>
          <cell r="Z167">
            <v>2.5422759106931099</v>
          </cell>
          <cell r="AA167">
            <v>2.54163677975493</v>
          </cell>
          <cell r="AF167">
            <v>-2.4915838450192298E-3</v>
          </cell>
          <cell r="AG167">
            <v>-2.6088290328090602E-3</v>
          </cell>
          <cell r="AR167">
            <v>8.9853994396880341E-3</v>
          </cell>
          <cell r="BC167">
            <v>1.4925995122183911E-2</v>
          </cell>
          <cell r="BF167">
            <v>2.3911394561871951E-2</v>
          </cell>
        </row>
        <row r="168">
          <cell r="O168">
            <v>2.5341745756035601</v>
          </cell>
          <cell r="P168">
            <v>2.5432472416499898</v>
          </cell>
          <cell r="Q168">
            <v>2.5421431794043099</v>
          </cell>
          <cell r="U168">
            <v>-4.76848008295617E-3</v>
          </cell>
          <cell r="V168">
            <v>-1.5767452324357901E-3</v>
          </cell>
          <cell r="W168">
            <v>-1.8281779302265599E-3</v>
          </cell>
          <cell r="Y168">
            <v>2.5351085643703399</v>
          </cell>
          <cell r="Z168">
            <v>2.5432472416499898</v>
          </cell>
          <cell r="AA168">
            <v>2.5421431794043099</v>
          </cell>
          <cell r="AF168">
            <v>-1.5767452324359E-3</v>
          </cell>
          <cell r="AG168">
            <v>-1.8281779302265599E-3</v>
          </cell>
          <cell r="AR168">
            <v>9.5457841981388229E-3</v>
          </cell>
          <cell r="BC168">
            <v>1.4925995122183911E-2</v>
          </cell>
          <cell r="BF168">
            <v>2.447177932032274E-2</v>
          </cell>
        </row>
        <row r="169">
          <cell r="O169">
            <v>2.5341745756035601</v>
          </cell>
          <cell r="P169">
            <v>2.5435999692328601</v>
          </cell>
          <cell r="Q169">
            <v>2.5425545381996799</v>
          </cell>
          <cell r="U169">
            <v>-4.1231584588376302E-3</v>
          </cell>
          <cell r="V169">
            <v>-5.4942516308653297E-4</v>
          </cell>
          <cell r="W169">
            <v>-9.8363460292028395E-4</v>
          </cell>
          <cell r="Y169">
            <v>2.5351085643703399</v>
          </cell>
          <cell r="Z169">
            <v>2.5435999692328601</v>
          </cell>
          <cell r="AA169">
            <v>2.5425545381996799</v>
          </cell>
          <cell r="AF169">
            <v>-5.4942516308653297E-4</v>
          </cell>
          <cell r="AG169">
            <v>-9.8363460292028395E-4</v>
          </cell>
          <cell r="AR169">
            <v>1.0191105822257233E-2</v>
          </cell>
          <cell r="BC169">
            <v>1.4925995122183911E-2</v>
          </cell>
          <cell r="BF169">
            <v>2.511710094444115E-2</v>
          </cell>
        </row>
        <row r="170">
          <cell r="O170">
            <v>2.5341745756035601</v>
          </cell>
          <cell r="P170">
            <v>2.5440423286793399</v>
          </cell>
          <cell r="Q170">
            <v>2.54270541613477</v>
          </cell>
          <cell r="U170">
            <v>-4.4329646665881503E-3</v>
          </cell>
          <cell r="V170">
            <v>-7.2054916993358404E-4</v>
          </cell>
          <cell r="W170">
            <v>-1.1316381552865099E-3</v>
          </cell>
          <cell r="Y170">
            <v>2.5351085643703399</v>
          </cell>
          <cell r="Z170">
            <v>2.5440423286793399</v>
          </cell>
          <cell r="AA170">
            <v>2.54270541613477</v>
          </cell>
          <cell r="AF170">
            <v>-7.2054916993358404E-4</v>
          </cell>
          <cell r="AG170">
            <v>-1.1316381552865099E-3</v>
          </cell>
          <cell r="AR170">
            <v>1.0191105822257233E-2</v>
          </cell>
          <cell r="BC170">
            <v>1.4925995122183911E-2</v>
          </cell>
          <cell r="BF170">
            <v>2.511710094444115E-2</v>
          </cell>
        </row>
        <row r="171">
          <cell r="O171">
            <v>2.5341745756035601</v>
          </cell>
          <cell r="P171">
            <v>2.54369455174026</v>
          </cell>
          <cell r="Q171">
            <v>2.5427151594768902</v>
          </cell>
          <cell r="U171">
            <v>-4.0017861208854902E-3</v>
          </cell>
          <cell r="V171">
            <v>-1.1547496817264299E-4</v>
          </cell>
          <cell r="W171">
            <v>-6.4112028907838104E-4</v>
          </cell>
          <cell r="Y171">
            <v>2.5351085643703399</v>
          </cell>
          <cell r="Z171">
            <v>2.54369455174026</v>
          </cell>
          <cell r="AA171">
            <v>2.5427151594768902</v>
          </cell>
          <cell r="AF171">
            <v>-1.15474968172532E-4</v>
          </cell>
          <cell r="AG171">
            <v>-6.4112028907838104E-4</v>
          </cell>
          <cell r="AR171">
            <v>1.0191105822257233E-2</v>
          </cell>
          <cell r="BC171">
            <v>1.4925995122183911E-2</v>
          </cell>
          <cell r="BF171">
            <v>2.511710094444115E-2</v>
          </cell>
        </row>
        <row r="172">
          <cell r="O172">
            <v>2.5341745756035601</v>
          </cell>
          <cell r="P172">
            <v>2.5433826143673599</v>
          </cell>
          <cell r="Q172">
            <v>2.5425602073784699</v>
          </cell>
          <cell r="U172">
            <v>-3.3556845710769E-3</v>
          </cell>
          <cell r="V172">
            <v>3.93914739890853E-4</v>
          </cell>
          <cell r="W172">
            <v>8.8131334206533098E-6</v>
          </cell>
          <cell r="Y172">
            <v>2.5351085643703399</v>
          </cell>
          <cell r="Z172">
            <v>2.5433826143673599</v>
          </cell>
          <cell r="AA172">
            <v>2.5425602073784699</v>
          </cell>
          <cell r="AF172">
            <v>3.93914739890853E-4</v>
          </cell>
          <cell r="AG172">
            <v>8.8131334206533098E-6</v>
          </cell>
          <cell r="AR172">
            <v>1.0191105822257233E-2</v>
          </cell>
          <cell r="BC172">
            <v>1.4925995122183911E-2</v>
          </cell>
          <cell r="BF172">
            <v>2.511710094444115E-2</v>
          </cell>
        </row>
        <row r="173">
          <cell r="O173">
            <v>2.5341745756035601</v>
          </cell>
          <cell r="P173">
            <v>2.5437090324726901</v>
          </cell>
          <cell r="Q173">
            <v>2.54258946588575</v>
          </cell>
          <cell r="U173">
            <v>-3.9670687065059204E-3</v>
          </cell>
          <cell r="V173">
            <v>-3.4010853117620501E-4</v>
          </cell>
          <cell r="W173">
            <v>-6.6351248001429795E-4</v>
          </cell>
          <cell r="Y173">
            <v>2.5351085643703399</v>
          </cell>
          <cell r="Z173">
            <v>2.5437090324726901</v>
          </cell>
          <cell r="AA173">
            <v>2.54258946588575</v>
          </cell>
          <cell r="AF173">
            <v>-3.4010853117631598E-4</v>
          </cell>
          <cell r="AG173">
            <v>-6.6351248001429795E-4</v>
          </cell>
          <cell r="AR173">
            <v>1.0191105822257233E-2</v>
          </cell>
          <cell r="BC173">
            <v>1.4925995122183911E-2</v>
          </cell>
          <cell r="BF173">
            <v>2.511710094444115E-2</v>
          </cell>
        </row>
        <row r="174">
          <cell r="O174">
            <v>2.5341745756035601</v>
          </cell>
          <cell r="P174">
            <v>2.54430645030875</v>
          </cell>
          <cell r="Q174">
            <v>2.5427034204180998</v>
          </cell>
          <cell r="U174">
            <v>-4.4160660147491097E-3</v>
          </cell>
          <cell r="V174">
            <v>-6.6077392467007003E-4</v>
          </cell>
          <cell r="W174">
            <v>-1.1010023561624999E-3</v>
          </cell>
          <cell r="Y174">
            <v>2.5351085643703399</v>
          </cell>
          <cell r="Z174">
            <v>2.54430645030875</v>
          </cell>
          <cell r="AA174">
            <v>2.5427034204180998</v>
          </cell>
          <cell r="AF174">
            <v>-6.6077392467007003E-4</v>
          </cell>
          <cell r="AG174">
            <v>-1.1010023561624999E-3</v>
          </cell>
          <cell r="AR174">
            <v>1.0191105822257233E-2</v>
          </cell>
          <cell r="BC174">
            <v>1.4925995122183911E-2</v>
          </cell>
          <cell r="BF174">
            <v>2.511710094444115E-2</v>
          </cell>
        </row>
        <row r="175">
          <cell r="O175">
            <v>2.5341745756035601</v>
          </cell>
          <cell r="P175">
            <v>2.5450281285515701</v>
          </cell>
          <cell r="Q175">
            <v>2.54302300057202</v>
          </cell>
          <cell r="U175">
            <v>-4.7950590073922404E-3</v>
          </cell>
          <cell r="V175">
            <v>-8.0493357577606601E-4</v>
          </cell>
          <cell r="W175">
            <v>-1.43517805512668E-3</v>
          </cell>
          <cell r="Y175">
            <v>2.5351085643703399</v>
          </cell>
          <cell r="Z175">
            <v>2.5450281285515701</v>
          </cell>
          <cell r="AA175">
            <v>2.54302300057202</v>
          </cell>
          <cell r="AF175">
            <v>-8.0493357577606601E-4</v>
          </cell>
          <cell r="AG175">
            <v>-1.43517805512668E-3</v>
          </cell>
          <cell r="AR175">
            <v>1.0191105822257233E-2</v>
          </cell>
          <cell r="BC175">
            <v>1.4925995122183911E-2</v>
          </cell>
          <cell r="BF175">
            <v>2.511710094444115E-2</v>
          </cell>
        </row>
        <row r="176">
          <cell r="O176">
            <v>2.5341745756035601</v>
          </cell>
          <cell r="P176">
            <v>2.5457796638611501</v>
          </cell>
          <cell r="Q176">
            <v>2.5435773073716099</v>
          </cell>
          <cell r="U176">
            <v>-6.49728981834521E-3</v>
          </cell>
          <cell r="V176">
            <v>-2.2235602194345802E-3</v>
          </cell>
          <cell r="W176">
            <v>-3.0117315771777601E-3</v>
          </cell>
          <cell r="Y176">
            <v>2.5351085643703399</v>
          </cell>
          <cell r="Z176">
            <v>2.5457796638611501</v>
          </cell>
          <cell r="AA176">
            <v>2.5435773073716099</v>
          </cell>
          <cell r="AF176">
            <v>-2.22356021943447E-3</v>
          </cell>
          <cell r="AG176">
            <v>-3.0117315771777601E-3</v>
          </cell>
          <cell r="AR176">
            <v>1.0191105822257233E-2</v>
          </cell>
          <cell r="BC176">
            <v>1.4925995122183911E-2</v>
          </cell>
          <cell r="BF176">
            <v>2.511710094444115E-2</v>
          </cell>
        </row>
        <row r="177">
          <cell r="O177">
            <v>2.5341745756035601</v>
          </cell>
          <cell r="P177">
            <v>2.5448319885322701</v>
          </cell>
          <cell r="Q177">
            <v>2.54355394961269</v>
          </cell>
          <cell r="U177">
            <v>-1.6022223854479101E-3</v>
          </cell>
          <cell r="V177">
            <v>2.9667591049812401E-3</v>
          </cell>
          <cell r="W177">
            <v>2.1012837062392101E-3</v>
          </cell>
          <cell r="Y177">
            <v>2.5351085643703399</v>
          </cell>
          <cell r="Z177">
            <v>2.5463977605555002</v>
          </cell>
          <cell r="AA177">
            <v>2.5443368356243101</v>
          </cell>
          <cell r="AF177">
            <v>-3.1830278295844998E-3</v>
          </cell>
          <cell r="AG177">
            <v>-4.0485032283270597E-3</v>
          </cell>
          <cell r="AR177">
            <v>1.0191105822257233E-2</v>
          </cell>
          <cell r="BC177">
            <v>1.4925995122183911E-2</v>
          </cell>
          <cell r="BF177">
            <v>2.511710094444115E-2</v>
          </cell>
        </row>
        <row r="178">
          <cell r="O178">
            <v>2.5341745756035601</v>
          </cell>
          <cell r="P178">
            <v>2.5437608283593298</v>
          </cell>
          <cell r="Q178">
            <v>2.54350403500466</v>
          </cell>
          <cell r="U178">
            <v>-5.5285429487703401E-4</v>
          </cell>
          <cell r="V178">
            <v>3.6438044160771602E-3</v>
          </cell>
          <cell r="W178">
            <v>3.1414687198505101E-3</v>
          </cell>
          <cell r="Y178">
            <v>2.5351085643703399</v>
          </cell>
          <cell r="Z178">
            <v>2.5468923724058001</v>
          </cell>
          <cell r="AA178">
            <v>2.5450698070278901</v>
          </cell>
          <cell r="AF178">
            <v>-1.89733346111769E-3</v>
          </cell>
          <cell r="AG178">
            <v>-2.7070103377450001E-3</v>
          </cell>
          <cell r="AR178">
            <v>1.1240473912828083E-2</v>
          </cell>
          <cell r="BC178">
            <v>1.4925995122183911E-2</v>
          </cell>
          <cell r="BF178">
            <v>2.6166469035012001E-2</v>
          </cell>
        </row>
        <row r="179">
          <cell r="O179">
            <v>2.5341745756035601</v>
          </cell>
          <cell r="P179">
            <v>2.54264245956734</v>
          </cell>
          <cell r="Q179">
            <v>2.5431212144001001</v>
          </cell>
          <cell r="U179">
            <v>2.8151743247696999E-4</v>
          </cell>
          <cell r="V179">
            <v>4.0571716625045504E-3</v>
          </cell>
          <cell r="W179">
            <v>3.9562162918743201E-3</v>
          </cell>
          <cell r="Y179">
            <v>2.5351085643703399</v>
          </cell>
          <cell r="Z179">
            <v>2.5473258793633899</v>
          </cell>
          <cell r="AA179">
            <v>2.5454629242981199</v>
          </cell>
          <cell r="AF179">
            <v>-8.1934818606842804E-4</v>
          </cell>
          <cell r="AG179">
            <v>-1.5352079633055499E-3</v>
          </cell>
          <cell r="AR179">
            <v>1.2074845640182252E-2</v>
          </cell>
          <cell r="BC179">
            <v>1.4925995122183911E-2</v>
          </cell>
          <cell r="BF179">
            <v>2.7000840762366168E-2</v>
          </cell>
        </row>
        <row r="180">
          <cell r="O180">
            <v>2.5341745756035601</v>
          </cell>
          <cell r="P180">
            <v>2.5416514291483501</v>
          </cell>
          <cell r="Q180">
            <v>2.5428468789138399</v>
          </cell>
          <cell r="U180">
            <v>-5.3199968358845701E-4</v>
          </cell>
          <cell r="V180">
            <v>2.80390616366229E-3</v>
          </cell>
          <cell r="W180">
            <v>2.9921787083036699E-3</v>
          </cell>
          <cell r="Y180">
            <v>2.5351085643703399</v>
          </cell>
          <cell r="Z180">
            <v>2.54790900222907</v>
          </cell>
          <cell r="AA180">
            <v>2.5459756654542001</v>
          </cell>
          <cell r="AF180">
            <v>-1.5450421451047901E-3</v>
          </cell>
          <cell r="AG180">
            <v>-2.2766472519265501E-3</v>
          </cell>
          <cell r="AR180">
            <v>1.1261328524116852E-2</v>
          </cell>
          <cell r="BC180">
            <v>1.4925995122183911E-2</v>
          </cell>
          <cell r="BF180">
            <v>2.6187323646300768E-2</v>
          </cell>
        </row>
        <row r="181">
          <cell r="O181">
            <v>2.5341745756035601</v>
          </cell>
          <cell r="P181">
            <v>2.5422104390047502</v>
          </cell>
          <cell r="Q181">
            <v>2.5429524953725098</v>
          </cell>
          <cell r="U181">
            <v>-6.1964515852054704E-3</v>
          </cell>
          <cell r="V181">
            <v>-3.25038568554201E-3</v>
          </cell>
          <cell r="W181">
            <v>-2.7801525513794002E-3</v>
          </cell>
          <cell r="Y181">
            <v>2.5351085643703399</v>
          </cell>
          <cell r="Z181">
            <v>2.5484680120854701</v>
          </cell>
          <cell r="AA181">
            <v>2.5460812819128602</v>
          </cell>
          <cell r="AF181">
            <v>-7.91400742469137E-4</v>
          </cell>
          <cell r="AG181">
            <v>-1.55048226622794E-3</v>
          </cell>
          <cell r="AR181">
            <v>1.1261328524116852E-2</v>
          </cell>
          <cell r="BC181">
            <v>1.4925995122183911E-2</v>
          </cell>
          <cell r="BF181">
            <v>2.6187323646300768E-2</v>
          </cell>
        </row>
        <row r="182">
          <cell r="O182">
            <v>2.5341745756035601</v>
          </cell>
          <cell r="P182">
            <v>2.5431595207487399</v>
          </cell>
          <cell r="Q182">
            <v>2.5432710675580501</v>
          </cell>
          <cell r="U182">
            <v>-7.0813210048260499E-3</v>
          </cell>
          <cell r="V182">
            <v>-3.9153396656192102E-3</v>
          </cell>
          <cell r="W182">
            <v>-3.6234881034973398E-3</v>
          </cell>
          <cell r="Y182">
            <v>2.5351085643703399</v>
          </cell>
          <cell r="Z182">
            <v>2.5494170938294598</v>
          </cell>
          <cell r="AA182">
            <v>2.5463998540984099</v>
          </cell>
          <cell r="AF182">
            <v>-1.4568947677359499E-3</v>
          </cell>
          <cell r="AG182">
            <v>-2.3938688588610998E-3</v>
          </cell>
          <cell r="AR182">
            <v>1.1261328524116852E-2</v>
          </cell>
          <cell r="BC182">
            <v>1.4925995122183911E-2</v>
          </cell>
          <cell r="BF182">
            <v>2.6187323646300768E-2</v>
          </cell>
        </row>
        <row r="183">
          <cell r="O183">
            <v>2.5341745756035601</v>
          </cell>
          <cell r="P183">
            <v>2.54460895582416</v>
          </cell>
          <cell r="Q183">
            <v>2.5441589941484199</v>
          </cell>
          <cell r="U183">
            <v>-9.6478127186052191E-3</v>
          </cell>
          <cell r="V183">
            <v>-6.1085717099849703E-3</v>
          </cell>
          <cell r="W183">
            <v>-6.0647111647988104E-3</v>
          </cell>
          <cell r="Y183">
            <v>2.5351085643703399</v>
          </cell>
          <cell r="Z183">
            <v>2.55086652890488</v>
          </cell>
          <cell r="AA183">
            <v>2.5472877806887801</v>
          </cell>
          <cell r="AF183">
            <v>-3.6510431527663999E-3</v>
          </cell>
          <cell r="AG183">
            <v>-4.8352458486167899E-3</v>
          </cell>
          <cell r="AR183">
            <v>1.1261328524116852E-2</v>
          </cell>
          <cell r="BC183">
            <v>1.4925995122183911E-2</v>
          </cell>
          <cell r="BF183">
            <v>2.6187323646300768E-2</v>
          </cell>
        </row>
        <row r="184">
          <cell r="O184">
            <v>2.5341745756035601</v>
          </cell>
          <cell r="P184">
            <v>2.5464215413888698</v>
          </cell>
          <cell r="Q184">
            <v>2.5453639958488101</v>
          </cell>
          <cell r="U184">
            <v>-1.1511882356952E-2</v>
          </cell>
          <cell r="V184">
            <v>-7.4028689141880299E-3</v>
          </cell>
          <cell r="W184">
            <v>-7.5797139506810496E-3</v>
          </cell>
          <cell r="Y184">
            <v>2.5351085643703399</v>
          </cell>
          <cell r="Z184">
            <v>2.5526791144695902</v>
          </cell>
          <cell r="AA184">
            <v>2.5484927823891699</v>
          </cell>
          <cell r="AF184">
            <v>-4.9467384724869602E-3</v>
          </cell>
          <cell r="AG184">
            <v>-6.3506774616164403E-3</v>
          </cell>
          <cell r="AR184">
            <v>9.3972588857700115E-3</v>
          </cell>
          <cell r="BC184">
            <v>1.4925995122183911E-2</v>
          </cell>
          <cell r="BF184">
            <v>2.4323254007953928E-2</v>
          </cell>
        </row>
        <row r="185">
          <cell r="O185">
            <v>2.5341745756035601</v>
          </cell>
          <cell r="P185">
            <v>2.5478477706592102</v>
          </cell>
          <cell r="Q185">
            <v>2.5464379496053899</v>
          </cell>
          <cell r="U185">
            <v>-1.0380492975941E-2</v>
          </cell>
          <cell r="V185">
            <v>-5.5594092981674399E-3</v>
          </cell>
          <cell r="W185">
            <v>-5.9748021097977503E-3</v>
          </cell>
          <cell r="Y185">
            <v>2.5351085643703399</v>
          </cell>
          <cell r="Z185">
            <v>2.5541053437399301</v>
          </cell>
          <cell r="AA185">
            <v>2.5495667361457501</v>
          </cell>
          <cell r="AF185">
            <v>-3.1050250275483399E-3</v>
          </cell>
          <cell r="AG185">
            <v>-4.7463471021117701E-3</v>
          </cell>
          <cell r="AR185">
            <v>1.0528648266780792E-2</v>
          </cell>
          <cell r="BC185">
            <v>1.4925995122183911E-2</v>
          </cell>
          <cell r="BF185">
            <v>2.5454643388964707E-2</v>
          </cell>
        </row>
        <row r="186">
          <cell r="O186">
            <v>2.5341745756035601</v>
          </cell>
          <cell r="P186">
            <v>2.5488803366761399</v>
          </cell>
          <cell r="Q186">
            <v>2.5473300002686399</v>
          </cell>
          <cell r="U186">
            <v>-1.05372956284152E-2</v>
          </cell>
          <cell r="V186">
            <v>-5.1562771610787197E-3</v>
          </cell>
          <cell r="W186">
            <v>-5.70976833421974E-3</v>
          </cell>
          <cell r="Y186">
            <v>2.5351085643703399</v>
          </cell>
          <cell r="Z186">
            <v>2.5551379097568598</v>
          </cell>
          <cell r="AA186">
            <v>2.5504587868090001</v>
          </cell>
          <cell r="AF186">
            <v>-2.7032651171818001E-3</v>
          </cell>
          <cell r="AG186">
            <v>-4.4818311063568404E-3</v>
          </cell>
          <cell r="AR186">
            <v>1.0371845614306621E-2</v>
          </cell>
          <cell r="BC186">
            <v>1.4925995122183911E-2</v>
          </cell>
          <cell r="BF186">
            <v>2.5297840736490537E-2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93D9-7004-4E5F-850B-A4B631A1D3EB}">
  <dimension ref="A1:CZ188"/>
  <sheetViews>
    <sheetView tabSelected="1" topLeftCell="AC4" workbookViewId="0">
      <selection activeCell="AI23" sqref="AI2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8.140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</cols>
  <sheetData>
    <row r="1" spans="1:104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0.58968654947289534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2.8522009671227622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</row>
    <row r="2" spans="1:104" x14ac:dyDescent="0.25">
      <c r="A2" s="1">
        <v>46024</v>
      </c>
      <c r="B2" s="33">
        <v>36.119999999999997</v>
      </c>
      <c r="C2" s="33">
        <v>35.86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36.119999999999997</v>
      </c>
      <c r="M2" s="33">
        <v>35.86</v>
      </c>
      <c r="N2" s="34">
        <v>0.99280177187153895</v>
      </c>
      <c r="O2" s="34">
        <v>1.0078468940038601</v>
      </c>
      <c r="X2" s="34">
        <v>0.99280177187153895</v>
      </c>
      <c r="Y2" s="34">
        <v>1.0078468940038601</v>
      </c>
      <c r="AI2" s="4">
        <v>0</v>
      </c>
      <c r="AJ2" s="10">
        <f t="dataTable" ref="AJ2:AQ9" dt2D="1" dtr="1" r1="AI21" r2="AI22"/>
        <v>0.88753480128993267</v>
      </c>
      <c r="AK2" s="10">
        <v>0.54456832168976876</v>
      </c>
      <c r="AL2" s="10">
        <v>0.4376056527662</v>
      </c>
      <c r="AM2" s="10">
        <v>1.0531528600902822</v>
      </c>
      <c r="AN2" s="10">
        <v>0.51847099004314223</v>
      </c>
      <c r="AO2" s="10">
        <v>0.58258039841961695</v>
      </c>
      <c r="AP2" s="10">
        <v>0.68086762255554234</v>
      </c>
      <c r="AQ2" s="10">
        <v>0.4555311025957135</v>
      </c>
      <c r="AR2"/>
      <c r="AT2" s="4">
        <v>0</v>
      </c>
      <c r="AU2" s="10">
        <f t="dataTable" ref="AU2:BB9" dt2D="1" dtr="1" r1="AT21" r2="AT22"/>
        <v>1.543089804161369</v>
      </c>
      <c r="AV2" s="11">
        <v>1.7168824940552134</v>
      </c>
      <c r="AW2" s="11">
        <v>1.7587957149450806</v>
      </c>
      <c r="AX2" s="11">
        <v>1.9789373773467787</v>
      </c>
      <c r="AY2" s="11">
        <v>2.5239729708034089</v>
      </c>
      <c r="AZ2" s="11">
        <v>2.487440713505237</v>
      </c>
      <c r="BA2" s="11">
        <v>2.1616598413834165</v>
      </c>
      <c r="BB2" s="11">
        <v>1.3912270920382444</v>
      </c>
      <c r="BC2"/>
    </row>
    <row r="3" spans="1:104" x14ac:dyDescent="0.25">
      <c r="A3" s="1">
        <v>46027</v>
      </c>
      <c r="B3" s="33">
        <v>37.1</v>
      </c>
      <c r="C3" s="33">
        <v>36.840000000000003</v>
      </c>
      <c r="D3" s="15">
        <v>2.6770241064604801E-2</v>
      </c>
      <c r="E3" s="15">
        <v>2.69617432101193E-2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37.1</v>
      </c>
      <c r="M3" s="33">
        <v>36.840000000000003</v>
      </c>
      <c r="N3" s="34">
        <v>0.99299191374662998</v>
      </c>
      <c r="O3" s="34">
        <v>1.0078468940038601</v>
      </c>
      <c r="R3" s="33">
        <v>37.391119767543501</v>
      </c>
      <c r="U3" s="15">
        <v>1.4849025469697101E-2</v>
      </c>
      <c r="X3" s="34">
        <v>0.99299191374662998</v>
      </c>
      <c r="Y3" s="34">
        <v>1.0078468940038601</v>
      </c>
      <c r="AB3" s="33">
        <v>37.391119767543501</v>
      </c>
      <c r="AE3" s="15">
        <v>1.4849025469697101E-2</v>
      </c>
      <c r="AI3" s="4">
        <f t="shared" ref="AI3:AI9" si="2">AI2-AK$12</f>
        <v>-2.5000000000000001E-3</v>
      </c>
      <c r="AJ3" s="10">
        <v>0.88753480128993267</v>
      </c>
      <c r="AK3" s="10">
        <v>0.72981728025886017</v>
      </c>
      <c r="AL3" s="10">
        <v>0.54043141635268965</v>
      </c>
      <c r="AM3" s="10">
        <v>1.0674010974044985</v>
      </c>
      <c r="AN3" s="10">
        <v>0.48353071364892214</v>
      </c>
      <c r="AO3" s="11">
        <v>0.54799928985116908</v>
      </c>
      <c r="AP3" s="10">
        <v>0.64657803098323663</v>
      </c>
      <c r="AQ3" s="10">
        <v>0.41823276993042607</v>
      </c>
      <c r="AR3"/>
      <c r="AT3" s="4">
        <f>AT2+AV$12</f>
        <v>2.5000000000000001E-3</v>
      </c>
      <c r="AU3" s="10">
        <v>1.543089804161369</v>
      </c>
      <c r="AV3" s="11">
        <v>1.7106693096890908</v>
      </c>
      <c r="AW3" s="11">
        <v>1.8759271820554528</v>
      </c>
      <c r="AX3" s="11">
        <v>1.6830254340653392</v>
      </c>
      <c r="AY3" s="11">
        <v>2.2208658247318991</v>
      </c>
      <c r="AZ3" s="11">
        <v>2.1978852909737836</v>
      </c>
      <c r="BA3" s="11">
        <v>2.0840987520592766</v>
      </c>
      <c r="BB3" s="11">
        <v>1.3912270920382444</v>
      </c>
      <c r="BC3"/>
    </row>
    <row r="4" spans="1:104" x14ac:dyDescent="0.25">
      <c r="A4" s="1">
        <v>46028</v>
      </c>
      <c r="B4" s="33">
        <v>37.04</v>
      </c>
      <c r="C4" s="33">
        <v>36.880000000000003</v>
      </c>
      <c r="D4" s="15">
        <v>-1.61855983541091E-3</v>
      </c>
      <c r="E4" s="15">
        <v>1.08518730128698E-3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37.04</v>
      </c>
      <c r="M4" s="33">
        <v>36.880000000000003</v>
      </c>
      <c r="N4" s="34">
        <v>0.99568034557235396</v>
      </c>
      <c r="O4" s="34">
        <v>1.0078468940038601</v>
      </c>
      <c r="R4" s="33">
        <v>37.3306489539033</v>
      </c>
      <c r="U4" s="15">
        <v>1.21452783329992E-2</v>
      </c>
      <c r="X4" s="34">
        <v>0.99568034557235396</v>
      </c>
      <c r="Y4" s="34">
        <v>1.0078468940038601</v>
      </c>
      <c r="AB4" s="33">
        <v>37.3306489539033</v>
      </c>
      <c r="AE4" s="15">
        <v>1.21452783329992E-2</v>
      </c>
      <c r="AG4"/>
      <c r="AI4" s="4">
        <f t="shared" si="2"/>
        <v>-5.0000000000000001E-3</v>
      </c>
      <c r="AJ4" s="10">
        <v>0.88753480128993267</v>
      </c>
      <c r="AK4" s="11">
        <v>0.72981728025886017</v>
      </c>
      <c r="AL4" s="11">
        <v>0.53439095548663951</v>
      </c>
      <c r="AM4" s="11">
        <v>0.99231608559543205</v>
      </c>
      <c r="AN4" s="10">
        <v>0.5855591953840541</v>
      </c>
      <c r="AO4" s="11">
        <v>0.70035152566458492</v>
      </c>
      <c r="AP4" s="11">
        <v>0.64657803098323663</v>
      </c>
      <c r="AQ4" s="11">
        <v>0.41823276993042607</v>
      </c>
      <c r="AR4"/>
      <c r="AT4" s="4">
        <f t="shared" ref="AT4:AT9" si="3">AT3+AV$12</f>
        <v>5.0000000000000001E-3</v>
      </c>
      <c r="AU4" s="10">
        <v>1.543089804161369</v>
      </c>
      <c r="AV4" s="11">
        <v>1.7106693096890908</v>
      </c>
      <c r="AW4" s="11">
        <v>2.8065481382685542</v>
      </c>
      <c r="AX4" s="11">
        <v>2.8491881733281703</v>
      </c>
      <c r="AY4" s="11">
        <v>2.8522009671227622</v>
      </c>
      <c r="AZ4" s="11">
        <v>1.9843973335718765</v>
      </c>
      <c r="BA4" s="11">
        <v>1.8549202128628879</v>
      </c>
      <c r="BB4" s="11">
        <v>1.1678110552174132</v>
      </c>
      <c r="BC4"/>
      <c r="BE4" s="8"/>
      <c r="BF4" s="8"/>
    </row>
    <row r="5" spans="1:104" x14ac:dyDescent="0.25">
      <c r="A5" s="1">
        <v>46029</v>
      </c>
      <c r="B5" s="33">
        <v>37.450000000000003</v>
      </c>
      <c r="C5" s="33">
        <v>37.29</v>
      </c>
      <c r="D5" s="15">
        <v>1.10083001852498E-2</v>
      </c>
      <c r="E5" s="15">
        <v>1.10557955023361E-2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37.450000000000003</v>
      </c>
      <c r="M5" s="33">
        <v>37.29</v>
      </c>
      <c r="N5" s="34">
        <v>0.99572763684913201</v>
      </c>
      <c r="O5" s="34">
        <v>1.0078468940038601</v>
      </c>
      <c r="R5" s="33">
        <v>37.743866180444897</v>
      </c>
      <c r="U5" s="15">
        <v>1.20977830159128E-2</v>
      </c>
      <c r="X5" s="34">
        <v>0.99572763684913201</v>
      </c>
      <c r="Y5" s="34">
        <v>1.0078468940038601</v>
      </c>
      <c r="AB5" s="33">
        <v>37.743866180444897</v>
      </c>
      <c r="AE5" s="15">
        <v>1.20977830159128E-2</v>
      </c>
      <c r="AG5" s="29"/>
      <c r="AI5" s="4">
        <f t="shared" si="2"/>
        <v>-7.4999999999999997E-3</v>
      </c>
      <c r="AJ5" s="10">
        <v>0.88753480128993267</v>
      </c>
      <c r="AK5" s="11">
        <v>0.72981728025886017</v>
      </c>
      <c r="AL5" s="11">
        <v>0.53439095548663951</v>
      </c>
      <c r="AM5" s="11">
        <v>1.1300543107824375</v>
      </c>
      <c r="AN5" s="11">
        <v>0.77733393611689561</v>
      </c>
      <c r="AO5" s="11">
        <v>0.76231196554359748</v>
      </c>
      <c r="AP5" s="10">
        <v>0.7066347823215029</v>
      </c>
      <c r="AQ5" s="11">
        <v>0.58968654947289534</v>
      </c>
      <c r="AR5"/>
      <c r="AT5" s="4">
        <f t="shared" si="3"/>
        <v>7.4999999999999997E-3</v>
      </c>
      <c r="AU5" s="10">
        <v>1.543089804161369</v>
      </c>
      <c r="AV5" s="11">
        <v>1.7106693096890908</v>
      </c>
      <c r="AW5" s="11">
        <v>2.8065481382685542</v>
      </c>
      <c r="AX5" s="11">
        <v>2.6839306283180155</v>
      </c>
      <c r="AY5" s="11">
        <v>2.5400814580534092</v>
      </c>
      <c r="AZ5" s="11">
        <v>1.7626574648306588</v>
      </c>
      <c r="BA5" s="11">
        <v>1.8371395047258223</v>
      </c>
      <c r="BB5" s="11">
        <v>1.1451850514401427</v>
      </c>
      <c r="BC5"/>
    </row>
    <row r="6" spans="1:104" x14ac:dyDescent="0.25">
      <c r="A6" s="1">
        <v>46030</v>
      </c>
      <c r="B6" s="33">
        <v>37.49</v>
      </c>
      <c r="C6" s="33">
        <v>37.53</v>
      </c>
      <c r="D6" s="15">
        <v>1.06752078459218E-3</v>
      </c>
      <c r="E6" s="15">
        <v>6.4154189562000297E-3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37.49</v>
      </c>
      <c r="M6" s="33">
        <v>37.53</v>
      </c>
      <c r="N6" s="34">
        <v>1.0010669511869801</v>
      </c>
      <c r="O6" s="34">
        <v>1.0078468940038601</v>
      </c>
      <c r="R6" s="33">
        <v>37.784180056205003</v>
      </c>
      <c r="U6" s="15">
        <v>6.7498848443048997E-3</v>
      </c>
      <c r="X6" s="34">
        <v>1.0010669511869801</v>
      </c>
      <c r="Y6" s="34">
        <v>1.0078468940038601</v>
      </c>
      <c r="AB6" s="33">
        <v>37.784180056205003</v>
      </c>
      <c r="AE6" s="15">
        <v>6.7498848443048997E-3</v>
      </c>
      <c r="AG6" s="29"/>
      <c r="AI6" s="4">
        <f t="shared" si="2"/>
        <v>-0.01</v>
      </c>
      <c r="AJ6" s="10">
        <v>0.88753480128993267</v>
      </c>
      <c r="AK6" s="11">
        <v>0.72981728025886017</v>
      </c>
      <c r="AL6" s="11">
        <v>0.53439095548663951</v>
      </c>
      <c r="AM6" s="11">
        <v>1.1300543107824375</v>
      </c>
      <c r="AN6" s="11">
        <v>0.77733393611689561</v>
      </c>
      <c r="AO6" s="11">
        <v>0.76231196554359748</v>
      </c>
      <c r="AP6" s="11">
        <v>0.7066347823215029</v>
      </c>
      <c r="AQ6" s="11">
        <v>0.58968654947289534</v>
      </c>
      <c r="AR6"/>
      <c r="AT6" s="4">
        <f t="shared" si="3"/>
        <v>0.01</v>
      </c>
      <c r="AU6" s="10">
        <v>1.543089804161369</v>
      </c>
      <c r="AV6" s="11">
        <v>1.7106693096890908</v>
      </c>
      <c r="AW6" s="11">
        <v>2.8065481382685542</v>
      </c>
      <c r="AX6" s="11">
        <v>2.6839306283180155</v>
      </c>
      <c r="AY6" s="11">
        <v>2.5185928490671574</v>
      </c>
      <c r="AZ6" s="11">
        <v>1.733312425802839</v>
      </c>
      <c r="BA6" s="11">
        <v>1.6872970732394004</v>
      </c>
      <c r="BB6" s="11">
        <v>1.1451850514401427</v>
      </c>
      <c r="BC6"/>
    </row>
    <row r="7" spans="1:104" x14ac:dyDescent="0.25">
      <c r="A7" s="1">
        <v>46031</v>
      </c>
      <c r="B7" s="33">
        <v>38.200000000000003</v>
      </c>
      <c r="C7" s="33">
        <v>38.14</v>
      </c>
      <c r="D7" s="15">
        <v>1.8761284864708901E-2</v>
      </c>
      <c r="E7" s="15">
        <v>1.6122987025343399E-2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38.200000000000003</v>
      </c>
      <c r="M7" s="33">
        <v>38.14</v>
      </c>
      <c r="N7" s="34">
        <v>0.99842931937172696</v>
      </c>
      <c r="O7" s="34">
        <v>1.0078468940038601</v>
      </c>
      <c r="R7" s="33">
        <v>38.499751350947797</v>
      </c>
      <c r="U7" s="15">
        <v>9.3881826836703305E-3</v>
      </c>
      <c r="X7" s="34">
        <v>0.99842931937172696</v>
      </c>
      <c r="Y7" s="34">
        <v>1.0078468940038601</v>
      </c>
      <c r="AB7" s="33">
        <v>38.499751350947797</v>
      </c>
      <c r="AE7" s="15">
        <v>9.3881826836703305E-3</v>
      </c>
      <c r="AG7"/>
      <c r="AI7" s="4">
        <f t="shared" si="2"/>
        <v>-1.2500000000000001E-2</v>
      </c>
      <c r="AJ7" s="10">
        <v>0.88753480128993267</v>
      </c>
      <c r="AK7" s="11">
        <v>0.72981728025886017</v>
      </c>
      <c r="AL7" s="11">
        <v>0.53439095548663951</v>
      </c>
      <c r="AM7" s="11">
        <v>1.1300543107824375</v>
      </c>
      <c r="AN7" s="11">
        <v>0.77733393611689561</v>
      </c>
      <c r="AO7" s="11">
        <v>0.71271328046651172</v>
      </c>
      <c r="AP7" s="11">
        <v>0.65661955873761391</v>
      </c>
      <c r="AQ7" s="11">
        <v>0.53861940144863818</v>
      </c>
      <c r="AR7"/>
      <c r="AT7" s="4">
        <f t="shared" si="3"/>
        <v>1.2500000000000001E-2</v>
      </c>
      <c r="AU7" s="10">
        <v>1.543089804161369</v>
      </c>
      <c r="AV7" s="11">
        <v>1.7106693096890908</v>
      </c>
      <c r="AW7" s="11">
        <v>2.8065481382685542</v>
      </c>
      <c r="AX7" s="11">
        <v>2.6839306283180155</v>
      </c>
      <c r="AY7" s="11">
        <v>2.5185928490671574</v>
      </c>
      <c r="AZ7" s="11">
        <v>2.2221792531967961</v>
      </c>
      <c r="BA7" s="11">
        <v>1.6872970732394004</v>
      </c>
      <c r="BB7" s="11">
        <v>1.1451850514401427</v>
      </c>
      <c r="BC7"/>
    </row>
    <row r="8" spans="1:104" x14ac:dyDescent="0.25">
      <c r="A8" s="1">
        <v>46034</v>
      </c>
      <c r="B8" s="33">
        <v>38.79</v>
      </c>
      <c r="C8" s="33">
        <v>38.520000000000003</v>
      </c>
      <c r="D8" s="15">
        <v>1.5326965839346099E-2</v>
      </c>
      <c r="E8" s="15">
        <v>9.91398675765175E-3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38.79</v>
      </c>
      <c r="M8" s="33">
        <v>38.520000000000003</v>
      </c>
      <c r="N8" s="34">
        <v>0.99303944315545201</v>
      </c>
      <c r="O8" s="34">
        <v>1.0078468940038601</v>
      </c>
      <c r="R8" s="33">
        <v>39.094381018410097</v>
      </c>
      <c r="U8" s="15">
        <v>1.4801161765364701E-2</v>
      </c>
      <c r="X8" s="34">
        <v>0.99303944315545201</v>
      </c>
      <c r="Y8" s="34">
        <v>1.0078468940038601</v>
      </c>
      <c r="AB8" s="33">
        <v>39.094381018410097</v>
      </c>
      <c r="AE8" s="15">
        <v>1.4801161765364701E-2</v>
      </c>
      <c r="AG8"/>
      <c r="AI8" s="4">
        <f t="shared" si="2"/>
        <v>-1.5000000000000001E-2</v>
      </c>
      <c r="AJ8" s="10">
        <v>0.88753480128993267</v>
      </c>
      <c r="AK8" s="11">
        <v>0.72981728025886017</v>
      </c>
      <c r="AL8" s="11">
        <v>0.53439095548663951</v>
      </c>
      <c r="AM8" s="11">
        <v>1.1300543107824375</v>
      </c>
      <c r="AN8" s="11">
        <v>0.77733393611689561</v>
      </c>
      <c r="AO8" s="11">
        <v>0.71271328046651172</v>
      </c>
      <c r="AP8" s="11">
        <v>0.63992853127085814</v>
      </c>
      <c r="AQ8" s="11">
        <v>0.5215927544741088</v>
      </c>
      <c r="AR8"/>
      <c r="AT8" s="4">
        <f t="shared" si="3"/>
        <v>1.5000000000000001E-2</v>
      </c>
      <c r="AU8" s="10">
        <v>1.543089804161369</v>
      </c>
      <c r="AV8" s="11">
        <v>1.7106693096890908</v>
      </c>
      <c r="AW8" s="11">
        <v>2.8065481382685542</v>
      </c>
      <c r="AX8" s="11">
        <v>2.6839306283180155</v>
      </c>
      <c r="AY8" s="11">
        <v>2.5185928490671574</v>
      </c>
      <c r="AZ8" s="11">
        <v>2.2221792531967961</v>
      </c>
      <c r="BA8" s="11">
        <v>1.6872970732394004</v>
      </c>
      <c r="BB8" s="11">
        <v>1.1451850514401427</v>
      </c>
      <c r="BC8"/>
    </row>
    <row r="9" spans="1:104" x14ac:dyDescent="0.25">
      <c r="A9" s="1">
        <v>46035</v>
      </c>
      <c r="B9" s="33">
        <v>38.950000000000003</v>
      </c>
      <c r="C9" s="33">
        <v>39.049999999999997</v>
      </c>
      <c r="D9" s="15">
        <v>4.1162908648814901E-3</v>
      </c>
      <c r="E9" s="15">
        <v>1.36652893557699E-2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38.950000000000003</v>
      </c>
      <c r="M9" s="33">
        <v>39.049999999999997</v>
      </c>
      <c r="N9" s="34">
        <v>1.00256739409499</v>
      </c>
      <c r="O9" s="34">
        <v>1.0078468940038601</v>
      </c>
      <c r="R9" s="33">
        <v>39.255636521450697</v>
      </c>
      <c r="U9" s="15">
        <v>5.2521632744761603E-3</v>
      </c>
      <c r="X9" s="34">
        <v>1.00256739409499</v>
      </c>
      <c r="Y9" s="34">
        <v>1.0078468940038601</v>
      </c>
      <c r="AB9" s="33">
        <v>39.255636521450697</v>
      </c>
      <c r="AE9" s="15">
        <v>5.2521632744761603E-3</v>
      </c>
      <c r="AF9"/>
      <c r="AI9" s="4">
        <f t="shared" si="2"/>
        <v>-1.7500000000000002E-2</v>
      </c>
      <c r="AJ9" s="10">
        <v>0.88753480128993267</v>
      </c>
      <c r="AK9" s="11">
        <v>0.72981728025886017</v>
      </c>
      <c r="AL9" s="11">
        <v>0.53439095548663951</v>
      </c>
      <c r="AM9" s="11">
        <v>1.1300543107824375</v>
      </c>
      <c r="AN9" s="11">
        <v>0.77733393611689561</v>
      </c>
      <c r="AO9" s="11">
        <v>0.71271328046651172</v>
      </c>
      <c r="AP9" s="11">
        <v>0.63992853127085814</v>
      </c>
      <c r="AQ9" s="11">
        <v>0.52896066195885272</v>
      </c>
      <c r="AR9"/>
      <c r="AT9" s="4">
        <f t="shared" si="3"/>
        <v>1.7500000000000002E-2</v>
      </c>
      <c r="AU9" s="10">
        <v>1.543089804161369</v>
      </c>
      <c r="AV9" s="10">
        <v>1.7106693096890908</v>
      </c>
      <c r="AW9" s="10">
        <v>2.8065481382685542</v>
      </c>
      <c r="AX9" s="10">
        <v>2.6839306283180155</v>
      </c>
      <c r="AY9" s="10">
        <v>2.5185928490671574</v>
      </c>
      <c r="AZ9" s="10">
        <v>2.2221792531967961</v>
      </c>
      <c r="BA9" s="10">
        <v>1.6872970732394004</v>
      </c>
      <c r="BB9" s="10">
        <v>1.1451850514401427</v>
      </c>
      <c r="BC9"/>
    </row>
    <row r="10" spans="1:104" x14ac:dyDescent="0.25">
      <c r="A10" s="1">
        <v>46036</v>
      </c>
      <c r="B10" s="33">
        <v>38.549999999999997</v>
      </c>
      <c r="C10" s="33">
        <v>38.89</v>
      </c>
      <c r="D10" s="15">
        <v>-1.0322672307418901E-2</v>
      </c>
      <c r="E10" s="15">
        <v>-4.10572811803896E-3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38.549999999999997</v>
      </c>
      <c r="M10" s="33">
        <v>38.89</v>
      </c>
      <c r="N10" s="34">
        <v>1.0088197146562901</v>
      </c>
      <c r="O10" s="34">
        <v>1.0078468940038601</v>
      </c>
      <c r="R10" s="33">
        <v>38.852497763849101</v>
      </c>
      <c r="U10" s="15">
        <v>-9.6478091490363098E-4</v>
      </c>
      <c r="X10" s="34">
        <v>1.0088197146562901</v>
      </c>
      <c r="Y10" s="34">
        <v>1.0078468940038601</v>
      </c>
      <c r="AB10" s="33">
        <v>38.852497763849101</v>
      </c>
      <c r="AE10" s="15">
        <v>-9.6478091490363098E-4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04" x14ac:dyDescent="0.25">
      <c r="A11" s="1">
        <v>46037</v>
      </c>
      <c r="B11" s="33">
        <v>38.51</v>
      </c>
      <c r="C11" s="33">
        <v>38.950000000000003</v>
      </c>
      <c r="D11" s="15">
        <v>-1.03815218252097E-3</v>
      </c>
      <c r="E11" s="15">
        <v>1.5416241491013601E-3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38.51</v>
      </c>
      <c r="M11" s="33">
        <v>38.950000000000003</v>
      </c>
      <c r="N11" s="34">
        <v>1.0114256037392799</v>
      </c>
      <c r="O11" s="34">
        <v>1.0078468940038601</v>
      </c>
      <c r="P11" s="34">
        <v>0.99925500942443901</v>
      </c>
      <c r="R11" s="33">
        <v>38.812183888089002</v>
      </c>
      <c r="U11" s="15">
        <v>-3.5445572465260902E-3</v>
      </c>
      <c r="X11" s="34">
        <v>1.0114256037392799</v>
      </c>
      <c r="Y11" s="34">
        <v>1.0078468940038601</v>
      </c>
      <c r="Z11" s="34">
        <v>0.99925500942443901</v>
      </c>
      <c r="AB11" s="33">
        <v>38.812183888089002</v>
      </c>
      <c r="AE11" s="15">
        <v>-3.5445572465260902E-3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04" x14ac:dyDescent="0.25">
      <c r="A12" s="1">
        <v>46038</v>
      </c>
      <c r="B12" s="33">
        <v>37.5</v>
      </c>
      <c r="C12" s="33">
        <v>38.06</v>
      </c>
      <c r="D12" s="15">
        <v>-2.6577014850452298E-2</v>
      </c>
      <c r="E12" s="15">
        <v>-2.31149104487538E-2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37.5</v>
      </c>
      <c r="M12" s="33">
        <v>38.06</v>
      </c>
      <c r="N12" s="34">
        <v>1.0149333333333299</v>
      </c>
      <c r="O12" s="34">
        <v>1.0078468940038601</v>
      </c>
      <c r="P12" s="34">
        <v>1.0014681655706099</v>
      </c>
      <c r="R12" s="33">
        <v>37.794258525145104</v>
      </c>
      <c r="S12" s="33">
        <v>37.472062853416404</v>
      </c>
      <c r="U12" s="15">
        <v>-7.0066616482245296E-3</v>
      </c>
      <c r="V12" s="15">
        <v>-1.5568197110580899E-2</v>
      </c>
      <c r="X12" s="34">
        <v>1.0149333333333299</v>
      </c>
      <c r="Y12" s="34">
        <v>1.0078468940038601</v>
      </c>
      <c r="Z12" s="34">
        <v>1.0014681655706099</v>
      </c>
      <c r="AB12" s="33">
        <v>37.794258525145104</v>
      </c>
      <c r="AC12" s="33">
        <v>37.472062853416404</v>
      </c>
      <c r="AE12" s="15">
        <v>-7.0066616482245296E-3</v>
      </c>
      <c r="AF12" s="15">
        <v>-1.5568197110580899E-2</v>
      </c>
      <c r="AK12" s="17">
        <v>2.5000000000000001E-3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04" x14ac:dyDescent="0.25">
      <c r="A13" s="1">
        <v>46042</v>
      </c>
      <c r="B13" s="33">
        <v>37.28</v>
      </c>
      <c r="C13" s="33">
        <v>37.69</v>
      </c>
      <c r="D13" s="15">
        <v>-5.8839431589747101E-3</v>
      </c>
      <c r="E13" s="15">
        <v>-9.7690545889595106E-3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37.28</v>
      </c>
      <c r="M13" s="33">
        <v>37.69</v>
      </c>
      <c r="N13" s="34">
        <v>1.01099785407725</v>
      </c>
      <c r="O13" s="34">
        <v>1.0078468940038601</v>
      </c>
      <c r="P13" s="34">
        <v>1.00326875960368</v>
      </c>
      <c r="R13" s="33">
        <v>37.572532208464203</v>
      </c>
      <c r="S13" s="33">
        <v>37.334733212472599</v>
      </c>
      <c r="U13" s="15">
        <v>-3.1215502182397599E-3</v>
      </c>
      <c r="V13" s="15">
        <v>-9.4707285923843094E-3</v>
      </c>
      <c r="X13" s="34">
        <v>1.01099785407725</v>
      </c>
      <c r="Y13" s="34">
        <v>1.0078468940038601</v>
      </c>
      <c r="Z13" s="34">
        <v>1.00326875960368</v>
      </c>
      <c r="AB13" s="33">
        <v>37.572532208464203</v>
      </c>
      <c r="AC13" s="33">
        <v>37.334733212472599</v>
      </c>
      <c r="AE13" s="15">
        <v>-3.1215502182397599E-3</v>
      </c>
      <c r="AF13" s="15">
        <v>-9.4707285923843094E-3</v>
      </c>
    </row>
    <row r="14" spans="1:104" x14ac:dyDescent="0.25">
      <c r="A14" s="1">
        <v>46043</v>
      </c>
      <c r="B14" s="33">
        <v>37.18</v>
      </c>
      <c r="C14" s="33">
        <v>37.68</v>
      </c>
      <c r="D14" s="15">
        <v>-2.68600752409255E-3</v>
      </c>
      <c r="E14" s="15">
        <v>-2.6535757088166602E-4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37.18</v>
      </c>
      <c r="M14" s="33">
        <v>37.68</v>
      </c>
      <c r="N14" s="34">
        <v>1.01344809037116</v>
      </c>
      <c r="O14" s="34">
        <v>1.0078468940038601</v>
      </c>
      <c r="P14" s="34">
        <v>1.00504553408356</v>
      </c>
      <c r="R14" s="33">
        <v>37.471747519063797</v>
      </c>
      <c r="S14" s="33">
        <v>37.3015324820648</v>
      </c>
      <c r="U14" s="15">
        <v>-5.5422001714504404E-3</v>
      </c>
      <c r="V14" s="15">
        <v>-1.0095038592320599E-2</v>
      </c>
      <c r="X14" s="34">
        <v>1.01344809037116</v>
      </c>
      <c r="Y14" s="34">
        <v>1.0078468940038601</v>
      </c>
      <c r="Z14" s="34">
        <v>1.00504553408356</v>
      </c>
      <c r="AB14" s="33">
        <v>37.471747519063797</v>
      </c>
      <c r="AC14" s="33">
        <v>37.3015324820648</v>
      </c>
      <c r="AE14" s="15">
        <v>-5.5422001714504404E-3</v>
      </c>
      <c r="AF14" s="15">
        <v>-1.0095038592320599E-2</v>
      </c>
      <c r="AQ14" s="20">
        <f>AVERAGE(AQ22:AQ186)</f>
        <v>2.2968872802579091E-4</v>
      </c>
      <c r="AR14" s="21" t="s">
        <v>41</v>
      </c>
      <c r="BB14" s="20">
        <f>AVERAGE(BB22:BB186)</f>
        <v>5.8154333034441048E-4</v>
      </c>
      <c r="BC14" s="21" t="s">
        <v>41</v>
      </c>
      <c r="BD14" s="22"/>
      <c r="BE14" s="20">
        <f>AVERAGE(BE22:BE176)</f>
        <v>7.8964957223887609E-4</v>
      </c>
      <c r="BF14" s="21" t="s">
        <v>41</v>
      </c>
    </row>
    <row r="15" spans="1:104" x14ac:dyDescent="0.25">
      <c r="A15" s="1">
        <v>46044</v>
      </c>
      <c r="B15" s="33">
        <v>38.020000000000003</v>
      </c>
      <c r="C15" s="33">
        <v>38.28</v>
      </c>
      <c r="D15" s="15">
        <v>2.2341354766985198E-2</v>
      </c>
      <c r="E15" s="15">
        <v>1.57981168765913E-2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38.020000000000003</v>
      </c>
      <c r="M15" s="33">
        <v>38.28</v>
      </c>
      <c r="N15" s="34">
        <v>1.00683850604944</v>
      </c>
      <c r="O15" s="34">
        <v>1.0078468940038601</v>
      </c>
      <c r="P15" s="34">
        <v>1.0061566210035899</v>
      </c>
      <c r="R15" s="33">
        <v>38.318338910027101</v>
      </c>
      <c r="S15" s="33">
        <v>38.211831205857003</v>
      </c>
      <c r="U15" s="15">
        <v>1.0010377189435999E-3</v>
      </c>
      <c r="V15" s="15">
        <v>-1.78238149395412E-3</v>
      </c>
      <c r="X15" s="34">
        <v>1.00683850604944</v>
      </c>
      <c r="Y15" s="34">
        <v>1.0078468940038601</v>
      </c>
      <c r="Z15" s="34">
        <v>1.0061566210035899</v>
      </c>
      <c r="AB15" s="33">
        <v>38.318338910027101</v>
      </c>
      <c r="AC15" s="33">
        <v>38.211831205857003</v>
      </c>
      <c r="AE15" s="15">
        <v>1.0010377189435999E-3</v>
      </c>
      <c r="AF15" s="15">
        <v>-1.78238149395412E-3</v>
      </c>
      <c r="AQ15" s="20">
        <f>STDEV(AQ22:AQ186)</f>
        <v>6.1832774092018912E-3</v>
      </c>
      <c r="AR15" s="21" t="s">
        <v>42</v>
      </c>
      <c r="BB15" s="20">
        <f>STDEV(BB22:BB186)</f>
        <v>3.2366983528198949E-3</v>
      </c>
      <c r="BC15" s="21" t="s">
        <v>42</v>
      </c>
      <c r="BD15" s="22"/>
      <c r="BE15" s="20">
        <f>STDEV(BE22:BE176)</f>
        <v>6.9723290664557448E-3</v>
      </c>
      <c r="BF15" s="21" t="s">
        <v>42</v>
      </c>
    </row>
    <row r="16" spans="1:104" x14ac:dyDescent="0.25">
      <c r="A16" s="1">
        <v>46045</v>
      </c>
      <c r="B16" s="33">
        <v>37.57</v>
      </c>
      <c r="C16" s="33">
        <v>37.96</v>
      </c>
      <c r="D16" s="15">
        <v>-1.1906477474405701E-2</v>
      </c>
      <c r="E16" s="15">
        <v>-8.3945928430263599E-3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37.57</v>
      </c>
      <c r="M16" s="33">
        <v>37.96</v>
      </c>
      <c r="N16" s="34">
        <v>1.01038062283737</v>
      </c>
      <c r="O16" s="34">
        <v>1.0078468940038601</v>
      </c>
      <c r="P16" s="34">
        <v>1.0070879881686301</v>
      </c>
      <c r="R16" s="33">
        <v>37.864807807725299</v>
      </c>
      <c r="S16" s="33">
        <v>37.801304251105002</v>
      </c>
      <c r="U16" s="15">
        <v>-2.51084691243575E-3</v>
      </c>
      <c r="V16" s="15">
        <v>-4.1893677139471603E-3</v>
      </c>
      <c r="X16" s="34">
        <v>1.01038062283737</v>
      </c>
      <c r="Y16" s="34">
        <v>1.0078468940038601</v>
      </c>
      <c r="Z16" s="34">
        <v>1.0070879881686301</v>
      </c>
      <c r="AB16" s="33">
        <v>37.864807807725299</v>
      </c>
      <c r="AC16" s="33">
        <v>37.801304251105002</v>
      </c>
      <c r="AE16" s="15">
        <v>-2.51084691243575E-3</v>
      </c>
      <c r="AF16" s="15">
        <v>-4.1893677139471603E-3</v>
      </c>
      <c r="AQ16" s="23">
        <f>SQRT(252)*AQ14/AQ15</f>
        <v>0.58968654947289534</v>
      </c>
      <c r="AR16" s="21" t="s">
        <v>43</v>
      </c>
      <c r="BB16" s="23">
        <f>SQRT(252)*BB14/BB15</f>
        <v>2.8522009671227622</v>
      </c>
      <c r="BC16" s="21" t="s">
        <v>43</v>
      </c>
      <c r="BD16" s="22"/>
      <c r="BE16" s="23">
        <f>SQRT(252)*BE14/BE15</f>
        <v>1.7978638453115476</v>
      </c>
      <c r="BF16" s="21" t="s">
        <v>43</v>
      </c>
    </row>
    <row r="17" spans="1:60" x14ac:dyDescent="0.25">
      <c r="A17" s="1">
        <v>46048</v>
      </c>
      <c r="B17" s="33">
        <v>36.880000000000003</v>
      </c>
      <c r="C17" s="33">
        <v>37.21</v>
      </c>
      <c r="D17" s="15">
        <v>-1.85364608974844E-2</v>
      </c>
      <c r="E17" s="15">
        <v>-1.9955431383195998E-2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36.880000000000003</v>
      </c>
      <c r="M17" s="33">
        <v>37.21</v>
      </c>
      <c r="N17" s="34">
        <v>1.0089479392624701</v>
      </c>
      <c r="O17" s="34">
        <v>1.0078468940038601</v>
      </c>
      <c r="P17" s="34">
        <v>1.0081398501576999</v>
      </c>
      <c r="R17" s="33">
        <v>37.1693934508627</v>
      </c>
      <c r="S17" s="33">
        <v>37.141405003659102</v>
      </c>
      <c r="U17" s="15">
        <v>-1.0918764267242101E-3</v>
      </c>
      <c r="V17" s="15">
        <v>-1.8451572179173301E-3</v>
      </c>
      <c r="X17" s="34">
        <v>1.0089479392624701</v>
      </c>
      <c r="Y17" s="34">
        <v>1.0078468940038601</v>
      </c>
      <c r="Z17" s="34">
        <v>1.0081398501576999</v>
      </c>
      <c r="AB17" s="33">
        <v>37.1693934508627</v>
      </c>
      <c r="AC17" s="33">
        <v>37.141405003659102</v>
      </c>
      <c r="AE17" s="15">
        <v>-1.0918764267242101E-3</v>
      </c>
      <c r="AF17" s="15">
        <v>-1.8451572179173301E-3</v>
      </c>
    </row>
    <row r="18" spans="1:60" x14ac:dyDescent="0.25">
      <c r="A18" s="1">
        <v>46049</v>
      </c>
      <c r="B18" s="33">
        <v>36.450000000000003</v>
      </c>
      <c r="C18" s="33">
        <v>36.85</v>
      </c>
      <c r="D18" s="15">
        <v>-1.1727940233725901E-2</v>
      </c>
      <c r="E18" s="15">
        <v>-9.7219237231854598E-3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36.450000000000003</v>
      </c>
      <c r="M18" s="33">
        <v>36.85</v>
      </c>
      <c r="N18" s="34">
        <v>1.01097393689986</v>
      </c>
      <c r="O18" s="34">
        <v>1.0078468940038601</v>
      </c>
      <c r="P18" s="34">
        <v>1.0099332995321399</v>
      </c>
      <c r="R18" s="33">
        <v>36.736019286441</v>
      </c>
      <c r="S18" s="33">
        <v>36.746697538248398</v>
      </c>
      <c r="U18" s="15">
        <v>-3.0978929372646102E-3</v>
      </c>
      <c r="V18" s="15">
        <v>-2.8072599192174499E-3</v>
      </c>
      <c r="X18" s="34">
        <v>1.01097393689986</v>
      </c>
      <c r="Y18" s="34">
        <v>1.0078468940038601</v>
      </c>
      <c r="Z18" s="34">
        <v>1.0099332995321399</v>
      </c>
      <c r="AB18" s="33">
        <v>36.736019286441</v>
      </c>
      <c r="AC18" s="33">
        <v>36.746697538248398</v>
      </c>
      <c r="AE18" s="15">
        <v>-3.0978929372646102E-3</v>
      </c>
      <c r="AF18" s="15">
        <v>-2.8072599192174499E-3</v>
      </c>
      <c r="BE18" s="24">
        <f>SUM(BE22:BE186)</f>
        <v>0.13385328963108326</v>
      </c>
      <c r="BF18" s="20">
        <f>BF186</f>
        <v>0.13385328963108326</v>
      </c>
    </row>
    <row r="19" spans="1:60" x14ac:dyDescent="0.25">
      <c r="A19" s="1">
        <v>46050</v>
      </c>
      <c r="B19" s="33">
        <v>36.25</v>
      </c>
      <c r="C19" s="33">
        <v>36.5</v>
      </c>
      <c r="D19" s="15">
        <v>-5.5020771539834199E-3</v>
      </c>
      <c r="E19" s="15">
        <v>-9.5433580468998504E-3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36.25</v>
      </c>
      <c r="M19" s="33">
        <v>36.5</v>
      </c>
      <c r="N19" s="34">
        <v>1.00689655172413</v>
      </c>
      <c r="O19" s="34">
        <v>1.0078468940038601</v>
      </c>
      <c r="P19" s="34">
        <v>1.0103662152950601</v>
      </c>
      <c r="R19" s="33">
        <v>36.534449907640202</v>
      </c>
      <c r="S19" s="33">
        <v>36.610082108040302</v>
      </c>
      <c r="U19" s="15">
        <v>9.4338795565165195E-4</v>
      </c>
      <c r="V19" s="15">
        <v>3.0114093174848102E-3</v>
      </c>
      <c r="X19" s="34">
        <v>1.00689655172413</v>
      </c>
      <c r="Y19" s="34">
        <v>1.0078468940038601</v>
      </c>
      <c r="Z19" s="34">
        <v>1.0103662152950601</v>
      </c>
      <c r="AB19" s="33">
        <v>36.534449907640202</v>
      </c>
      <c r="AC19" s="33">
        <v>36.610082108040302</v>
      </c>
      <c r="AE19" s="15">
        <v>9.4338795565165195E-4</v>
      </c>
      <c r="AF19" s="15">
        <v>3.0114093174848102E-3</v>
      </c>
      <c r="AI19" s="12"/>
      <c r="AJ19"/>
      <c r="AK19"/>
      <c r="AL19"/>
      <c r="AM19"/>
      <c r="AN19"/>
      <c r="AO19"/>
      <c r="AP19"/>
      <c r="AQ19" s="24">
        <f>SUM(AQ22:AQ186)</f>
        <v>3.7898640124255499E-2</v>
      </c>
      <c r="AR19" s="24">
        <f>AR186</f>
        <v>3.7898640124255499E-2</v>
      </c>
      <c r="AU19"/>
      <c r="AV19"/>
      <c r="AW19"/>
      <c r="AX19"/>
      <c r="AY19"/>
      <c r="AZ19"/>
      <c r="BA19"/>
      <c r="BB19" s="24">
        <f>SUM(BB22:BB186)</f>
        <v>9.5954649506827736E-2</v>
      </c>
      <c r="BC19" s="24">
        <f>BC186</f>
        <v>9.5954649506827736E-2</v>
      </c>
      <c r="BE19" s="7" t="s">
        <v>44</v>
      </c>
      <c r="BF19" s="7" t="s">
        <v>44</v>
      </c>
      <c r="BH19" s="7"/>
    </row>
    <row r="20" spans="1:60" x14ac:dyDescent="0.25">
      <c r="A20" s="1">
        <v>46051</v>
      </c>
      <c r="B20" s="33">
        <v>37.159999999999997</v>
      </c>
      <c r="C20" s="33">
        <v>37.75</v>
      </c>
      <c r="D20" s="15">
        <v>2.4793532644954E-2</v>
      </c>
      <c r="E20" s="15">
        <v>3.36732151065878E-2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37.159999999999997</v>
      </c>
      <c r="M20" s="33">
        <v>37.75</v>
      </c>
      <c r="N20" s="34">
        <v>1.01587728740581</v>
      </c>
      <c r="O20" s="34">
        <v>1.0078468940038601</v>
      </c>
      <c r="P20" s="34">
        <v>1.0110719725700099</v>
      </c>
      <c r="R20" s="33">
        <v>37.451590581183801</v>
      </c>
      <c r="S20" s="33">
        <v>37.5452085603645</v>
      </c>
      <c r="U20" s="15">
        <v>-7.9362945059821E-3</v>
      </c>
      <c r="V20" s="15">
        <v>-5.4397072148271398E-3</v>
      </c>
      <c r="X20" s="34">
        <v>1.01587728740581</v>
      </c>
      <c r="Y20" s="34">
        <v>1.0078468940038601</v>
      </c>
      <c r="Z20" s="34">
        <v>1.0110719725700099</v>
      </c>
      <c r="AB20" s="33">
        <v>37.451590581183801</v>
      </c>
      <c r="AC20" s="33">
        <v>37.5452085603645</v>
      </c>
      <c r="AE20" s="15">
        <v>-7.9362945059821E-3</v>
      </c>
      <c r="AF20" s="15">
        <v>-5.4397072148271398E-3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GLIBK log rtn</v>
      </c>
      <c r="AP20" s="7" t="str">
        <f>E1</f>
        <v>GLIBA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GLIBK log rtn</v>
      </c>
      <c r="BA20" s="24" t="str">
        <f>E1</f>
        <v>GLIBA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60" x14ac:dyDescent="0.25">
      <c r="A21" s="1">
        <v>46052</v>
      </c>
      <c r="B21" s="33">
        <v>36.99</v>
      </c>
      <c r="C21" s="33">
        <v>37.47</v>
      </c>
      <c r="D21" s="15">
        <v>-4.5853081012750003E-3</v>
      </c>
      <c r="E21" s="15">
        <v>-7.4448628894376798E-3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36.99</v>
      </c>
      <c r="M21" s="33">
        <v>37.47</v>
      </c>
      <c r="N21" s="34">
        <v>1.01297648012976</v>
      </c>
      <c r="O21" s="34">
        <v>1.0078468940038601</v>
      </c>
      <c r="P21" s="34">
        <v>1.0112270602090601</v>
      </c>
      <c r="Q21" s="34">
        <v>1.00524103481675</v>
      </c>
      <c r="R21" s="33">
        <v>37.2802566092031</v>
      </c>
      <c r="S21" s="33">
        <v>37.399552265364797</v>
      </c>
      <c r="U21" s="15">
        <v>-5.0767397178194101E-3</v>
      </c>
      <c r="V21" s="15">
        <v>-1.88187997107795E-3</v>
      </c>
      <c r="X21" s="34">
        <v>1.01297648012976</v>
      </c>
      <c r="Y21" s="34">
        <v>1.0078468940038601</v>
      </c>
      <c r="Z21" s="34">
        <v>1.0112270602090601</v>
      </c>
      <c r="AA21" s="34">
        <v>1.00524103481675</v>
      </c>
      <c r="AB21" s="33">
        <v>37.2802566092031</v>
      </c>
      <c r="AC21" s="33">
        <v>37.399552265364797</v>
      </c>
      <c r="AE21" s="15">
        <v>-5.0767397178194101E-3</v>
      </c>
      <c r="AF21" s="15">
        <v>-1.88187997107795E-3</v>
      </c>
      <c r="AI21" s="26">
        <v>-0.02</v>
      </c>
      <c r="AJ21"/>
      <c r="AK21"/>
      <c r="AL21"/>
      <c r="AM21">
        <f>IF(F22+H22&gt;0,0,1)</f>
        <v>1</v>
      </c>
      <c r="AN21" s="27">
        <v>0</v>
      </c>
      <c r="AO21"/>
      <c r="AP21"/>
      <c r="AQ21"/>
      <c r="AR21"/>
      <c r="AT21" s="26">
        <v>0.01</v>
      </c>
      <c r="AU21"/>
      <c r="AV21"/>
      <c r="AW21"/>
      <c r="AX21">
        <f>IF(F22+H22&gt;0,0,1)</f>
        <v>1</v>
      </c>
      <c r="AY21" s="27">
        <v>0</v>
      </c>
      <c r="AZ21"/>
      <c r="BA21"/>
      <c r="BB21"/>
      <c r="BC21"/>
    </row>
    <row r="22" spans="1:60" x14ac:dyDescent="0.25">
      <c r="A22" s="1">
        <v>46055</v>
      </c>
      <c r="B22" s="33">
        <v>37.340000000000003</v>
      </c>
      <c r="C22" s="33">
        <v>37.6</v>
      </c>
      <c r="D22" s="15">
        <v>9.4175322692139803E-3</v>
      </c>
      <c r="E22" s="15">
        <v>3.4634375902529001E-3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37.340000000000003</v>
      </c>
      <c r="M22" s="33">
        <v>37.6</v>
      </c>
      <c r="N22" s="34">
        <v>1.00696304231387</v>
      </c>
      <c r="O22" s="34">
        <v>1.0078468940038601</v>
      </c>
      <c r="P22" s="34">
        <v>1.0104300311071099</v>
      </c>
      <c r="Q22" s="34">
        <v>1.0059490983388599</v>
      </c>
      <c r="R22" s="33">
        <v>37.633003022104504</v>
      </c>
      <c r="S22" s="33">
        <v>37.759218428206303</v>
      </c>
      <c r="T22" s="33">
        <v>37.535700240057402</v>
      </c>
      <c r="U22" s="15">
        <v>8.7735496114164501E-4</v>
      </c>
      <c r="V22" s="15">
        <v>4.2255922616847201E-3</v>
      </c>
      <c r="W22" s="15">
        <v>-1.71156388864432E-3</v>
      </c>
      <c r="X22" s="34">
        <v>1.00696304231387</v>
      </c>
      <c r="Y22" s="34">
        <v>1.0078468940038601</v>
      </c>
      <c r="Z22" s="34">
        <v>1.0104300311071099</v>
      </c>
      <c r="AA22" s="34">
        <v>1.0059490983388599</v>
      </c>
      <c r="AB22" s="33">
        <v>37.633003022104504</v>
      </c>
      <c r="AC22" s="33">
        <v>37.759218428206303</v>
      </c>
      <c r="AD22" s="33">
        <v>37.535700240057402</v>
      </c>
      <c r="AE22" s="15">
        <v>8.7735496114164501E-4</v>
      </c>
      <c r="AF22" s="15">
        <v>4.2255922616847201E-3</v>
      </c>
      <c r="AG22" s="15">
        <v>-1.71156388864432E-3</v>
      </c>
      <c r="AI22" s="26">
        <v>-0.01</v>
      </c>
      <c r="AJ22">
        <f t="shared" ref="AJ22:AJ85" si="4">IF($AG22&lt;AI$21,1,0)</f>
        <v>0</v>
      </c>
      <c r="AK22">
        <f t="shared" ref="AK22:AK85" si="5">IF($AG22&gt;AI$22,1,0)</f>
        <v>1</v>
      </c>
      <c r="AL22">
        <f>AN21</f>
        <v>0</v>
      </c>
      <c r="AM22">
        <f t="shared" ref="AM22:AM85" si="6">IF(F23+H23&gt;0,0,1)</f>
        <v>1</v>
      </c>
      <c r="AN22">
        <f>IF(AJ21,1,IF(AK21,0,AL21))*AM21</f>
        <v>0</v>
      </c>
      <c r="AO22" s="28">
        <f t="shared" ref="AO22:AO85" si="7">AN22*D22</f>
        <v>0</v>
      </c>
      <c r="AP22" s="28">
        <f t="shared" ref="AP22:AP85" si="8">-AN22*$E22</f>
        <v>0</v>
      </c>
      <c r="AQ22" s="28">
        <f>AO22+AP22</f>
        <v>0</v>
      </c>
      <c r="AR22" s="29">
        <f>AR21+AQ22</f>
        <v>0</v>
      </c>
      <c r="AT22" s="26">
        <v>5.0000000000000001E-3</v>
      </c>
      <c r="AU22">
        <f t="shared" ref="AU22:AU85" si="9">IF($AG22&gt;AT$21,1,0)</f>
        <v>0</v>
      </c>
      <c r="AV22">
        <f t="shared" ref="AV22:AV85" si="10">IF($AG22&lt;AT$22,1,0)</f>
        <v>1</v>
      </c>
      <c r="AW22">
        <f>AY21</f>
        <v>0</v>
      </c>
      <c r="AX22">
        <f t="shared" ref="AX22:AX85" si="11">IF(F23+H23&gt;0,0,1)</f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60" x14ac:dyDescent="0.25">
      <c r="A23" s="1">
        <v>46056</v>
      </c>
      <c r="B23" s="33">
        <v>38.17</v>
      </c>
      <c r="C23" s="33">
        <v>38.729999999999997</v>
      </c>
      <c r="D23" s="15">
        <v>2.19847286435618E-2</v>
      </c>
      <c r="E23" s="15">
        <v>2.9610443130811799E-2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38.17</v>
      </c>
      <c r="M23" s="33">
        <v>38.729999999999997</v>
      </c>
      <c r="N23" s="34">
        <v>1.0146712077547799</v>
      </c>
      <c r="O23" s="34">
        <v>1.0078468940038601</v>
      </c>
      <c r="P23" s="34">
        <v>1.01079736647486</v>
      </c>
      <c r="Q23" s="34">
        <v>1.0070330630392701</v>
      </c>
      <c r="R23" s="33">
        <v>38.4695159441277</v>
      </c>
      <c r="S23" s="33">
        <v>38.568114287358597</v>
      </c>
      <c r="T23" s="33">
        <v>38.397077083594503</v>
      </c>
      <c r="U23" s="15">
        <v>-6.7483595261084899E-3</v>
      </c>
      <c r="V23" s="15">
        <v>-4.1886131587343797E-3</v>
      </c>
      <c r="W23" s="15">
        <v>-8.6331544447968301E-3</v>
      </c>
      <c r="X23" s="34">
        <v>1.0146712077547799</v>
      </c>
      <c r="Y23" s="34">
        <v>1.0078468940038601</v>
      </c>
      <c r="Z23" s="34">
        <v>1.01079736647486</v>
      </c>
      <c r="AA23" s="34">
        <v>1.0070330630392701</v>
      </c>
      <c r="AB23" s="33">
        <v>38.4695159441277</v>
      </c>
      <c r="AC23" s="33">
        <v>38.568114287358597</v>
      </c>
      <c r="AD23" s="33">
        <v>38.397077083594503</v>
      </c>
      <c r="AE23" s="15">
        <v>-6.7483595261084899E-3</v>
      </c>
      <c r="AF23" s="15">
        <v>-4.1886131587343797E-3</v>
      </c>
      <c r="AG23" s="15">
        <v>-8.6331544447968301E-3</v>
      </c>
      <c r="AI23" s="12"/>
      <c r="AJ23">
        <f t="shared" si="4"/>
        <v>0</v>
      </c>
      <c r="AK23">
        <f t="shared" si="5"/>
        <v>1</v>
      </c>
      <c r="AL23">
        <f t="shared" ref="AL23:AL86" si="14">AN23</f>
        <v>0</v>
      </c>
      <c r="AM23">
        <f t="shared" si="6"/>
        <v>1</v>
      </c>
      <c r="AN23">
        <f t="shared" ref="AN23:AN86" si="15">IF(AJ22,1,IF(AK22,0,AL22))*AM22</f>
        <v>0</v>
      </c>
      <c r="AO23" s="28">
        <f t="shared" si="7"/>
        <v>0</v>
      </c>
      <c r="AP23" s="28">
        <f t="shared" si="8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9"/>
        <v>0</v>
      </c>
      <c r="AV23">
        <f t="shared" si="10"/>
        <v>1</v>
      </c>
      <c r="AW23">
        <f t="shared" ref="AW23:AW86" si="18">AY23</f>
        <v>0</v>
      </c>
      <c r="AX23">
        <f t="shared" si="11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60" x14ac:dyDescent="0.25">
      <c r="A24" s="1">
        <v>46057</v>
      </c>
      <c r="B24" s="33">
        <v>39.1</v>
      </c>
      <c r="C24" s="33">
        <v>39.56</v>
      </c>
      <c r="D24" s="15">
        <v>2.4072600234181601E-2</v>
      </c>
      <c r="E24" s="15">
        <v>2.12040132278506E-2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39.1</v>
      </c>
      <c r="M24" s="33">
        <v>39.56</v>
      </c>
      <c r="N24" s="34">
        <v>1.01176470588235</v>
      </c>
      <c r="O24" s="34">
        <v>1.0078468940038601</v>
      </c>
      <c r="P24" s="34">
        <v>1.01062902802598</v>
      </c>
      <c r="Q24" s="34">
        <v>1.00783728105477</v>
      </c>
      <c r="R24" s="33">
        <v>39.406813555551302</v>
      </c>
      <c r="S24" s="33">
        <v>39.522177029167302</v>
      </c>
      <c r="T24" s="33">
        <v>39.374992764835604</v>
      </c>
      <c r="U24" s="15">
        <v>-3.8797725197775501E-3</v>
      </c>
      <c r="V24" s="15">
        <v>-9.5654862163531396E-4</v>
      </c>
      <c r="W24" s="15">
        <v>-4.6875933589367704E-3</v>
      </c>
      <c r="X24" s="34">
        <v>1.01176470588235</v>
      </c>
      <c r="Y24" s="34">
        <v>1.0078468940038601</v>
      </c>
      <c r="Z24" s="34">
        <v>1.01062902802598</v>
      </c>
      <c r="AA24" s="34">
        <v>1.00783728105477</v>
      </c>
      <c r="AB24" s="33">
        <v>39.406813555551302</v>
      </c>
      <c r="AC24" s="33">
        <v>39.522177029167302</v>
      </c>
      <c r="AD24" s="33">
        <v>39.374992764835604</v>
      </c>
      <c r="AE24" s="15">
        <v>-3.8797725197775501E-3</v>
      </c>
      <c r="AF24" s="15">
        <v>-9.5654862163531396E-4</v>
      </c>
      <c r="AG24" s="15">
        <v>-4.6875933589367704E-3</v>
      </c>
      <c r="AI24" s="12"/>
      <c r="AJ24">
        <f t="shared" si="4"/>
        <v>0</v>
      </c>
      <c r="AK24">
        <f t="shared" si="5"/>
        <v>1</v>
      </c>
      <c r="AL24">
        <f t="shared" si="14"/>
        <v>0</v>
      </c>
      <c r="AM24">
        <f t="shared" si="6"/>
        <v>1</v>
      </c>
      <c r="AN24">
        <f t="shared" si="15"/>
        <v>0</v>
      </c>
      <c r="AO24" s="28">
        <f t="shared" si="7"/>
        <v>0</v>
      </c>
      <c r="AP24" s="28">
        <f t="shared" si="8"/>
        <v>0</v>
      </c>
      <c r="AQ24" s="28">
        <f t="shared" si="16"/>
        <v>0</v>
      </c>
      <c r="AR24" s="29">
        <f t="shared" si="17"/>
        <v>0</v>
      </c>
      <c r="AT24" s="12"/>
      <c r="AU24">
        <f t="shared" si="9"/>
        <v>0</v>
      </c>
      <c r="AV24">
        <f t="shared" si="10"/>
        <v>1</v>
      </c>
      <c r="AW24">
        <f t="shared" si="18"/>
        <v>0</v>
      </c>
      <c r="AX24">
        <f t="shared" si="11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60" x14ac:dyDescent="0.25">
      <c r="A25" s="1">
        <v>46058</v>
      </c>
      <c r="B25" s="33">
        <v>38.799999999999997</v>
      </c>
      <c r="C25" s="33">
        <v>38.979999999999997</v>
      </c>
      <c r="D25" s="15">
        <v>-7.7022203620924603E-3</v>
      </c>
      <c r="E25" s="15">
        <v>-1.4769812675096699E-2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38.799999999999997</v>
      </c>
      <c r="M25" s="33">
        <v>38.979999999999997</v>
      </c>
      <c r="N25" s="34">
        <v>1.0046391752577299</v>
      </c>
      <c r="O25" s="34">
        <v>1.0078468940038601</v>
      </c>
      <c r="P25" s="34">
        <v>1.0104090949468101</v>
      </c>
      <c r="Q25" s="34">
        <v>1.0082828579751999</v>
      </c>
      <c r="R25" s="33">
        <v>39.104459487350098</v>
      </c>
      <c r="S25" s="33">
        <v>39.212406287408299</v>
      </c>
      <c r="T25" s="33">
        <v>39.104086504925199</v>
      </c>
      <c r="U25" s="15">
        <v>3.1878197932268199E-3</v>
      </c>
      <c r="V25" s="15">
        <v>5.94448956926159E-3</v>
      </c>
      <c r="W25" s="15">
        <v>3.17828164313978E-3</v>
      </c>
      <c r="X25" s="34">
        <v>1.0046391752577299</v>
      </c>
      <c r="Y25" s="34">
        <v>1.0078468940038601</v>
      </c>
      <c r="Z25" s="34">
        <v>1.0104090949468101</v>
      </c>
      <c r="AA25" s="34">
        <v>1.0082828579751999</v>
      </c>
      <c r="AB25" s="33">
        <v>39.104459487350098</v>
      </c>
      <c r="AC25" s="33">
        <v>39.212406287408299</v>
      </c>
      <c r="AD25" s="33">
        <v>39.104086504925199</v>
      </c>
      <c r="AE25" s="15">
        <v>3.1878197932268199E-3</v>
      </c>
      <c r="AF25" s="15">
        <v>5.94448956926159E-3</v>
      </c>
      <c r="AG25" s="15">
        <v>3.17828164313978E-3</v>
      </c>
      <c r="AI25" s="12"/>
      <c r="AJ25">
        <f t="shared" si="4"/>
        <v>0</v>
      </c>
      <c r="AK25">
        <f t="shared" si="5"/>
        <v>1</v>
      </c>
      <c r="AL25">
        <f t="shared" si="14"/>
        <v>0</v>
      </c>
      <c r="AM25">
        <f t="shared" si="6"/>
        <v>1</v>
      </c>
      <c r="AN25">
        <f t="shared" si="15"/>
        <v>0</v>
      </c>
      <c r="AO25" s="28">
        <f t="shared" si="7"/>
        <v>0</v>
      </c>
      <c r="AP25" s="28">
        <f t="shared" si="8"/>
        <v>0</v>
      </c>
      <c r="AQ25" s="28">
        <f t="shared" si="16"/>
        <v>0</v>
      </c>
      <c r="AR25" s="29">
        <f t="shared" si="17"/>
        <v>0</v>
      </c>
      <c r="AT25" s="12"/>
      <c r="AU25">
        <f t="shared" si="9"/>
        <v>0</v>
      </c>
      <c r="AV25">
        <f t="shared" si="10"/>
        <v>1</v>
      </c>
      <c r="AW25">
        <f t="shared" si="18"/>
        <v>0</v>
      </c>
      <c r="AX25">
        <f t="shared" si="11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</row>
    <row r="26" spans="1:60" x14ac:dyDescent="0.25">
      <c r="A26" s="1">
        <v>46059</v>
      </c>
      <c r="B26" s="33">
        <v>39.090000000000003</v>
      </c>
      <c r="C26" s="33">
        <v>39.22</v>
      </c>
      <c r="D26" s="15">
        <v>7.4464331756358701E-3</v>
      </c>
      <c r="E26" s="15">
        <v>6.1381266887854799E-3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39.090000000000003</v>
      </c>
      <c r="M26" s="33">
        <v>39.22</v>
      </c>
      <c r="N26" s="34">
        <v>1.00332565873624</v>
      </c>
      <c r="O26" s="34">
        <v>1.0078468940038601</v>
      </c>
      <c r="P26" s="34">
        <v>1.0097035985367</v>
      </c>
      <c r="Q26" s="34">
        <v>1.0083957933526599</v>
      </c>
      <c r="R26" s="33">
        <v>39.396735086611201</v>
      </c>
      <c r="S26" s="33">
        <v>39.496891521470999</v>
      </c>
      <c r="T26" s="33">
        <v>39.413776918250697</v>
      </c>
      <c r="U26" s="15">
        <v>4.4961262800770696E-3</v>
      </c>
      <c r="V26" s="15">
        <v>7.03515238324903E-3</v>
      </c>
      <c r="W26" s="15">
        <v>4.9286023919962799E-3</v>
      </c>
      <c r="X26" s="34">
        <v>1.00332565873624</v>
      </c>
      <c r="Y26" s="34">
        <v>1.0078468940038601</v>
      </c>
      <c r="Z26" s="34">
        <v>1.0097035985367</v>
      </c>
      <c r="AA26" s="34">
        <v>1.0083957933526599</v>
      </c>
      <c r="AB26" s="33">
        <v>39.396735086611201</v>
      </c>
      <c r="AC26" s="33">
        <v>39.496891521470999</v>
      </c>
      <c r="AD26" s="33">
        <v>39.413776918250697</v>
      </c>
      <c r="AE26" s="15">
        <v>4.4961262800770696E-3</v>
      </c>
      <c r="AF26" s="15">
        <v>7.03515238324903E-3</v>
      </c>
      <c r="AG26" s="15">
        <v>4.9286023919962799E-3</v>
      </c>
      <c r="AI26" s="12"/>
      <c r="AJ26">
        <f t="shared" si="4"/>
        <v>0</v>
      </c>
      <c r="AK26">
        <f t="shared" si="5"/>
        <v>1</v>
      </c>
      <c r="AL26">
        <f t="shared" si="14"/>
        <v>0</v>
      </c>
      <c r="AM26">
        <f t="shared" si="6"/>
        <v>1</v>
      </c>
      <c r="AN26">
        <f t="shared" si="15"/>
        <v>0</v>
      </c>
      <c r="AO26" s="28">
        <f t="shared" si="7"/>
        <v>0</v>
      </c>
      <c r="AP26" s="28">
        <f t="shared" si="8"/>
        <v>0</v>
      </c>
      <c r="AQ26" s="28">
        <f t="shared" si="16"/>
        <v>0</v>
      </c>
      <c r="AR26" s="29">
        <f t="shared" si="17"/>
        <v>0</v>
      </c>
      <c r="AT26" s="12"/>
      <c r="AU26">
        <f t="shared" si="9"/>
        <v>0</v>
      </c>
      <c r="AV26">
        <f t="shared" si="10"/>
        <v>1</v>
      </c>
      <c r="AW26">
        <f t="shared" si="18"/>
        <v>0</v>
      </c>
      <c r="AX26">
        <f t="shared" si="11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</row>
    <row r="27" spans="1:60" x14ac:dyDescent="0.25">
      <c r="A27" s="1">
        <v>46062</v>
      </c>
      <c r="B27" s="33">
        <v>38.979999999999997</v>
      </c>
      <c r="C27" s="33">
        <v>39.03</v>
      </c>
      <c r="D27" s="15">
        <v>-2.81798572544889E-3</v>
      </c>
      <c r="E27" s="15">
        <v>-4.8562395756765299E-3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38.979999999999997</v>
      </c>
      <c r="M27" s="33">
        <v>39.03</v>
      </c>
      <c r="N27" s="34">
        <v>1.0012827090815799</v>
      </c>
      <c r="O27" s="34">
        <v>1.0078468940038601</v>
      </c>
      <c r="P27" s="34">
        <v>1.00893707551861</v>
      </c>
      <c r="Q27" s="34">
        <v>1.00853846283816</v>
      </c>
      <c r="R27" s="33">
        <v>39.285871928270801</v>
      </c>
      <c r="S27" s="33">
        <v>39.358246270960699</v>
      </c>
      <c r="T27" s="33">
        <v>39.307268024887001</v>
      </c>
      <c r="U27" s="15">
        <v>6.5343801303048097E-3</v>
      </c>
      <c r="V27" s="15">
        <v>8.3749338749099199E-3</v>
      </c>
      <c r="W27" s="15">
        <v>7.07885760397476E-3</v>
      </c>
      <c r="X27" s="34">
        <v>1.0012827090815799</v>
      </c>
      <c r="Y27" s="34">
        <v>1.0078468940038601</v>
      </c>
      <c r="Z27" s="34">
        <v>1.00893707551861</v>
      </c>
      <c r="AA27" s="34">
        <v>1.00853846283816</v>
      </c>
      <c r="AB27" s="33">
        <v>39.285871928270801</v>
      </c>
      <c r="AC27" s="33">
        <v>39.358246270960699</v>
      </c>
      <c r="AD27" s="33">
        <v>39.307268024887001</v>
      </c>
      <c r="AE27" s="15">
        <v>6.5343801303048097E-3</v>
      </c>
      <c r="AF27" s="15">
        <v>8.3749338749099199E-3</v>
      </c>
      <c r="AG27" s="15">
        <v>7.07885760397476E-3</v>
      </c>
      <c r="AI27" s="12"/>
      <c r="AJ27">
        <f t="shared" si="4"/>
        <v>0</v>
      </c>
      <c r="AK27">
        <f t="shared" si="5"/>
        <v>1</v>
      </c>
      <c r="AL27">
        <f t="shared" si="14"/>
        <v>0</v>
      </c>
      <c r="AM27">
        <f t="shared" si="6"/>
        <v>1</v>
      </c>
      <c r="AN27">
        <f t="shared" si="15"/>
        <v>0</v>
      </c>
      <c r="AO27" s="28">
        <f t="shared" si="7"/>
        <v>0</v>
      </c>
      <c r="AP27" s="28">
        <f t="shared" si="8"/>
        <v>0</v>
      </c>
      <c r="AQ27" s="28">
        <f t="shared" si="16"/>
        <v>0</v>
      </c>
      <c r="AR27" s="29">
        <f t="shared" si="17"/>
        <v>0</v>
      </c>
      <c r="AT27" s="12"/>
      <c r="AU27">
        <f t="shared" si="9"/>
        <v>0</v>
      </c>
      <c r="AV27">
        <f t="shared" si="10"/>
        <v>0</v>
      </c>
      <c r="AW27">
        <f t="shared" si="18"/>
        <v>0</v>
      </c>
      <c r="AX27">
        <f t="shared" si="11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</row>
    <row r="28" spans="1:60" x14ac:dyDescent="0.25">
      <c r="A28" s="1">
        <v>46063</v>
      </c>
      <c r="B28" s="33">
        <v>39.9</v>
      </c>
      <c r="C28" s="33">
        <v>40.229999999999997</v>
      </c>
      <c r="D28" s="15">
        <v>2.3327629816403E-2</v>
      </c>
      <c r="E28" s="15">
        <v>3.0282404769173099E-2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39.9</v>
      </c>
      <c r="M28" s="33">
        <v>40.229999999999997</v>
      </c>
      <c r="N28" s="34">
        <v>1.00827067669172</v>
      </c>
      <c r="O28" s="34">
        <v>1.0078468940038601</v>
      </c>
      <c r="P28" s="34">
        <v>1.0086667494978001</v>
      </c>
      <c r="Q28" s="34">
        <v>1.0093000245149699</v>
      </c>
      <c r="R28" s="33">
        <v>40.213091070754402</v>
      </c>
      <c r="S28" s="33">
        <v>40.256589313192698</v>
      </c>
      <c r="T28" s="33">
        <v>40.240684667242597</v>
      </c>
      <c r="U28" s="15">
        <v>-4.2039482246524401E-4</v>
      </c>
      <c r="V28" s="15">
        <v>6.60714148453961E-4</v>
      </c>
      <c r="W28" s="15">
        <v>2.6555427854485102E-4</v>
      </c>
      <c r="X28" s="34">
        <v>1.00827067669172</v>
      </c>
      <c r="Y28" s="34">
        <v>1.0078468940038601</v>
      </c>
      <c r="Z28" s="34">
        <v>1.0086667494978001</v>
      </c>
      <c r="AA28" s="34">
        <v>1.0093000245149699</v>
      </c>
      <c r="AB28" s="33">
        <v>40.213091070754402</v>
      </c>
      <c r="AC28" s="33">
        <v>40.256589313192698</v>
      </c>
      <c r="AD28" s="33">
        <v>40.240684667242597</v>
      </c>
      <c r="AE28" s="15">
        <v>-4.2039482246524401E-4</v>
      </c>
      <c r="AF28" s="15">
        <v>6.60714148453961E-4</v>
      </c>
      <c r="AG28" s="15">
        <v>2.6555427854485102E-4</v>
      </c>
      <c r="AI28" s="12"/>
      <c r="AJ28">
        <f t="shared" si="4"/>
        <v>0</v>
      </c>
      <c r="AK28">
        <f t="shared" si="5"/>
        <v>1</v>
      </c>
      <c r="AL28">
        <f t="shared" si="14"/>
        <v>0</v>
      </c>
      <c r="AM28">
        <f t="shared" si="6"/>
        <v>1</v>
      </c>
      <c r="AN28">
        <f t="shared" si="15"/>
        <v>0</v>
      </c>
      <c r="AO28" s="28">
        <f t="shared" si="7"/>
        <v>0</v>
      </c>
      <c r="AP28" s="28">
        <f t="shared" si="8"/>
        <v>0</v>
      </c>
      <c r="AQ28" s="28">
        <f t="shared" si="16"/>
        <v>0</v>
      </c>
      <c r="AR28" s="29">
        <f t="shared" si="17"/>
        <v>0</v>
      </c>
      <c r="AT28" s="12"/>
      <c r="AU28">
        <f t="shared" si="9"/>
        <v>0</v>
      </c>
      <c r="AV28">
        <f t="shared" si="10"/>
        <v>1</v>
      </c>
      <c r="AW28">
        <f t="shared" si="18"/>
        <v>0</v>
      </c>
      <c r="AX28">
        <f t="shared" si="11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</row>
    <row r="29" spans="1:60" x14ac:dyDescent="0.25">
      <c r="A29" s="1">
        <v>46064</v>
      </c>
      <c r="B29" s="33">
        <v>38.380000000000003</v>
      </c>
      <c r="C29" s="33">
        <v>38.36</v>
      </c>
      <c r="D29" s="15">
        <v>-3.88398333162637E-2</v>
      </c>
      <c r="E29" s="15">
        <v>-4.7597735946459302E-2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38.380000000000003</v>
      </c>
      <c r="M29" s="33">
        <v>38.36</v>
      </c>
      <c r="N29" s="34">
        <v>0.99947889525794598</v>
      </c>
      <c r="O29" s="34">
        <v>1.0078468940038601</v>
      </c>
      <c r="P29" s="34">
        <v>1.0079249838511799</v>
      </c>
      <c r="Q29" s="34">
        <v>1.00914559957312</v>
      </c>
      <c r="R29" s="33">
        <v>38.681163791868499</v>
      </c>
      <c r="S29" s="33">
        <v>38.712629845725601</v>
      </c>
      <c r="T29" s="33">
        <v>38.736934940884701</v>
      </c>
      <c r="U29" s="15">
        <v>8.3375078077303107E-3</v>
      </c>
      <c r="V29" s="15">
        <v>9.1506493818003503E-3</v>
      </c>
      <c r="W29" s="15">
        <v>9.7782861160789804E-3</v>
      </c>
      <c r="X29" s="34">
        <v>0.99947889525794598</v>
      </c>
      <c r="Y29" s="34">
        <v>1.0078468940038601</v>
      </c>
      <c r="Z29" s="34">
        <v>1.0079249838511799</v>
      </c>
      <c r="AA29" s="34">
        <v>1.00914559957312</v>
      </c>
      <c r="AB29" s="33">
        <v>38.681163791868499</v>
      </c>
      <c r="AC29" s="33">
        <v>38.712629845725601</v>
      </c>
      <c r="AD29" s="33">
        <v>38.736934940884701</v>
      </c>
      <c r="AE29" s="15">
        <v>8.3375078077303107E-3</v>
      </c>
      <c r="AF29" s="15">
        <v>9.1506493818003503E-3</v>
      </c>
      <c r="AG29" s="15">
        <v>9.7782861160789804E-3</v>
      </c>
      <c r="AI29" s="12"/>
      <c r="AJ29">
        <f t="shared" si="4"/>
        <v>0</v>
      </c>
      <c r="AK29">
        <f t="shared" si="5"/>
        <v>1</v>
      </c>
      <c r="AL29">
        <f t="shared" si="14"/>
        <v>0</v>
      </c>
      <c r="AM29">
        <f t="shared" si="6"/>
        <v>1</v>
      </c>
      <c r="AN29">
        <f t="shared" si="15"/>
        <v>0</v>
      </c>
      <c r="AO29" s="28">
        <f t="shared" si="7"/>
        <v>0</v>
      </c>
      <c r="AP29" s="28">
        <f t="shared" si="8"/>
        <v>0</v>
      </c>
      <c r="AQ29" s="28">
        <f t="shared" si="16"/>
        <v>0</v>
      </c>
      <c r="AR29" s="29">
        <f t="shared" si="17"/>
        <v>0</v>
      </c>
      <c r="AT29" s="12"/>
      <c r="AU29">
        <f t="shared" si="9"/>
        <v>0</v>
      </c>
      <c r="AV29">
        <f t="shared" si="10"/>
        <v>0</v>
      </c>
      <c r="AW29">
        <f t="shared" si="18"/>
        <v>0</v>
      </c>
      <c r="AX29">
        <f t="shared" si="11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</row>
    <row r="30" spans="1:60" x14ac:dyDescent="0.25">
      <c r="A30" s="1">
        <v>46065</v>
      </c>
      <c r="B30" s="33">
        <v>37.700000000000003</v>
      </c>
      <c r="C30" s="33">
        <v>37.880000000000003</v>
      </c>
      <c r="D30" s="15">
        <v>-1.7876396125588698E-2</v>
      </c>
      <c r="E30" s="15">
        <v>-1.25919816973598E-2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37.700000000000003</v>
      </c>
      <c r="M30" s="33">
        <v>37.880000000000003</v>
      </c>
      <c r="N30" s="34">
        <v>1.0047745358090101</v>
      </c>
      <c r="O30" s="34">
        <v>1.0078468940038601</v>
      </c>
      <c r="P30" s="34">
        <v>1.0068147086915</v>
      </c>
      <c r="Q30" s="34">
        <v>1.00894334063075</v>
      </c>
      <c r="R30" s="33">
        <v>37.995827903945802</v>
      </c>
      <c r="S30" s="33">
        <v>37.998771891189499</v>
      </c>
      <c r="T30" s="33">
        <v>38.044789103906702</v>
      </c>
      <c r="U30" s="15">
        <v>3.0530933795014999E-3</v>
      </c>
      <c r="V30" s="15">
        <v>3.1305722333431199E-3</v>
      </c>
      <c r="W30" s="15">
        <v>4.3408579625253997E-3</v>
      </c>
      <c r="X30" s="34">
        <v>1.0047745358090101</v>
      </c>
      <c r="Y30" s="34">
        <v>1.0078468940038601</v>
      </c>
      <c r="Z30" s="34">
        <v>1.0068147086915</v>
      </c>
      <c r="AA30" s="34">
        <v>1.00894334063075</v>
      </c>
      <c r="AB30" s="33">
        <v>37.995827903945802</v>
      </c>
      <c r="AC30" s="33">
        <v>37.998771891189499</v>
      </c>
      <c r="AD30" s="33">
        <v>38.044789103906702</v>
      </c>
      <c r="AE30" s="15">
        <v>3.0530933795014999E-3</v>
      </c>
      <c r="AF30" s="15">
        <v>3.1305722333431199E-3</v>
      </c>
      <c r="AG30" s="15">
        <v>4.3408579625253997E-3</v>
      </c>
      <c r="AI30" s="12"/>
      <c r="AJ30">
        <f t="shared" si="4"/>
        <v>0</v>
      </c>
      <c r="AK30">
        <f t="shared" si="5"/>
        <v>1</v>
      </c>
      <c r="AL30">
        <f t="shared" si="14"/>
        <v>0</v>
      </c>
      <c r="AM30">
        <f t="shared" si="6"/>
        <v>1</v>
      </c>
      <c r="AN30">
        <f t="shared" si="15"/>
        <v>0</v>
      </c>
      <c r="AO30" s="28">
        <f t="shared" si="7"/>
        <v>0</v>
      </c>
      <c r="AP30" s="28">
        <f t="shared" si="8"/>
        <v>0</v>
      </c>
      <c r="AQ30" s="28">
        <f t="shared" si="16"/>
        <v>0</v>
      </c>
      <c r="AR30" s="29">
        <f t="shared" si="17"/>
        <v>0</v>
      </c>
      <c r="AT30" s="12"/>
      <c r="AU30">
        <f t="shared" si="9"/>
        <v>0</v>
      </c>
      <c r="AV30">
        <f t="shared" si="10"/>
        <v>1</v>
      </c>
      <c r="AW30">
        <f t="shared" si="18"/>
        <v>0</v>
      </c>
      <c r="AX30">
        <f t="shared" si="11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</row>
    <row r="31" spans="1:60" x14ac:dyDescent="0.25">
      <c r="A31" s="1">
        <v>46066</v>
      </c>
      <c r="B31" s="33">
        <v>37.99</v>
      </c>
      <c r="C31" s="33">
        <v>37.86</v>
      </c>
      <c r="D31" s="15">
        <v>7.6628727455690902E-3</v>
      </c>
      <c r="E31" s="15">
        <v>-5.2812253670076901E-4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37.99</v>
      </c>
      <c r="M31" s="33">
        <v>37.86</v>
      </c>
      <c r="N31" s="34">
        <v>0.99657804685443496</v>
      </c>
      <c r="O31" s="34">
        <v>1.0078468940038601</v>
      </c>
      <c r="P31" s="34">
        <v>1.0051748653639601</v>
      </c>
      <c r="Q31" s="34">
        <v>1.0082009627865101</v>
      </c>
      <c r="R31" s="33">
        <v>38.288103503206997</v>
      </c>
      <c r="S31" s="33">
        <v>38.248890783190099</v>
      </c>
      <c r="T31" s="33">
        <v>38.329757510562501</v>
      </c>
      <c r="U31" s="15">
        <v>1.12440886617712E-2</v>
      </c>
      <c r="V31" s="15">
        <v>1.0219414938602501E-2</v>
      </c>
      <c r="W31" s="15">
        <v>1.23314072297448E-2</v>
      </c>
      <c r="X31" s="34">
        <v>0.99657804685443496</v>
      </c>
      <c r="Y31" s="34">
        <v>1.0078468940038601</v>
      </c>
      <c r="Z31" s="34">
        <v>1.0051748653639601</v>
      </c>
      <c r="AA31" s="34">
        <v>1.0082009627865101</v>
      </c>
      <c r="AB31" s="33">
        <v>38.288103503206997</v>
      </c>
      <c r="AC31" s="33">
        <v>38.248890783190099</v>
      </c>
      <c r="AD31" s="33">
        <v>38.329757510562501</v>
      </c>
      <c r="AE31" s="15">
        <v>1.12440886617712E-2</v>
      </c>
      <c r="AF31" s="15">
        <v>1.0219414938602501E-2</v>
      </c>
      <c r="AG31" s="15">
        <v>1.23314072297448E-2</v>
      </c>
      <c r="AI31" s="12"/>
      <c r="AJ31">
        <f t="shared" si="4"/>
        <v>0</v>
      </c>
      <c r="AK31">
        <f t="shared" si="5"/>
        <v>1</v>
      </c>
      <c r="AL31">
        <f t="shared" si="14"/>
        <v>0</v>
      </c>
      <c r="AM31">
        <f t="shared" si="6"/>
        <v>1</v>
      </c>
      <c r="AN31">
        <f t="shared" si="15"/>
        <v>0</v>
      </c>
      <c r="AO31" s="28">
        <f t="shared" si="7"/>
        <v>0</v>
      </c>
      <c r="AP31" s="28">
        <f t="shared" si="8"/>
        <v>0</v>
      </c>
      <c r="AQ31" s="28">
        <f t="shared" si="16"/>
        <v>0</v>
      </c>
      <c r="AR31" s="29">
        <f t="shared" si="17"/>
        <v>0</v>
      </c>
      <c r="AT31" s="12"/>
      <c r="AU31">
        <f t="shared" si="9"/>
        <v>1</v>
      </c>
      <c r="AV31">
        <f t="shared" si="10"/>
        <v>0</v>
      </c>
      <c r="AW31">
        <f t="shared" si="18"/>
        <v>0</v>
      </c>
      <c r="AX31">
        <f t="shared" si="11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</row>
    <row r="32" spans="1:60" x14ac:dyDescent="0.25">
      <c r="A32" s="1">
        <v>46070</v>
      </c>
      <c r="B32" s="33">
        <v>39.42</v>
      </c>
      <c r="C32" s="33">
        <v>39.31</v>
      </c>
      <c r="D32" s="15">
        <v>3.6950334525039798E-2</v>
      </c>
      <c r="E32" s="15">
        <v>3.7583793652592297E-2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39.42</v>
      </c>
      <c r="M32" s="33">
        <v>39.31</v>
      </c>
      <c r="N32" s="34">
        <v>0.99720953830542802</v>
      </c>
      <c r="O32" s="34">
        <v>1.0078468940038601</v>
      </c>
      <c r="P32" s="34">
        <v>1.00419951496312</v>
      </c>
      <c r="Q32" s="34">
        <v>1.00731477303512</v>
      </c>
      <c r="R32" s="33">
        <v>39.729324561632502</v>
      </c>
      <c r="S32" s="33">
        <v>39.623993192647603</v>
      </c>
      <c r="T32" s="33">
        <v>39.743281953044402</v>
      </c>
      <c r="U32" s="15">
        <v>1.0610629534219001E-2</v>
      </c>
      <c r="V32" s="15">
        <v>7.9558840534372996E-3</v>
      </c>
      <c r="W32" s="15">
        <v>1.09618799126206E-2</v>
      </c>
      <c r="X32" s="34">
        <v>0.99720953830542802</v>
      </c>
      <c r="Y32" s="34">
        <v>1.0078468940038601</v>
      </c>
      <c r="Z32" s="34">
        <v>1.00419951496312</v>
      </c>
      <c r="AA32" s="34">
        <v>1.00731477303512</v>
      </c>
      <c r="AB32" s="33">
        <v>39.729324561632502</v>
      </c>
      <c r="AC32" s="33">
        <v>39.623993192647603</v>
      </c>
      <c r="AD32" s="33">
        <v>39.743281953044402</v>
      </c>
      <c r="AE32" s="15">
        <v>1.0610629534219001E-2</v>
      </c>
      <c r="AF32" s="15">
        <v>7.9558840534372996E-3</v>
      </c>
      <c r="AG32" s="15">
        <v>1.09618799126206E-2</v>
      </c>
      <c r="AI32" s="12"/>
      <c r="AJ32">
        <f t="shared" si="4"/>
        <v>0</v>
      </c>
      <c r="AK32">
        <f t="shared" si="5"/>
        <v>1</v>
      </c>
      <c r="AL32">
        <f t="shared" si="14"/>
        <v>0</v>
      </c>
      <c r="AM32">
        <f t="shared" si="6"/>
        <v>1</v>
      </c>
      <c r="AN32">
        <f t="shared" si="15"/>
        <v>0</v>
      </c>
      <c r="AO32" s="28">
        <f t="shared" si="7"/>
        <v>0</v>
      </c>
      <c r="AP32" s="28">
        <f t="shared" si="8"/>
        <v>0</v>
      </c>
      <c r="AQ32" s="28">
        <f t="shared" si="16"/>
        <v>0</v>
      </c>
      <c r="AR32" s="29">
        <f t="shared" si="17"/>
        <v>0</v>
      </c>
      <c r="AT32" s="12"/>
      <c r="AU32">
        <f t="shared" si="9"/>
        <v>1</v>
      </c>
      <c r="AV32">
        <f t="shared" si="10"/>
        <v>0</v>
      </c>
      <c r="AW32">
        <f t="shared" si="18"/>
        <v>1</v>
      </c>
      <c r="AX32">
        <f t="shared" si="11"/>
        <v>1</v>
      </c>
      <c r="AY32">
        <f t="shared" si="19"/>
        <v>1</v>
      </c>
      <c r="AZ32" s="28">
        <f t="shared" si="12"/>
        <v>-3.6950334525039798E-2</v>
      </c>
      <c r="BA32" s="28">
        <f t="shared" si="13"/>
        <v>3.7583793652592297E-2</v>
      </c>
      <c r="BB32" s="28">
        <f t="shared" si="20"/>
        <v>6.3345912755249922E-4</v>
      </c>
      <c r="BC32" s="29">
        <f t="shared" si="21"/>
        <v>6.3345912755249922E-4</v>
      </c>
      <c r="BE32" s="29">
        <f t="shared" si="22"/>
        <v>6.3345912755249922E-4</v>
      </c>
      <c r="BF32" s="29">
        <f t="shared" si="23"/>
        <v>6.3345912755249922E-4</v>
      </c>
      <c r="BH32" s="29"/>
    </row>
    <row r="33" spans="1:60" x14ac:dyDescent="0.25">
      <c r="A33" s="1">
        <v>46071</v>
      </c>
      <c r="B33" s="33">
        <v>39.880000000000003</v>
      </c>
      <c r="C33" s="33">
        <v>39.51</v>
      </c>
      <c r="D33" s="15">
        <v>1.16016433690634E-2</v>
      </c>
      <c r="E33" s="15">
        <v>5.07486498953022E-3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39.880000000000003</v>
      </c>
      <c r="M33" s="33">
        <v>39.51</v>
      </c>
      <c r="N33" s="34">
        <v>0.99072216649949796</v>
      </c>
      <c r="O33" s="34">
        <v>1.0078468940038601</v>
      </c>
      <c r="P33" s="34">
        <v>1.00180461083759</v>
      </c>
      <c r="Q33" s="34">
        <v>1.00630098865623</v>
      </c>
      <c r="R33" s="33">
        <v>40.192934132874299</v>
      </c>
      <c r="S33" s="33">
        <v>40.047476656729401</v>
      </c>
      <c r="T33" s="33">
        <v>40.171713148640599</v>
      </c>
      <c r="U33" s="15">
        <v>1.71374079137523E-2</v>
      </c>
      <c r="V33" s="15">
        <v>1.3511862280449601E-2</v>
      </c>
      <c r="W33" s="15">
        <v>1.66092905028065E-2</v>
      </c>
      <c r="X33" s="34">
        <v>0.99072216649949796</v>
      </c>
      <c r="Y33" s="34">
        <v>1.0078468940038601</v>
      </c>
      <c r="Z33" s="34">
        <v>1.00180461083759</v>
      </c>
      <c r="AA33" s="34">
        <v>1.00630098865623</v>
      </c>
      <c r="AB33" s="33">
        <v>40.192934132874299</v>
      </c>
      <c r="AC33" s="33">
        <v>40.047476656729401</v>
      </c>
      <c r="AD33" s="33">
        <v>40.171713148640599</v>
      </c>
      <c r="AE33" s="15">
        <v>1.71374079137523E-2</v>
      </c>
      <c r="AF33" s="15">
        <v>1.3511862280449601E-2</v>
      </c>
      <c r="AG33" s="15">
        <v>1.66092905028065E-2</v>
      </c>
      <c r="AI33" s="12"/>
      <c r="AJ33">
        <f t="shared" si="4"/>
        <v>0</v>
      </c>
      <c r="AK33">
        <f t="shared" si="5"/>
        <v>1</v>
      </c>
      <c r="AL33">
        <f t="shared" si="14"/>
        <v>0</v>
      </c>
      <c r="AM33">
        <f t="shared" si="6"/>
        <v>1</v>
      </c>
      <c r="AN33">
        <f t="shared" si="15"/>
        <v>0</v>
      </c>
      <c r="AO33" s="28">
        <f t="shared" si="7"/>
        <v>0</v>
      </c>
      <c r="AP33" s="28">
        <f t="shared" si="8"/>
        <v>0</v>
      </c>
      <c r="AQ33" s="28">
        <f t="shared" si="16"/>
        <v>0</v>
      </c>
      <c r="AR33" s="29">
        <f t="shared" si="17"/>
        <v>0</v>
      </c>
      <c r="AT33" s="12"/>
      <c r="AU33">
        <f t="shared" si="9"/>
        <v>1</v>
      </c>
      <c r="AV33">
        <f t="shared" si="10"/>
        <v>0</v>
      </c>
      <c r="AW33">
        <f t="shared" si="18"/>
        <v>1</v>
      </c>
      <c r="AX33">
        <f t="shared" si="11"/>
        <v>1</v>
      </c>
      <c r="AY33">
        <f t="shared" si="19"/>
        <v>1</v>
      </c>
      <c r="AZ33" s="28">
        <f t="shared" si="12"/>
        <v>-1.16016433690634E-2</v>
      </c>
      <c r="BA33" s="28">
        <f t="shared" si="13"/>
        <v>5.07486498953022E-3</v>
      </c>
      <c r="BB33" s="28">
        <f t="shared" si="20"/>
        <v>-6.5267783795331796E-3</v>
      </c>
      <c r="BC33" s="29">
        <f t="shared" si="21"/>
        <v>-5.8933192519806804E-3</v>
      </c>
      <c r="BE33" s="29">
        <f t="shared" si="22"/>
        <v>-6.5267783795331796E-3</v>
      </c>
      <c r="BF33" s="29">
        <f t="shared" si="23"/>
        <v>-5.8933192519806804E-3</v>
      </c>
      <c r="BH33" s="29"/>
    </row>
    <row r="34" spans="1:60" x14ac:dyDescent="0.25">
      <c r="A34" s="1">
        <v>46072</v>
      </c>
      <c r="B34" s="33">
        <v>39.700000000000003</v>
      </c>
      <c r="C34" s="33">
        <v>39.82</v>
      </c>
      <c r="D34" s="15">
        <v>-4.5237574004928496E-3</v>
      </c>
      <c r="E34" s="15">
        <v>7.81549421275087E-3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39.700000000000003</v>
      </c>
      <c r="M34" s="33">
        <v>39.82</v>
      </c>
      <c r="N34" s="34">
        <v>1.0030226700251801</v>
      </c>
      <c r="O34" s="34">
        <v>1.0078468940038601</v>
      </c>
      <c r="P34" s="34">
        <v>1.0009304072518801</v>
      </c>
      <c r="Q34" s="34">
        <v>1.00577971763893</v>
      </c>
      <c r="R34" s="33">
        <v>40.011521691953597</v>
      </c>
      <c r="S34" s="33">
        <v>39.771643050252599</v>
      </c>
      <c r="T34" s="33">
        <v>39.950149249652398</v>
      </c>
      <c r="U34" s="15">
        <v>4.7981563005083799E-3</v>
      </c>
      <c r="V34" s="15">
        <v>-1.2151264591160899E-3</v>
      </c>
      <c r="W34" s="15">
        <v>3.2631094804554E-3</v>
      </c>
      <c r="X34" s="34">
        <v>1.0030226700251801</v>
      </c>
      <c r="Y34" s="34">
        <v>1.0078468940038601</v>
      </c>
      <c r="Z34" s="34">
        <v>1.0009304072518801</v>
      </c>
      <c r="AA34" s="34">
        <v>1.00577971763893</v>
      </c>
      <c r="AB34" s="33">
        <v>40.011521691953597</v>
      </c>
      <c r="AC34" s="33">
        <v>39.771643050252599</v>
      </c>
      <c r="AD34" s="33">
        <v>39.950149249652398</v>
      </c>
      <c r="AE34" s="15">
        <v>4.7981563005083799E-3</v>
      </c>
      <c r="AF34" s="15">
        <v>-1.2151264591160899E-3</v>
      </c>
      <c r="AG34" s="15">
        <v>3.2631094804554E-3</v>
      </c>
      <c r="AI34" s="12"/>
      <c r="AJ34">
        <f t="shared" si="4"/>
        <v>0</v>
      </c>
      <c r="AK34">
        <f t="shared" si="5"/>
        <v>1</v>
      </c>
      <c r="AL34">
        <f t="shared" si="14"/>
        <v>0</v>
      </c>
      <c r="AM34">
        <f t="shared" si="6"/>
        <v>1</v>
      </c>
      <c r="AN34">
        <f t="shared" si="15"/>
        <v>0</v>
      </c>
      <c r="AO34" s="28">
        <f t="shared" si="7"/>
        <v>0</v>
      </c>
      <c r="AP34" s="28">
        <f t="shared" si="8"/>
        <v>0</v>
      </c>
      <c r="AQ34" s="28">
        <f t="shared" si="16"/>
        <v>0</v>
      </c>
      <c r="AR34" s="29">
        <f t="shared" si="17"/>
        <v>0</v>
      </c>
      <c r="AT34" s="12"/>
      <c r="AU34">
        <f t="shared" si="9"/>
        <v>0</v>
      </c>
      <c r="AV34">
        <f t="shared" si="10"/>
        <v>1</v>
      </c>
      <c r="AW34">
        <f t="shared" si="18"/>
        <v>1</v>
      </c>
      <c r="AX34">
        <f t="shared" si="11"/>
        <v>1</v>
      </c>
      <c r="AY34">
        <f t="shared" si="19"/>
        <v>1</v>
      </c>
      <c r="AZ34" s="28">
        <f t="shared" si="12"/>
        <v>4.5237574004928496E-3</v>
      </c>
      <c r="BA34" s="28">
        <f t="shared" si="13"/>
        <v>7.81549421275087E-3</v>
      </c>
      <c r="BB34" s="28">
        <f t="shared" si="20"/>
        <v>1.2339251613243719E-2</v>
      </c>
      <c r="BC34" s="29">
        <f t="shared" si="21"/>
        <v>6.4459323612630383E-3</v>
      </c>
      <c r="BE34" s="29">
        <f t="shared" si="22"/>
        <v>1.2339251613243719E-2</v>
      </c>
      <c r="BF34" s="29">
        <f t="shared" si="23"/>
        <v>6.4459323612630383E-3</v>
      </c>
      <c r="BH34" s="29"/>
    </row>
    <row r="35" spans="1:60" x14ac:dyDescent="0.25">
      <c r="A35" s="1">
        <v>46073</v>
      </c>
      <c r="B35" s="33">
        <v>40.04</v>
      </c>
      <c r="C35" s="33">
        <v>40.229999999999997</v>
      </c>
      <c r="D35" s="15">
        <v>8.5277667538750605E-3</v>
      </c>
      <c r="E35" s="15">
        <v>1.0243687325646501E-2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40.04</v>
      </c>
      <c r="M35" s="33">
        <v>40.229999999999997</v>
      </c>
      <c r="N35" s="34">
        <v>1.00474525474525</v>
      </c>
      <c r="O35" s="34">
        <v>1.0078468940038601</v>
      </c>
      <c r="P35" s="34">
        <v>1.0009410152006299</v>
      </c>
      <c r="Q35" s="34">
        <v>1.0056750550737199</v>
      </c>
      <c r="R35" s="33">
        <v>40.354189635914899</v>
      </c>
      <c r="S35" s="33">
        <v>40.077253506365302</v>
      </c>
      <c r="T35" s="33">
        <v>40.271419894262898</v>
      </c>
      <c r="U35" s="15">
        <v>3.0822357287369302E-3</v>
      </c>
      <c r="V35" s="15">
        <v>-3.8040568233392298E-3</v>
      </c>
      <c r="W35" s="15">
        <v>1.02904763599025E-3</v>
      </c>
      <c r="X35" s="34">
        <v>1.00474525474525</v>
      </c>
      <c r="Y35" s="34">
        <v>1.0078468940038601</v>
      </c>
      <c r="Z35" s="34">
        <v>1.0009410152006299</v>
      </c>
      <c r="AA35" s="34">
        <v>1.0056750550737199</v>
      </c>
      <c r="AB35" s="33">
        <v>40.354189635914899</v>
      </c>
      <c r="AC35" s="33">
        <v>40.077253506365302</v>
      </c>
      <c r="AD35" s="33">
        <v>40.271419894262898</v>
      </c>
      <c r="AE35" s="15">
        <v>3.0822357287369302E-3</v>
      </c>
      <c r="AF35" s="15">
        <v>-3.8040568233392298E-3</v>
      </c>
      <c r="AG35" s="15">
        <v>1.02904763599025E-3</v>
      </c>
      <c r="AI35" s="12"/>
      <c r="AJ35">
        <f t="shared" si="4"/>
        <v>0</v>
      </c>
      <c r="AK35">
        <f t="shared" si="5"/>
        <v>1</v>
      </c>
      <c r="AL35">
        <f t="shared" si="14"/>
        <v>0</v>
      </c>
      <c r="AM35">
        <f t="shared" si="6"/>
        <v>1</v>
      </c>
      <c r="AN35">
        <f t="shared" si="15"/>
        <v>0</v>
      </c>
      <c r="AO35" s="28">
        <f t="shared" si="7"/>
        <v>0</v>
      </c>
      <c r="AP35" s="28">
        <f t="shared" si="8"/>
        <v>0</v>
      </c>
      <c r="AQ35" s="28">
        <f t="shared" si="16"/>
        <v>0</v>
      </c>
      <c r="AR35" s="29">
        <f t="shared" si="17"/>
        <v>0</v>
      </c>
      <c r="AT35" s="12"/>
      <c r="AU35">
        <f t="shared" si="9"/>
        <v>0</v>
      </c>
      <c r="AV35">
        <f t="shared" si="10"/>
        <v>1</v>
      </c>
      <c r="AW35">
        <f t="shared" si="18"/>
        <v>0</v>
      </c>
      <c r="AX35">
        <f t="shared" si="11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6.4459323612630383E-3</v>
      </c>
      <c r="BE35" s="29">
        <f t="shared" si="22"/>
        <v>0</v>
      </c>
      <c r="BF35" s="29">
        <f t="shared" si="23"/>
        <v>6.4459323612630383E-3</v>
      </c>
      <c r="BH35" s="29"/>
    </row>
    <row r="36" spans="1:60" x14ac:dyDescent="0.25">
      <c r="A36" s="1">
        <v>46076</v>
      </c>
      <c r="B36" s="33">
        <v>38.880000000000003</v>
      </c>
      <c r="C36" s="33">
        <v>39.15</v>
      </c>
      <c r="D36" s="15">
        <v>-2.93989748547814E-2</v>
      </c>
      <c r="E36" s="15">
        <v>-2.72125635248847E-2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38.880000000000003</v>
      </c>
      <c r="M36" s="33">
        <v>39.15</v>
      </c>
      <c r="N36" s="34">
        <v>1.00694444444444</v>
      </c>
      <c r="O36" s="34">
        <v>1.0078468940038601</v>
      </c>
      <c r="P36" s="34">
        <v>1.0013028937714501</v>
      </c>
      <c r="Q36" s="34">
        <v>1.0055032461540701</v>
      </c>
      <c r="R36" s="33">
        <v>39.185087238870402</v>
      </c>
      <c r="S36" s="33">
        <v>38.916586671000601</v>
      </c>
      <c r="T36" s="33">
        <v>39.100646141266402</v>
      </c>
      <c r="U36" s="15">
        <v>8.9582439883999297E-4</v>
      </c>
      <c r="V36" s="15">
        <v>-5.97987012118089E-3</v>
      </c>
      <c r="W36" s="15">
        <v>-1.2614302299518701E-3</v>
      </c>
      <c r="X36" s="34">
        <v>1.00694444444444</v>
      </c>
      <c r="Y36" s="34">
        <v>1.0078468940038601</v>
      </c>
      <c r="Z36" s="34">
        <v>1.0013028937714501</v>
      </c>
      <c r="AA36" s="34">
        <v>1.0055032461540701</v>
      </c>
      <c r="AB36" s="33">
        <v>39.185087238870402</v>
      </c>
      <c r="AC36" s="33">
        <v>38.916586671000601</v>
      </c>
      <c r="AD36" s="33">
        <v>39.100646141266402</v>
      </c>
      <c r="AE36" s="15">
        <v>8.9582439883999297E-4</v>
      </c>
      <c r="AF36" s="15">
        <v>-5.97987012118089E-3</v>
      </c>
      <c r="AG36" s="15">
        <v>-1.2614302299518701E-3</v>
      </c>
      <c r="AI36" s="12"/>
      <c r="AJ36">
        <f t="shared" si="4"/>
        <v>0</v>
      </c>
      <c r="AK36">
        <f t="shared" si="5"/>
        <v>1</v>
      </c>
      <c r="AL36">
        <f t="shared" si="14"/>
        <v>0</v>
      </c>
      <c r="AM36">
        <f t="shared" si="6"/>
        <v>1</v>
      </c>
      <c r="AN36">
        <f t="shared" si="15"/>
        <v>0</v>
      </c>
      <c r="AO36" s="28">
        <f t="shared" si="7"/>
        <v>0</v>
      </c>
      <c r="AP36" s="28">
        <f t="shared" si="8"/>
        <v>0</v>
      </c>
      <c r="AQ36" s="28">
        <f t="shared" si="16"/>
        <v>0</v>
      </c>
      <c r="AR36" s="29">
        <f t="shared" si="17"/>
        <v>0</v>
      </c>
      <c r="AT36" s="12"/>
      <c r="AU36">
        <f t="shared" si="9"/>
        <v>0</v>
      </c>
      <c r="AV36">
        <f t="shared" si="10"/>
        <v>1</v>
      </c>
      <c r="AW36">
        <f t="shared" si="18"/>
        <v>0</v>
      </c>
      <c r="AX36">
        <f t="shared" si="11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6.4459323612630383E-3</v>
      </c>
      <c r="BE36" s="29">
        <f t="shared" si="22"/>
        <v>0</v>
      </c>
      <c r="BF36" s="29">
        <f t="shared" si="23"/>
        <v>6.4459323612630383E-3</v>
      </c>
      <c r="BH36" s="29"/>
    </row>
    <row r="37" spans="1:60" x14ac:dyDescent="0.25">
      <c r="A37" s="1">
        <v>46077</v>
      </c>
      <c r="B37" s="33">
        <v>39.15</v>
      </c>
      <c r="C37" s="33">
        <v>39.44</v>
      </c>
      <c r="D37" s="15">
        <v>6.9204428445737501E-3</v>
      </c>
      <c r="E37" s="15">
        <v>7.38010729762246E-3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39.15</v>
      </c>
      <c r="M37" s="33">
        <v>39.44</v>
      </c>
      <c r="N37" s="34">
        <v>1.0074074074074</v>
      </c>
      <c r="O37" s="34">
        <v>1.0078468940038601</v>
      </c>
      <c r="P37" s="34">
        <v>1.0019153636040301</v>
      </c>
      <c r="Q37" s="34">
        <v>1.0054262195613199</v>
      </c>
      <c r="R37" s="33">
        <v>39.457205900251502</v>
      </c>
      <c r="S37" s="33">
        <v>39.201008291152299</v>
      </c>
      <c r="T37" s="33">
        <v>39.365452086932102</v>
      </c>
      <c r="U37" s="15">
        <v>4.36159945791368E-4</v>
      </c>
      <c r="V37" s="15">
        <v>-6.0780615557445E-3</v>
      </c>
      <c r="W37" s="15">
        <v>-1.89194867437412E-3</v>
      </c>
      <c r="X37" s="34">
        <v>1.0074074074074</v>
      </c>
      <c r="Y37" s="34">
        <v>1.0078468940038601</v>
      </c>
      <c r="Z37" s="34">
        <v>1.0019153636040301</v>
      </c>
      <c r="AA37" s="34">
        <v>1.0054262195613199</v>
      </c>
      <c r="AB37" s="33">
        <v>39.457205900251502</v>
      </c>
      <c r="AC37" s="33">
        <v>39.201008291152299</v>
      </c>
      <c r="AD37" s="33">
        <v>39.365452086932102</v>
      </c>
      <c r="AE37" s="15">
        <v>4.36159945791368E-4</v>
      </c>
      <c r="AF37" s="15">
        <v>-6.0780615557445E-3</v>
      </c>
      <c r="AG37" s="15">
        <v>-1.89194867437412E-3</v>
      </c>
      <c r="AI37" s="12"/>
      <c r="AJ37">
        <f t="shared" si="4"/>
        <v>0</v>
      </c>
      <c r="AK37">
        <f t="shared" si="5"/>
        <v>1</v>
      </c>
      <c r="AL37">
        <f t="shared" si="14"/>
        <v>0</v>
      </c>
      <c r="AM37">
        <f t="shared" si="6"/>
        <v>1</v>
      </c>
      <c r="AN37">
        <f t="shared" si="15"/>
        <v>0</v>
      </c>
      <c r="AO37" s="28">
        <f t="shared" si="7"/>
        <v>0</v>
      </c>
      <c r="AP37" s="28">
        <f t="shared" si="8"/>
        <v>0</v>
      </c>
      <c r="AQ37" s="28">
        <f t="shared" si="16"/>
        <v>0</v>
      </c>
      <c r="AR37" s="29">
        <f t="shared" si="17"/>
        <v>0</v>
      </c>
      <c r="AT37" s="12"/>
      <c r="AU37">
        <f t="shared" si="9"/>
        <v>0</v>
      </c>
      <c r="AV37">
        <f t="shared" si="10"/>
        <v>1</v>
      </c>
      <c r="AW37">
        <f t="shared" si="18"/>
        <v>0</v>
      </c>
      <c r="AX37">
        <f t="shared" si="11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6.4459323612630383E-3</v>
      </c>
      <c r="BE37" s="29">
        <f t="shared" si="22"/>
        <v>0</v>
      </c>
      <c r="BF37" s="29">
        <f t="shared" si="23"/>
        <v>6.4459323612630383E-3</v>
      </c>
      <c r="BH37" s="29"/>
    </row>
    <row r="38" spans="1:60" x14ac:dyDescent="0.25">
      <c r="A38" s="1">
        <v>46078</v>
      </c>
      <c r="B38" s="33">
        <v>39.090000000000003</v>
      </c>
      <c r="C38" s="33">
        <v>39.26</v>
      </c>
      <c r="D38" s="15">
        <v>-1.53374263194854E-3</v>
      </c>
      <c r="E38" s="15">
        <v>-4.5743408861196998E-3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39.090000000000003</v>
      </c>
      <c r="M38" s="33">
        <v>39.26</v>
      </c>
      <c r="N38" s="34">
        <v>1.0043489383474</v>
      </c>
      <c r="O38" s="34">
        <v>1.0078468940038601</v>
      </c>
      <c r="P38" s="34">
        <v>1.0015231897696</v>
      </c>
      <c r="Q38" s="34">
        <v>1.0050949696336999</v>
      </c>
      <c r="R38" s="33">
        <v>39.396735086611201</v>
      </c>
      <c r="S38" s="33">
        <v>39.1648715632817</v>
      </c>
      <c r="T38" s="33">
        <v>39.302110922652197</v>
      </c>
      <c r="U38" s="15">
        <v>3.47675819996235E-3</v>
      </c>
      <c r="V38" s="15">
        <v>-2.42597740939784E-3</v>
      </c>
      <c r="W38" s="15">
        <v>1.07204162899187E-3</v>
      </c>
      <c r="X38" s="34">
        <v>1.0043489383474</v>
      </c>
      <c r="Y38" s="34">
        <v>1.0078468940038601</v>
      </c>
      <c r="Z38" s="34">
        <v>1.0015231897696</v>
      </c>
      <c r="AA38" s="34">
        <v>1.0050949696336999</v>
      </c>
      <c r="AB38" s="33">
        <v>39.396735086611201</v>
      </c>
      <c r="AC38" s="33">
        <v>39.1648715632817</v>
      </c>
      <c r="AD38" s="33">
        <v>39.302110922652197</v>
      </c>
      <c r="AE38" s="15">
        <v>3.47675819996235E-3</v>
      </c>
      <c r="AF38" s="15">
        <v>-2.42597740939784E-3</v>
      </c>
      <c r="AG38" s="15">
        <v>1.07204162899187E-3</v>
      </c>
      <c r="AI38" s="12"/>
      <c r="AJ38">
        <f t="shared" si="4"/>
        <v>0</v>
      </c>
      <c r="AK38">
        <f t="shared" si="5"/>
        <v>1</v>
      </c>
      <c r="AL38">
        <f t="shared" si="14"/>
        <v>0</v>
      </c>
      <c r="AM38">
        <f t="shared" si="6"/>
        <v>1</v>
      </c>
      <c r="AN38">
        <f t="shared" si="15"/>
        <v>0</v>
      </c>
      <c r="AO38" s="28">
        <f t="shared" si="7"/>
        <v>0</v>
      </c>
      <c r="AP38" s="28">
        <f t="shared" si="8"/>
        <v>0</v>
      </c>
      <c r="AQ38" s="28">
        <f t="shared" si="16"/>
        <v>0</v>
      </c>
      <c r="AR38" s="29">
        <f t="shared" si="17"/>
        <v>0</v>
      </c>
      <c r="AT38" s="12"/>
      <c r="AU38">
        <f t="shared" si="9"/>
        <v>0</v>
      </c>
      <c r="AV38">
        <f t="shared" si="10"/>
        <v>1</v>
      </c>
      <c r="AW38">
        <f t="shared" si="18"/>
        <v>0</v>
      </c>
      <c r="AX38">
        <f t="shared" si="11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6.4459323612630383E-3</v>
      </c>
      <c r="BE38" s="29">
        <f t="shared" si="22"/>
        <v>0</v>
      </c>
      <c r="BF38" s="29">
        <f t="shared" si="23"/>
        <v>6.4459323612630383E-3</v>
      </c>
      <c r="BH38" s="29"/>
    </row>
    <row r="39" spans="1:60" x14ac:dyDescent="0.25">
      <c r="A39" s="1">
        <v>46079</v>
      </c>
      <c r="B39" s="33">
        <v>39.25</v>
      </c>
      <c r="C39" s="33">
        <v>39.51</v>
      </c>
      <c r="D39" s="15">
        <v>4.0847644235539101E-3</v>
      </c>
      <c r="E39" s="15">
        <v>6.3476155749842798E-3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39.25</v>
      </c>
      <c r="M39" s="33">
        <v>39.51</v>
      </c>
      <c r="N39" s="34">
        <v>1.00662420382165</v>
      </c>
      <c r="O39" s="34">
        <v>1.0078468940038601</v>
      </c>
      <c r="P39" s="34">
        <v>1.0022377206259701</v>
      </c>
      <c r="Q39" s="34">
        <v>1.00508135223857</v>
      </c>
      <c r="R39" s="33">
        <v>39.557990589651801</v>
      </c>
      <c r="S39" s="33">
        <v>39.3097851984569</v>
      </c>
      <c r="T39" s="33">
        <v>39.449977558122796</v>
      </c>
      <c r="U39" s="15">
        <v>1.2139070485321E-3</v>
      </c>
      <c r="V39" s="15">
        <v>-5.0803293021727597E-3</v>
      </c>
      <c r="W39" s="15">
        <v>-1.5203260004546201E-3</v>
      </c>
      <c r="X39" s="34">
        <v>1.00662420382165</v>
      </c>
      <c r="Y39" s="34">
        <v>1.0078468940038601</v>
      </c>
      <c r="Z39" s="34">
        <v>1.0022377206259701</v>
      </c>
      <c r="AA39" s="34">
        <v>1.00508135223857</v>
      </c>
      <c r="AB39" s="33">
        <v>39.557990589651801</v>
      </c>
      <c r="AC39" s="33">
        <v>39.3097851984569</v>
      </c>
      <c r="AD39" s="33">
        <v>39.449977558122796</v>
      </c>
      <c r="AE39" s="15">
        <v>1.2139070485321E-3</v>
      </c>
      <c r="AF39" s="15">
        <v>-5.0803293021727597E-3</v>
      </c>
      <c r="AG39" s="15">
        <v>-1.5203260004546201E-3</v>
      </c>
      <c r="AI39" s="12"/>
      <c r="AJ39">
        <f t="shared" si="4"/>
        <v>0</v>
      </c>
      <c r="AK39">
        <f t="shared" si="5"/>
        <v>1</v>
      </c>
      <c r="AL39">
        <f t="shared" si="14"/>
        <v>0</v>
      </c>
      <c r="AM39">
        <f t="shared" si="6"/>
        <v>1</v>
      </c>
      <c r="AN39">
        <f t="shared" si="15"/>
        <v>0</v>
      </c>
      <c r="AO39" s="28">
        <f t="shared" si="7"/>
        <v>0</v>
      </c>
      <c r="AP39" s="28">
        <f t="shared" si="8"/>
        <v>0</v>
      </c>
      <c r="AQ39" s="28">
        <f t="shared" si="16"/>
        <v>0</v>
      </c>
      <c r="AR39" s="29">
        <f t="shared" si="17"/>
        <v>0</v>
      </c>
      <c r="AT39" s="12"/>
      <c r="AU39">
        <f t="shared" si="9"/>
        <v>0</v>
      </c>
      <c r="AV39">
        <f t="shared" si="10"/>
        <v>1</v>
      </c>
      <c r="AW39">
        <f t="shared" si="18"/>
        <v>0</v>
      </c>
      <c r="AX39">
        <f t="shared" si="11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6.4459323612630383E-3</v>
      </c>
      <c r="BE39" s="29">
        <f t="shared" si="22"/>
        <v>0</v>
      </c>
      <c r="BF39" s="29">
        <f t="shared" si="23"/>
        <v>6.4459323612630383E-3</v>
      </c>
      <c r="BH39" s="29"/>
    </row>
    <row r="40" spans="1:60" x14ac:dyDescent="0.25">
      <c r="A40" s="1">
        <v>46080</v>
      </c>
      <c r="B40" s="33">
        <v>39.35</v>
      </c>
      <c r="C40" s="33">
        <v>39.74</v>
      </c>
      <c r="D40" s="15">
        <v>2.54453063499479E-3</v>
      </c>
      <c r="E40" s="15">
        <v>5.8044327003716201E-3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39.35</v>
      </c>
      <c r="M40" s="33">
        <v>39.74</v>
      </c>
      <c r="N40" s="34">
        <v>1.00991105463786</v>
      </c>
      <c r="O40" s="34">
        <v>1.0078468940038601</v>
      </c>
      <c r="P40" s="34">
        <v>1.0027513725088499</v>
      </c>
      <c r="Q40" s="34">
        <v>1.0047830406001801</v>
      </c>
      <c r="R40" s="33">
        <v>39.6587752790522</v>
      </c>
      <c r="S40" s="33">
        <v>39.438054306631997</v>
      </c>
      <c r="T40" s="33">
        <v>39.549951210587999</v>
      </c>
      <c r="U40" s="15">
        <v>-2.0459950168447301E-3</v>
      </c>
      <c r="V40" s="15">
        <v>-7.62704160229297E-3</v>
      </c>
      <c r="W40" s="15">
        <v>-4.7937765242191902E-3</v>
      </c>
      <c r="X40" s="34">
        <v>1.00991105463786</v>
      </c>
      <c r="Y40" s="34">
        <v>1.0078468940038601</v>
      </c>
      <c r="Z40" s="34">
        <v>1.0027513725088499</v>
      </c>
      <c r="AA40" s="34">
        <v>1.0047830406001801</v>
      </c>
      <c r="AB40" s="33">
        <v>39.6587752790522</v>
      </c>
      <c r="AC40" s="33">
        <v>39.438054306631997</v>
      </c>
      <c r="AD40" s="33">
        <v>39.549951210587999</v>
      </c>
      <c r="AE40" s="15">
        <v>-2.0459950168447301E-3</v>
      </c>
      <c r="AF40" s="15">
        <v>-7.62704160229297E-3</v>
      </c>
      <c r="AG40" s="15">
        <v>-4.7937765242191902E-3</v>
      </c>
      <c r="AI40" s="12"/>
      <c r="AJ40">
        <f t="shared" si="4"/>
        <v>0</v>
      </c>
      <c r="AK40">
        <f t="shared" si="5"/>
        <v>1</v>
      </c>
      <c r="AL40">
        <f t="shared" si="14"/>
        <v>0</v>
      </c>
      <c r="AM40">
        <f t="shared" si="6"/>
        <v>1</v>
      </c>
      <c r="AN40">
        <f t="shared" si="15"/>
        <v>0</v>
      </c>
      <c r="AO40" s="28">
        <f t="shared" si="7"/>
        <v>0</v>
      </c>
      <c r="AP40" s="28">
        <f t="shared" si="8"/>
        <v>0</v>
      </c>
      <c r="AQ40" s="28">
        <f t="shared" si="16"/>
        <v>0</v>
      </c>
      <c r="AR40" s="29">
        <f t="shared" si="17"/>
        <v>0</v>
      </c>
      <c r="AT40" s="12"/>
      <c r="AU40">
        <f t="shared" si="9"/>
        <v>0</v>
      </c>
      <c r="AV40">
        <f t="shared" si="10"/>
        <v>1</v>
      </c>
      <c r="AW40">
        <f t="shared" si="18"/>
        <v>0</v>
      </c>
      <c r="AX40">
        <f t="shared" si="11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6.4459323612630383E-3</v>
      </c>
      <c r="BE40" s="29">
        <f t="shared" si="22"/>
        <v>0</v>
      </c>
      <c r="BF40" s="29">
        <f t="shared" si="23"/>
        <v>6.4459323612630383E-3</v>
      </c>
      <c r="BH40" s="29"/>
    </row>
    <row r="41" spans="1:60" x14ac:dyDescent="0.25">
      <c r="A41" s="1">
        <v>46083</v>
      </c>
      <c r="B41" s="33">
        <v>39.229999999999997</v>
      </c>
      <c r="C41" s="33">
        <v>39.369999999999997</v>
      </c>
      <c r="D41" s="15">
        <v>-3.0542146419510999E-3</v>
      </c>
      <c r="E41" s="15">
        <v>-9.3541321680247497E-3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39.229999999999997</v>
      </c>
      <c r="M41" s="33">
        <v>39.369999999999997</v>
      </c>
      <c r="N41" s="34">
        <v>1.0035686974254301</v>
      </c>
      <c r="O41" s="34">
        <v>1.0078468940038601</v>
      </c>
      <c r="P41" s="34">
        <v>1.0034504375659501</v>
      </c>
      <c r="Q41" s="34">
        <v>1.0043126514649601</v>
      </c>
      <c r="R41" s="33">
        <v>39.537833651771798</v>
      </c>
      <c r="S41" s="33">
        <v>39.3379363435225</v>
      </c>
      <c r="T41" s="33">
        <v>39.417638682745</v>
      </c>
      <c r="U41" s="15">
        <v>4.2539225092288798E-3</v>
      </c>
      <c r="V41" s="15">
        <v>-8.14750322286578E-4</v>
      </c>
      <c r="W41" s="15">
        <v>1.20929347159242E-3</v>
      </c>
      <c r="X41" s="34">
        <v>1.0035686974254301</v>
      </c>
      <c r="Y41" s="34">
        <v>1.0078468940038601</v>
      </c>
      <c r="Z41" s="34">
        <v>1.0034504375659501</v>
      </c>
      <c r="AA41" s="34">
        <v>1.0043126514649601</v>
      </c>
      <c r="AB41" s="33">
        <v>39.537833651771798</v>
      </c>
      <c r="AC41" s="33">
        <v>39.3379363435225</v>
      </c>
      <c r="AD41" s="33">
        <v>39.417638682745</v>
      </c>
      <c r="AE41" s="15">
        <v>4.2539225092288798E-3</v>
      </c>
      <c r="AF41" s="15">
        <v>-8.14750322286578E-4</v>
      </c>
      <c r="AG41" s="15">
        <v>1.20929347159242E-3</v>
      </c>
      <c r="AI41" s="12"/>
      <c r="AJ41">
        <f t="shared" si="4"/>
        <v>0</v>
      </c>
      <c r="AK41">
        <f t="shared" si="5"/>
        <v>1</v>
      </c>
      <c r="AL41">
        <f t="shared" si="14"/>
        <v>0</v>
      </c>
      <c r="AM41">
        <f t="shared" si="6"/>
        <v>1</v>
      </c>
      <c r="AN41">
        <f t="shared" si="15"/>
        <v>0</v>
      </c>
      <c r="AO41" s="28">
        <f t="shared" si="7"/>
        <v>0</v>
      </c>
      <c r="AP41" s="28">
        <f t="shared" si="8"/>
        <v>0</v>
      </c>
      <c r="AQ41" s="28">
        <f t="shared" si="16"/>
        <v>0</v>
      </c>
      <c r="AR41" s="29">
        <f t="shared" si="17"/>
        <v>0</v>
      </c>
      <c r="AT41" s="12"/>
      <c r="AU41">
        <f t="shared" si="9"/>
        <v>0</v>
      </c>
      <c r="AV41">
        <f t="shared" si="10"/>
        <v>1</v>
      </c>
      <c r="AW41">
        <f t="shared" si="18"/>
        <v>0</v>
      </c>
      <c r="AX41">
        <f t="shared" si="11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6.4459323612630383E-3</v>
      </c>
      <c r="BE41" s="29">
        <f t="shared" si="22"/>
        <v>0</v>
      </c>
      <c r="BF41" s="29">
        <f t="shared" si="23"/>
        <v>6.4459323612630383E-3</v>
      </c>
      <c r="BH41" s="29"/>
    </row>
    <row r="42" spans="1:60" x14ac:dyDescent="0.25">
      <c r="A42" s="1">
        <v>46084</v>
      </c>
      <c r="B42" s="33">
        <v>38.79</v>
      </c>
      <c r="C42" s="33">
        <v>38.729999999999997</v>
      </c>
      <c r="D42" s="15">
        <v>-1.12792787695853E-2</v>
      </c>
      <c r="E42" s="15">
        <v>-1.6389611428985301E-2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38.79</v>
      </c>
      <c r="M42" s="33">
        <v>38.729999999999997</v>
      </c>
      <c r="N42" s="34">
        <v>0.99845320959009998</v>
      </c>
      <c r="O42" s="34">
        <v>1.0078468940038601</v>
      </c>
      <c r="P42" s="34">
        <v>1.00357480469442</v>
      </c>
      <c r="Q42" s="34">
        <v>1.00388715982877</v>
      </c>
      <c r="R42" s="33">
        <v>39.094381018410097</v>
      </c>
      <c r="S42" s="33">
        <v>38.923842473183498</v>
      </c>
      <c r="T42" s="33">
        <v>38.957287750325897</v>
      </c>
      <c r="U42" s="15">
        <v>9.3642551686288003E-3</v>
      </c>
      <c r="V42" s="15">
        <v>4.99248638922151E-3</v>
      </c>
      <c r="W42" s="15">
        <v>5.8513665596147896E-3</v>
      </c>
      <c r="X42" s="34">
        <v>0.99845320959009998</v>
      </c>
      <c r="Y42" s="34">
        <v>1.0078468940038601</v>
      </c>
      <c r="Z42" s="34">
        <v>1.00357480469442</v>
      </c>
      <c r="AA42" s="34">
        <v>1.00388715982877</v>
      </c>
      <c r="AB42" s="33">
        <v>39.094381018410097</v>
      </c>
      <c r="AC42" s="33">
        <v>38.923842473183498</v>
      </c>
      <c r="AD42" s="33">
        <v>38.957287750325897</v>
      </c>
      <c r="AE42" s="15">
        <v>9.3642551686288003E-3</v>
      </c>
      <c r="AF42" s="15">
        <v>4.99248638922151E-3</v>
      </c>
      <c r="AG42" s="15">
        <v>5.8513665596147896E-3</v>
      </c>
      <c r="AI42" s="12"/>
      <c r="AJ42">
        <f t="shared" si="4"/>
        <v>0</v>
      </c>
      <c r="AK42">
        <f t="shared" si="5"/>
        <v>1</v>
      </c>
      <c r="AL42">
        <f t="shared" si="14"/>
        <v>0</v>
      </c>
      <c r="AM42">
        <f t="shared" si="6"/>
        <v>1</v>
      </c>
      <c r="AN42">
        <f t="shared" si="15"/>
        <v>0</v>
      </c>
      <c r="AO42" s="28">
        <f t="shared" si="7"/>
        <v>0</v>
      </c>
      <c r="AP42" s="28">
        <f t="shared" si="8"/>
        <v>0</v>
      </c>
      <c r="AQ42" s="28">
        <f t="shared" si="16"/>
        <v>0</v>
      </c>
      <c r="AR42" s="29">
        <f t="shared" si="17"/>
        <v>0</v>
      </c>
      <c r="AT42" s="12"/>
      <c r="AU42">
        <f t="shared" si="9"/>
        <v>0</v>
      </c>
      <c r="AV42">
        <f t="shared" si="10"/>
        <v>0</v>
      </c>
      <c r="AW42">
        <f t="shared" si="18"/>
        <v>0</v>
      </c>
      <c r="AX42">
        <f t="shared" si="11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6.4459323612630383E-3</v>
      </c>
      <c r="BE42" s="29">
        <f t="shared" si="22"/>
        <v>0</v>
      </c>
      <c r="BF42" s="29">
        <f t="shared" si="23"/>
        <v>6.4459323612630383E-3</v>
      </c>
      <c r="BH42" s="29"/>
    </row>
    <row r="43" spans="1:60" x14ac:dyDescent="0.25">
      <c r="A43" s="1">
        <v>46085</v>
      </c>
      <c r="B43" s="33">
        <v>38.979999999999997</v>
      </c>
      <c r="C43" s="33">
        <v>38.9</v>
      </c>
      <c r="D43" s="15">
        <v>4.88621262753881E-3</v>
      </c>
      <c r="E43" s="15">
        <v>4.3797570977399296E-3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38.979999999999997</v>
      </c>
      <c r="M43" s="33">
        <v>38.9</v>
      </c>
      <c r="N43" s="34">
        <v>0.997947665469471</v>
      </c>
      <c r="O43" s="34">
        <v>1.0078468940038601</v>
      </c>
      <c r="P43" s="34">
        <v>1.00429735459142</v>
      </c>
      <c r="Q43" s="34">
        <v>1.00305098271451</v>
      </c>
      <c r="R43" s="33">
        <v>39.285871928270801</v>
      </c>
      <c r="S43" s="33">
        <v>39.119345886988697</v>
      </c>
      <c r="T43" s="33">
        <v>39.1315214901256</v>
      </c>
      <c r="U43" s="15">
        <v>9.8707106984279001E-3</v>
      </c>
      <c r="V43" s="15">
        <v>5.6228737221762498E-3</v>
      </c>
      <c r="W43" s="15">
        <v>5.9340677994644897E-3</v>
      </c>
      <c r="X43" s="34">
        <v>0.997947665469471</v>
      </c>
      <c r="Y43" s="34">
        <v>1.0078468940038601</v>
      </c>
      <c r="Z43" s="34">
        <v>1.00429735459142</v>
      </c>
      <c r="AA43" s="34">
        <v>1.00305098271451</v>
      </c>
      <c r="AB43" s="33">
        <v>39.285871928270801</v>
      </c>
      <c r="AC43" s="33">
        <v>39.119345886988697</v>
      </c>
      <c r="AD43" s="33">
        <v>39.1315214901256</v>
      </c>
      <c r="AE43" s="15">
        <v>9.8707106984279001E-3</v>
      </c>
      <c r="AF43" s="15">
        <v>5.6228737221762498E-3</v>
      </c>
      <c r="AG43" s="15">
        <v>5.9340677994644897E-3</v>
      </c>
      <c r="AI43" s="12"/>
      <c r="AJ43">
        <f t="shared" si="4"/>
        <v>0</v>
      </c>
      <c r="AK43">
        <f t="shared" si="5"/>
        <v>1</v>
      </c>
      <c r="AL43">
        <f t="shared" si="14"/>
        <v>0</v>
      </c>
      <c r="AM43">
        <f t="shared" si="6"/>
        <v>1</v>
      </c>
      <c r="AN43">
        <f t="shared" si="15"/>
        <v>0</v>
      </c>
      <c r="AO43" s="28">
        <f t="shared" si="7"/>
        <v>0</v>
      </c>
      <c r="AP43" s="28">
        <f t="shared" si="8"/>
        <v>0</v>
      </c>
      <c r="AQ43" s="28">
        <f t="shared" si="16"/>
        <v>0</v>
      </c>
      <c r="AR43" s="29">
        <f t="shared" si="17"/>
        <v>0</v>
      </c>
      <c r="AT43" s="12"/>
      <c r="AU43">
        <f t="shared" si="9"/>
        <v>0</v>
      </c>
      <c r="AV43">
        <f t="shared" si="10"/>
        <v>0</v>
      </c>
      <c r="AW43">
        <f t="shared" si="18"/>
        <v>0</v>
      </c>
      <c r="AX43">
        <f t="shared" si="11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6.4459323612630383E-3</v>
      </c>
      <c r="BE43" s="29">
        <f t="shared" si="22"/>
        <v>0</v>
      </c>
      <c r="BF43" s="29">
        <f t="shared" si="23"/>
        <v>6.4459323612630383E-3</v>
      </c>
      <c r="BH43" s="29"/>
    </row>
    <row r="44" spans="1:60" x14ac:dyDescent="0.25">
      <c r="A44" s="1">
        <v>46086</v>
      </c>
      <c r="B44" s="33">
        <v>37.54</v>
      </c>
      <c r="C44" s="33">
        <v>37.75</v>
      </c>
      <c r="D44" s="15">
        <v>-3.7641662921051901E-2</v>
      </c>
      <c r="E44" s="15">
        <v>-3.0008774929366901E-2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37.54</v>
      </c>
      <c r="M44" s="33">
        <v>37.75</v>
      </c>
      <c r="N44" s="34">
        <v>1.0055940330314299</v>
      </c>
      <c r="O44" s="34">
        <v>1.0078468940038601</v>
      </c>
      <c r="P44" s="34">
        <v>1.0045544908920401</v>
      </c>
      <c r="Q44" s="34">
        <v>1.0027424490719601</v>
      </c>
      <c r="R44" s="33">
        <v>37.834572400905202</v>
      </c>
      <c r="S44" s="33">
        <v>37.701322691362002</v>
      </c>
      <c r="T44" s="33">
        <v>37.654533891102702</v>
      </c>
      <c r="U44" s="15">
        <v>2.23782270674285E-3</v>
      </c>
      <c r="V44" s="15">
        <v>-1.29029720500793E-3</v>
      </c>
      <c r="W44" s="15">
        <v>-2.53210662484573E-3</v>
      </c>
      <c r="X44" s="34">
        <v>1.0055940330314299</v>
      </c>
      <c r="Y44" s="34">
        <v>1.0078468940038601</v>
      </c>
      <c r="Z44" s="34">
        <v>1.0045544908920401</v>
      </c>
      <c r="AA44" s="34">
        <v>1.0027424490719601</v>
      </c>
      <c r="AB44" s="33">
        <v>37.834572400905202</v>
      </c>
      <c r="AC44" s="33">
        <v>37.701322691362002</v>
      </c>
      <c r="AD44" s="33">
        <v>37.654533891102702</v>
      </c>
      <c r="AE44" s="15">
        <v>2.23782270674285E-3</v>
      </c>
      <c r="AF44" s="15">
        <v>-1.29029720500793E-3</v>
      </c>
      <c r="AG44" s="15">
        <v>-2.53210662484573E-3</v>
      </c>
      <c r="AI44" s="12"/>
      <c r="AJ44">
        <f t="shared" si="4"/>
        <v>0</v>
      </c>
      <c r="AK44">
        <f t="shared" si="5"/>
        <v>1</v>
      </c>
      <c r="AL44">
        <f t="shared" si="14"/>
        <v>0</v>
      </c>
      <c r="AM44">
        <f t="shared" si="6"/>
        <v>1</v>
      </c>
      <c r="AN44">
        <f t="shared" si="15"/>
        <v>0</v>
      </c>
      <c r="AO44" s="28">
        <f t="shared" si="7"/>
        <v>0</v>
      </c>
      <c r="AP44" s="28">
        <f t="shared" si="8"/>
        <v>0</v>
      </c>
      <c r="AQ44" s="28">
        <f t="shared" si="16"/>
        <v>0</v>
      </c>
      <c r="AR44" s="29">
        <f t="shared" si="17"/>
        <v>0</v>
      </c>
      <c r="AT44" s="12"/>
      <c r="AU44">
        <f t="shared" si="9"/>
        <v>0</v>
      </c>
      <c r="AV44">
        <f t="shared" si="10"/>
        <v>1</v>
      </c>
      <c r="AW44">
        <f t="shared" si="18"/>
        <v>0</v>
      </c>
      <c r="AX44">
        <f t="shared" si="11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6.4459323612630383E-3</v>
      </c>
      <c r="BE44" s="29">
        <f t="shared" si="22"/>
        <v>0</v>
      </c>
      <c r="BF44" s="29">
        <f t="shared" si="23"/>
        <v>6.4459323612630383E-3</v>
      </c>
      <c r="BH44" s="29"/>
    </row>
    <row r="45" spans="1:60" x14ac:dyDescent="0.25">
      <c r="A45" s="1">
        <v>46087</v>
      </c>
      <c r="B45" s="33">
        <v>37.65</v>
      </c>
      <c r="C45" s="33">
        <v>38.01</v>
      </c>
      <c r="D45" s="15">
        <v>2.9259230875398E-3</v>
      </c>
      <c r="E45" s="15">
        <v>6.8638073061235297E-3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37.65</v>
      </c>
      <c r="M45" s="33">
        <v>38.01</v>
      </c>
      <c r="N45" s="34">
        <v>1.0095617529880401</v>
      </c>
      <c r="O45" s="34">
        <v>1.0078468940038601</v>
      </c>
      <c r="P45" s="34">
        <v>1.00503614071632</v>
      </c>
      <c r="Q45" s="34">
        <v>1.00298857795848</v>
      </c>
      <c r="R45" s="33">
        <v>37.945435559245603</v>
      </c>
      <c r="S45" s="33">
        <v>37.821476582085502</v>
      </c>
      <c r="T45" s="33">
        <v>37.753253207559403</v>
      </c>
      <c r="U45" s="15">
        <v>-1.70006151184103E-3</v>
      </c>
      <c r="V45" s="15">
        <v>-4.9721781721753198E-3</v>
      </c>
      <c r="W45" s="15">
        <v>-6.7776333355127599E-3</v>
      </c>
      <c r="X45" s="34">
        <v>1.0095617529880401</v>
      </c>
      <c r="Y45" s="34">
        <v>1.0078468940038601</v>
      </c>
      <c r="Z45" s="34">
        <v>1.00503614071632</v>
      </c>
      <c r="AA45" s="34">
        <v>1.00298857795848</v>
      </c>
      <c r="AB45" s="33">
        <v>37.945435559245603</v>
      </c>
      <c r="AC45" s="33">
        <v>37.821476582085502</v>
      </c>
      <c r="AD45" s="33">
        <v>37.753253207559403</v>
      </c>
      <c r="AE45" s="15">
        <v>-1.70006151184103E-3</v>
      </c>
      <c r="AF45" s="15">
        <v>-4.9721781721753198E-3</v>
      </c>
      <c r="AG45" s="15">
        <v>-6.7776333355127599E-3</v>
      </c>
      <c r="AI45" s="12"/>
      <c r="AJ45">
        <f t="shared" si="4"/>
        <v>0</v>
      </c>
      <c r="AK45">
        <f t="shared" si="5"/>
        <v>1</v>
      </c>
      <c r="AL45">
        <f t="shared" si="14"/>
        <v>0</v>
      </c>
      <c r="AM45">
        <f t="shared" si="6"/>
        <v>1</v>
      </c>
      <c r="AN45">
        <f t="shared" si="15"/>
        <v>0</v>
      </c>
      <c r="AO45" s="28">
        <f t="shared" si="7"/>
        <v>0</v>
      </c>
      <c r="AP45" s="28">
        <f t="shared" si="8"/>
        <v>0</v>
      </c>
      <c r="AQ45" s="28">
        <f t="shared" si="16"/>
        <v>0</v>
      </c>
      <c r="AR45" s="29">
        <f t="shared" si="17"/>
        <v>0</v>
      </c>
      <c r="AT45" s="12"/>
      <c r="AU45">
        <f t="shared" si="9"/>
        <v>0</v>
      </c>
      <c r="AV45">
        <f t="shared" si="10"/>
        <v>1</v>
      </c>
      <c r="AW45">
        <f t="shared" si="18"/>
        <v>0</v>
      </c>
      <c r="AX45">
        <f t="shared" si="11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6.4459323612630383E-3</v>
      </c>
      <c r="BE45" s="29">
        <f t="shared" si="22"/>
        <v>0</v>
      </c>
      <c r="BF45" s="29">
        <f t="shared" si="23"/>
        <v>6.4459323612630383E-3</v>
      </c>
      <c r="BH45" s="29"/>
    </row>
    <row r="46" spans="1:60" x14ac:dyDescent="0.25">
      <c r="A46" s="1">
        <v>46090</v>
      </c>
      <c r="B46" s="33">
        <v>37.28</v>
      </c>
      <c r="C46" s="33">
        <v>37.54</v>
      </c>
      <c r="D46" s="15">
        <v>-9.8759644285121104E-3</v>
      </c>
      <c r="E46" s="15">
        <v>-1.2442251842794599E-2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37.28</v>
      </c>
      <c r="M46" s="33">
        <v>37.54</v>
      </c>
      <c r="N46" s="34">
        <v>1.0069742489270299</v>
      </c>
      <c r="O46" s="34">
        <v>1.0078468940038601</v>
      </c>
      <c r="P46" s="34">
        <v>1.0050391211645799</v>
      </c>
      <c r="Q46" s="34">
        <v>1.00317100746801</v>
      </c>
      <c r="R46" s="33">
        <v>37.572532208464203</v>
      </c>
      <c r="S46" s="33">
        <v>37.467747325904597</v>
      </c>
      <c r="T46" s="33">
        <v>37.391414186292103</v>
      </c>
      <c r="U46" s="15">
        <v>8.6622590244160298E-4</v>
      </c>
      <c r="V46" s="15">
        <v>-1.92653956474321E-3</v>
      </c>
      <c r="W46" s="15">
        <v>-3.9659203039025797E-3</v>
      </c>
      <c r="X46" s="34">
        <v>1.0069742489270299</v>
      </c>
      <c r="Y46" s="34">
        <v>1.0078468940038601</v>
      </c>
      <c r="Z46" s="34">
        <v>1.0050391211645799</v>
      </c>
      <c r="AA46" s="34">
        <v>1.00317100746801</v>
      </c>
      <c r="AB46" s="33">
        <v>37.572532208464203</v>
      </c>
      <c r="AC46" s="33">
        <v>37.467747325904597</v>
      </c>
      <c r="AD46" s="33">
        <v>37.391414186292103</v>
      </c>
      <c r="AE46" s="15">
        <v>8.6622590244160298E-4</v>
      </c>
      <c r="AF46" s="15">
        <v>-1.92653956474321E-3</v>
      </c>
      <c r="AG46" s="15">
        <v>-3.9659203039025797E-3</v>
      </c>
      <c r="AI46" s="12"/>
      <c r="AJ46">
        <f t="shared" si="4"/>
        <v>0</v>
      </c>
      <c r="AK46">
        <f t="shared" si="5"/>
        <v>1</v>
      </c>
      <c r="AL46">
        <f t="shared" si="14"/>
        <v>0</v>
      </c>
      <c r="AM46">
        <f t="shared" si="6"/>
        <v>1</v>
      </c>
      <c r="AN46">
        <f t="shared" si="15"/>
        <v>0</v>
      </c>
      <c r="AO46" s="28">
        <f t="shared" si="7"/>
        <v>0</v>
      </c>
      <c r="AP46" s="28">
        <f t="shared" si="8"/>
        <v>0</v>
      </c>
      <c r="AQ46" s="28">
        <f t="shared" si="16"/>
        <v>0</v>
      </c>
      <c r="AR46" s="29">
        <f t="shared" si="17"/>
        <v>0</v>
      </c>
      <c r="AT46" s="12"/>
      <c r="AU46">
        <f t="shared" si="9"/>
        <v>0</v>
      </c>
      <c r="AV46">
        <f t="shared" si="10"/>
        <v>1</v>
      </c>
      <c r="AW46">
        <f t="shared" si="18"/>
        <v>0</v>
      </c>
      <c r="AX46">
        <f t="shared" si="11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6.4459323612630383E-3</v>
      </c>
      <c r="BE46" s="29">
        <f t="shared" si="22"/>
        <v>0</v>
      </c>
      <c r="BF46" s="29">
        <f t="shared" si="23"/>
        <v>6.4459323612630383E-3</v>
      </c>
      <c r="BH46" s="29"/>
    </row>
    <row r="47" spans="1:60" x14ac:dyDescent="0.25">
      <c r="A47" s="1">
        <v>46091</v>
      </c>
      <c r="B47" s="33">
        <v>36.840000000000003</v>
      </c>
      <c r="C47" s="33">
        <v>37.28</v>
      </c>
      <c r="D47" s="15">
        <v>-1.18727784302843E-2</v>
      </c>
      <c r="E47" s="15">
        <v>-6.9500413409722701E-3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36.840000000000003</v>
      </c>
      <c r="M47" s="33">
        <v>37.28</v>
      </c>
      <c r="N47" s="34">
        <v>1.0119435396308301</v>
      </c>
      <c r="O47" s="34">
        <v>1.0078468940038601</v>
      </c>
      <c r="P47" s="34">
        <v>1.00549273438692</v>
      </c>
      <c r="Q47" s="34">
        <v>1.00370404899548</v>
      </c>
      <c r="R47" s="33">
        <v>37.129079575102502</v>
      </c>
      <c r="S47" s="33">
        <v>37.025641223703303</v>
      </c>
      <c r="T47" s="33">
        <v>36.956819915121798</v>
      </c>
      <c r="U47" s="15">
        <v>-4.0565111868704597E-3</v>
      </c>
      <c r="V47" s="15">
        <v>-6.8463111449362001E-3</v>
      </c>
      <c r="W47" s="15">
        <v>-8.7067880031941308E-3</v>
      </c>
      <c r="X47" s="34">
        <v>1.0119435396308301</v>
      </c>
      <c r="Y47" s="34">
        <v>1.0078468940038601</v>
      </c>
      <c r="Z47" s="34">
        <v>1.00549273438692</v>
      </c>
      <c r="AA47" s="34">
        <v>1.00370404899548</v>
      </c>
      <c r="AB47" s="33">
        <v>37.129079575102502</v>
      </c>
      <c r="AC47" s="33">
        <v>37.025641223703303</v>
      </c>
      <c r="AD47" s="33">
        <v>36.956819915121798</v>
      </c>
      <c r="AE47" s="15">
        <v>-4.0565111868704597E-3</v>
      </c>
      <c r="AF47" s="15">
        <v>-6.8463111449362001E-3</v>
      </c>
      <c r="AG47" s="15">
        <v>-8.7067880031941308E-3</v>
      </c>
      <c r="AI47" s="12"/>
      <c r="AJ47">
        <f t="shared" si="4"/>
        <v>0</v>
      </c>
      <c r="AK47">
        <f t="shared" si="5"/>
        <v>1</v>
      </c>
      <c r="AL47">
        <f t="shared" si="14"/>
        <v>0</v>
      </c>
      <c r="AM47">
        <f t="shared" si="6"/>
        <v>1</v>
      </c>
      <c r="AN47">
        <f t="shared" si="15"/>
        <v>0</v>
      </c>
      <c r="AO47" s="28">
        <f t="shared" si="7"/>
        <v>0</v>
      </c>
      <c r="AP47" s="28">
        <f t="shared" si="8"/>
        <v>0</v>
      </c>
      <c r="AQ47" s="28">
        <f t="shared" si="16"/>
        <v>0</v>
      </c>
      <c r="AR47" s="29">
        <f t="shared" si="17"/>
        <v>0</v>
      </c>
      <c r="AT47" s="12"/>
      <c r="AU47">
        <f t="shared" si="9"/>
        <v>0</v>
      </c>
      <c r="AV47">
        <f t="shared" si="10"/>
        <v>1</v>
      </c>
      <c r="AW47">
        <f t="shared" si="18"/>
        <v>0</v>
      </c>
      <c r="AX47">
        <f t="shared" si="11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6.4459323612630383E-3</v>
      </c>
      <c r="BE47" s="29">
        <f t="shared" si="22"/>
        <v>0</v>
      </c>
      <c r="BF47" s="29">
        <f t="shared" si="23"/>
        <v>6.4459323612630383E-3</v>
      </c>
      <c r="BH47" s="29"/>
    </row>
    <row r="48" spans="1:60" x14ac:dyDescent="0.25">
      <c r="A48" s="1">
        <v>46092</v>
      </c>
      <c r="B48" s="33">
        <v>37.130000000000003</v>
      </c>
      <c r="C48" s="33">
        <v>37.36</v>
      </c>
      <c r="D48" s="15">
        <v>7.8410568018825108E-3</v>
      </c>
      <c r="E48" s="15">
        <v>2.14362354325136E-3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37.130000000000003</v>
      </c>
      <c r="M48" s="33">
        <v>37.36</v>
      </c>
      <c r="N48" s="34">
        <v>1.00619445192566</v>
      </c>
      <c r="O48" s="34">
        <v>1.0078468940038601</v>
      </c>
      <c r="P48" s="34">
        <v>1.00567728574475</v>
      </c>
      <c r="Q48" s="34">
        <v>1.00360023775717</v>
      </c>
      <c r="R48" s="33">
        <v>37.421355174363597</v>
      </c>
      <c r="S48" s="33">
        <v>37.3339452277866</v>
      </c>
      <c r="T48" s="33">
        <v>37.267531339202201</v>
      </c>
      <c r="U48" s="15">
        <v>1.64092207176076E-3</v>
      </c>
      <c r="V48" s="15">
        <v>-6.9764083797175104E-4</v>
      </c>
      <c r="W48" s="15">
        <v>-2.4781392727471901E-3</v>
      </c>
      <c r="X48" s="34">
        <v>1.00619445192566</v>
      </c>
      <c r="Y48" s="34">
        <v>1.0078468940038601</v>
      </c>
      <c r="Z48" s="34">
        <v>1.00567728574475</v>
      </c>
      <c r="AA48" s="34">
        <v>1.00360023775717</v>
      </c>
      <c r="AB48" s="33">
        <v>37.421355174363597</v>
      </c>
      <c r="AC48" s="33">
        <v>37.3339452277866</v>
      </c>
      <c r="AD48" s="33">
        <v>37.267531339202201</v>
      </c>
      <c r="AE48" s="15">
        <v>1.64092207176076E-3</v>
      </c>
      <c r="AF48" s="15">
        <v>-6.9764083797175104E-4</v>
      </c>
      <c r="AG48" s="15">
        <v>-2.4781392727471901E-3</v>
      </c>
      <c r="AI48" s="12"/>
      <c r="AJ48">
        <f t="shared" si="4"/>
        <v>0</v>
      </c>
      <c r="AK48">
        <f t="shared" si="5"/>
        <v>1</v>
      </c>
      <c r="AL48">
        <f t="shared" si="14"/>
        <v>0</v>
      </c>
      <c r="AM48">
        <f t="shared" si="6"/>
        <v>1</v>
      </c>
      <c r="AN48">
        <f t="shared" si="15"/>
        <v>0</v>
      </c>
      <c r="AO48" s="28">
        <f t="shared" si="7"/>
        <v>0</v>
      </c>
      <c r="AP48" s="28">
        <f t="shared" si="8"/>
        <v>0</v>
      </c>
      <c r="AQ48" s="28">
        <f t="shared" si="16"/>
        <v>0</v>
      </c>
      <c r="AR48" s="29">
        <f t="shared" si="17"/>
        <v>0</v>
      </c>
      <c r="AT48" s="12"/>
      <c r="AU48">
        <f t="shared" si="9"/>
        <v>0</v>
      </c>
      <c r="AV48">
        <f t="shared" si="10"/>
        <v>1</v>
      </c>
      <c r="AW48">
        <f t="shared" si="18"/>
        <v>0</v>
      </c>
      <c r="AX48">
        <f t="shared" si="11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6.4459323612630383E-3</v>
      </c>
      <c r="BE48" s="29">
        <f t="shared" si="22"/>
        <v>0</v>
      </c>
      <c r="BF48" s="29">
        <f t="shared" si="23"/>
        <v>6.4459323612630383E-3</v>
      </c>
      <c r="BH48" s="29"/>
    </row>
    <row r="49" spans="1:60" x14ac:dyDescent="0.25">
      <c r="A49" s="1">
        <v>46093</v>
      </c>
      <c r="B49" s="33">
        <v>36.97</v>
      </c>
      <c r="C49" s="33">
        <v>37.26</v>
      </c>
      <c r="D49" s="15">
        <v>-4.31849524044831E-3</v>
      </c>
      <c r="E49" s="15">
        <v>-2.6802481871994899E-3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36.97</v>
      </c>
      <c r="M49" s="33">
        <v>37.26</v>
      </c>
      <c r="N49" s="34">
        <v>1.0078441979983701</v>
      </c>
      <c r="O49" s="34">
        <v>1.0078468940038601</v>
      </c>
      <c r="P49" s="34">
        <v>1.00579928516242</v>
      </c>
      <c r="Q49" s="34">
        <v>1.0040185028941999</v>
      </c>
      <c r="R49" s="33">
        <v>37.260099671322997</v>
      </c>
      <c r="S49" s="33">
        <v>37.179889253983603</v>
      </c>
      <c r="T49" s="33">
        <v>37.103100789882902</v>
      </c>
      <c r="U49" s="15">
        <v>2.67501851197228E-6</v>
      </c>
      <c r="V49" s="15">
        <v>-2.15236152945381E-3</v>
      </c>
      <c r="W49" s="15">
        <v>-4.21981981047625E-3</v>
      </c>
      <c r="X49" s="34">
        <v>1.0078441979983701</v>
      </c>
      <c r="Y49" s="34">
        <v>1.0078468940038601</v>
      </c>
      <c r="Z49" s="34">
        <v>1.00579928516242</v>
      </c>
      <c r="AA49" s="34">
        <v>1.0040185028941999</v>
      </c>
      <c r="AB49" s="33">
        <v>37.260099671322997</v>
      </c>
      <c r="AC49" s="33">
        <v>37.179889253983603</v>
      </c>
      <c r="AD49" s="33">
        <v>37.103100789882902</v>
      </c>
      <c r="AE49" s="15">
        <v>2.67501851197228E-6</v>
      </c>
      <c r="AF49" s="15">
        <v>-2.15236152945381E-3</v>
      </c>
      <c r="AG49" s="15">
        <v>-4.21981981047625E-3</v>
      </c>
      <c r="AI49" s="12"/>
      <c r="AJ49">
        <f t="shared" si="4"/>
        <v>0</v>
      </c>
      <c r="AK49">
        <f t="shared" si="5"/>
        <v>1</v>
      </c>
      <c r="AL49">
        <f t="shared" si="14"/>
        <v>0</v>
      </c>
      <c r="AM49">
        <f t="shared" si="6"/>
        <v>1</v>
      </c>
      <c r="AN49">
        <f t="shared" si="15"/>
        <v>0</v>
      </c>
      <c r="AO49" s="28">
        <f t="shared" si="7"/>
        <v>0</v>
      </c>
      <c r="AP49" s="28">
        <f t="shared" si="8"/>
        <v>0</v>
      </c>
      <c r="AQ49" s="28">
        <f t="shared" si="16"/>
        <v>0</v>
      </c>
      <c r="AR49" s="29">
        <f t="shared" si="17"/>
        <v>0</v>
      </c>
      <c r="AT49" s="12"/>
      <c r="AU49">
        <f t="shared" si="9"/>
        <v>0</v>
      </c>
      <c r="AV49">
        <f t="shared" si="10"/>
        <v>1</v>
      </c>
      <c r="AW49">
        <f t="shared" si="18"/>
        <v>0</v>
      </c>
      <c r="AX49">
        <f t="shared" si="11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6.4459323612630383E-3</v>
      </c>
      <c r="BE49" s="29">
        <f t="shared" si="22"/>
        <v>0</v>
      </c>
      <c r="BF49" s="29">
        <f t="shared" si="23"/>
        <v>6.4459323612630383E-3</v>
      </c>
      <c r="BH49" s="29"/>
    </row>
    <row r="50" spans="1:60" x14ac:dyDescent="0.25">
      <c r="A50" s="1">
        <v>46094</v>
      </c>
      <c r="B50" s="33">
        <v>36.6</v>
      </c>
      <c r="C50" s="33">
        <v>36.700000000000003</v>
      </c>
      <c r="D50" s="15">
        <v>-1.00585325412198E-2</v>
      </c>
      <c r="E50" s="15">
        <v>-1.5143610112917601E-2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36.6</v>
      </c>
      <c r="M50" s="33">
        <v>36.700000000000003</v>
      </c>
      <c r="N50" s="34">
        <v>1.0027322404371499</v>
      </c>
      <c r="O50" s="34">
        <v>1.0078468940038601</v>
      </c>
      <c r="P50" s="34">
        <v>1.0050814037423501</v>
      </c>
      <c r="Q50" s="34">
        <v>1.0039163881255999</v>
      </c>
      <c r="R50" s="33">
        <v>36.887196320541598</v>
      </c>
      <c r="S50" s="33">
        <v>36.812253836944798</v>
      </c>
      <c r="T50" s="33">
        <v>36.747077205927702</v>
      </c>
      <c r="U50" s="15">
        <v>5.08775259020996E-3</v>
      </c>
      <c r="V50" s="15">
        <v>3.0540193868478002E-3</v>
      </c>
      <c r="W50" s="15">
        <v>1.28193562400897E-3</v>
      </c>
      <c r="X50" s="34">
        <v>1.0027322404371499</v>
      </c>
      <c r="Y50" s="34">
        <v>1.0078468940038601</v>
      </c>
      <c r="Z50" s="34">
        <v>1.0050814037423501</v>
      </c>
      <c r="AA50" s="34">
        <v>1.0039163881255999</v>
      </c>
      <c r="AB50" s="33">
        <v>36.887196320541598</v>
      </c>
      <c r="AC50" s="33">
        <v>36.812253836944798</v>
      </c>
      <c r="AD50" s="33">
        <v>36.747077205927702</v>
      </c>
      <c r="AE50" s="15">
        <v>5.08775259020996E-3</v>
      </c>
      <c r="AF50" s="15">
        <v>3.0540193868478002E-3</v>
      </c>
      <c r="AG50" s="15">
        <v>1.28193562400897E-3</v>
      </c>
      <c r="AI50" s="12"/>
      <c r="AJ50">
        <f t="shared" si="4"/>
        <v>0</v>
      </c>
      <c r="AK50">
        <f t="shared" si="5"/>
        <v>1</v>
      </c>
      <c r="AL50">
        <f t="shared" si="14"/>
        <v>0</v>
      </c>
      <c r="AM50">
        <f t="shared" si="6"/>
        <v>1</v>
      </c>
      <c r="AN50">
        <f t="shared" si="15"/>
        <v>0</v>
      </c>
      <c r="AO50" s="28">
        <f t="shared" si="7"/>
        <v>0</v>
      </c>
      <c r="AP50" s="28">
        <f t="shared" si="8"/>
        <v>0</v>
      </c>
      <c r="AQ50" s="28">
        <f t="shared" si="16"/>
        <v>0</v>
      </c>
      <c r="AR50" s="29">
        <f t="shared" si="17"/>
        <v>0</v>
      </c>
      <c r="AT50" s="12"/>
      <c r="AU50">
        <f t="shared" si="9"/>
        <v>0</v>
      </c>
      <c r="AV50">
        <f t="shared" si="10"/>
        <v>1</v>
      </c>
      <c r="AW50">
        <f t="shared" si="18"/>
        <v>0</v>
      </c>
      <c r="AX50">
        <f t="shared" si="11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6.4459323612630383E-3</v>
      </c>
      <c r="BE50" s="29">
        <f t="shared" si="22"/>
        <v>0</v>
      </c>
      <c r="BF50" s="29">
        <f t="shared" si="23"/>
        <v>6.4459323612630383E-3</v>
      </c>
      <c r="BH50" s="29"/>
    </row>
    <row r="51" spans="1:60" x14ac:dyDescent="0.25">
      <c r="A51" s="1">
        <v>46097</v>
      </c>
      <c r="B51" s="33">
        <v>36.56</v>
      </c>
      <c r="C51" s="33">
        <v>36.51</v>
      </c>
      <c r="D51" s="15">
        <v>-1.09349382137132E-3</v>
      </c>
      <c r="E51" s="15">
        <v>-5.1905593929792203E-3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36.56</v>
      </c>
      <c r="M51" s="33">
        <v>36.51</v>
      </c>
      <c r="N51" s="34">
        <v>0.99863238512035002</v>
      </c>
      <c r="O51" s="34">
        <v>1.0078468940038601</v>
      </c>
      <c r="P51" s="34">
        <v>1.0045877725118399</v>
      </c>
      <c r="Q51" s="34">
        <v>1.0040191050389</v>
      </c>
      <c r="R51" s="33">
        <v>36.8468824447814</v>
      </c>
      <c r="S51" s="33">
        <v>36.745776120820501</v>
      </c>
      <c r="T51" s="33">
        <v>36.703183149872203</v>
      </c>
      <c r="U51" s="15">
        <v>9.1848181618177493E-3</v>
      </c>
      <c r="V51" s="15">
        <v>6.4370878978354E-3</v>
      </c>
      <c r="W51" s="15">
        <v>5.2772899607179896E-3</v>
      </c>
      <c r="X51" s="34">
        <v>0.99863238512035002</v>
      </c>
      <c r="Y51" s="34">
        <v>1.0078468940038601</v>
      </c>
      <c r="Z51" s="34">
        <v>1.0045877725118399</v>
      </c>
      <c r="AA51" s="34">
        <v>1.0040191050389</v>
      </c>
      <c r="AB51" s="33">
        <v>36.8468824447814</v>
      </c>
      <c r="AC51" s="33">
        <v>36.745776120820501</v>
      </c>
      <c r="AD51" s="33">
        <v>36.703183149872203</v>
      </c>
      <c r="AE51" s="15">
        <v>9.1848181618177493E-3</v>
      </c>
      <c r="AF51" s="15">
        <v>6.4370878978354E-3</v>
      </c>
      <c r="AG51" s="15">
        <v>5.2772899607179896E-3</v>
      </c>
      <c r="AI51" s="12"/>
      <c r="AJ51">
        <f t="shared" si="4"/>
        <v>0</v>
      </c>
      <c r="AK51">
        <f t="shared" si="5"/>
        <v>1</v>
      </c>
      <c r="AL51">
        <f t="shared" si="14"/>
        <v>0</v>
      </c>
      <c r="AM51">
        <f t="shared" si="6"/>
        <v>1</v>
      </c>
      <c r="AN51">
        <f t="shared" si="15"/>
        <v>0</v>
      </c>
      <c r="AO51" s="28">
        <f t="shared" si="7"/>
        <v>0</v>
      </c>
      <c r="AP51" s="28">
        <f t="shared" si="8"/>
        <v>0</v>
      </c>
      <c r="AQ51" s="28">
        <f t="shared" si="16"/>
        <v>0</v>
      </c>
      <c r="AR51" s="29">
        <f t="shared" si="17"/>
        <v>0</v>
      </c>
      <c r="AT51" s="12"/>
      <c r="AU51">
        <f t="shared" si="9"/>
        <v>0</v>
      </c>
      <c r="AV51">
        <f t="shared" si="10"/>
        <v>0</v>
      </c>
      <c r="AW51">
        <f t="shared" si="18"/>
        <v>0</v>
      </c>
      <c r="AX51">
        <f t="shared" si="11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6.4459323612630383E-3</v>
      </c>
      <c r="BE51" s="29">
        <f t="shared" si="22"/>
        <v>0</v>
      </c>
      <c r="BF51" s="29">
        <f t="shared" si="23"/>
        <v>6.4459323612630383E-3</v>
      </c>
      <c r="BH51" s="29"/>
    </row>
    <row r="52" spans="1:60" x14ac:dyDescent="0.25">
      <c r="A52" s="1">
        <v>46098</v>
      </c>
      <c r="B52" s="33">
        <v>37.130000000000003</v>
      </c>
      <c r="C52" s="33">
        <v>36.94</v>
      </c>
      <c r="D52" s="15">
        <v>1.54705216030395E-2</v>
      </c>
      <c r="E52" s="15">
        <v>1.1708779103548299E-2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37.130000000000003</v>
      </c>
      <c r="M52" s="33">
        <v>36.94</v>
      </c>
      <c r="N52" s="34">
        <v>0.99488284406140504</v>
      </c>
      <c r="O52" s="34">
        <v>1.0078468940038601</v>
      </c>
      <c r="P52" s="34">
        <v>1.0042307359589699</v>
      </c>
      <c r="Q52" s="34">
        <v>1.0039027703267001</v>
      </c>
      <c r="R52" s="33">
        <v>37.421355174363597</v>
      </c>
      <c r="S52" s="33">
        <v>37.300343993364898</v>
      </c>
      <c r="T52" s="33">
        <v>37.279229370094399</v>
      </c>
      <c r="U52" s="15">
        <v>1.29465606613087E-2</v>
      </c>
      <c r="V52" s="15">
        <v>9.7075741783736007E-3</v>
      </c>
      <c r="W52" s="15">
        <v>9.1413434295952601E-3</v>
      </c>
      <c r="X52" s="34">
        <v>0.99488284406140504</v>
      </c>
      <c r="Y52" s="34">
        <v>1.0078468940038601</v>
      </c>
      <c r="Z52" s="34">
        <v>1.0042307359589699</v>
      </c>
      <c r="AA52" s="34">
        <v>1.0039027703267001</v>
      </c>
      <c r="AB52" s="33">
        <v>37.421355174363597</v>
      </c>
      <c r="AC52" s="33">
        <v>37.300343993364898</v>
      </c>
      <c r="AD52" s="33">
        <v>37.279229370094399</v>
      </c>
      <c r="AE52" s="15">
        <v>1.29465606613087E-2</v>
      </c>
      <c r="AF52" s="15">
        <v>9.7075741783736007E-3</v>
      </c>
      <c r="AG52" s="15">
        <v>9.1413434295952601E-3</v>
      </c>
      <c r="AI52" s="12"/>
      <c r="AJ52">
        <f t="shared" si="4"/>
        <v>0</v>
      </c>
      <c r="AK52">
        <f t="shared" si="5"/>
        <v>1</v>
      </c>
      <c r="AL52">
        <f t="shared" si="14"/>
        <v>0</v>
      </c>
      <c r="AM52">
        <f t="shared" si="6"/>
        <v>1</v>
      </c>
      <c r="AN52">
        <f t="shared" si="15"/>
        <v>0</v>
      </c>
      <c r="AO52" s="28">
        <f t="shared" si="7"/>
        <v>0</v>
      </c>
      <c r="AP52" s="28">
        <f t="shared" si="8"/>
        <v>0</v>
      </c>
      <c r="AQ52" s="28">
        <f t="shared" si="16"/>
        <v>0</v>
      </c>
      <c r="AR52" s="29">
        <f t="shared" si="17"/>
        <v>0</v>
      </c>
      <c r="AT52" s="12"/>
      <c r="AU52">
        <f t="shared" si="9"/>
        <v>0</v>
      </c>
      <c r="AV52">
        <f t="shared" si="10"/>
        <v>0</v>
      </c>
      <c r="AW52">
        <f t="shared" si="18"/>
        <v>0</v>
      </c>
      <c r="AX52">
        <f t="shared" si="11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6.4459323612630383E-3</v>
      </c>
      <c r="BE52" s="29">
        <f t="shared" si="22"/>
        <v>0</v>
      </c>
      <c r="BF52" s="29">
        <f t="shared" si="23"/>
        <v>6.4459323612630383E-3</v>
      </c>
      <c r="BH52" s="29"/>
    </row>
    <row r="53" spans="1:60" x14ac:dyDescent="0.25">
      <c r="A53" s="1">
        <v>46099</v>
      </c>
      <c r="B53" s="33">
        <v>36.17</v>
      </c>
      <c r="C53" s="33">
        <v>35.99</v>
      </c>
      <c r="D53" s="15">
        <v>-2.61952222249821E-2</v>
      </c>
      <c r="E53" s="15">
        <v>-2.60538526801544E-2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36.17</v>
      </c>
      <c r="M53" s="33">
        <v>35.99</v>
      </c>
      <c r="N53" s="34">
        <v>0.99502350013823604</v>
      </c>
      <c r="O53" s="34">
        <v>1.0078468940038601</v>
      </c>
      <c r="P53" s="34">
        <v>1.00393831942585</v>
      </c>
      <c r="Q53" s="34">
        <v>1.0041178370086301</v>
      </c>
      <c r="R53" s="33">
        <v>36.453822156119898</v>
      </c>
      <c r="S53" s="33">
        <v>36.323025719636199</v>
      </c>
      <c r="T53" s="33">
        <v>36.311163202716799</v>
      </c>
      <c r="U53" s="15">
        <v>1.28051911164812E-2</v>
      </c>
      <c r="V53" s="15">
        <v>9.2107354310036107E-3</v>
      </c>
      <c r="W53" s="15">
        <v>8.8840981490043505E-3</v>
      </c>
      <c r="X53" s="34">
        <v>0.99502350013823604</v>
      </c>
      <c r="Y53" s="34">
        <v>1.0078468940038601</v>
      </c>
      <c r="Z53" s="34">
        <v>1.00393831942585</v>
      </c>
      <c r="AA53" s="34">
        <v>1.0041178370086301</v>
      </c>
      <c r="AB53" s="33">
        <v>36.453822156119898</v>
      </c>
      <c r="AC53" s="33">
        <v>36.323025719636199</v>
      </c>
      <c r="AD53" s="33">
        <v>36.311163202716799</v>
      </c>
      <c r="AE53" s="15">
        <v>1.28051911164812E-2</v>
      </c>
      <c r="AF53" s="15">
        <v>9.2107354310036107E-3</v>
      </c>
      <c r="AG53" s="15">
        <v>8.8840981490043505E-3</v>
      </c>
      <c r="AI53" s="12"/>
      <c r="AJ53">
        <f t="shared" si="4"/>
        <v>0</v>
      </c>
      <c r="AK53">
        <f t="shared" si="5"/>
        <v>1</v>
      </c>
      <c r="AL53">
        <f t="shared" si="14"/>
        <v>0</v>
      </c>
      <c r="AM53">
        <f t="shared" si="6"/>
        <v>1</v>
      </c>
      <c r="AN53">
        <f t="shared" si="15"/>
        <v>0</v>
      </c>
      <c r="AO53" s="28">
        <f t="shared" si="7"/>
        <v>0</v>
      </c>
      <c r="AP53" s="28">
        <f t="shared" si="8"/>
        <v>0</v>
      </c>
      <c r="AQ53" s="28">
        <f t="shared" si="16"/>
        <v>0</v>
      </c>
      <c r="AR53" s="29">
        <f t="shared" si="17"/>
        <v>0</v>
      </c>
      <c r="AT53" s="12"/>
      <c r="AU53">
        <f t="shared" si="9"/>
        <v>0</v>
      </c>
      <c r="AV53">
        <f t="shared" si="10"/>
        <v>0</v>
      </c>
      <c r="AW53">
        <f t="shared" si="18"/>
        <v>0</v>
      </c>
      <c r="AX53">
        <f t="shared" si="11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6.4459323612630383E-3</v>
      </c>
      <c r="BE53" s="29">
        <f t="shared" si="22"/>
        <v>0</v>
      </c>
      <c r="BF53" s="29">
        <f t="shared" si="23"/>
        <v>6.4459323612630383E-3</v>
      </c>
      <c r="BH53" s="29"/>
    </row>
    <row r="54" spans="1:60" x14ac:dyDescent="0.25">
      <c r="A54" s="1">
        <v>46100</v>
      </c>
      <c r="B54" s="33">
        <v>35.89</v>
      </c>
      <c r="C54" s="33">
        <v>35.64</v>
      </c>
      <c r="D54" s="15">
        <v>-7.7713408044906996E-3</v>
      </c>
      <c r="E54" s="15">
        <v>-9.7725194883307703E-3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35.89</v>
      </c>
      <c r="M54" s="33">
        <v>35.64</v>
      </c>
      <c r="N54" s="34">
        <v>0.99303427138478595</v>
      </c>
      <c r="O54" s="34">
        <v>1.0078468940038601</v>
      </c>
      <c r="P54" s="34">
        <v>1.00268234326119</v>
      </c>
      <c r="Q54" s="34">
        <v>1.00361841707661</v>
      </c>
      <c r="R54" s="33">
        <v>36.171625025798797</v>
      </c>
      <c r="S54" s="33">
        <v>36.031346284193901</v>
      </c>
      <c r="T54" s="33">
        <v>36.037789170240004</v>
      </c>
      <c r="U54" s="15">
        <v>1.4806369800321E-2</v>
      </c>
      <c r="V54" s="15">
        <v>1.09206871044419E-2</v>
      </c>
      <c r="W54" s="15">
        <v>1.1099484477899E-2</v>
      </c>
      <c r="X54" s="34">
        <v>0.99303427138478595</v>
      </c>
      <c r="Y54" s="34">
        <v>1.0078468940038601</v>
      </c>
      <c r="Z54" s="34">
        <v>1.00268234326119</v>
      </c>
      <c r="AA54" s="34">
        <v>1.00361841707661</v>
      </c>
      <c r="AB54" s="33">
        <v>36.171625025798797</v>
      </c>
      <c r="AC54" s="33">
        <v>36.031346284193901</v>
      </c>
      <c r="AD54" s="33">
        <v>36.037789170240004</v>
      </c>
      <c r="AE54" s="15">
        <v>1.4806369800321E-2</v>
      </c>
      <c r="AF54" s="15">
        <v>1.09206871044419E-2</v>
      </c>
      <c r="AG54" s="15">
        <v>1.1099484477899E-2</v>
      </c>
      <c r="AI54" s="12"/>
      <c r="AJ54">
        <f t="shared" si="4"/>
        <v>0</v>
      </c>
      <c r="AK54">
        <f t="shared" si="5"/>
        <v>1</v>
      </c>
      <c r="AL54">
        <f t="shared" si="14"/>
        <v>0</v>
      </c>
      <c r="AM54">
        <f t="shared" si="6"/>
        <v>1</v>
      </c>
      <c r="AN54">
        <f t="shared" si="15"/>
        <v>0</v>
      </c>
      <c r="AO54" s="28">
        <f t="shared" si="7"/>
        <v>0</v>
      </c>
      <c r="AP54" s="28">
        <f t="shared" si="8"/>
        <v>0</v>
      </c>
      <c r="AQ54" s="28">
        <f t="shared" si="16"/>
        <v>0</v>
      </c>
      <c r="AR54" s="29">
        <f t="shared" si="17"/>
        <v>0</v>
      </c>
      <c r="AT54" s="12"/>
      <c r="AU54">
        <f t="shared" si="9"/>
        <v>1</v>
      </c>
      <c r="AV54">
        <f t="shared" si="10"/>
        <v>0</v>
      </c>
      <c r="AW54">
        <f t="shared" si="18"/>
        <v>0</v>
      </c>
      <c r="AX54">
        <f t="shared" si="11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6.4459323612630383E-3</v>
      </c>
      <c r="BE54" s="29">
        <f t="shared" si="22"/>
        <v>0</v>
      </c>
      <c r="BF54" s="29">
        <f t="shared" si="23"/>
        <v>6.4459323612630383E-3</v>
      </c>
      <c r="BH54" s="29"/>
    </row>
    <row r="55" spans="1:60" x14ac:dyDescent="0.25">
      <c r="A55" s="1">
        <v>46101</v>
      </c>
      <c r="B55" s="33">
        <v>35.4</v>
      </c>
      <c r="C55" s="33">
        <v>35.380000000000003</v>
      </c>
      <c r="D55" s="15">
        <v>-1.3746885019787099E-2</v>
      </c>
      <c r="E55" s="15">
        <v>-7.3219138709692501E-3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35.4</v>
      </c>
      <c r="M55" s="33">
        <v>35.380000000000003</v>
      </c>
      <c r="N55" s="34">
        <v>0.99943502824858699</v>
      </c>
      <c r="O55" s="34">
        <v>1.0078468940038601</v>
      </c>
      <c r="P55" s="34">
        <v>1.0016696707872399</v>
      </c>
      <c r="Q55" s="34">
        <v>1.00335290575178</v>
      </c>
      <c r="R55" s="33">
        <v>35.677780047736903</v>
      </c>
      <c r="S55" s="33">
        <v>35.494954951446097</v>
      </c>
      <c r="T55" s="33">
        <v>35.528091964512299</v>
      </c>
      <c r="U55" s="15">
        <v>8.3813986515031795E-3</v>
      </c>
      <c r="V55" s="15">
        <v>3.2438836068026601E-3</v>
      </c>
      <c r="W55" s="15">
        <v>4.1770177628140002E-3</v>
      </c>
      <c r="X55" s="34">
        <v>0.99943502824858699</v>
      </c>
      <c r="Y55" s="34">
        <v>1.0078468940038601</v>
      </c>
      <c r="Z55" s="34">
        <v>1.0016696707872399</v>
      </c>
      <c r="AA55" s="34">
        <v>1.00335290575178</v>
      </c>
      <c r="AB55" s="33">
        <v>35.677780047736903</v>
      </c>
      <c r="AC55" s="33">
        <v>35.494954951446097</v>
      </c>
      <c r="AD55" s="33">
        <v>35.528091964512299</v>
      </c>
      <c r="AE55" s="15">
        <v>8.3813986515031795E-3</v>
      </c>
      <c r="AF55" s="15">
        <v>3.2438836068026601E-3</v>
      </c>
      <c r="AG55" s="15">
        <v>4.1770177628140002E-3</v>
      </c>
      <c r="AI55" s="12"/>
      <c r="AJ55">
        <f t="shared" si="4"/>
        <v>0</v>
      </c>
      <c r="AK55">
        <f t="shared" si="5"/>
        <v>1</v>
      </c>
      <c r="AL55">
        <f t="shared" si="14"/>
        <v>0</v>
      </c>
      <c r="AM55">
        <f t="shared" si="6"/>
        <v>1</v>
      </c>
      <c r="AN55">
        <f t="shared" si="15"/>
        <v>0</v>
      </c>
      <c r="AO55" s="28">
        <f t="shared" si="7"/>
        <v>0</v>
      </c>
      <c r="AP55" s="28">
        <f t="shared" si="8"/>
        <v>0</v>
      </c>
      <c r="AQ55" s="28">
        <f t="shared" si="16"/>
        <v>0</v>
      </c>
      <c r="AR55" s="29">
        <f t="shared" si="17"/>
        <v>0</v>
      </c>
      <c r="AT55" s="12"/>
      <c r="AU55">
        <f t="shared" si="9"/>
        <v>0</v>
      </c>
      <c r="AV55">
        <f t="shared" si="10"/>
        <v>1</v>
      </c>
      <c r="AW55">
        <f t="shared" si="18"/>
        <v>1</v>
      </c>
      <c r="AX55">
        <f t="shared" si="11"/>
        <v>1</v>
      </c>
      <c r="AY55">
        <f t="shared" si="19"/>
        <v>1</v>
      </c>
      <c r="AZ55" s="28">
        <f t="shared" si="12"/>
        <v>1.3746885019787099E-2</v>
      </c>
      <c r="BA55" s="28">
        <f t="shared" si="13"/>
        <v>-7.3219138709692501E-3</v>
      </c>
      <c r="BB55" s="28">
        <f t="shared" si="20"/>
        <v>6.4249711488178493E-3</v>
      </c>
      <c r="BC55" s="29">
        <f t="shared" si="21"/>
        <v>1.2870903510080887E-2</v>
      </c>
      <c r="BE55" s="29">
        <f t="shared" si="22"/>
        <v>6.4249711488178493E-3</v>
      </c>
      <c r="BF55" s="29">
        <f t="shared" si="23"/>
        <v>1.2870903510080887E-2</v>
      </c>
      <c r="BH55" s="29"/>
    </row>
    <row r="56" spans="1:60" x14ac:dyDescent="0.25">
      <c r="A56" s="1">
        <v>46104</v>
      </c>
      <c r="B56" s="33">
        <v>36.799999999999997</v>
      </c>
      <c r="C56" s="33">
        <v>36.81</v>
      </c>
      <c r="D56" s="15">
        <v>3.87860250351564E-2</v>
      </c>
      <c r="E56" s="15">
        <v>3.9622858659290598E-2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36.799999999999997</v>
      </c>
      <c r="M56" s="33">
        <v>36.81</v>
      </c>
      <c r="N56" s="34">
        <v>1.0002717391304301</v>
      </c>
      <c r="O56" s="34">
        <v>1.0078468940038601</v>
      </c>
      <c r="P56" s="34">
        <v>1.00099941980758</v>
      </c>
      <c r="Q56" s="34">
        <v>1.0030192704860801</v>
      </c>
      <c r="R56" s="33">
        <v>37.088765699342403</v>
      </c>
      <c r="S56" s="33">
        <v>36.861443884970498</v>
      </c>
      <c r="T56" s="33">
        <v>36.923386931665704</v>
      </c>
      <c r="U56" s="15">
        <v>7.5445650273692202E-3</v>
      </c>
      <c r="V56" s="15">
        <v>1.39657622056016E-3</v>
      </c>
      <c r="W56" s="15">
        <v>3.07559508016946E-3</v>
      </c>
      <c r="X56" s="34">
        <v>1.0002717391304301</v>
      </c>
      <c r="Y56" s="34">
        <v>1.0078468940038601</v>
      </c>
      <c r="Z56" s="34">
        <v>1.00099941980758</v>
      </c>
      <c r="AA56" s="34">
        <v>1.0030192704860801</v>
      </c>
      <c r="AB56" s="33">
        <v>37.088765699342403</v>
      </c>
      <c r="AC56" s="33">
        <v>36.861443884970498</v>
      </c>
      <c r="AD56" s="33">
        <v>36.923386931665704</v>
      </c>
      <c r="AE56" s="15">
        <v>7.5445650273692202E-3</v>
      </c>
      <c r="AF56" s="15">
        <v>1.39657622056016E-3</v>
      </c>
      <c r="AG56" s="15">
        <v>3.07559508016946E-3</v>
      </c>
      <c r="AI56" s="12"/>
      <c r="AJ56">
        <f t="shared" si="4"/>
        <v>0</v>
      </c>
      <c r="AK56">
        <f t="shared" si="5"/>
        <v>1</v>
      </c>
      <c r="AL56">
        <f t="shared" si="14"/>
        <v>0</v>
      </c>
      <c r="AM56">
        <f t="shared" si="6"/>
        <v>1</v>
      </c>
      <c r="AN56">
        <f t="shared" si="15"/>
        <v>0</v>
      </c>
      <c r="AO56" s="28">
        <f t="shared" si="7"/>
        <v>0</v>
      </c>
      <c r="AP56" s="28">
        <f t="shared" si="8"/>
        <v>0</v>
      </c>
      <c r="AQ56" s="28">
        <f t="shared" si="16"/>
        <v>0</v>
      </c>
      <c r="AR56" s="29">
        <f t="shared" si="17"/>
        <v>0</v>
      </c>
      <c r="AT56" s="12"/>
      <c r="AU56">
        <f t="shared" si="9"/>
        <v>0</v>
      </c>
      <c r="AV56">
        <f t="shared" si="10"/>
        <v>1</v>
      </c>
      <c r="AW56">
        <f t="shared" si="18"/>
        <v>0</v>
      </c>
      <c r="AX56">
        <f t="shared" si="11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1.2870903510080887E-2</v>
      </c>
      <c r="BE56" s="29">
        <f t="shared" si="22"/>
        <v>0</v>
      </c>
      <c r="BF56" s="29">
        <f t="shared" si="23"/>
        <v>1.2870903510080887E-2</v>
      </c>
      <c r="BH56" s="29"/>
    </row>
    <row r="57" spans="1:60" x14ac:dyDescent="0.25">
      <c r="A57" s="1">
        <v>46105</v>
      </c>
      <c r="B57" s="33">
        <v>36.880000000000003</v>
      </c>
      <c r="C57" s="33">
        <v>36.58</v>
      </c>
      <c r="D57" s="15">
        <v>2.1715535135079299E-3</v>
      </c>
      <c r="E57" s="15">
        <v>-6.2679044282102801E-3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36.880000000000003</v>
      </c>
      <c r="M57" s="33">
        <v>36.58</v>
      </c>
      <c r="N57" s="34">
        <v>0.99186550976138799</v>
      </c>
      <c r="O57" s="34">
        <v>1.0078468940038601</v>
      </c>
      <c r="P57" s="34">
        <v>0.99899161682063897</v>
      </c>
      <c r="Q57" s="34">
        <v>1.00224217560378</v>
      </c>
      <c r="R57" s="33">
        <v>37.1693934508627</v>
      </c>
      <c r="S57" s="33">
        <v>36.916858602503702</v>
      </c>
      <c r="T57" s="33">
        <v>36.991350695526798</v>
      </c>
      <c r="U57" s="15">
        <v>1.59840229690873E-2</v>
      </c>
      <c r="V57" s="15">
        <v>9.1666764457860508E-3</v>
      </c>
      <c r="W57" s="15">
        <v>1.11824773684501E-2</v>
      </c>
      <c r="X57" s="34">
        <v>0.99186550976138799</v>
      </c>
      <c r="Y57" s="34">
        <v>1.0078468940038601</v>
      </c>
      <c r="Z57" s="34">
        <v>0.99899161682063897</v>
      </c>
      <c r="AA57" s="34">
        <v>1.00224217560378</v>
      </c>
      <c r="AB57" s="33">
        <v>37.1693934508627</v>
      </c>
      <c r="AC57" s="33">
        <v>36.916858602503702</v>
      </c>
      <c r="AD57" s="33">
        <v>36.991350695526798</v>
      </c>
      <c r="AE57" s="15">
        <v>1.59840229690873E-2</v>
      </c>
      <c r="AF57" s="15">
        <v>9.1666764457860508E-3</v>
      </c>
      <c r="AG57" s="15">
        <v>1.11824773684501E-2</v>
      </c>
      <c r="AI57" s="12"/>
      <c r="AJ57">
        <f t="shared" si="4"/>
        <v>0</v>
      </c>
      <c r="AK57">
        <f t="shared" si="5"/>
        <v>1</v>
      </c>
      <c r="AL57">
        <f t="shared" si="14"/>
        <v>0</v>
      </c>
      <c r="AM57">
        <f t="shared" si="6"/>
        <v>1</v>
      </c>
      <c r="AN57">
        <f t="shared" si="15"/>
        <v>0</v>
      </c>
      <c r="AO57" s="28">
        <f t="shared" si="7"/>
        <v>0</v>
      </c>
      <c r="AP57" s="28">
        <f t="shared" si="8"/>
        <v>0</v>
      </c>
      <c r="AQ57" s="28">
        <f t="shared" si="16"/>
        <v>0</v>
      </c>
      <c r="AR57" s="29">
        <f t="shared" si="17"/>
        <v>0</v>
      </c>
      <c r="AT57" s="12"/>
      <c r="AU57">
        <f t="shared" si="9"/>
        <v>1</v>
      </c>
      <c r="AV57">
        <f t="shared" si="10"/>
        <v>0</v>
      </c>
      <c r="AW57">
        <f t="shared" si="18"/>
        <v>0</v>
      </c>
      <c r="AX57">
        <f t="shared" si="11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1.2870903510080887E-2</v>
      </c>
      <c r="BE57" s="29">
        <f t="shared" si="22"/>
        <v>0</v>
      </c>
      <c r="BF57" s="29">
        <f t="shared" si="23"/>
        <v>1.2870903510080887E-2</v>
      </c>
      <c r="BH57" s="29"/>
    </row>
    <row r="58" spans="1:60" x14ac:dyDescent="0.25">
      <c r="A58" s="1">
        <v>46106</v>
      </c>
      <c r="B58" s="33">
        <v>36.81</v>
      </c>
      <c r="C58" s="33">
        <v>36.520000000000003</v>
      </c>
      <c r="D58" s="15">
        <v>-1.8998512974632801E-3</v>
      </c>
      <c r="E58" s="15">
        <v>-1.64158723595174E-3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36.81</v>
      </c>
      <c r="M58" s="33">
        <v>36.520000000000003</v>
      </c>
      <c r="N58" s="34">
        <v>0.99212170605813599</v>
      </c>
      <c r="O58" s="34">
        <v>1.0078468940038601</v>
      </c>
      <c r="P58" s="34">
        <v>0.99758434223388603</v>
      </c>
      <c r="Q58" s="34">
        <v>1.00163081398932</v>
      </c>
      <c r="R58" s="33">
        <v>37.098844168282398</v>
      </c>
      <c r="S58" s="33">
        <v>36.772881415167703</v>
      </c>
      <c r="T58" s="33">
        <v>36.892534483975297</v>
      </c>
      <c r="U58" s="15">
        <v>1.5725758907575799E-2</v>
      </c>
      <c r="V58" s="15">
        <v>6.9005997244371E-3</v>
      </c>
      <c r="W58" s="15">
        <v>1.01491573433215E-2</v>
      </c>
      <c r="X58" s="34">
        <v>0.99212170605813599</v>
      </c>
      <c r="Y58" s="34">
        <v>1.0078468940038601</v>
      </c>
      <c r="Z58" s="34">
        <v>0.99758434223388603</v>
      </c>
      <c r="AA58" s="34">
        <v>1.00163081398932</v>
      </c>
      <c r="AB58" s="33">
        <v>37.098844168282398</v>
      </c>
      <c r="AC58" s="33">
        <v>36.772881415167703</v>
      </c>
      <c r="AD58" s="33">
        <v>36.892534483975297</v>
      </c>
      <c r="AE58" s="15">
        <v>1.5725758907575799E-2</v>
      </c>
      <c r="AF58" s="15">
        <v>6.9005997244371E-3</v>
      </c>
      <c r="AG58" s="15">
        <v>1.01491573433215E-2</v>
      </c>
      <c r="AI58" s="12"/>
      <c r="AJ58">
        <f t="shared" si="4"/>
        <v>0</v>
      </c>
      <c r="AK58">
        <f t="shared" si="5"/>
        <v>1</v>
      </c>
      <c r="AL58">
        <f t="shared" si="14"/>
        <v>0</v>
      </c>
      <c r="AM58">
        <f t="shared" si="6"/>
        <v>1</v>
      </c>
      <c r="AN58">
        <f t="shared" si="15"/>
        <v>0</v>
      </c>
      <c r="AO58" s="28">
        <f t="shared" si="7"/>
        <v>0</v>
      </c>
      <c r="AP58" s="28">
        <f t="shared" si="8"/>
        <v>0</v>
      </c>
      <c r="AQ58" s="28">
        <f t="shared" si="16"/>
        <v>0</v>
      </c>
      <c r="AR58" s="29">
        <f t="shared" si="17"/>
        <v>0</v>
      </c>
      <c r="AT58" s="12"/>
      <c r="AU58">
        <f t="shared" si="9"/>
        <v>1</v>
      </c>
      <c r="AV58">
        <f t="shared" si="10"/>
        <v>0</v>
      </c>
      <c r="AW58">
        <f t="shared" si="18"/>
        <v>1</v>
      </c>
      <c r="AX58">
        <f t="shared" si="11"/>
        <v>1</v>
      </c>
      <c r="AY58">
        <f t="shared" si="19"/>
        <v>1</v>
      </c>
      <c r="AZ58" s="28">
        <f t="shared" si="12"/>
        <v>1.8998512974632801E-3</v>
      </c>
      <c r="BA58" s="28">
        <f t="shared" si="13"/>
        <v>-1.64158723595174E-3</v>
      </c>
      <c r="BB58" s="28">
        <f t="shared" si="20"/>
        <v>2.5826406151154002E-4</v>
      </c>
      <c r="BC58" s="29">
        <f t="shared" si="21"/>
        <v>1.3129167571592427E-2</v>
      </c>
      <c r="BE58" s="29">
        <f t="shared" si="22"/>
        <v>2.5826406151154002E-4</v>
      </c>
      <c r="BF58" s="29">
        <f t="shared" si="23"/>
        <v>1.3129167571592427E-2</v>
      </c>
      <c r="BH58" s="29"/>
    </row>
    <row r="59" spans="1:60" x14ac:dyDescent="0.25">
      <c r="A59" s="1">
        <v>46107</v>
      </c>
      <c r="B59" s="33">
        <v>36.840000000000003</v>
      </c>
      <c r="C59" s="33">
        <v>36.659999999999997</v>
      </c>
      <c r="D59" s="15">
        <v>8.1466399617628304E-4</v>
      </c>
      <c r="E59" s="15">
        <v>3.82618668479102E-3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36.840000000000003</v>
      </c>
      <c r="M59" s="33">
        <v>36.659999999999997</v>
      </c>
      <c r="N59" s="34">
        <v>0.99511400651465698</v>
      </c>
      <c r="O59" s="34">
        <v>1.0078468940038601</v>
      </c>
      <c r="P59" s="34">
        <v>0.99631132308551396</v>
      </c>
      <c r="Q59" s="34">
        <v>1.00105530412397</v>
      </c>
      <c r="R59" s="33">
        <v>37.129079575102502</v>
      </c>
      <c r="S59" s="33">
        <v>36.751007167896297</v>
      </c>
      <c r="T59" s="33">
        <v>36.900079187366501</v>
      </c>
      <c r="U59" s="15">
        <v>1.27142362189609E-2</v>
      </c>
      <c r="V59" s="15">
        <v>2.4793888009040001E-3</v>
      </c>
      <c r="W59" s="15">
        <v>6.5274546317143902E-3</v>
      </c>
      <c r="X59" s="34">
        <v>0.99511400651465698</v>
      </c>
      <c r="Y59" s="34">
        <v>1.0078468940038601</v>
      </c>
      <c r="Z59" s="34">
        <v>0.99631132308551396</v>
      </c>
      <c r="AA59" s="34">
        <v>1.00105530412397</v>
      </c>
      <c r="AB59" s="33">
        <v>37.129079575102502</v>
      </c>
      <c r="AC59" s="33">
        <v>36.751007167896297</v>
      </c>
      <c r="AD59" s="33">
        <v>36.900079187366501</v>
      </c>
      <c r="AE59" s="15">
        <v>1.27142362189609E-2</v>
      </c>
      <c r="AF59" s="15">
        <v>2.4793888009040001E-3</v>
      </c>
      <c r="AG59" s="15">
        <v>6.5274546317143902E-3</v>
      </c>
      <c r="AI59" s="12"/>
      <c r="AJ59">
        <f t="shared" si="4"/>
        <v>0</v>
      </c>
      <c r="AK59">
        <f t="shared" si="5"/>
        <v>1</v>
      </c>
      <c r="AL59">
        <f t="shared" si="14"/>
        <v>0</v>
      </c>
      <c r="AM59">
        <f t="shared" si="6"/>
        <v>1</v>
      </c>
      <c r="AN59">
        <f t="shared" si="15"/>
        <v>0</v>
      </c>
      <c r="AO59" s="28">
        <f t="shared" si="7"/>
        <v>0</v>
      </c>
      <c r="AP59" s="28">
        <f t="shared" si="8"/>
        <v>0</v>
      </c>
      <c r="AQ59" s="28">
        <f t="shared" si="16"/>
        <v>0</v>
      </c>
      <c r="AR59" s="29">
        <f t="shared" si="17"/>
        <v>0</v>
      </c>
      <c r="AT59" s="12"/>
      <c r="AU59">
        <f t="shared" si="9"/>
        <v>0</v>
      </c>
      <c r="AV59">
        <f t="shared" si="10"/>
        <v>0</v>
      </c>
      <c r="AW59">
        <f t="shared" si="18"/>
        <v>1</v>
      </c>
      <c r="AX59">
        <f t="shared" si="11"/>
        <v>1</v>
      </c>
      <c r="AY59">
        <f t="shared" si="19"/>
        <v>1</v>
      </c>
      <c r="AZ59" s="28">
        <f t="shared" si="12"/>
        <v>-8.1466399617628304E-4</v>
      </c>
      <c r="BA59" s="28">
        <f t="shared" si="13"/>
        <v>3.82618668479102E-3</v>
      </c>
      <c r="BB59" s="28">
        <f t="shared" si="20"/>
        <v>3.0115226886147368E-3</v>
      </c>
      <c r="BC59" s="29">
        <f t="shared" si="21"/>
        <v>1.6140690260207164E-2</v>
      </c>
      <c r="BE59" s="29">
        <f t="shared" si="22"/>
        <v>3.0115226886147368E-3</v>
      </c>
      <c r="BF59" s="29">
        <f t="shared" si="23"/>
        <v>1.6140690260207164E-2</v>
      </c>
      <c r="BH59" s="29"/>
    </row>
    <row r="60" spans="1:60" x14ac:dyDescent="0.25">
      <c r="A60" s="1">
        <v>46108</v>
      </c>
      <c r="B60" s="33">
        <v>36.78</v>
      </c>
      <c r="C60" s="33">
        <v>36.700000000000003</v>
      </c>
      <c r="D60" s="15">
        <v>-1.6299922109311699E-3</v>
      </c>
      <c r="E60" s="15">
        <v>1.0905126489659E-3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36.78</v>
      </c>
      <c r="M60" s="33">
        <v>36.700000000000003</v>
      </c>
      <c r="N60" s="34">
        <v>0.99782490483958597</v>
      </c>
      <c r="O60" s="34">
        <v>1.0078468940038601</v>
      </c>
      <c r="P60" s="34">
        <v>0.99582058952575703</v>
      </c>
      <c r="Q60" s="34">
        <v>1.00045099663405</v>
      </c>
      <c r="R60" s="33">
        <v>37.068608761462301</v>
      </c>
      <c r="S60" s="33">
        <v>36.644330463085197</v>
      </c>
      <c r="T60" s="33">
        <v>36.818814085679598</v>
      </c>
      <c r="U60" s="15">
        <v>9.9937313590643898E-3</v>
      </c>
      <c r="V60" s="15">
        <v>-1.5180327437393001E-3</v>
      </c>
      <c r="W60" s="15">
        <v>3.2322117976669798E-3</v>
      </c>
      <c r="X60" s="34">
        <v>0.99782490483958597</v>
      </c>
      <c r="Y60" s="34">
        <v>1.0078468940038601</v>
      </c>
      <c r="Z60" s="34">
        <v>0.99582058952575703</v>
      </c>
      <c r="AA60" s="34">
        <v>1.00045099663405</v>
      </c>
      <c r="AB60" s="33">
        <v>37.068608761462301</v>
      </c>
      <c r="AC60" s="33">
        <v>36.644330463085197</v>
      </c>
      <c r="AD60" s="33">
        <v>36.818814085679598</v>
      </c>
      <c r="AE60" s="15">
        <v>9.9937313590643898E-3</v>
      </c>
      <c r="AF60" s="15">
        <v>-1.5180327437393001E-3</v>
      </c>
      <c r="AG60" s="15">
        <v>3.2322117976669798E-3</v>
      </c>
      <c r="AI60" s="12"/>
      <c r="AJ60">
        <f t="shared" si="4"/>
        <v>0</v>
      </c>
      <c r="AK60">
        <f t="shared" si="5"/>
        <v>1</v>
      </c>
      <c r="AL60">
        <f t="shared" si="14"/>
        <v>0</v>
      </c>
      <c r="AM60">
        <f t="shared" si="6"/>
        <v>1</v>
      </c>
      <c r="AN60">
        <f t="shared" si="15"/>
        <v>0</v>
      </c>
      <c r="AO60" s="28">
        <f t="shared" si="7"/>
        <v>0</v>
      </c>
      <c r="AP60" s="28">
        <f t="shared" si="8"/>
        <v>0</v>
      </c>
      <c r="AQ60" s="28">
        <f t="shared" si="16"/>
        <v>0</v>
      </c>
      <c r="AR60" s="29">
        <f t="shared" si="17"/>
        <v>0</v>
      </c>
      <c r="AT60" s="12"/>
      <c r="AU60">
        <f t="shared" si="9"/>
        <v>0</v>
      </c>
      <c r="AV60">
        <f t="shared" si="10"/>
        <v>1</v>
      </c>
      <c r="AW60">
        <f t="shared" si="18"/>
        <v>1</v>
      </c>
      <c r="AX60">
        <f t="shared" si="11"/>
        <v>1</v>
      </c>
      <c r="AY60">
        <f t="shared" si="19"/>
        <v>1</v>
      </c>
      <c r="AZ60" s="28">
        <f t="shared" si="12"/>
        <v>1.6299922109311699E-3</v>
      </c>
      <c r="BA60" s="28">
        <f t="shared" si="13"/>
        <v>1.0905126489659E-3</v>
      </c>
      <c r="BB60" s="28">
        <f t="shared" si="20"/>
        <v>2.7205048598970697E-3</v>
      </c>
      <c r="BC60" s="29">
        <f t="shared" si="21"/>
        <v>1.8861195120104233E-2</v>
      </c>
      <c r="BE60" s="29">
        <f t="shared" si="22"/>
        <v>2.7205048598970697E-3</v>
      </c>
      <c r="BF60" s="29">
        <f t="shared" si="23"/>
        <v>1.8861195120104233E-2</v>
      </c>
      <c r="BH60" s="29"/>
    </row>
    <row r="61" spans="1:60" x14ac:dyDescent="0.25">
      <c r="A61" s="1">
        <v>46111</v>
      </c>
      <c r="B61" s="33">
        <v>36.68</v>
      </c>
      <c r="C61" s="33">
        <v>36.47</v>
      </c>
      <c r="D61" s="15">
        <v>-2.7225717879109899E-3</v>
      </c>
      <c r="E61" s="15">
        <v>-6.28675023993588E-3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36.68</v>
      </c>
      <c r="M61" s="33">
        <v>36.47</v>
      </c>
      <c r="N61" s="34">
        <v>0.99427480916030497</v>
      </c>
      <c r="O61" s="34">
        <v>1.0078468940038601</v>
      </c>
      <c r="P61" s="34">
        <v>0.99538483192975202</v>
      </c>
      <c r="Q61" s="34">
        <v>0.99998630222079998</v>
      </c>
      <c r="R61" s="33">
        <v>36.967824072061902</v>
      </c>
      <c r="S61" s="33">
        <v>36.526699223804698</v>
      </c>
      <c r="T61" s="33">
        <v>36.696542556537203</v>
      </c>
      <c r="U61" s="15">
        <v>1.3557909811089E-2</v>
      </c>
      <c r="V61" s="15">
        <v>1.5534739463638799E-3</v>
      </c>
      <c r="W61" s="15">
        <v>6.1925375333172997E-3</v>
      </c>
      <c r="X61" s="34">
        <v>0.99427480916030497</v>
      </c>
      <c r="Y61" s="34">
        <v>1.0078468940038601</v>
      </c>
      <c r="Z61" s="34">
        <v>0.99538483192975202</v>
      </c>
      <c r="AA61" s="34">
        <v>0.99998630222079998</v>
      </c>
      <c r="AB61" s="33">
        <v>36.967824072061902</v>
      </c>
      <c r="AC61" s="33">
        <v>36.526699223804698</v>
      </c>
      <c r="AD61" s="33">
        <v>36.696542556537203</v>
      </c>
      <c r="AE61" s="15">
        <v>1.3557909811089E-2</v>
      </c>
      <c r="AF61" s="15">
        <v>1.5534739463638799E-3</v>
      </c>
      <c r="AG61" s="15">
        <v>6.1925375333172997E-3</v>
      </c>
      <c r="AI61" s="12"/>
      <c r="AJ61">
        <f t="shared" si="4"/>
        <v>0</v>
      </c>
      <c r="AK61">
        <f t="shared" si="5"/>
        <v>1</v>
      </c>
      <c r="AL61">
        <f t="shared" si="14"/>
        <v>0</v>
      </c>
      <c r="AM61">
        <f t="shared" si="6"/>
        <v>1</v>
      </c>
      <c r="AN61">
        <f t="shared" si="15"/>
        <v>0</v>
      </c>
      <c r="AO61" s="28">
        <f t="shared" si="7"/>
        <v>0</v>
      </c>
      <c r="AP61" s="28">
        <f t="shared" si="8"/>
        <v>0</v>
      </c>
      <c r="AQ61" s="28">
        <f t="shared" si="16"/>
        <v>0</v>
      </c>
      <c r="AR61" s="29">
        <f t="shared" si="17"/>
        <v>0</v>
      </c>
      <c r="AT61" s="12"/>
      <c r="AU61">
        <f t="shared" si="9"/>
        <v>0</v>
      </c>
      <c r="AV61">
        <f t="shared" si="10"/>
        <v>0</v>
      </c>
      <c r="AW61">
        <f t="shared" si="18"/>
        <v>0</v>
      </c>
      <c r="AX61">
        <f t="shared" si="11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1.8861195120104233E-2</v>
      </c>
      <c r="BE61" s="29">
        <f t="shared" si="22"/>
        <v>0</v>
      </c>
      <c r="BF61" s="29">
        <f t="shared" si="23"/>
        <v>1.8861195120104233E-2</v>
      </c>
      <c r="BH61" s="29"/>
    </row>
    <row r="62" spans="1:60" x14ac:dyDescent="0.25">
      <c r="A62" s="1">
        <v>46112</v>
      </c>
      <c r="B62" s="33">
        <v>37.21</v>
      </c>
      <c r="C62" s="33">
        <v>36.85</v>
      </c>
      <c r="D62" s="15">
        <v>1.4345894970266899E-2</v>
      </c>
      <c r="E62" s="15">
        <v>1.0365613814756701E-2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37.21</v>
      </c>
      <c r="M62" s="33">
        <v>36.85</v>
      </c>
      <c r="N62" s="34">
        <v>0.99032518140284798</v>
      </c>
      <c r="O62" s="34">
        <v>1.0078468940038601</v>
      </c>
      <c r="P62" s="34">
        <v>0.99492906566389605</v>
      </c>
      <c r="Q62" s="34">
        <v>0.99957990081143699</v>
      </c>
      <c r="R62" s="33">
        <v>37.501982925884001</v>
      </c>
      <c r="S62" s="33">
        <v>37.038269596106097</v>
      </c>
      <c r="T62" s="33">
        <v>37.209490305635903</v>
      </c>
      <c r="U62" s="15">
        <v>1.75381909665994E-2</v>
      </c>
      <c r="V62" s="15">
        <v>5.0960728835902098E-3</v>
      </c>
      <c r="W62" s="15">
        <v>9.70822585017014E-3</v>
      </c>
      <c r="X62" s="34">
        <v>0.99032518140284798</v>
      </c>
      <c r="Y62" s="34">
        <v>1.0078468940038601</v>
      </c>
      <c r="Z62" s="34">
        <v>0.99492906566389605</v>
      </c>
      <c r="AA62" s="34">
        <v>0.99957990081143699</v>
      </c>
      <c r="AB62" s="33">
        <v>37.501982925884001</v>
      </c>
      <c r="AC62" s="33">
        <v>37.038269596106097</v>
      </c>
      <c r="AD62" s="33">
        <v>37.209490305635903</v>
      </c>
      <c r="AE62" s="15">
        <v>1.75381909665994E-2</v>
      </c>
      <c r="AF62" s="15">
        <v>5.0960728835902098E-3</v>
      </c>
      <c r="AG62" s="15">
        <v>9.70822585017014E-3</v>
      </c>
      <c r="AI62" s="12"/>
      <c r="AJ62">
        <f t="shared" si="4"/>
        <v>0</v>
      </c>
      <c r="AK62">
        <f t="shared" si="5"/>
        <v>1</v>
      </c>
      <c r="AL62">
        <f t="shared" si="14"/>
        <v>0</v>
      </c>
      <c r="AM62">
        <f t="shared" si="6"/>
        <v>1</v>
      </c>
      <c r="AN62">
        <f t="shared" si="15"/>
        <v>0</v>
      </c>
      <c r="AO62" s="28">
        <f t="shared" si="7"/>
        <v>0</v>
      </c>
      <c r="AP62" s="28">
        <f t="shared" si="8"/>
        <v>0</v>
      </c>
      <c r="AQ62" s="28">
        <f t="shared" si="16"/>
        <v>0</v>
      </c>
      <c r="AR62" s="29">
        <f t="shared" si="17"/>
        <v>0</v>
      </c>
      <c r="AT62" s="12"/>
      <c r="AU62">
        <f t="shared" si="9"/>
        <v>0</v>
      </c>
      <c r="AV62">
        <f t="shared" si="10"/>
        <v>0</v>
      </c>
      <c r="AW62">
        <f t="shared" si="18"/>
        <v>0</v>
      </c>
      <c r="AX62">
        <f t="shared" si="11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1.8861195120104233E-2</v>
      </c>
      <c r="BE62" s="29">
        <f t="shared" si="22"/>
        <v>0</v>
      </c>
      <c r="BF62" s="29">
        <f t="shared" si="23"/>
        <v>1.8861195120104233E-2</v>
      </c>
      <c r="BH62" s="29"/>
    </row>
    <row r="63" spans="1:60" x14ac:dyDescent="0.25">
      <c r="A63" s="1">
        <v>46113</v>
      </c>
      <c r="B63" s="33">
        <v>36.590000000000003</v>
      </c>
      <c r="C63" s="33">
        <v>36.299999999999997</v>
      </c>
      <c r="D63" s="15">
        <v>-1.6802563327415601E-2</v>
      </c>
      <c r="E63" s="15">
        <v>-1.5037877364540601E-2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36.590000000000003</v>
      </c>
      <c r="M63" s="33">
        <v>36.299999999999997</v>
      </c>
      <c r="N63" s="34">
        <v>0.992074337250614</v>
      </c>
      <c r="O63" s="34">
        <v>1.0078468940038601</v>
      </c>
      <c r="P63" s="34">
        <v>0.99463414937513395</v>
      </c>
      <c r="Q63" s="34">
        <v>0.99928623440049402</v>
      </c>
      <c r="R63" s="33">
        <v>36.877117851601596</v>
      </c>
      <c r="S63" s="33">
        <v>36.404454512641898</v>
      </c>
      <c r="T63" s="33">
        <v>36.5746285706905</v>
      </c>
      <c r="U63" s="15">
        <v>1.5773505003724299E-2</v>
      </c>
      <c r="V63" s="15">
        <v>2.8734026054036302E-3</v>
      </c>
      <c r="W63" s="15">
        <v>7.5370503053626796E-3</v>
      </c>
      <c r="X63" s="34">
        <v>0.992074337250614</v>
      </c>
      <c r="Y63" s="34">
        <v>1.0078468940038601</v>
      </c>
      <c r="Z63" s="34">
        <v>0.99463414937513395</v>
      </c>
      <c r="AA63" s="34">
        <v>0.99928623440049402</v>
      </c>
      <c r="AB63" s="33">
        <v>36.877117851601596</v>
      </c>
      <c r="AC63" s="33">
        <v>36.404454512641898</v>
      </c>
      <c r="AD63" s="33">
        <v>36.5746285706905</v>
      </c>
      <c r="AE63" s="15">
        <v>1.5773505003724299E-2</v>
      </c>
      <c r="AF63" s="15">
        <v>2.8734026054036302E-3</v>
      </c>
      <c r="AG63" s="15">
        <v>7.5370503053626796E-3</v>
      </c>
      <c r="AI63" s="12"/>
      <c r="AJ63">
        <f t="shared" si="4"/>
        <v>0</v>
      </c>
      <c r="AK63">
        <f t="shared" si="5"/>
        <v>1</v>
      </c>
      <c r="AL63">
        <f t="shared" si="14"/>
        <v>0</v>
      </c>
      <c r="AM63">
        <f t="shared" si="6"/>
        <v>1</v>
      </c>
      <c r="AN63">
        <f t="shared" si="15"/>
        <v>0</v>
      </c>
      <c r="AO63" s="28">
        <f t="shared" si="7"/>
        <v>0</v>
      </c>
      <c r="AP63" s="28">
        <f t="shared" si="8"/>
        <v>0</v>
      </c>
      <c r="AQ63" s="28">
        <f t="shared" si="16"/>
        <v>0</v>
      </c>
      <c r="AR63" s="29">
        <f t="shared" si="17"/>
        <v>0</v>
      </c>
      <c r="AT63" s="12"/>
      <c r="AU63">
        <f t="shared" si="9"/>
        <v>0</v>
      </c>
      <c r="AV63">
        <f t="shared" si="10"/>
        <v>0</v>
      </c>
      <c r="AW63">
        <f t="shared" si="18"/>
        <v>0</v>
      </c>
      <c r="AX63">
        <f t="shared" si="11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1.8861195120104233E-2</v>
      </c>
      <c r="BE63" s="29">
        <f t="shared" si="22"/>
        <v>0</v>
      </c>
      <c r="BF63" s="29">
        <f t="shared" si="23"/>
        <v>1.8861195120104233E-2</v>
      </c>
      <c r="BH63" s="29"/>
    </row>
    <row r="64" spans="1:60" x14ac:dyDescent="0.25">
      <c r="A64" s="1">
        <v>46114</v>
      </c>
      <c r="B64" s="33">
        <v>37.020000000000003</v>
      </c>
      <c r="C64" s="33">
        <v>36.64</v>
      </c>
      <c r="D64" s="15">
        <v>1.1683328114236001E-2</v>
      </c>
      <c r="E64" s="15">
        <v>9.3227985351245803E-3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37.020000000000003</v>
      </c>
      <c r="M64" s="33">
        <v>36.64</v>
      </c>
      <c r="N64" s="34">
        <v>0.98973527822798402</v>
      </c>
      <c r="O64" s="34">
        <v>1.0078468940038601</v>
      </c>
      <c r="P64" s="34">
        <v>0.994304250059454</v>
      </c>
      <c r="Q64" s="34">
        <v>0.99849329666032205</v>
      </c>
      <c r="R64" s="33">
        <v>37.310492016023197</v>
      </c>
      <c r="S64" s="33">
        <v>36.821356209867403</v>
      </c>
      <c r="T64" s="33">
        <v>36.993576397506303</v>
      </c>
      <c r="U64" s="15">
        <v>1.8134034582835998E-2</v>
      </c>
      <c r="V64" s="15">
        <v>4.9374688314605796E-3</v>
      </c>
      <c r="W64" s="15">
        <v>9.6037468879744004E-3</v>
      </c>
      <c r="X64" s="34">
        <v>0.98973527822798402</v>
      </c>
      <c r="Y64" s="34">
        <v>1.0078468940038601</v>
      </c>
      <c r="Z64" s="34">
        <v>0.994304250059454</v>
      </c>
      <c r="AA64" s="34">
        <v>0.99849329666032205</v>
      </c>
      <c r="AB64" s="33">
        <v>37.310492016023197</v>
      </c>
      <c r="AC64" s="33">
        <v>36.821356209867403</v>
      </c>
      <c r="AD64" s="33">
        <v>36.993576397506303</v>
      </c>
      <c r="AE64" s="15">
        <v>1.8134034582835998E-2</v>
      </c>
      <c r="AF64" s="15">
        <v>4.9374688314605796E-3</v>
      </c>
      <c r="AG64" s="15">
        <v>9.6037468879744004E-3</v>
      </c>
      <c r="AI64" s="12"/>
      <c r="AJ64">
        <f t="shared" si="4"/>
        <v>0</v>
      </c>
      <c r="AK64">
        <f t="shared" si="5"/>
        <v>1</v>
      </c>
      <c r="AL64">
        <f t="shared" si="14"/>
        <v>0</v>
      </c>
      <c r="AM64">
        <f t="shared" si="6"/>
        <v>1</v>
      </c>
      <c r="AN64">
        <f t="shared" si="15"/>
        <v>0</v>
      </c>
      <c r="AO64" s="28">
        <f t="shared" si="7"/>
        <v>0</v>
      </c>
      <c r="AP64" s="28">
        <f t="shared" si="8"/>
        <v>0</v>
      </c>
      <c r="AQ64" s="28">
        <f t="shared" si="16"/>
        <v>0</v>
      </c>
      <c r="AR64" s="29">
        <f t="shared" si="17"/>
        <v>0</v>
      </c>
      <c r="AT64" s="12"/>
      <c r="AU64">
        <f t="shared" si="9"/>
        <v>0</v>
      </c>
      <c r="AV64">
        <f t="shared" si="10"/>
        <v>0</v>
      </c>
      <c r="AW64">
        <f t="shared" si="18"/>
        <v>0</v>
      </c>
      <c r="AX64">
        <f t="shared" si="11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1.8861195120104233E-2</v>
      </c>
      <c r="BE64" s="29">
        <f t="shared" si="22"/>
        <v>0</v>
      </c>
      <c r="BF64" s="29">
        <f t="shared" si="23"/>
        <v>1.8861195120104233E-2</v>
      </c>
      <c r="BH64" s="29"/>
    </row>
    <row r="65" spans="1:60" x14ac:dyDescent="0.25">
      <c r="A65" s="1">
        <v>46118</v>
      </c>
      <c r="B65" s="33">
        <v>36.659999999999997</v>
      </c>
      <c r="C65" s="33">
        <v>36.26</v>
      </c>
      <c r="D65" s="15">
        <v>-9.7720647337927093E-3</v>
      </c>
      <c r="E65" s="15">
        <v>-1.0425334479224601E-2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36.659999999999997</v>
      </c>
      <c r="M65" s="33">
        <v>36.26</v>
      </c>
      <c r="N65" s="34">
        <v>0.98908892525913805</v>
      </c>
      <c r="O65" s="34">
        <v>1.0078468940038601</v>
      </c>
      <c r="P65" s="34">
        <v>0.99326963976050897</v>
      </c>
      <c r="Q65" s="34">
        <v>0.99746965527387699</v>
      </c>
      <c r="R65" s="33">
        <v>36.947667134181799</v>
      </c>
      <c r="S65" s="33">
        <v>36.4511938071796</v>
      </c>
      <c r="T65" s="33">
        <v>36.604764255567403</v>
      </c>
      <c r="U65" s="15">
        <v>1.8787304328267598E-2</v>
      </c>
      <c r="V65" s="15">
        <v>5.2590045032788598E-3</v>
      </c>
      <c r="W65" s="15">
        <v>9.4631975262592406E-3</v>
      </c>
      <c r="X65" s="34">
        <v>0.98908892525913805</v>
      </c>
      <c r="Y65" s="34">
        <v>1.0078468940038601</v>
      </c>
      <c r="Z65" s="34">
        <v>0.99326963976050897</v>
      </c>
      <c r="AA65" s="34">
        <v>0.99746965527387699</v>
      </c>
      <c r="AB65" s="33">
        <v>36.947667134181799</v>
      </c>
      <c r="AC65" s="33">
        <v>36.4511938071796</v>
      </c>
      <c r="AD65" s="33">
        <v>36.604764255567403</v>
      </c>
      <c r="AE65" s="15">
        <v>1.8787304328267598E-2</v>
      </c>
      <c r="AF65" s="15">
        <v>5.2590045032788598E-3</v>
      </c>
      <c r="AG65" s="15">
        <v>9.4631975262592406E-3</v>
      </c>
      <c r="AI65" s="12"/>
      <c r="AJ65">
        <f t="shared" si="4"/>
        <v>0</v>
      </c>
      <c r="AK65">
        <f t="shared" si="5"/>
        <v>1</v>
      </c>
      <c r="AL65">
        <f t="shared" si="14"/>
        <v>0</v>
      </c>
      <c r="AM65">
        <f t="shared" si="6"/>
        <v>1</v>
      </c>
      <c r="AN65">
        <f t="shared" si="15"/>
        <v>0</v>
      </c>
      <c r="AO65" s="28">
        <f t="shared" si="7"/>
        <v>0</v>
      </c>
      <c r="AP65" s="28">
        <f t="shared" si="8"/>
        <v>0</v>
      </c>
      <c r="AQ65" s="28">
        <f t="shared" si="16"/>
        <v>0</v>
      </c>
      <c r="AR65" s="29">
        <f t="shared" si="17"/>
        <v>0</v>
      </c>
      <c r="AT65" s="12"/>
      <c r="AU65">
        <f t="shared" si="9"/>
        <v>0</v>
      </c>
      <c r="AV65">
        <f t="shared" si="10"/>
        <v>0</v>
      </c>
      <c r="AW65">
        <f t="shared" si="18"/>
        <v>0</v>
      </c>
      <c r="AX65">
        <f t="shared" si="11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1.8861195120104233E-2</v>
      </c>
      <c r="BE65" s="29">
        <f t="shared" si="22"/>
        <v>0</v>
      </c>
      <c r="BF65" s="29">
        <f t="shared" si="23"/>
        <v>1.8861195120104233E-2</v>
      </c>
      <c r="BH65" s="29"/>
    </row>
    <row r="66" spans="1:60" x14ac:dyDescent="0.25">
      <c r="A66" s="1">
        <v>46119</v>
      </c>
      <c r="B66" s="33">
        <v>36.020000000000003</v>
      </c>
      <c r="C66" s="33">
        <v>35.78</v>
      </c>
      <c r="D66" s="15">
        <v>-1.7611902663748701E-2</v>
      </c>
      <c r="E66" s="15">
        <v>-1.3326127246131801E-2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36.020000000000003</v>
      </c>
      <c r="M66" s="33">
        <v>35.78</v>
      </c>
      <c r="N66" s="34">
        <v>0.99333703498056602</v>
      </c>
      <c r="O66" s="34">
        <v>1.0078468940038601</v>
      </c>
      <c r="P66" s="34">
        <v>0.99257616934552195</v>
      </c>
      <c r="Q66" s="34">
        <v>0.99678779457655298</v>
      </c>
      <c r="R66" s="33">
        <v>36.3026451220193</v>
      </c>
      <c r="S66" s="33">
        <v>35.777572424173499</v>
      </c>
      <c r="T66" s="33">
        <v>35.928856982965002</v>
      </c>
      <c r="U66" s="15">
        <v>1.45015289106507E-2</v>
      </c>
      <c r="V66" s="15">
        <v>-6.7849585868761403E-5</v>
      </c>
      <c r="W66" s="15">
        <v>4.1517102083289698E-3</v>
      </c>
      <c r="X66" s="34">
        <v>0.99333703498056602</v>
      </c>
      <c r="Y66" s="34">
        <v>1.0078468940038601</v>
      </c>
      <c r="Z66" s="34">
        <v>0.99257616934552195</v>
      </c>
      <c r="AA66" s="34">
        <v>0.99678779457655298</v>
      </c>
      <c r="AB66" s="33">
        <v>36.3026451220193</v>
      </c>
      <c r="AC66" s="33">
        <v>35.777572424173499</v>
      </c>
      <c r="AD66" s="33">
        <v>35.928856982965002</v>
      </c>
      <c r="AE66" s="15">
        <v>1.45015289106507E-2</v>
      </c>
      <c r="AF66" s="15">
        <v>-6.7849585868761403E-5</v>
      </c>
      <c r="AG66" s="15">
        <v>4.1517102083289698E-3</v>
      </c>
      <c r="AI66" s="12"/>
      <c r="AJ66">
        <f t="shared" si="4"/>
        <v>0</v>
      </c>
      <c r="AK66">
        <f t="shared" si="5"/>
        <v>1</v>
      </c>
      <c r="AL66">
        <f t="shared" si="14"/>
        <v>0</v>
      </c>
      <c r="AM66">
        <f t="shared" si="6"/>
        <v>1</v>
      </c>
      <c r="AN66">
        <f t="shared" si="15"/>
        <v>0</v>
      </c>
      <c r="AO66" s="28">
        <f t="shared" si="7"/>
        <v>0</v>
      </c>
      <c r="AP66" s="28">
        <f t="shared" si="8"/>
        <v>0</v>
      </c>
      <c r="AQ66" s="28">
        <f t="shared" si="16"/>
        <v>0</v>
      </c>
      <c r="AR66" s="29">
        <f t="shared" si="17"/>
        <v>0</v>
      </c>
      <c r="AT66" s="12"/>
      <c r="AU66">
        <f t="shared" si="9"/>
        <v>0</v>
      </c>
      <c r="AV66">
        <f t="shared" si="10"/>
        <v>1</v>
      </c>
      <c r="AW66">
        <f t="shared" si="18"/>
        <v>0</v>
      </c>
      <c r="AX66">
        <f t="shared" si="11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1.8861195120104233E-2</v>
      </c>
      <c r="BE66" s="29">
        <f t="shared" si="22"/>
        <v>0</v>
      </c>
      <c r="BF66" s="29">
        <f t="shared" si="23"/>
        <v>1.8861195120104233E-2</v>
      </c>
      <c r="BH66" s="29"/>
    </row>
    <row r="67" spans="1:60" x14ac:dyDescent="0.25">
      <c r="A67" s="1">
        <v>46120</v>
      </c>
      <c r="B67" s="33">
        <v>36.200000000000003</v>
      </c>
      <c r="C67" s="33">
        <v>36.17</v>
      </c>
      <c r="D67" s="15">
        <v>4.9847790839153399E-3</v>
      </c>
      <c r="E67" s="15">
        <v>1.08409678834335E-2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36.200000000000003</v>
      </c>
      <c r="M67" s="33">
        <v>36.17</v>
      </c>
      <c r="N67" s="34">
        <v>0.99917127071823197</v>
      </c>
      <c r="O67" s="34">
        <v>1.0078468940038601</v>
      </c>
      <c r="P67" s="34">
        <v>0.99330674544120701</v>
      </c>
      <c r="Q67" s="34">
        <v>0.99614918113092299</v>
      </c>
      <c r="R67" s="33">
        <v>36.484057562940002</v>
      </c>
      <c r="S67" s="33">
        <v>35.931257330307901</v>
      </c>
      <c r="T67" s="33">
        <v>36.0837181636712</v>
      </c>
      <c r="U67" s="15">
        <v>8.6453401111328595E-3</v>
      </c>
      <c r="V67" s="15">
        <v>-6.6224515652977701E-3</v>
      </c>
      <c r="W67" s="15">
        <v>-2.38830276238172E-3</v>
      </c>
      <c r="X67" s="34">
        <v>0.99917127071823197</v>
      </c>
      <c r="Y67" s="34">
        <v>1.0078468940038601</v>
      </c>
      <c r="Z67" s="34">
        <v>0.99330674544120701</v>
      </c>
      <c r="AA67" s="34">
        <v>0.99614918113092299</v>
      </c>
      <c r="AB67" s="33">
        <v>36.484057562940002</v>
      </c>
      <c r="AC67" s="33">
        <v>35.931257330307901</v>
      </c>
      <c r="AD67" s="33">
        <v>36.0837181636712</v>
      </c>
      <c r="AE67" s="15">
        <v>8.6453401111328595E-3</v>
      </c>
      <c r="AF67" s="15">
        <v>-6.6224515652977701E-3</v>
      </c>
      <c r="AG67" s="15">
        <v>-2.38830276238172E-3</v>
      </c>
      <c r="AI67" s="12"/>
      <c r="AJ67">
        <f t="shared" si="4"/>
        <v>0</v>
      </c>
      <c r="AK67">
        <f t="shared" si="5"/>
        <v>1</v>
      </c>
      <c r="AL67">
        <f t="shared" si="14"/>
        <v>0</v>
      </c>
      <c r="AM67">
        <f t="shared" si="6"/>
        <v>1</v>
      </c>
      <c r="AN67">
        <f t="shared" si="15"/>
        <v>0</v>
      </c>
      <c r="AO67" s="28">
        <f t="shared" si="7"/>
        <v>0</v>
      </c>
      <c r="AP67" s="28">
        <f t="shared" si="8"/>
        <v>0</v>
      </c>
      <c r="AQ67" s="28">
        <f t="shared" si="16"/>
        <v>0</v>
      </c>
      <c r="AR67" s="29">
        <f t="shared" si="17"/>
        <v>0</v>
      </c>
      <c r="AT67" s="12"/>
      <c r="AU67">
        <f t="shared" si="9"/>
        <v>0</v>
      </c>
      <c r="AV67">
        <f t="shared" si="10"/>
        <v>1</v>
      </c>
      <c r="AW67">
        <f t="shared" si="18"/>
        <v>0</v>
      </c>
      <c r="AX67">
        <f t="shared" si="11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1.8861195120104233E-2</v>
      </c>
      <c r="BE67" s="29">
        <f t="shared" si="22"/>
        <v>0</v>
      </c>
      <c r="BF67" s="29">
        <f t="shared" si="23"/>
        <v>1.8861195120104233E-2</v>
      </c>
      <c r="BH67" s="29"/>
    </row>
    <row r="68" spans="1:60" x14ac:dyDescent="0.25">
      <c r="A68" s="1">
        <v>46121</v>
      </c>
      <c r="B68" s="33">
        <v>36.299999999999997</v>
      </c>
      <c r="C68" s="33">
        <v>36.200000000000003</v>
      </c>
      <c r="D68" s="15">
        <v>2.7586224390796599E-3</v>
      </c>
      <c r="E68" s="15">
        <v>8.2907286771882304E-4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36.299999999999997</v>
      </c>
      <c r="M68" s="33">
        <v>36.200000000000003</v>
      </c>
      <c r="N68" s="34">
        <v>0.99724517906336096</v>
      </c>
      <c r="O68" s="34">
        <v>1.0078468940038601</v>
      </c>
      <c r="P68" s="34">
        <v>0.99381909274172897</v>
      </c>
      <c r="Q68" s="34">
        <v>0.995701717487807</v>
      </c>
      <c r="R68" s="33">
        <v>36.584842252340401</v>
      </c>
      <c r="S68" s="33">
        <v>36.057034859515802</v>
      </c>
      <c r="T68" s="33">
        <v>36.160215275052501</v>
      </c>
      <c r="U68" s="15">
        <v>1.05748896824933E-2</v>
      </c>
      <c r="V68" s="15">
        <v>-3.9571324042969799E-3</v>
      </c>
      <c r="W68" s="15">
        <v>-1.09962992247039E-3</v>
      </c>
      <c r="X68" s="34">
        <v>0.99724517906336096</v>
      </c>
      <c r="Y68" s="34">
        <v>1.0078468940038601</v>
      </c>
      <c r="Z68" s="34">
        <v>0.99381909274172897</v>
      </c>
      <c r="AA68" s="34">
        <v>0.995701717487807</v>
      </c>
      <c r="AB68" s="33">
        <v>36.584842252340401</v>
      </c>
      <c r="AC68" s="33">
        <v>36.057034859515802</v>
      </c>
      <c r="AD68" s="33">
        <v>36.160215275052501</v>
      </c>
      <c r="AE68" s="15">
        <v>1.05748896824933E-2</v>
      </c>
      <c r="AF68" s="15">
        <v>-3.9571324042969799E-3</v>
      </c>
      <c r="AG68" s="15">
        <v>-1.09962992247039E-3</v>
      </c>
      <c r="AI68" s="12"/>
      <c r="AJ68">
        <f t="shared" si="4"/>
        <v>0</v>
      </c>
      <c r="AK68">
        <f t="shared" si="5"/>
        <v>1</v>
      </c>
      <c r="AL68">
        <f t="shared" si="14"/>
        <v>0</v>
      </c>
      <c r="AM68">
        <f t="shared" si="6"/>
        <v>1</v>
      </c>
      <c r="AN68">
        <f t="shared" si="15"/>
        <v>0</v>
      </c>
      <c r="AO68" s="28">
        <f t="shared" si="7"/>
        <v>0</v>
      </c>
      <c r="AP68" s="28">
        <f t="shared" si="8"/>
        <v>0</v>
      </c>
      <c r="AQ68" s="28">
        <f t="shared" si="16"/>
        <v>0</v>
      </c>
      <c r="AR68" s="29">
        <f t="shared" si="17"/>
        <v>0</v>
      </c>
      <c r="AT68" s="12"/>
      <c r="AU68">
        <f t="shared" si="9"/>
        <v>0</v>
      </c>
      <c r="AV68">
        <f t="shared" si="10"/>
        <v>1</v>
      </c>
      <c r="AW68">
        <f t="shared" si="18"/>
        <v>0</v>
      </c>
      <c r="AX68">
        <f t="shared" si="11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1.8861195120104233E-2</v>
      </c>
      <c r="BE68" s="29">
        <f t="shared" si="22"/>
        <v>0</v>
      </c>
      <c r="BF68" s="29">
        <f t="shared" si="23"/>
        <v>1.8861195120104233E-2</v>
      </c>
      <c r="BH68" s="29"/>
    </row>
    <row r="69" spans="1:60" x14ac:dyDescent="0.25">
      <c r="A69" s="1">
        <v>46122</v>
      </c>
      <c r="B69" s="33">
        <v>36.56</v>
      </c>
      <c r="C69" s="33">
        <v>36.520000000000003</v>
      </c>
      <c r="D69" s="15">
        <v>7.1370053151443898E-3</v>
      </c>
      <c r="E69" s="15">
        <v>8.8009368950422804E-3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36.56</v>
      </c>
      <c r="M69" s="33">
        <v>36.520000000000003</v>
      </c>
      <c r="N69" s="34">
        <v>0.99890590809627999</v>
      </c>
      <c r="O69" s="34">
        <v>1.0078468940038601</v>
      </c>
      <c r="P69" s="34">
        <v>0.99419828289989098</v>
      </c>
      <c r="Q69" s="34">
        <v>0.99525480299270297</v>
      </c>
      <c r="R69" s="33">
        <v>36.8468824447814</v>
      </c>
      <c r="S69" s="33">
        <v>36.334026030637602</v>
      </c>
      <c r="T69" s="33">
        <v>36.402854791354201</v>
      </c>
      <c r="U69" s="15">
        <v>8.9109581025954097E-3</v>
      </c>
      <c r="V69" s="15">
        <v>-5.1053972840488203E-3</v>
      </c>
      <c r="W69" s="15">
        <v>-3.2128558255058001E-3</v>
      </c>
      <c r="X69" s="34">
        <v>0.99890590809627999</v>
      </c>
      <c r="Y69" s="34">
        <v>1.0078468940038601</v>
      </c>
      <c r="Z69" s="34">
        <v>0.99419828289989098</v>
      </c>
      <c r="AA69" s="34">
        <v>0.99525480299270297</v>
      </c>
      <c r="AB69" s="33">
        <v>36.8468824447814</v>
      </c>
      <c r="AC69" s="33">
        <v>36.334026030637602</v>
      </c>
      <c r="AD69" s="33">
        <v>36.402854791354201</v>
      </c>
      <c r="AE69" s="15">
        <v>8.9109581025954097E-3</v>
      </c>
      <c r="AF69" s="15">
        <v>-5.1053972840488203E-3</v>
      </c>
      <c r="AG69" s="15">
        <v>-3.2128558255058001E-3</v>
      </c>
      <c r="AI69" s="12"/>
      <c r="AJ69">
        <f t="shared" si="4"/>
        <v>0</v>
      </c>
      <c r="AK69">
        <f t="shared" si="5"/>
        <v>1</v>
      </c>
      <c r="AL69">
        <f t="shared" si="14"/>
        <v>0</v>
      </c>
      <c r="AM69">
        <f t="shared" si="6"/>
        <v>1</v>
      </c>
      <c r="AN69">
        <f t="shared" si="15"/>
        <v>0</v>
      </c>
      <c r="AO69" s="28">
        <f t="shared" si="7"/>
        <v>0</v>
      </c>
      <c r="AP69" s="28">
        <f t="shared" si="8"/>
        <v>0</v>
      </c>
      <c r="AQ69" s="28">
        <f t="shared" si="16"/>
        <v>0</v>
      </c>
      <c r="AR69" s="29">
        <f t="shared" si="17"/>
        <v>0</v>
      </c>
      <c r="AT69" s="12"/>
      <c r="AU69">
        <f t="shared" si="9"/>
        <v>0</v>
      </c>
      <c r="AV69">
        <f t="shared" si="10"/>
        <v>1</v>
      </c>
      <c r="AW69">
        <f t="shared" si="18"/>
        <v>0</v>
      </c>
      <c r="AX69">
        <f t="shared" si="11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1.8861195120104233E-2</v>
      </c>
      <c r="BE69" s="29">
        <f t="shared" si="22"/>
        <v>0</v>
      </c>
      <c r="BF69" s="29">
        <f t="shared" si="23"/>
        <v>1.8861195120104233E-2</v>
      </c>
      <c r="BH69" s="29"/>
    </row>
    <row r="70" spans="1:60" x14ac:dyDescent="0.25">
      <c r="A70" s="1">
        <v>46125</v>
      </c>
      <c r="B70" s="33">
        <v>36.869999999999997</v>
      </c>
      <c r="C70" s="33">
        <v>36.89</v>
      </c>
      <c r="D70" s="15">
        <v>8.4434656601036408E-3</v>
      </c>
      <c r="E70" s="15">
        <v>1.00804558818164E-2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36.869999999999997</v>
      </c>
      <c r="M70" s="33">
        <v>36.89</v>
      </c>
      <c r="N70" s="34">
        <v>1.0005424464334101</v>
      </c>
      <c r="O70" s="34">
        <v>1.0078468940038601</v>
      </c>
      <c r="P70" s="34">
        <v>0.99447003705927395</v>
      </c>
      <c r="Q70" s="34">
        <v>0.99514531329251499</v>
      </c>
      <c r="R70" s="33">
        <v>37.159314981922599</v>
      </c>
      <c r="S70" s="33">
        <v>36.656090690519001</v>
      </c>
      <c r="T70" s="33">
        <v>36.695044586340899</v>
      </c>
      <c r="U70" s="15">
        <v>7.2739678808826699E-3</v>
      </c>
      <c r="V70" s="15">
        <v>-6.3609118029767696E-3</v>
      </c>
      <c r="W70" s="15">
        <v>-5.2987905600831902E-3</v>
      </c>
      <c r="X70" s="34">
        <v>1.0005424464334101</v>
      </c>
      <c r="Y70" s="34">
        <v>1.0078468940038601</v>
      </c>
      <c r="Z70" s="34">
        <v>0.99447003705927395</v>
      </c>
      <c r="AA70" s="34">
        <v>0.99514531329251499</v>
      </c>
      <c r="AB70" s="33">
        <v>37.159314981922599</v>
      </c>
      <c r="AC70" s="33">
        <v>36.656090690519001</v>
      </c>
      <c r="AD70" s="33">
        <v>36.695044586340899</v>
      </c>
      <c r="AE70" s="15">
        <v>7.2739678808826699E-3</v>
      </c>
      <c r="AF70" s="15">
        <v>-6.3609118029767696E-3</v>
      </c>
      <c r="AG70" s="15">
        <v>-5.2987905600831902E-3</v>
      </c>
      <c r="AI70" s="12"/>
      <c r="AJ70">
        <f t="shared" si="4"/>
        <v>0</v>
      </c>
      <c r="AK70">
        <f t="shared" si="5"/>
        <v>1</v>
      </c>
      <c r="AL70">
        <f t="shared" si="14"/>
        <v>0</v>
      </c>
      <c r="AM70">
        <f t="shared" si="6"/>
        <v>1</v>
      </c>
      <c r="AN70">
        <f t="shared" si="15"/>
        <v>0</v>
      </c>
      <c r="AO70" s="28">
        <f t="shared" si="7"/>
        <v>0</v>
      </c>
      <c r="AP70" s="28">
        <f t="shared" si="8"/>
        <v>0</v>
      </c>
      <c r="AQ70" s="28">
        <f t="shared" si="16"/>
        <v>0</v>
      </c>
      <c r="AR70" s="29">
        <f t="shared" si="17"/>
        <v>0</v>
      </c>
      <c r="AT70" s="12"/>
      <c r="AU70">
        <f t="shared" si="9"/>
        <v>0</v>
      </c>
      <c r="AV70">
        <f t="shared" si="10"/>
        <v>1</v>
      </c>
      <c r="AW70">
        <f t="shared" si="18"/>
        <v>0</v>
      </c>
      <c r="AX70">
        <f t="shared" si="11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1.8861195120104233E-2</v>
      </c>
      <c r="BE70" s="29">
        <f t="shared" si="22"/>
        <v>0</v>
      </c>
      <c r="BF70" s="29">
        <f t="shared" si="23"/>
        <v>1.8861195120104233E-2</v>
      </c>
      <c r="BH70" s="29"/>
    </row>
    <row r="71" spans="1:60" x14ac:dyDescent="0.25">
      <c r="A71" s="1">
        <v>46126</v>
      </c>
      <c r="B71" s="33">
        <v>36.630000000000003</v>
      </c>
      <c r="C71" s="33">
        <v>36.799999999999997</v>
      </c>
      <c r="D71" s="15">
        <v>-6.5306354553299603E-3</v>
      </c>
      <c r="E71" s="15">
        <v>-2.4426664336990901E-3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36.630000000000003</v>
      </c>
      <c r="M71" s="33">
        <v>36.799999999999997</v>
      </c>
      <c r="N71" s="34">
        <v>1.0046410046409999</v>
      </c>
      <c r="O71" s="34">
        <v>1.0078468940038601</v>
      </c>
      <c r="P71" s="34">
        <v>0.99550665660734405</v>
      </c>
      <c r="Q71" s="34">
        <v>0.99544574426854804</v>
      </c>
      <c r="R71" s="33">
        <v>36.917431727361702</v>
      </c>
      <c r="S71" s="33">
        <v>36.427437457481197</v>
      </c>
      <c r="T71" s="33">
        <v>36.452172825904803</v>
      </c>
      <c r="U71" s="15">
        <v>3.18599885925168E-3</v>
      </c>
      <c r="V71" s="15">
        <v>-1.0175578174440199E-2</v>
      </c>
      <c r="W71" s="15">
        <v>-9.4967773609555897E-3</v>
      </c>
      <c r="X71" s="34">
        <v>1.0046410046409999</v>
      </c>
      <c r="Y71" s="34">
        <v>1.0078468940038601</v>
      </c>
      <c r="Z71" s="34">
        <v>0.99550665660734405</v>
      </c>
      <c r="AA71" s="34">
        <v>0.99544574426854804</v>
      </c>
      <c r="AB71" s="33">
        <v>36.917431727361702</v>
      </c>
      <c r="AC71" s="33">
        <v>36.427437457481197</v>
      </c>
      <c r="AD71" s="33">
        <v>36.452172825904803</v>
      </c>
      <c r="AE71" s="15">
        <v>3.18599885925168E-3</v>
      </c>
      <c r="AF71" s="15">
        <v>-1.0175578174440199E-2</v>
      </c>
      <c r="AG71" s="15">
        <v>-9.4967773609555897E-3</v>
      </c>
      <c r="AI71" s="12"/>
      <c r="AJ71">
        <f t="shared" si="4"/>
        <v>0</v>
      </c>
      <c r="AK71">
        <f t="shared" si="5"/>
        <v>1</v>
      </c>
      <c r="AL71">
        <f t="shared" si="14"/>
        <v>0</v>
      </c>
      <c r="AM71">
        <f t="shared" si="6"/>
        <v>1</v>
      </c>
      <c r="AN71">
        <f t="shared" si="15"/>
        <v>0</v>
      </c>
      <c r="AO71" s="28">
        <f t="shared" si="7"/>
        <v>0</v>
      </c>
      <c r="AP71" s="28">
        <f t="shared" si="8"/>
        <v>0</v>
      </c>
      <c r="AQ71" s="28">
        <f t="shared" si="16"/>
        <v>0</v>
      </c>
      <c r="AR71" s="29">
        <f t="shared" si="17"/>
        <v>0</v>
      </c>
      <c r="AT71" s="12"/>
      <c r="AU71">
        <f t="shared" si="9"/>
        <v>0</v>
      </c>
      <c r="AV71">
        <f t="shared" si="10"/>
        <v>1</v>
      </c>
      <c r="AW71">
        <f t="shared" si="18"/>
        <v>0</v>
      </c>
      <c r="AX71">
        <f t="shared" si="11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1.8861195120104233E-2</v>
      </c>
      <c r="BE71" s="29">
        <f t="shared" si="22"/>
        <v>0</v>
      </c>
      <c r="BF71" s="29">
        <f t="shared" si="23"/>
        <v>1.8861195120104233E-2</v>
      </c>
      <c r="BH71" s="29"/>
    </row>
    <row r="72" spans="1:60" x14ac:dyDescent="0.25">
      <c r="A72" s="1">
        <v>46127</v>
      </c>
      <c r="B72" s="33">
        <v>36.96</v>
      </c>
      <c r="C72" s="33">
        <v>36.869999999999997</v>
      </c>
      <c r="D72" s="15">
        <v>8.9686699827603092E-3</v>
      </c>
      <c r="E72" s="15">
        <v>1.9003670711680101E-3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36.96</v>
      </c>
      <c r="M72" s="33">
        <v>36.869999999999997</v>
      </c>
      <c r="N72" s="34">
        <v>0.99756493506493404</v>
      </c>
      <c r="O72" s="34">
        <v>1.0078468940038601</v>
      </c>
      <c r="P72" s="34">
        <v>0.99623063197355299</v>
      </c>
      <c r="Q72" s="34">
        <v>0.99557984881872497</v>
      </c>
      <c r="R72" s="33">
        <v>37.250021202383003</v>
      </c>
      <c r="S72" s="33">
        <v>36.793926028207402</v>
      </c>
      <c r="T72" s="33">
        <v>36.791674708165502</v>
      </c>
      <c r="U72" s="15">
        <v>1.02543017708442E-2</v>
      </c>
      <c r="V72" s="15">
        <v>-2.0654342753285001E-3</v>
      </c>
      <c r="W72" s="15">
        <v>-2.1266234215762598E-3</v>
      </c>
      <c r="X72" s="34">
        <v>0.99756493506493404</v>
      </c>
      <c r="Y72" s="34">
        <v>1.0078468940038601</v>
      </c>
      <c r="Z72" s="34">
        <v>0.99623063197355299</v>
      </c>
      <c r="AA72" s="34">
        <v>0.99557984881872497</v>
      </c>
      <c r="AB72" s="33">
        <v>37.250021202383003</v>
      </c>
      <c r="AC72" s="33">
        <v>36.793926028207402</v>
      </c>
      <c r="AD72" s="33">
        <v>36.791674708165502</v>
      </c>
      <c r="AE72" s="15">
        <v>1.02543017708442E-2</v>
      </c>
      <c r="AF72" s="15">
        <v>-2.0654342753285001E-3</v>
      </c>
      <c r="AG72" s="15">
        <v>-2.1266234215762598E-3</v>
      </c>
      <c r="AI72" s="12"/>
      <c r="AJ72">
        <f t="shared" si="4"/>
        <v>0</v>
      </c>
      <c r="AK72">
        <f t="shared" si="5"/>
        <v>1</v>
      </c>
      <c r="AL72">
        <f t="shared" si="14"/>
        <v>0</v>
      </c>
      <c r="AM72">
        <f t="shared" si="6"/>
        <v>1</v>
      </c>
      <c r="AN72">
        <f t="shared" si="15"/>
        <v>0</v>
      </c>
      <c r="AO72" s="28">
        <f t="shared" si="7"/>
        <v>0</v>
      </c>
      <c r="AP72" s="28">
        <f t="shared" si="8"/>
        <v>0</v>
      </c>
      <c r="AQ72" s="28">
        <f t="shared" si="16"/>
        <v>0</v>
      </c>
      <c r="AR72" s="29">
        <f t="shared" si="17"/>
        <v>0</v>
      </c>
      <c r="AT72" s="12"/>
      <c r="AU72">
        <f t="shared" si="9"/>
        <v>0</v>
      </c>
      <c r="AV72">
        <f t="shared" si="10"/>
        <v>1</v>
      </c>
      <c r="AW72">
        <f t="shared" si="18"/>
        <v>0</v>
      </c>
      <c r="AX72">
        <f t="shared" si="11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1.8861195120104233E-2</v>
      </c>
      <c r="BE72" s="29">
        <f t="shared" si="22"/>
        <v>0</v>
      </c>
      <c r="BF72" s="29">
        <f t="shared" si="23"/>
        <v>1.8861195120104233E-2</v>
      </c>
      <c r="BH72" s="29"/>
    </row>
    <row r="73" spans="1:60" x14ac:dyDescent="0.25">
      <c r="A73" s="1">
        <v>46128</v>
      </c>
      <c r="B73" s="33">
        <v>37.4</v>
      </c>
      <c r="C73" s="33">
        <v>37.61</v>
      </c>
      <c r="D73" s="15">
        <v>1.1834457647002699E-2</v>
      </c>
      <c r="E73" s="15">
        <v>1.9871760236191999E-2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37.4</v>
      </c>
      <c r="M73" s="33">
        <v>37.61</v>
      </c>
      <c r="N73" s="34">
        <v>1.0056149732620301</v>
      </c>
      <c r="O73" s="34">
        <v>1.0078468940038601</v>
      </c>
      <c r="P73" s="34">
        <v>0.99758469557469398</v>
      </c>
      <c r="Q73" s="34">
        <v>0.99610942247491396</v>
      </c>
      <c r="R73" s="33">
        <v>37.693473835744697</v>
      </c>
      <c r="S73" s="33">
        <v>37.259025635810801</v>
      </c>
      <c r="T73" s="33">
        <v>37.2346863458203</v>
      </c>
      <c r="U73" s="15">
        <v>2.2169991816550702E-3</v>
      </c>
      <c r="V73" s="15">
        <v>-9.37575805838263E-3</v>
      </c>
      <c r="W73" s="15">
        <v>-1.0029216993618899E-2</v>
      </c>
      <c r="X73" s="34">
        <v>1.0056149732620301</v>
      </c>
      <c r="Y73" s="34">
        <v>1.0078468940038601</v>
      </c>
      <c r="Z73" s="34">
        <v>0.99758469557469398</v>
      </c>
      <c r="AA73" s="34">
        <v>0.99610942247491396</v>
      </c>
      <c r="AB73" s="33">
        <v>37.693473835744697</v>
      </c>
      <c r="AC73" s="33">
        <v>37.259025635810801</v>
      </c>
      <c r="AD73" s="33">
        <v>37.2346863458203</v>
      </c>
      <c r="AE73" s="15">
        <v>2.2169991816550702E-3</v>
      </c>
      <c r="AF73" s="15">
        <v>-9.37575805838263E-3</v>
      </c>
      <c r="AG73" s="15">
        <v>-1.0029216993618899E-2</v>
      </c>
      <c r="AI73" s="12"/>
      <c r="AJ73">
        <f t="shared" si="4"/>
        <v>0</v>
      </c>
      <c r="AK73">
        <f t="shared" si="5"/>
        <v>0</v>
      </c>
      <c r="AL73">
        <f t="shared" si="14"/>
        <v>0</v>
      </c>
      <c r="AM73">
        <f t="shared" si="6"/>
        <v>1</v>
      </c>
      <c r="AN73">
        <f t="shared" si="15"/>
        <v>0</v>
      </c>
      <c r="AO73" s="28">
        <f t="shared" si="7"/>
        <v>0</v>
      </c>
      <c r="AP73" s="28">
        <f t="shared" si="8"/>
        <v>0</v>
      </c>
      <c r="AQ73" s="28">
        <f t="shared" si="16"/>
        <v>0</v>
      </c>
      <c r="AR73" s="29">
        <f t="shared" si="17"/>
        <v>0</v>
      </c>
      <c r="AT73" s="12"/>
      <c r="AU73">
        <f t="shared" si="9"/>
        <v>0</v>
      </c>
      <c r="AV73">
        <f t="shared" si="10"/>
        <v>1</v>
      </c>
      <c r="AW73">
        <f t="shared" si="18"/>
        <v>0</v>
      </c>
      <c r="AX73">
        <f t="shared" si="11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1.8861195120104233E-2</v>
      </c>
      <c r="BE73" s="29">
        <f t="shared" si="22"/>
        <v>0</v>
      </c>
      <c r="BF73" s="29">
        <f t="shared" si="23"/>
        <v>1.8861195120104233E-2</v>
      </c>
      <c r="BH73" s="29"/>
    </row>
    <row r="74" spans="1:60" x14ac:dyDescent="0.25">
      <c r="A74" s="1">
        <v>46129</v>
      </c>
      <c r="B74" s="33">
        <v>37.56</v>
      </c>
      <c r="C74" s="33">
        <v>37.83</v>
      </c>
      <c r="D74" s="15">
        <v>4.2689499195760101E-3</v>
      </c>
      <c r="E74" s="15">
        <v>5.8324661626928398E-3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37.56</v>
      </c>
      <c r="M74" s="33">
        <v>37.83</v>
      </c>
      <c r="N74" s="34">
        <v>1.0071884984025501</v>
      </c>
      <c r="O74" s="34">
        <v>1.0078468940038601</v>
      </c>
      <c r="P74" s="34">
        <v>0.99933001759215101</v>
      </c>
      <c r="Q74" s="34">
        <v>0.99681713382580295</v>
      </c>
      <c r="R74" s="33">
        <v>37.854729338785297</v>
      </c>
      <c r="S74" s="33">
        <v>37.469281165785503</v>
      </c>
      <c r="T74" s="33">
        <v>37.4138699081578</v>
      </c>
      <c r="U74" s="15">
        <v>6.5348293853825302E-4</v>
      </c>
      <c r="V74" s="15">
        <v>-9.5810102831555503E-3</v>
      </c>
      <c r="W74" s="15">
        <v>-1.1060949814188099E-2</v>
      </c>
      <c r="X74" s="34">
        <v>1.0071884984025501</v>
      </c>
      <c r="Y74" s="34">
        <v>1.0078468940038601</v>
      </c>
      <c r="Z74" s="34">
        <v>0.99933001759215101</v>
      </c>
      <c r="AA74" s="34">
        <v>0.99681713382580295</v>
      </c>
      <c r="AB74" s="33">
        <v>37.854729338785297</v>
      </c>
      <c r="AC74" s="33">
        <v>37.469281165785503</v>
      </c>
      <c r="AD74" s="33">
        <v>37.4138699081578</v>
      </c>
      <c r="AE74" s="15">
        <v>6.5348293853825302E-4</v>
      </c>
      <c r="AF74" s="15">
        <v>-9.5810102831555503E-3</v>
      </c>
      <c r="AG74" s="15">
        <v>-1.1060949814188099E-2</v>
      </c>
      <c r="AI74" s="12"/>
      <c r="AJ74">
        <f t="shared" si="4"/>
        <v>0</v>
      </c>
      <c r="AK74">
        <f t="shared" si="5"/>
        <v>0</v>
      </c>
      <c r="AL74">
        <f t="shared" si="14"/>
        <v>0</v>
      </c>
      <c r="AM74">
        <f t="shared" si="6"/>
        <v>1</v>
      </c>
      <c r="AN74">
        <f t="shared" si="15"/>
        <v>0</v>
      </c>
      <c r="AO74" s="28">
        <f t="shared" si="7"/>
        <v>0</v>
      </c>
      <c r="AP74" s="28">
        <f t="shared" si="8"/>
        <v>0</v>
      </c>
      <c r="AQ74" s="28">
        <f t="shared" si="16"/>
        <v>0</v>
      </c>
      <c r="AR74" s="29">
        <f t="shared" si="17"/>
        <v>0</v>
      </c>
      <c r="AT74" s="12"/>
      <c r="AU74">
        <f t="shared" si="9"/>
        <v>0</v>
      </c>
      <c r="AV74">
        <f t="shared" si="10"/>
        <v>1</v>
      </c>
      <c r="AW74">
        <f t="shared" si="18"/>
        <v>0</v>
      </c>
      <c r="AX74">
        <f t="shared" si="11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1.8861195120104233E-2</v>
      </c>
      <c r="BE74" s="29">
        <f t="shared" si="22"/>
        <v>0</v>
      </c>
      <c r="BF74" s="29">
        <f t="shared" si="23"/>
        <v>1.8861195120104233E-2</v>
      </c>
      <c r="BH74" s="29"/>
    </row>
    <row r="75" spans="1:60" x14ac:dyDescent="0.25">
      <c r="A75" s="1">
        <v>46132</v>
      </c>
      <c r="B75" s="33">
        <v>36.64</v>
      </c>
      <c r="C75" s="33">
        <v>37.01</v>
      </c>
      <c r="D75" s="15">
        <v>-2.47991145341327E-2</v>
      </c>
      <c r="E75" s="15">
        <v>-2.1914292246873301E-2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36.64</v>
      </c>
      <c r="M75" s="33">
        <v>37.01</v>
      </c>
      <c r="N75" s="34">
        <v>1.0100982532750999</v>
      </c>
      <c r="O75" s="34">
        <v>1.0078468940038601</v>
      </c>
      <c r="P75" s="34">
        <v>1.00143095039374</v>
      </c>
      <c r="Q75" s="34">
        <v>0.99735029507712902</v>
      </c>
      <c r="R75" s="33">
        <v>36.927510196301697</v>
      </c>
      <c r="S75" s="33">
        <v>36.615451844576398</v>
      </c>
      <c r="T75" s="33">
        <v>36.523379783377401</v>
      </c>
      <c r="U75" s="15">
        <v>-2.2313393487212799E-3</v>
      </c>
      <c r="V75" s="15">
        <v>-1.07178135384933E-2</v>
      </c>
      <c r="W75" s="15">
        <v>-1.323554885875E-2</v>
      </c>
      <c r="X75" s="34">
        <v>1.0100982532750999</v>
      </c>
      <c r="Y75" s="34">
        <v>1.0078468940038601</v>
      </c>
      <c r="Z75" s="34">
        <v>1.00143095039374</v>
      </c>
      <c r="AA75" s="34">
        <v>0.99735029507712902</v>
      </c>
      <c r="AB75" s="33">
        <v>36.927510196301697</v>
      </c>
      <c r="AC75" s="33">
        <v>36.615451844576398</v>
      </c>
      <c r="AD75" s="33">
        <v>36.523379783377401</v>
      </c>
      <c r="AE75" s="15">
        <v>-2.2313393487212799E-3</v>
      </c>
      <c r="AF75" s="15">
        <v>-1.07178135384933E-2</v>
      </c>
      <c r="AG75" s="15">
        <v>-1.323554885875E-2</v>
      </c>
      <c r="AI75" s="12"/>
      <c r="AJ75">
        <f t="shared" si="4"/>
        <v>0</v>
      </c>
      <c r="AK75">
        <f t="shared" si="5"/>
        <v>0</v>
      </c>
      <c r="AL75">
        <f t="shared" si="14"/>
        <v>0</v>
      </c>
      <c r="AM75">
        <f t="shared" si="6"/>
        <v>1</v>
      </c>
      <c r="AN75">
        <f t="shared" si="15"/>
        <v>0</v>
      </c>
      <c r="AO75" s="28">
        <f t="shared" si="7"/>
        <v>0</v>
      </c>
      <c r="AP75" s="28">
        <f t="shared" si="8"/>
        <v>0</v>
      </c>
      <c r="AQ75" s="28">
        <f t="shared" si="16"/>
        <v>0</v>
      </c>
      <c r="AR75" s="29">
        <f t="shared" si="17"/>
        <v>0</v>
      </c>
      <c r="AT75" s="12"/>
      <c r="AU75">
        <f t="shared" si="9"/>
        <v>0</v>
      </c>
      <c r="AV75">
        <f t="shared" si="10"/>
        <v>1</v>
      </c>
      <c r="AW75">
        <f t="shared" si="18"/>
        <v>0</v>
      </c>
      <c r="AX75">
        <f t="shared" si="11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1.8861195120104233E-2</v>
      </c>
      <c r="BE75" s="29">
        <f t="shared" si="22"/>
        <v>0</v>
      </c>
      <c r="BF75" s="29">
        <f t="shared" si="23"/>
        <v>1.8861195120104233E-2</v>
      </c>
      <c r="BH75" s="29"/>
    </row>
    <row r="76" spans="1:60" x14ac:dyDescent="0.25">
      <c r="A76" s="1">
        <v>46133</v>
      </c>
      <c r="B76" s="33">
        <v>36.25</v>
      </c>
      <c r="C76" s="33">
        <v>36.75</v>
      </c>
      <c r="D76" s="15">
        <v>-1.07011585052457E-2</v>
      </c>
      <c r="E76" s="15">
        <v>-7.0499207392188696E-3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36.25</v>
      </c>
      <c r="M76" s="33">
        <v>36.75</v>
      </c>
      <c r="N76" s="34">
        <v>1.0137931034482699</v>
      </c>
      <c r="O76" s="34">
        <v>1.0078468940038601</v>
      </c>
      <c r="P76" s="34">
        <v>1.00347655724052</v>
      </c>
      <c r="Q76" s="34">
        <v>0.99802636329302097</v>
      </c>
      <c r="R76" s="33">
        <v>36.534449907640202</v>
      </c>
      <c r="S76" s="33">
        <v>36.3018719517734</v>
      </c>
      <c r="T76" s="33">
        <v>36.153948196545898</v>
      </c>
      <c r="U76" s="15">
        <v>-5.8825771147480704E-3</v>
      </c>
      <c r="V76" s="15">
        <v>-1.2268916798293899E-2</v>
      </c>
      <c r="W76" s="15">
        <v>-1.6352065962607801E-2</v>
      </c>
      <c r="X76" s="34">
        <v>1.0137931034482699</v>
      </c>
      <c r="Y76" s="34">
        <v>1.0078468940038601</v>
      </c>
      <c r="Z76" s="34">
        <v>1.00347655724052</v>
      </c>
      <c r="AA76" s="34">
        <v>0.99802636329302097</v>
      </c>
      <c r="AB76" s="33">
        <v>36.534449907640202</v>
      </c>
      <c r="AC76" s="33">
        <v>36.3018719517734</v>
      </c>
      <c r="AD76" s="33">
        <v>36.153948196545898</v>
      </c>
      <c r="AE76" s="15">
        <v>-5.8825771147480704E-3</v>
      </c>
      <c r="AF76" s="15">
        <v>-1.2268916798293899E-2</v>
      </c>
      <c r="AG76" s="15">
        <v>-1.6352065962607801E-2</v>
      </c>
      <c r="AI76" s="12"/>
      <c r="AJ76">
        <f t="shared" si="4"/>
        <v>0</v>
      </c>
      <c r="AK76">
        <f t="shared" si="5"/>
        <v>0</v>
      </c>
      <c r="AL76">
        <f t="shared" si="14"/>
        <v>0</v>
      </c>
      <c r="AM76">
        <f t="shared" si="6"/>
        <v>1</v>
      </c>
      <c r="AN76">
        <f t="shared" si="15"/>
        <v>0</v>
      </c>
      <c r="AO76" s="28">
        <f t="shared" si="7"/>
        <v>0</v>
      </c>
      <c r="AP76" s="28">
        <f t="shared" si="8"/>
        <v>0</v>
      </c>
      <c r="AQ76" s="28">
        <f t="shared" si="16"/>
        <v>0</v>
      </c>
      <c r="AR76" s="29">
        <f t="shared" si="17"/>
        <v>0</v>
      </c>
      <c r="AT76" s="12"/>
      <c r="AU76">
        <f t="shared" si="9"/>
        <v>0</v>
      </c>
      <c r="AV76">
        <f t="shared" si="10"/>
        <v>1</v>
      </c>
      <c r="AW76">
        <f t="shared" si="18"/>
        <v>0</v>
      </c>
      <c r="AX76">
        <f t="shared" si="11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1.8861195120104233E-2</v>
      </c>
      <c r="BE76" s="29">
        <f t="shared" si="22"/>
        <v>0</v>
      </c>
      <c r="BF76" s="29">
        <f t="shared" si="23"/>
        <v>1.8861195120104233E-2</v>
      </c>
      <c r="BH76" s="29"/>
    </row>
    <row r="77" spans="1:60" x14ac:dyDescent="0.25">
      <c r="A77" s="1">
        <v>46134</v>
      </c>
      <c r="B77" s="33">
        <v>35.51</v>
      </c>
      <c r="C77" s="33">
        <v>35.68</v>
      </c>
      <c r="D77" s="15">
        <v>-2.0625034345687299E-2</v>
      </c>
      <c r="E77" s="15">
        <v>-2.9547917947037001E-2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35.51</v>
      </c>
      <c r="M77" s="33">
        <v>35.68</v>
      </c>
      <c r="N77" s="34">
        <v>1.0047873838355299</v>
      </c>
      <c r="O77" s="34">
        <v>1.0078468940038601</v>
      </c>
      <c r="P77" s="34">
        <v>1.0040381685522499</v>
      </c>
      <c r="Q77" s="34">
        <v>0.99867245699672902</v>
      </c>
      <c r="R77" s="33">
        <v>35.788643206077403</v>
      </c>
      <c r="S77" s="33">
        <v>35.633452547610801</v>
      </c>
      <c r="T77" s="33">
        <v>35.439916160535098</v>
      </c>
      <c r="U77" s="15">
        <v>3.0403064866016401E-3</v>
      </c>
      <c r="V77" s="15">
        <v>-1.30543277142262E-3</v>
      </c>
      <c r="W77" s="15">
        <v>-6.7515476511130802E-3</v>
      </c>
      <c r="X77" s="34">
        <v>1.0047873838355299</v>
      </c>
      <c r="Y77" s="34">
        <v>1.0078468940038601</v>
      </c>
      <c r="Z77" s="34">
        <v>1.0040381685522499</v>
      </c>
      <c r="AA77" s="34">
        <v>0.99867245699672902</v>
      </c>
      <c r="AB77" s="33">
        <v>35.788643206077403</v>
      </c>
      <c r="AC77" s="33">
        <v>35.633452547610801</v>
      </c>
      <c r="AD77" s="33">
        <v>35.439916160535098</v>
      </c>
      <c r="AE77" s="15">
        <v>3.0403064866016401E-3</v>
      </c>
      <c r="AF77" s="15">
        <v>-1.30543277142262E-3</v>
      </c>
      <c r="AG77" s="15">
        <v>-6.7515476511130802E-3</v>
      </c>
      <c r="AI77" s="12"/>
      <c r="AJ77">
        <f t="shared" si="4"/>
        <v>0</v>
      </c>
      <c r="AK77">
        <f t="shared" si="5"/>
        <v>1</v>
      </c>
      <c r="AL77">
        <f t="shared" si="14"/>
        <v>0</v>
      </c>
      <c r="AM77">
        <f t="shared" si="6"/>
        <v>1</v>
      </c>
      <c r="AN77">
        <f t="shared" si="15"/>
        <v>0</v>
      </c>
      <c r="AO77" s="28">
        <f t="shared" si="7"/>
        <v>0</v>
      </c>
      <c r="AP77" s="28">
        <f t="shared" si="8"/>
        <v>0</v>
      </c>
      <c r="AQ77" s="28">
        <f t="shared" si="16"/>
        <v>0</v>
      </c>
      <c r="AR77" s="29">
        <f t="shared" si="17"/>
        <v>0</v>
      </c>
      <c r="AT77" s="12"/>
      <c r="AU77">
        <f t="shared" si="9"/>
        <v>0</v>
      </c>
      <c r="AV77">
        <f t="shared" si="10"/>
        <v>1</v>
      </c>
      <c r="AW77">
        <f t="shared" si="18"/>
        <v>0</v>
      </c>
      <c r="AX77">
        <f t="shared" si="11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1.8861195120104233E-2</v>
      </c>
      <c r="BE77" s="29">
        <f t="shared" si="22"/>
        <v>0</v>
      </c>
      <c r="BF77" s="29">
        <f t="shared" si="23"/>
        <v>1.8861195120104233E-2</v>
      </c>
      <c r="BH77" s="29"/>
    </row>
    <row r="78" spans="1:60" x14ac:dyDescent="0.25">
      <c r="A78" s="1">
        <v>46135</v>
      </c>
      <c r="B78" s="33">
        <v>36.71</v>
      </c>
      <c r="C78" s="33">
        <v>37.119999999999997</v>
      </c>
      <c r="D78" s="15">
        <v>3.3234850553746399E-2</v>
      </c>
      <c r="E78" s="15">
        <v>3.9565600206191098E-2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36.71</v>
      </c>
      <c r="M78" s="33">
        <v>37.119999999999997</v>
      </c>
      <c r="N78" s="34">
        <v>1.01116861890493</v>
      </c>
      <c r="O78" s="34">
        <v>1.0078468940038601</v>
      </c>
      <c r="P78" s="34">
        <v>1.0054305125364</v>
      </c>
      <c r="Q78" s="34">
        <v>0.99962480263906806</v>
      </c>
      <c r="R78" s="33">
        <v>36.998059478881999</v>
      </c>
      <c r="S78" s="33">
        <v>36.858241167553103</v>
      </c>
      <c r="T78" s="33">
        <v>36.661265896349903</v>
      </c>
      <c r="U78" s="15">
        <v>-3.2904431658429198E-3</v>
      </c>
      <c r="V78" s="15">
        <v>-7.0766733760221504E-3</v>
      </c>
      <c r="W78" s="15">
        <v>-1.2435135378391899E-2</v>
      </c>
      <c r="X78" s="34">
        <v>1.01116861890493</v>
      </c>
      <c r="Y78" s="34">
        <v>1.0078468940038601</v>
      </c>
      <c r="Z78" s="34">
        <v>1.0054305125364</v>
      </c>
      <c r="AA78" s="34">
        <v>0.99962480263906806</v>
      </c>
      <c r="AB78" s="33">
        <v>36.998059478881999</v>
      </c>
      <c r="AC78" s="33">
        <v>36.858241167553103</v>
      </c>
      <c r="AD78" s="33">
        <v>36.661265896349903</v>
      </c>
      <c r="AE78" s="15">
        <v>-3.2904431658429198E-3</v>
      </c>
      <c r="AF78" s="15">
        <v>-7.0766733760221504E-3</v>
      </c>
      <c r="AG78" s="15">
        <v>-1.2435135378391899E-2</v>
      </c>
      <c r="AI78" s="12"/>
      <c r="AJ78">
        <f t="shared" si="4"/>
        <v>0</v>
      </c>
      <c r="AK78">
        <f t="shared" si="5"/>
        <v>0</v>
      </c>
      <c r="AL78">
        <f t="shared" si="14"/>
        <v>0</v>
      </c>
      <c r="AM78">
        <f t="shared" si="6"/>
        <v>1</v>
      </c>
      <c r="AN78">
        <f t="shared" si="15"/>
        <v>0</v>
      </c>
      <c r="AO78" s="28">
        <f t="shared" si="7"/>
        <v>0</v>
      </c>
      <c r="AP78" s="28">
        <f t="shared" si="8"/>
        <v>0</v>
      </c>
      <c r="AQ78" s="28">
        <f t="shared" si="16"/>
        <v>0</v>
      </c>
      <c r="AR78" s="29">
        <f t="shared" si="17"/>
        <v>0</v>
      </c>
      <c r="AT78" s="12"/>
      <c r="AU78">
        <f t="shared" si="9"/>
        <v>0</v>
      </c>
      <c r="AV78">
        <f t="shared" si="10"/>
        <v>1</v>
      </c>
      <c r="AW78">
        <f t="shared" si="18"/>
        <v>0</v>
      </c>
      <c r="AX78">
        <f t="shared" si="11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1.8861195120104233E-2</v>
      </c>
      <c r="BE78" s="29">
        <f t="shared" si="22"/>
        <v>0</v>
      </c>
      <c r="BF78" s="29">
        <f t="shared" si="23"/>
        <v>1.8861195120104233E-2</v>
      </c>
      <c r="BH78" s="29"/>
    </row>
    <row r="79" spans="1:60" x14ac:dyDescent="0.25">
      <c r="A79" s="1">
        <v>46136</v>
      </c>
      <c r="B79" s="33">
        <v>36.28</v>
      </c>
      <c r="C79" s="33">
        <v>37</v>
      </c>
      <c r="D79" s="15">
        <v>-1.1782572261807E-2</v>
      </c>
      <c r="E79" s="15">
        <v>-3.2379952737753301E-3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36.28</v>
      </c>
      <c r="M79" s="33">
        <v>37</v>
      </c>
      <c r="N79" s="34">
        <v>1.0198456449834601</v>
      </c>
      <c r="O79" s="34">
        <v>1.0078468940038601</v>
      </c>
      <c r="P79" s="34">
        <v>1.00752448622512</v>
      </c>
      <c r="Q79" s="34">
        <v>1.0008613845625001</v>
      </c>
      <c r="R79" s="33">
        <v>36.564685314460398</v>
      </c>
      <c r="S79" s="33">
        <v>36.477018994820803</v>
      </c>
      <c r="T79" s="33">
        <v>36.266387839745398</v>
      </c>
      <c r="U79" s="15">
        <v>-1.1835020153874699E-2</v>
      </c>
      <c r="V79" s="15">
        <v>-1.42354669277838E-2</v>
      </c>
      <c r="W79" s="15">
        <v>-2.0026555162360501E-2</v>
      </c>
      <c r="X79" s="34">
        <v>1.0198456449834601</v>
      </c>
      <c r="Y79" s="34">
        <v>1.0078468940038601</v>
      </c>
      <c r="Z79" s="34">
        <v>1.00752448622512</v>
      </c>
      <c r="AA79" s="34">
        <v>1.0008613845625001</v>
      </c>
      <c r="AB79" s="33">
        <v>36.564685314460398</v>
      </c>
      <c r="AC79" s="33">
        <v>36.477018994820803</v>
      </c>
      <c r="AD79" s="33">
        <v>36.266387839745398</v>
      </c>
      <c r="AE79" s="15">
        <v>-1.1835020153874699E-2</v>
      </c>
      <c r="AF79" s="15">
        <v>-1.42354669277838E-2</v>
      </c>
      <c r="AG79" s="15">
        <v>-2.0026555162360501E-2</v>
      </c>
      <c r="AI79" s="12"/>
      <c r="AJ79">
        <f t="shared" si="4"/>
        <v>1</v>
      </c>
      <c r="AK79">
        <f t="shared" si="5"/>
        <v>0</v>
      </c>
      <c r="AL79">
        <f t="shared" si="14"/>
        <v>0</v>
      </c>
      <c r="AM79">
        <f t="shared" si="6"/>
        <v>1</v>
      </c>
      <c r="AN79">
        <f t="shared" si="15"/>
        <v>0</v>
      </c>
      <c r="AO79" s="28">
        <f t="shared" si="7"/>
        <v>0</v>
      </c>
      <c r="AP79" s="28">
        <f t="shared" si="8"/>
        <v>0</v>
      </c>
      <c r="AQ79" s="28">
        <f t="shared" si="16"/>
        <v>0</v>
      </c>
      <c r="AR79" s="29">
        <f t="shared" si="17"/>
        <v>0</v>
      </c>
      <c r="AT79" s="12"/>
      <c r="AU79">
        <f t="shared" si="9"/>
        <v>0</v>
      </c>
      <c r="AV79">
        <f t="shared" si="10"/>
        <v>1</v>
      </c>
      <c r="AW79">
        <f t="shared" si="18"/>
        <v>0</v>
      </c>
      <c r="AX79">
        <f t="shared" si="11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1.8861195120104233E-2</v>
      </c>
      <c r="BE79" s="29">
        <f t="shared" si="22"/>
        <v>0</v>
      </c>
      <c r="BF79" s="29">
        <f t="shared" si="23"/>
        <v>1.8861195120104233E-2</v>
      </c>
      <c r="BH79" s="29"/>
    </row>
    <row r="80" spans="1:60" x14ac:dyDescent="0.25">
      <c r="A80" s="1">
        <v>46139</v>
      </c>
      <c r="B80" s="33">
        <v>35.56</v>
      </c>
      <c r="C80" s="33">
        <v>36.17</v>
      </c>
      <c r="D80" s="15">
        <v>-2.0045214601232E-2</v>
      </c>
      <c r="E80" s="15">
        <v>-2.26878666802178E-2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35.56</v>
      </c>
      <c r="M80" s="33">
        <v>36.17</v>
      </c>
      <c r="N80" s="34">
        <v>1.0171541057367799</v>
      </c>
      <c r="O80" s="34">
        <v>1.0078468940038601</v>
      </c>
      <c r="P80" s="34">
        <v>1.0091856521554601</v>
      </c>
      <c r="Q80" s="34">
        <v>1.0018278446073601</v>
      </c>
      <c r="R80" s="33">
        <v>35.839035550777602</v>
      </c>
      <c r="S80" s="33">
        <v>35.827570730165398</v>
      </c>
      <c r="T80" s="33">
        <v>35.590630835042802</v>
      </c>
      <c r="U80" s="15">
        <v>-9.1923680748888098E-3</v>
      </c>
      <c r="V80" s="15">
        <v>-9.5123168294035491E-3</v>
      </c>
      <c r="W80" s="15">
        <v>-1.6147621534569102E-2</v>
      </c>
      <c r="X80" s="34">
        <v>1.0171541057367799</v>
      </c>
      <c r="Y80" s="34">
        <v>1.0078468940038601</v>
      </c>
      <c r="Z80" s="34">
        <v>1.0091856521554601</v>
      </c>
      <c r="AA80" s="34">
        <v>1.0018278446073601</v>
      </c>
      <c r="AB80" s="33">
        <v>35.839035550777602</v>
      </c>
      <c r="AC80" s="33">
        <v>35.827570730165398</v>
      </c>
      <c r="AD80" s="33">
        <v>35.590630835042802</v>
      </c>
      <c r="AE80" s="15">
        <v>-9.1923680748888098E-3</v>
      </c>
      <c r="AF80" s="15">
        <v>-9.5123168294035491E-3</v>
      </c>
      <c r="AG80" s="15">
        <v>-1.6147621534569102E-2</v>
      </c>
      <c r="AI80" s="12"/>
      <c r="AJ80">
        <f t="shared" si="4"/>
        <v>0</v>
      </c>
      <c r="AK80">
        <f t="shared" si="5"/>
        <v>0</v>
      </c>
      <c r="AL80">
        <f t="shared" si="14"/>
        <v>1</v>
      </c>
      <c r="AM80">
        <f t="shared" si="6"/>
        <v>1</v>
      </c>
      <c r="AN80">
        <f t="shared" si="15"/>
        <v>1</v>
      </c>
      <c r="AO80" s="28">
        <f t="shared" si="7"/>
        <v>-2.0045214601232E-2</v>
      </c>
      <c r="AP80" s="28">
        <f t="shared" si="8"/>
        <v>2.26878666802178E-2</v>
      </c>
      <c r="AQ80" s="28">
        <f t="shared" si="16"/>
        <v>2.6426520789857993E-3</v>
      </c>
      <c r="AR80" s="29">
        <f t="shared" si="17"/>
        <v>2.6426520789857993E-3</v>
      </c>
      <c r="AT80" s="12"/>
      <c r="AU80">
        <f t="shared" si="9"/>
        <v>0</v>
      </c>
      <c r="AV80">
        <f t="shared" si="10"/>
        <v>1</v>
      </c>
      <c r="AW80">
        <f t="shared" si="18"/>
        <v>0</v>
      </c>
      <c r="AX80">
        <f t="shared" si="11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1.8861195120104233E-2</v>
      </c>
      <c r="BE80" s="29">
        <f t="shared" si="22"/>
        <v>2.6426520789857993E-3</v>
      </c>
      <c r="BF80" s="29">
        <f t="shared" si="23"/>
        <v>2.1503847199090032E-2</v>
      </c>
      <c r="BH80" s="29"/>
    </row>
    <row r="81" spans="1:60" x14ac:dyDescent="0.25">
      <c r="A81" s="1">
        <v>46140</v>
      </c>
      <c r="B81" s="33">
        <v>34.74</v>
      </c>
      <c r="C81" s="33">
        <v>35.340000000000003</v>
      </c>
      <c r="D81" s="15">
        <v>-2.3329649832744902E-2</v>
      </c>
      <c r="E81" s="15">
        <v>-2.32145790724562E-2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34.74</v>
      </c>
      <c r="M81" s="33">
        <v>35.340000000000003</v>
      </c>
      <c r="N81" s="34">
        <v>1.0172711571675299</v>
      </c>
      <c r="O81" s="34">
        <v>1.0078468940038601</v>
      </c>
      <c r="P81" s="34">
        <v>1.0104486674081099</v>
      </c>
      <c r="Q81" s="34">
        <v>1.00297766200773</v>
      </c>
      <c r="R81" s="33">
        <v>35.0126010976944</v>
      </c>
      <c r="S81" s="33">
        <v>35.059109555880703</v>
      </c>
      <c r="T81" s="33">
        <v>34.803499321659899</v>
      </c>
      <c r="U81" s="15">
        <v>-9.3074388351775707E-3</v>
      </c>
      <c r="V81" s="15">
        <v>-7.9799854425877895E-3</v>
      </c>
      <c r="W81" s="15">
        <v>-1.52975299463445E-2</v>
      </c>
      <c r="X81" s="34">
        <v>1.0172711571675299</v>
      </c>
      <c r="Y81" s="34">
        <v>1.0078468940038601</v>
      </c>
      <c r="Z81" s="34">
        <v>1.0104486674081099</v>
      </c>
      <c r="AA81" s="34">
        <v>1.00297766200773</v>
      </c>
      <c r="AB81" s="33">
        <v>35.0126010976944</v>
      </c>
      <c r="AC81" s="33">
        <v>35.059109555880703</v>
      </c>
      <c r="AD81" s="33">
        <v>34.803499321659899</v>
      </c>
      <c r="AE81" s="15">
        <v>-9.3074388351775707E-3</v>
      </c>
      <c r="AF81" s="15">
        <v>-7.9799854425877895E-3</v>
      </c>
      <c r="AG81" s="15">
        <v>-1.52975299463445E-2</v>
      </c>
      <c r="AI81" s="12"/>
      <c r="AJ81">
        <f t="shared" si="4"/>
        <v>0</v>
      </c>
      <c r="AK81">
        <f t="shared" si="5"/>
        <v>0</v>
      </c>
      <c r="AL81">
        <f t="shared" si="14"/>
        <v>1</v>
      </c>
      <c r="AM81">
        <f t="shared" si="6"/>
        <v>1</v>
      </c>
      <c r="AN81">
        <f t="shared" si="15"/>
        <v>1</v>
      </c>
      <c r="AO81" s="28">
        <f t="shared" si="7"/>
        <v>-2.3329649832744902E-2</v>
      </c>
      <c r="AP81" s="28">
        <f t="shared" si="8"/>
        <v>2.32145790724562E-2</v>
      </c>
      <c r="AQ81" s="28">
        <f t="shared" si="16"/>
        <v>-1.1507076028870189E-4</v>
      </c>
      <c r="AR81" s="29">
        <f t="shared" si="17"/>
        <v>2.5275813186970975E-3</v>
      </c>
      <c r="AT81" s="12"/>
      <c r="AU81">
        <f t="shared" si="9"/>
        <v>0</v>
      </c>
      <c r="AV81">
        <f t="shared" si="10"/>
        <v>1</v>
      </c>
      <c r="AW81">
        <f t="shared" si="18"/>
        <v>0</v>
      </c>
      <c r="AX81">
        <f t="shared" si="11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1.8861195120104233E-2</v>
      </c>
      <c r="BE81" s="29">
        <f t="shared" si="22"/>
        <v>-1.1507076028870189E-4</v>
      </c>
      <c r="BF81" s="29">
        <f t="shared" si="23"/>
        <v>2.138877643880133E-2</v>
      </c>
      <c r="BH81" s="29"/>
    </row>
    <row r="82" spans="1:60" x14ac:dyDescent="0.25">
      <c r="A82" s="1">
        <v>46141</v>
      </c>
      <c r="B82" s="33">
        <v>32.89</v>
      </c>
      <c r="C82" s="33">
        <v>33.47</v>
      </c>
      <c r="D82" s="15">
        <v>-5.47231006119933E-2</v>
      </c>
      <c r="E82" s="15">
        <v>-5.4365951668315197E-2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32.89</v>
      </c>
      <c r="M82" s="33">
        <v>33.47</v>
      </c>
      <c r="N82" s="34">
        <v>1.0176345393736601</v>
      </c>
      <c r="O82" s="34">
        <v>1.0078468940038601</v>
      </c>
      <c r="P82" s="34">
        <v>1.01245562783898</v>
      </c>
      <c r="Q82" s="34">
        <v>1.0043431299062699</v>
      </c>
      <c r="R82" s="33">
        <v>33.148084343787197</v>
      </c>
      <c r="S82" s="33">
        <v>33.233656671052898</v>
      </c>
      <c r="T82" s="33">
        <v>32.987935303434199</v>
      </c>
      <c r="U82" s="15">
        <v>-9.6645877788556402E-3</v>
      </c>
      <c r="V82" s="15">
        <v>-7.0863976513357097E-3</v>
      </c>
      <c r="W82" s="15">
        <v>-1.45076174692112E-2</v>
      </c>
      <c r="X82" s="34">
        <v>1.0176345393736601</v>
      </c>
      <c r="Y82" s="34">
        <v>1.0078468940038601</v>
      </c>
      <c r="Z82" s="34">
        <v>1.01245562783898</v>
      </c>
      <c r="AA82" s="34">
        <v>1.0043431299062699</v>
      </c>
      <c r="AB82" s="33">
        <v>33.148084343787197</v>
      </c>
      <c r="AC82" s="33">
        <v>33.233656671052898</v>
      </c>
      <c r="AD82" s="33">
        <v>32.987935303434199</v>
      </c>
      <c r="AE82" s="15">
        <v>-9.6645877788556402E-3</v>
      </c>
      <c r="AF82" s="15">
        <v>-7.0863976513357097E-3</v>
      </c>
      <c r="AG82" s="15">
        <v>-1.45076174692112E-2</v>
      </c>
      <c r="AI82" s="12"/>
      <c r="AJ82">
        <f t="shared" si="4"/>
        <v>0</v>
      </c>
      <c r="AK82">
        <f t="shared" si="5"/>
        <v>0</v>
      </c>
      <c r="AL82">
        <f t="shared" si="14"/>
        <v>1</v>
      </c>
      <c r="AM82">
        <f t="shared" si="6"/>
        <v>1</v>
      </c>
      <c r="AN82">
        <f t="shared" si="15"/>
        <v>1</v>
      </c>
      <c r="AO82" s="28">
        <f t="shared" si="7"/>
        <v>-5.47231006119933E-2</v>
      </c>
      <c r="AP82" s="28">
        <f t="shared" si="8"/>
        <v>5.4365951668315197E-2</v>
      </c>
      <c r="AQ82" s="28">
        <f t="shared" si="16"/>
        <v>-3.5714894367810252E-4</v>
      </c>
      <c r="AR82" s="29">
        <f t="shared" si="17"/>
        <v>2.1704323750189949E-3</v>
      </c>
      <c r="AT82" s="12"/>
      <c r="AU82">
        <f t="shared" si="9"/>
        <v>0</v>
      </c>
      <c r="AV82">
        <f t="shared" si="10"/>
        <v>1</v>
      </c>
      <c r="AW82">
        <f t="shared" si="18"/>
        <v>0</v>
      </c>
      <c r="AX82">
        <f t="shared" si="11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1.8861195120104233E-2</v>
      </c>
      <c r="BE82" s="29">
        <f t="shared" si="22"/>
        <v>-3.5714894367810252E-4</v>
      </c>
      <c r="BF82" s="29">
        <f t="shared" si="23"/>
        <v>2.1031627495123228E-2</v>
      </c>
      <c r="BH82" s="29"/>
    </row>
    <row r="83" spans="1:60" x14ac:dyDescent="0.25">
      <c r="A83" s="1">
        <v>46142</v>
      </c>
      <c r="B83" s="33">
        <v>34.25</v>
      </c>
      <c r="C83" s="33">
        <v>34.86</v>
      </c>
      <c r="D83" s="15">
        <v>4.0517904507268603E-2</v>
      </c>
      <c r="E83" s="15">
        <v>4.0690524868639499E-2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34.25</v>
      </c>
      <c r="M83" s="33">
        <v>34.86</v>
      </c>
      <c r="N83" s="34">
        <v>1.0178102189781</v>
      </c>
      <c r="O83" s="34">
        <v>1.0078468940038601</v>
      </c>
      <c r="P83" s="34">
        <v>1.01367515241059</v>
      </c>
      <c r="Q83" s="34">
        <v>1.0056299239926401</v>
      </c>
      <c r="R83" s="33">
        <v>34.518756119632499</v>
      </c>
      <c r="S83" s="33">
        <v>34.676605253485299</v>
      </c>
      <c r="T83" s="33">
        <v>34.398752199289703</v>
      </c>
      <c r="U83" s="15">
        <v>-9.8372081402266793E-3</v>
      </c>
      <c r="V83" s="15">
        <v>-5.2747807019529504E-3</v>
      </c>
      <c r="W83" s="15">
        <v>-1.3319749646873101E-2</v>
      </c>
      <c r="X83" s="34">
        <v>1.0178102189781</v>
      </c>
      <c r="Y83" s="34">
        <v>1.0078468940038601</v>
      </c>
      <c r="Z83" s="34">
        <v>1.01367515241059</v>
      </c>
      <c r="AA83" s="34">
        <v>1.0056299239926401</v>
      </c>
      <c r="AB83" s="33">
        <v>34.518756119632499</v>
      </c>
      <c r="AC83" s="33">
        <v>34.676605253485299</v>
      </c>
      <c r="AD83" s="33">
        <v>34.398752199289703</v>
      </c>
      <c r="AE83" s="15">
        <v>-9.8372081402266793E-3</v>
      </c>
      <c r="AF83" s="15">
        <v>-5.2747807019529504E-3</v>
      </c>
      <c r="AG83" s="15">
        <v>-1.3319749646873101E-2</v>
      </c>
      <c r="AI83" s="12"/>
      <c r="AJ83">
        <f t="shared" si="4"/>
        <v>0</v>
      </c>
      <c r="AK83">
        <f t="shared" si="5"/>
        <v>0</v>
      </c>
      <c r="AL83">
        <f t="shared" si="14"/>
        <v>1</v>
      </c>
      <c r="AM83">
        <f t="shared" si="6"/>
        <v>1</v>
      </c>
      <c r="AN83">
        <f t="shared" si="15"/>
        <v>1</v>
      </c>
      <c r="AO83" s="28">
        <f t="shared" si="7"/>
        <v>4.0517904507268603E-2</v>
      </c>
      <c r="AP83" s="28">
        <f t="shared" si="8"/>
        <v>-4.0690524868639499E-2</v>
      </c>
      <c r="AQ83" s="28">
        <f t="shared" si="16"/>
        <v>-1.7262036137089681E-4</v>
      </c>
      <c r="AR83" s="29">
        <f t="shared" si="17"/>
        <v>1.9978120136480981E-3</v>
      </c>
      <c r="AT83" s="12"/>
      <c r="AU83">
        <f t="shared" si="9"/>
        <v>0</v>
      </c>
      <c r="AV83">
        <f t="shared" si="10"/>
        <v>1</v>
      </c>
      <c r="AW83">
        <f t="shared" si="18"/>
        <v>0</v>
      </c>
      <c r="AX83">
        <f t="shared" si="11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1.8861195120104233E-2</v>
      </c>
      <c r="BE83" s="29">
        <f t="shared" si="22"/>
        <v>-1.7262036137089681E-4</v>
      </c>
      <c r="BF83" s="29">
        <f t="shared" si="23"/>
        <v>2.0859007133752331E-2</v>
      </c>
      <c r="BH83" s="29"/>
    </row>
    <row r="84" spans="1:60" x14ac:dyDescent="0.25">
      <c r="A84" s="1">
        <v>46143</v>
      </c>
      <c r="B84" s="33">
        <v>33.9</v>
      </c>
      <c r="C84" s="33">
        <v>34.46</v>
      </c>
      <c r="D84" s="15">
        <v>-1.0271550321829701E-2</v>
      </c>
      <c r="E84" s="15">
        <v>-1.15408089920912E-2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33.9</v>
      </c>
      <c r="M84" s="33">
        <v>34.46</v>
      </c>
      <c r="N84" s="34">
        <v>1.01651917404129</v>
      </c>
      <c r="O84" s="34">
        <v>1.0078468940038601</v>
      </c>
      <c r="P84" s="34">
        <v>1.0146082199744699</v>
      </c>
      <c r="Q84" s="34">
        <v>1.0069691187833101</v>
      </c>
      <c r="R84" s="33">
        <v>34.166009706731103</v>
      </c>
      <c r="S84" s="33">
        <v>34.363587666719198</v>
      </c>
      <c r="T84" s="33">
        <v>34.090854423350599</v>
      </c>
      <c r="U84" s="15">
        <v>-8.5679494699651398E-3</v>
      </c>
      <c r="V84" s="15">
        <v>-2.8017253856256201E-3</v>
      </c>
      <c r="W84" s="15">
        <v>-1.0770081510742499E-2</v>
      </c>
      <c r="X84" s="34">
        <v>1.01651917404129</v>
      </c>
      <c r="Y84" s="34">
        <v>1.0078468940038601</v>
      </c>
      <c r="Z84" s="34">
        <v>1.0146082199744699</v>
      </c>
      <c r="AA84" s="34">
        <v>1.0069691187833101</v>
      </c>
      <c r="AB84" s="33">
        <v>34.166009706731103</v>
      </c>
      <c r="AC84" s="33">
        <v>34.363587666719198</v>
      </c>
      <c r="AD84" s="33">
        <v>34.090854423350599</v>
      </c>
      <c r="AE84" s="15">
        <v>-8.5679494699651398E-3</v>
      </c>
      <c r="AF84" s="15">
        <v>-2.8017253856256201E-3</v>
      </c>
      <c r="AG84" s="15">
        <v>-1.0770081510742499E-2</v>
      </c>
      <c r="AI84" s="12"/>
      <c r="AJ84">
        <f t="shared" si="4"/>
        <v>0</v>
      </c>
      <c r="AK84">
        <f t="shared" si="5"/>
        <v>0</v>
      </c>
      <c r="AL84">
        <f t="shared" si="14"/>
        <v>1</v>
      </c>
      <c r="AM84">
        <f t="shared" si="6"/>
        <v>1</v>
      </c>
      <c r="AN84">
        <f t="shared" si="15"/>
        <v>1</v>
      </c>
      <c r="AO84" s="28">
        <f t="shared" si="7"/>
        <v>-1.0271550321829701E-2</v>
      </c>
      <c r="AP84" s="28">
        <f t="shared" si="8"/>
        <v>1.15408089920912E-2</v>
      </c>
      <c r="AQ84" s="28">
        <f t="shared" si="16"/>
        <v>1.2692586702614996E-3</v>
      </c>
      <c r="AR84" s="29">
        <f t="shared" si="17"/>
        <v>3.2670706839095977E-3</v>
      </c>
      <c r="AT84" s="12"/>
      <c r="AU84">
        <f t="shared" si="9"/>
        <v>0</v>
      </c>
      <c r="AV84">
        <f t="shared" si="10"/>
        <v>1</v>
      </c>
      <c r="AW84">
        <f t="shared" si="18"/>
        <v>0</v>
      </c>
      <c r="AX84">
        <f t="shared" si="11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1.8861195120104233E-2</v>
      </c>
      <c r="BE84" s="29">
        <f t="shared" si="22"/>
        <v>1.2692586702614996E-3</v>
      </c>
      <c r="BF84" s="29">
        <f t="shared" si="23"/>
        <v>2.2128265804013829E-2</v>
      </c>
      <c r="BH84" s="29"/>
    </row>
    <row r="85" spans="1:60" x14ac:dyDescent="0.25">
      <c r="A85" s="1">
        <v>46146</v>
      </c>
      <c r="B85" s="33">
        <v>33.43</v>
      </c>
      <c r="C85" s="33">
        <v>33.869999999999997</v>
      </c>
      <c r="D85" s="15">
        <v>-1.39613139543973E-2</v>
      </c>
      <c r="E85" s="15">
        <v>-1.7269564270103201E-2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33.43</v>
      </c>
      <c r="M85" s="33">
        <v>33.869999999999997</v>
      </c>
      <c r="N85" s="34">
        <v>1.01316183069099</v>
      </c>
      <c r="O85" s="34">
        <v>1.0078468940038601</v>
      </c>
      <c r="P85" s="34">
        <v>1.01491457771605</v>
      </c>
      <c r="Q85" s="34">
        <v>1.0081727640549001</v>
      </c>
      <c r="R85" s="33">
        <v>33.692321666549297</v>
      </c>
      <c r="S85" s="33">
        <v>33.9183527937465</v>
      </c>
      <c r="T85" s="33">
        <v>33.662977640926002</v>
      </c>
      <c r="U85" s="15">
        <v>-5.25969915425923E-3</v>
      </c>
      <c r="V85" s="15">
        <v>1.42658140976004E-3</v>
      </c>
      <c r="W85" s="15">
        <v>-6.1310196823092704E-3</v>
      </c>
      <c r="X85" s="34">
        <v>1.01316183069099</v>
      </c>
      <c r="Y85" s="34">
        <v>1.0078468940038601</v>
      </c>
      <c r="Z85" s="34">
        <v>1.01491457771605</v>
      </c>
      <c r="AA85" s="34">
        <v>1.0081727640549001</v>
      </c>
      <c r="AB85" s="33">
        <v>33.692321666549297</v>
      </c>
      <c r="AC85" s="33">
        <v>33.9183527937465</v>
      </c>
      <c r="AD85" s="33">
        <v>33.662977640926002</v>
      </c>
      <c r="AE85" s="15">
        <v>-5.25969915425923E-3</v>
      </c>
      <c r="AF85" s="15">
        <v>1.42658140976004E-3</v>
      </c>
      <c r="AG85" s="15">
        <v>-6.1310196823092704E-3</v>
      </c>
      <c r="AI85" s="12"/>
      <c r="AJ85">
        <f t="shared" si="4"/>
        <v>0</v>
      </c>
      <c r="AK85">
        <f t="shared" si="5"/>
        <v>1</v>
      </c>
      <c r="AL85">
        <f t="shared" si="14"/>
        <v>1</v>
      </c>
      <c r="AM85">
        <f t="shared" si="6"/>
        <v>1</v>
      </c>
      <c r="AN85">
        <f t="shared" si="15"/>
        <v>1</v>
      </c>
      <c r="AO85" s="28">
        <f t="shared" si="7"/>
        <v>-1.39613139543973E-2</v>
      </c>
      <c r="AP85" s="28">
        <f t="shared" si="8"/>
        <v>1.7269564270103201E-2</v>
      </c>
      <c r="AQ85" s="28">
        <f t="shared" si="16"/>
        <v>3.3082503157059011E-3</v>
      </c>
      <c r="AR85" s="29">
        <f t="shared" si="17"/>
        <v>6.5753209996154988E-3</v>
      </c>
      <c r="AT85" s="12"/>
      <c r="AU85">
        <f t="shared" si="9"/>
        <v>0</v>
      </c>
      <c r="AV85">
        <f t="shared" si="10"/>
        <v>1</v>
      </c>
      <c r="AW85">
        <f t="shared" si="18"/>
        <v>0</v>
      </c>
      <c r="AX85">
        <f t="shared" si="11"/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1.8861195120104233E-2</v>
      </c>
      <c r="BE85" s="29">
        <f t="shared" si="22"/>
        <v>3.3082503157059011E-3</v>
      </c>
      <c r="BF85" s="29">
        <f t="shared" si="23"/>
        <v>2.543651611971973E-2</v>
      </c>
      <c r="BH85" s="29"/>
    </row>
    <row r="86" spans="1:60" x14ac:dyDescent="0.25">
      <c r="A86" s="1">
        <v>46147</v>
      </c>
      <c r="B86" s="33">
        <v>33.1</v>
      </c>
      <c r="C86" s="33">
        <v>33.619999999999997</v>
      </c>
      <c r="D86" s="15">
        <v>-9.9204180489899704E-3</v>
      </c>
      <c r="E86" s="15">
        <v>-7.40853884921076E-3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33.1</v>
      </c>
      <c r="M86" s="33">
        <v>33.619999999999997</v>
      </c>
      <c r="N86" s="34">
        <v>1.0157099697885099</v>
      </c>
      <c r="O86" s="34">
        <v>1.0078468940038601</v>
      </c>
      <c r="P86" s="34">
        <v>1.0151062643500799</v>
      </c>
      <c r="Q86" s="34">
        <v>1.0092914107952999</v>
      </c>
      <c r="R86" s="33">
        <v>33.359732191528003</v>
      </c>
      <c r="S86" s="33">
        <v>33.593672522401498</v>
      </c>
      <c r="T86" s="33">
        <v>33.3705184902173</v>
      </c>
      <c r="U86" s="15">
        <v>-7.7715783540382999E-3</v>
      </c>
      <c r="V86" s="15">
        <v>-7.8339653100003204E-4</v>
      </c>
      <c r="W86" s="15">
        <v>-7.4482977227513002E-3</v>
      </c>
      <c r="X86" s="34">
        <v>1.0157099697885099</v>
      </c>
      <c r="Y86" s="34">
        <v>1.0078468940038601</v>
      </c>
      <c r="Z86" s="34">
        <v>1.0151062643500799</v>
      </c>
      <c r="AA86" s="34">
        <v>1.0092914107952999</v>
      </c>
      <c r="AB86" s="33">
        <v>33.359732191528003</v>
      </c>
      <c r="AC86" s="33">
        <v>33.593672522401498</v>
      </c>
      <c r="AD86" s="33">
        <v>33.3705184902173</v>
      </c>
      <c r="AE86" s="15">
        <v>-7.7715783540382999E-3</v>
      </c>
      <c r="AF86" s="15">
        <v>-7.8339653100003204E-4</v>
      </c>
      <c r="AG86" s="15">
        <v>-7.4482977227513002E-3</v>
      </c>
      <c r="AI86" s="12"/>
      <c r="AJ86">
        <f t="shared" ref="AJ86:AJ149" si="24">IF($AG86&lt;AI$21,1,0)</f>
        <v>0</v>
      </c>
      <c r="AK86">
        <f t="shared" ref="AK86:AK149" si="25">IF($AG86&gt;AI$22,1,0)</f>
        <v>1</v>
      </c>
      <c r="AL86">
        <f t="shared" si="14"/>
        <v>0</v>
      </c>
      <c r="AM86">
        <f t="shared" ref="AM86:AM149" si="26">IF(F87+H87&gt;0,0,1)</f>
        <v>1</v>
      </c>
      <c r="AN86">
        <f t="shared" si="15"/>
        <v>0</v>
      </c>
      <c r="AO86" s="28">
        <f t="shared" ref="AO86:AO149" si="27">AN86*D86</f>
        <v>0</v>
      </c>
      <c r="AP86" s="28">
        <f t="shared" ref="AP86:AP149" si="28">-AN86*$E86</f>
        <v>0</v>
      </c>
      <c r="AQ86" s="28">
        <f t="shared" si="16"/>
        <v>0</v>
      </c>
      <c r="AR86" s="29">
        <f t="shared" si="17"/>
        <v>6.5753209996154988E-3</v>
      </c>
      <c r="AT86" s="12"/>
      <c r="AU86">
        <f t="shared" ref="AU86:AU149" si="29">IF($AG86&gt;AT$21,1,0)</f>
        <v>0</v>
      </c>
      <c r="AV86">
        <f t="shared" ref="AV86:AV149" si="30">IF($AG86&lt;AT$22,1,0)</f>
        <v>1</v>
      </c>
      <c r="AW86">
        <f t="shared" si="18"/>
        <v>0</v>
      </c>
      <c r="AX86">
        <f t="shared" ref="AX86:AX149" si="31">IF(F87+H87&gt;0,0,1)</f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1.8861195120104233E-2</v>
      </c>
      <c r="BE86" s="29">
        <f t="shared" si="22"/>
        <v>0</v>
      </c>
      <c r="BF86" s="29">
        <f t="shared" si="23"/>
        <v>2.543651611971973E-2</v>
      </c>
      <c r="BH86" s="29"/>
    </row>
    <row r="87" spans="1:60" x14ac:dyDescent="0.25">
      <c r="A87" s="1">
        <v>46148</v>
      </c>
      <c r="B87" s="33">
        <v>32.97</v>
      </c>
      <c r="C87" s="33">
        <v>33.25</v>
      </c>
      <c r="D87" s="15">
        <v>-3.9352252993775901E-3</v>
      </c>
      <c r="E87" s="15">
        <v>-1.1066360878606201E-2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32.97</v>
      </c>
      <c r="M87" s="33">
        <v>33.25</v>
      </c>
      <c r="N87" s="34">
        <v>1.00849256900212</v>
      </c>
      <c r="O87" s="34">
        <v>1.0078468940038601</v>
      </c>
      <c r="P87" s="34">
        <v>1.0154767828667399</v>
      </c>
      <c r="Q87" s="34">
        <v>1.00975747570949</v>
      </c>
      <c r="R87" s="33">
        <v>33.2287120953075</v>
      </c>
      <c r="S87" s="33">
        <v>33.468053535622197</v>
      </c>
      <c r="T87" s="33">
        <v>33.276337813921003</v>
      </c>
      <c r="U87" s="15">
        <v>-6.4044277480973999E-4</v>
      </c>
      <c r="V87" s="15">
        <v>6.53659093646735E-3</v>
      </c>
      <c r="W87" s="15">
        <v>7.9180114711250302E-4</v>
      </c>
      <c r="X87" s="34">
        <v>1.00849256900212</v>
      </c>
      <c r="Y87" s="34">
        <v>1.0078468940038601</v>
      </c>
      <c r="Z87" s="34">
        <v>1.0154767828667399</v>
      </c>
      <c r="AA87" s="34">
        <v>1.00975747570949</v>
      </c>
      <c r="AB87" s="33">
        <v>33.2287120953075</v>
      </c>
      <c r="AC87" s="33">
        <v>33.468053535622197</v>
      </c>
      <c r="AD87" s="33">
        <v>33.276337813921003</v>
      </c>
      <c r="AE87" s="15">
        <v>-6.4044277480973999E-4</v>
      </c>
      <c r="AF87" s="15">
        <v>6.53659093646735E-3</v>
      </c>
      <c r="AG87" s="15">
        <v>7.9180114711250302E-4</v>
      </c>
      <c r="AI87" s="12"/>
      <c r="AJ87">
        <f t="shared" si="24"/>
        <v>0</v>
      </c>
      <c r="AK87">
        <f t="shared" si="25"/>
        <v>1</v>
      </c>
      <c r="AL87">
        <f t="shared" ref="AL87:AL150" si="34">AN87</f>
        <v>0</v>
      </c>
      <c r="AM87">
        <f t="shared" si="26"/>
        <v>1</v>
      </c>
      <c r="AN87">
        <f t="shared" ref="AN87:AN150" si="35">IF(AJ86,1,IF(AK86,0,AL86))*AM86</f>
        <v>0</v>
      </c>
      <c r="AO87" s="28">
        <f t="shared" si="27"/>
        <v>0</v>
      </c>
      <c r="AP87" s="28">
        <f t="shared" si="28"/>
        <v>0</v>
      </c>
      <c r="AQ87" s="28">
        <f t="shared" ref="AQ87:AQ150" si="36">AO87+AP87</f>
        <v>0</v>
      </c>
      <c r="AR87" s="29">
        <f t="shared" ref="AR87:AR150" si="37">AR86+AQ87</f>
        <v>6.5753209996154988E-3</v>
      </c>
      <c r="AT87" s="12"/>
      <c r="AU87">
        <f t="shared" si="29"/>
        <v>0</v>
      </c>
      <c r="AV87">
        <f t="shared" si="30"/>
        <v>1</v>
      </c>
      <c r="AW87">
        <f t="shared" ref="AW87:AW150" si="38">AY87</f>
        <v>0</v>
      </c>
      <c r="AX87">
        <f t="shared" si="31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1.8861195120104233E-2</v>
      </c>
      <c r="BE87" s="29">
        <f t="shared" ref="BE87:BE150" si="42">AQ87+BB87</f>
        <v>0</v>
      </c>
      <c r="BF87" s="29">
        <f t="shared" ref="BF87:BF150" si="43">BF86+BE87</f>
        <v>2.543651611971973E-2</v>
      </c>
      <c r="BH87" s="29"/>
    </row>
    <row r="88" spans="1:60" x14ac:dyDescent="0.25">
      <c r="A88" s="1">
        <v>46149</v>
      </c>
      <c r="B88" s="33">
        <v>26.77</v>
      </c>
      <c r="C88" s="33">
        <v>27.16</v>
      </c>
      <c r="D88" s="15">
        <v>-0.20831619955137801</v>
      </c>
      <c r="E88" s="15">
        <v>-0.20230946441136699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26.77</v>
      </c>
      <c r="M88" s="33">
        <v>27.16</v>
      </c>
      <c r="N88" s="34">
        <v>1.0145685468808301</v>
      </c>
      <c r="O88" s="34">
        <v>1.0078468940038601</v>
      </c>
      <c r="P88" s="34">
        <v>1.0158167756643299</v>
      </c>
      <c r="Q88" s="34">
        <v>1.01062364410036</v>
      </c>
      <c r="R88" s="33">
        <v>26.980061352483499</v>
      </c>
      <c r="S88" s="33">
        <v>27.184313477342599</v>
      </c>
      <c r="T88" s="33">
        <v>27.0312076247432</v>
      </c>
      <c r="U88" s="15">
        <v>-6.6471779148204596E-3</v>
      </c>
      <c r="V88" s="15">
        <v>8.9479385823996202E-4</v>
      </c>
      <c r="W88" s="15">
        <v>-4.7532661991290604E-3</v>
      </c>
      <c r="X88" s="34">
        <v>1.0145685468808301</v>
      </c>
      <c r="Y88" s="34">
        <v>1.0078468940038601</v>
      </c>
      <c r="Z88" s="34">
        <v>1.0158167756643299</v>
      </c>
      <c r="AA88" s="34">
        <v>1.01062364410036</v>
      </c>
      <c r="AB88" s="33">
        <v>26.980061352483499</v>
      </c>
      <c r="AC88" s="33">
        <v>27.184313477342599</v>
      </c>
      <c r="AD88" s="33">
        <v>27.0312076247432</v>
      </c>
      <c r="AE88" s="15">
        <v>-6.6471779148204596E-3</v>
      </c>
      <c r="AF88" s="15">
        <v>8.9479385823996202E-4</v>
      </c>
      <c r="AG88" s="15">
        <v>-4.7532661991290604E-3</v>
      </c>
      <c r="AI88" s="12"/>
      <c r="AJ88">
        <f t="shared" si="24"/>
        <v>0</v>
      </c>
      <c r="AK88">
        <f t="shared" si="25"/>
        <v>1</v>
      </c>
      <c r="AL88">
        <f t="shared" si="34"/>
        <v>0</v>
      </c>
      <c r="AM88">
        <f t="shared" si="26"/>
        <v>1</v>
      </c>
      <c r="AN88">
        <f t="shared" si="35"/>
        <v>0</v>
      </c>
      <c r="AO88" s="28">
        <f t="shared" si="27"/>
        <v>0</v>
      </c>
      <c r="AP88" s="28">
        <f t="shared" si="28"/>
        <v>0</v>
      </c>
      <c r="AQ88" s="28">
        <f t="shared" si="36"/>
        <v>0</v>
      </c>
      <c r="AR88" s="29">
        <f t="shared" si="37"/>
        <v>6.5753209996154988E-3</v>
      </c>
      <c r="AT88" s="12"/>
      <c r="AU88">
        <f t="shared" si="29"/>
        <v>0</v>
      </c>
      <c r="AV88">
        <f t="shared" si="30"/>
        <v>1</v>
      </c>
      <c r="AW88">
        <f t="shared" si="38"/>
        <v>0</v>
      </c>
      <c r="AX88">
        <f t="shared" si="31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1.8861195120104233E-2</v>
      </c>
      <c r="BE88" s="29">
        <f t="shared" si="42"/>
        <v>0</v>
      </c>
      <c r="BF88" s="29">
        <f t="shared" si="43"/>
        <v>2.543651611971973E-2</v>
      </c>
      <c r="BH88" s="29"/>
    </row>
    <row r="89" spans="1:60" x14ac:dyDescent="0.25">
      <c r="A89" s="1">
        <v>46150</v>
      </c>
      <c r="B89" s="33">
        <v>26.26</v>
      </c>
      <c r="C89" s="33">
        <v>26.77</v>
      </c>
      <c r="D89" s="15">
        <v>-1.9234988657610901E-2</v>
      </c>
      <c r="E89" s="15">
        <v>-1.44634451582342E-2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26.26</v>
      </c>
      <c r="M89" s="33">
        <v>26.77</v>
      </c>
      <c r="N89" s="34">
        <v>1.0194211728865099</v>
      </c>
      <c r="O89" s="34">
        <v>1.0078468940038601</v>
      </c>
      <c r="P89" s="34">
        <v>1.0157743284546299</v>
      </c>
      <c r="Q89" s="34">
        <v>1.0116494073398801</v>
      </c>
      <c r="R89" s="33">
        <v>26.466059436541599</v>
      </c>
      <c r="S89" s="33">
        <v>26.6753485289453</v>
      </c>
      <c r="T89" s="33">
        <v>26.538976894075699</v>
      </c>
      <c r="U89" s="15">
        <v>-1.1418721414196999E-2</v>
      </c>
      <c r="V89" s="15">
        <v>-3.5419946773967001E-3</v>
      </c>
      <c r="W89" s="15">
        <v>-8.6673789539323601E-3</v>
      </c>
      <c r="X89" s="34">
        <v>1.0194211728865099</v>
      </c>
      <c r="Y89" s="34">
        <v>1.0078468940038601</v>
      </c>
      <c r="Z89" s="34">
        <v>1.0157743284546299</v>
      </c>
      <c r="AA89" s="34">
        <v>1.0116494073398801</v>
      </c>
      <c r="AB89" s="33">
        <v>26.466059436541599</v>
      </c>
      <c r="AC89" s="33">
        <v>26.6753485289453</v>
      </c>
      <c r="AD89" s="33">
        <v>26.538976894075699</v>
      </c>
      <c r="AE89" s="15">
        <v>-1.1418721414196999E-2</v>
      </c>
      <c r="AF89" s="15">
        <v>-3.5419946773967001E-3</v>
      </c>
      <c r="AG89" s="15">
        <v>-8.6673789539323601E-3</v>
      </c>
      <c r="AI89" s="12"/>
      <c r="AJ89">
        <f t="shared" si="24"/>
        <v>0</v>
      </c>
      <c r="AK89">
        <f t="shared" si="25"/>
        <v>1</v>
      </c>
      <c r="AL89">
        <f t="shared" si="34"/>
        <v>0</v>
      </c>
      <c r="AM89">
        <f t="shared" si="26"/>
        <v>1</v>
      </c>
      <c r="AN89">
        <f t="shared" si="35"/>
        <v>0</v>
      </c>
      <c r="AO89" s="28">
        <f t="shared" si="27"/>
        <v>0</v>
      </c>
      <c r="AP89" s="28">
        <f t="shared" si="28"/>
        <v>0</v>
      </c>
      <c r="AQ89" s="28">
        <f t="shared" si="36"/>
        <v>0</v>
      </c>
      <c r="AR89" s="29">
        <f t="shared" si="37"/>
        <v>6.5753209996154988E-3</v>
      </c>
      <c r="AT89" s="12"/>
      <c r="AU89">
        <f t="shared" si="29"/>
        <v>0</v>
      </c>
      <c r="AV89">
        <f t="shared" si="30"/>
        <v>1</v>
      </c>
      <c r="AW89">
        <f t="shared" si="38"/>
        <v>0</v>
      </c>
      <c r="AX89">
        <f t="shared" si="31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1.8861195120104233E-2</v>
      </c>
      <c r="BE89" s="29">
        <f t="shared" si="42"/>
        <v>0</v>
      </c>
      <c r="BF89" s="29">
        <f t="shared" si="43"/>
        <v>2.543651611971973E-2</v>
      </c>
      <c r="BH89" s="29"/>
    </row>
    <row r="90" spans="1:60" x14ac:dyDescent="0.25">
      <c r="A90" s="1">
        <v>46153</v>
      </c>
      <c r="B90" s="33">
        <v>28.34</v>
      </c>
      <c r="C90" s="33">
        <v>28.71</v>
      </c>
      <c r="D90" s="15">
        <v>7.6227365387884105E-2</v>
      </c>
      <c r="E90" s="15">
        <v>6.9963636600711407E-2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28.34</v>
      </c>
      <c r="M90" s="33">
        <v>28.71</v>
      </c>
      <c r="N90" s="34">
        <v>1.01305575158786</v>
      </c>
      <c r="O90" s="34">
        <v>1.0078468940038601</v>
      </c>
      <c r="P90" s="34">
        <v>1.0153644930397401</v>
      </c>
      <c r="Q90" s="34">
        <v>1.0122750725976</v>
      </c>
      <c r="R90" s="33">
        <v>28.562380976069601</v>
      </c>
      <c r="S90" s="33">
        <v>28.7870444684044</v>
      </c>
      <c r="T90" s="33">
        <v>28.6701442040122</v>
      </c>
      <c r="U90" s="15">
        <v>-5.1549926270243098E-3</v>
      </c>
      <c r="V90" s="15">
        <v>2.67994695131233E-3</v>
      </c>
      <c r="W90" s="15">
        <v>-1.3891844626823301E-3</v>
      </c>
      <c r="X90" s="34">
        <v>1.01305575158786</v>
      </c>
      <c r="Y90" s="34">
        <v>1.0078468940038601</v>
      </c>
      <c r="Z90" s="34">
        <v>1.0153644930397401</v>
      </c>
      <c r="AA90" s="34">
        <v>1.0122750725976</v>
      </c>
      <c r="AB90" s="33">
        <v>28.562380976069601</v>
      </c>
      <c r="AC90" s="33">
        <v>28.7870444684044</v>
      </c>
      <c r="AD90" s="33">
        <v>28.6701442040122</v>
      </c>
      <c r="AE90" s="15">
        <v>-5.1549926270243098E-3</v>
      </c>
      <c r="AF90" s="15">
        <v>2.67994695131233E-3</v>
      </c>
      <c r="AG90" s="15">
        <v>-1.3891844626823301E-3</v>
      </c>
      <c r="AI90" s="12"/>
      <c r="AJ90">
        <f t="shared" si="24"/>
        <v>0</v>
      </c>
      <c r="AK90">
        <f t="shared" si="25"/>
        <v>1</v>
      </c>
      <c r="AL90">
        <f t="shared" si="34"/>
        <v>0</v>
      </c>
      <c r="AM90">
        <f t="shared" si="26"/>
        <v>1</v>
      </c>
      <c r="AN90">
        <f t="shared" si="35"/>
        <v>0</v>
      </c>
      <c r="AO90" s="28">
        <f t="shared" si="27"/>
        <v>0</v>
      </c>
      <c r="AP90" s="28">
        <f t="shared" si="28"/>
        <v>0</v>
      </c>
      <c r="AQ90" s="28">
        <f t="shared" si="36"/>
        <v>0</v>
      </c>
      <c r="AR90" s="29">
        <f t="shared" si="37"/>
        <v>6.5753209996154988E-3</v>
      </c>
      <c r="AT90" s="12"/>
      <c r="AU90">
        <f t="shared" si="29"/>
        <v>0</v>
      </c>
      <c r="AV90">
        <f t="shared" si="30"/>
        <v>1</v>
      </c>
      <c r="AW90">
        <f t="shared" si="38"/>
        <v>0</v>
      </c>
      <c r="AX90">
        <f t="shared" si="31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1.8861195120104233E-2</v>
      </c>
      <c r="BE90" s="29">
        <f t="shared" si="42"/>
        <v>0</v>
      </c>
      <c r="BF90" s="29">
        <f t="shared" si="43"/>
        <v>2.543651611971973E-2</v>
      </c>
      <c r="BH90" s="29"/>
    </row>
    <row r="91" spans="1:60" x14ac:dyDescent="0.25">
      <c r="A91" s="1">
        <v>46154</v>
      </c>
      <c r="B91" s="33">
        <v>28.08</v>
      </c>
      <c r="C91" s="33">
        <v>28.38</v>
      </c>
      <c r="D91" s="15">
        <v>-9.2166551049240597E-3</v>
      </c>
      <c r="E91" s="15">
        <v>-1.1560822401076001E-2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28.08</v>
      </c>
      <c r="M91" s="33">
        <v>28.38</v>
      </c>
      <c r="N91" s="34">
        <v>1.01068376068376</v>
      </c>
      <c r="O91" s="34">
        <v>1.0078468940038601</v>
      </c>
      <c r="P91" s="34">
        <v>1.0147057533913599</v>
      </c>
      <c r="Q91" s="34">
        <v>1.0125772103997399</v>
      </c>
      <c r="R91" s="33">
        <v>28.300340783628599</v>
      </c>
      <c r="S91" s="33">
        <v>28.511434964555999</v>
      </c>
      <c r="T91" s="33">
        <v>28.4246840385407</v>
      </c>
      <c r="U91" s="15">
        <v>-2.8108253308724799E-3</v>
      </c>
      <c r="V91" s="15">
        <v>4.6205618992771298E-3</v>
      </c>
      <c r="W91" s="15">
        <v>1.5732522243042601E-3</v>
      </c>
      <c r="X91" s="34">
        <v>1.01068376068376</v>
      </c>
      <c r="Y91" s="34">
        <v>1.0078468940038601</v>
      </c>
      <c r="Z91" s="34">
        <v>1.0147057533913599</v>
      </c>
      <c r="AA91" s="34">
        <v>1.0125772103997399</v>
      </c>
      <c r="AB91" s="33">
        <v>28.300340783628599</v>
      </c>
      <c r="AC91" s="33">
        <v>28.511434964555999</v>
      </c>
      <c r="AD91" s="33">
        <v>28.4246840385407</v>
      </c>
      <c r="AE91" s="15">
        <v>-2.8108253308724799E-3</v>
      </c>
      <c r="AF91" s="15">
        <v>4.6205618992771298E-3</v>
      </c>
      <c r="AG91" s="15">
        <v>1.5732522243042601E-3</v>
      </c>
      <c r="AI91" s="12"/>
      <c r="AJ91">
        <f t="shared" si="24"/>
        <v>0</v>
      </c>
      <c r="AK91">
        <f t="shared" si="25"/>
        <v>1</v>
      </c>
      <c r="AL91">
        <f t="shared" si="34"/>
        <v>0</v>
      </c>
      <c r="AM91">
        <f t="shared" si="26"/>
        <v>1</v>
      </c>
      <c r="AN91">
        <f t="shared" si="35"/>
        <v>0</v>
      </c>
      <c r="AO91" s="28">
        <f t="shared" si="27"/>
        <v>0</v>
      </c>
      <c r="AP91" s="28">
        <f t="shared" si="28"/>
        <v>0</v>
      </c>
      <c r="AQ91" s="28">
        <f t="shared" si="36"/>
        <v>0</v>
      </c>
      <c r="AR91" s="29">
        <f t="shared" si="37"/>
        <v>6.5753209996154988E-3</v>
      </c>
      <c r="AT91" s="12"/>
      <c r="AU91">
        <f t="shared" si="29"/>
        <v>0</v>
      </c>
      <c r="AV91">
        <f t="shared" si="30"/>
        <v>1</v>
      </c>
      <c r="AW91">
        <f t="shared" si="38"/>
        <v>0</v>
      </c>
      <c r="AX91">
        <f t="shared" si="31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1.8861195120104233E-2</v>
      </c>
      <c r="BE91" s="29">
        <f t="shared" si="42"/>
        <v>0</v>
      </c>
      <c r="BF91" s="29">
        <f t="shared" si="43"/>
        <v>2.543651611971973E-2</v>
      </c>
      <c r="BH91" s="29"/>
    </row>
    <row r="92" spans="1:60" x14ac:dyDescent="0.25">
      <c r="A92" s="1">
        <v>46155</v>
      </c>
      <c r="B92" s="33">
        <v>27.29</v>
      </c>
      <c r="C92" s="33">
        <v>27.44</v>
      </c>
      <c r="D92" s="15">
        <v>-2.8537244437363201E-2</v>
      </c>
      <c r="E92" s="15">
        <v>-3.3682868874211999E-2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27.29</v>
      </c>
      <c r="M92" s="33">
        <v>27.44</v>
      </c>
      <c r="N92" s="34">
        <v>1.00549651887138</v>
      </c>
      <c r="O92" s="34">
        <v>1.0078468940038601</v>
      </c>
      <c r="P92" s="34">
        <v>1.01349195134113</v>
      </c>
      <c r="Q92" s="34">
        <v>1.0129737895900599</v>
      </c>
      <c r="R92" s="33">
        <v>27.5041417373656</v>
      </c>
      <c r="S92" s="33">
        <v>27.691320010050401</v>
      </c>
      <c r="T92" s="33">
        <v>27.633232071808902</v>
      </c>
      <c r="U92" s="15">
        <v>2.33479910597632E-3</v>
      </c>
      <c r="V92" s="15">
        <v>9.1172041911428796E-3</v>
      </c>
      <c r="W92" s="15">
        <v>7.0173061386185499E-3</v>
      </c>
      <c r="X92" s="34">
        <v>1.00549651887138</v>
      </c>
      <c r="Y92" s="34">
        <v>1.0078468940038601</v>
      </c>
      <c r="Z92" s="34">
        <v>1.01349195134113</v>
      </c>
      <c r="AA92" s="34">
        <v>1.0129737895900599</v>
      </c>
      <c r="AB92" s="33">
        <v>27.5041417373656</v>
      </c>
      <c r="AC92" s="33">
        <v>27.691320010050401</v>
      </c>
      <c r="AD92" s="33">
        <v>27.633232071808902</v>
      </c>
      <c r="AE92" s="15">
        <v>2.33479910597632E-3</v>
      </c>
      <c r="AF92" s="15">
        <v>9.1172041911428796E-3</v>
      </c>
      <c r="AG92" s="15">
        <v>7.0173061386185499E-3</v>
      </c>
      <c r="AI92" s="12"/>
      <c r="AJ92">
        <f t="shared" si="24"/>
        <v>0</v>
      </c>
      <c r="AK92">
        <f t="shared" si="25"/>
        <v>1</v>
      </c>
      <c r="AL92">
        <f t="shared" si="34"/>
        <v>0</v>
      </c>
      <c r="AM92">
        <f t="shared" si="26"/>
        <v>1</v>
      </c>
      <c r="AN92">
        <f t="shared" si="35"/>
        <v>0</v>
      </c>
      <c r="AO92" s="28">
        <f t="shared" si="27"/>
        <v>0</v>
      </c>
      <c r="AP92" s="28">
        <f t="shared" si="28"/>
        <v>0</v>
      </c>
      <c r="AQ92" s="28">
        <f t="shared" si="36"/>
        <v>0</v>
      </c>
      <c r="AR92" s="29">
        <f t="shared" si="37"/>
        <v>6.5753209996154988E-3</v>
      </c>
      <c r="AT92" s="12"/>
      <c r="AU92">
        <f t="shared" si="29"/>
        <v>0</v>
      </c>
      <c r="AV92">
        <f t="shared" si="30"/>
        <v>0</v>
      </c>
      <c r="AW92">
        <f t="shared" si="38"/>
        <v>0</v>
      </c>
      <c r="AX92">
        <f t="shared" si="31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1.8861195120104233E-2</v>
      </c>
      <c r="BE92" s="29">
        <f t="shared" si="42"/>
        <v>0</v>
      </c>
      <c r="BF92" s="29">
        <f t="shared" si="43"/>
        <v>2.543651611971973E-2</v>
      </c>
      <c r="BH92" s="29"/>
    </row>
    <row r="93" spans="1:60" x14ac:dyDescent="0.25">
      <c r="A93" s="1">
        <v>46156</v>
      </c>
      <c r="B93" s="33">
        <v>26.14</v>
      </c>
      <c r="C93" s="33">
        <v>26.21</v>
      </c>
      <c r="D93" s="15">
        <v>-4.30536265241711E-2</v>
      </c>
      <c r="E93" s="15">
        <v>-4.5860785522369399E-2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26.14</v>
      </c>
      <c r="M93" s="33">
        <v>26.21</v>
      </c>
      <c r="N93" s="34">
        <v>1.0026778882937999</v>
      </c>
      <c r="O93" s="34">
        <v>1.0078468940038601</v>
      </c>
      <c r="P93" s="34">
        <v>1.01197871827271</v>
      </c>
      <c r="Q93" s="34">
        <v>1.0128269353416499</v>
      </c>
      <c r="R93" s="33">
        <v>26.345117809261101</v>
      </c>
      <c r="S93" s="33">
        <v>26.492679608057301</v>
      </c>
      <c r="T93" s="33">
        <v>26.479134859884201</v>
      </c>
      <c r="U93" s="15">
        <v>5.1419581041746397E-3</v>
      </c>
      <c r="V93" s="15">
        <v>1.0727436289850199E-2</v>
      </c>
      <c r="W93" s="15">
        <v>1.02160417452478E-2</v>
      </c>
      <c r="X93" s="34">
        <v>1.0026778882937999</v>
      </c>
      <c r="Y93" s="34">
        <v>1.0078468940038601</v>
      </c>
      <c r="Z93" s="34">
        <v>1.01197871827271</v>
      </c>
      <c r="AA93" s="34">
        <v>1.0128269353416499</v>
      </c>
      <c r="AB93" s="33">
        <v>26.345117809261101</v>
      </c>
      <c r="AC93" s="33">
        <v>26.492679608057301</v>
      </c>
      <c r="AD93" s="33">
        <v>26.479134859884201</v>
      </c>
      <c r="AE93" s="15">
        <v>5.1419581041746397E-3</v>
      </c>
      <c r="AF93" s="15">
        <v>1.0727436289850199E-2</v>
      </c>
      <c r="AG93" s="15">
        <v>1.02160417452478E-2</v>
      </c>
      <c r="AI93" s="12"/>
      <c r="AJ93">
        <f t="shared" si="24"/>
        <v>0</v>
      </c>
      <c r="AK93">
        <f t="shared" si="25"/>
        <v>1</v>
      </c>
      <c r="AL93">
        <f t="shared" si="34"/>
        <v>0</v>
      </c>
      <c r="AM93">
        <f t="shared" si="26"/>
        <v>1</v>
      </c>
      <c r="AN93">
        <f t="shared" si="35"/>
        <v>0</v>
      </c>
      <c r="AO93" s="28">
        <f t="shared" si="27"/>
        <v>0</v>
      </c>
      <c r="AP93" s="28">
        <f t="shared" si="28"/>
        <v>0</v>
      </c>
      <c r="AQ93" s="28">
        <f t="shared" si="36"/>
        <v>0</v>
      </c>
      <c r="AR93" s="29">
        <f t="shared" si="37"/>
        <v>6.5753209996154988E-3</v>
      </c>
      <c r="AT93" s="12"/>
      <c r="AU93">
        <f t="shared" si="29"/>
        <v>1</v>
      </c>
      <c r="AV93">
        <f t="shared" si="30"/>
        <v>0</v>
      </c>
      <c r="AW93">
        <f t="shared" si="38"/>
        <v>0</v>
      </c>
      <c r="AX93">
        <f t="shared" si="31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1.8861195120104233E-2</v>
      </c>
      <c r="BE93" s="29">
        <f t="shared" si="42"/>
        <v>0</v>
      </c>
      <c r="BF93" s="29">
        <f t="shared" si="43"/>
        <v>2.543651611971973E-2</v>
      </c>
      <c r="BH93" s="29"/>
    </row>
    <row r="94" spans="1:60" x14ac:dyDescent="0.25">
      <c r="A94" s="1">
        <v>46157</v>
      </c>
      <c r="B94" s="33">
        <v>25.26</v>
      </c>
      <c r="C94" s="33">
        <v>25.59</v>
      </c>
      <c r="D94" s="15">
        <v>-3.42445912737308E-2</v>
      </c>
      <c r="E94" s="15">
        <v>-2.3939367163617501E-2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25.26</v>
      </c>
      <c r="M94" s="33">
        <v>25.59</v>
      </c>
      <c r="N94" s="34">
        <v>1.0130641330166199</v>
      </c>
      <c r="O94" s="34">
        <v>1.0078468940038601</v>
      </c>
      <c r="P94" s="34">
        <v>1.01163321417024</v>
      </c>
      <c r="Q94" s="34">
        <v>1.01312071707235</v>
      </c>
      <c r="R94" s="33">
        <v>25.458212542537701</v>
      </c>
      <c r="S94" s="33">
        <v>25.5625824235686</v>
      </c>
      <c r="T94" s="33">
        <v>25.584008386730101</v>
      </c>
      <c r="U94" s="15">
        <v>-5.1632660059384404E-3</v>
      </c>
      <c r="V94" s="15">
        <v>-1.07199197999136E-3</v>
      </c>
      <c r="W94" s="15">
        <v>-2.34166268624035E-4</v>
      </c>
      <c r="X94" s="34">
        <v>1.0130641330166199</v>
      </c>
      <c r="Y94" s="34">
        <v>1.0078468940038601</v>
      </c>
      <c r="Z94" s="34">
        <v>1.01163321417024</v>
      </c>
      <c r="AA94" s="34">
        <v>1.01312071707235</v>
      </c>
      <c r="AB94" s="33">
        <v>25.458212542537701</v>
      </c>
      <c r="AC94" s="33">
        <v>25.5625824235686</v>
      </c>
      <c r="AD94" s="33">
        <v>25.584008386730101</v>
      </c>
      <c r="AE94" s="15">
        <v>-5.1632660059384404E-3</v>
      </c>
      <c r="AF94" s="15">
        <v>-1.07199197999136E-3</v>
      </c>
      <c r="AG94" s="15">
        <v>-2.34166268624035E-4</v>
      </c>
      <c r="AI94" s="12"/>
      <c r="AJ94">
        <f t="shared" si="24"/>
        <v>0</v>
      </c>
      <c r="AK94">
        <f t="shared" si="25"/>
        <v>1</v>
      </c>
      <c r="AL94">
        <f t="shared" si="34"/>
        <v>0</v>
      </c>
      <c r="AM94">
        <f t="shared" si="26"/>
        <v>1</v>
      </c>
      <c r="AN94">
        <f t="shared" si="35"/>
        <v>0</v>
      </c>
      <c r="AO94" s="28">
        <f t="shared" si="27"/>
        <v>0</v>
      </c>
      <c r="AP94" s="28">
        <f t="shared" si="28"/>
        <v>0</v>
      </c>
      <c r="AQ94" s="28">
        <f t="shared" si="36"/>
        <v>0</v>
      </c>
      <c r="AR94" s="29">
        <f t="shared" si="37"/>
        <v>6.5753209996154988E-3</v>
      </c>
      <c r="AT94" s="12"/>
      <c r="AU94">
        <f t="shared" si="29"/>
        <v>0</v>
      </c>
      <c r="AV94">
        <f t="shared" si="30"/>
        <v>1</v>
      </c>
      <c r="AW94">
        <f t="shared" si="38"/>
        <v>1</v>
      </c>
      <c r="AX94">
        <f t="shared" si="31"/>
        <v>1</v>
      </c>
      <c r="AY94">
        <f t="shared" si="39"/>
        <v>1</v>
      </c>
      <c r="AZ94" s="28">
        <f t="shared" si="32"/>
        <v>3.42445912737308E-2</v>
      </c>
      <c r="BA94" s="28">
        <f t="shared" si="33"/>
        <v>-2.3939367163617501E-2</v>
      </c>
      <c r="BB94" s="28">
        <f t="shared" si="40"/>
        <v>1.0305224110113299E-2</v>
      </c>
      <c r="BC94" s="29">
        <f t="shared" si="41"/>
        <v>2.9166419230217532E-2</v>
      </c>
      <c r="BE94" s="29">
        <f t="shared" si="42"/>
        <v>1.0305224110113299E-2</v>
      </c>
      <c r="BF94" s="29">
        <f t="shared" si="43"/>
        <v>3.5741740229833029E-2</v>
      </c>
      <c r="BH94" s="29"/>
    </row>
    <row r="95" spans="1:60" x14ac:dyDescent="0.25">
      <c r="A95" s="1">
        <v>46160</v>
      </c>
      <c r="B95" s="33">
        <v>25.74</v>
      </c>
      <c r="C95" s="33">
        <v>25.65</v>
      </c>
      <c r="D95" s="15">
        <v>1.8824085245635301E-2</v>
      </c>
      <c r="E95" s="15">
        <v>2.3419214450811198E-3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25.74</v>
      </c>
      <c r="M95" s="33">
        <v>25.65</v>
      </c>
      <c r="N95" s="34">
        <v>0.99650349650349601</v>
      </c>
      <c r="O95" s="34">
        <v>1.0078468940038601</v>
      </c>
      <c r="P95" s="34">
        <v>1.00996738075149</v>
      </c>
      <c r="Q95" s="34">
        <v>1.0124409792337701</v>
      </c>
      <c r="R95" s="33">
        <v>25.941979051659601</v>
      </c>
      <c r="S95" s="33">
        <v>26.039438932742001</v>
      </c>
      <c r="T95" s="33">
        <v>26.077727257442401</v>
      </c>
      <c r="U95" s="15">
        <v>1.13188977946158E-2</v>
      </c>
      <c r="V95" s="15">
        <v>1.50686991297912E-2</v>
      </c>
      <c r="W95" s="15">
        <v>1.6538016607608501E-2</v>
      </c>
      <c r="X95" s="34">
        <v>0.99650349650349601</v>
      </c>
      <c r="Y95" s="34">
        <v>1.0078468940038601</v>
      </c>
      <c r="Z95" s="34">
        <v>1.00996738075149</v>
      </c>
      <c r="AA95" s="34">
        <v>1.0124409792337701</v>
      </c>
      <c r="AB95" s="33">
        <v>25.941979051659601</v>
      </c>
      <c r="AC95" s="33">
        <v>26.039438932742001</v>
      </c>
      <c r="AD95" s="33">
        <v>26.077727257442401</v>
      </c>
      <c r="AE95" s="15">
        <v>1.13188977946158E-2</v>
      </c>
      <c r="AF95" s="15">
        <v>1.50686991297912E-2</v>
      </c>
      <c r="AG95" s="15">
        <v>1.6538016607608501E-2</v>
      </c>
      <c r="AI95" s="12"/>
      <c r="AJ95">
        <f t="shared" si="24"/>
        <v>0</v>
      </c>
      <c r="AK95">
        <f t="shared" si="25"/>
        <v>1</v>
      </c>
      <c r="AL95">
        <f t="shared" si="34"/>
        <v>0</v>
      </c>
      <c r="AM95">
        <f t="shared" si="26"/>
        <v>1</v>
      </c>
      <c r="AN95">
        <f t="shared" si="35"/>
        <v>0</v>
      </c>
      <c r="AO95" s="28">
        <f t="shared" si="27"/>
        <v>0</v>
      </c>
      <c r="AP95" s="28">
        <f t="shared" si="28"/>
        <v>0</v>
      </c>
      <c r="AQ95" s="28">
        <f t="shared" si="36"/>
        <v>0</v>
      </c>
      <c r="AR95" s="29">
        <f t="shared" si="37"/>
        <v>6.5753209996154988E-3</v>
      </c>
      <c r="AT95" s="12"/>
      <c r="AU95">
        <f t="shared" si="29"/>
        <v>1</v>
      </c>
      <c r="AV95">
        <f t="shared" si="30"/>
        <v>0</v>
      </c>
      <c r="AW95">
        <f t="shared" si="38"/>
        <v>0</v>
      </c>
      <c r="AX95">
        <f t="shared" si="31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2.9166419230217532E-2</v>
      </c>
      <c r="BE95" s="29">
        <f t="shared" si="42"/>
        <v>0</v>
      </c>
      <c r="BF95" s="29">
        <f t="shared" si="43"/>
        <v>3.5741740229833029E-2</v>
      </c>
      <c r="BH95" s="29"/>
    </row>
    <row r="96" spans="1:60" x14ac:dyDescent="0.25">
      <c r="A96" s="1">
        <v>46161</v>
      </c>
      <c r="B96" s="33">
        <v>25.34</v>
      </c>
      <c r="C96" s="33">
        <v>25.42</v>
      </c>
      <c r="D96" s="15">
        <v>-1.56620272749875E-2</v>
      </c>
      <c r="E96" s="15">
        <v>-9.0073058554703996E-3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25.34</v>
      </c>
      <c r="M96" s="33">
        <v>25.42</v>
      </c>
      <c r="N96" s="34">
        <v>1.00315706393054</v>
      </c>
      <c r="O96" s="34">
        <v>1.0078468940038601</v>
      </c>
      <c r="P96" s="34">
        <v>1.0087120901656901</v>
      </c>
      <c r="Q96" s="34">
        <v>1.0119091772578801</v>
      </c>
      <c r="R96" s="33">
        <v>25.538840294058001</v>
      </c>
      <c r="S96" s="33">
        <v>25.592573428242801</v>
      </c>
      <c r="T96" s="33">
        <v>25.655254413783801</v>
      </c>
      <c r="U96" s="15">
        <v>4.6641763750988E-3</v>
      </c>
      <c r="V96" s="15">
        <v>6.7659431776661101E-3</v>
      </c>
      <c r="W96" s="15">
        <v>9.2121353164015003E-3</v>
      </c>
      <c r="X96" s="34">
        <v>1.00315706393054</v>
      </c>
      <c r="Y96" s="34">
        <v>1.0078468940038601</v>
      </c>
      <c r="Z96" s="34">
        <v>1.0087120901656901</v>
      </c>
      <c r="AA96" s="34">
        <v>1.0119091772578801</v>
      </c>
      <c r="AB96" s="33">
        <v>25.538840294058001</v>
      </c>
      <c r="AC96" s="33">
        <v>25.592573428242801</v>
      </c>
      <c r="AD96" s="33">
        <v>25.655254413783801</v>
      </c>
      <c r="AE96" s="15">
        <v>4.6641763750988E-3</v>
      </c>
      <c r="AF96" s="15">
        <v>6.7659431776661101E-3</v>
      </c>
      <c r="AG96" s="15">
        <v>9.2121353164015003E-3</v>
      </c>
      <c r="AI96" s="12"/>
      <c r="AJ96">
        <f t="shared" si="24"/>
        <v>0</v>
      </c>
      <c r="AK96">
        <f t="shared" si="25"/>
        <v>1</v>
      </c>
      <c r="AL96">
        <f t="shared" si="34"/>
        <v>0</v>
      </c>
      <c r="AM96">
        <f t="shared" si="26"/>
        <v>1</v>
      </c>
      <c r="AN96">
        <f t="shared" si="35"/>
        <v>0</v>
      </c>
      <c r="AO96" s="28">
        <f t="shared" si="27"/>
        <v>0</v>
      </c>
      <c r="AP96" s="28">
        <f t="shared" si="28"/>
        <v>0</v>
      </c>
      <c r="AQ96" s="28">
        <f t="shared" si="36"/>
        <v>0</v>
      </c>
      <c r="AR96" s="29">
        <f t="shared" si="37"/>
        <v>6.5753209996154988E-3</v>
      </c>
      <c r="AT96" s="12"/>
      <c r="AU96">
        <f t="shared" si="29"/>
        <v>0</v>
      </c>
      <c r="AV96">
        <f t="shared" si="30"/>
        <v>0</v>
      </c>
      <c r="AW96">
        <f t="shared" si="38"/>
        <v>1</v>
      </c>
      <c r="AX96">
        <f t="shared" si="31"/>
        <v>1</v>
      </c>
      <c r="AY96">
        <f t="shared" si="39"/>
        <v>1</v>
      </c>
      <c r="AZ96" s="28">
        <f t="shared" si="32"/>
        <v>1.56620272749875E-2</v>
      </c>
      <c r="BA96" s="28">
        <f t="shared" si="33"/>
        <v>-9.0073058554703996E-3</v>
      </c>
      <c r="BB96" s="28">
        <f t="shared" si="40"/>
        <v>6.6547214195171005E-3</v>
      </c>
      <c r="BC96" s="29">
        <f t="shared" si="41"/>
        <v>3.5821140649734629E-2</v>
      </c>
      <c r="BE96" s="29">
        <f t="shared" si="42"/>
        <v>6.6547214195171005E-3</v>
      </c>
      <c r="BF96" s="29">
        <f t="shared" si="43"/>
        <v>4.2396461649350126E-2</v>
      </c>
      <c r="BH96" s="29"/>
    </row>
    <row r="97" spans="1:60" x14ac:dyDescent="0.25">
      <c r="A97" s="1">
        <v>46162</v>
      </c>
      <c r="B97" s="33">
        <v>24.92</v>
      </c>
      <c r="C97" s="33">
        <v>24.87</v>
      </c>
      <c r="D97" s="15">
        <v>-1.6713480973740501E-2</v>
      </c>
      <c r="E97" s="15">
        <v>-2.1874007945994599E-2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24.92</v>
      </c>
      <c r="M97" s="33">
        <v>24.87</v>
      </c>
      <c r="N97" s="34">
        <v>0.99799357945425304</v>
      </c>
      <c r="O97" s="34">
        <v>1.0078468940038601</v>
      </c>
      <c r="P97" s="34">
        <v>1.0076621912109001</v>
      </c>
      <c r="Q97" s="34">
        <v>1.0115694870388201</v>
      </c>
      <c r="R97" s="33">
        <v>25.115544598576399</v>
      </c>
      <c r="S97" s="33">
        <v>25.137105286929099</v>
      </c>
      <c r="T97" s="33">
        <v>25.216776697266599</v>
      </c>
      <c r="U97" s="15">
        <v>9.8247033473529699E-3</v>
      </c>
      <c r="V97" s="15">
        <v>1.0682794999227301E-2</v>
      </c>
      <c r="W97" s="15">
        <v>1.3847257149218599E-2</v>
      </c>
      <c r="X97" s="34">
        <v>0.99799357945425304</v>
      </c>
      <c r="Y97" s="34">
        <v>1.0078468940038601</v>
      </c>
      <c r="Z97" s="34">
        <v>1.0076621912109001</v>
      </c>
      <c r="AA97" s="34">
        <v>1.0115694870388201</v>
      </c>
      <c r="AB97" s="33">
        <v>25.115544598576399</v>
      </c>
      <c r="AC97" s="33">
        <v>25.137105286929099</v>
      </c>
      <c r="AD97" s="33">
        <v>25.216776697266599</v>
      </c>
      <c r="AE97" s="15">
        <v>9.8247033473529699E-3</v>
      </c>
      <c r="AF97" s="15">
        <v>1.0682794999227301E-2</v>
      </c>
      <c r="AG97" s="15">
        <v>1.3847257149218599E-2</v>
      </c>
      <c r="AI97" s="12"/>
      <c r="AJ97">
        <f t="shared" si="24"/>
        <v>0</v>
      </c>
      <c r="AK97">
        <f t="shared" si="25"/>
        <v>1</v>
      </c>
      <c r="AL97">
        <f t="shared" si="34"/>
        <v>0</v>
      </c>
      <c r="AM97">
        <f t="shared" si="26"/>
        <v>1</v>
      </c>
      <c r="AN97">
        <f t="shared" si="35"/>
        <v>0</v>
      </c>
      <c r="AO97" s="28">
        <f t="shared" si="27"/>
        <v>0</v>
      </c>
      <c r="AP97" s="28">
        <f t="shared" si="28"/>
        <v>0</v>
      </c>
      <c r="AQ97" s="28">
        <f t="shared" si="36"/>
        <v>0</v>
      </c>
      <c r="AR97" s="29">
        <f t="shared" si="37"/>
        <v>6.5753209996154988E-3</v>
      </c>
      <c r="AT97" s="12"/>
      <c r="AU97">
        <f t="shared" si="29"/>
        <v>1</v>
      </c>
      <c r="AV97">
        <f t="shared" si="30"/>
        <v>0</v>
      </c>
      <c r="AW97">
        <f t="shared" si="38"/>
        <v>1</v>
      </c>
      <c r="AX97">
        <f t="shared" si="31"/>
        <v>1</v>
      </c>
      <c r="AY97">
        <f t="shared" si="39"/>
        <v>1</v>
      </c>
      <c r="AZ97" s="28">
        <f t="shared" si="32"/>
        <v>1.6713480973740501E-2</v>
      </c>
      <c r="BA97" s="28">
        <f t="shared" si="33"/>
        <v>-2.1874007945994599E-2</v>
      </c>
      <c r="BB97" s="28">
        <f t="shared" si="40"/>
        <v>-5.1605269722540988E-3</v>
      </c>
      <c r="BC97" s="29">
        <f t="shared" si="41"/>
        <v>3.066061367748053E-2</v>
      </c>
      <c r="BE97" s="29">
        <f t="shared" si="42"/>
        <v>-5.1605269722540988E-3</v>
      </c>
      <c r="BF97" s="29">
        <f t="shared" si="43"/>
        <v>3.723593467709603E-2</v>
      </c>
      <c r="BH97" s="29"/>
    </row>
    <row r="98" spans="1:60" x14ac:dyDescent="0.25">
      <c r="A98" s="1">
        <v>46163</v>
      </c>
      <c r="B98" s="33">
        <v>25.8</v>
      </c>
      <c r="C98" s="33">
        <v>25.84</v>
      </c>
      <c r="D98" s="15">
        <v>3.4703798008319298E-2</v>
      </c>
      <c r="E98" s="15">
        <v>3.82614210990877E-2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25.8</v>
      </c>
      <c r="M98" s="33">
        <v>25.84</v>
      </c>
      <c r="N98" s="34">
        <v>1.0015503875968901</v>
      </c>
      <c r="O98" s="34">
        <v>1.0078468940038601</v>
      </c>
      <c r="P98" s="34">
        <v>1.0063603752825101</v>
      </c>
      <c r="Q98" s="34">
        <v>1.01108857547342</v>
      </c>
      <c r="R98" s="33">
        <v>26.002449865299798</v>
      </c>
      <c r="S98" s="33">
        <v>25.997684533241401</v>
      </c>
      <c r="T98" s="33">
        <v>26.098492765601598</v>
      </c>
      <c r="U98" s="15">
        <v>6.2670802565843601E-3</v>
      </c>
      <c r="V98" s="15">
        <v>6.0837987275322199E-3</v>
      </c>
      <c r="W98" s="15">
        <v>9.9538853023609306E-3</v>
      </c>
      <c r="X98" s="34">
        <v>1.0015503875968901</v>
      </c>
      <c r="Y98" s="34">
        <v>1.0078468940038601</v>
      </c>
      <c r="Z98" s="34">
        <v>1.0063603752825101</v>
      </c>
      <c r="AA98" s="34">
        <v>1.01108857547342</v>
      </c>
      <c r="AB98" s="33">
        <v>26.002449865299798</v>
      </c>
      <c r="AC98" s="33">
        <v>25.997684533241401</v>
      </c>
      <c r="AD98" s="33">
        <v>26.098492765601598</v>
      </c>
      <c r="AE98" s="15">
        <v>6.2670802565843601E-3</v>
      </c>
      <c r="AF98" s="15">
        <v>6.0837987275322199E-3</v>
      </c>
      <c r="AG98" s="15">
        <v>9.9538853023609306E-3</v>
      </c>
      <c r="AI98" s="12"/>
      <c r="AJ98">
        <f t="shared" si="24"/>
        <v>0</v>
      </c>
      <c r="AK98">
        <f t="shared" si="25"/>
        <v>1</v>
      </c>
      <c r="AL98">
        <f t="shared" si="34"/>
        <v>0</v>
      </c>
      <c r="AM98">
        <f t="shared" si="26"/>
        <v>1</v>
      </c>
      <c r="AN98">
        <f t="shared" si="35"/>
        <v>0</v>
      </c>
      <c r="AO98" s="28">
        <f t="shared" si="27"/>
        <v>0</v>
      </c>
      <c r="AP98" s="28">
        <f t="shared" si="28"/>
        <v>0</v>
      </c>
      <c r="AQ98" s="28">
        <f t="shared" si="36"/>
        <v>0</v>
      </c>
      <c r="AR98" s="29">
        <f t="shared" si="37"/>
        <v>6.5753209996154988E-3</v>
      </c>
      <c r="AT98" s="12"/>
      <c r="AU98">
        <f t="shared" si="29"/>
        <v>0</v>
      </c>
      <c r="AV98">
        <f t="shared" si="30"/>
        <v>0</v>
      </c>
      <c r="AW98">
        <f t="shared" si="38"/>
        <v>1</v>
      </c>
      <c r="AX98">
        <f t="shared" si="31"/>
        <v>1</v>
      </c>
      <c r="AY98">
        <f t="shared" si="39"/>
        <v>1</v>
      </c>
      <c r="AZ98" s="28">
        <f t="shared" si="32"/>
        <v>-3.4703798008319298E-2</v>
      </c>
      <c r="BA98" s="28">
        <f t="shared" si="33"/>
        <v>3.82614210990877E-2</v>
      </c>
      <c r="BB98" s="28">
        <f t="shared" si="40"/>
        <v>3.5576230907684026E-3</v>
      </c>
      <c r="BC98" s="29">
        <f t="shared" si="41"/>
        <v>3.4218236768248936E-2</v>
      </c>
      <c r="BE98" s="29">
        <f t="shared" si="42"/>
        <v>3.5576230907684026E-3</v>
      </c>
      <c r="BF98" s="29">
        <f t="shared" si="43"/>
        <v>4.0793557767864433E-2</v>
      </c>
      <c r="BH98" s="29"/>
    </row>
    <row r="99" spans="1:60" x14ac:dyDescent="0.25">
      <c r="A99" s="1">
        <v>46164</v>
      </c>
      <c r="B99" s="33">
        <v>24.97</v>
      </c>
      <c r="C99" s="33">
        <v>24.98</v>
      </c>
      <c r="D99" s="15">
        <v>-3.26993876358899E-2</v>
      </c>
      <c r="E99" s="15">
        <v>-3.3848174216969402E-2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24.97</v>
      </c>
      <c r="M99" s="33">
        <v>24.98</v>
      </c>
      <c r="N99" s="34">
        <v>1.00040048057669</v>
      </c>
      <c r="O99" s="34">
        <v>1.0078468940038601</v>
      </c>
      <c r="P99" s="34">
        <v>1.00445830605153</v>
      </c>
      <c r="Q99" s="34">
        <v>1.01011631725308</v>
      </c>
      <c r="R99" s="33">
        <v>25.165936943276598</v>
      </c>
      <c r="S99" s="33">
        <v>25.128818570804299</v>
      </c>
      <c r="T99" s="33">
        <v>25.2468817295713</v>
      </c>
      <c r="U99" s="15">
        <v>7.4158668376641699E-3</v>
      </c>
      <c r="V99" s="15">
        <v>5.93983305116227E-3</v>
      </c>
      <c r="W99" s="15">
        <v>1.0627147539136499E-2</v>
      </c>
      <c r="X99" s="34">
        <v>1.00040048057669</v>
      </c>
      <c r="Y99" s="34">
        <v>1.0078468940038601</v>
      </c>
      <c r="Z99" s="34">
        <v>1.00445830605153</v>
      </c>
      <c r="AA99" s="34">
        <v>1.01011631725308</v>
      </c>
      <c r="AB99" s="33">
        <v>25.165936943276598</v>
      </c>
      <c r="AC99" s="33">
        <v>25.128818570804299</v>
      </c>
      <c r="AD99" s="33">
        <v>25.2468817295713</v>
      </c>
      <c r="AE99" s="15">
        <v>7.4158668376641699E-3</v>
      </c>
      <c r="AF99" s="15">
        <v>5.93983305116227E-3</v>
      </c>
      <c r="AG99" s="15">
        <v>1.0627147539136499E-2</v>
      </c>
      <c r="AI99" s="12"/>
      <c r="AJ99">
        <f t="shared" si="24"/>
        <v>0</v>
      </c>
      <c r="AK99">
        <f t="shared" si="25"/>
        <v>1</v>
      </c>
      <c r="AL99">
        <f t="shared" si="34"/>
        <v>0</v>
      </c>
      <c r="AM99">
        <f t="shared" si="26"/>
        <v>1</v>
      </c>
      <c r="AN99">
        <f t="shared" si="35"/>
        <v>0</v>
      </c>
      <c r="AO99" s="28">
        <f t="shared" si="27"/>
        <v>0</v>
      </c>
      <c r="AP99" s="28">
        <f t="shared" si="28"/>
        <v>0</v>
      </c>
      <c r="AQ99" s="28">
        <f t="shared" si="36"/>
        <v>0</v>
      </c>
      <c r="AR99" s="29">
        <f t="shared" si="37"/>
        <v>6.5753209996154988E-3</v>
      </c>
      <c r="AT99" s="12"/>
      <c r="AU99">
        <f t="shared" si="29"/>
        <v>1</v>
      </c>
      <c r="AV99">
        <f t="shared" si="30"/>
        <v>0</v>
      </c>
      <c r="AW99">
        <f t="shared" si="38"/>
        <v>1</v>
      </c>
      <c r="AX99">
        <f t="shared" si="31"/>
        <v>1</v>
      </c>
      <c r="AY99">
        <f t="shared" si="39"/>
        <v>1</v>
      </c>
      <c r="AZ99" s="28">
        <f t="shared" si="32"/>
        <v>3.26993876358899E-2</v>
      </c>
      <c r="BA99" s="28">
        <f t="shared" si="33"/>
        <v>-3.3848174216969402E-2</v>
      </c>
      <c r="BB99" s="28">
        <f t="shared" si="40"/>
        <v>-1.1487865810795028E-3</v>
      </c>
      <c r="BC99" s="29">
        <f t="shared" si="41"/>
        <v>3.3069450187169433E-2</v>
      </c>
      <c r="BE99" s="29">
        <f t="shared" si="42"/>
        <v>-1.1487865810795028E-3</v>
      </c>
      <c r="BF99" s="29">
        <f t="shared" si="43"/>
        <v>3.964477118678493E-2</v>
      </c>
      <c r="BH99" s="29"/>
    </row>
    <row r="100" spans="1:60" x14ac:dyDescent="0.25">
      <c r="A100" s="1">
        <v>46168</v>
      </c>
      <c r="B100" s="33">
        <v>23.66</v>
      </c>
      <c r="C100" s="33">
        <v>23.63</v>
      </c>
      <c r="D100" s="15">
        <v>-5.3889245741441001E-2</v>
      </c>
      <c r="E100" s="15">
        <v>-5.5558413498615199E-2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23.66</v>
      </c>
      <c r="M100" s="33">
        <v>23.63</v>
      </c>
      <c r="N100" s="34">
        <v>0.99873203719357495</v>
      </c>
      <c r="O100" s="34">
        <v>1.0078468940038601</v>
      </c>
      <c r="P100" s="34">
        <v>1.0030259346121</v>
      </c>
      <c r="Q100" s="34">
        <v>1.0091952138259199</v>
      </c>
      <c r="R100" s="33">
        <v>23.845657512131499</v>
      </c>
      <c r="S100" s="33">
        <v>23.765483521179199</v>
      </c>
      <c r="T100" s="33">
        <v>23.8993520662079</v>
      </c>
      <c r="U100" s="15">
        <v>9.08503459483803E-3</v>
      </c>
      <c r="V100" s="15">
        <v>5.7171645966099796E-3</v>
      </c>
      <c r="W100" s="15">
        <v>1.13342571706579E-2</v>
      </c>
      <c r="X100" s="34">
        <v>0.99873203719357495</v>
      </c>
      <c r="Y100" s="34">
        <v>1.0078468940038601</v>
      </c>
      <c r="Z100" s="34">
        <v>1.0030259346121</v>
      </c>
      <c r="AA100" s="34">
        <v>1.0091952138259199</v>
      </c>
      <c r="AB100" s="33">
        <v>23.845657512131499</v>
      </c>
      <c r="AC100" s="33">
        <v>23.765483521179199</v>
      </c>
      <c r="AD100" s="33">
        <v>23.8993520662079</v>
      </c>
      <c r="AE100" s="15">
        <v>9.08503459483803E-3</v>
      </c>
      <c r="AF100" s="15">
        <v>5.7171645966099796E-3</v>
      </c>
      <c r="AG100" s="15">
        <v>1.13342571706579E-2</v>
      </c>
      <c r="AI100" s="12"/>
      <c r="AJ100">
        <f t="shared" si="24"/>
        <v>0</v>
      </c>
      <c r="AK100">
        <f t="shared" si="25"/>
        <v>1</v>
      </c>
      <c r="AL100">
        <f t="shared" si="34"/>
        <v>0</v>
      </c>
      <c r="AM100">
        <f t="shared" si="26"/>
        <v>1</v>
      </c>
      <c r="AN100">
        <f t="shared" si="35"/>
        <v>0</v>
      </c>
      <c r="AO100" s="28">
        <f t="shared" si="27"/>
        <v>0</v>
      </c>
      <c r="AP100" s="28">
        <f t="shared" si="28"/>
        <v>0</v>
      </c>
      <c r="AQ100" s="28">
        <f t="shared" si="36"/>
        <v>0</v>
      </c>
      <c r="AR100" s="29">
        <f t="shared" si="37"/>
        <v>6.5753209996154988E-3</v>
      </c>
      <c r="AT100" s="12"/>
      <c r="AU100">
        <f t="shared" si="29"/>
        <v>1</v>
      </c>
      <c r="AV100">
        <f t="shared" si="30"/>
        <v>0</v>
      </c>
      <c r="AW100">
        <f t="shared" si="38"/>
        <v>1</v>
      </c>
      <c r="AX100">
        <f t="shared" si="31"/>
        <v>1</v>
      </c>
      <c r="AY100">
        <f t="shared" si="39"/>
        <v>1</v>
      </c>
      <c r="AZ100" s="28">
        <f t="shared" si="32"/>
        <v>5.3889245741441001E-2</v>
      </c>
      <c r="BA100" s="28">
        <f t="shared" si="33"/>
        <v>-5.5558413498615199E-2</v>
      </c>
      <c r="BB100" s="28">
        <f t="shared" si="40"/>
        <v>-1.6691677571741975E-3</v>
      </c>
      <c r="BC100" s="29">
        <f t="shared" si="41"/>
        <v>3.1400282429995235E-2</v>
      </c>
      <c r="BE100" s="29">
        <f t="shared" si="42"/>
        <v>-1.6691677571741975E-3</v>
      </c>
      <c r="BF100" s="29">
        <f t="shared" si="43"/>
        <v>3.7975603429610733E-2</v>
      </c>
      <c r="BH100" s="29"/>
    </row>
    <row r="101" spans="1:60" x14ac:dyDescent="0.25">
      <c r="A101" s="1">
        <v>46169</v>
      </c>
      <c r="B101" s="33">
        <v>22.88</v>
      </c>
      <c r="C101" s="33">
        <v>23.15</v>
      </c>
      <c r="D101" s="15">
        <v>-3.3522692038643498E-2</v>
      </c>
      <c r="E101" s="15">
        <v>-2.0522310666573399E-2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22.88</v>
      </c>
      <c r="M101" s="33">
        <v>23.15</v>
      </c>
      <c r="N101" s="34">
        <v>1.0118006993006901</v>
      </c>
      <c r="O101" s="34">
        <v>1.0078468940038601</v>
      </c>
      <c r="P101" s="34">
        <v>1.0031376284737901</v>
      </c>
      <c r="Q101" s="34">
        <v>1.00892169093258</v>
      </c>
      <c r="R101" s="33">
        <v>23.059536934808499</v>
      </c>
      <c r="S101" s="33">
        <v>22.949233383924899</v>
      </c>
      <c r="T101" s="33">
        <v>23.0903864923371</v>
      </c>
      <c r="U101" s="15">
        <v>-3.9153467772320401E-3</v>
      </c>
      <c r="V101" s="15">
        <v>-8.7102483341545394E-3</v>
      </c>
      <c r="W101" s="15">
        <v>-2.57841878980889E-3</v>
      </c>
      <c r="X101" s="34">
        <v>1.0118006993006901</v>
      </c>
      <c r="Y101" s="34">
        <v>1.0078468940038601</v>
      </c>
      <c r="Z101" s="34">
        <v>1.0031376284737901</v>
      </c>
      <c r="AA101" s="34">
        <v>1.00892169093258</v>
      </c>
      <c r="AB101" s="33">
        <v>23.059536934808499</v>
      </c>
      <c r="AC101" s="33">
        <v>22.949233383924899</v>
      </c>
      <c r="AD101" s="33">
        <v>23.0903864923371</v>
      </c>
      <c r="AE101" s="15">
        <v>-3.9153467772320401E-3</v>
      </c>
      <c r="AF101" s="15">
        <v>-8.7102483341545394E-3</v>
      </c>
      <c r="AG101" s="15">
        <v>-2.57841878980889E-3</v>
      </c>
      <c r="AI101" s="12"/>
      <c r="AJ101">
        <f t="shared" si="24"/>
        <v>0</v>
      </c>
      <c r="AK101">
        <f t="shared" si="25"/>
        <v>1</v>
      </c>
      <c r="AL101">
        <f t="shared" si="34"/>
        <v>0</v>
      </c>
      <c r="AM101">
        <f t="shared" si="26"/>
        <v>1</v>
      </c>
      <c r="AN101">
        <f t="shared" si="35"/>
        <v>0</v>
      </c>
      <c r="AO101" s="28">
        <f t="shared" si="27"/>
        <v>0</v>
      </c>
      <c r="AP101" s="28">
        <f t="shared" si="28"/>
        <v>0</v>
      </c>
      <c r="AQ101" s="28">
        <f t="shared" si="36"/>
        <v>0</v>
      </c>
      <c r="AR101" s="29">
        <f t="shared" si="37"/>
        <v>6.5753209996154988E-3</v>
      </c>
      <c r="AT101" s="12"/>
      <c r="AU101">
        <f t="shared" si="29"/>
        <v>0</v>
      </c>
      <c r="AV101">
        <f t="shared" si="30"/>
        <v>1</v>
      </c>
      <c r="AW101">
        <f t="shared" si="38"/>
        <v>1</v>
      </c>
      <c r="AX101">
        <f t="shared" si="31"/>
        <v>1</v>
      </c>
      <c r="AY101">
        <f t="shared" si="39"/>
        <v>1</v>
      </c>
      <c r="AZ101" s="28">
        <f t="shared" si="32"/>
        <v>3.3522692038643498E-2</v>
      </c>
      <c r="BA101" s="28">
        <f t="shared" si="33"/>
        <v>-2.0522310666573399E-2</v>
      </c>
      <c r="BB101" s="28">
        <f t="shared" si="40"/>
        <v>1.3000381372070099E-2</v>
      </c>
      <c r="BC101" s="29">
        <f t="shared" si="41"/>
        <v>4.4400663802065338E-2</v>
      </c>
      <c r="BE101" s="29">
        <f t="shared" si="42"/>
        <v>1.3000381372070099E-2</v>
      </c>
      <c r="BF101" s="29">
        <f t="shared" si="43"/>
        <v>5.0975984801680835E-2</v>
      </c>
      <c r="BH101" s="29"/>
    </row>
    <row r="102" spans="1:60" x14ac:dyDescent="0.25">
      <c r="A102" s="1">
        <v>46170</v>
      </c>
      <c r="B102" s="33">
        <v>23.29</v>
      </c>
      <c r="C102" s="33">
        <v>23.29</v>
      </c>
      <c r="D102" s="15">
        <v>1.7760917384652401E-2</v>
      </c>
      <c r="E102" s="15">
        <v>6.0293033640065798E-3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23.29</v>
      </c>
      <c r="M102" s="33">
        <v>23.29</v>
      </c>
      <c r="N102" s="34">
        <v>1</v>
      </c>
      <c r="O102" s="34">
        <v>1.0078468940038601</v>
      </c>
      <c r="P102" s="34">
        <v>1.0025879765866501</v>
      </c>
      <c r="Q102" s="34">
        <v>1.00803996396389</v>
      </c>
      <c r="R102" s="33">
        <v>23.4727541613501</v>
      </c>
      <c r="S102" s="33">
        <v>23.3630753671547</v>
      </c>
      <c r="T102" s="33">
        <v>23.497786181819801</v>
      </c>
      <c r="U102" s="15">
        <v>7.8162672434138394E-3</v>
      </c>
      <c r="V102" s="15">
        <v>3.1327163897584701E-3</v>
      </c>
      <c r="W102" s="15">
        <v>8.8821277873488806E-3</v>
      </c>
      <c r="X102" s="34">
        <v>1</v>
      </c>
      <c r="Y102" s="34">
        <v>1.0078468940038601</v>
      </c>
      <c r="Z102" s="34">
        <v>1.0025879765866501</v>
      </c>
      <c r="AA102" s="34">
        <v>1.00803996396389</v>
      </c>
      <c r="AB102" s="33">
        <v>23.4727541613501</v>
      </c>
      <c r="AC102" s="33">
        <v>23.3630753671547</v>
      </c>
      <c r="AD102" s="33">
        <v>23.497786181819801</v>
      </c>
      <c r="AE102" s="15">
        <v>7.8162672434138394E-3</v>
      </c>
      <c r="AF102" s="15">
        <v>3.1327163897584701E-3</v>
      </c>
      <c r="AG102" s="15">
        <v>8.8821277873488806E-3</v>
      </c>
      <c r="AI102" s="12"/>
      <c r="AJ102">
        <f t="shared" si="24"/>
        <v>0</v>
      </c>
      <c r="AK102">
        <f t="shared" si="25"/>
        <v>1</v>
      </c>
      <c r="AL102">
        <f t="shared" si="34"/>
        <v>0</v>
      </c>
      <c r="AM102">
        <f t="shared" si="26"/>
        <v>1</v>
      </c>
      <c r="AN102">
        <f t="shared" si="35"/>
        <v>0</v>
      </c>
      <c r="AO102" s="28">
        <f t="shared" si="27"/>
        <v>0</v>
      </c>
      <c r="AP102" s="28">
        <f t="shared" si="28"/>
        <v>0</v>
      </c>
      <c r="AQ102" s="28">
        <f t="shared" si="36"/>
        <v>0</v>
      </c>
      <c r="AR102" s="29">
        <f t="shared" si="37"/>
        <v>6.5753209996154988E-3</v>
      </c>
      <c r="AT102" s="12"/>
      <c r="AU102">
        <f t="shared" si="29"/>
        <v>0</v>
      </c>
      <c r="AV102">
        <f t="shared" si="30"/>
        <v>0</v>
      </c>
      <c r="AW102">
        <f t="shared" si="38"/>
        <v>0</v>
      </c>
      <c r="AX102">
        <f t="shared" si="31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4.4400663802065338E-2</v>
      </c>
      <c r="BE102" s="29">
        <f t="shared" si="42"/>
        <v>0</v>
      </c>
      <c r="BF102" s="29">
        <f t="shared" si="43"/>
        <v>5.0975984801680835E-2</v>
      </c>
      <c r="BH102" s="29"/>
    </row>
    <row r="103" spans="1:60" x14ac:dyDescent="0.25">
      <c r="A103" s="1">
        <v>46171</v>
      </c>
      <c r="B103" s="33">
        <v>22.37</v>
      </c>
      <c r="C103" s="33">
        <v>22.31</v>
      </c>
      <c r="D103" s="15">
        <v>-4.0303308394211201E-2</v>
      </c>
      <c r="E103" s="15">
        <v>-4.2989075451808502E-2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22.37</v>
      </c>
      <c r="M103" s="33">
        <v>22.31</v>
      </c>
      <c r="N103" s="34">
        <v>0.99731783638801896</v>
      </c>
      <c r="O103" s="34">
        <v>1.0078468940038601</v>
      </c>
      <c r="P103" s="34">
        <v>1.00205197139608</v>
      </c>
      <c r="Q103" s="34">
        <v>1.0070153448343899</v>
      </c>
      <c r="R103" s="33">
        <v>22.545535018866499</v>
      </c>
      <c r="S103" s="33">
        <v>22.4278930362435</v>
      </c>
      <c r="T103" s="33">
        <v>22.5498539938724</v>
      </c>
      <c r="U103" s="15">
        <v>1.0502034301010901E-2</v>
      </c>
      <c r="V103" s="15">
        <v>5.2704005994221401E-3</v>
      </c>
      <c r="W103" s="15">
        <v>1.06935827104437E-2</v>
      </c>
      <c r="X103" s="34">
        <v>0.99731783638801896</v>
      </c>
      <c r="Y103" s="34">
        <v>1.0078468940038601</v>
      </c>
      <c r="Z103" s="34">
        <v>1.00205197139608</v>
      </c>
      <c r="AA103" s="34">
        <v>1.0070153448343899</v>
      </c>
      <c r="AB103" s="33">
        <v>22.545535018866499</v>
      </c>
      <c r="AC103" s="33">
        <v>22.4278930362435</v>
      </c>
      <c r="AD103" s="33">
        <v>22.5498539938724</v>
      </c>
      <c r="AE103" s="15">
        <v>1.0502034301010901E-2</v>
      </c>
      <c r="AF103" s="15">
        <v>5.2704005994221401E-3</v>
      </c>
      <c r="AG103" s="15">
        <v>1.06935827104437E-2</v>
      </c>
      <c r="AI103" s="12"/>
      <c r="AJ103">
        <f t="shared" si="24"/>
        <v>0</v>
      </c>
      <c r="AK103">
        <f t="shared" si="25"/>
        <v>1</v>
      </c>
      <c r="AL103">
        <f t="shared" si="34"/>
        <v>0</v>
      </c>
      <c r="AM103">
        <f t="shared" si="26"/>
        <v>1</v>
      </c>
      <c r="AN103">
        <f t="shared" si="35"/>
        <v>0</v>
      </c>
      <c r="AO103" s="28">
        <f t="shared" si="27"/>
        <v>0</v>
      </c>
      <c r="AP103" s="28">
        <f t="shared" si="28"/>
        <v>0</v>
      </c>
      <c r="AQ103" s="28">
        <f t="shared" si="36"/>
        <v>0</v>
      </c>
      <c r="AR103" s="29">
        <f t="shared" si="37"/>
        <v>6.5753209996154988E-3</v>
      </c>
      <c r="AT103" s="12"/>
      <c r="AU103">
        <f t="shared" si="29"/>
        <v>1</v>
      </c>
      <c r="AV103">
        <f t="shared" si="30"/>
        <v>0</v>
      </c>
      <c r="AW103">
        <f t="shared" si="38"/>
        <v>0</v>
      </c>
      <c r="AX103">
        <f t="shared" si="31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4.4400663802065338E-2</v>
      </c>
      <c r="BE103" s="29">
        <f t="shared" si="42"/>
        <v>0</v>
      </c>
      <c r="BF103" s="29">
        <f t="shared" si="43"/>
        <v>5.0975984801680835E-2</v>
      </c>
      <c r="BH103" s="29"/>
    </row>
    <row r="104" spans="1:60" x14ac:dyDescent="0.25">
      <c r="A104" s="1">
        <v>46174</v>
      </c>
      <c r="B104" s="33">
        <v>22.06</v>
      </c>
      <c r="C104" s="33">
        <v>22.07</v>
      </c>
      <c r="D104" s="15">
        <v>-1.3954761676681899E-2</v>
      </c>
      <c r="E104" s="15">
        <v>-1.0815788175796001E-2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22.06</v>
      </c>
      <c r="M104" s="33">
        <v>22.07</v>
      </c>
      <c r="N104" s="34">
        <v>1.0004533091568399</v>
      </c>
      <c r="O104" s="34">
        <v>1.0078468940038601</v>
      </c>
      <c r="P104" s="34">
        <v>1.0007908890101</v>
      </c>
      <c r="Q104" s="34">
        <v>1.00621205159017</v>
      </c>
      <c r="R104" s="33">
        <v>22.2331024817253</v>
      </c>
      <c r="S104" s="33">
        <v>22.105266488997501</v>
      </c>
      <c r="T104" s="33">
        <v>22.2147585070467</v>
      </c>
      <c r="U104" s="15">
        <v>7.3630608001251903E-3</v>
      </c>
      <c r="V104" s="15">
        <v>1.5966625350629701E-3</v>
      </c>
      <c r="W104" s="15">
        <v>6.5376453442615003E-3</v>
      </c>
      <c r="X104" s="34">
        <v>1.0004533091568399</v>
      </c>
      <c r="Y104" s="34">
        <v>1.0078468940038601</v>
      </c>
      <c r="Z104" s="34">
        <v>1.0007908890101</v>
      </c>
      <c r="AA104" s="34">
        <v>1.00621205159017</v>
      </c>
      <c r="AB104" s="33">
        <v>22.2331024817253</v>
      </c>
      <c r="AC104" s="33">
        <v>22.105266488997501</v>
      </c>
      <c r="AD104" s="33">
        <v>22.2147585070467</v>
      </c>
      <c r="AE104" s="15">
        <v>7.3630608001251903E-3</v>
      </c>
      <c r="AF104" s="15">
        <v>1.5966625350629701E-3</v>
      </c>
      <c r="AG104" s="15">
        <v>6.5376453442615003E-3</v>
      </c>
      <c r="AI104" s="12"/>
      <c r="AJ104">
        <f t="shared" si="24"/>
        <v>0</v>
      </c>
      <c r="AK104">
        <f t="shared" si="25"/>
        <v>1</v>
      </c>
      <c r="AL104">
        <f t="shared" si="34"/>
        <v>0</v>
      </c>
      <c r="AM104">
        <f t="shared" si="26"/>
        <v>1</v>
      </c>
      <c r="AN104">
        <f t="shared" si="35"/>
        <v>0</v>
      </c>
      <c r="AO104" s="28">
        <f t="shared" si="27"/>
        <v>0</v>
      </c>
      <c r="AP104" s="28">
        <f t="shared" si="28"/>
        <v>0</v>
      </c>
      <c r="AQ104" s="28">
        <f t="shared" si="36"/>
        <v>0</v>
      </c>
      <c r="AR104" s="29">
        <f t="shared" si="37"/>
        <v>6.5753209996154988E-3</v>
      </c>
      <c r="AT104" s="12"/>
      <c r="AU104">
        <f t="shared" si="29"/>
        <v>0</v>
      </c>
      <c r="AV104">
        <f t="shared" si="30"/>
        <v>0</v>
      </c>
      <c r="AW104">
        <f t="shared" si="38"/>
        <v>1</v>
      </c>
      <c r="AX104">
        <f t="shared" si="31"/>
        <v>1</v>
      </c>
      <c r="AY104">
        <f t="shared" si="39"/>
        <v>1</v>
      </c>
      <c r="AZ104" s="28">
        <f t="shared" si="32"/>
        <v>1.3954761676681899E-2</v>
      </c>
      <c r="BA104" s="28">
        <f t="shared" si="33"/>
        <v>-1.0815788175796001E-2</v>
      </c>
      <c r="BB104" s="28">
        <f t="shared" si="40"/>
        <v>3.1389735008858985E-3</v>
      </c>
      <c r="BC104" s="29">
        <f t="shared" si="41"/>
        <v>4.7539637302951236E-2</v>
      </c>
      <c r="BE104" s="29">
        <f t="shared" si="42"/>
        <v>3.1389735008858985E-3</v>
      </c>
      <c r="BF104" s="29">
        <f t="shared" si="43"/>
        <v>5.4114958302566733E-2</v>
      </c>
      <c r="BH104" s="29"/>
    </row>
    <row r="105" spans="1:60" x14ac:dyDescent="0.25">
      <c r="A105" s="1">
        <v>46175</v>
      </c>
      <c r="B105" s="33">
        <v>21.26</v>
      </c>
      <c r="C105" s="33">
        <v>21.24</v>
      </c>
      <c r="D105" s="15">
        <v>-3.6938640911554299E-2</v>
      </c>
      <c r="E105" s="15">
        <v>-3.8333023894907003E-2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21.26</v>
      </c>
      <c r="M105" s="33">
        <v>21.24</v>
      </c>
      <c r="N105" s="34">
        <v>0.99905926622765695</v>
      </c>
      <c r="O105" s="34">
        <v>1.0078468940038601</v>
      </c>
      <c r="P105" s="34">
        <v>1.00104646598251</v>
      </c>
      <c r="Q105" s="34">
        <v>1.005506923367</v>
      </c>
      <c r="R105" s="33">
        <v>21.426824966522201</v>
      </c>
      <c r="S105" s="33">
        <v>21.276814300354701</v>
      </c>
      <c r="T105" s="33">
        <v>21.392068216807001</v>
      </c>
      <c r="U105" s="15">
        <v>8.7574437834779095E-3</v>
      </c>
      <c r="V105" s="15">
        <v>1.7317529622576601E-3</v>
      </c>
      <c r="W105" s="15">
        <v>7.1340128741395501E-3</v>
      </c>
      <c r="X105" s="34">
        <v>0.99905926622765695</v>
      </c>
      <c r="Y105" s="34">
        <v>1.0078468940038601</v>
      </c>
      <c r="Z105" s="34">
        <v>1.00104646598251</v>
      </c>
      <c r="AA105" s="34">
        <v>1.005506923367</v>
      </c>
      <c r="AB105" s="33">
        <v>21.426824966522201</v>
      </c>
      <c r="AC105" s="33">
        <v>21.276814300354701</v>
      </c>
      <c r="AD105" s="33">
        <v>21.392068216807001</v>
      </c>
      <c r="AE105" s="15">
        <v>8.7574437834779095E-3</v>
      </c>
      <c r="AF105" s="15">
        <v>1.7317529622576601E-3</v>
      </c>
      <c r="AG105" s="15">
        <v>7.1340128741395501E-3</v>
      </c>
      <c r="AI105" s="12"/>
      <c r="AJ105">
        <f t="shared" si="24"/>
        <v>0</v>
      </c>
      <c r="AK105">
        <f t="shared" si="25"/>
        <v>1</v>
      </c>
      <c r="AL105">
        <f t="shared" si="34"/>
        <v>0</v>
      </c>
      <c r="AM105">
        <f t="shared" si="26"/>
        <v>1</v>
      </c>
      <c r="AN105">
        <f t="shared" si="35"/>
        <v>0</v>
      </c>
      <c r="AO105" s="28">
        <f t="shared" si="27"/>
        <v>0</v>
      </c>
      <c r="AP105" s="28">
        <f t="shared" si="28"/>
        <v>0</v>
      </c>
      <c r="AQ105" s="28">
        <f t="shared" si="36"/>
        <v>0</v>
      </c>
      <c r="AR105" s="29">
        <f t="shared" si="37"/>
        <v>6.5753209996154988E-3</v>
      </c>
      <c r="AT105" s="12"/>
      <c r="AU105">
        <f t="shared" si="29"/>
        <v>0</v>
      </c>
      <c r="AV105">
        <f t="shared" si="30"/>
        <v>0</v>
      </c>
      <c r="AW105">
        <f t="shared" si="38"/>
        <v>1</v>
      </c>
      <c r="AX105">
        <f t="shared" si="31"/>
        <v>1</v>
      </c>
      <c r="AY105">
        <f t="shared" si="39"/>
        <v>1</v>
      </c>
      <c r="AZ105" s="28">
        <f t="shared" si="32"/>
        <v>3.6938640911554299E-2</v>
      </c>
      <c r="BA105" s="28">
        <f t="shared" si="33"/>
        <v>-3.8333023894907003E-2</v>
      </c>
      <c r="BB105" s="28">
        <f t="shared" si="40"/>
        <v>-1.3943829833527044E-3</v>
      </c>
      <c r="BC105" s="29">
        <f t="shared" si="41"/>
        <v>4.6145254319598532E-2</v>
      </c>
      <c r="BE105" s="29">
        <f t="shared" si="42"/>
        <v>-1.3943829833527044E-3</v>
      </c>
      <c r="BF105" s="29">
        <f t="shared" si="43"/>
        <v>5.2720575319214029E-2</v>
      </c>
      <c r="BH105" s="29"/>
    </row>
    <row r="106" spans="1:60" x14ac:dyDescent="0.25">
      <c r="A106" s="1">
        <v>46176</v>
      </c>
      <c r="B106" s="33">
        <v>20.55</v>
      </c>
      <c r="C106" s="33">
        <v>20.5</v>
      </c>
      <c r="D106" s="15">
        <v>-3.39664319715582E-2</v>
      </c>
      <c r="E106" s="15">
        <v>-3.5461310229375501E-2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20.55</v>
      </c>
      <c r="M106" s="33">
        <v>20.5</v>
      </c>
      <c r="N106" s="34">
        <v>0.99756690997566899</v>
      </c>
      <c r="O106" s="34">
        <v>1.0078468940038601</v>
      </c>
      <c r="P106" s="34">
        <v>1.00048745058703</v>
      </c>
      <c r="Q106" s="34">
        <v>1.0045997703763601</v>
      </c>
      <c r="R106" s="33">
        <v>20.711253671779499</v>
      </c>
      <c r="S106" s="33">
        <v>20.5715048759407</v>
      </c>
      <c r="T106" s="33">
        <v>20.663167275191899</v>
      </c>
      <c r="U106" s="15">
        <v>1.02523220412951E-2</v>
      </c>
      <c r="V106" s="15">
        <v>3.4819736165656E-3</v>
      </c>
      <c r="W106" s="15">
        <v>7.9278705015194996E-3</v>
      </c>
      <c r="X106" s="34">
        <v>0.99756690997566899</v>
      </c>
      <c r="Y106" s="34">
        <v>1.0078468940038601</v>
      </c>
      <c r="Z106" s="34">
        <v>1.00048745058703</v>
      </c>
      <c r="AA106" s="34">
        <v>1.0045997703763601</v>
      </c>
      <c r="AB106" s="33">
        <v>20.711253671779499</v>
      </c>
      <c r="AC106" s="33">
        <v>20.5715048759407</v>
      </c>
      <c r="AD106" s="33">
        <v>20.663167275191899</v>
      </c>
      <c r="AE106" s="15">
        <v>1.02523220412951E-2</v>
      </c>
      <c r="AF106" s="15">
        <v>3.4819736165656E-3</v>
      </c>
      <c r="AG106" s="15">
        <v>7.9278705015194996E-3</v>
      </c>
      <c r="AI106" s="12"/>
      <c r="AJ106">
        <f t="shared" si="24"/>
        <v>0</v>
      </c>
      <c r="AK106">
        <f t="shared" si="25"/>
        <v>1</v>
      </c>
      <c r="AL106">
        <f t="shared" si="34"/>
        <v>0</v>
      </c>
      <c r="AM106">
        <f t="shared" si="26"/>
        <v>1</v>
      </c>
      <c r="AN106">
        <f t="shared" si="35"/>
        <v>0</v>
      </c>
      <c r="AO106" s="28">
        <f t="shared" si="27"/>
        <v>0</v>
      </c>
      <c r="AP106" s="28">
        <f t="shared" si="28"/>
        <v>0</v>
      </c>
      <c r="AQ106" s="28">
        <f t="shared" si="36"/>
        <v>0</v>
      </c>
      <c r="AR106" s="29">
        <f t="shared" si="37"/>
        <v>6.5753209996154988E-3</v>
      </c>
      <c r="AT106" s="12"/>
      <c r="AU106">
        <f t="shared" si="29"/>
        <v>0</v>
      </c>
      <c r="AV106">
        <f t="shared" si="30"/>
        <v>0</v>
      </c>
      <c r="AW106">
        <f t="shared" si="38"/>
        <v>1</v>
      </c>
      <c r="AX106">
        <f t="shared" si="31"/>
        <v>1</v>
      </c>
      <c r="AY106">
        <f t="shared" si="39"/>
        <v>1</v>
      </c>
      <c r="AZ106" s="28">
        <f t="shared" si="32"/>
        <v>3.39664319715582E-2</v>
      </c>
      <c r="BA106" s="28">
        <f t="shared" si="33"/>
        <v>-3.5461310229375501E-2</v>
      </c>
      <c r="BB106" s="28">
        <f t="shared" si="40"/>
        <v>-1.4948782578173003E-3</v>
      </c>
      <c r="BC106" s="29">
        <f t="shared" si="41"/>
        <v>4.4650376061781231E-2</v>
      </c>
      <c r="BE106" s="29">
        <f t="shared" si="42"/>
        <v>-1.4948782578173003E-3</v>
      </c>
      <c r="BF106" s="29">
        <f t="shared" si="43"/>
        <v>5.1225697061396729E-2</v>
      </c>
      <c r="BH106" s="29"/>
    </row>
    <row r="107" spans="1:60" x14ac:dyDescent="0.25">
      <c r="A107" s="1">
        <v>46177</v>
      </c>
      <c r="B107" s="33">
        <v>20.71</v>
      </c>
      <c r="C107" s="33">
        <v>20.77</v>
      </c>
      <c r="D107" s="15">
        <v>7.75573446524925E-3</v>
      </c>
      <c r="E107" s="15">
        <v>1.3084751743658401E-2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20.71</v>
      </c>
      <c r="M107" s="33">
        <v>20.77</v>
      </c>
      <c r="N107" s="34">
        <v>1.00289715113471</v>
      </c>
      <c r="O107" s="34">
        <v>1.0078468940038601</v>
      </c>
      <c r="P107" s="34">
        <v>1.0009778077550699</v>
      </c>
      <c r="Q107" s="34">
        <v>1.0043199994829899</v>
      </c>
      <c r="R107" s="33">
        <v>20.872509174820099</v>
      </c>
      <c r="S107" s="33">
        <v>20.7200951016574</v>
      </c>
      <c r="T107" s="33">
        <v>20.8052612444944</v>
      </c>
      <c r="U107" s="15">
        <v>4.9233047628856504E-3</v>
      </c>
      <c r="V107" s="15">
        <v>-2.4056306589409901E-3</v>
      </c>
      <c r="W107" s="15">
        <v>1.6962612810484401E-3</v>
      </c>
      <c r="X107" s="34">
        <v>1.00289715113471</v>
      </c>
      <c r="Y107" s="34">
        <v>1.0078468940038601</v>
      </c>
      <c r="Z107" s="34">
        <v>1.0009778077550699</v>
      </c>
      <c r="AA107" s="34">
        <v>1.0043199994829899</v>
      </c>
      <c r="AB107" s="33">
        <v>20.872509174820099</v>
      </c>
      <c r="AC107" s="33">
        <v>20.7200951016574</v>
      </c>
      <c r="AD107" s="33">
        <v>20.8052612444944</v>
      </c>
      <c r="AE107" s="15">
        <v>4.9233047628856504E-3</v>
      </c>
      <c r="AF107" s="15">
        <v>-2.4056306589409901E-3</v>
      </c>
      <c r="AG107" s="15">
        <v>1.6962612810484401E-3</v>
      </c>
      <c r="AI107" s="12"/>
      <c r="AJ107">
        <f t="shared" si="24"/>
        <v>0</v>
      </c>
      <c r="AK107">
        <f t="shared" si="25"/>
        <v>1</v>
      </c>
      <c r="AL107">
        <f t="shared" si="34"/>
        <v>0</v>
      </c>
      <c r="AM107">
        <f t="shared" si="26"/>
        <v>1</v>
      </c>
      <c r="AN107">
        <f t="shared" si="35"/>
        <v>0</v>
      </c>
      <c r="AO107" s="28">
        <f t="shared" si="27"/>
        <v>0</v>
      </c>
      <c r="AP107" s="28">
        <f t="shared" si="28"/>
        <v>0</v>
      </c>
      <c r="AQ107" s="28">
        <f t="shared" si="36"/>
        <v>0</v>
      </c>
      <c r="AR107" s="29">
        <f t="shared" si="37"/>
        <v>6.5753209996154988E-3</v>
      </c>
      <c r="AT107" s="12"/>
      <c r="AU107">
        <f t="shared" si="29"/>
        <v>0</v>
      </c>
      <c r="AV107">
        <f t="shared" si="30"/>
        <v>1</v>
      </c>
      <c r="AW107">
        <f t="shared" si="38"/>
        <v>1</v>
      </c>
      <c r="AX107">
        <f t="shared" si="31"/>
        <v>1</v>
      </c>
      <c r="AY107">
        <f t="shared" si="39"/>
        <v>1</v>
      </c>
      <c r="AZ107" s="28">
        <f t="shared" si="32"/>
        <v>-7.75573446524925E-3</v>
      </c>
      <c r="BA107" s="28">
        <f t="shared" si="33"/>
        <v>1.3084751743658401E-2</v>
      </c>
      <c r="BB107" s="28">
        <f t="shared" si="40"/>
        <v>5.3290172784091509E-3</v>
      </c>
      <c r="BC107" s="29">
        <f t="shared" si="41"/>
        <v>4.997939334019038E-2</v>
      </c>
      <c r="BE107" s="29">
        <f t="shared" si="42"/>
        <v>5.3290172784091509E-3</v>
      </c>
      <c r="BF107" s="29">
        <f t="shared" si="43"/>
        <v>5.6554714339805877E-2</v>
      </c>
      <c r="BH107" s="29"/>
    </row>
    <row r="108" spans="1:60" x14ac:dyDescent="0.25">
      <c r="A108" s="1">
        <v>46178</v>
      </c>
      <c r="B108" s="33">
        <v>21.56</v>
      </c>
      <c r="C108" s="33">
        <v>21.68</v>
      </c>
      <c r="D108" s="15">
        <v>4.0223070633303402E-2</v>
      </c>
      <c r="E108" s="15">
        <v>4.28805386834245E-2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21.56</v>
      </c>
      <c r="M108" s="33">
        <v>21.68</v>
      </c>
      <c r="N108" s="34">
        <v>1.0055658627087101</v>
      </c>
      <c r="O108" s="34">
        <v>1.0078468940038601</v>
      </c>
      <c r="P108" s="34">
        <v>1.00137935526625</v>
      </c>
      <c r="Q108" s="34">
        <v>1.00386986527438</v>
      </c>
      <c r="R108" s="33">
        <v>21.729179034723401</v>
      </c>
      <c r="S108" s="33">
        <v>21.581081535199399</v>
      </c>
      <c r="T108" s="33">
        <v>21.653139188853299</v>
      </c>
      <c r="U108" s="15">
        <v>2.2658367127647802E-3</v>
      </c>
      <c r="V108" s="15">
        <v>-4.57310051817308E-3</v>
      </c>
      <c r="W108" s="15">
        <v>-1.23973545834775E-3</v>
      </c>
      <c r="X108" s="34">
        <v>1.0055658627087101</v>
      </c>
      <c r="Y108" s="34">
        <v>1.0078468940038601</v>
      </c>
      <c r="Z108" s="34">
        <v>1.00137935526625</v>
      </c>
      <c r="AA108" s="34">
        <v>1.00386986527438</v>
      </c>
      <c r="AB108" s="33">
        <v>21.729179034723401</v>
      </c>
      <c r="AC108" s="33">
        <v>21.581081535199399</v>
      </c>
      <c r="AD108" s="33">
        <v>21.653139188853299</v>
      </c>
      <c r="AE108" s="15">
        <v>2.2658367127647802E-3</v>
      </c>
      <c r="AF108" s="15">
        <v>-4.57310051817308E-3</v>
      </c>
      <c r="AG108" s="15">
        <v>-1.23973545834775E-3</v>
      </c>
      <c r="AI108" s="12"/>
      <c r="AJ108">
        <f t="shared" si="24"/>
        <v>0</v>
      </c>
      <c r="AK108">
        <f t="shared" si="25"/>
        <v>1</v>
      </c>
      <c r="AL108">
        <f t="shared" si="34"/>
        <v>0</v>
      </c>
      <c r="AM108">
        <f t="shared" si="26"/>
        <v>1</v>
      </c>
      <c r="AN108">
        <f t="shared" si="35"/>
        <v>0</v>
      </c>
      <c r="AO108" s="28">
        <f t="shared" si="27"/>
        <v>0</v>
      </c>
      <c r="AP108" s="28">
        <f t="shared" si="28"/>
        <v>0</v>
      </c>
      <c r="AQ108" s="28">
        <f t="shared" si="36"/>
        <v>0</v>
      </c>
      <c r="AR108" s="29">
        <f t="shared" si="37"/>
        <v>6.5753209996154988E-3</v>
      </c>
      <c r="AT108" s="12"/>
      <c r="AU108">
        <f t="shared" si="29"/>
        <v>0</v>
      </c>
      <c r="AV108">
        <f t="shared" si="30"/>
        <v>1</v>
      </c>
      <c r="AW108">
        <f t="shared" si="38"/>
        <v>0</v>
      </c>
      <c r="AX108">
        <f t="shared" si="31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4.997939334019038E-2</v>
      </c>
      <c r="BE108" s="29">
        <f t="shared" si="42"/>
        <v>0</v>
      </c>
      <c r="BF108" s="29">
        <f t="shared" si="43"/>
        <v>5.6554714339805877E-2</v>
      </c>
      <c r="BH108" s="29"/>
    </row>
    <row r="109" spans="1:60" x14ac:dyDescent="0.25">
      <c r="A109" s="1">
        <v>46181</v>
      </c>
      <c r="B109" s="33">
        <v>20.77</v>
      </c>
      <c r="C109" s="33">
        <v>20.76</v>
      </c>
      <c r="D109" s="15">
        <v>-3.7330108152775397E-2</v>
      </c>
      <c r="E109" s="15">
        <v>-4.3362118273757397E-2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20.77</v>
      </c>
      <c r="M109" s="33">
        <v>20.76</v>
      </c>
      <c r="N109" s="34">
        <v>0.99951853635050503</v>
      </c>
      <c r="O109" s="34">
        <v>1.0078468940038601</v>
      </c>
      <c r="P109" s="34">
        <v>1.0012911608436399</v>
      </c>
      <c r="Q109" s="34">
        <v>1.00287473344758</v>
      </c>
      <c r="R109" s="33">
        <v>20.9329799884603</v>
      </c>
      <c r="S109" s="33">
        <v>20.7986492088802</v>
      </c>
      <c r="T109" s="33">
        <v>20.850377101749</v>
      </c>
      <c r="U109" s="15">
        <v>8.2978468337466492E-3</v>
      </c>
      <c r="V109" s="15">
        <v>1.8599844200099999E-3</v>
      </c>
      <c r="W109" s="15">
        <v>4.3439761983861498E-3</v>
      </c>
      <c r="X109" s="34">
        <v>0.99951853635050503</v>
      </c>
      <c r="Y109" s="34">
        <v>1.0078468940038601</v>
      </c>
      <c r="Z109" s="34">
        <v>1.0012911608436399</v>
      </c>
      <c r="AA109" s="34">
        <v>1.00287473344758</v>
      </c>
      <c r="AB109" s="33">
        <v>20.9329799884603</v>
      </c>
      <c r="AC109" s="33">
        <v>20.7986492088802</v>
      </c>
      <c r="AD109" s="33">
        <v>20.850377101749</v>
      </c>
      <c r="AE109" s="15">
        <v>8.2978468337466492E-3</v>
      </c>
      <c r="AF109" s="15">
        <v>1.8599844200099999E-3</v>
      </c>
      <c r="AG109" s="15">
        <v>4.3439761983861498E-3</v>
      </c>
      <c r="AI109" s="12"/>
      <c r="AJ109">
        <f t="shared" si="24"/>
        <v>0</v>
      </c>
      <c r="AK109">
        <f t="shared" si="25"/>
        <v>1</v>
      </c>
      <c r="AL109">
        <f t="shared" si="34"/>
        <v>0</v>
      </c>
      <c r="AM109">
        <f t="shared" si="26"/>
        <v>1</v>
      </c>
      <c r="AN109">
        <f t="shared" si="35"/>
        <v>0</v>
      </c>
      <c r="AO109" s="28">
        <f t="shared" si="27"/>
        <v>0</v>
      </c>
      <c r="AP109" s="28">
        <f t="shared" si="28"/>
        <v>0</v>
      </c>
      <c r="AQ109" s="28">
        <f t="shared" si="36"/>
        <v>0</v>
      </c>
      <c r="AR109" s="29">
        <f t="shared" si="37"/>
        <v>6.5753209996154988E-3</v>
      </c>
      <c r="AT109" s="12"/>
      <c r="AU109">
        <f t="shared" si="29"/>
        <v>0</v>
      </c>
      <c r="AV109">
        <f t="shared" si="30"/>
        <v>1</v>
      </c>
      <c r="AW109">
        <f t="shared" si="38"/>
        <v>0</v>
      </c>
      <c r="AX109">
        <f t="shared" si="31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4.997939334019038E-2</v>
      </c>
      <c r="BE109" s="29">
        <f t="shared" si="42"/>
        <v>0</v>
      </c>
      <c r="BF109" s="29">
        <f t="shared" si="43"/>
        <v>5.6554714339805877E-2</v>
      </c>
      <c r="BH109" s="29"/>
    </row>
    <row r="110" spans="1:60" x14ac:dyDescent="0.25">
      <c r="A110" s="1">
        <v>46182</v>
      </c>
      <c r="B110" s="33">
        <v>20.68</v>
      </c>
      <c r="C110" s="33">
        <v>20.79</v>
      </c>
      <c r="D110" s="15">
        <v>-4.3425882477925899E-3</v>
      </c>
      <c r="E110" s="15">
        <v>1.44404357223362E-3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20.68</v>
      </c>
      <c r="M110" s="33">
        <v>20.79</v>
      </c>
      <c r="N110" s="34">
        <v>1.0053191489361699</v>
      </c>
      <c r="O110" s="34">
        <v>1.0078468940038601</v>
      </c>
      <c r="P110" s="34">
        <v>1.0019498720179001</v>
      </c>
      <c r="Q110" s="34">
        <v>1.002487903315</v>
      </c>
      <c r="R110" s="33">
        <v>20.842273767999998</v>
      </c>
      <c r="S110" s="33">
        <v>20.7067012062464</v>
      </c>
      <c r="T110" s="33">
        <v>20.739449487696</v>
      </c>
      <c r="U110" s="15">
        <v>2.5112150137205701E-3</v>
      </c>
      <c r="V110" s="15">
        <v>-4.0147242174118098E-3</v>
      </c>
      <c r="W110" s="15">
        <v>-2.43444292631763E-3</v>
      </c>
      <c r="X110" s="34">
        <v>1.0053191489361699</v>
      </c>
      <c r="Y110" s="34">
        <v>1.0078468940038601</v>
      </c>
      <c r="Z110" s="34">
        <v>1.0019498720179001</v>
      </c>
      <c r="AA110" s="34">
        <v>1.002487903315</v>
      </c>
      <c r="AB110" s="33">
        <v>20.842273767999998</v>
      </c>
      <c r="AC110" s="33">
        <v>20.7067012062464</v>
      </c>
      <c r="AD110" s="33">
        <v>20.739449487696</v>
      </c>
      <c r="AE110" s="15">
        <v>2.5112150137205701E-3</v>
      </c>
      <c r="AF110" s="15">
        <v>-4.0147242174118098E-3</v>
      </c>
      <c r="AG110" s="15">
        <v>-2.43444292631763E-3</v>
      </c>
      <c r="AI110" s="12"/>
      <c r="AJ110">
        <f t="shared" si="24"/>
        <v>0</v>
      </c>
      <c r="AK110">
        <f t="shared" si="25"/>
        <v>1</v>
      </c>
      <c r="AL110">
        <f t="shared" si="34"/>
        <v>0</v>
      </c>
      <c r="AM110">
        <f t="shared" si="26"/>
        <v>1</v>
      </c>
      <c r="AN110">
        <f t="shared" si="35"/>
        <v>0</v>
      </c>
      <c r="AO110" s="28">
        <f t="shared" si="27"/>
        <v>0</v>
      </c>
      <c r="AP110" s="28">
        <f t="shared" si="28"/>
        <v>0</v>
      </c>
      <c r="AQ110" s="28">
        <f t="shared" si="36"/>
        <v>0</v>
      </c>
      <c r="AR110" s="29">
        <f t="shared" si="37"/>
        <v>6.5753209996154988E-3</v>
      </c>
      <c r="AT110" s="12"/>
      <c r="AU110">
        <f t="shared" si="29"/>
        <v>0</v>
      </c>
      <c r="AV110">
        <f t="shared" si="30"/>
        <v>1</v>
      </c>
      <c r="AW110">
        <f t="shared" si="38"/>
        <v>0</v>
      </c>
      <c r="AX110">
        <f t="shared" si="31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4.997939334019038E-2</v>
      </c>
      <c r="BE110" s="29">
        <f t="shared" si="42"/>
        <v>0</v>
      </c>
      <c r="BF110" s="29">
        <f t="shared" si="43"/>
        <v>5.6554714339805877E-2</v>
      </c>
      <c r="BH110" s="29"/>
    </row>
    <row r="111" spans="1:60" x14ac:dyDescent="0.25">
      <c r="A111" s="1">
        <v>46183</v>
      </c>
      <c r="B111" s="33">
        <v>21.38</v>
      </c>
      <c r="C111" s="33">
        <v>21.2</v>
      </c>
      <c r="D111" s="15">
        <v>3.32888559566707E-2</v>
      </c>
      <c r="E111" s="15">
        <v>1.9529079808045201E-2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21.38</v>
      </c>
      <c r="M111" s="33">
        <v>21.2</v>
      </c>
      <c r="N111" s="34">
        <v>0.99158091674462101</v>
      </c>
      <c r="O111" s="34">
        <v>1.0078468940038601</v>
      </c>
      <c r="P111" s="34">
        <v>0.99992789376229196</v>
      </c>
      <c r="Q111" s="34">
        <v>1.00153276111804</v>
      </c>
      <c r="R111" s="33">
        <v>21.547766593802699</v>
      </c>
      <c r="S111" s="33">
        <v>21.421688263742698</v>
      </c>
      <c r="T111" s="33">
        <v>21.433191372874699</v>
      </c>
      <c r="U111" s="15">
        <v>1.6270991162346201E-2</v>
      </c>
      <c r="V111" s="15">
        <v>1.04026974039199E-2</v>
      </c>
      <c r="W111" s="15">
        <v>1.0939537526017101E-2</v>
      </c>
      <c r="X111" s="34">
        <v>0.99158091674462101</v>
      </c>
      <c r="Y111" s="34">
        <v>1.0078468940038601</v>
      </c>
      <c r="Z111" s="34">
        <v>0.99992789376229196</v>
      </c>
      <c r="AA111" s="34">
        <v>1.00153276111804</v>
      </c>
      <c r="AB111" s="33">
        <v>21.547766593802699</v>
      </c>
      <c r="AC111" s="33">
        <v>21.421688263742698</v>
      </c>
      <c r="AD111" s="33">
        <v>21.433191372874699</v>
      </c>
      <c r="AE111" s="15">
        <v>1.6270991162346201E-2</v>
      </c>
      <c r="AF111" s="15">
        <v>1.04026974039199E-2</v>
      </c>
      <c r="AG111" s="15">
        <v>1.0939537526017101E-2</v>
      </c>
      <c r="AI111" s="12"/>
      <c r="AJ111">
        <f t="shared" si="24"/>
        <v>0</v>
      </c>
      <c r="AK111">
        <f t="shared" si="25"/>
        <v>1</v>
      </c>
      <c r="AL111">
        <f t="shared" si="34"/>
        <v>0</v>
      </c>
      <c r="AM111">
        <f t="shared" si="26"/>
        <v>1</v>
      </c>
      <c r="AN111">
        <f t="shared" si="35"/>
        <v>0</v>
      </c>
      <c r="AO111" s="28">
        <f t="shared" si="27"/>
        <v>0</v>
      </c>
      <c r="AP111" s="28">
        <f t="shared" si="28"/>
        <v>0</v>
      </c>
      <c r="AQ111" s="28">
        <f t="shared" si="36"/>
        <v>0</v>
      </c>
      <c r="AR111" s="29">
        <f t="shared" si="37"/>
        <v>6.5753209996154988E-3</v>
      </c>
      <c r="AT111" s="12"/>
      <c r="AU111">
        <f t="shared" si="29"/>
        <v>1</v>
      </c>
      <c r="AV111">
        <f t="shared" si="30"/>
        <v>0</v>
      </c>
      <c r="AW111">
        <f t="shared" si="38"/>
        <v>0</v>
      </c>
      <c r="AX111">
        <f t="shared" si="31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4.997939334019038E-2</v>
      </c>
      <c r="BE111" s="29">
        <f t="shared" si="42"/>
        <v>0</v>
      </c>
      <c r="BF111" s="29">
        <f t="shared" si="43"/>
        <v>5.6554714339805877E-2</v>
      </c>
      <c r="BH111" s="29"/>
    </row>
    <row r="112" spans="1:60" x14ac:dyDescent="0.25">
      <c r="A112" s="1">
        <v>46184</v>
      </c>
      <c r="B112" s="33">
        <v>21.38</v>
      </c>
      <c r="C112" s="33">
        <v>21.17</v>
      </c>
      <c r="D112" s="15">
        <v>0</v>
      </c>
      <c r="E112" s="15">
        <v>-1.4160965311928401E-3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21.38</v>
      </c>
      <c r="M112" s="33">
        <v>21.17</v>
      </c>
      <c r="N112" s="34">
        <v>0.99017773620205796</v>
      </c>
      <c r="O112" s="34">
        <v>1.0078468940038601</v>
      </c>
      <c r="P112" s="34">
        <v>0.99894566738249801</v>
      </c>
      <c r="Q112" s="34">
        <v>1.00076682198457</v>
      </c>
      <c r="R112" s="33">
        <v>21.547766593802699</v>
      </c>
      <c r="S112" s="33">
        <v>21.378458368637801</v>
      </c>
      <c r="T112" s="33">
        <v>21.412770432703699</v>
      </c>
      <c r="U112" s="15">
        <v>1.7687087693539098E-2</v>
      </c>
      <c r="V112" s="15">
        <v>9.7987116126380305E-3</v>
      </c>
      <c r="W112" s="15">
        <v>1.14024080888037E-2</v>
      </c>
      <c r="X112" s="34">
        <v>0.99017773620205796</v>
      </c>
      <c r="Y112" s="34">
        <v>1.0078468940038601</v>
      </c>
      <c r="Z112" s="34">
        <v>0.99894566738249801</v>
      </c>
      <c r="AA112" s="34">
        <v>1.00076682198457</v>
      </c>
      <c r="AB112" s="33">
        <v>21.547766593802699</v>
      </c>
      <c r="AC112" s="33">
        <v>21.378458368637801</v>
      </c>
      <c r="AD112" s="33">
        <v>21.412770432703699</v>
      </c>
      <c r="AE112" s="15">
        <v>1.7687087693539098E-2</v>
      </c>
      <c r="AF112" s="15">
        <v>9.7987116126380305E-3</v>
      </c>
      <c r="AG112" s="15">
        <v>1.14024080888037E-2</v>
      </c>
      <c r="AI112" s="12"/>
      <c r="AJ112">
        <f t="shared" si="24"/>
        <v>0</v>
      </c>
      <c r="AK112">
        <f t="shared" si="25"/>
        <v>1</v>
      </c>
      <c r="AL112">
        <f t="shared" si="34"/>
        <v>0</v>
      </c>
      <c r="AM112">
        <f t="shared" si="26"/>
        <v>1</v>
      </c>
      <c r="AN112">
        <f t="shared" si="35"/>
        <v>0</v>
      </c>
      <c r="AO112" s="28">
        <f t="shared" si="27"/>
        <v>0</v>
      </c>
      <c r="AP112" s="28">
        <f t="shared" si="28"/>
        <v>0</v>
      </c>
      <c r="AQ112" s="28">
        <f t="shared" si="36"/>
        <v>0</v>
      </c>
      <c r="AR112" s="29">
        <f t="shared" si="37"/>
        <v>6.5753209996154988E-3</v>
      </c>
      <c r="AT112" s="12"/>
      <c r="AU112">
        <f t="shared" si="29"/>
        <v>1</v>
      </c>
      <c r="AV112">
        <f t="shared" si="30"/>
        <v>0</v>
      </c>
      <c r="AW112">
        <f t="shared" si="38"/>
        <v>1</v>
      </c>
      <c r="AX112">
        <f t="shared" si="31"/>
        <v>1</v>
      </c>
      <c r="AY112">
        <f t="shared" si="39"/>
        <v>1</v>
      </c>
      <c r="AZ112" s="28">
        <f t="shared" si="32"/>
        <v>0</v>
      </c>
      <c r="BA112" s="28">
        <f t="shared" si="33"/>
        <v>-1.4160965311928401E-3</v>
      </c>
      <c r="BB112" s="28">
        <f t="shared" si="40"/>
        <v>-1.4160965311928401E-3</v>
      </c>
      <c r="BC112" s="29">
        <f t="shared" si="41"/>
        <v>4.8563296808997541E-2</v>
      </c>
      <c r="BE112" s="29">
        <f t="shared" si="42"/>
        <v>-1.4160965311928401E-3</v>
      </c>
      <c r="BF112" s="29">
        <f t="shared" si="43"/>
        <v>5.5138617808613039E-2</v>
      </c>
      <c r="BH112" s="29"/>
    </row>
    <row r="113" spans="1:60" x14ac:dyDescent="0.25">
      <c r="A113" s="1">
        <v>46185</v>
      </c>
      <c r="B113" s="33">
        <v>22.66</v>
      </c>
      <c r="C113" s="33">
        <v>22.44</v>
      </c>
      <c r="D113" s="15">
        <v>5.8145350002961102E-2</v>
      </c>
      <c r="E113" s="15">
        <v>5.8259995507721797E-2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22.66</v>
      </c>
      <c r="M113" s="33">
        <v>22.44</v>
      </c>
      <c r="N113" s="34">
        <v>0.990291262135922</v>
      </c>
      <c r="O113" s="34">
        <v>1.0078468940038601</v>
      </c>
      <c r="P113" s="34">
        <v>0.99824300995728799</v>
      </c>
      <c r="Q113" s="34">
        <v>1.0001474906766801</v>
      </c>
      <c r="R113" s="33">
        <v>22.837810618127602</v>
      </c>
      <c r="S113" s="33">
        <v>22.636108822887401</v>
      </c>
      <c r="T113" s="33">
        <v>22.677376186170498</v>
      </c>
      <c r="U113" s="15">
        <v>1.75724421887784E-2</v>
      </c>
      <c r="V113" s="15">
        <v>8.7012861282480397E-3</v>
      </c>
      <c r="W113" s="15">
        <v>1.0522703072179901E-2</v>
      </c>
      <c r="X113" s="34">
        <v>0.990291262135922</v>
      </c>
      <c r="Y113" s="34">
        <v>1.0078468940038601</v>
      </c>
      <c r="Z113" s="34">
        <v>0.99824300995728799</v>
      </c>
      <c r="AA113" s="34">
        <v>1.0001474906766801</v>
      </c>
      <c r="AB113" s="33">
        <v>22.837810618127602</v>
      </c>
      <c r="AC113" s="33">
        <v>22.636108822887401</v>
      </c>
      <c r="AD113" s="33">
        <v>22.677376186170498</v>
      </c>
      <c r="AE113" s="15">
        <v>1.75724421887784E-2</v>
      </c>
      <c r="AF113" s="15">
        <v>8.7012861282480397E-3</v>
      </c>
      <c r="AG113" s="15">
        <v>1.0522703072179901E-2</v>
      </c>
      <c r="AI113" s="12"/>
      <c r="AJ113">
        <f t="shared" si="24"/>
        <v>0</v>
      </c>
      <c r="AK113">
        <f t="shared" si="25"/>
        <v>1</v>
      </c>
      <c r="AL113">
        <f t="shared" si="34"/>
        <v>0</v>
      </c>
      <c r="AM113">
        <f t="shared" si="26"/>
        <v>1</v>
      </c>
      <c r="AN113">
        <f t="shared" si="35"/>
        <v>0</v>
      </c>
      <c r="AO113" s="28">
        <f t="shared" si="27"/>
        <v>0</v>
      </c>
      <c r="AP113" s="28">
        <f t="shared" si="28"/>
        <v>0</v>
      </c>
      <c r="AQ113" s="28">
        <f t="shared" si="36"/>
        <v>0</v>
      </c>
      <c r="AR113" s="29">
        <f t="shared" si="37"/>
        <v>6.5753209996154988E-3</v>
      </c>
      <c r="AT113" s="12"/>
      <c r="AU113">
        <f t="shared" si="29"/>
        <v>1</v>
      </c>
      <c r="AV113">
        <f t="shared" si="30"/>
        <v>0</v>
      </c>
      <c r="AW113">
        <f t="shared" si="38"/>
        <v>1</v>
      </c>
      <c r="AX113">
        <f t="shared" si="31"/>
        <v>1</v>
      </c>
      <c r="AY113">
        <f t="shared" si="39"/>
        <v>1</v>
      </c>
      <c r="AZ113" s="28">
        <f t="shared" si="32"/>
        <v>-5.8145350002961102E-2</v>
      </c>
      <c r="BA113" s="28">
        <f t="shared" si="33"/>
        <v>5.8259995507721797E-2</v>
      </c>
      <c r="BB113" s="28">
        <f t="shared" si="40"/>
        <v>1.1464550476069507E-4</v>
      </c>
      <c r="BC113" s="29">
        <f t="shared" si="41"/>
        <v>4.8677942313758236E-2</v>
      </c>
      <c r="BE113" s="29">
        <f t="shared" si="42"/>
        <v>1.1464550476069507E-4</v>
      </c>
      <c r="BF113" s="29">
        <f t="shared" si="43"/>
        <v>5.5253263313373734E-2</v>
      </c>
      <c r="BH113" s="29"/>
    </row>
    <row r="114" spans="1:60" x14ac:dyDescent="0.25">
      <c r="A114" s="1">
        <v>46188</v>
      </c>
      <c r="B114" s="33">
        <v>21.62</v>
      </c>
      <c r="C114" s="33">
        <v>21.44</v>
      </c>
      <c r="D114" s="15">
        <v>-4.6982443388797999E-2</v>
      </c>
      <c r="E114" s="15">
        <v>-4.5586744451894298E-2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21.62</v>
      </c>
      <c r="M114" s="33">
        <v>21.44</v>
      </c>
      <c r="N114" s="34">
        <v>0.99167437557816795</v>
      </c>
      <c r="O114" s="34">
        <v>1.0078468940038601</v>
      </c>
      <c r="P114" s="34">
        <v>0.99736511659941995</v>
      </c>
      <c r="Q114" s="34">
        <v>0.999078002804761</v>
      </c>
      <c r="R114" s="33">
        <v>21.789649848363599</v>
      </c>
      <c r="S114" s="33">
        <v>21.582013875276498</v>
      </c>
      <c r="T114" s="33">
        <v>21.6231887484299</v>
      </c>
      <c r="U114" s="15">
        <v>1.6176743251874699E-2</v>
      </c>
      <c r="V114" s="15">
        <v>6.6019406484076198E-3</v>
      </c>
      <c r="W114" s="15">
        <v>8.5079558094651904E-3</v>
      </c>
      <c r="X114" s="34">
        <v>0.99167437557816795</v>
      </c>
      <c r="Y114" s="34">
        <v>1.0078468940038601</v>
      </c>
      <c r="Z114" s="34">
        <v>0.99736511659941995</v>
      </c>
      <c r="AA114" s="34">
        <v>0.999078002804761</v>
      </c>
      <c r="AB114" s="33">
        <v>21.789649848363599</v>
      </c>
      <c r="AC114" s="33">
        <v>21.582013875276498</v>
      </c>
      <c r="AD114" s="33">
        <v>21.6231887484299</v>
      </c>
      <c r="AE114" s="15">
        <v>1.6176743251874699E-2</v>
      </c>
      <c r="AF114" s="15">
        <v>6.6019406484076198E-3</v>
      </c>
      <c r="AG114" s="15">
        <v>8.5079558094651904E-3</v>
      </c>
      <c r="AI114" s="12"/>
      <c r="AJ114">
        <f t="shared" si="24"/>
        <v>0</v>
      </c>
      <c r="AK114">
        <f t="shared" si="25"/>
        <v>1</v>
      </c>
      <c r="AL114">
        <f t="shared" si="34"/>
        <v>0</v>
      </c>
      <c r="AM114">
        <f t="shared" si="26"/>
        <v>1</v>
      </c>
      <c r="AN114">
        <f t="shared" si="35"/>
        <v>0</v>
      </c>
      <c r="AO114" s="28">
        <f t="shared" si="27"/>
        <v>0</v>
      </c>
      <c r="AP114" s="28">
        <f t="shared" si="28"/>
        <v>0</v>
      </c>
      <c r="AQ114" s="28">
        <f t="shared" si="36"/>
        <v>0</v>
      </c>
      <c r="AR114" s="29">
        <f t="shared" si="37"/>
        <v>6.5753209996154988E-3</v>
      </c>
      <c r="AT114" s="12"/>
      <c r="AU114">
        <f t="shared" si="29"/>
        <v>0</v>
      </c>
      <c r="AV114">
        <f t="shared" si="30"/>
        <v>0</v>
      </c>
      <c r="AW114">
        <f t="shared" si="38"/>
        <v>1</v>
      </c>
      <c r="AX114">
        <f t="shared" si="31"/>
        <v>1</v>
      </c>
      <c r="AY114">
        <f t="shared" si="39"/>
        <v>1</v>
      </c>
      <c r="AZ114" s="28">
        <f t="shared" si="32"/>
        <v>4.6982443388797999E-2</v>
      </c>
      <c r="BA114" s="28">
        <f t="shared" si="33"/>
        <v>-4.5586744451894298E-2</v>
      </c>
      <c r="BB114" s="28">
        <f t="shared" si="40"/>
        <v>1.3956989369037012E-3</v>
      </c>
      <c r="BC114" s="29">
        <f t="shared" si="41"/>
        <v>5.0073641250661938E-2</v>
      </c>
      <c r="BE114" s="29">
        <f t="shared" si="42"/>
        <v>1.3956989369037012E-3</v>
      </c>
      <c r="BF114" s="29">
        <f t="shared" si="43"/>
        <v>5.6648962250277435E-2</v>
      </c>
      <c r="BH114" s="29"/>
    </row>
    <row r="115" spans="1:60" x14ac:dyDescent="0.25">
      <c r="A115" s="1">
        <v>46189</v>
      </c>
      <c r="B115" s="33">
        <v>21.23</v>
      </c>
      <c r="C115" s="33">
        <v>21.03</v>
      </c>
      <c r="D115" s="15">
        <v>-1.8203536495897499E-2</v>
      </c>
      <c r="E115" s="15">
        <v>-1.9308346487992799E-2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21.23</v>
      </c>
      <c r="M115" s="33">
        <v>21.03</v>
      </c>
      <c r="N115" s="34">
        <v>0.99057936881771003</v>
      </c>
      <c r="O115" s="34">
        <v>1.0078468940038601</v>
      </c>
      <c r="P115" s="34">
        <v>0.99651712685842597</v>
      </c>
      <c r="Q115" s="34">
        <v>0.99878179642047205</v>
      </c>
      <c r="R115" s="33">
        <v>21.3965895597021</v>
      </c>
      <c r="S115" s="33">
        <v>21.1740614254057</v>
      </c>
      <c r="T115" s="33">
        <v>21.210425999544999</v>
      </c>
      <c r="U115" s="15">
        <v>1.7281553243970099E-2</v>
      </c>
      <c r="V115" s="15">
        <v>6.8269251849779099E-3</v>
      </c>
      <c r="W115" s="15">
        <v>8.5428635044663501E-3</v>
      </c>
      <c r="X115" s="34">
        <v>0.99057936881771003</v>
      </c>
      <c r="Y115" s="34">
        <v>1.0078468940038601</v>
      </c>
      <c r="Z115" s="34">
        <v>0.99651712685842597</v>
      </c>
      <c r="AA115" s="34">
        <v>0.99878179642047205</v>
      </c>
      <c r="AB115" s="33">
        <v>21.3965895597021</v>
      </c>
      <c r="AC115" s="33">
        <v>21.1740614254057</v>
      </c>
      <c r="AD115" s="33">
        <v>21.210425999544999</v>
      </c>
      <c r="AE115" s="15">
        <v>1.7281553243970099E-2</v>
      </c>
      <c r="AF115" s="15">
        <v>6.8269251849779099E-3</v>
      </c>
      <c r="AG115" s="15">
        <v>8.5428635044663501E-3</v>
      </c>
      <c r="AI115" s="12"/>
      <c r="AJ115">
        <f t="shared" si="24"/>
        <v>0</v>
      </c>
      <c r="AK115">
        <f t="shared" si="25"/>
        <v>1</v>
      </c>
      <c r="AL115">
        <f t="shared" si="34"/>
        <v>0</v>
      </c>
      <c r="AM115">
        <f t="shared" si="26"/>
        <v>1</v>
      </c>
      <c r="AN115">
        <f t="shared" si="35"/>
        <v>0</v>
      </c>
      <c r="AO115" s="28">
        <f t="shared" si="27"/>
        <v>0</v>
      </c>
      <c r="AP115" s="28">
        <f t="shared" si="28"/>
        <v>0</v>
      </c>
      <c r="AQ115" s="28">
        <f t="shared" si="36"/>
        <v>0</v>
      </c>
      <c r="AR115" s="29">
        <f t="shared" si="37"/>
        <v>6.5753209996154988E-3</v>
      </c>
      <c r="AT115" s="12"/>
      <c r="AU115">
        <f t="shared" si="29"/>
        <v>0</v>
      </c>
      <c r="AV115">
        <f t="shared" si="30"/>
        <v>0</v>
      </c>
      <c r="AW115">
        <f t="shared" si="38"/>
        <v>1</v>
      </c>
      <c r="AX115">
        <f t="shared" si="31"/>
        <v>1</v>
      </c>
      <c r="AY115">
        <f t="shared" si="39"/>
        <v>1</v>
      </c>
      <c r="AZ115" s="28">
        <f t="shared" si="32"/>
        <v>1.8203536495897499E-2</v>
      </c>
      <c r="BA115" s="28">
        <f t="shared" si="33"/>
        <v>-1.9308346487992799E-2</v>
      </c>
      <c r="BB115" s="28">
        <f t="shared" si="40"/>
        <v>-1.1048099920953E-3</v>
      </c>
      <c r="BC115" s="29">
        <f t="shared" si="41"/>
        <v>4.8968831258566638E-2</v>
      </c>
      <c r="BE115" s="29">
        <f t="shared" si="42"/>
        <v>-1.1048099920953E-3</v>
      </c>
      <c r="BF115" s="29">
        <f t="shared" si="43"/>
        <v>5.5544152258182135E-2</v>
      </c>
      <c r="BH115" s="29"/>
    </row>
    <row r="116" spans="1:60" x14ac:dyDescent="0.25">
      <c r="A116" s="1">
        <v>46190</v>
      </c>
      <c r="B116" s="33">
        <v>20.3</v>
      </c>
      <c r="C116" s="33">
        <v>20.38</v>
      </c>
      <c r="D116" s="15">
        <v>-4.4794389667423003E-2</v>
      </c>
      <c r="E116" s="15">
        <v>-3.1395961920029698E-2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20.3</v>
      </c>
      <c r="M116" s="33">
        <v>20.38</v>
      </c>
      <c r="N116" s="34">
        <v>1.0039408866995001</v>
      </c>
      <c r="O116" s="34">
        <v>1.0078468940038601</v>
      </c>
      <c r="P116" s="34">
        <v>0.99715452453080999</v>
      </c>
      <c r="Q116" s="34">
        <v>0.99882098755892001</v>
      </c>
      <c r="R116" s="33">
        <v>20.459291948278501</v>
      </c>
      <c r="S116" s="33">
        <v>20.229297675226</v>
      </c>
      <c r="T116" s="33">
        <v>20.275270467335499</v>
      </c>
      <c r="U116" s="15">
        <v>3.8831254965768598E-3</v>
      </c>
      <c r="V116" s="15">
        <v>-7.4220942108479803E-3</v>
      </c>
      <c r="W116" s="15">
        <v>-5.1520879395091004E-3</v>
      </c>
      <c r="X116" s="34">
        <v>1.0039408866995001</v>
      </c>
      <c r="Y116" s="34">
        <v>1.0078468940038601</v>
      </c>
      <c r="Z116" s="34">
        <v>0.99715452453080999</v>
      </c>
      <c r="AA116" s="34">
        <v>0.99882098755892001</v>
      </c>
      <c r="AB116" s="33">
        <v>20.459291948278501</v>
      </c>
      <c r="AC116" s="33">
        <v>20.229297675226</v>
      </c>
      <c r="AD116" s="33">
        <v>20.275270467335499</v>
      </c>
      <c r="AE116" s="15">
        <v>3.8831254965768598E-3</v>
      </c>
      <c r="AF116" s="15">
        <v>-7.4220942108479803E-3</v>
      </c>
      <c r="AG116" s="15">
        <v>-5.1520879395091004E-3</v>
      </c>
      <c r="AI116" s="12"/>
      <c r="AJ116">
        <f t="shared" si="24"/>
        <v>0</v>
      </c>
      <c r="AK116">
        <f t="shared" si="25"/>
        <v>1</v>
      </c>
      <c r="AL116">
        <f t="shared" si="34"/>
        <v>0</v>
      </c>
      <c r="AM116">
        <f t="shared" si="26"/>
        <v>1</v>
      </c>
      <c r="AN116">
        <f t="shared" si="35"/>
        <v>0</v>
      </c>
      <c r="AO116" s="28">
        <f t="shared" si="27"/>
        <v>0</v>
      </c>
      <c r="AP116" s="28">
        <f t="shared" si="28"/>
        <v>0</v>
      </c>
      <c r="AQ116" s="28">
        <f t="shared" si="36"/>
        <v>0</v>
      </c>
      <c r="AR116" s="29">
        <f t="shared" si="37"/>
        <v>6.5753209996154988E-3</v>
      </c>
      <c r="AT116" s="12"/>
      <c r="AU116">
        <f t="shared" si="29"/>
        <v>0</v>
      </c>
      <c r="AV116">
        <f t="shared" si="30"/>
        <v>1</v>
      </c>
      <c r="AW116">
        <f t="shared" si="38"/>
        <v>1</v>
      </c>
      <c r="AX116">
        <f t="shared" si="31"/>
        <v>1</v>
      </c>
      <c r="AY116">
        <f t="shared" si="39"/>
        <v>1</v>
      </c>
      <c r="AZ116" s="28">
        <f t="shared" si="32"/>
        <v>4.4794389667423003E-2</v>
      </c>
      <c r="BA116" s="28">
        <f t="shared" si="33"/>
        <v>-3.1395961920029698E-2</v>
      </c>
      <c r="BB116" s="28">
        <f t="shared" si="40"/>
        <v>1.3398427747393304E-2</v>
      </c>
      <c r="BC116" s="29">
        <f t="shared" si="41"/>
        <v>6.2367259005959942E-2</v>
      </c>
      <c r="BE116" s="29">
        <f t="shared" si="42"/>
        <v>1.3398427747393304E-2</v>
      </c>
      <c r="BF116" s="29">
        <f t="shared" si="43"/>
        <v>6.8942580005575432E-2</v>
      </c>
      <c r="BH116" s="29"/>
    </row>
    <row r="117" spans="1:60" x14ac:dyDescent="0.25">
      <c r="A117" s="1">
        <v>46191</v>
      </c>
      <c r="B117" s="33">
        <v>20.420000000000002</v>
      </c>
      <c r="C117" s="33">
        <v>21.01</v>
      </c>
      <c r="D117" s="15">
        <v>5.8939266887777899E-3</v>
      </c>
      <c r="E117" s="15">
        <v>3.0444487062330401E-2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20.420000000000002</v>
      </c>
      <c r="M117" s="33">
        <v>21.01</v>
      </c>
      <c r="N117" s="34">
        <v>1.0288932419196799</v>
      </c>
      <c r="O117" s="34">
        <v>1.0078468940038601</v>
      </c>
      <c r="P117" s="34">
        <v>0.99975413360930698</v>
      </c>
      <c r="Q117" s="34">
        <v>1.0003659706821899</v>
      </c>
      <c r="R117" s="33">
        <v>20.580233575558999</v>
      </c>
      <c r="S117" s="33">
        <v>20.361895390919099</v>
      </c>
      <c r="T117" s="33">
        <v>20.395924565953099</v>
      </c>
      <c r="U117" s="15">
        <v>-2.0667434876975602E-2</v>
      </c>
      <c r="V117" s="15">
        <v>-3.1333233651011802E-2</v>
      </c>
      <c r="W117" s="15">
        <v>-2.96634101434241E-2</v>
      </c>
      <c r="X117" s="34">
        <v>1.0288932419196799</v>
      </c>
      <c r="Y117" s="34">
        <v>1.0078468940038601</v>
      </c>
      <c r="Z117" s="34">
        <v>0.99975413360930698</v>
      </c>
      <c r="AA117" s="34">
        <v>1.0003659706821899</v>
      </c>
      <c r="AB117" s="33">
        <v>20.580233575558999</v>
      </c>
      <c r="AC117" s="33">
        <v>20.361895390919099</v>
      </c>
      <c r="AD117" s="33">
        <v>20.395924565953099</v>
      </c>
      <c r="AE117" s="15">
        <v>-2.0667434876975602E-2</v>
      </c>
      <c r="AF117" s="15">
        <v>-3.1333233651011802E-2</v>
      </c>
      <c r="AG117" s="15">
        <v>-2.96634101434241E-2</v>
      </c>
      <c r="AI117" s="12"/>
      <c r="AJ117">
        <f t="shared" si="24"/>
        <v>1</v>
      </c>
      <c r="AK117">
        <f t="shared" si="25"/>
        <v>0</v>
      </c>
      <c r="AL117">
        <f t="shared" si="34"/>
        <v>0</v>
      </c>
      <c r="AM117">
        <f t="shared" si="26"/>
        <v>1</v>
      </c>
      <c r="AN117">
        <f t="shared" si="35"/>
        <v>0</v>
      </c>
      <c r="AO117" s="28">
        <f t="shared" si="27"/>
        <v>0</v>
      </c>
      <c r="AP117" s="28">
        <f t="shared" si="28"/>
        <v>0</v>
      </c>
      <c r="AQ117" s="28">
        <f t="shared" si="36"/>
        <v>0</v>
      </c>
      <c r="AR117" s="29">
        <f t="shared" si="37"/>
        <v>6.5753209996154988E-3</v>
      </c>
      <c r="AT117" s="12"/>
      <c r="AU117">
        <f t="shared" si="29"/>
        <v>0</v>
      </c>
      <c r="AV117">
        <f t="shared" si="30"/>
        <v>1</v>
      </c>
      <c r="AW117">
        <f t="shared" si="38"/>
        <v>0</v>
      </c>
      <c r="AX117">
        <f t="shared" si="31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6.2367259005959942E-2</v>
      </c>
      <c r="BE117" s="29">
        <f t="shared" si="42"/>
        <v>0</v>
      </c>
      <c r="BF117" s="29">
        <f t="shared" si="43"/>
        <v>6.8942580005575432E-2</v>
      </c>
      <c r="BH117" s="29"/>
    </row>
    <row r="118" spans="1:60" x14ac:dyDescent="0.25">
      <c r="A118" s="1">
        <v>46195</v>
      </c>
      <c r="B118" s="33">
        <v>20.14</v>
      </c>
      <c r="C118" s="33">
        <v>20.77</v>
      </c>
      <c r="D118" s="15">
        <v>-1.38069254461033E-2</v>
      </c>
      <c r="E118" s="15">
        <v>-1.14888769688881E-2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20.14</v>
      </c>
      <c r="M118" s="33">
        <v>20.77</v>
      </c>
      <c r="N118" s="34">
        <v>1.0312810327705999</v>
      </c>
      <c r="O118" s="34">
        <v>1.0078468940038601</v>
      </c>
      <c r="P118" s="34">
        <v>1.0023256506154901</v>
      </c>
      <c r="Q118" s="34">
        <v>1.00185250294087</v>
      </c>
      <c r="R118" s="33">
        <v>20.298036445237901</v>
      </c>
      <c r="S118" s="33">
        <v>20.135048250891401</v>
      </c>
      <c r="T118" s="33">
        <v>20.147370649539301</v>
      </c>
      <c r="U118" s="15">
        <v>-2.2985483354190699E-2</v>
      </c>
      <c r="V118" s="15">
        <v>-3.1047647218393801E-2</v>
      </c>
      <c r="W118" s="15">
        <v>-3.0435846866348201E-2</v>
      </c>
      <c r="X118" s="34">
        <v>1.0312810327705999</v>
      </c>
      <c r="Y118" s="34">
        <v>1.0078468940038601</v>
      </c>
      <c r="Z118" s="34">
        <v>1.0023256506154901</v>
      </c>
      <c r="AA118" s="34">
        <v>1.00185250294087</v>
      </c>
      <c r="AB118" s="33">
        <v>20.298036445237901</v>
      </c>
      <c r="AC118" s="33">
        <v>20.135048250891401</v>
      </c>
      <c r="AD118" s="33">
        <v>20.147370649539301</v>
      </c>
      <c r="AE118" s="15">
        <v>-2.2985483354190699E-2</v>
      </c>
      <c r="AF118" s="15">
        <v>-3.1047647218393801E-2</v>
      </c>
      <c r="AG118" s="15">
        <v>-3.0435846866348201E-2</v>
      </c>
      <c r="AI118" s="12"/>
      <c r="AJ118">
        <f t="shared" si="24"/>
        <v>1</v>
      </c>
      <c r="AK118">
        <f t="shared" si="25"/>
        <v>0</v>
      </c>
      <c r="AL118">
        <f t="shared" si="34"/>
        <v>1</v>
      </c>
      <c r="AM118">
        <f t="shared" si="26"/>
        <v>1</v>
      </c>
      <c r="AN118">
        <f t="shared" si="35"/>
        <v>1</v>
      </c>
      <c r="AO118" s="28">
        <f t="shared" si="27"/>
        <v>-1.38069254461033E-2</v>
      </c>
      <c r="AP118" s="28">
        <f t="shared" si="28"/>
        <v>1.14888769688881E-2</v>
      </c>
      <c r="AQ118" s="28">
        <f t="shared" si="36"/>
        <v>-2.3180484772151993E-3</v>
      </c>
      <c r="AR118" s="29">
        <f t="shared" si="37"/>
        <v>4.2572725224002995E-3</v>
      </c>
      <c r="AT118" s="12"/>
      <c r="AU118">
        <f t="shared" si="29"/>
        <v>0</v>
      </c>
      <c r="AV118">
        <f t="shared" si="30"/>
        <v>1</v>
      </c>
      <c r="AW118">
        <f t="shared" si="38"/>
        <v>0</v>
      </c>
      <c r="AX118">
        <f t="shared" si="31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6.2367259005959942E-2</v>
      </c>
      <c r="BE118" s="29">
        <f t="shared" si="42"/>
        <v>-2.3180484772151993E-3</v>
      </c>
      <c r="BF118" s="29">
        <f t="shared" si="43"/>
        <v>6.6624531528360231E-2</v>
      </c>
      <c r="BH118" s="29"/>
    </row>
    <row r="119" spans="1:60" x14ac:dyDescent="0.25">
      <c r="A119" s="1">
        <v>46196</v>
      </c>
      <c r="B119" s="33">
        <v>20.29</v>
      </c>
      <c r="C119" s="33">
        <v>20.48</v>
      </c>
      <c r="D119" s="15">
        <v>7.4202665473070001E-3</v>
      </c>
      <c r="E119" s="15">
        <v>-1.4060837716713801E-2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20.29</v>
      </c>
      <c r="M119" s="33">
        <v>20.48</v>
      </c>
      <c r="N119" s="34">
        <v>1.009364218827</v>
      </c>
      <c r="O119" s="34">
        <v>1.0078468940038601</v>
      </c>
      <c r="P119" s="34">
        <v>1.00331021886314</v>
      </c>
      <c r="Q119" s="34">
        <v>1.0023006898533899</v>
      </c>
      <c r="R119" s="33">
        <v>20.4492134793385</v>
      </c>
      <c r="S119" s="33">
        <v>20.337187450988399</v>
      </c>
      <c r="T119" s="33">
        <v>20.3275872846704</v>
      </c>
      <c r="U119" s="15">
        <v>-1.50437909016995E-3</v>
      </c>
      <c r="V119" s="15">
        <v>-6.9976958579031703E-3</v>
      </c>
      <c r="W119" s="15">
        <v>-7.4698571600995203E-3</v>
      </c>
      <c r="X119" s="34">
        <v>1.009364218827</v>
      </c>
      <c r="Y119" s="34">
        <v>1.0078468940038601</v>
      </c>
      <c r="Z119" s="34">
        <v>1.00331021886314</v>
      </c>
      <c r="AA119" s="34">
        <v>1.0023006898533899</v>
      </c>
      <c r="AB119" s="33">
        <v>20.4492134793385</v>
      </c>
      <c r="AC119" s="33">
        <v>20.337187450988399</v>
      </c>
      <c r="AD119" s="33">
        <v>20.3275872846704</v>
      </c>
      <c r="AE119" s="15">
        <v>-1.50437909016995E-3</v>
      </c>
      <c r="AF119" s="15">
        <v>-6.9976958579031703E-3</v>
      </c>
      <c r="AG119" s="15">
        <v>-7.4698571600995203E-3</v>
      </c>
      <c r="AI119" s="12"/>
      <c r="AJ119">
        <f t="shared" si="24"/>
        <v>0</v>
      </c>
      <c r="AK119">
        <f t="shared" si="25"/>
        <v>1</v>
      </c>
      <c r="AL119">
        <f t="shared" si="34"/>
        <v>1</v>
      </c>
      <c r="AM119">
        <f t="shared" si="26"/>
        <v>1</v>
      </c>
      <c r="AN119">
        <f t="shared" si="35"/>
        <v>1</v>
      </c>
      <c r="AO119" s="28">
        <f t="shared" si="27"/>
        <v>7.4202665473070001E-3</v>
      </c>
      <c r="AP119" s="28">
        <f t="shared" si="28"/>
        <v>1.4060837716713801E-2</v>
      </c>
      <c r="AQ119" s="28">
        <f t="shared" si="36"/>
        <v>2.1481104264020799E-2</v>
      </c>
      <c r="AR119" s="29">
        <f t="shared" si="37"/>
        <v>2.5738376786421099E-2</v>
      </c>
      <c r="AT119" s="12"/>
      <c r="AU119">
        <f t="shared" si="29"/>
        <v>0</v>
      </c>
      <c r="AV119">
        <f t="shared" si="30"/>
        <v>1</v>
      </c>
      <c r="AW119">
        <f t="shared" si="38"/>
        <v>0</v>
      </c>
      <c r="AX119">
        <f t="shared" si="31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6.2367259005959942E-2</v>
      </c>
      <c r="BE119" s="29">
        <f t="shared" si="42"/>
        <v>2.1481104264020799E-2</v>
      </c>
      <c r="BF119" s="29">
        <f t="shared" si="43"/>
        <v>8.8105635792381037E-2</v>
      </c>
      <c r="BH119" s="29"/>
    </row>
    <row r="120" spans="1:60" x14ac:dyDescent="0.25">
      <c r="A120" s="1">
        <v>46197</v>
      </c>
      <c r="B120" s="33">
        <v>20.149999999999999</v>
      </c>
      <c r="C120" s="33">
        <v>20.52</v>
      </c>
      <c r="D120" s="15">
        <v>-6.9238654450314097E-3</v>
      </c>
      <c r="E120" s="15">
        <v>1.95122013126174E-3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20.149999999999999</v>
      </c>
      <c r="M120" s="33">
        <v>20.52</v>
      </c>
      <c r="N120" s="34">
        <v>1.01836228287841</v>
      </c>
      <c r="O120" s="34">
        <v>1.0078468940038601</v>
      </c>
      <c r="P120" s="34">
        <v>1.0046145322573701</v>
      </c>
      <c r="Q120" s="34">
        <v>1.00328220213763</v>
      </c>
      <c r="R120" s="33">
        <v>20.308114914177899</v>
      </c>
      <c r="S120" s="33">
        <v>20.2167009100923</v>
      </c>
      <c r="T120" s="33">
        <v>20.1963589005458</v>
      </c>
      <c r="U120" s="15">
        <v>-1.03794646664629E-2</v>
      </c>
      <c r="V120" s="15">
        <v>-1.48909797605014E-2</v>
      </c>
      <c r="W120" s="15">
        <v>-1.5897684591058499E-2</v>
      </c>
      <c r="X120" s="34">
        <v>1.01836228287841</v>
      </c>
      <c r="Y120" s="34">
        <v>1.0078468940038601</v>
      </c>
      <c r="Z120" s="34">
        <v>1.0046145322573701</v>
      </c>
      <c r="AA120" s="34">
        <v>1.00328220213763</v>
      </c>
      <c r="AB120" s="33">
        <v>20.308114914177899</v>
      </c>
      <c r="AC120" s="33">
        <v>20.2167009100923</v>
      </c>
      <c r="AD120" s="33">
        <v>20.1963589005458</v>
      </c>
      <c r="AE120" s="15">
        <v>-1.03794646664629E-2</v>
      </c>
      <c r="AF120" s="15">
        <v>-1.48909797605014E-2</v>
      </c>
      <c r="AG120" s="15">
        <v>-1.5897684591058499E-2</v>
      </c>
      <c r="AI120" s="12"/>
      <c r="AJ120">
        <f t="shared" si="24"/>
        <v>0</v>
      </c>
      <c r="AK120">
        <f t="shared" si="25"/>
        <v>0</v>
      </c>
      <c r="AL120">
        <f t="shared" si="34"/>
        <v>0</v>
      </c>
      <c r="AM120">
        <f t="shared" si="26"/>
        <v>1</v>
      </c>
      <c r="AN120">
        <f t="shared" si="35"/>
        <v>0</v>
      </c>
      <c r="AO120" s="28">
        <f t="shared" si="27"/>
        <v>0</v>
      </c>
      <c r="AP120" s="28">
        <f t="shared" si="28"/>
        <v>0</v>
      </c>
      <c r="AQ120" s="28">
        <f t="shared" si="36"/>
        <v>0</v>
      </c>
      <c r="AR120" s="29">
        <f t="shared" si="37"/>
        <v>2.5738376786421099E-2</v>
      </c>
      <c r="AT120" s="12"/>
      <c r="AU120">
        <f t="shared" si="29"/>
        <v>0</v>
      </c>
      <c r="AV120">
        <f t="shared" si="30"/>
        <v>1</v>
      </c>
      <c r="AW120">
        <f t="shared" si="38"/>
        <v>0</v>
      </c>
      <c r="AX120">
        <f t="shared" si="31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6.2367259005959942E-2</v>
      </c>
      <c r="BE120" s="29">
        <f t="shared" si="42"/>
        <v>0</v>
      </c>
      <c r="BF120" s="29">
        <f t="shared" si="43"/>
        <v>8.8105635792381037E-2</v>
      </c>
      <c r="BH120" s="29"/>
    </row>
    <row r="121" spans="1:60" x14ac:dyDescent="0.25">
      <c r="A121" s="1">
        <v>46198</v>
      </c>
      <c r="B121" s="33">
        <v>19.86</v>
      </c>
      <c r="C121" s="33">
        <v>20.420000000000002</v>
      </c>
      <c r="D121" s="15">
        <v>-1.44966297756654E-2</v>
      </c>
      <c r="E121" s="15">
        <v>-4.8852075660491996E-3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19.86</v>
      </c>
      <c r="M121" s="33">
        <v>20.420000000000002</v>
      </c>
      <c r="N121" s="34">
        <v>1.0281973816717001</v>
      </c>
      <c r="O121" s="34">
        <v>1.0078468940038601</v>
      </c>
      <c r="P121" s="34">
        <v>1.00827617875007</v>
      </c>
      <c r="Q121" s="34">
        <v>1.0041020362561801</v>
      </c>
      <c r="R121" s="33">
        <v>20.0158393149168</v>
      </c>
      <c r="S121" s="33">
        <v>19.951644610631298</v>
      </c>
      <c r="T121" s="33">
        <v>19.9251845344534</v>
      </c>
      <c r="U121" s="15">
        <v>-1.9990886876079202E-2</v>
      </c>
      <c r="V121" s="15">
        <v>-2.32032361752323E-2</v>
      </c>
      <c r="W121" s="15">
        <v>-2.45303266500068E-2</v>
      </c>
      <c r="X121" s="34">
        <v>1.0281973816717001</v>
      </c>
      <c r="Y121" s="34">
        <v>1.0078468940038601</v>
      </c>
      <c r="Z121" s="34">
        <v>1.00827617875007</v>
      </c>
      <c r="AA121" s="34">
        <v>1.0041020362561801</v>
      </c>
      <c r="AB121" s="33">
        <v>20.0158393149168</v>
      </c>
      <c r="AC121" s="33">
        <v>19.951644610631298</v>
      </c>
      <c r="AD121" s="33">
        <v>19.9251845344534</v>
      </c>
      <c r="AE121" s="15">
        <v>-1.9990886876079202E-2</v>
      </c>
      <c r="AF121" s="15">
        <v>-2.32032361752323E-2</v>
      </c>
      <c r="AG121" s="15">
        <v>-2.45303266500068E-2</v>
      </c>
      <c r="AI121" s="12"/>
      <c r="AJ121">
        <f t="shared" si="24"/>
        <v>1</v>
      </c>
      <c r="AK121">
        <f t="shared" si="25"/>
        <v>0</v>
      </c>
      <c r="AL121">
        <f t="shared" si="34"/>
        <v>0</v>
      </c>
      <c r="AM121">
        <f t="shared" si="26"/>
        <v>1</v>
      </c>
      <c r="AN121">
        <f t="shared" si="35"/>
        <v>0</v>
      </c>
      <c r="AO121" s="28">
        <f t="shared" si="27"/>
        <v>0</v>
      </c>
      <c r="AP121" s="28">
        <f t="shared" si="28"/>
        <v>0</v>
      </c>
      <c r="AQ121" s="28">
        <f t="shared" si="36"/>
        <v>0</v>
      </c>
      <c r="AR121" s="29">
        <f t="shared" si="37"/>
        <v>2.5738376786421099E-2</v>
      </c>
      <c r="AT121" s="12"/>
      <c r="AU121">
        <f t="shared" si="29"/>
        <v>0</v>
      </c>
      <c r="AV121">
        <f t="shared" si="30"/>
        <v>1</v>
      </c>
      <c r="AW121">
        <f t="shared" si="38"/>
        <v>0</v>
      </c>
      <c r="AX121">
        <f t="shared" si="31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6.2367259005959942E-2</v>
      </c>
      <c r="BE121" s="29">
        <f t="shared" si="42"/>
        <v>0</v>
      </c>
      <c r="BF121" s="29">
        <f t="shared" si="43"/>
        <v>8.8105635792381037E-2</v>
      </c>
      <c r="BH121" s="29"/>
    </row>
    <row r="122" spans="1:60" x14ac:dyDescent="0.25">
      <c r="A122" s="1">
        <v>46199</v>
      </c>
      <c r="B122" s="33">
        <v>21.12</v>
      </c>
      <c r="C122" s="33">
        <v>22.9</v>
      </c>
      <c r="D122" s="15">
        <v>6.1512800221034197E-2</v>
      </c>
      <c r="E122" s="15">
        <v>0.114622097823674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21.12</v>
      </c>
      <c r="M122" s="33">
        <v>22.9</v>
      </c>
      <c r="N122" s="34">
        <v>1.0842803030303001</v>
      </c>
      <c r="O122" s="34">
        <v>1.0078468940038601</v>
      </c>
      <c r="P122" s="34">
        <v>1.0176864354329</v>
      </c>
      <c r="Q122" s="34">
        <v>1.0083160514077001</v>
      </c>
      <c r="R122" s="33">
        <v>21.2857264013617</v>
      </c>
      <c r="S122" s="33">
        <v>21.294792895201599</v>
      </c>
      <c r="T122" s="33">
        <v>21.2066350057306</v>
      </c>
      <c r="U122" s="15">
        <v>-7.3100184478719299E-2</v>
      </c>
      <c r="V122" s="15">
        <v>-7.26743327452639E-2</v>
      </c>
      <c r="W122" s="15">
        <v>-7.6822805879311104E-2</v>
      </c>
      <c r="X122" s="34">
        <v>1.0842803030303001</v>
      </c>
      <c r="Y122" s="34">
        <v>1.0078468940038601</v>
      </c>
      <c r="Z122" s="34">
        <v>1.0176864354329</v>
      </c>
      <c r="AA122" s="34">
        <v>1.0083160514077001</v>
      </c>
      <c r="AB122" s="33">
        <v>21.2857264013617</v>
      </c>
      <c r="AC122" s="33">
        <v>21.294792895201599</v>
      </c>
      <c r="AD122" s="33">
        <v>21.2066350057306</v>
      </c>
      <c r="AE122" s="15">
        <v>-7.3100184478719299E-2</v>
      </c>
      <c r="AF122" s="15">
        <v>-7.26743327452639E-2</v>
      </c>
      <c r="AG122" s="15">
        <v>-7.6822805879311104E-2</v>
      </c>
      <c r="AI122" s="12"/>
      <c r="AJ122">
        <f t="shared" si="24"/>
        <v>1</v>
      </c>
      <c r="AK122">
        <f t="shared" si="25"/>
        <v>0</v>
      </c>
      <c r="AL122">
        <f t="shared" si="34"/>
        <v>1</v>
      </c>
      <c r="AM122">
        <f t="shared" si="26"/>
        <v>1</v>
      </c>
      <c r="AN122">
        <f t="shared" si="35"/>
        <v>1</v>
      </c>
      <c r="AO122" s="28">
        <f t="shared" si="27"/>
        <v>6.1512800221034197E-2</v>
      </c>
      <c r="AP122" s="28">
        <f t="shared" si="28"/>
        <v>-0.114622097823674</v>
      </c>
      <c r="AQ122" s="28">
        <f t="shared" si="36"/>
        <v>-5.3109297602639799E-2</v>
      </c>
      <c r="AR122" s="29">
        <f t="shared" si="37"/>
        <v>-2.73709208162187E-2</v>
      </c>
      <c r="AT122" s="12"/>
      <c r="AU122">
        <f t="shared" si="29"/>
        <v>0</v>
      </c>
      <c r="AV122">
        <f t="shared" si="30"/>
        <v>1</v>
      </c>
      <c r="AW122">
        <f t="shared" si="38"/>
        <v>0</v>
      </c>
      <c r="AX122">
        <f t="shared" si="31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6.2367259005959942E-2</v>
      </c>
      <c r="BE122" s="29">
        <f t="shared" si="42"/>
        <v>-5.3109297602639799E-2</v>
      </c>
      <c r="BF122" s="29">
        <f t="shared" si="43"/>
        <v>3.4996338189741238E-2</v>
      </c>
      <c r="BH122" s="29"/>
    </row>
    <row r="123" spans="1:60" x14ac:dyDescent="0.25">
      <c r="A123" s="1">
        <v>46202</v>
      </c>
      <c r="B123" s="33">
        <v>21.31</v>
      </c>
      <c r="C123" s="33">
        <v>21.91</v>
      </c>
      <c r="D123" s="15">
        <v>8.95598727246486E-3</v>
      </c>
      <c r="E123" s="15">
        <v>-4.41937569528187E-2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21.31</v>
      </c>
      <c r="M123" s="33">
        <v>21.91</v>
      </c>
      <c r="N123" s="34">
        <v>1.0281557954012199</v>
      </c>
      <c r="O123" s="34">
        <v>1.0078468940038601</v>
      </c>
      <c r="P123" s="34">
        <v>1.02147288875943</v>
      </c>
      <c r="Q123" s="34">
        <v>1.0098579493583599</v>
      </c>
      <c r="R123" s="33">
        <v>21.4772173112224</v>
      </c>
      <c r="S123" s="33">
        <v>21.686897939075099</v>
      </c>
      <c r="T123" s="33">
        <v>21.487215055498002</v>
      </c>
      <c r="U123" s="15">
        <v>-1.9950440253435599E-2</v>
      </c>
      <c r="V123" s="15">
        <v>-1.0234857019920199E-2</v>
      </c>
      <c r="W123" s="15">
        <v>-1.9485043928831498E-2</v>
      </c>
      <c r="X123" s="34">
        <v>1.0281557954012199</v>
      </c>
      <c r="Y123" s="34">
        <v>1.0078468940038601</v>
      </c>
      <c r="Z123" s="34">
        <v>1.02147288875943</v>
      </c>
      <c r="AA123" s="34">
        <v>1.0098579493583599</v>
      </c>
      <c r="AB123" s="33">
        <v>21.4772173112224</v>
      </c>
      <c r="AC123" s="33">
        <v>21.686897939075099</v>
      </c>
      <c r="AD123" s="33">
        <v>21.487215055498002</v>
      </c>
      <c r="AE123" s="15">
        <v>-1.9950440253435599E-2</v>
      </c>
      <c r="AF123" s="15">
        <v>-1.0234857019920199E-2</v>
      </c>
      <c r="AG123" s="15">
        <v>-1.9485043928831498E-2</v>
      </c>
      <c r="AI123" s="12"/>
      <c r="AJ123">
        <f t="shared" si="24"/>
        <v>0</v>
      </c>
      <c r="AK123">
        <f t="shared" si="25"/>
        <v>0</v>
      </c>
      <c r="AL123">
        <f t="shared" si="34"/>
        <v>1</v>
      </c>
      <c r="AM123">
        <f t="shared" si="26"/>
        <v>1</v>
      </c>
      <c r="AN123">
        <f t="shared" si="35"/>
        <v>1</v>
      </c>
      <c r="AO123" s="28">
        <f t="shared" si="27"/>
        <v>8.95598727246486E-3</v>
      </c>
      <c r="AP123" s="28">
        <f t="shared" si="28"/>
        <v>4.41937569528187E-2</v>
      </c>
      <c r="AQ123" s="28">
        <f t="shared" si="36"/>
        <v>5.3149744225283561E-2</v>
      </c>
      <c r="AR123" s="29">
        <f t="shared" si="37"/>
        <v>2.5778823409064861E-2</v>
      </c>
      <c r="AT123" s="12"/>
      <c r="AU123">
        <f t="shared" si="29"/>
        <v>0</v>
      </c>
      <c r="AV123">
        <f t="shared" si="30"/>
        <v>1</v>
      </c>
      <c r="AW123">
        <f t="shared" si="38"/>
        <v>0</v>
      </c>
      <c r="AX123">
        <f t="shared" si="31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6.2367259005959942E-2</v>
      </c>
      <c r="BE123" s="29">
        <f t="shared" si="42"/>
        <v>5.3149744225283561E-2</v>
      </c>
      <c r="BF123" s="29">
        <f t="shared" si="43"/>
        <v>8.8146082415024807E-2</v>
      </c>
      <c r="BH123" s="29"/>
    </row>
    <row r="124" spans="1:60" x14ac:dyDescent="0.25">
      <c r="A124" s="1">
        <v>46203</v>
      </c>
      <c r="B124" s="33">
        <v>21.56</v>
      </c>
      <c r="C124" s="33">
        <v>21.9</v>
      </c>
      <c r="D124" s="15">
        <v>1.16632999302706E-2</v>
      </c>
      <c r="E124" s="15">
        <v>-4.5651678492003898E-4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21.56</v>
      </c>
      <c r="M124" s="33">
        <v>21.9</v>
      </c>
      <c r="N124" s="34">
        <v>1.0157699443413699</v>
      </c>
      <c r="O124" s="34">
        <v>1.0078468940038601</v>
      </c>
      <c r="P124" s="34">
        <v>1.02388244563575</v>
      </c>
      <c r="Q124" s="34">
        <v>1.01062378111758</v>
      </c>
      <c r="R124" s="33">
        <v>21.729179034723401</v>
      </c>
      <c r="S124" s="33">
        <v>22.022955481653302</v>
      </c>
      <c r="T124" s="33">
        <v>21.772537388166199</v>
      </c>
      <c r="U124" s="15">
        <v>-7.8306235382448897E-3</v>
      </c>
      <c r="V124" s="15">
        <v>5.5987035243768198E-3</v>
      </c>
      <c r="W124" s="15">
        <v>-5.83721401945652E-3</v>
      </c>
      <c r="X124" s="34">
        <v>1.0157699443413699</v>
      </c>
      <c r="Y124" s="34">
        <v>1.0078468940038601</v>
      </c>
      <c r="Z124" s="34">
        <v>1.02388244563575</v>
      </c>
      <c r="AA124" s="34">
        <v>1.01062378111758</v>
      </c>
      <c r="AB124" s="33">
        <v>21.729179034723401</v>
      </c>
      <c r="AC124" s="33">
        <v>22.022955481653302</v>
      </c>
      <c r="AD124" s="33">
        <v>21.772537388166199</v>
      </c>
      <c r="AE124" s="15">
        <v>-7.8306235382448897E-3</v>
      </c>
      <c r="AF124" s="15">
        <v>5.5987035243768198E-3</v>
      </c>
      <c r="AG124" s="15">
        <v>-5.83721401945652E-3</v>
      </c>
      <c r="AI124" s="12"/>
      <c r="AJ124">
        <f t="shared" si="24"/>
        <v>0</v>
      </c>
      <c r="AK124">
        <f t="shared" si="25"/>
        <v>1</v>
      </c>
      <c r="AL124">
        <f t="shared" si="34"/>
        <v>1</v>
      </c>
      <c r="AM124">
        <f t="shared" si="26"/>
        <v>1</v>
      </c>
      <c r="AN124">
        <f t="shared" si="35"/>
        <v>1</v>
      </c>
      <c r="AO124" s="28">
        <f t="shared" si="27"/>
        <v>1.16632999302706E-2</v>
      </c>
      <c r="AP124" s="28">
        <f t="shared" si="28"/>
        <v>4.5651678492003898E-4</v>
      </c>
      <c r="AQ124" s="28">
        <f t="shared" si="36"/>
        <v>1.211981671519064E-2</v>
      </c>
      <c r="AR124" s="29">
        <f t="shared" si="37"/>
        <v>3.7898640124255499E-2</v>
      </c>
      <c r="AT124" s="12"/>
      <c r="AU124">
        <f t="shared" si="29"/>
        <v>0</v>
      </c>
      <c r="AV124">
        <f t="shared" si="30"/>
        <v>1</v>
      </c>
      <c r="AW124">
        <f t="shared" si="38"/>
        <v>0</v>
      </c>
      <c r="AX124">
        <f t="shared" si="31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6.2367259005959942E-2</v>
      </c>
      <c r="BE124" s="29">
        <f t="shared" si="42"/>
        <v>1.211981671519064E-2</v>
      </c>
      <c r="BF124" s="29">
        <f t="shared" si="43"/>
        <v>0.10026589913021544</v>
      </c>
      <c r="BH124" s="29"/>
    </row>
    <row r="125" spans="1:60" x14ac:dyDescent="0.25">
      <c r="A125" s="1">
        <v>46204</v>
      </c>
      <c r="B125" s="33">
        <v>21.85</v>
      </c>
      <c r="C125" s="33">
        <v>22.12</v>
      </c>
      <c r="D125" s="15">
        <v>1.33611755008029E-2</v>
      </c>
      <c r="E125" s="15">
        <v>9.9955398316790497E-3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21.85</v>
      </c>
      <c r="M125" s="33">
        <v>22.12</v>
      </c>
      <c r="N125" s="34">
        <v>1.01235697940503</v>
      </c>
      <c r="O125" s="34">
        <v>1.0078468940038601</v>
      </c>
      <c r="P125" s="34">
        <v>1.0260602066944799</v>
      </c>
      <c r="Q125" s="34">
        <v>1.01128866677645</v>
      </c>
      <c r="R125" s="33">
        <v>22.021454633984501</v>
      </c>
      <c r="S125" s="33">
        <v>22.3718314371412</v>
      </c>
      <c r="T125" s="33">
        <v>22.082129617419199</v>
      </c>
      <c r="U125" s="15">
        <v>-4.4649878691210704E-3</v>
      </c>
      <c r="V125" s="15">
        <v>1.1320465731015399E-2</v>
      </c>
      <c r="W125" s="15">
        <v>-1.71350983196924E-3</v>
      </c>
      <c r="X125" s="34">
        <v>1.01235697940503</v>
      </c>
      <c r="Y125" s="34">
        <v>1.0078468940038601</v>
      </c>
      <c r="Z125" s="34">
        <v>1.0260602066944799</v>
      </c>
      <c r="AA125" s="34">
        <v>1.01128866677645</v>
      </c>
      <c r="AB125" s="33">
        <v>22.021454633984501</v>
      </c>
      <c r="AC125" s="33">
        <v>22.3718314371412</v>
      </c>
      <c r="AD125" s="33">
        <v>22.082129617419199</v>
      </c>
      <c r="AE125" s="15">
        <v>-4.4649878691210704E-3</v>
      </c>
      <c r="AF125" s="15">
        <v>1.1320465731015399E-2</v>
      </c>
      <c r="AG125" s="15">
        <v>-1.71350983196924E-3</v>
      </c>
      <c r="AI125" s="12"/>
      <c r="AJ125">
        <f t="shared" si="24"/>
        <v>0</v>
      </c>
      <c r="AK125">
        <f t="shared" si="25"/>
        <v>1</v>
      </c>
      <c r="AL125">
        <f t="shared" si="34"/>
        <v>0</v>
      </c>
      <c r="AM125">
        <f t="shared" si="26"/>
        <v>1</v>
      </c>
      <c r="AN125">
        <f t="shared" si="35"/>
        <v>0</v>
      </c>
      <c r="AO125" s="28">
        <f t="shared" si="27"/>
        <v>0</v>
      </c>
      <c r="AP125" s="28">
        <f t="shared" si="28"/>
        <v>0</v>
      </c>
      <c r="AQ125" s="28">
        <f t="shared" si="36"/>
        <v>0</v>
      </c>
      <c r="AR125" s="29">
        <f t="shared" si="37"/>
        <v>3.7898640124255499E-2</v>
      </c>
      <c r="AT125" s="12"/>
      <c r="AU125">
        <f t="shared" si="29"/>
        <v>0</v>
      </c>
      <c r="AV125">
        <f t="shared" si="30"/>
        <v>1</v>
      </c>
      <c r="AW125">
        <f t="shared" si="38"/>
        <v>0</v>
      </c>
      <c r="AX125">
        <f t="shared" si="31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6.2367259005959942E-2</v>
      </c>
      <c r="BE125" s="29">
        <f t="shared" si="42"/>
        <v>0</v>
      </c>
      <c r="BF125" s="29">
        <f t="shared" si="43"/>
        <v>0.10026589913021544</v>
      </c>
      <c r="BH125" s="29"/>
    </row>
    <row r="126" spans="1:60" x14ac:dyDescent="0.25">
      <c r="A126" s="1">
        <v>46205</v>
      </c>
      <c r="B126" s="33">
        <v>22.44</v>
      </c>
      <c r="C126" s="33">
        <v>22.81</v>
      </c>
      <c r="D126" s="15">
        <v>2.6644159112896301E-2</v>
      </c>
      <c r="E126" s="15">
        <v>3.0716859642162399E-2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22.44</v>
      </c>
      <c r="M126" s="33">
        <v>22.81</v>
      </c>
      <c r="N126" s="34">
        <v>1.0164884135472301</v>
      </c>
      <c r="O126" s="34">
        <v>1.0078468940038601</v>
      </c>
      <c r="P126" s="34">
        <v>1.0273149593792501</v>
      </c>
      <c r="Q126" s="34">
        <v>1.0122347419550299</v>
      </c>
      <c r="R126" s="33">
        <v>22.616084301446801</v>
      </c>
      <c r="S126" s="33">
        <v>23.024791038224201</v>
      </c>
      <c r="T126" s="33">
        <v>22.693317682463601</v>
      </c>
      <c r="U126" s="15">
        <v>-8.5376883983871599E-3</v>
      </c>
      <c r="V126" s="15">
        <v>9.3724703738920605E-3</v>
      </c>
      <c r="W126" s="15">
        <v>-5.1285303676951097E-3</v>
      </c>
      <c r="X126" s="34">
        <v>1.0164884135472301</v>
      </c>
      <c r="Y126" s="34">
        <v>1.0078468940038601</v>
      </c>
      <c r="Z126" s="34">
        <v>1.0273149593792501</v>
      </c>
      <c r="AA126" s="34">
        <v>1.0122347419550299</v>
      </c>
      <c r="AB126" s="33">
        <v>22.616084301446801</v>
      </c>
      <c r="AC126" s="33">
        <v>23.024791038224201</v>
      </c>
      <c r="AD126" s="33">
        <v>22.693317682463601</v>
      </c>
      <c r="AE126" s="15">
        <v>-8.5376883983871599E-3</v>
      </c>
      <c r="AF126" s="15">
        <v>9.3724703738920605E-3</v>
      </c>
      <c r="AG126" s="15">
        <v>-5.1285303676951097E-3</v>
      </c>
      <c r="AI126" s="12"/>
      <c r="AJ126">
        <f t="shared" si="24"/>
        <v>0</v>
      </c>
      <c r="AK126">
        <f t="shared" si="25"/>
        <v>1</v>
      </c>
      <c r="AL126">
        <f t="shared" si="34"/>
        <v>0</v>
      </c>
      <c r="AM126">
        <f t="shared" si="26"/>
        <v>1</v>
      </c>
      <c r="AN126">
        <f t="shared" si="35"/>
        <v>0</v>
      </c>
      <c r="AO126" s="28">
        <f t="shared" si="27"/>
        <v>0</v>
      </c>
      <c r="AP126" s="28">
        <f t="shared" si="28"/>
        <v>0</v>
      </c>
      <c r="AQ126" s="28">
        <f t="shared" si="36"/>
        <v>0</v>
      </c>
      <c r="AR126" s="29">
        <f t="shared" si="37"/>
        <v>3.7898640124255499E-2</v>
      </c>
      <c r="AT126" s="12"/>
      <c r="AU126">
        <f t="shared" si="29"/>
        <v>0</v>
      </c>
      <c r="AV126">
        <f t="shared" si="30"/>
        <v>1</v>
      </c>
      <c r="AW126">
        <f t="shared" si="38"/>
        <v>0</v>
      </c>
      <c r="AX126">
        <f t="shared" si="31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6.2367259005959942E-2</v>
      </c>
      <c r="BE126" s="29">
        <f t="shared" si="42"/>
        <v>0</v>
      </c>
      <c r="BF126" s="29">
        <f t="shared" si="43"/>
        <v>0.10026589913021544</v>
      </c>
      <c r="BH126" s="29"/>
    </row>
    <row r="127" spans="1:60" x14ac:dyDescent="0.25">
      <c r="A127" s="1">
        <v>46209</v>
      </c>
      <c r="B127" s="33">
        <v>22.4</v>
      </c>
      <c r="C127" s="33">
        <v>22.86</v>
      </c>
      <c r="D127" s="15">
        <v>-1.7841217935015499E-3</v>
      </c>
      <c r="E127" s="15">
        <v>2.18962207036802E-3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22.4</v>
      </c>
      <c r="M127" s="33">
        <v>22.86</v>
      </c>
      <c r="N127" s="34">
        <v>1.0205357142857101</v>
      </c>
      <c r="O127" s="34">
        <v>1.0078468940038601</v>
      </c>
      <c r="P127" s="34">
        <v>1.0264792066158599</v>
      </c>
      <c r="Q127" s="34">
        <v>1.01311667011258</v>
      </c>
      <c r="R127" s="33">
        <v>22.575770425686599</v>
      </c>
      <c r="S127" s="33">
        <v>23.011855090095299</v>
      </c>
      <c r="T127" s="33">
        <v>22.674058219792698</v>
      </c>
      <c r="U127" s="15">
        <v>-1.2511432262256501E-2</v>
      </c>
      <c r="V127" s="15">
        <v>6.62086346938685E-3</v>
      </c>
      <c r="W127" s="15">
        <v>-8.1671970850082792E-3</v>
      </c>
      <c r="X127" s="34">
        <v>1.0205357142857101</v>
      </c>
      <c r="Y127" s="34">
        <v>1.0078468940038601</v>
      </c>
      <c r="Z127" s="34">
        <v>1.0264792066158599</v>
      </c>
      <c r="AA127" s="34">
        <v>1.01311667011258</v>
      </c>
      <c r="AB127" s="33">
        <v>22.575770425686599</v>
      </c>
      <c r="AC127" s="33">
        <v>23.011855090095299</v>
      </c>
      <c r="AD127" s="33">
        <v>22.674058219792698</v>
      </c>
      <c r="AE127" s="15">
        <v>-1.2511432262256501E-2</v>
      </c>
      <c r="AF127" s="15">
        <v>6.62086346938685E-3</v>
      </c>
      <c r="AG127" s="15">
        <v>-8.1671970850082792E-3</v>
      </c>
      <c r="AI127" s="12"/>
      <c r="AJ127">
        <f t="shared" si="24"/>
        <v>0</v>
      </c>
      <c r="AK127">
        <f t="shared" si="25"/>
        <v>1</v>
      </c>
      <c r="AL127">
        <f t="shared" si="34"/>
        <v>0</v>
      </c>
      <c r="AM127">
        <f t="shared" si="26"/>
        <v>1</v>
      </c>
      <c r="AN127">
        <f t="shared" si="35"/>
        <v>0</v>
      </c>
      <c r="AO127" s="28">
        <f t="shared" si="27"/>
        <v>0</v>
      </c>
      <c r="AP127" s="28">
        <f t="shared" si="28"/>
        <v>0</v>
      </c>
      <c r="AQ127" s="28">
        <f t="shared" si="36"/>
        <v>0</v>
      </c>
      <c r="AR127" s="29">
        <f t="shared" si="37"/>
        <v>3.7898640124255499E-2</v>
      </c>
      <c r="AT127" s="12"/>
      <c r="AU127">
        <f t="shared" si="29"/>
        <v>0</v>
      </c>
      <c r="AV127">
        <f t="shared" si="30"/>
        <v>1</v>
      </c>
      <c r="AW127">
        <f t="shared" si="38"/>
        <v>0</v>
      </c>
      <c r="AX127">
        <f t="shared" si="31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6.2367259005959942E-2</v>
      </c>
      <c r="BE127" s="29">
        <f t="shared" si="42"/>
        <v>0</v>
      </c>
      <c r="BF127" s="29">
        <f t="shared" si="43"/>
        <v>0.10026589913021544</v>
      </c>
      <c r="BH127" s="29"/>
    </row>
    <row r="128" spans="1:60" x14ac:dyDescent="0.25">
      <c r="A128" s="1">
        <v>46210</v>
      </c>
      <c r="B128" s="33">
        <v>22.49</v>
      </c>
      <c r="C128" s="33">
        <v>22.81</v>
      </c>
      <c r="D128" s="15">
        <v>4.0098071102300696E-3</v>
      </c>
      <c r="E128" s="15">
        <v>-2.1896220703679901E-3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22.49</v>
      </c>
      <c r="M128" s="33">
        <v>22.81</v>
      </c>
      <c r="N128" s="34">
        <v>1.0142285460204501</v>
      </c>
      <c r="O128" s="34">
        <v>1.0078468940038601</v>
      </c>
      <c r="P128" s="34">
        <v>1.0247739579408399</v>
      </c>
      <c r="Q128" s="34">
        <v>1.0135498042781701</v>
      </c>
      <c r="R128" s="33">
        <v>22.666476646147</v>
      </c>
      <c r="S128" s="33">
        <v>23.085517356790699</v>
      </c>
      <c r="T128" s="33">
        <v>22.784993910832</v>
      </c>
      <c r="U128" s="15">
        <v>-6.3120030816584804E-3</v>
      </c>
      <c r="V128" s="15">
        <v>1.2006430361965701E-2</v>
      </c>
      <c r="W128" s="15">
        <v>-1.0968788250768501E-3</v>
      </c>
      <c r="X128" s="34">
        <v>1.0142285460204501</v>
      </c>
      <c r="Y128" s="34">
        <v>1.0078468940038601</v>
      </c>
      <c r="Z128" s="34">
        <v>1.0247739579408399</v>
      </c>
      <c r="AA128" s="34">
        <v>1.0135498042781701</v>
      </c>
      <c r="AB128" s="33">
        <v>22.666476646147</v>
      </c>
      <c r="AC128" s="33">
        <v>23.085517356790699</v>
      </c>
      <c r="AD128" s="33">
        <v>22.784993910832</v>
      </c>
      <c r="AE128" s="15">
        <v>-6.3120030816584804E-3</v>
      </c>
      <c r="AF128" s="15">
        <v>1.2006430361965701E-2</v>
      </c>
      <c r="AG128" s="15">
        <v>-1.0968788250768501E-3</v>
      </c>
      <c r="AI128" s="12"/>
      <c r="AJ128">
        <f t="shared" si="24"/>
        <v>0</v>
      </c>
      <c r="AK128">
        <f t="shared" si="25"/>
        <v>1</v>
      </c>
      <c r="AL128">
        <f t="shared" si="34"/>
        <v>0</v>
      </c>
      <c r="AM128">
        <f t="shared" si="26"/>
        <v>1</v>
      </c>
      <c r="AN128">
        <f t="shared" si="35"/>
        <v>0</v>
      </c>
      <c r="AO128" s="28">
        <f t="shared" si="27"/>
        <v>0</v>
      </c>
      <c r="AP128" s="28">
        <f t="shared" si="28"/>
        <v>0</v>
      </c>
      <c r="AQ128" s="28">
        <f t="shared" si="36"/>
        <v>0</v>
      </c>
      <c r="AR128" s="29">
        <f t="shared" si="37"/>
        <v>3.7898640124255499E-2</v>
      </c>
      <c r="AT128" s="12"/>
      <c r="AU128">
        <f t="shared" si="29"/>
        <v>0</v>
      </c>
      <c r="AV128">
        <f t="shared" si="30"/>
        <v>1</v>
      </c>
      <c r="AW128">
        <f t="shared" si="38"/>
        <v>0</v>
      </c>
      <c r="AX128">
        <f t="shared" si="31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6.2367259005959942E-2</v>
      </c>
      <c r="BE128" s="29">
        <f t="shared" si="42"/>
        <v>0</v>
      </c>
      <c r="BF128" s="29">
        <f t="shared" si="43"/>
        <v>0.10026589913021544</v>
      </c>
      <c r="BH128" s="29"/>
    </row>
    <row r="129" spans="1:60" x14ac:dyDescent="0.25">
      <c r="A129" s="1">
        <v>46211</v>
      </c>
      <c r="B129" s="33">
        <v>22.73</v>
      </c>
      <c r="C129" s="33">
        <v>22.95</v>
      </c>
      <c r="D129" s="15">
        <v>1.06148718932275E-2</v>
      </c>
      <c r="E129" s="15">
        <v>6.1189002102574703E-3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22.73</v>
      </c>
      <c r="M129" s="33">
        <v>22.95</v>
      </c>
      <c r="N129" s="34">
        <v>1.00967883853937</v>
      </c>
      <c r="O129" s="34">
        <v>1.0078468940038601</v>
      </c>
      <c r="P129" s="34">
        <v>1.02480541991208</v>
      </c>
      <c r="Q129" s="34">
        <v>1.01405781938761</v>
      </c>
      <c r="R129" s="33">
        <v>22.9083599007079</v>
      </c>
      <c r="S129" s="33">
        <v>23.293112063995402</v>
      </c>
      <c r="T129" s="33">
        <v>23.037987051242801</v>
      </c>
      <c r="U129" s="15">
        <v>-1.8160313986885E-3</v>
      </c>
      <c r="V129" s="15">
        <v>1.4839760790010099E-2</v>
      </c>
      <c r="W129" s="15">
        <v>3.82652793678226E-3</v>
      </c>
      <c r="X129" s="34">
        <v>1.00967883853937</v>
      </c>
      <c r="Y129" s="34">
        <v>1.0078468940038601</v>
      </c>
      <c r="Z129" s="34">
        <v>1.02480541991208</v>
      </c>
      <c r="AA129" s="34">
        <v>1.01405781938761</v>
      </c>
      <c r="AB129" s="33">
        <v>22.9083599007079</v>
      </c>
      <c r="AC129" s="33">
        <v>23.293112063995402</v>
      </c>
      <c r="AD129" s="33">
        <v>23.037987051242801</v>
      </c>
      <c r="AE129" s="15">
        <v>-1.8160313986885E-3</v>
      </c>
      <c r="AF129" s="15">
        <v>1.4839760790010099E-2</v>
      </c>
      <c r="AG129" s="15">
        <v>3.82652793678226E-3</v>
      </c>
      <c r="AI129" s="12"/>
      <c r="AJ129">
        <f t="shared" si="24"/>
        <v>0</v>
      </c>
      <c r="AK129">
        <f t="shared" si="25"/>
        <v>1</v>
      </c>
      <c r="AL129">
        <f t="shared" si="34"/>
        <v>0</v>
      </c>
      <c r="AM129">
        <f t="shared" si="26"/>
        <v>1</v>
      </c>
      <c r="AN129">
        <f t="shared" si="35"/>
        <v>0</v>
      </c>
      <c r="AO129" s="28">
        <f t="shared" si="27"/>
        <v>0</v>
      </c>
      <c r="AP129" s="28">
        <f t="shared" si="28"/>
        <v>0</v>
      </c>
      <c r="AQ129" s="28">
        <f t="shared" si="36"/>
        <v>0</v>
      </c>
      <c r="AR129" s="29">
        <f t="shared" si="37"/>
        <v>3.7898640124255499E-2</v>
      </c>
      <c r="AT129" s="12"/>
      <c r="AU129">
        <f t="shared" si="29"/>
        <v>0</v>
      </c>
      <c r="AV129">
        <f t="shared" si="30"/>
        <v>1</v>
      </c>
      <c r="AW129">
        <f t="shared" si="38"/>
        <v>0</v>
      </c>
      <c r="AX129">
        <f t="shared" si="31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6.2367259005959942E-2</v>
      </c>
      <c r="BE129" s="29">
        <f t="shared" si="42"/>
        <v>0</v>
      </c>
      <c r="BF129" s="29">
        <f t="shared" si="43"/>
        <v>0.10026589913021544</v>
      </c>
      <c r="BH129" s="29"/>
    </row>
    <row r="130" spans="1:60" x14ac:dyDescent="0.25">
      <c r="A130" s="1">
        <v>46212</v>
      </c>
      <c r="B130" s="33">
        <v>22.28</v>
      </c>
      <c r="C130" s="33">
        <v>22.48</v>
      </c>
      <c r="D130" s="15">
        <v>-1.9996222805368499E-2</v>
      </c>
      <c r="E130" s="15">
        <v>-2.06919114810638E-2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22.28</v>
      </c>
      <c r="M130" s="33">
        <v>22.48</v>
      </c>
      <c r="N130" s="34">
        <v>1.0089766606822199</v>
      </c>
      <c r="O130" s="34">
        <v>1.0078468940038601</v>
      </c>
      <c r="P130" s="34">
        <v>1.0238668576924601</v>
      </c>
      <c r="Q130" s="34">
        <v>1.0142406949749101</v>
      </c>
      <c r="R130" s="33">
        <v>22.454828798406201</v>
      </c>
      <c r="S130" s="33">
        <v>22.832664755641101</v>
      </c>
      <c r="T130" s="33">
        <v>22.593208215956</v>
      </c>
      <c r="U130" s="15">
        <v>-1.12034272299315E-3</v>
      </c>
      <c r="V130" s="15">
        <v>1.5566150371051199E-2</v>
      </c>
      <c r="W130" s="15">
        <v>5.0233146692655597E-3</v>
      </c>
      <c r="X130" s="34">
        <v>1.0089766606822199</v>
      </c>
      <c r="Y130" s="34">
        <v>1.0078468940038601</v>
      </c>
      <c r="Z130" s="34">
        <v>1.0238668576924601</v>
      </c>
      <c r="AA130" s="34">
        <v>1.0142406949749101</v>
      </c>
      <c r="AB130" s="33">
        <v>22.454828798406201</v>
      </c>
      <c r="AC130" s="33">
        <v>22.832664755641101</v>
      </c>
      <c r="AD130" s="33">
        <v>22.593208215956</v>
      </c>
      <c r="AE130" s="15">
        <v>-1.12034272299315E-3</v>
      </c>
      <c r="AF130" s="15">
        <v>1.5566150371051199E-2</v>
      </c>
      <c r="AG130" s="15">
        <v>5.0233146692655597E-3</v>
      </c>
      <c r="AI130" s="12"/>
      <c r="AJ130">
        <f t="shared" si="24"/>
        <v>0</v>
      </c>
      <c r="AK130">
        <f t="shared" si="25"/>
        <v>1</v>
      </c>
      <c r="AL130">
        <f t="shared" si="34"/>
        <v>0</v>
      </c>
      <c r="AM130">
        <f t="shared" si="26"/>
        <v>1</v>
      </c>
      <c r="AN130">
        <f t="shared" si="35"/>
        <v>0</v>
      </c>
      <c r="AO130" s="28">
        <f t="shared" si="27"/>
        <v>0</v>
      </c>
      <c r="AP130" s="28">
        <f t="shared" si="28"/>
        <v>0</v>
      </c>
      <c r="AQ130" s="28">
        <f t="shared" si="36"/>
        <v>0</v>
      </c>
      <c r="AR130" s="29">
        <f t="shared" si="37"/>
        <v>3.7898640124255499E-2</v>
      </c>
      <c r="AT130" s="12"/>
      <c r="AU130">
        <f t="shared" si="29"/>
        <v>0</v>
      </c>
      <c r="AV130">
        <f t="shared" si="30"/>
        <v>0</v>
      </c>
      <c r="AW130">
        <f t="shared" si="38"/>
        <v>0</v>
      </c>
      <c r="AX130">
        <f t="shared" si="31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6.2367259005959942E-2</v>
      </c>
      <c r="BE130" s="29">
        <f t="shared" si="42"/>
        <v>0</v>
      </c>
      <c r="BF130" s="29">
        <f t="shared" si="43"/>
        <v>0.10026589913021544</v>
      </c>
      <c r="BH130" s="29"/>
    </row>
    <row r="131" spans="1:60" x14ac:dyDescent="0.25">
      <c r="A131" s="1">
        <v>46213</v>
      </c>
      <c r="B131" s="33">
        <v>22.44</v>
      </c>
      <c r="C131" s="33">
        <v>22.56</v>
      </c>
      <c r="D131" s="15">
        <v>7.1556655954122302E-3</v>
      </c>
      <c r="E131" s="15">
        <v>3.5524016043677002E-3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22.44</v>
      </c>
      <c r="M131" s="33">
        <v>22.56</v>
      </c>
      <c r="N131" s="34">
        <v>1.00534759358288</v>
      </c>
      <c r="O131" s="34">
        <v>1.0078468940038601</v>
      </c>
      <c r="P131" s="34">
        <v>1.02158187888358</v>
      </c>
      <c r="Q131" s="34">
        <v>1.01492902881683</v>
      </c>
      <c r="R131" s="33">
        <v>22.616084301446801</v>
      </c>
      <c r="S131" s="33">
        <v>22.975572286618799</v>
      </c>
      <c r="T131" s="33">
        <v>22.759561195237101</v>
      </c>
      <c r="U131" s="15">
        <v>2.4829212680514399E-3</v>
      </c>
      <c r="V131" s="15">
        <v>1.82531504036853E-2</v>
      </c>
      <c r="W131" s="15">
        <v>8.8069027955429997E-3</v>
      </c>
      <c r="X131" s="34">
        <v>1.00534759358288</v>
      </c>
      <c r="Y131" s="34">
        <v>1.0078468940038601</v>
      </c>
      <c r="Z131" s="34">
        <v>1.02158187888358</v>
      </c>
      <c r="AA131" s="34">
        <v>1.01492902881683</v>
      </c>
      <c r="AB131" s="33">
        <v>22.616084301446801</v>
      </c>
      <c r="AC131" s="33">
        <v>22.975572286618799</v>
      </c>
      <c r="AD131" s="33">
        <v>22.759561195237101</v>
      </c>
      <c r="AE131" s="15">
        <v>2.4829212680514399E-3</v>
      </c>
      <c r="AF131" s="15">
        <v>1.82531504036853E-2</v>
      </c>
      <c r="AG131" s="15">
        <v>8.8069027955429997E-3</v>
      </c>
      <c r="AI131" s="12"/>
      <c r="AJ131">
        <f t="shared" si="24"/>
        <v>0</v>
      </c>
      <c r="AK131">
        <f t="shared" si="25"/>
        <v>1</v>
      </c>
      <c r="AL131">
        <f t="shared" si="34"/>
        <v>0</v>
      </c>
      <c r="AM131">
        <f t="shared" si="26"/>
        <v>1</v>
      </c>
      <c r="AN131">
        <f t="shared" si="35"/>
        <v>0</v>
      </c>
      <c r="AO131" s="28">
        <f t="shared" si="27"/>
        <v>0</v>
      </c>
      <c r="AP131" s="28">
        <f t="shared" si="28"/>
        <v>0</v>
      </c>
      <c r="AQ131" s="28">
        <f t="shared" si="36"/>
        <v>0</v>
      </c>
      <c r="AR131" s="29">
        <f t="shared" si="37"/>
        <v>3.7898640124255499E-2</v>
      </c>
      <c r="AT131" s="12"/>
      <c r="AU131">
        <f t="shared" si="29"/>
        <v>0</v>
      </c>
      <c r="AV131">
        <f t="shared" si="30"/>
        <v>0</v>
      </c>
      <c r="AW131">
        <f t="shared" si="38"/>
        <v>0</v>
      </c>
      <c r="AX131">
        <f t="shared" si="31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6.2367259005959942E-2</v>
      </c>
      <c r="BE131" s="29">
        <f t="shared" si="42"/>
        <v>0</v>
      </c>
      <c r="BF131" s="29">
        <f t="shared" si="43"/>
        <v>0.10026589913021544</v>
      </c>
      <c r="BH131" s="29"/>
    </row>
    <row r="132" spans="1:60" x14ac:dyDescent="0.25">
      <c r="A132" s="1">
        <v>46216</v>
      </c>
      <c r="B132" s="33">
        <v>22</v>
      </c>
      <c r="C132" s="33">
        <v>22.23</v>
      </c>
      <c r="D132" s="15">
        <v>-1.9802627296179699E-2</v>
      </c>
      <c r="E132" s="15">
        <v>-1.47356986537528E-2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22</v>
      </c>
      <c r="M132" s="33">
        <v>22.23</v>
      </c>
      <c r="N132" s="34">
        <v>1.0104545454545399</v>
      </c>
      <c r="O132" s="34">
        <v>1.0078468940038601</v>
      </c>
      <c r="P132" s="34">
        <v>1.0141993031259999</v>
      </c>
      <c r="Q132" s="34">
        <v>1.0159428692794501</v>
      </c>
      <c r="R132" s="33">
        <v>22.172631668085099</v>
      </c>
      <c r="S132" s="33">
        <v>22.474801335438801</v>
      </c>
      <c r="T132" s="33">
        <v>22.328438633970201</v>
      </c>
      <c r="U132" s="15">
        <v>-2.58400737437548E-3</v>
      </c>
      <c r="V132" s="15">
        <v>1.09520129849502E-2</v>
      </c>
      <c r="W132" s="15">
        <v>4.4184130833294999E-3</v>
      </c>
      <c r="X132" s="34">
        <v>1.0104545454545399</v>
      </c>
      <c r="Y132" s="34">
        <v>1.0078468940038601</v>
      </c>
      <c r="Z132" s="34">
        <v>1.0141993031259999</v>
      </c>
      <c r="AA132" s="34">
        <v>1.0159428692794501</v>
      </c>
      <c r="AB132" s="33">
        <v>22.172631668085099</v>
      </c>
      <c r="AC132" s="33">
        <v>22.474801335438801</v>
      </c>
      <c r="AD132" s="33">
        <v>22.328438633970201</v>
      </c>
      <c r="AE132" s="15">
        <v>-2.58400737437548E-3</v>
      </c>
      <c r="AF132" s="15">
        <v>1.09520129849502E-2</v>
      </c>
      <c r="AG132" s="15">
        <v>4.4184130833294999E-3</v>
      </c>
      <c r="AI132" s="12"/>
      <c r="AJ132">
        <f t="shared" si="24"/>
        <v>0</v>
      </c>
      <c r="AK132">
        <f t="shared" si="25"/>
        <v>1</v>
      </c>
      <c r="AL132">
        <f t="shared" si="34"/>
        <v>0</v>
      </c>
      <c r="AM132">
        <f t="shared" si="26"/>
        <v>1</v>
      </c>
      <c r="AN132">
        <f t="shared" si="35"/>
        <v>0</v>
      </c>
      <c r="AO132" s="28">
        <f t="shared" si="27"/>
        <v>0</v>
      </c>
      <c r="AP132" s="28">
        <f t="shared" si="28"/>
        <v>0</v>
      </c>
      <c r="AQ132" s="28">
        <f t="shared" si="36"/>
        <v>0</v>
      </c>
      <c r="AR132" s="29">
        <f t="shared" si="37"/>
        <v>3.7898640124255499E-2</v>
      </c>
      <c r="AT132" s="12"/>
      <c r="AU132">
        <f t="shared" si="29"/>
        <v>0</v>
      </c>
      <c r="AV132">
        <f t="shared" si="30"/>
        <v>1</v>
      </c>
      <c r="AW132">
        <f t="shared" si="38"/>
        <v>0</v>
      </c>
      <c r="AX132">
        <f t="shared" si="31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6.2367259005959942E-2</v>
      </c>
      <c r="BE132" s="29">
        <f t="shared" si="42"/>
        <v>0</v>
      </c>
      <c r="BF132" s="29">
        <f t="shared" si="43"/>
        <v>0.10026589913021544</v>
      </c>
      <c r="BH132" s="29"/>
    </row>
    <row r="133" spans="1:60" x14ac:dyDescent="0.25">
      <c r="A133" s="1">
        <v>46217</v>
      </c>
      <c r="B133" s="33">
        <v>21.54</v>
      </c>
      <c r="C133" s="33">
        <v>21.75</v>
      </c>
      <c r="D133" s="15">
        <v>-2.1130781630073401E-2</v>
      </c>
      <c r="E133" s="15">
        <v>-2.1828970441412E-2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21.54</v>
      </c>
      <c r="M133" s="33">
        <v>21.75</v>
      </c>
      <c r="N133" s="34">
        <v>1.00974930362117</v>
      </c>
      <c r="O133" s="34">
        <v>1.0078468940038601</v>
      </c>
      <c r="P133" s="34">
        <v>1.0123586539480001</v>
      </c>
      <c r="Q133" s="34">
        <v>1.01691577135371</v>
      </c>
      <c r="R133" s="33">
        <v>21.709022096843299</v>
      </c>
      <c r="S133" s="33">
        <v>21.845852989334102</v>
      </c>
      <c r="T133" s="33">
        <v>21.883409404279401</v>
      </c>
      <c r="U133" s="15">
        <v>-1.8858185630368E-3</v>
      </c>
      <c r="V133" s="15">
        <v>4.3973514551621301E-3</v>
      </c>
      <c r="W133" s="15">
        <v>6.1150307446575201E-3</v>
      </c>
      <c r="X133" s="34">
        <v>1.00974930362117</v>
      </c>
      <c r="Y133" s="34">
        <v>1.0078468940038601</v>
      </c>
      <c r="Z133" s="34">
        <v>1.0123586539480001</v>
      </c>
      <c r="AA133" s="34">
        <v>1.01691577135371</v>
      </c>
      <c r="AB133" s="33">
        <v>21.709022096843299</v>
      </c>
      <c r="AC133" s="33">
        <v>21.845852989334102</v>
      </c>
      <c r="AD133" s="33">
        <v>21.883409404279401</v>
      </c>
      <c r="AE133" s="15">
        <v>-1.8858185630368E-3</v>
      </c>
      <c r="AF133" s="15">
        <v>4.3973514551621301E-3</v>
      </c>
      <c r="AG133" s="15">
        <v>6.1150307446575201E-3</v>
      </c>
      <c r="AI133" s="12"/>
      <c r="AJ133">
        <f t="shared" si="24"/>
        <v>0</v>
      </c>
      <c r="AK133">
        <f t="shared" si="25"/>
        <v>1</v>
      </c>
      <c r="AL133">
        <f t="shared" si="34"/>
        <v>0</v>
      </c>
      <c r="AM133">
        <f t="shared" si="26"/>
        <v>1</v>
      </c>
      <c r="AN133">
        <f t="shared" si="35"/>
        <v>0</v>
      </c>
      <c r="AO133" s="28">
        <f t="shared" si="27"/>
        <v>0</v>
      </c>
      <c r="AP133" s="28">
        <f t="shared" si="28"/>
        <v>0</v>
      </c>
      <c r="AQ133" s="28">
        <f t="shared" si="36"/>
        <v>0</v>
      </c>
      <c r="AR133" s="29">
        <f t="shared" si="37"/>
        <v>3.7898640124255499E-2</v>
      </c>
      <c r="AT133" s="12"/>
      <c r="AU133">
        <f t="shared" si="29"/>
        <v>0</v>
      </c>
      <c r="AV133">
        <f t="shared" si="30"/>
        <v>0</v>
      </c>
      <c r="AW133">
        <f t="shared" si="38"/>
        <v>0</v>
      </c>
      <c r="AX133">
        <f t="shared" si="31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6.2367259005959942E-2</v>
      </c>
      <c r="BE133" s="29">
        <f t="shared" si="42"/>
        <v>0</v>
      </c>
      <c r="BF133" s="29">
        <f t="shared" si="43"/>
        <v>0.10026589913021544</v>
      </c>
      <c r="BH133" s="29"/>
    </row>
    <row r="134" spans="1:60" x14ac:dyDescent="0.25">
      <c r="A134" s="1">
        <v>46218</v>
      </c>
      <c r="B134" s="33">
        <v>21.93</v>
      </c>
      <c r="C134" s="33">
        <v>21.97</v>
      </c>
      <c r="D134" s="15">
        <v>1.7943890701554201E-2</v>
      </c>
      <c r="E134" s="15">
        <v>1.00641288618257E-2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21.93</v>
      </c>
      <c r="M134" s="33">
        <v>21.97</v>
      </c>
      <c r="N134" s="34">
        <v>1.0018239854081099</v>
      </c>
      <c r="O134" s="34">
        <v>1.0078468940038601</v>
      </c>
      <c r="P134" s="34">
        <v>1.0109640580546699</v>
      </c>
      <c r="Q134" s="34">
        <v>1.01742325184521</v>
      </c>
      <c r="R134" s="33">
        <v>22.102082385504801</v>
      </c>
      <c r="S134" s="33">
        <v>22.201025281079598</v>
      </c>
      <c r="T134" s="33">
        <v>22.300962865787</v>
      </c>
      <c r="U134" s="15">
        <v>5.99394327669177E-3</v>
      </c>
      <c r="V134" s="15">
        <v>1.04605852476926E-2</v>
      </c>
      <c r="W134" s="15">
        <v>1.4951968975401001E-2</v>
      </c>
      <c r="X134" s="34">
        <v>1.0018239854081099</v>
      </c>
      <c r="Y134" s="34">
        <v>1.0078468940038601</v>
      </c>
      <c r="Z134" s="34">
        <v>1.0109640580546699</v>
      </c>
      <c r="AA134" s="34">
        <v>1.01742325184521</v>
      </c>
      <c r="AB134" s="33">
        <v>22.102082385504801</v>
      </c>
      <c r="AC134" s="33">
        <v>22.201025281079598</v>
      </c>
      <c r="AD134" s="33">
        <v>22.300962865787</v>
      </c>
      <c r="AE134" s="15">
        <v>5.99394327669177E-3</v>
      </c>
      <c r="AF134" s="15">
        <v>1.04605852476926E-2</v>
      </c>
      <c r="AG134" s="15">
        <v>1.4951968975401001E-2</v>
      </c>
      <c r="AI134" s="12"/>
      <c r="AJ134">
        <f t="shared" si="24"/>
        <v>0</v>
      </c>
      <c r="AK134">
        <f t="shared" si="25"/>
        <v>1</v>
      </c>
      <c r="AL134">
        <f t="shared" si="34"/>
        <v>0</v>
      </c>
      <c r="AM134">
        <f t="shared" si="26"/>
        <v>1</v>
      </c>
      <c r="AN134">
        <f t="shared" si="35"/>
        <v>0</v>
      </c>
      <c r="AO134" s="28">
        <f t="shared" si="27"/>
        <v>0</v>
      </c>
      <c r="AP134" s="28">
        <f t="shared" si="28"/>
        <v>0</v>
      </c>
      <c r="AQ134" s="28">
        <f t="shared" si="36"/>
        <v>0</v>
      </c>
      <c r="AR134" s="29">
        <f t="shared" si="37"/>
        <v>3.7898640124255499E-2</v>
      </c>
      <c r="AT134" s="12"/>
      <c r="AU134">
        <f t="shared" si="29"/>
        <v>1</v>
      </c>
      <c r="AV134">
        <f t="shared" si="30"/>
        <v>0</v>
      </c>
      <c r="AW134">
        <f t="shared" si="38"/>
        <v>0</v>
      </c>
      <c r="AX134">
        <f t="shared" si="31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6.2367259005959942E-2</v>
      </c>
      <c r="BE134" s="29">
        <f t="shared" si="42"/>
        <v>0</v>
      </c>
      <c r="BF134" s="29">
        <f t="shared" si="43"/>
        <v>0.10026589913021544</v>
      </c>
      <c r="BH134" s="29"/>
    </row>
    <row r="135" spans="1:60" x14ac:dyDescent="0.25">
      <c r="A135" s="1">
        <v>46219</v>
      </c>
      <c r="B135" s="33">
        <v>22.48</v>
      </c>
      <c r="C135" s="33">
        <v>22.58</v>
      </c>
      <c r="D135" s="15">
        <v>2.4770462595693502E-2</v>
      </c>
      <c r="E135" s="15">
        <v>2.7386672324996999E-2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22.48</v>
      </c>
      <c r="M135" s="33">
        <v>22.58</v>
      </c>
      <c r="N135" s="34">
        <v>1.00444839857651</v>
      </c>
      <c r="O135" s="34">
        <v>1.0078468940038601</v>
      </c>
      <c r="P135" s="34">
        <v>1.01017319997182</v>
      </c>
      <c r="Q135" s="34">
        <v>1.01811670333315</v>
      </c>
      <c r="R135" s="33">
        <v>22.656398177206899</v>
      </c>
      <c r="S135" s="33">
        <v>22.7264720250691</v>
      </c>
      <c r="T135" s="33">
        <v>22.871674701480401</v>
      </c>
      <c r="U135" s="15">
        <v>3.37773354738831E-3</v>
      </c>
      <c r="V135" s="15">
        <v>6.4658548247784001E-3</v>
      </c>
      <c r="W135" s="15">
        <v>1.2834673631788999E-2</v>
      </c>
      <c r="X135" s="34">
        <v>1.00444839857651</v>
      </c>
      <c r="Y135" s="34">
        <v>1.0078468940038601</v>
      </c>
      <c r="Z135" s="34">
        <v>1.01017319997182</v>
      </c>
      <c r="AA135" s="34">
        <v>1.01811670333315</v>
      </c>
      <c r="AB135" s="33">
        <v>22.656398177206899</v>
      </c>
      <c r="AC135" s="33">
        <v>22.7264720250691</v>
      </c>
      <c r="AD135" s="33">
        <v>22.871674701480401</v>
      </c>
      <c r="AE135" s="15">
        <v>3.37773354738831E-3</v>
      </c>
      <c r="AF135" s="15">
        <v>6.4658548247784001E-3</v>
      </c>
      <c r="AG135" s="15">
        <v>1.2834673631788999E-2</v>
      </c>
      <c r="AI135" s="12"/>
      <c r="AJ135">
        <f t="shared" si="24"/>
        <v>0</v>
      </c>
      <c r="AK135">
        <f t="shared" si="25"/>
        <v>1</v>
      </c>
      <c r="AL135">
        <f t="shared" si="34"/>
        <v>0</v>
      </c>
      <c r="AM135">
        <f t="shared" si="26"/>
        <v>1</v>
      </c>
      <c r="AN135">
        <f t="shared" si="35"/>
        <v>0</v>
      </c>
      <c r="AO135" s="28">
        <f t="shared" si="27"/>
        <v>0</v>
      </c>
      <c r="AP135" s="28">
        <f t="shared" si="28"/>
        <v>0</v>
      </c>
      <c r="AQ135" s="28">
        <f t="shared" si="36"/>
        <v>0</v>
      </c>
      <c r="AR135" s="29">
        <f t="shared" si="37"/>
        <v>3.7898640124255499E-2</v>
      </c>
      <c r="AT135" s="12"/>
      <c r="AU135">
        <f t="shared" si="29"/>
        <v>1</v>
      </c>
      <c r="AV135">
        <f t="shared" si="30"/>
        <v>0</v>
      </c>
      <c r="AW135">
        <f t="shared" si="38"/>
        <v>1</v>
      </c>
      <c r="AX135">
        <f t="shared" si="31"/>
        <v>1</v>
      </c>
      <c r="AY135">
        <f t="shared" si="39"/>
        <v>1</v>
      </c>
      <c r="AZ135" s="28">
        <f t="shared" si="32"/>
        <v>-2.4770462595693502E-2</v>
      </c>
      <c r="BA135" s="28">
        <f t="shared" si="33"/>
        <v>2.7386672324996999E-2</v>
      </c>
      <c r="BB135" s="28">
        <f t="shared" si="40"/>
        <v>2.6162097293034973E-3</v>
      </c>
      <c r="BC135" s="29">
        <f t="shared" si="41"/>
        <v>6.4983468735263436E-2</v>
      </c>
      <c r="BE135" s="29">
        <f t="shared" si="42"/>
        <v>2.6162097293034973E-3</v>
      </c>
      <c r="BF135" s="29">
        <f t="shared" si="43"/>
        <v>0.10288210885951894</v>
      </c>
      <c r="BH135" s="29"/>
    </row>
    <row r="136" spans="1:60" x14ac:dyDescent="0.25">
      <c r="A136" s="1">
        <v>46220</v>
      </c>
      <c r="B136" s="33">
        <v>21.95</v>
      </c>
      <c r="C136" s="33">
        <v>22.08</v>
      </c>
      <c r="D136" s="15">
        <v>-2.385888550431E-2</v>
      </c>
      <c r="E136" s="15">
        <v>-2.2392337312621399E-2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21.95</v>
      </c>
      <c r="M136" s="33">
        <v>22.08</v>
      </c>
      <c r="N136" s="34">
        <v>1.00592255125284</v>
      </c>
      <c r="O136" s="34">
        <v>1.0078468940038601</v>
      </c>
      <c r="P136" s="34">
        <v>1.0091166137423799</v>
      </c>
      <c r="Q136" s="34">
        <v>1.0182157865608199</v>
      </c>
      <c r="R136" s="33">
        <v>22.1222393233849</v>
      </c>
      <c r="S136" s="33">
        <v>22.1733017393815</v>
      </c>
      <c r="T136" s="33">
        <v>22.347661638162698</v>
      </c>
      <c r="U136" s="15">
        <v>1.91118535569974E-3</v>
      </c>
      <c r="V136" s="15">
        <v>4.2167193841790001E-3</v>
      </c>
      <c r="W136" s="15">
        <v>1.2049469486433701E-2</v>
      </c>
      <c r="X136" s="34">
        <v>1.00592255125284</v>
      </c>
      <c r="Y136" s="34">
        <v>1.0078468940038601</v>
      </c>
      <c r="Z136" s="34">
        <v>1.0091166137423799</v>
      </c>
      <c r="AA136" s="34">
        <v>1.0182157865608199</v>
      </c>
      <c r="AB136" s="33">
        <v>22.1222393233849</v>
      </c>
      <c r="AC136" s="33">
        <v>22.1733017393815</v>
      </c>
      <c r="AD136" s="33">
        <v>22.347661638162698</v>
      </c>
      <c r="AE136" s="15">
        <v>1.91118535569974E-3</v>
      </c>
      <c r="AF136" s="15">
        <v>4.2167193841790001E-3</v>
      </c>
      <c r="AG136" s="15">
        <v>1.2049469486433701E-2</v>
      </c>
      <c r="AI136" s="12"/>
      <c r="AJ136">
        <f t="shared" si="24"/>
        <v>0</v>
      </c>
      <c r="AK136">
        <f t="shared" si="25"/>
        <v>1</v>
      </c>
      <c r="AL136">
        <f t="shared" si="34"/>
        <v>0</v>
      </c>
      <c r="AM136">
        <f t="shared" si="26"/>
        <v>1</v>
      </c>
      <c r="AN136">
        <f t="shared" si="35"/>
        <v>0</v>
      </c>
      <c r="AO136" s="28">
        <f t="shared" si="27"/>
        <v>0</v>
      </c>
      <c r="AP136" s="28">
        <f t="shared" si="28"/>
        <v>0</v>
      </c>
      <c r="AQ136" s="28">
        <f t="shared" si="36"/>
        <v>0</v>
      </c>
      <c r="AR136" s="29">
        <f t="shared" si="37"/>
        <v>3.7898640124255499E-2</v>
      </c>
      <c r="AT136" s="12"/>
      <c r="AU136">
        <f t="shared" si="29"/>
        <v>1</v>
      </c>
      <c r="AV136">
        <f t="shared" si="30"/>
        <v>0</v>
      </c>
      <c r="AW136">
        <f t="shared" si="38"/>
        <v>1</v>
      </c>
      <c r="AX136">
        <f t="shared" si="31"/>
        <v>1</v>
      </c>
      <c r="AY136">
        <f t="shared" si="39"/>
        <v>1</v>
      </c>
      <c r="AZ136" s="28">
        <f t="shared" si="32"/>
        <v>2.385888550431E-2</v>
      </c>
      <c r="BA136" s="28">
        <f t="shared" si="33"/>
        <v>-2.2392337312621399E-2</v>
      </c>
      <c r="BB136" s="28">
        <f t="shared" si="40"/>
        <v>1.4665481916886006E-3</v>
      </c>
      <c r="BC136" s="29">
        <f t="shared" si="41"/>
        <v>6.6450016926952044E-2</v>
      </c>
      <c r="BE136" s="29">
        <f t="shared" si="42"/>
        <v>1.4665481916886006E-3</v>
      </c>
      <c r="BF136" s="29">
        <f t="shared" si="43"/>
        <v>0.10434865705120755</v>
      </c>
      <c r="BH136" s="29"/>
    </row>
    <row r="137" spans="1:60" x14ac:dyDescent="0.25">
      <c r="A137" s="1">
        <v>46223</v>
      </c>
      <c r="B137" s="33">
        <v>21.65</v>
      </c>
      <c r="C137" s="33">
        <v>21.57</v>
      </c>
      <c r="D137" s="15">
        <v>-1.37616850726814E-2</v>
      </c>
      <c r="E137" s="15">
        <v>-2.3368761007829399E-2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21.65</v>
      </c>
      <c r="M137" s="33">
        <v>21.57</v>
      </c>
      <c r="N137" s="34">
        <v>0.99630484988452594</v>
      </c>
      <c r="O137" s="34">
        <v>1.0078468940038601</v>
      </c>
      <c r="P137" s="34">
        <v>1.0066935273022599</v>
      </c>
      <c r="Q137" s="34">
        <v>1.01658636695906</v>
      </c>
      <c r="R137" s="33">
        <v>21.819885255183699</v>
      </c>
      <c r="S137" s="33">
        <v>21.847374687522599</v>
      </c>
      <c r="T137" s="33">
        <v>22.0443717790417</v>
      </c>
      <c r="U137" s="15">
        <v>1.1518261290847501E-2</v>
      </c>
      <c r="V137" s="15">
        <v>1.2777302320957499E-2</v>
      </c>
      <c r="W137" s="15">
        <v>2.1753860794426198E-2</v>
      </c>
      <c r="X137" s="34">
        <v>0.99630484988452594</v>
      </c>
      <c r="Y137" s="34">
        <v>1.0078468940038601</v>
      </c>
      <c r="Z137" s="34">
        <v>1.0066935273022599</v>
      </c>
      <c r="AA137" s="34">
        <v>1.01658636695906</v>
      </c>
      <c r="AB137" s="33">
        <v>21.819885255183699</v>
      </c>
      <c r="AC137" s="33">
        <v>21.847374687522599</v>
      </c>
      <c r="AD137" s="33">
        <v>22.0443717790417</v>
      </c>
      <c r="AE137" s="15">
        <v>1.1518261290847501E-2</v>
      </c>
      <c r="AF137" s="15">
        <v>1.2777302320957499E-2</v>
      </c>
      <c r="AG137" s="15">
        <v>2.1753860794426198E-2</v>
      </c>
      <c r="AI137" s="12"/>
      <c r="AJ137">
        <f t="shared" si="24"/>
        <v>0</v>
      </c>
      <c r="AK137">
        <f t="shared" si="25"/>
        <v>1</v>
      </c>
      <c r="AL137">
        <f t="shared" si="34"/>
        <v>0</v>
      </c>
      <c r="AM137">
        <f t="shared" si="26"/>
        <v>1</v>
      </c>
      <c r="AN137">
        <f t="shared" si="35"/>
        <v>0</v>
      </c>
      <c r="AO137" s="28">
        <f t="shared" si="27"/>
        <v>0</v>
      </c>
      <c r="AP137" s="28">
        <f t="shared" si="28"/>
        <v>0</v>
      </c>
      <c r="AQ137" s="28">
        <f t="shared" si="36"/>
        <v>0</v>
      </c>
      <c r="AR137" s="29">
        <f t="shared" si="37"/>
        <v>3.7898640124255499E-2</v>
      </c>
      <c r="AT137" s="12"/>
      <c r="AU137">
        <f t="shared" si="29"/>
        <v>1</v>
      </c>
      <c r="AV137">
        <f t="shared" si="30"/>
        <v>0</v>
      </c>
      <c r="AW137">
        <f t="shared" si="38"/>
        <v>1</v>
      </c>
      <c r="AX137">
        <f t="shared" si="31"/>
        <v>1</v>
      </c>
      <c r="AY137">
        <f t="shared" si="39"/>
        <v>1</v>
      </c>
      <c r="AZ137" s="28">
        <f t="shared" si="32"/>
        <v>1.37616850726814E-2</v>
      </c>
      <c r="BA137" s="28">
        <f t="shared" si="33"/>
        <v>-2.3368761007829399E-2</v>
      </c>
      <c r="BB137" s="28">
        <f t="shared" si="40"/>
        <v>-9.6070759351479986E-3</v>
      </c>
      <c r="BC137" s="29">
        <f t="shared" si="41"/>
        <v>5.6842940991804043E-2</v>
      </c>
      <c r="BE137" s="29">
        <f t="shared" si="42"/>
        <v>-9.6070759351479986E-3</v>
      </c>
      <c r="BF137" s="29">
        <f t="shared" si="43"/>
        <v>9.4741581116059556E-2</v>
      </c>
      <c r="BH137" s="29"/>
    </row>
    <row r="138" spans="1:60" x14ac:dyDescent="0.25">
      <c r="A138" s="1">
        <v>46224</v>
      </c>
      <c r="B138" s="33">
        <v>22.04</v>
      </c>
      <c r="C138" s="33">
        <v>22.32</v>
      </c>
      <c r="D138" s="15">
        <v>1.7853529836214899E-2</v>
      </c>
      <c r="E138" s="15">
        <v>3.4179677112045101E-2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22.04</v>
      </c>
      <c r="M138" s="33">
        <v>22.32</v>
      </c>
      <c r="N138" s="34">
        <v>1.01270417422867</v>
      </c>
      <c r="O138" s="34">
        <v>1.0078468940038601</v>
      </c>
      <c r="P138" s="34">
        <v>1.00654109012308</v>
      </c>
      <c r="Q138" s="34">
        <v>1.0156575240319601</v>
      </c>
      <c r="R138" s="33">
        <v>22.212945543845201</v>
      </c>
      <c r="S138" s="33">
        <v>22.1875253417419</v>
      </c>
      <c r="T138" s="33">
        <v>22.405563527777701</v>
      </c>
      <c r="U138" s="15">
        <v>-4.8078859849826601E-3</v>
      </c>
      <c r="V138" s="15">
        <v>-5.9529281151106603E-3</v>
      </c>
      <c r="W138" s="15">
        <v>3.82616228451371E-3</v>
      </c>
      <c r="X138" s="34">
        <v>1.01270417422867</v>
      </c>
      <c r="Y138" s="34">
        <v>1.0078468940038601</v>
      </c>
      <c r="Z138" s="34">
        <v>1.00654109012308</v>
      </c>
      <c r="AA138" s="34">
        <v>1.0156575240319601</v>
      </c>
      <c r="AB138" s="33">
        <v>22.212945543845201</v>
      </c>
      <c r="AC138" s="33">
        <v>22.1875253417419</v>
      </c>
      <c r="AD138" s="33">
        <v>22.405563527777701</v>
      </c>
      <c r="AE138" s="15">
        <v>-4.8078859849826601E-3</v>
      </c>
      <c r="AF138" s="15">
        <v>-5.9529281151106603E-3</v>
      </c>
      <c r="AG138" s="15">
        <v>3.82616228451371E-3</v>
      </c>
      <c r="AI138" s="12"/>
      <c r="AJ138">
        <f t="shared" si="24"/>
        <v>0</v>
      </c>
      <c r="AK138">
        <f t="shared" si="25"/>
        <v>1</v>
      </c>
      <c r="AL138">
        <f t="shared" si="34"/>
        <v>0</v>
      </c>
      <c r="AM138">
        <f t="shared" si="26"/>
        <v>1</v>
      </c>
      <c r="AN138">
        <f t="shared" si="35"/>
        <v>0</v>
      </c>
      <c r="AO138" s="28">
        <f t="shared" si="27"/>
        <v>0</v>
      </c>
      <c r="AP138" s="28">
        <f t="shared" si="28"/>
        <v>0</v>
      </c>
      <c r="AQ138" s="28">
        <f t="shared" si="36"/>
        <v>0</v>
      </c>
      <c r="AR138" s="29">
        <f t="shared" si="37"/>
        <v>3.7898640124255499E-2</v>
      </c>
      <c r="AT138" s="12"/>
      <c r="AU138">
        <f t="shared" si="29"/>
        <v>0</v>
      </c>
      <c r="AV138">
        <f t="shared" si="30"/>
        <v>1</v>
      </c>
      <c r="AW138">
        <f t="shared" si="38"/>
        <v>1</v>
      </c>
      <c r="AX138">
        <f t="shared" si="31"/>
        <v>1</v>
      </c>
      <c r="AY138">
        <f t="shared" si="39"/>
        <v>1</v>
      </c>
      <c r="AZ138" s="28">
        <f t="shared" si="32"/>
        <v>-1.7853529836214899E-2</v>
      </c>
      <c r="BA138" s="28">
        <f t="shared" si="33"/>
        <v>3.4179677112045101E-2</v>
      </c>
      <c r="BB138" s="28">
        <f t="shared" si="40"/>
        <v>1.6326147275830202E-2</v>
      </c>
      <c r="BC138" s="29">
        <f t="shared" si="41"/>
        <v>7.3169088267634241E-2</v>
      </c>
      <c r="BE138" s="29">
        <f t="shared" si="42"/>
        <v>1.6326147275830202E-2</v>
      </c>
      <c r="BF138" s="29">
        <f t="shared" si="43"/>
        <v>0.11106772839188976</v>
      </c>
      <c r="BH138" s="29"/>
    </row>
    <row r="139" spans="1:60" x14ac:dyDescent="0.25">
      <c r="A139" s="1">
        <v>46225</v>
      </c>
      <c r="B139" s="33">
        <v>22.84</v>
      </c>
      <c r="C139" s="33">
        <v>23.08</v>
      </c>
      <c r="D139" s="15">
        <v>3.56544005030957E-2</v>
      </c>
      <c r="E139" s="15">
        <v>3.3483304126788398E-2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22.84</v>
      </c>
      <c r="M139" s="33">
        <v>23.08</v>
      </c>
      <c r="N139" s="34">
        <v>1.01050788091068</v>
      </c>
      <c r="O139" s="34">
        <v>1.0078468940038601</v>
      </c>
      <c r="P139" s="34">
        <v>1.00662399436021</v>
      </c>
      <c r="Q139" s="34">
        <v>1.0157147071361501</v>
      </c>
      <c r="R139" s="33">
        <v>23.019223059048301</v>
      </c>
      <c r="S139" s="33">
        <v>22.989398498411301</v>
      </c>
      <c r="T139" s="33">
        <v>23.197617848890101</v>
      </c>
      <c r="U139" s="15">
        <v>-2.63678960867543E-3</v>
      </c>
      <c r="V139" s="15">
        <v>-3.9332668255535903E-3</v>
      </c>
      <c r="W139" s="15">
        <v>5.08315283337386E-3</v>
      </c>
      <c r="X139" s="34">
        <v>1.01050788091068</v>
      </c>
      <c r="Y139" s="34">
        <v>1.0078468940038601</v>
      </c>
      <c r="Z139" s="34">
        <v>1.00662399436021</v>
      </c>
      <c r="AA139" s="34">
        <v>1.0157147071361501</v>
      </c>
      <c r="AB139" s="33">
        <v>23.019223059048301</v>
      </c>
      <c r="AC139" s="33">
        <v>22.989398498411301</v>
      </c>
      <c r="AD139" s="33">
        <v>23.197617848890101</v>
      </c>
      <c r="AE139" s="15">
        <v>-2.63678960867543E-3</v>
      </c>
      <c r="AF139" s="15">
        <v>-3.9332668255535903E-3</v>
      </c>
      <c r="AG139" s="15">
        <v>5.08315283337386E-3</v>
      </c>
      <c r="AI139" s="12"/>
      <c r="AJ139">
        <f t="shared" si="24"/>
        <v>0</v>
      </c>
      <c r="AK139">
        <f t="shared" si="25"/>
        <v>1</v>
      </c>
      <c r="AL139">
        <f t="shared" si="34"/>
        <v>0</v>
      </c>
      <c r="AM139">
        <f t="shared" si="26"/>
        <v>1</v>
      </c>
      <c r="AN139">
        <f t="shared" si="35"/>
        <v>0</v>
      </c>
      <c r="AO139" s="28">
        <f t="shared" si="27"/>
        <v>0</v>
      </c>
      <c r="AP139" s="28">
        <f t="shared" si="28"/>
        <v>0</v>
      </c>
      <c r="AQ139" s="28">
        <f t="shared" si="36"/>
        <v>0</v>
      </c>
      <c r="AR139" s="29">
        <f t="shared" si="37"/>
        <v>3.7898640124255499E-2</v>
      </c>
      <c r="AT139" s="12"/>
      <c r="AU139">
        <f t="shared" si="29"/>
        <v>0</v>
      </c>
      <c r="AV139">
        <f t="shared" si="30"/>
        <v>0</v>
      </c>
      <c r="AW139">
        <f t="shared" si="38"/>
        <v>0</v>
      </c>
      <c r="AX139">
        <f t="shared" si="31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7.3169088267634241E-2</v>
      </c>
      <c r="BE139" s="29">
        <f t="shared" si="42"/>
        <v>0</v>
      </c>
      <c r="BF139" s="29">
        <f t="shared" si="43"/>
        <v>0.11106772839188976</v>
      </c>
      <c r="BH139" s="29"/>
    </row>
    <row r="140" spans="1:60" x14ac:dyDescent="0.25">
      <c r="A140" s="1">
        <v>46226</v>
      </c>
      <c r="B140" s="33">
        <v>22.18</v>
      </c>
      <c r="C140" s="33">
        <v>22.6</v>
      </c>
      <c r="D140" s="15">
        <v>-2.9322402865588501E-2</v>
      </c>
      <c r="E140" s="15">
        <v>-2.1016535361658401E-2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22.18</v>
      </c>
      <c r="M140" s="33">
        <v>22.6</v>
      </c>
      <c r="N140" s="34">
        <v>1.0189359783588801</v>
      </c>
      <c r="O140" s="34">
        <v>1.0078468940038601</v>
      </c>
      <c r="P140" s="34">
        <v>1.00761992612788</v>
      </c>
      <c r="Q140" s="34">
        <v>1.0157433919101699</v>
      </c>
      <c r="R140" s="33">
        <v>22.354044109005802</v>
      </c>
      <c r="S140" s="33">
        <v>22.326920194909601</v>
      </c>
      <c r="T140" s="33">
        <v>22.528552204279801</v>
      </c>
      <c r="U140" s="15">
        <v>-1.09426571126054E-2</v>
      </c>
      <c r="V140" s="15">
        <v>-1.21567722442116E-2</v>
      </c>
      <c r="W140" s="15">
        <v>-3.1664146942924098E-3</v>
      </c>
      <c r="X140" s="34">
        <v>1.0189359783588801</v>
      </c>
      <c r="Y140" s="34">
        <v>1.0078468940038601</v>
      </c>
      <c r="Z140" s="34">
        <v>1.00761992612788</v>
      </c>
      <c r="AA140" s="34">
        <v>1.0157433919101699</v>
      </c>
      <c r="AB140" s="33">
        <v>22.354044109005802</v>
      </c>
      <c r="AC140" s="33">
        <v>22.326920194909601</v>
      </c>
      <c r="AD140" s="33">
        <v>22.528552204279801</v>
      </c>
      <c r="AE140" s="15">
        <v>-1.09426571126054E-2</v>
      </c>
      <c r="AF140" s="15">
        <v>-1.21567722442116E-2</v>
      </c>
      <c r="AG140" s="15">
        <v>-3.1664146942924098E-3</v>
      </c>
      <c r="AI140" s="12"/>
      <c r="AJ140">
        <f t="shared" si="24"/>
        <v>0</v>
      </c>
      <c r="AK140">
        <f t="shared" si="25"/>
        <v>1</v>
      </c>
      <c r="AL140">
        <f t="shared" si="34"/>
        <v>0</v>
      </c>
      <c r="AM140">
        <f t="shared" si="26"/>
        <v>1</v>
      </c>
      <c r="AN140">
        <f t="shared" si="35"/>
        <v>0</v>
      </c>
      <c r="AO140" s="28">
        <f t="shared" si="27"/>
        <v>0</v>
      </c>
      <c r="AP140" s="28">
        <f t="shared" si="28"/>
        <v>0</v>
      </c>
      <c r="AQ140" s="28">
        <f t="shared" si="36"/>
        <v>0</v>
      </c>
      <c r="AR140" s="29">
        <f t="shared" si="37"/>
        <v>3.7898640124255499E-2</v>
      </c>
      <c r="AT140" s="12"/>
      <c r="AU140">
        <f t="shared" si="29"/>
        <v>0</v>
      </c>
      <c r="AV140">
        <f t="shared" si="30"/>
        <v>1</v>
      </c>
      <c r="AW140">
        <f t="shared" si="38"/>
        <v>0</v>
      </c>
      <c r="AX140">
        <f t="shared" si="31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7.3169088267634241E-2</v>
      </c>
      <c r="BE140" s="29">
        <f t="shared" si="42"/>
        <v>0</v>
      </c>
      <c r="BF140" s="29">
        <f t="shared" si="43"/>
        <v>0.11106772839188976</v>
      </c>
      <c r="BH140" s="29"/>
    </row>
    <row r="141" spans="1:60" x14ac:dyDescent="0.25">
      <c r="A141" s="1">
        <v>46227</v>
      </c>
      <c r="B141" s="33">
        <v>21.95</v>
      </c>
      <c r="C141" s="33">
        <v>22.32</v>
      </c>
      <c r="D141" s="15">
        <v>-1.04238424010405E-2</v>
      </c>
      <c r="E141" s="15">
        <v>-1.2466768765130001E-2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21.95</v>
      </c>
      <c r="M141" s="33">
        <v>22.32</v>
      </c>
      <c r="N141" s="34">
        <v>1.01685649202733</v>
      </c>
      <c r="O141" s="34">
        <v>1.0078468940038601</v>
      </c>
      <c r="P141" s="34">
        <v>1.0087708159723201</v>
      </c>
      <c r="Q141" s="34">
        <v>1.01517634742795</v>
      </c>
      <c r="R141" s="33">
        <v>22.1222393233849</v>
      </c>
      <c r="S141" s="33">
        <v>22.117257378506999</v>
      </c>
      <c r="T141" s="33">
        <v>22.295567452428301</v>
      </c>
      <c r="U141" s="15">
        <v>-8.8997307485160597E-3</v>
      </c>
      <c r="V141" s="15">
        <v>-9.1249568595862893E-3</v>
      </c>
      <c r="W141" s="15">
        <v>-1.0952477536054E-3</v>
      </c>
      <c r="X141" s="34">
        <v>1.01685649202733</v>
      </c>
      <c r="Y141" s="34">
        <v>1.0078468940038601</v>
      </c>
      <c r="Z141" s="34">
        <v>1.0087708159723201</v>
      </c>
      <c r="AA141" s="34">
        <v>1.01517634742795</v>
      </c>
      <c r="AB141" s="33">
        <v>22.1222393233849</v>
      </c>
      <c r="AC141" s="33">
        <v>22.117257378506999</v>
      </c>
      <c r="AD141" s="33">
        <v>22.295567452428301</v>
      </c>
      <c r="AE141" s="15">
        <v>-8.8997307485160597E-3</v>
      </c>
      <c r="AF141" s="15">
        <v>-9.1249568595862893E-3</v>
      </c>
      <c r="AG141" s="15">
        <v>-1.0952477536054E-3</v>
      </c>
      <c r="AI141" s="12"/>
      <c r="AJ141">
        <f t="shared" si="24"/>
        <v>0</v>
      </c>
      <c r="AK141">
        <f t="shared" si="25"/>
        <v>1</v>
      </c>
      <c r="AL141">
        <f t="shared" si="34"/>
        <v>0</v>
      </c>
      <c r="AM141">
        <f t="shared" si="26"/>
        <v>1</v>
      </c>
      <c r="AN141">
        <f t="shared" si="35"/>
        <v>0</v>
      </c>
      <c r="AO141" s="28">
        <f t="shared" si="27"/>
        <v>0</v>
      </c>
      <c r="AP141" s="28">
        <f t="shared" si="28"/>
        <v>0</v>
      </c>
      <c r="AQ141" s="28">
        <f t="shared" si="36"/>
        <v>0</v>
      </c>
      <c r="AR141" s="29">
        <f t="shared" si="37"/>
        <v>3.7898640124255499E-2</v>
      </c>
      <c r="AT141" s="12"/>
      <c r="AU141">
        <f t="shared" si="29"/>
        <v>0</v>
      </c>
      <c r="AV141">
        <f t="shared" si="30"/>
        <v>1</v>
      </c>
      <c r="AW141">
        <f t="shared" si="38"/>
        <v>0</v>
      </c>
      <c r="AX141">
        <f t="shared" si="31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7.3169088267634241E-2</v>
      </c>
      <c r="BE141" s="29">
        <f t="shared" si="42"/>
        <v>0</v>
      </c>
      <c r="BF141" s="29">
        <f t="shared" si="43"/>
        <v>0.11106772839188976</v>
      </c>
      <c r="BH141" s="29"/>
    </row>
    <row r="142" spans="1:60" x14ac:dyDescent="0.25">
      <c r="A142" s="1">
        <v>46230</v>
      </c>
      <c r="B142" s="33">
        <v>22.55</v>
      </c>
      <c r="C142" s="33">
        <v>22.92</v>
      </c>
      <c r="D142" s="15">
        <v>2.6967926427506901E-2</v>
      </c>
      <c r="E142" s="15">
        <v>2.65267543334286E-2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22.55</v>
      </c>
      <c r="M142" s="33">
        <v>22.92</v>
      </c>
      <c r="N142" s="34">
        <v>1.0164079822616401</v>
      </c>
      <c r="O142" s="34">
        <v>1.0078468940038601</v>
      </c>
      <c r="P142" s="34">
        <v>1.0093661596530299</v>
      </c>
      <c r="Q142" s="34">
        <v>1.01178273138952</v>
      </c>
      <c r="R142" s="33">
        <v>22.726947459787201</v>
      </c>
      <c r="S142" s="33">
        <v>22.747781900176001</v>
      </c>
      <c r="T142" s="33">
        <v>22.8922266345004</v>
      </c>
      <c r="U142" s="15">
        <v>-8.4585586544377294E-3</v>
      </c>
      <c r="V142" s="15">
        <v>-7.5422500962668698E-3</v>
      </c>
      <c r="W142" s="15">
        <v>-1.2124871870431799E-3</v>
      </c>
      <c r="X142" s="34">
        <v>1.0164079822616401</v>
      </c>
      <c r="Y142" s="34">
        <v>1.0078468940038601</v>
      </c>
      <c r="Z142" s="34">
        <v>1.0093661596530299</v>
      </c>
      <c r="AA142" s="34">
        <v>1.01178273138952</v>
      </c>
      <c r="AB142" s="33">
        <v>22.726947459787201</v>
      </c>
      <c r="AC142" s="33">
        <v>22.747781900176001</v>
      </c>
      <c r="AD142" s="33">
        <v>22.8922266345004</v>
      </c>
      <c r="AE142" s="15">
        <v>-8.4585586544377294E-3</v>
      </c>
      <c r="AF142" s="15">
        <v>-7.5422500962668698E-3</v>
      </c>
      <c r="AG142" s="15">
        <v>-1.2124871870431799E-3</v>
      </c>
      <c r="AI142" s="12"/>
      <c r="AJ142">
        <f t="shared" si="24"/>
        <v>0</v>
      </c>
      <c r="AK142">
        <f t="shared" si="25"/>
        <v>1</v>
      </c>
      <c r="AL142">
        <f t="shared" si="34"/>
        <v>0</v>
      </c>
      <c r="AM142">
        <f t="shared" si="26"/>
        <v>1</v>
      </c>
      <c r="AN142">
        <f t="shared" si="35"/>
        <v>0</v>
      </c>
      <c r="AO142" s="28">
        <f t="shared" si="27"/>
        <v>0</v>
      </c>
      <c r="AP142" s="28">
        <f t="shared" si="28"/>
        <v>0</v>
      </c>
      <c r="AQ142" s="28">
        <f t="shared" si="36"/>
        <v>0</v>
      </c>
      <c r="AR142" s="29">
        <f t="shared" si="37"/>
        <v>3.7898640124255499E-2</v>
      </c>
      <c r="AT142" s="12"/>
      <c r="AU142">
        <f t="shared" si="29"/>
        <v>0</v>
      </c>
      <c r="AV142">
        <f t="shared" si="30"/>
        <v>1</v>
      </c>
      <c r="AW142">
        <f t="shared" si="38"/>
        <v>0</v>
      </c>
      <c r="AX142">
        <f t="shared" si="31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7.3169088267634241E-2</v>
      </c>
      <c r="BE142" s="29">
        <f t="shared" si="42"/>
        <v>0</v>
      </c>
      <c r="BF142" s="29">
        <f t="shared" si="43"/>
        <v>0.11106772839188976</v>
      </c>
      <c r="BH142" s="29"/>
    </row>
    <row r="143" spans="1:60" x14ac:dyDescent="0.25">
      <c r="A143" s="1">
        <v>46231</v>
      </c>
      <c r="B143" s="33">
        <v>23.28</v>
      </c>
      <c r="C143" s="33">
        <v>23.7</v>
      </c>
      <c r="D143" s="15">
        <v>3.1859556914549801E-2</v>
      </c>
      <c r="E143" s="15">
        <v>3.3465156294546397E-2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23.28</v>
      </c>
      <c r="M143" s="33">
        <v>23.7</v>
      </c>
      <c r="N143" s="34">
        <v>1.0180412371134</v>
      </c>
      <c r="O143" s="34">
        <v>1.0078468940038601</v>
      </c>
      <c r="P143" s="34">
        <v>1.01019535300226</v>
      </c>
      <c r="Q143" s="34">
        <v>1.0112770034751299</v>
      </c>
      <c r="R143" s="33">
        <v>23.462675692409999</v>
      </c>
      <c r="S143" s="33">
        <v>23.498044196722699</v>
      </c>
      <c r="T143" s="33">
        <v>23.554301986748001</v>
      </c>
      <c r="U143" s="15">
        <v>-1.0064158034434501E-2</v>
      </c>
      <c r="V143" s="15">
        <v>-8.5578561257930608E-3</v>
      </c>
      <c r="W143" s="15">
        <v>-6.16656976510909E-3</v>
      </c>
      <c r="X143" s="34">
        <v>1.0180412371134</v>
      </c>
      <c r="Y143" s="34">
        <v>1.0078468940038601</v>
      </c>
      <c r="Z143" s="34">
        <v>1.01019535300226</v>
      </c>
      <c r="AA143" s="34">
        <v>1.0112770034751299</v>
      </c>
      <c r="AB143" s="33">
        <v>23.462675692409999</v>
      </c>
      <c r="AC143" s="33">
        <v>23.498044196722699</v>
      </c>
      <c r="AD143" s="33">
        <v>23.554301986748001</v>
      </c>
      <c r="AE143" s="15">
        <v>-1.0064158034434501E-2</v>
      </c>
      <c r="AF143" s="15">
        <v>-8.5578561257930608E-3</v>
      </c>
      <c r="AG143" s="15">
        <v>-6.16656976510909E-3</v>
      </c>
      <c r="AI143" s="12"/>
      <c r="AJ143">
        <f t="shared" si="24"/>
        <v>0</v>
      </c>
      <c r="AK143">
        <f t="shared" si="25"/>
        <v>1</v>
      </c>
      <c r="AL143">
        <f t="shared" si="34"/>
        <v>0</v>
      </c>
      <c r="AM143">
        <f t="shared" si="26"/>
        <v>1</v>
      </c>
      <c r="AN143">
        <f t="shared" si="35"/>
        <v>0</v>
      </c>
      <c r="AO143" s="28">
        <f t="shared" si="27"/>
        <v>0</v>
      </c>
      <c r="AP143" s="28">
        <f t="shared" si="28"/>
        <v>0</v>
      </c>
      <c r="AQ143" s="28">
        <f t="shared" si="36"/>
        <v>0</v>
      </c>
      <c r="AR143" s="29">
        <f t="shared" si="37"/>
        <v>3.7898640124255499E-2</v>
      </c>
      <c r="AT143" s="12"/>
      <c r="AU143">
        <f t="shared" si="29"/>
        <v>0</v>
      </c>
      <c r="AV143">
        <f t="shared" si="30"/>
        <v>1</v>
      </c>
      <c r="AW143">
        <f t="shared" si="38"/>
        <v>0</v>
      </c>
      <c r="AX143">
        <f t="shared" si="31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7.3169088267634241E-2</v>
      </c>
      <c r="BE143" s="29">
        <f t="shared" si="42"/>
        <v>0</v>
      </c>
      <c r="BF143" s="29">
        <f t="shared" si="43"/>
        <v>0.11106772839188976</v>
      </c>
      <c r="BH143" s="29"/>
    </row>
    <row r="144" spans="1:60" x14ac:dyDescent="0.25">
      <c r="A144" s="1">
        <v>46232</v>
      </c>
      <c r="B144" s="33">
        <v>23.35</v>
      </c>
      <c r="C144" s="33">
        <v>23.96</v>
      </c>
      <c r="D144" s="15">
        <v>3.00236125166923E-3</v>
      </c>
      <c r="E144" s="15">
        <v>1.0910725106163199E-2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23.35</v>
      </c>
      <c r="M144" s="33">
        <v>23.96</v>
      </c>
      <c r="N144" s="34">
        <v>1.02612419700214</v>
      </c>
      <c r="O144" s="34">
        <v>1.0078468940038601</v>
      </c>
      <c r="P144" s="34">
        <v>1.01262537416166</v>
      </c>
      <c r="Q144" s="34">
        <v>1.01179471610817</v>
      </c>
      <c r="R144" s="33">
        <v>23.533224974990301</v>
      </c>
      <c r="S144" s="33">
        <v>23.588061492602801</v>
      </c>
      <c r="T144" s="33">
        <v>23.613318031144299</v>
      </c>
      <c r="U144" s="15">
        <v>-1.7972521888928401E-2</v>
      </c>
      <c r="V144" s="15">
        <v>-1.56450581680606E-2</v>
      </c>
      <c r="W144" s="15">
        <v>-1.4574897032655101E-2</v>
      </c>
      <c r="X144" s="34">
        <v>1.02612419700214</v>
      </c>
      <c r="Y144" s="34">
        <v>1.0078468940038601</v>
      </c>
      <c r="Z144" s="34">
        <v>1.01262537416166</v>
      </c>
      <c r="AA144" s="34">
        <v>1.01179471610817</v>
      </c>
      <c r="AB144" s="33">
        <v>23.533224974990301</v>
      </c>
      <c r="AC144" s="33">
        <v>23.588061492602801</v>
      </c>
      <c r="AD144" s="33">
        <v>23.613318031144299</v>
      </c>
      <c r="AE144" s="15">
        <v>-1.7972521888928401E-2</v>
      </c>
      <c r="AF144" s="15">
        <v>-1.56450581680606E-2</v>
      </c>
      <c r="AG144" s="15">
        <v>-1.4574897032655101E-2</v>
      </c>
      <c r="AI144" s="12"/>
      <c r="AJ144">
        <f t="shared" si="24"/>
        <v>0</v>
      </c>
      <c r="AK144">
        <f t="shared" si="25"/>
        <v>0</v>
      </c>
      <c r="AL144">
        <f t="shared" si="34"/>
        <v>0</v>
      </c>
      <c r="AM144">
        <f t="shared" si="26"/>
        <v>1</v>
      </c>
      <c r="AN144">
        <f t="shared" si="35"/>
        <v>0</v>
      </c>
      <c r="AO144" s="28">
        <f t="shared" si="27"/>
        <v>0</v>
      </c>
      <c r="AP144" s="28">
        <f t="shared" si="28"/>
        <v>0</v>
      </c>
      <c r="AQ144" s="28">
        <f t="shared" si="36"/>
        <v>0</v>
      </c>
      <c r="AR144" s="29">
        <f t="shared" si="37"/>
        <v>3.7898640124255499E-2</v>
      </c>
      <c r="AT144" s="12"/>
      <c r="AU144">
        <f t="shared" si="29"/>
        <v>0</v>
      </c>
      <c r="AV144">
        <f t="shared" si="30"/>
        <v>1</v>
      </c>
      <c r="AW144">
        <f t="shared" si="38"/>
        <v>0</v>
      </c>
      <c r="AX144">
        <f t="shared" si="31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7.3169088267634241E-2</v>
      </c>
      <c r="BE144" s="29">
        <f t="shared" si="42"/>
        <v>0</v>
      </c>
      <c r="BF144" s="29">
        <f t="shared" si="43"/>
        <v>0.11106772839188976</v>
      </c>
      <c r="BH144" s="29"/>
    </row>
    <row r="145" spans="1:60" x14ac:dyDescent="0.25">
      <c r="A145" s="1">
        <v>46233</v>
      </c>
      <c r="B145" s="33">
        <v>23.04</v>
      </c>
      <c r="C145" s="33">
        <v>23.42</v>
      </c>
      <c r="D145" s="15">
        <v>-1.3365148287215901E-2</v>
      </c>
      <c r="E145" s="15">
        <v>-2.2795415077677201E-2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23.04</v>
      </c>
      <c r="M145" s="33">
        <v>23.42</v>
      </c>
      <c r="N145" s="34">
        <v>1.01649305555555</v>
      </c>
      <c r="O145" s="34">
        <v>1.0078468940038601</v>
      </c>
      <c r="P145" s="34">
        <v>1.01382983985956</v>
      </c>
      <c r="Q145" s="34">
        <v>1.01200151991569</v>
      </c>
      <c r="R145" s="33">
        <v>23.220792437849099</v>
      </c>
      <c r="S145" s="33">
        <v>23.3308886206847</v>
      </c>
      <c r="T145" s="33">
        <v>23.3117502591322</v>
      </c>
      <c r="U145" s="15">
        <v>-8.5422550984670907E-3</v>
      </c>
      <c r="V145" s="15">
        <v>-3.8121836766629299E-3</v>
      </c>
      <c r="W145" s="15">
        <v>-4.6328217488732998E-3</v>
      </c>
      <c r="X145" s="34">
        <v>1.01649305555555</v>
      </c>
      <c r="Y145" s="34">
        <v>1.0078468940038601</v>
      </c>
      <c r="Z145" s="34">
        <v>1.01382983985956</v>
      </c>
      <c r="AA145" s="34">
        <v>1.01200151991569</v>
      </c>
      <c r="AB145" s="33">
        <v>23.220792437849099</v>
      </c>
      <c r="AC145" s="33">
        <v>23.3308886206847</v>
      </c>
      <c r="AD145" s="33">
        <v>23.3117502591322</v>
      </c>
      <c r="AE145" s="15">
        <v>-8.5422550984670907E-3</v>
      </c>
      <c r="AF145" s="15">
        <v>-3.8121836766629299E-3</v>
      </c>
      <c r="AG145" s="15">
        <v>-4.6328217488732998E-3</v>
      </c>
      <c r="AI145" s="12"/>
      <c r="AJ145">
        <f t="shared" si="24"/>
        <v>0</v>
      </c>
      <c r="AK145">
        <f t="shared" si="25"/>
        <v>1</v>
      </c>
      <c r="AL145">
        <f t="shared" si="34"/>
        <v>0</v>
      </c>
      <c r="AM145">
        <f t="shared" si="26"/>
        <v>1</v>
      </c>
      <c r="AN145">
        <f t="shared" si="35"/>
        <v>0</v>
      </c>
      <c r="AO145" s="28">
        <f t="shared" si="27"/>
        <v>0</v>
      </c>
      <c r="AP145" s="28">
        <f t="shared" si="28"/>
        <v>0</v>
      </c>
      <c r="AQ145" s="28">
        <f t="shared" si="36"/>
        <v>0</v>
      </c>
      <c r="AR145" s="29">
        <f t="shared" si="37"/>
        <v>3.7898640124255499E-2</v>
      </c>
      <c r="AT145" s="12"/>
      <c r="AU145">
        <f t="shared" si="29"/>
        <v>0</v>
      </c>
      <c r="AV145">
        <f t="shared" si="30"/>
        <v>1</v>
      </c>
      <c r="AW145">
        <f t="shared" si="38"/>
        <v>0</v>
      </c>
      <c r="AX145">
        <f t="shared" si="31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7.3169088267634241E-2</v>
      </c>
      <c r="BE145" s="29">
        <f t="shared" si="42"/>
        <v>0</v>
      </c>
      <c r="BF145" s="29">
        <f t="shared" si="43"/>
        <v>0.11106772839188976</v>
      </c>
      <c r="BH145" s="29"/>
    </row>
    <row r="146" spans="1:60" x14ac:dyDescent="0.25">
      <c r="A146" s="1">
        <v>46234</v>
      </c>
      <c r="B146" s="33">
        <v>23.17</v>
      </c>
      <c r="C146" s="33">
        <v>23.64</v>
      </c>
      <c r="D146" s="15">
        <v>5.6265026165943904E-3</v>
      </c>
      <c r="E146" s="15">
        <v>9.3498343683261903E-3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23.17</v>
      </c>
      <c r="M146" s="33">
        <v>23.64</v>
      </c>
      <c r="N146" s="34">
        <v>1.02028485110056</v>
      </c>
      <c r="O146" s="34">
        <v>1.0078468940038601</v>
      </c>
      <c r="P146" s="34">
        <v>1.0152660698443401</v>
      </c>
      <c r="Q146" s="34">
        <v>1.0121913417933599</v>
      </c>
      <c r="R146" s="33">
        <v>23.351812534069602</v>
      </c>
      <c r="S146" s="33">
        <v>23.490437389546202</v>
      </c>
      <c r="T146" s="33">
        <v>23.4480752164466</v>
      </c>
      <c r="U146" s="15">
        <v>-1.22655868501987E-2</v>
      </c>
      <c r="V146" s="15">
        <v>-6.3467737958068501E-3</v>
      </c>
      <c r="W146" s="15">
        <v>-8.1517813364859193E-3</v>
      </c>
      <c r="X146" s="34">
        <v>1.02028485110056</v>
      </c>
      <c r="Y146" s="34">
        <v>1.0078468940038601</v>
      </c>
      <c r="Z146" s="34">
        <v>1.0152660698443401</v>
      </c>
      <c r="AA146" s="34">
        <v>1.0121913417933599</v>
      </c>
      <c r="AB146" s="33">
        <v>23.351812534069602</v>
      </c>
      <c r="AC146" s="33">
        <v>23.490437389546202</v>
      </c>
      <c r="AD146" s="33">
        <v>23.4480752164466</v>
      </c>
      <c r="AE146" s="15">
        <v>-1.22655868501987E-2</v>
      </c>
      <c r="AF146" s="15">
        <v>-6.3467737958068501E-3</v>
      </c>
      <c r="AG146" s="15">
        <v>-8.1517813364859193E-3</v>
      </c>
      <c r="AI146" s="12"/>
      <c r="AJ146">
        <f t="shared" si="24"/>
        <v>0</v>
      </c>
      <c r="AK146">
        <f t="shared" si="25"/>
        <v>1</v>
      </c>
      <c r="AL146">
        <f t="shared" si="34"/>
        <v>0</v>
      </c>
      <c r="AM146">
        <f t="shared" si="26"/>
        <v>1</v>
      </c>
      <c r="AN146">
        <f t="shared" si="35"/>
        <v>0</v>
      </c>
      <c r="AO146" s="28">
        <f t="shared" si="27"/>
        <v>0</v>
      </c>
      <c r="AP146" s="28">
        <f t="shared" si="28"/>
        <v>0</v>
      </c>
      <c r="AQ146" s="28">
        <f t="shared" si="36"/>
        <v>0</v>
      </c>
      <c r="AR146" s="29">
        <f t="shared" si="37"/>
        <v>3.7898640124255499E-2</v>
      </c>
      <c r="AT146" s="12"/>
      <c r="AU146">
        <f t="shared" si="29"/>
        <v>0</v>
      </c>
      <c r="AV146">
        <f t="shared" si="30"/>
        <v>1</v>
      </c>
      <c r="AW146">
        <f t="shared" si="38"/>
        <v>0</v>
      </c>
      <c r="AX146">
        <f t="shared" si="31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7.3169088267634241E-2</v>
      </c>
      <c r="BE146" s="29">
        <f t="shared" si="42"/>
        <v>0</v>
      </c>
      <c r="BF146" s="29">
        <f t="shared" si="43"/>
        <v>0.11106772839188976</v>
      </c>
      <c r="BH146" s="29"/>
    </row>
    <row r="147" spans="1:60" x14ac:dyDescent="0.25">
      <c r="A147" s="1">
        <v>46237</v>
      </c>
      <c r="B147" s="33">
        <v>23.68</v>
      </c>
      <c r="C147" s="33">
        <v>24.24</v>
      </c>
      <c r="D147" s="15">
        <v>2.1772471571519899E-2</v>
      </c>
      <c r="E147" s="15">
        <v>2.50639686632162E-2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23.68</v>
      </c>
      <c r="M147" s="33">
        <v>24.24</v>
      </c>
      <c r="N147" s="34">
        <v>1.02364864864864</v>
      </c>
      <c r="O147" s="34">
        <v>1.0078468940038601</v>
      </c>
      <c r="P147" s="34">
        <v>1.01800044972075</v>
      </c>
      <c r="Q147" s="34">
        <v>1.0123469885115</v>
      </c>
      <c r="R147" s="33">
        <v>23.865814450011602</v>
      </c>
      <c r="S147" s="33">
        <v>24.041500533913901</v>
      </c>
      <c r="T147" s="33">
        <v>23.968690973666799</v>
      </c>
      <c r="U147" s="15">
        <v>-1.5557083941894799E-2</v>
      </c>
      <c r="V147" s="15">
        <v>-8.2226352659871601E-3</v>
      </c>
      <c r="W147" s="15">
        <v>-1.1255725273723999E-2</v>
      </c>
      <c r="X147" s="34">
        <v>1.02364864864864</v>
      </c>
      <c r="Y147" s="34">
        <v>1.0078468940038601</v>
      </c>
      <c r="Z147" s="34">
        <v>1.01800044972075</v>
      </c>
      <c r="AA147" s="34">
        <v>1.0123469885115</v>
      </c>
      <c r="AB147" s="33">
        <v>23.865814450011602</v>
      </c>
      <c r="AC147" s="33">
        <v>24.041500533913901</v>
      </c>
      <c r="AD147" s="33">
        <v>23.968690973666799</v>
      </c>
      <c r="AE147" s="15">
        <v>-1.5557083941894799E-2</v>
      </c>
      <c r="AF147" s="15">
        <v>-8.2226352659871601E-3</v>
      </c>
      <c r="AG147" s="15">
        <v>-1.1255725273723999E-2</v>
      </c>
      <c r="AI147" s="12"/>
      <c r="AJ147">
        <f t="shared" si="24"/>
        <v>0</v>
      </c>
      <c r="AK147">
        <f t="shared" si="25"/>
        <v>0</v>
      </c>
      <c r="AL147">
        <f t="shared" si="34"/>
        <v>0</v>
      </c>
      <c r="AM147">
        <f t="shared" si="26"/>
        <v>1</v>
      </c>
      <c r="AN147">
        <f t="shared" si="35"/>
        <v>0</v>
      </c>
      <c r="AO147" s="28">
        <f t="shared" si="27"/>
        <v>0</v>
      </c>
      <c r="AP147" s="28">
        <f t="shared" si="28"/>
        <v>0</v>
      </c>
      <c r="AQ147" s="28">
        <f t="shared" si="36"/>
        <v>0</v>
      </c>
      <c r="AR147" s="29">
        <f t="shared" si="37"/>
        <v>3.7898640124255499E-2</v>
      </c>
      <c r="AT147" s="12"/>
      <c r="AU147">
        <f t="shared" si="29"/>
        <v>0</v>
      </c>
      <c r="AV147">
        <f t="shared" si="30"/>
        <v>1</v>
      </c>
      <c r="AW147">
        <f t="shared" si="38"/>
        <v>0</v>
      </c>
      <c r="AX147">
        <f t="shared" si="31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7.3169088267634241E-2</v>
      </c>
      <c r="BE147" s="29">
        <f t="shared" si="42"/>
        <v>0</v>
      </c>
      <c r="BF147" s="29">
        <f t="shared" si="43"/>
        <v>0.11106772839188976</v>
      </c>
      <c r="BH147" s="29"/>
    </row>
    <row r="148" spans="1:60" x14ac:dyDescent="0.25">
      <c r="A148" s="1">
        <v>46238</v>
      </c>
      <c r="B148" s="33">
        <v>23.93</v>
      </c>
      <c r="C148" s="33">
        <v>24.58</v>
      </c>
      <c r="D148" s="15">
        <v>1.0502091904477E-2</v>
      </c>
      <c r="E148" s="15">
        <v>1.39289429367751E-2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23.93</v>
      </c>
      <c r="M148" s="33">
        <v>24.58</v>
      </c>
      <c r="N148" s="34">
        <v>1.02716255745925</v>
      </c>
      <c r="O148" s="34">
        <v>1.0078468940038601</v>
      </c>
      <c r="P148" s="34">
        <v>1.01944628804381</v>
      </c>
      <c r="Q148" s="34">
        <v>1.0129936890834399</v>
      </c>
      <c r="R148" s="33">
        <v>24.117776173512599</v>
      </c>
      <c r="S148" s="33">
        <v>24.360750761817599</v>
      </c>
      <c r="T148" s="33">
        <v>24.2254634350804</v>
      </c>
      <c r="U148" s="15">
        <v>-1.89839349741928E-2</v>
      </c>
      <c r="V148" s="15">
        <v>-8.9598423204613302E-3</v>
      </c>
      <c r="W148" s="15">
        <v>-1.4528816096967399E-2</v>
      </c>
      <c r="X148" s="34">
        <v>1.02716255745925</v>
      </c>
      <c r="Y148" s="34">
        <v>1.0078468940038601</v>
      </c>
      <c r="Z148" s="34">
        <v>1.01944628804381</v>
      </c>
      <c r="AA148" s="34">
        <v>1.0129936890834399</v>
      </c>
      <c r="AB148" s="33">
        <v>24.117776173512599</v>
      </c>
      <c r="AC148" s="33">
        <v>24.360750761817599</v>
      </c>
      <c r="AD148" s="33">
        <v>24.2254634350804</v>
      </c>
      <c r="AE148" s="15">
        <v>-1.89839349741928E-2</v>
      </c>
      <c r="AF148" s="15">
        <v>-8.9598423204613302E-3</v>
      </c>
      <c r="AG148" s="15">
        <v>-1.4528816096967399E-2</v>
      </c>
      <c r="AI148" s="12"/>
      <c r="AJ148">
        <f t="shared" si="24"/>
        <v>0</v>
      </c>
      <c r="AK148">
        <f t="shared" si="25"/>
        <v>0</v>
      </c>
      <c r="AL148">
        <f t="shared" si="34"/>
        <v>0</v>
      </c>
      <c r="AM148">
        <f t="shared" si="26"/>
        <v>1</v>
      </c>
      <c r="AN148">
        <f t="shared" si="35"/>
        <v>0</v>
      </c>
      <c r="AO148" s="28">
        <f t="shared" si="27"/>
        <v>0</v>
      </c>
      <c r="AP148" s="28">
        <f t="shared" si="28"/>
        <v>0</v>
      </c>
      <c r="AQ148" s="28">
        <f t="shared" si="36"/>
        <v>0</v>
      </c>
      <c r="AR148" s="29">
        <f t="shared" si="37"/>
        <v>3.7898640124255499E-2</v>
      </c>
      <c r="AT148" s="12"/>
      <c r="AU148">
        <f t="shared" si="29"/>
        <v>0</v>
      </c>
      <c r="AV148">
        <f t="shared" si="30"/>
        <v>1</v>
      </c>
      <c r="AW148">
        <f t="shared" si="38"/>
        <v>0</v>
      </c>
      <c r="AX148">
        <f t="shared" si="31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7.3169088267634241E-2</v>
      </c>
      <c r="BE148" s="29">
        <f t="shared" si="42"/>
        <v>0</v>
      </c>
      <c r="BF148" s="29">
        <f t="shared" si="43"/>
        <v>0.11106772839188976</v>
      </c>
      <c r="BH148" s="29"/>
    </row>
    <row r="149" spans="1:60" x14ac:dyDescent="0.25">
      <c r="A149" s="1">
        <v>46239</v>
      </c>
      <c r="B149" s="33">
        <v>23.49</v>
      </c>
      <c r="C149" s="33">
        <v>24.17</v>
      </c>
      <c r="D149" s="15">
        <v>-1.85581032494605E-2</v>
      </c>
      <c r="E149" s="15">
        <v>-1.6820909422496901E-2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23.49</v>
      </c>
      <c r="M149" s="33">
        <v>24.17</v>
      </c>
      <c r="N149" s="34">
        <v>1.0289484887186</v>
      </c>
      <c r="O149" s="34">
        <v>1.0078468940038601</v>
      </c>
      <c r="P149" s="34">
        <v>1.0212903488245999</v>
      </c>
      <c r="Q149" s="34">
        <v>1.0139571715924101</v>
      </c>
      <c r="R149" s="33">
        <v>23.674323540150901</v>
      </c>
      <c r="S149" s="33">
        <v>23.9467933061491</v>
      </c>
      <c r="T149" s="33">
        <v>23.7952217565702</v>
      </c>
      <c r="U149" s="15">
        <v>-2.07211288011564E-2</v>
      </c>
      <c r="V149" s="15">
        <v>-9.2777710064454195E-3</v>
      </c>
      <c r="W149" s="15">
        <v>-1.5627400724923399E-2</v>
      </c>
      <c r="X149" s="34">
        <v>1.0289484887186</v>
      </c>
      <c r="Y149" s="34">
        <v>1.0078468940038601</v>
      </c>
      <c r="Z149" s="34">
        <v>1.0212903488245999</v>
      </c>
      <c r="AA149" s="34">
        <v>1.0139571715924101</v>
      </c>
      <c r="AB149" s="33">
        <v>23.674323540150901</v>
      </c>
      <c r="AC149" s="33">
        <v>23.9467933061491</v>
      </c>
      <c r="AD149" s="33">
        <v>23.7952217565702</v>
      </c>
      <c r="AE149" s="15">
        <v>-2.07211288011564E-2</v>
      </c>
      <c r="AF149" s="15">
        <v>-9.2777710064454195E-3</v>
      </c>
      <c r="AG149" s="15">
        <v>-1.5627400724923399E-2</v>
      </c>
      <c r="AI149" s="12"/>
      <c r="AJ149">
        <f t="shared" si="24"/>
        <v>0</v>
      </c>
      <c r="AK149">
        <f t="shared" si="25"/>
        <v>0</v>
      </c>
      <c r="AL149">
        <f t="shared" si="34"/>
        <v>0</v>
      </c>
      <c r="AM149">
        <f t="shared" si="26"/>
        <v>1</v>
      </c>
      <c r="AN149">
        <f t="shared" si="35"/>
        <v>0</v>
      </c>
      <c r="AO149" s="28">
        <f t="shared" si="27"/>
        <v>0</v>
      </c>
      <c r="AP149" s="28">
        <f t="shared" si="28"/>
        <v>0</v>
      </c>
      <c r="AQ149" s="28">
        <f t="shared" si="36"/>
        <v>0</v>
      </c>
      <c r="AR149" s="29">
        <f t="shared" si="37"/>
        <v>3.7898640124255499E-2</v>
      </c>
      <c r="AT149" s="12"/>
      <c r="AU149">
        <f t="shared" si="29"/>
        <v>0</v>
      </c>
      <c r="AV149">
        <f t="shared" si="30"/>
        <v>1</v>
      </c>
      <c r="AW149">
        <f t="shared" si="38"/>
        <v>0</v>
      </c>
      <c r="AX149">
        <f t="shared" si="31"/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7.3169088267634241E-2</v>
      </c>
      <c r="BE149" s="29">
        <f t="shared" si="42"/>
        <v>0</v>
      </c>
      <c r="BF149" s="29">
        <f t="shared" si="43"/>
        <v>0.11106772839188976</v>
      </c>
      <c r="BH149" s="29"/>
    </row>
    <row r="150" spans="1:60" x14ac:dyDescent="0.25">
      <c r="A150" s="1">
        <v>46240</v>
      </c>
      <c r="B150" s="33">
        <v>23.95</v>
      </c>
      <c r="C150" s="33">
        <v>24.42</v>
      </c>
      <c r="D150" s="15">
        <v>1.9393525186102899E-2</v>
      </c>
      <c r="E150" s="15">
        <v>1.0290273967166899E-2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23.95</v>
      </c>
      <c r="M150" s="33">
        <v>24.42</v>
      </c>
      <c r="N150" s="34">
        <v>1.01962421711899</v>
      </c>
      <c r="O150" s="34">
        <v>1.0078468940038601</v>
      </c>
      <c r="P150" s="34">
        <v>1.0213591727006099</v>
      </c>
      <c r="Q150" s="34">
        <v>1.0144895494142401</v>
      </c>
      <c r="R150" s="33">
        <v>24.137933111392599</v>
      </c>
      <c r="S150" s="33">
        <v>24.4599038543492</v>
      </c>
      <c r="T150" s="33">
        <v>24.284274259638199</v>
      </c>
      <c r="U150" s="15">
        <v>-1.16178775822206E-2</v>
      </c>
      <c r="V150" s="15">
        <v>1.6327308389480499E-3</v>
      </c>
      <c r="W150" s="15">
        <v>-5.5734776370064002E-3</v>
      </c>
      <c r="X150" s="34">
        <v>1.01962421711899</v>
      </c>
      <c r="Y150" s="34">
        <v>1.0078468940038601</v>
      </c>
      <c r="Z150" s="34">
        <v>1.0213591727006099</v>
      </c>
      <c r="AA150" s="34">
        <v>1.0144895494142401</v>
      </c>
      <c r="AB150" s="33">
        <v>24.137933111392599</v>
      </c>
      <c r="AC150" s="33">
        <v>24.4599038543492</v>
      </c>
      <c r="AD150" s="33">
        <v>24.284274259638199</v>
      </c>
      <c r="AE150" s="15">
        <v>-1.16178775822206E-2</v>
      </c>
      <c r="AF150" s="15">
        <v>1.6327308389480499E-3</v>
      </c>
      <c r="AG150" s="15">
        <v>-5.5734776370064002E-3</v>
      </c>
      <c r="AI150" s="12"/>
      <c r="AJ150">
        <f t="shared" ref="AJ150:AJ186" si="44">IF($AG150&lt;AI$21,1,0)</f>
        <v>0</v>
      </c>
      <c r="AK150">
        <f t="shared" ref="AK150:AK186" si="45">IF($AG150&gt;AI$22,1,0)</f>
        <v>1</v>
      </c>
      <c r="AL150">
        <f t="shared" si="34"/>
        <v>0</v>
      </c>
      <c r="AM150">
        <f t="shared" ref="AM150:AM186" si="46">IF(F151+H151&gt;0,0,1)</f>
        <v>1</v>
      </c>
      <c r="AN150">
        <f t="shared" si="35"/>
        <v>0</v>
      </c>
      <c r="AO150" s="28">
        <f t="shared" ref="AO150:AO186" si="47">AN150*D150</f>
        <v>0</v>
      </c>
      <c r="AP150" s="28">
        <f t="shared" ref="AP150:AP186" si="48">-AN150*$E150</f>
        <v>0</v>
      </c>
      <c r="AQ150" s="28">
        <f t="shared" si="36"/>
        <v>0</v>
      </c>
      <c r="AR150" s="29">
        <f t="shared" si="37"/>
        <v>3.7898640124255499E-2</v>
      </c>
      <c r="AT150" s="12"/>
      <c r="AU150">
        <f t="shared" ref="AU150:AU186" si="49">IF($AG150&gt;AT$21,1,0)</f>
        <v>0</v>
      </c>
      <c r="AV150">
        <f t="shared" ref="AV150:AV186" si="50">IF($AG150&lt;AT$22,1,0)</f>
        <v>1</v>
      </c>
      <c r="AW150">
        <f t="shared" si="38"/>
        <v>0</v>
      </c>
      <c r="AX150">
        <f t="shared" ref="AX150:AX186" si="51">IF(F151+H151&gt;0,0,1)</f>
        <v>1</v>
      </c>
      <c r="AY150">
        <f t="shared" si="39"/>
        <v>0</v>
      </c>
      <c r="AZ150" s="28">
        <f t="shared" ref="AZ150:AZ186" si="52">-AY150*D150</f>
        <v>0</v>
      </c>
      <c r="BA150" s="28">
        <f t="shared" ref="BA150:BA186" si="53">AY150*$E150</f>
        <v>0</v>
      </c>
      <c r="BB150" s="28">
        <f t="shared" si="40"/>
        <v>0</v>
      </c>
      <c r="BC150" s="29">
        <f t="shared" si="41"/>
        <v>7.3169088267634241E-2</v>
      </c>
      <c r="BE150" s="29">
        <f t="shared" si="42"/>
        <v>0</v>
      </c>
      <c r="BF150" s="29">
        <f t="shared" si="43"/>
        <v>0.11106772839188976</v>
      </c>
      <c r="BH150" s="29"/>
    </row>
    <row r="151" spans="1:60" x14ac:dyDescent="0.25">
      <c r="A151" s="1">
        <v>46241</v>
      </c>
      <c r="B151" s="33">
        <v>24</v>
      </c>
      <c r="C151" s="33">
        <v>24.6</v>
      </c>
      <c r="D151" s="15">
        <v>2.0855064910213598E-3</v>
      </c>
      <c r="E151" s="15">
        <v>7.3439742557585E-3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24</v>
      </c>
      <c r="M151" s="33">
        <v>24.6</v>
      </c>
      <c r="N151" s="34">
        <v>1.0249999999999999</v>
      </c>
      <c r="O151" s="34">
        <v>1.0078468940038601</v>
      </c>
      <c r="P151" s="34">
        <v>1.0221735234978799</v>
      </c>
      <c r="Q151" s="34">
        <v>1.0154721697350999</v>
      </c>
      <c r="R151" s="33">
        <v>24.188325456092802</v>
      </c>
      <c r="S151" s="33">
        <v>24.512620144814701</v>
      </c>
      <c r="T151" s="33">
        <v>24.3477491859419</v>
      </c>
      <c r="U151" s="15">
        <v>-1.68763453469577E-2</v>
      </c>
      <c r="V151" s="15">
        <v>-3.55835005857345E-3</v>
      </c>
      <c r="W151" s="15">
        <v>-1.03070335777854E-2</v>
      </c>
      <c r="X151" s="34">
        <v>1.0249999999999999</v>
      </c>
      <c r="Y151" s="34">
        <v>1.0078468940038601</v>
      </c>
      <c r="Z151" s="34">
        <v>1.0221735234978799</v>
      </c>
      <c r="AA151" s="34">
        <v>1.0154721697350999</v>
      </c>
      <c r="AB151" s="33">
        <v>24.188325456092802</v>
      </c>
      <c r="AC151" s="33">
        <v>24.512620144814701</v>
      </c>
      <c r="AD151" s="33">
        <v>24.3477491859419</v>
      </c>
      <c r="AE151" s="15">
        <v>-1.68763453469577E-2</v>
      </c>
      <c r="AF151" s="15">
        <v>-3.55835005857345E-3</v>
      </c>
      <c r="AG151" s="15">
        <v>-1.03070335777854E-2</v>
      </c>
      <c r="AI151" s="12"/>
      <c r="AJ151">
        <f t="shared" si="44"/>
        <v>0</v>
      </c>
      <c r="AK151">
        <f t="shared" si="45"/>
        <v>0</v>
      </c>
      <c r="AL151">
        <f t="shared" ref="AL151:AL186" si="54">AN151</f>
        <v>0</v>
      </c>
      <c r="AM151">
        <f t="shared" si="46"/>
        <v>1</v>
      </c>
      <c r="AN151">
        <f t="shared" ref="AN151:AN186" si="55">IF(AJ150,1,IF(AK150,0,AL150))*AM150</f>
        <v>0</v>
      </c>
      <c r="AO151" s="28">
        <f t="shared" si="47"/>
        <v>0</v>
      </c>
      <c r="AP151" s="28">
        <f t="shared" si="48"/>
        <v>0</v>
      </c>
      <c r="AQ151" s="28">
        <f t="shared" ref="AQ151:AQ186" si="56">AO151+AP151</f>
        <v>0</v>
      </c>
      <c r="AR151" s="29">
        <f t="shared" ref="AR151:AR186" si="57">AR150+AQ151</f>
        <v>3.7898640124255499E-2</v>
      </c>
      <c r="AT151" s="12"/>
      <c r="AU151">
        <f t="shared" si="49"/>
        <v>0</v>
      </c>
      <c r="AV151">
        <f t="shared" si="50"/>
        <v>1</v>
      </c>
      <c r="AW151">
        <f t="shared" ref="AW151:AW186" si="58">AY151</f>
        <v>0</v>
      </c>
      <c r="AX151">
        <f t="shared" si="51"/>
        <v>1</v>
      </c>
      <c r="AY151">
        <f t="shared" ref="AY151:AY18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86" si="60">AZ151+BA151</f>
        <v>0</v>
      </c>
      <c r="BC151" s="29">
        <f t="shared" ref="BC151:BC186" si="61">BC150+BB151</f>
        <v>7.3169088267634241E-2</v>
      </c>
      <c r="BE151" s="29">
        <f t="shared" ref="BE151:BE186" si="62">AQ151+BB151</f>
        <v>0</v>
      </c>
      <c r="BF151" s="29">
        <f t="shared" ref="BF151:BF186" si="63">BF150+BE151</f>
        <v>0.11106772839188976</v>
      </c>
      <c r="BH151" s="29"/>
    </row>
    <row r="152" spans="1:60" x14ac:dyDescent="0.25">
      <c r="A152" s="1">
        <v>46244</v>
      </c>
      <c r="B152" s="33">
        <v>25.28</v>
      </c>
      <c r="C152" s="33">
        <v>25.42</v>
      </c>
      <c r="D152" s="15">
        <v>5.1959738930711097E-2</v>
      </c>
      <c r="E152" s="15">
        <v>3.2789822822990901E-2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25.28</v>
      </c>
      <c r="M152" s="33">
        <v>25.42</v>
      </c>
      <c r="N152" s="34">
        <v>1.00553797468354</v>
      </c>
      <c r="O152" s="34">
        <v>1.0078468940038601</v>
      </c>
      <c r="P152" s="34">
        <v>1.0210865227400701</v>
      </c>
      <c r="Q152" s="34">
        <v>1.0152263411965501</v>
      </c>
      <c r="R152" s="33">
        <v>25.4783694804178</v>
      </c>
      <c r="S152" s="33">
        <v>25.840546674026399</v>
      </c>
      <c r="T152" s="33">
        <v>25.671136450903401</v>
      </c>
      <c r="U152" s="15">
        <v>2.2935707607626798E-3</v>
      </c>
      <c r="V152" s="15">
        <v>1.6408569044879098E-2</v>
      </c>
      <c r="W152" s="15">
        <v>9.8309997001583202E-3</v>
      </c>
      <c r="X152" s="34">
        <v>1.00553797468354</v>
      </c>
      <c r="Y152" s="34">
        <v>1.0078468940038601</v>
      </c>
      <c r="Z152" s="34">
        <v>1.0210865227400701</v>
      </c>
      <c r="AA152" s="34">
        <v>1.0152263411965501</v>
      </c>
      <c r="AB152" s="33">
        <v>25.4783694804178</v>
      </c>
      <c r="AC152" s="33">
        <v>25.840546674026399</v>
      </c>
      <c r="AD152" s="33">
        <v>25.671136450903401</v>
      </c>
      <c r="AE152" s="15">
        <v>2.2935707607626798E-3</v>
      </c>
      <c r="AF152" s="15">
        <v>1.6408569044879098E-2</v>
      </c>
      <c r="AG152" s="15">
        <v>9.8309997001583202E-3</v>
      </c>
      <c r="AI152" s="12"/>
      <c r="AJ152">
        <f t="shared" si="44"/>
        <v>0</v>
      </c>
      <c r="AK152">
        <f t="shared" si="45"/>
        <v>1</v>
      </c>
      <c r="AL152">
        <f t="shared" si="54"/>
        <v>0</v>
      </c>
      <c r="AM152">
        <f t="shared" si="46"/>
        <v>1</v>
      </c>
      <c r="AN152">
        <f t="shared" si="55"/>
        <v>0</v>
      </c>
      <c r="AO152" s="28">
        <f t="shared" si="47"/>
        <v>0</v>
      </c>
      <c r="AP152" s="28">
        <f t="shared" si="48"/>
        <v>0</v>
      </c>
      <c r="AQ152" s="28">
        <f t="shared" si="56"/>
        <v>0</v>
      </c>
      <c r="AR152" s="29">
        <f t="shared" si="57"/>
        <v>3.7898640124255499E-2</v>
      </c>
      <c r="AT152" s="12"/>
      <c r="AU152">
        <f t="shared" si="49"/>
        <v>0</v>
      </c>
      <c r="AV152">
        <f t="shared" si="50"/>
        <v>0</v>
      </c>
      <c r="AW152">
        <f t="shared" si="58"/>
        <v>0</v>
      </c>
      <c r="AX152">
        <f t="shared" si="51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7.3169088267634241E-2</v>
      </c>
      <c r="BE152" s="29">
        <f t="shared" si="62"/>
        <v>0</v>
      </c>
      <c r="BF152" s="29">
        <f t="shared" si="63"/>
        <v>0.11106772839188976</v>
      </c>
      <c r="BH152" s="29"/>
    </row>
    <row r="153" spans="1:60" x14ac:dyDescent="0.25">
      <c r="A153" s="1">
        <v>46245</v>
      </c>
      <c r="B153" s="33">
        <v>24.93</v>
      </c>
      <c r="C153" s="33">
        <v>25</v>
      </c>
      <c r="D153" s="15">
        <v>-1.3941671743190101E-2</v>
      </c>
      <c r="E153" s="15">
        <v>-1.6660440893107299E-2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24.93</v>
      </c>
      <c r="M153" s="33">
        <v>25</v>
      </c>
      <c r="N153" s="34">
        <v>1.00280786201363</v>
      </c>
      <c r="O153" s="34">
        <v>1.0078468940038601</v>
      </c>
      <c r="P153" s="34">
        <v>1.0195631852300899</v>
      </c>
      <c r="Q153" s="34">
        <v>1.0148792691161701</v>
      </c>
      <c r="R153" s="33">
        <v>25.125623067516401</v>
      </c>
      <c r="S153" s="33">
        <v>25.455687011909902</v>
      </c>
      <c r="T153" s="33">
        <v>25.309592686030101</v>
      </c>
      <c r="U153" s="15">
        <v>5.0123399106795103E-3</v>
      </c>
      <c r="V153" s="15">
        <v>1.8063351393549198E-2</v>
      </c>
      <c r="W153" s="15">
        <v>1.23076565538112E-2</v>
      </c>
      <c r="X153" s="34">
        <v>1.00280786201363</v>
      </c>
      <c r="Y153" s="34">
        <v>1.0078468940038601</v>
      </c>
      <c r="Z153" s="34">
        <v>1.0195631852300899</v>
      </c>
      <c r="AA153" s="34">
        <v>1.0148792691161701</v>
      </c>
      <c r="AB153" s="33">
        <v>25.125623067516401</v>
      </c>
      <c r="AC153" s="33">
        <v>25.455687011909902</v>
      </c>
      <c r="AD153" s="33">
        <v>25.309592686030101</v>
      </c>
      <c r="AE153" s="15">
        <v>5.0123399106795103E-3</v>
      </c>
      <c r="AF153" s="15">
        <v>1.8063351393549198E-2</v>
      </c>
      <c r="AG153" s="15">
        <v>1.23076565538112E-2</v>
      </c>
      <c r="AI153" s="12"/>
      <c r="AJ153">
        <f t="shared" si="44"/>
        <v>0</v>
      </c>
      <c r="AK153">
        <f t="shared" si="45"/>
        <v>1</v>
      </c>
      <c r="AL153">
        <f t="shared" si="54"/>
        <v>0</v>
      </c>
      <c r="AM153">
        <f t="shared" si="46"/>
        <v>1</v>
      </c>
      <c r="AN153">
        <f t="shared" si="55"/>
        <v>0</v>
      </c>
      <c r="AO153" s="28">
        <f t="shared" si="47"/>
        <v>0</v>
      </c>
      <c r="AP153" s="28">
        <f t="shared" si="48"/>
        <v>0</v>
      </c>
      <c r="AQ153" s="28">
        <f t="shared" si="56"/>
        <v>0</v>
      </c>
      <c r="AR153" s="29">
        <f t="shared" si="57"/>
        <v>3.7898640124255499E-2</v>
      </c>
      <c r="AT153" s="12"/>
      <c r="AU153">
        <f t="shared" si="49"/>
        <v>1</v>
      </c>
      <c r="AV153">
        <f t="shared" si="50"/>
        <v>0</v>
      </c>
      <c r="AW153">
        <f t="shared" si="58"/>
        <v>0</v>
      </c>
      <c r="AX153">
        <f t="shared" si="51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7.3169088267634241E-2</v>
      </c>
      <c r="BE153" s="29">
        <f t="shared" si="62"/>
        <v>0</v>
      </c>
      <c r="BF153" s="29">
        <f t="shared" si="63"/>
        <v>0.11106772839188976</v>
      </c>
      <c r="BH153" s="29"/>
    </row>
    <row r="154" spans="1:60" x14ac:dyDescent="0.25">
      <c r="A154" s="1">
        <v>46246</v>
      </c>
      <c r="B154" s="33">
        <v>25.71</v>
      </c>
      <c r="C154" s="33">
        <v>25.73</v>
      </c>
      <c r="D154" s="15">
        <v>3.0808123742331699E-2</v>
      </c>
      <c r="E154" s="15">
        <v>2.87818014254521E-2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25.71</v>
      </c>
      <c r="M154" s="33">
        <v>25.73</v>
      </c>
      <c r="N154" s="34">
        <v>1.00077790742901</v>
      </c>
      <c r="O154" s="34">
        <v>1.0078468940038601</v>
      </c>
      <c r="P154" s="34">
        <v>1.0170285562727801</v>
      </c>
      <c r="Q154" s="34">
        <v>1.0148269652172199</v>
      </c>
      <c r="R154" s="33">
        <v>25.911743644839401</v>
      </c>
      <c r="S154" s="33">
        <v>26.2129694922657</v>
      </c>
      <c r="T154" s="33">
        <v>26.0925460089769</v>
      </c>
      <c r="U154" s="15">
        <v>7.0386622275591098E-3</v>
      </c>
      <c r="V154" s="15">
        <v>1.8596680780785E-2</v>
      </c>
      <c r="W154" s="15">
        <v>1.39920537196099E-2</v>
      </c>
      <c r="X154" s="34">
        <v>1.00077790742901</v>
      </c>
      <c r="Y154" s="34">
        <v>1.0078468940038601</v>
      </c>
      <c r="Z154" s="34">
        <v>1.0170285562727801</v>
      </c>
      <c r="AA154" s="34">
        <v>1.0148269652172199</v>
      </c>
      <c r="AB154" s="33">
        <v>25.911743644839401</v>
      </c>
      <c r="AC154" s="33">
        <v>26.2129694922657</v>
      </c>
      <c r="AD154" s="33">
        <v>26.0925460089769</v>
      </c>
      <c r="AE154" s="15">
        <v>7.0386622275591098E-3</v>
      </c>
      <c r="AF154" s="15">
        <v>1.8596680780785E-2</v>
      </c>
      <c r="AG154" s="15">
        <v>1.39920537196099E-2</v>
      </c>
      <c r="AI154" s="12"/>
      <c r="AJ154">
        <f t="shared" si="44"/>
        <v>0</v>
      </c>
      <c r="AK154">
        <f t="shared" si="45"/>
        <v>1</v>
      </c>
      <c r="AL154">
        <f t="shared" si="54"/>
        <v>0</v>
      </c>
      <c r="AM154">
        <f t="shared" si="46"/>
        <v>1</v>
      </c>
      <c r="AN154">
        <f t="shared" si="55"/>
        <v>0</v>
      </c>
      <c r="AO154" s="28">
        <f t="shared" si="47"/>
        <v>0</v>
      </c>
      <c r="AP154" s="28">
        <f t="shared" si="48"/>
        <v>0</v>
      </c>
      <c r="AQ154" s="28">
        <f t="shared" si="56"/>
        <v>0</v>
      </c>
      <c r="AR154" s="29">
        <f t="shared" si="57"/>
        <v>3.7898640124255499E-2</v>
      </c>
      <c r="AT154" s="12"/>
      <c r="AU154">
        <f t="shared" si="49"/>
        <v>1</v>
      </c>
      <c r="AV154">
        <f t="shared" si="50"/>
        <v>0</v>
      </c>
      <c r="AW154">
        <f t="shared" si="58"/>
        <v>1</v>
      </c>
      <c r="AX154">
        <f t="shared" si="51"/>
        <v>1</v>
      </c>
      <c r="AY154">
        <f t="shared" si="59"/>
        <v>1</v>
      </c>
      <c r="AZ154" s="28">
        <f t="shared" si="52"/>
        <v>-3.0808123742331699E-2</v>
      </c>
      <c r="BA154" s="28">
        <f t="shared" si="53"/>
        <v>2.87818014254521E-2</v>
      </c>
      <c r="BB154" s="28">
        <f t="shared" si="60"/>
        <v>-2.0263223168795995E-3</v>
      </c>
      <c r="BC154" s="29">
        <f t="shared" si="61"/>
        <v>7.1142765950754638E-2</v>
      </c>
      <c r="BE154" s="29">
        <f t="shared" si="62"/>
        <v>-2.0263223168795995E-3</v>
      </c>
      <c r="BF154" s="29">
        <f t="shared" si="63"/>
        <v>0.10904140607501016</v>
      </c>
      <c r="BH154" s="29"/>
    </row>
    <row r="155" spans="1:60" x14ac:dyDescent="0.25">
      <c r="A155" s="1">
        <v>46247</v>
      </c>
      <c r="B155" s="33">
        <v>26.69</v>
      </c>
      <c r="C155" s="33">
        <v>26.89</v>
      </c>
      <c r="D155" s="15">
        <v>3.7408942138634597E-2</v>
      </c>
      <c r="E155" s="15">
        <v>4.4096843987120403E-2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26.69</v>
      </c>
      <c r="M155" s="33">
        <v>26.89</v>
      </c>
      <c r="N155" s="34">
        <v>1.0074934432371601</v>
      </c>
      <c r="O155" s="34">
        <v>1.0078468940038601</v>
      </c>
      <c r="P155" s="34">
        <v>1.01612859504094</v>
      </c>
      <c r="Q155" s="34">
        <v>1.0149792174502501</v>
      </c>
      <c r="R155" s="33">
        <v>26.899433600963199</v>
      </c>
      <c r="S155" s="33">
        <v>27.1444921669205</v>
      </c>
      <c r="T155" s="33">
        <v>27.0857317016476</v>
      </c>
      <c r="U155" s="15">
        <v>3.5076037907330002E-4</v>
      </c>
      <c r="V155" s="15">
        <v>9.4196887388323901E-3</v>
      </c>
      <c r="W155" s="15">
        <v>7.2526134779500699E-3</v>
      </c>
      <c r="X155" s="34">
        <v>1.0074934432371601</v>
      </c>
      <c r="Y155" s="34">
        <v>1.0078468940038601</v>
      </c>
      <c r="Z155" s="34">
        <v>1.01612859504094</v>
      </c>
      <c r="AA155" s="34">
        <v>1.0149792174502501</v>
      </c>
      <c r="AB155" s="33">
        <v>26.899433600963199</v>
      </c>
      <c r="AC155" s="33">
        <v>27.1444921669205</v>
      </c>
      <c r="AD155" s="33">
        <v>27.0857317016476</v>
      </c>
      <c r="AE155" s="15">
        <v>3.5076037907330002E-4</v>
      </c>
      <c r="AF155" s="15">
        <v>9.4196887388323901E-3</v>
      </c>
      <c r="AG155" s="15">
        <v>7.2526134779500699E-3</v>
      </c>
      <c r="AI155" s="12"/>
      <c r="AJ155">
        <f t="shared" si="44"/>
        <v>0</v>
      </c>
      <c r="AK155">
        <f t="shared" si="45"/>
        <v>1</v>
      </c>
      <c r="AL155">
        <f t="shared" si="54"/>
        <v>0</v>
      </c>
      <c r="AM155">
        <f t="shared" si="46"/>
        <v>1</v>
      </c>
      <c r="AN155">
        <f t="shared" si="55"/>
        <v>0</v>
      </c>
      <c r="AO155" s="28">
        <f t="shared" si="47"/>
        <v>0</v>
      </c>
      <c r="AP155" s="28">
        <f t="shared" si="48"/>
        <v>0</v>
      </c>
      <c r="AQ155" s="28">
        <f t="shared" si="56"/>
        <v>0</v>
      </c>
      <c r="AR155" s="29">
        <f t="shared" si="57"/>
        <v>3.7898640124255499E-2</v>
      </c>
      <c r="AT155" s="12"/>
      <c r="AU155">
        <f t="shared" si="49"/>
        <v>0</v>
      </c>
      <c r="AV155">
        <f t="shared" si="50"/>
        <v>0</v>
      </c>
      <c r="AW155">
        <f t="shared" si="58"/>
        <v>1</v>
      </c>
      <c r="AX155">
        <f t="shared" si="51"/>
        <v>1</v>
      </c>
      <c r="AY155">
        <f t="shared" si="59"/>
        <v>1</v>
      </c>
      <c r="AZ155" s="28">
        <f t="shared" si="52"/>
        <v>-3.7408942138634597E-2</v>
      </c>
      <c r="BA155" s="28">
        <f t="shared" si="53"/>
        <v>4.4096843987120403E-2</v>
      </c>
      <c r="BB155" s="28">
        <f t="shared" si="60"/>
        <v>6.6879018484858055E-3</v>
      </c>
      <c r="BC155" s="29">
        <f t="shared" si="61"/>
        <v>7.7830667799240444E-2</v>
      </c>
      <c r="BE155" s="29">
        <f t="shared" si="62"/>
        <v>6.6879018484858055E-3</v>
      </c>
      <c r="BF155" s="29">
        <f t="shared" si="63"/>
        <v>0.11572930792349596</v>
      </c>
      <c r="BH155" s="29"/>
    </row>
    <row r="156" spans="1:60" x14ac:dyDescent="0.25">
      <c r="A156" s="1">
        <v>46248</v>
      </c>
      <c r="B156" s="33">
        <v>26.7</v>
      </c>
      <c r="C156" s="33">
        <v>27.08</v>
      </c>
      <c r="D156" s="15">
        <v>3.7460198977097098E-4</v>
      </c>
      <c r="E156" s="15">
        <v>7.0409777633007996E-3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26.7</v>
      </c>
      <c r="M156" s="33">
        <v>27.08</v>
      </c>
      <c r="N156" s="34">
        <v>1.01423220973782</v>
      </c>
      <c r="O156" s="34">
        <v>1.0078468940038601</v>
      </c>
      <c r="P156" s="34">
        <v>1.0155233309046701</v>
      </c>
      <c r="Q156" s="34">
        <v>1.0153947003745001</v>
      </c>
      <c r="R156" s="33">
        <v>26.9095120699033</v>
      </c>
      <c r="S156" s="33">
        <v>27.130633487593101</v>
      </c>
      <c r="T156" s="33">
        <v>27.099945105921801</v>
      </c>
      <c r="U156" s="15">
        <v>-6.3156153944564399E-3</v>
      </c>
      <c r="V156" s="15">
        <v>1.8680284313114001E-3</v>
      </c>
      <c r="W156" s="15">
        <v>7.3625422778886296E-4</v>
      </c>
      <c r="X156" s="34">
        <v>1.01423220973782</v>
      </c>
      <c r="Y156" s="34">
        <v>1.0078468940038601</v>
      </c>
      <c r="Z156" s="34">
        <v>1.0155233309046701</v>
      </c>
      <c r="AA156" s="34">
        <v>1.0153947003745001</v>
      </c>
      <c r="AB156" s="33">
        <v>26.9095120699033</v>
      </c>
      <c r="AC156" s="33">
        <v>27.130633487593101</v>
      </c>
      <c r="AD156" s="33">
        <v>27.099945105921801</v>
      </c>
      <c r="AE156" s="15">
        <v>-6.3156153944564399E-3</v>
      </c>
      <c r="AF156" s="15">
        <v>1.8680284313114001E-3</v>
      </c>
      <c r="AG156" s="15">
        <v>7.3625422778886296E-4</v>
      </c>
      <c r="AI156" s="12"/>
      <c r="AJ156">
        <f t="shared" si="44"/>
        <v>0</v>
      </c>
      <c r="AK156">
        <f t="shared" si="45"/>
        <v>1</v>
      </c>
      <c r="AL156">
        <f t="shared" si="54"/>
        <v>0</v>
      </c>
      <c r="AM156">
        <f t="shared" si="46"/>
        <v>1</v>
      </c>
      <c r="AN156">
        <f t="shared" si="55"/>
        <v>0</v>
      </c>
      <c r="AO156" s="28">
        <f t="shared" si="47"/>
        <v>0</v>
      </c>
      <c r="AP156" s="28">
        <f t="shared" si="48"/>
        <v>0</v>
      </c>
      <c r="AQ156" s="28">
        <f t="shared" si="56"/>
        <v>0</v>
      </c>
      <c r="AR156" s="29">
        <f t="shared" si="57"/>
        <v>3.7898640124255499E-2</v>
      </c>
      <c r="AT156" s="12"/>
      <c r="AU156">
        <f t="shared" si="49"/>
        <v>0</v>
      </c>
      <c r="AV156">
        <f t="shared" si="50"/>
        <v>1</v>
      </c>
      <c r="AW156">
        <f t="shared" si="58"/>
        <v>1</v>
      </c>
      <c r="AX156">
        <f t="shared" si="51"/>
        <v>1</v>
      </c>
      <c r="AY156">
        <f t="shared" si="59"/>
        <v>1</v>
      </c>
      <c r="AZ156" s="28">
        <f t="shared" si="52"/>
        <v>-3.7460198977097098E-4</v>
      </c>
      <c r="BA156" s="28">
        <f t="shared" si="53"/>
        <v>7.0409777633007996E-3</v>
      </c>
      <c r="BB156" s="28">
        <f t="shared" si="60"/>
        <v>6.6663757735298283E-3</v>
      </c>
      <c r="BC156" s="29">
        <f t="shared" si="61"/>
        <v>8.449704357277027E-2</v>
      </c>
      <c r="BE156" s="29">
        <f t="shared" si="62"/>
        <v>6.6663757735298283E-3</v>
      </c>
      <c r="BF156" s="29">
        <f t="shared" si="63"/>
        <v>0.12239568369702579</v>
      </c>
      <c r="BH156" s="29"/>
    </row>
    <row r="157" spans="1:60" x14ac:dyDescent="0.25">
      <c r="A157" s="1">
        <v>46251</v>
      </c>
      <c r="B157" s="33">
        <v>25.57</v>
      </c>
      <c r="C157" s="33">
        <v>26.14</v>
      </c>
      <c r="D157" s="15">
        <v>-4.3243776103108499E-2</v>
      </c>
      <c r="E157" s="15">
        <v>-3.5328739847998197E-2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25.57</v>
      </c>
      <c r="M157" s="33">
        <v>26.14</v>
      </c>
      <c r="N157" s="34">
        <v>1.0222917481423499</v>
      </c>
      <c r="O157" s="34">
        <v>1.0078468940038601</v>
      </c>
      <c r="P157" s="34">
        <v>1.0153876408540401</v>
      </c>
      <c r="Q157" s="34">
        <v>1.01669404528739</v>
      </c>
      <c r="R157" s="33">
        <v>25.7706450796789</v>
      </c>
      <c r="S157" s="33">
        <v>25.966931571232401</v>
      </c>
      <c r="T157" s="33">
        <v>25.963642488576099</v>
      </c>
      <c r="U157" s="15">
        <v>-1.4230651649566699E-2</v>
      </c>
      <c r="V157" s="15">
        <v>-6.6428423232525796E-3</v>
      </c>
      <c r="W157" s="15">
        <v>-6.7695146245033101E-3</v>
      </c>
      <c r="X157" s="34">
        <v>1.0222917481423499</v>
      </c>
      <c r="Y157" s="34">
        <v>1.0078468940038601</v>
      </c>
      <c r="Z157" s="34">
        <v>1.0153876408540401</v>
      </c>
      <c r="AA157" s="34">
        <v>1.01669404528739</v>
      </c>
      <c r="AB157" s="33">
        <v>25.7706450796789</v>
      </c>
      <c r="AC157" s="33">
        <v>25.966931571232401</v>
      </c>
      <c r="AD157" s="33">
        <v>25.963642488576099</v>
      </c>
      <c r="AE157" s="15">
        <v>-1.4230651649566699E-2</v>
      </c>
      <c r="AF157" s="15">
        <v>-6.6428423232525796E-3</v>
      </c>
      <c r="AG157" s="15">
        <v>-6.7695146245033101E-3</v>
      </c>
      <c r="AI157" s="12"/>
      <c r="AJ157">
        <f t="shared" si="44"/>
        <v>0</v>
      </c>
      <c r="AK157">
        <f t="shared" si="45"/>
        <v>1</v>
      </c>
      <c r="AL157">
        <f t="shared" si="54"/>
        <v>0</v>
      </c>
      <c r="AM157">
        <f t="shared" si="46"/>
        <v>1</v>
      </c>
      <c r="AN157">
        <f t="shared" si="55"/>
        <v>0</v>
      </c>
      <c r="AO157" s="28">
        <f t="shared" si="47"/>
        <v>0</v>
      </c>
      <c r="AP157" s="28">
        <f t="shared" si="48"/>
        <v>0</v>
      </c>
      <c r="AQ157" s="28">
        <f t="shared" si="56"/>
        <v>0</v>
      </c>
      <c r="AR157" s="29">
        <f t="shared" si="57"/>
        <v>3.7898640124255499E-2</v>
      </c>
      <c r="AT157" s="12"/>
      <c r="AU157">
        <f t="shared" si="49"/>
        <v>0</v>
      </c>
      <c r="AV157">
        <f t="shared" si="50"/>
        <v>1</v>
      </c>
      <c r="AW157">
        <f t="shared" si="58"/>
        <v>0</v>
      </c>
      <c r="AX157">
        <f t="shared" si="51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8.449704357277027E-2</v>
      </c>
      <c r="BE157" s="29">
        <f t="shared" si="62"/>
        <v>0</v>
      </c>
      <c r="BF157" s="29">
        <f t="shared" si="63"/>
        <v>0.12239568369702579</v>
      </c>
      <c r="BH157" s="29"/>
    </row>
    <row r="158" spans="1:60" x14ac:dyDescent="0.25">
      <c r="A158" s="1">
        <v>46252</v>
      </c>
      <c r="B158" s="33">
        <v>26.02</v>
      </c>
      <c r="C158" s="33">
        <v>26.52</v>
      </c>
      <c r="D158" s="15">
        <v>1.7445683781264001E-2</v>
      </c>
      <c r="E158" s="15">
        <v>1.44324571215858E-2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26.02</v>
      </c>
      <c r="M158" s="33">
        <v>26.52</v>
      </c>
      <c r="N158" s="34">
        <v>1.0192159877017599</v>
      </c>
      <c r="O158" s="34">
        <v>1.0078468940038601</v>
      </c>
      <c r="P158" s="34">
        <v>1.0145929838782899</v>
      </c>
      <c r="Q158" s="34">
        <v>1.0170196359610499</v>
      </c>
      <c r="R158" s="33">
        <v>26.224176181980599</v>
      </c>
      <c r="S158" s="33">
        <v>26.420386415022101</v>
      </c>
      <c r="T158" s="33">
        <v>26.454379058377999</v>
      </c>
      <c r="U158" s="15">
        <v>-1.1217424989888701E-2</v>
      </c>
      <c r="V158" s="15">
        <v>-3.7632404779739501E-3</v>
      </c>
      <c r="W158" s="15">
        <v>-2.4774608538102099E-3</v>
      </c>
      <c r="X158" s="34">
        <v>1.0192159877017599</v>
      </c>
      <c r="Y158" s="34">
        <v>1.0078468940038601</v>
      </c>
      <c r="Z158" s="34">
        <v>1.0145929838782899</v>
      </c>
      <c r="AA158" s="34">
        <v>1.0170196359610499</v>
      </c>
      <c r="AB158" s="33">
        <v>26.224176181980599</v>
      </c>
      <c r="AC158" s="33">
        <v>26.420386415022101</v>
      </c>
      <c r="AD158" s="33">
        <v>26.454379058377999</v>
      </c>
      <c r="AE158" s="15">
        <v>-1.1217424989888701E-2</v>
      </c>
      <c r="AF158" s="15">
        <v>-3.7632404779739501E-3</v>
      </c>
      <c r="AG158" s="15">
        <v>-2.4774608538102099E-3</v>
      </c>
      <c r="AI158" s="12"/>
      <c r="AJ158">
        <f t="shared" si="44"/>
        <v>0</v>
      </c>
      <c r="AK158">
        <f t="shared" si="45"/>
        <v>1</v>
      </c>
      <c r="AL158">
        <f t="shared" si="54"/>
        <v>0</v>
      </c>
      <c r="AM158">
        <f t="shared" si="46"/>
        <v>1</v>
      </c>
      <c r="AN158">
        <f t="shared" si="55"/>
        <v>0</v>
      </c>
      <c r="AO158" s="28">
        <f t="shared" si="47"/>
        <v>0</v>
      </c>
      <c r="AP158" s="28">
        <f t="shared" si="48"/>
        <v>0</v>
      </c>
      <c r="AQ158" s="28">
        <f t="shared" si="56"/>
        <v>0</v>
      </c>
      <c r="AR158" s="29">
        <f t="shared" si="57"/>
        <v>3.7898640124255499E-2</v>
      </c>
      <c r="AT158" s="12"/>
      <c r="AU158">
        <f t="shared" si="49"/>
        <v>0</v>
      </c>
      <c r="AV158">
        <f t="shared" si="50"/>
        <v>1</v>
      </c>
      <c r="AW158">
        <f t="shared" si="58"/>
        <v>0</v>
      </c>
      <c r="AX158">
        <f t="shared" si="51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8.449704357277027E-2</v>
      </c>
      <c r="BE158" s="29">
        <f t="shared" si="62"/>
        <v>0</v>
      </c>
      <c r="BF158" s="29">
        <f t="shared" si="63"/>
        <v>0.12239568369702579</v>
      </c>
      <c r="BH158" s="29"/>
    </row>
    <row r="159" spans="1:60" x14ac:dyDescent="0.25">
      <c r="A159" s="1">
        <v>46253</v>
      </c>
      <c r="B159" s="33">
        <v>25.94</v>
      </c>
      <c r="C159" s="33">
        <v>26.43</v>
      </c>
      <c r="D159" s="15">
        <v>-3.07929419606138E-3</v>
      </c>
      <c r="E159" s="15">
        <v>-3.39943670146391E-3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25.94</v>
      </c>
      <c r="M159" s="33">
        <v>26.43</v>
      </c>
      <c r="N159" s="34">
        <v>1.0188897455666901</v>
      </c>
      <c r="O159" s="34">
        <v>1.0078468940038601</v>
      </c>
      <c r="P159" s="34">
        <v>1.0135871095630999</v>
      </c>
      <c r="Q159" s="34">
        <v>1.01743872919385</v>
      </c>
      <c r="R159" s="33">
        <v>26.143548430460299</v>
      </c>
      <c r="S159" s="33">
        <v>26.3185420018028</v>
      </c>
      <c r="T159" s="33">
        <v>26.381489356829601</v>
      </c>
      <c r="U159" s="15">
        <v>-1.08972824844861E-2</v>
      </c>
      <c r="V159" s="15">
        <v>-4.2260187617242199E-3</v>
      </c>
      <c r="W159" s="15">
        <v>-1.8371251182218099E-3</v>
      </c>
      <c r="X159" s="34">
        <v>1.0188897455666901</v>
      </c>
      <c r="Y159" s="34">
        <v>1.0078468940038601</v>
      </c>
      <c r="Z159" s="34">
        <v>1.0135871095630999</v>
      </c>
      <c r="AA159" s="34">
        <v>1.01743872919385</v>
      </c>
      <c r="AB159" s="33">
        <v>26.143548430460299</v>
      </c>
      <c r="AC159" s="33">
        <v>26.3185420018028</v>
      </c>
      <c r="AD159" s="33">
        <v>26.381489356829601</v>
      </c>
      <c r="AE159" s="15">
        <v>-1.08972824844861E-2</v>
      </c>
      <c r="AF159" s="15">
        <v>-4.2260187617242199E-3</v>
      </c>
      <c r="AG159" s="15">
        <v>-1.8371251182218099E-3</v>
      </c>
      <c r="AI159" s="12"/>
      <c r="AJ159">
        <f t="shared" si="44"/>
        <v>0</v>
      </c>
      <c r="AK159">
        <f t="shared" si="45"/>
        <v>1</v>
      </c>
      <c r="AL159">
        <f t="shared" si="54"/>
        <v>0</v>
      </c>
      <c r="AM159">
        <f t="shared" si="46"/>
        <v>1</v>
      </c>
      <c r="AN159">
        <f t="shared" si="55"/>
        <v>0</v>
      </c>
      <c r="AO159" s="28">
        <f t="shared" si="47"/>
        <v>0</v>
      </c>
      <c r="AP159" s="28">
        <f t="shared" si="48"/>
        <v>0</v>
      </c>
      <c r="AQ159" s="28">
        <f t="shared" si="56"/>
        <v>0</v>
      </c>
      <c r="AR159" s="29">
        <f t="shared" si="57"/>
        <v>3.7898640124255499E-2</v>
      </c>
      <c r="AT159" s="12"/>
      <c r="AU159">
        <f t="shared" si="49"/>
        <v>0</v>
      </c>
      <c r="AV159">
        <f t="shared" si="50"/>
        <v>1</v>
      </c>
      <c r="AW159">
        <f t="shared" si="58"/>
        <v>0</v>
      </c>
      <c r="AX159">
        <f t="shared" si="51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8.449704357277027E-2</v>
      </c>
      <c r="BE159" s="29">
        <f t="shared" si="62"/>
        <v>0</v>
      </c>
      <c r="BF159" s="29">
        <f t="shared" si="63"/>
        <v>0.12239568369702579</v>
      </c>
      <c r="BH159" s="29"/>
    </row>
    <row r="160" spans="1:60" x14ac:dyDescent="0.25">
      <c r="A160" s="1">
        <v>46254</v>
      </c>
      <c r="B160" s="33">
        <v>25.51</v>
      </c>
      <c r="C160" s="33">
        <v>26.12</v>
      </c>
      <c r="D160" s="15">
        <v>-1.6715646734577701E-2</v>
      </c>
      <c r="E160" s="15">
        <v>-1.17984242079674E-2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25.51</v>
      </c>
      <c r="M160" s="33">
        <v>26.12</v>
      </c>
      <c r="N160" s="34">
        <v>1.02391219129753</v>
      </c>
      <c r="O160" s="34">
        <v>1.0078468940038601</v>
      </c>
      <c r="P160" s="34">
        <v>1.01401590698095</v>
      </c>
      <c r="Q160" s="34">
        <v>1.0176875398407801</v>
      </c>
      <c r="R160" s="33">
        <v>25.710174266038699</v>
      </c>
      <c r="S160" s="33">
        <v>25.856607164954699</v>
      </c>
      <c r="T160" s="33">
        <v>25.9548619817351</v>
      </c>
      <c r="U160" s="15">
        <v>-1.5814505011096401E-2</v>
      </c>
      <c r="V160" s="15">
        <v>-1.0135139789768301E-2</v>
      </c>
      <c r="W160" s="15">
        <v>-6.3423527415135596E-3</v>
      </c>
      <c r="X160" s="34">
        <v>1.02391219129753</v>
      </c>
      <c r="Y160" s="34">
        <v>1.0078468940038601</v>
      </c>
      <c r="Z160" s="34">
        <v>1.01401590698095</v>
      </c>
      <c r="AA160" s="34">
        <v>1.0176875398407801</v>
      </c>
      <c r="AB160" s="33">
        <v>25.710174266038699</v>
      </c>
      <c r="AC160" s="33">
        <v>25.856607164954699</v>
      </c>
      <c r="AD160" s="33">
        <v>25.9548619817351</v>
      </c>
      <c r="AE160" s="15">
        <v>-1.5814505011096401E-2</v>
      </c>
      <c r="AF160" s="15">
        <v>-1.0135139789768301E-2</v>
      </c>
      <c r="AG160" s="15">
        <v>-6.3423527415135596E-3</v>
      </c>
      <c r="AI160" s="12"/>
      <c r="AJ160">
        <f t="shared" si="44"/>
        <v>0</v>
      </c>
      <c r="AK160">
        <f t="shared" si="45"/>
        <v>1</v>
      </c>
      <c r="AL160">
        <f t="shared" si="54"/>
        <v>0</v>
      </c>
      <c r="AM160">
        <f t="shared" si="46"/>
        <v>1</v>
      </c>
      <c r="AN160">
        <f t="shared" si="55"/>
        <v>0</v>
      </c>
      <c r="AO160" s="28">
        <f t="shared" si="47"/>
        <v>0</v>
      </c>
      <c r="AP160" s="28">
        <f t="shared" si="48"/>
        <v>0</v>
      </c>
      <c r="AQ160" s="28">
        <f t="shared" si="56"/>
        <v>0</v>
      </c>
      <c r="AR160" s="29">
        <f t="shared" si="57"/>
        <v>3.7898640124255499E-2</v>
      </c>
      <c r="AT160" s="12"/>
      <c r="AU160">
        <f t="shared" si="49"/>
        <v>0</v>
      </c>
      <c r="AV160">
        <f t="shared" si="50"/>
        <v>1</v>
      </c>
      <c r="AW160">
        <f t="shared" si="58"/>
        <v>0</v>
      </c>
      <c r="AX160">
        <f t="shared" si="51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8.449704357277027E-2</v>
      </c>
      <c r="BE160" s="29">
        <f t="shared" si="62"/>
        <v>0</v>
      </c>
      <c r="BF160" s="29">
        <f t="shared" si="63"/>
        <v>0.12239568369702579</v>
      </c>
      <c r="BH160" s="29"/>
    </row>
    <row r="161" spans="1:60" x14ac:dyDescent="0.25">
      <c r="A161" s="1">
        <v>46255</v>
      </c>
      <c r="B161" s="33">
        <v>25.53</v>
      </c>
      <c r="C161" s="33">
        <v>25.99</v>
      </c>
      <c r="D161" s="15">
        <v>7.8369909967236303E-4</v>
      </c>
      <c r="E161" s="15">
        <v>-4.9894557548315196E-3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25.53</v>
      </c>
      <c r="M161" s="33">
        <v>25.99</v>
      </c>
      <c r="N161" s="34">
        <v>1.0180180180180101</v>
      </c>
      <c r="O161" s="34">
        <v>1.0078468940038601</v>
      </c>
      <c r="P161" s="34">
        <v>1.0133177087827501</v>
      </c>
      <c r="Q161" s="34">
        <v>1.01774561614031</v>
      </c>
      <c r="R161" s="33">
        <v>25.730331203918698</v>
      </c>
      <c r="S161" s="33">
        <v>25.887826105223699</v>
      </c>
      <c r="T161" s="33">
        <v>25.981562892135202</v>
      </c>
      <c r="U161" s="15">
        <v>-1.00413501565925E-2</v>
      </c>
      <c r="V161" s="15">
        <v>-3.9390249961176096E-3</v>
      </c>
      <c r="W161" s="15">
        <v>-3.2468170935741E-4</v>
      </c>
      <c r="X161" s="34">
        <v>1.0180180180180101</v>
      </c>
      <c r="Y161" s="34">
        <v>1.0078468940038601</v>
      </c>
      <c r="Z161" s="34">
        <v>1.0133177087827501</v>
      </c>
      <c r="AA161" s="34">
        <v>1.01774561614031</v>
      </c>
      <c r="AB161" s="33">
        <v>25.730331203918698</v>
      </c>
      <c r="AC161" s="33">
        <v>25.887826105223699</v>
      </c>
      <c r="AD161" s="33">
        <v>25.981562892135202</v>
      </c>
      <c r="AE161" s="15">
        <v>-1.00413501565925E-2</v>
      </c>
      <c r="AF161" s="15">
        <v>-3.9390249961176096E-3</v>
      </c>
      <c r="AG161" s="15">
        <v>-3.2468170935741E-4</v>
      </c>
      <c r="AI161" s="12"/>
      <c r="AJ161">
        <f t="shared" si="44"/>
        <v>0</v>
      </c>
      <c r="AK161">
        <f t="shared" si="45"/>
        <v>1</v>
      </c>
      <c r="AL161">
        <f t="shared" si="54"/>
        <v>0</v>
      </c>
      <c r="AM161">
        <f t="shared" si="46"/>
        <v>1</v>
      </c>
      <c r="AN161">
        <f t="shared" si="55"/>
        <v>0</v>
      </c>
      <c r="AO161" s="28">
        <f t="shared" si="47"/>
        <v>0</v>
      </c>
      <c r="AP161" s="28">
        <f t="shared" si="48"/>
        <v>0</v>
      </c>
      <c r="AQ161" s="28">
        <f t="shared" si="56"/>
        <v>0</v>
      </c>
      <c r="AR161" s="29">
        <f t="shared" si="57"/>
        <v>3.7898640124255499E-2</v>
      </c>
      <c r="AT161" s="12"/>
      <c r="AU161">
        <f t="shared" si="49"/>
        <v>0</v>
      </c>
      <c r="AV161">
        <f t="shared" si="50"/>
        <v>1</v>
      </c>
      <c r="AW161">
        <f t="shared" si="58"/>
        <v>0</v>
      </c>
      <c r="AX161">
        <f t="shared" si="51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8.449704357277027E-2</v>
      </c>
      <c r="BE161" s="29">
        <f t="shared" si="62"/>
        <v>0</v>
      </c>
      <c r="BF161" s="29">
        <f t="shared" si="63"/>
        <v>0.12239568369702579</v>
      </c>
      <c r="BH161" s="29"/>
    </row>
    <row r="162" spans="1:60" x14ac:dyDescent="0.25">
      <c r="A162" s="1">
        <v>46258</v>
      </c>
      <c r="B162" s="33">
        <v>25.78</v>
      </c>
      <c r="C162" s="33">
        <v>26.3</v>
      </c>
      <c r="D162" s="15">
        <v>9.7447662576488903E-3</v>
      </c>
      <c r="E162" s="15">
        <v>1.1857090530320099E-2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25.78</v>
      </c>
      <c r="M162" s="33">
        <v>26.3</v>
      </c>
      <c r="N162" s="34">
        <v>1.02017067494181</v>
      </c>
      <c r="O162" s="34">
        <v>1.0078468940038601</v>
      </c>
      <c r="P162" s="34">
        <v>1.01478097880858</v>
      </c>
      <c r="Q162" s="34">
        <v>1.01793375077432</v>
      </c>
      <c r="R162" s="33">
        <v>25.982292927419699</v>
      </c>
      <c r="S162" s="33">
        <v>26.123330532419399</v>
      </c>
      <c r="T162" s="33">
        <v>26.2374819840974</v>
      </c>
      <c r="U162" s="15">
        <v>-1.21536744292636E-2</v>
      </c>
      <c r="V162" s="15">
        <v>-6.7401340059164696E-3</v>
      </c>
      <c r="W162" s="15">
        <v>-2.3799406842769299E-3</v>
      </c>
      <c r="X162" s="34">
        <v>1.02017067494181</v>
      </c>
      <c r="Y162" s="34">
        <v>1.0078468940038601</v>
      </c>
      <c r="Z162" s="34">
        <v>1.01478097880858</v>
      </c>
      <c r="AA162" s="34">
        <v>1.01793375077432</v>
      </c>
      <c r="AB162" s="33">
        <v>25.982292927419699</v>
      </c>
      <c r="AC162" s="33">
        <v>26.123330532419399</v>
      </c>
      <c r="AD162" s="33">
        <v>26.2374819840974</v>
      </c>
      <c r="AE162" s="15">
        <v>-1.21536744292636E-2</v>
      </c>
      <c r="AF162" s="15">
        <v>-6.7401340059164696E-3</v>
      </c>
      <c r="AG162" s="15">
        <v>-2.3799406842769299E-3</v>
      </c>
      <c r="AI162" s="12"/>
      <c r="AJ162">
        <f t="shared" si="44"/>
        <v>0</v>
      </c>
      <c r="AK162">
        <f t="shared" si="45"/>
        <v>1</v>
      </c>
      <c r="AL162">
        <f t="shared" si="54"/>
        <v>0</v>
      </c>
      <c r="AM162">
        <f t="shared" si="46"/>
        <v>1</v>
      </c>
      <c r="AN162">
        <f t="shared" si="55"/>
        <v>0</v>
      </c>
      <c r="AO162" s="28">
        <f t="shared" si="47"/>
        <v>0</v>
      </c>
      <c r="AP162" s="28">
        <f t="shared" si="48"/>
        <v>0</v>
      </c>
      <c r="AQ162" s="28">
        <f t="shared" si="56"/>
        <v>0</v>
      </c>
      <c r="AR162" s="29">
        <f t="shared" si="57"/>
        <v>3.7898640124255499E-2</v>
      </c>
      <c r="AT162" s="12"/>
      <c r="AU162">
        <f t="shared" si="49"/>
        <v>0</v>
      </c>
      <c r="AV162">
        <f t="shared" si="50"/>
        <v>1</v>
      </c>
      <c r="AW162">
        <f t="shared" si="58"/>
        <v>0</v>
      </c>
      <c r="AX162">
        <f t="shared" si="51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8.449704357277027E-2</v>
      </c>
      <c r="BE162" s="29">
        <f t="shared" si="62"/>
        <v>0</v>
      </c>
      <c r="BF162" s="29">
        <f t="shared" si="63"/>
        <v>0.12239568369702579</v>
      </c>
      <c r="BH162" s="29"/>
    </row>
    <row r="163" spans="1:60" x14ac:dyDescent="0.25">
      <c r="A163" s="1">
        <v>46259</v>
      </c>
      <c r="B163" s="33">
        <v>26.37</v>
      </c>
      <c r="C163" s="33">
        <v>26.85</v>
      </c>
      <c r="D163" s="15">
        <v>2.2628002854153902E-2</v>
      </c>
      <c r="E163" s="15">
        <v>2.0696881771154901E-2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26.37</v>
      </c>
      <c r="M163" s="33">
        <v>26.85</v>
      </c>
      <c r="N163" s="34">
        <v>1.0182025028441399</v>
      </c>
      <c r="O163" s="34">
        <v>1.0078468940038601</v>
      </c>
      <c r="P163" s="34">
        <v>1.0163204428916299</v>
      </c>
      <c r="Q163" s="34">
        <v>1.01794181406086</v>
      </c>
      <c r="R163" s="33">
        <v>26.576922594881999</v>
      </c>
      <c r="S163" s="33">
        <v>26.759774411182299</v>
      </c>
      <c r="T163" s="33">
        <v>26.842913007919002</v>
      </c>
      <c r="U163" s="15">
        <v>-1.02225533462645E-2</v>
      </c>
      <c r="V163" s="15">
        <v>-3.3660158057780502E-3</v>
      </c>
      <c r="W163" s="15">
        <v>-2.63982403827159E-4</v>
      </c>
      <c r="X163" s="34">
        <v>1.0182025028441399</v>
      </c>
      <c r="Y163" s="34">
        <v>1.0078468940038601</v>
      </c>
      <c r="Z163" s="34">
        <v>1.0163204428916299</v>
      </c>
      <c r="AA163" s="34">
        <v>1.01794181406086</v>
      </c>
      <c r="AB163" s="33">
        <v>26.576922594881999</v>
      </c>
      <c r="AC163" s="33">
        <v>26.759774411182299</v>
      </c>
      <c r="AD163" s="33">
        <v>26.842913007919002</v>
      </c>
      <c r="AE163" s="15">
        <v>-1.02225533462645E-2</v>
      </c>
      <c r="AF163" s="15">
        <v>-3.3660158057780502E-3</v>
      </c>
      <c r="AG163" s="15">
        <v>-2.63982403827159E-4</v>
      </c>
      <c r="AI163" s="12"/>
      <c r="AJ163">
        <f t="shared" si="44"/>
        <v>0</v>
      </c>
      <c r="AK163">
        <f t="shared" si="45"/>
        <v>1</v>
      </c>
      <c r="AL163">
        <f t="shared" si="54"/>
        <v>0</v>
      </c>
      <c r="AM163">
        <f t="shared" si="46"/>
        <v>1</v>
      </c>
      <c r="AN163">
        <f t="shared" si="55"/>
        <v>0</v>
      </c>
      <c r="AO163" s="28">
        <f t="shared" si="47"/>
        <v>0</v>
      </c>
      <c r="AP163" s="28">
        <f t="shared" si="48"/>
        <v>0</v>
      </c>
      <c r="AQ163" s="28">
        <f t="shared" si="56"/>
        <v>0</v>
      </c>
      <c r="AR163" s="29">
        <f t="shared" si="57"/>
        <v>3.7898640124255499E-2</v>
      </c>
      <c r="AT163" s="12"/>
      <c r="AU163">
        <f t="shared" si="49"/>
        <v>0</v>
      </c>
      <c r="AV163">
        <f t="shared" si="50"/>
        <v>1</v>
      </c>
      <c r="AW163">
        <f t="shared" si="58"/>
        <v>0</v>
      </c>
      <c r="AX163">
        <f t="shared" si="51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8.449704357277027E-2</v>
      </c>
      <c r="BE163" s="29">
        <f t="shared" si="62"/>
        <v>0</v>
      </c>
      <c r="BF163" s="29">
        <f t="shared" si="63"/>
        <v>0.12239568369702579</v>
      </c>
      <c r="BH163" s="29"/>
    </row>
    <row r="164" spans="1:60" x14ac:dyDescent="0.25">
      <c r="A164" s="1">
        <v>46260</v>
      </c>
      <c r="B164" s="33">
        <v>26.34</v>
      </c>
      <c r="C164" s="33">
        <v>26.85</v>
      </c>
      <c r="D164" s="15">
        <v>-1.13830405006039E-3</v>
      </c>
      <c r="E164" s="15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26.34</v>
      </c>
      <c r="M164" s="33">
        <v>26.85</v>
      </c>
      <c r="N164" s="34">
        <v>1.0193621867881499</v>
      </c>
      <c r="O164" s="34">
        <v>1.0078468940038601</v>
      </c>
      <c r="P164" s="34">
        <v>1.0181788708275401</v>
      </c>
      <c r="Q164" s="34">
        <v>1.0176037135501601</v>
      </c>
      <c r="R164" s="33">
        <v>26.546687188061899</v>
      </c>
      <c r="S164" s="33">
        <v>26.769880465765599</v>
      </c>
      <c r="T164" s="33">
        <v>26.812587382363098</v>
      </c>
      <c r="U164" s="15">
        <v>-1.13608573963249E-2</v>
      </c>
      <c r="V164" s="15">
        <v>-2.9884286636010999E-3</v>
      </c>
      <c r="W164" s="15">
        <v>-1.3943652560732499E-3</v>
      </c>
      <c r="X164" s="34">
        <v>1.0193621867881499</v>
      </c>
      <c r="Y164" s="34">
        <v>1.0078468940038601</v>
      </c>
      <c r="Z164" s="34">
        <v>1.0181788708275401</v>
      </c>
      <c r="AA164" s="34">
        <v>1.0176037135501601</v>
      </c>
      <c r="AB164" s="33">
        <v>26.546687188061899</v>
      </c>
      <c r="AC164" s="33">
        <v>26.769880465765599</v>
      </c>
      <c r="AD164" s="33">
        <v>26.812587382363098</v>
      </c>
      <c r="AE164" s="15">
        <v>-1.13608573963249E-2</v>
      </c>
      <c r="AF164" s="15">
        <v>-2.9884286636010999E-3</v>
      </c>
      <c r="AG164" s="15">
        <v>-1.3943652560732499E-3</v>
      </c>
      <c r="AI164" s="12"/>
      <c r="AJ164">
        <f t="shared" si="44"/>
        <v>0</v>
      </c>
      <c r="AK164">
        <f t="shared" si="45"/>
        <v>1</v>
      </c>
      <c r="AL164">
        <f t="shared" si="54"/>
        <v>0</v>
      </c>
      <c r="AM164">
        <f t="shared" si="46"/>
        <v>1</v>
      </c>
      <c r="AN164">
        <f t="shared" si="55"/>
        <v>0</v>
      </c>
      <c r="AO164" s="28">
        <f t="shared" si="47"/>
        <v>0</v>
      </c>
      <c r="AP164" s="28">
        <f t="shared" si="48"/>
        <v>0</v>
      </c>
      <c r="AQ164" s="28">
        <f t="shared" si="56"/>
        <v>0</v>
      </c>
      <c r="AR164" s="29">
        <f t="shared" si="57"/>
        <v>3.7898640124255499E-2</v>
      </c>
      <c r="AT164" s="12"/>
      <c r="AU164">
        <f t="shared" si="49"/>
        <v>0</v>
      </c>
      <c r="AV164">
        <f t="shared" si="50"/>
        <v>1</v>
      </c>
      <c r="AW164">
        <f t="shared" si="58"/>
        <v>0</v>
      </c>
      <c r="AX164">
        <f t="shared" si="51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8.449704357277027E-2</v>
      </c>
      <c r="BE164" s="29">
        <f t="shared" si="62"/>
        <v>0</v>
      </c>
      <c r="BF164" s="29">
        <f t="shared" si="63"/>
        <v>0.12239568369702579</v>
      </c>
      <c r="BH164" s="29"/>
    </row>
    <row r="165" spans="1:60" x14ac:dyDescent="0.25">
      <c r="A165" s="1">
        <v>46261</v>
      </c>
      <c r="B165" s="33">
        <v>26.14</v>
      </c>
      <c r="C165" s="33">
        <v>26.65</v>
      </c>
      <c r="D165" s="15">
        <v>-7.6219881190590097E-3</v>
      </c>
      <c r="E165" s="15">
        <v>-7.4766703430202497E-3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26.14</v>
      </c>
      <c r="M165" s="33">
        <v>26.65</v>
      </c>
      <c r="N165" s="34">
        <v>1.0195103289977001</v>
      </c>
      <c r="O165" s="34">
        <v>1.0078468940038601</v>
      </c>
      <c r="P165" s="34">
        <v>1.0193805594036001</v>
      </c>
      <c r="Q165" s="34">
        <v>1.01775457722227</v>
      </c>
      <c r="R165" s="33">
        <v>26.345117809261101</v>
      </c>
      <c r="S165" s="33">
        <v>26.615195683431999</v>
      </c>
      <c r="T165" s="33">
        <v>26.600161072201299</v>
      </c>
      <c r="U165" s="15">
        <v>-1.15061751723637E-2</v>
      </c>
      <c r="V165" s="15">
        <v>-1.30683164023389E-3</v>
      </c>
      <c r="W165" s="15">
        <v>-1.8718794966200399E-3</v>
      </c>
      <c r="X165" s="34">
        <v>1.0195103289977001</v>
      </c>
      <c r="Y165" s="34">
        <v>1.0078468940038601</v>
      </c>
      <c r="Z165" s="34">
        <v>1.0193805594036001</v>
      </c>
      <c r="AA165" s="34">
        <v>1.01775457722227</v>
      </c>
      <c r="AB165" s="33">
        <v>26.345117809261101</v>
      </c>
      <c r="AC165" s="33">
        <v>26.615195683431999</v>
      </c>
      <c r="AD165" s="33">
        <v>26.600161072201299</v>
      </c>
      <c r="AE165" s="15">
        <v>-1.15061751723637E-2</v>
      </c>
      <c r="AF165" s="15">
        <v>-1.30683164023389E-3</v>
      </c>
      <c r="AG165" s="15">
        <v>-1.8718794966200399E-3</v>
      </c>
      <c r="AI165" s="12"/>
      <c r="AJ165">
        <f t="shared" si="44"/>
        <v>0</v>
      </c>
      <c r="AK165">
        <f t="shared" si="45"/>
        <v>1</v>
      </c>
      <c r="AL165">
        <f t="shared" si="54"/>
        <v>0</v>
      </c>
      <c r="AM165">
        <f t="shared" si="46"/>
        <v>1</v>
      </c>
      <c r="AN165">
        <f t="shared" si="55"/>
        <v>0</v>
      </c>
      <c r="AO165" s="28">
        <f t="shared" si="47"/>
        <v>0</v>
      </c>
      <c r="AP165" s="28">
        <f t="shared" si="48"/>
        <v>0</v>
      </c>
      <c r="AQ165" s="28">
        <f t="shared" si="56"/>
        <v>0</v>
      </c>
      <c r="AR165" s="29">
        <f t="shared" si="57"/>
        <v>3.7898640124255499E-2</v>
      </c>
      <c r="AT165" s="12"/>
      <c r="AU165">
        <f t="shared" si="49"/>
        <v>0</v>
      </c>
      <c r="AV165">
        <f t="shared" si="50"/>
        <v>1</v>
      </c>
      <c r="AW165">
        <f t="shared" si="58"/>
        <v>0</v>
      </c>
      <c r="AX165">
        <f t="shared" si="51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8.449704357277027E-2</v>
      </c>
      <c r="BE165" s="29">
        <f t="shared" si="62"/>
        <v>0</v>
      </c>
      <c r="BF165" s="29">
        <f t="shared" si="63"/>
        <v>0.12239568369702579</v>
      </c>
      <c r="BH165" s="29"/>
    </row>
    <row r="166" spans="1:60" x14ac:dyDescent="0.25">
      <c r="A166" s="1">
        <v>46262</v>
      </c>
      <c r="B166" s="33">
        <v>26.01</v>
      </c>
      <c r="C166" s="33">
        <v>26.65</v>
      </c>
      <c r="D166" s="15">
        <v>-4.9856287355156204E-3</v>
      </c>
      <c r="E166" s="15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26.01</v>
      </c>
      <c r="M166" s="33">
        <v>26.65</v>
      </c>
      <c r="N166" s="34">
        <v>1.02460592079969</v>
      </c>
      <c r="O166" s="34">
        <v>1.0078468940038601</v>
      </c>
      <c r="P166" s="34">
        <v>1.02041793050978</v>
      </c>
      <c r="Q166" s="34">
        <v>1.01797063070722</v>
      </c>
      <c r="R166" s="33">
        <v>26.214097713040601</v>
      </c>
      <c r="S166" s="33">
        <v>26.514088350087601</v>
      </c>
      <c r="T166" s="33">
        <v>26.471796553551201</v>
      </c>
      <c r="U166" s="15">
        <v>-1.64918039078795E-2</v>
      </c>
      <c r="V166" s="15">
        <v>-5.1129230355859397E-3</v>
      </c>
      <c r="W166" s="15">
        <v>-6.7092653669185501E-3</v>
      </c>
      <c r="X166" s="34">
        <v>1.02460592079969</v>
      </c>
      <c r="Y166" s="34">
        <v>1.0078468940038601</v>
      </c>
      <c r="Z166" s="34">
        <v>1.02041793050978</v>
      </c>
      <c r="AA166" s="34">
        <v>1.01797063070722</v>
      </c>
      <c r="AB166" s="33">
        <v>26.214097713040601</v>
      </c>
      <c r="AC166" s="33">
        <v>26.514088350087601</v>
      </c>
      <c r="AD166" s="33">
        <v>26.471796553551201</v>
      </c>
      <c r="AE166" s="15">
        <v>-1.64918039078795E-2</v>
      </c>
      <c r="AF166" s="15">
        <v>-5.1129230355859397E-3</v>
      </c>
      <c r="AG166" s="15">
        <v>-6.7092653669185501E-3</v>
      </c>
      <c r="AI166" s="12"/>
      <c r="AJ166">
        <f t="shared" si="44"/>
        <v>0</v>
      </c>
      <c r="AK166">
        <f t="shared" si="45"/>
        <v>1</v>
      </c>
      <c r="AL166">
        <f t="shared" si="54"/>
        <v>0</v>
      </c>
      <c r="AM166">
        <f t="shared" si="46"/>
        <v>1</v>
      </c>
      <c r="AN166">
        <f t="shared" si="55"/>
        <v>0</v>
      </c>
      <c r="AO166" s="28">
        <f t="shared" si="47"/>
        <v>0</v>
      </c>
      <c r="AP166" s="28">
        <f t="shared" si="48"/>
        <v>0</v>
      </c>
      <c r="AQ166" s="28">
        <f t="shared" si="56"/>
        <v>0</v>
      </c>
      <c r="AR166" s="29">
        <f t="shared" si="57"/>
        <v>3.7898640124255499E-2</v>
      </c>
      <c r="AT166" s="12"/>
      <c r="AU166">
        <f t="shared" si="49"/>
        <v>0</v>
      </c>
      <c r="AV166">
        <f t="shared" si="50"/>
        <v>1</v>
      </c>
      <c r="AW166">
        <f t="shared" si="58"/>
        <v>0</v>
      </c>
      <c r="AX166">
        <f t="shared" si="51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8.449704357277027E-2</v>
      </c>
      <c r="BE166" s="29">
        <f t="shared" si="62"/>
        <v>0</v>
      </c>
      <c r="BF166" s="29">
        <f t="shared" si="63"/>
        <v>0.12239568369702579</v>
      </c>
      <c r="BH166" s="29"/>
    </row>
    <row r="167" spans="1:60" x14ac:dyDescent="0.25">
      <c r="A167" s="1">
        <v>46265</v>
      </c>
      <c r="B167" s="33">
        <v>26.03</v>
      </c>
      <c r="C167" s="33">
        <v>26.7</v>
      </c>
      <c r="D167" s="15">
        <v>7.6863954591386804E-4</v>
      </c>
      <c r="E167" s="15">
        <v>1.8744147943503501E-3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26.03</v>
      </c>
      <c r="M167" s="33">
        <v>26.7</v>
      </c>
      <c r="N167" s="34">
        <v>1.0257395313100199</v>
      </c>
      <c r="O167" s="34">
        <v>1.0078468940038601</v>
      </c>
      <c r="P167" s="34">
        <v>1.0207627088265501</v>
      </c>
      <c r="Q167" s="34">
        <v>1.0180751748402901</v>
      </c>
      <c r="R167" s="33">
        <v>26.2342546509207</v>
      </c>
      <c r="S167" s="33">
        <v>26.5614787311697</v>
      </c>
      <c r="T167" s="33">
        <v>26.497775517309101</v>
      </c>
      <c r="U167" s="15">
        <v>-1.75975791563159E-2</v>
      </c>
      <c r="V167" s="15">
        <v>-5.2015672284292398E-3</v>
      </c>
      <c r="W167" s="15">
        <v>-7.60277868046722E-3</v>
      </c>
      <c r="X167" s="34">
        <v>1.0257395313100199</v>
      </c>
      <c r="Y167" s="34">
        <v>1.0078468940038601</v>
      </c>
      <c r="Z167" s="34">
        <v>1.0207627088265501</v>
      </c>
      <c r="AA167" s="34">
        <v>1.0180751748402901</v>
      </c>
      <c r="AB167" s="33">
        <v>26.2342546509207</v>
      </c>
      <c r="AC167" s="33">
        <v>26.5614787311697</v>
      </c>
      <c r="AD167" s="33">
        <v>26.497775517309101</v>
      </c>
      <c r="AE167" s="15">
        <v>-1.75975791563159E-2</v>
      </c>
      <c r="AF167" s="15">
        <v>-5.2015672284292398E-3</v>
      </c>
      <c r="AG167" s="15">
        <v>-7.60277868046722E-3</v>
      </c>
      <c r="AI167" s="12"/>
      <c r="AJ167">
        <f t="shared" si="44"/>
        <v>0</v>
      </c>
      <c r="AK167">
        <f t="shared" si="45"/>
        <v>1</v>
      </c>
      <c r="AL167">
        <f t="shared" si="54"/>
        <v>0</v>
      </c>
      <c r="AM167">
        <f t="shared" si="46"/>
        <v>1</v>
      </c>
      <c r="AN167">
        <f t="shared" si="55"/>
        <v>0</v>
      </c>
      <c r="AO167" s="28">
        <f t="shared" si="47"/>
        <v>0</v>
      </c>
      <c r="AP167" s="28">
        <f t="shared" si="48"/>
        <v>0</v>
      </c>
      <c r="AQ167" s="28">
        <f t="shared" si="56"/>
        <v>0</v>
      </c>
      <c r="AR167" s="29">
        <f t="shared" si="57"/>
        <v>3.7898640124255499E-2</v>
      </c>
      <c r="AT167" s="12"/>
      <c r="AU167">
        <f t="shared" si="49"/>
        <v>0</v>
      </c>
      <c r="AV167">
        <f t="shared" si="50"/>
        <v>1</v>
      </c>
      <c r="AW167">
        <f t="shared" si="58"/>
        <v>0</v>
      </c>
      <c r="AX167">
        <f t="shared" si="51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8.449704357277027E-2</v>
      </c>
      <c r="BE167" s="29">
        <f t="shared" si="62"/>
        <v>0</v>
      </c>
      <c r="BF167" s="29">
        <f t="shared" si="63"/>
        <v>0.12239568369702579</v>
      </c>
      <c r="BH167" s="29"/>
    </row>
    <row r="168" spans="1:60" x14ac:dyDescent="0.25">
      <c r="A168" s="1">
        <v>46266</v>
      </c>
      <c r="B168" s="33">
        <v>25.8</v>
      </c>
      <c r="C168" s="33">
        <v>26.46</v>
      </c>
      <c r="D168" s="15">
        <v>-8.8752270789022591E-3</v>
      </c>
      <c r="E168" s="15">
        <v>-9.0294067193941504E-3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25.8</v>
      </c>
      <c r="M168" s="33">
        <v>26.46</v>
      </c>
      <c r="N168" s="34">
        <v>1.02558139534883</v>
      </c>
      <c r="O168" s="34">
        <v>1.0078468940038601</v>
      </c>
      <c r="P168" s="34">
        <v>1.02139924959126</v>
      </c>
      <c r="Q168" s="34">
        <v>1.01799611673477</v>
      </c>
      <c r="R168" s="33">
        <v>26.002449865299798</v>
      </c>
      <c r="S168" s="33">
        <v>26.335677887725101</v>
      </c>
      <c r="T168" s="33">
        <v>26.2663395108796</v>
      </c>
      <c r="U168" s="15">
        <v>-1.7443399515824101E-2</v>
      </c>
      <c r="V168" s="15">
        <v>-4.7095651400836901E-3</v>
      </c>
      <c r="W168" s="15">
        <v>-7.3459057382076597E-3</v>
      </c>
      <c r="X168" s="34">
        <v>1.02558139534883</v>
      </c>
      <c r="Y168" s="34">
        <v>1.0078468940038601</v>
      </c>
      <c r="Z168" s="34">
        <v>1.02139924959126</v>
      </c>
      <c r="AA168" s="34">
        <v>1.01799611673477</v>
      </c>
      <c r="AB168" s="33">
        <v>26.002449865299798</v>
      </c>
      <c r="AC168" s="33">
        <v>26.335677887725101</v>
      </c>
      <c r="AD168" s="33">
        <v>26.2663395108796</v>
      </c>
      <c r="AE168" s="15">
        <v>-1.7443399515824101E-2</v>
      </c>
      <c r="AF168" s="15">
        <v>-4.7095651400836901E-3</v>
      </c>
      <c r="AG168" s="15">
        <v>-7.3459057382076597E-3</v>
      </c>
      <c r="AI168" s="12"/>
      <c r="AJ168">
        <f t="shared" si="44"/>
        <v>0</v>
      </c>
      <c r="AK168">
        <f t="shared" si="45"/>
        <v>1</v>
      </c>
      <c r="AL168">
        <f t="shared" si="54"/>
        <v>0</v>
      </c>
      <c r="AM168">
        <f t="shared" si="46"/>
        <v>1</v>
      </c>
      <c r="AN168">
        <f t="shared" si="55"/>
        <v>0</v>
      </c>
      <c r="AO168" s="28">
        <f t="shared" si="47"/>
        <v>0</v>
      </c>
      <c r="AP168" s="28">
        <f t="shared" si="48"/>
        <v>0</v>
      </c>
      <c r="AQ168" s="28">
        <f t="shared" si="56"/>
        <v>0</v>
      </c>
      <c r="AR168" s="29">
        <f t="shared" si="57"/>
        <v>3.7898640124255499E-2</v>
      </c>
      <c r="AT168" s="12"/>
      <c r="AU168">
        <f t="shared" si="49"/>
        <v>0</v>
      </c>
      <c r="AV168">
        <f t="shared" si="50"/>
        <v>1</v>
      </c>
      <c r="AW168">
        <f t="shared" si="58"/>
        <v>0</v>
      </c>
      <c r="AX168">
        <f t="shared" si="51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8.449704357277027E-2</v>
      </c>
      <c r="BE168" s="29">
        <f t="shared" si="62"/>
        <v>0</v>
      </c>
      <c r="BF168" s="29">
        <f t="shared" si="63"/>
        <v>0.12239568369702579</v>
      </c>
      <c r="BH168" s="29"/>
    </row>
    <row r="169" spans="1:60" x14ac:dyDescent="0.25">
      <c r="A169" s="1">
        <v>46267</v>
      </c>
      <c r="B169" s="33">
        <v>26.17</v>
      </c>
      <c r="C169" s="33">
        <v>26.73</v>
      </c>
      <c r="D169" s="15">
        <v>1.42392246144828E-2</v>
      </c>
      <c r="E169" s="15">
        <v>1.0152371464017901E-2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26.17</v>
      </c>
      <c r="M169" s="33">
        <v>26.73</v>
      </c>
      <c r="N169" s="34">
        <v>1.02139854795567</v>
      </c>
      <c r="O169" s="34">
        <v>1.0078468940038601</v>
      </c>
      <c r="P169" s="34">
        <v>1.0216501298301499</v>
      </c>
      <c r="Q169" s="34">
        <v>1.0176186196966299</v>
      </c>
      <c r="R169" s="33">
        <v>26.375353216081201</v>
      </c>
      <c r="S169" s="33">
        <v>26.7300183618033</v>
      </c>
      <c r="T169" s="33">
        <v>26.640958374949101</v>
      </c>
      <c r="U169" s="15">
        <v>-1.33565463653592E-2</v>
      </c>
      <c r="V169" s="15">
        <v>6.8693591491049497E-7</v>
      </c>
      <c r="W169" s="15">
        <v>-3.3367100900982198E-3</v>
      </c>
      <c r="X169" s="34">
        <v>1.02139854795567</v>
      </c>
      <c r="Y169" s="34">
        <v>1.0078468940038601</v>
      </c>
      <c r="Z169" s="34">
        <v>1.0216501298301499</v>
      </c>
      <c r="AA169" s="34">
        <v>1.0176186196966299</v>
      </c>
      <c r="AB169" s="33">
        <v>26.375353216081201</v>
      </c>
      <c r="AC169" s="33">
        <v>26.7300183618033</v>
      </c>
      <c r="AD169" s="33">
        <v>26.640958374949101</v>
      </c>
      <c r="AE169" s="15">
        <v>-1.33565463653592E-2</v>
      </c>
      <c r="AF169" s="15">
        <v>6.8693591491049497E-7</v>
      </c>
      <c r="AG169" s="15">
        <v>-3.3367100900982198E-3</v>
      </c>
      <c r="AI169" s="12"/>
      <c r="AJ169">
        <f t="shared" si="44"/>
        <v>0</v>
      </c>
      <c r="AK169">
        <f t="shared" si="45"/>
        <v>1</v>
      </c>
      <c r="AL169">
        <f t="shared" si="54"/>
        <v>0</v>
      </c>
      <c r="AM169">
        <f t="shared" si="46"/>
        <v>1</v>
      </c>
      <c r="AN169">
        <f t="shared" si="55"/>
        <v>0</v>
      </c>
      <c r="AO169" s="28">
        <f t="shared" si="47"/>
        <v>0</v>
      </c>
      <c r="AP169" s="28">
        <f t="shared" si="48"/>
        <v>0</v>
      </c>
      <c r="AQ169" s="28">
        <f t="shared" si="56"/>
        <v>0</v>
      </c>
      <c r="AR169" s="29">
        <f t="shared" si="57"/>
        <v>3.7898640124255499E-2</v>
      </c>
      <c r="AT169" s="12"/>
      <c r="AU169">
        <f t="shared" si="49"/>
        <v>0</v>
      </c>
      <c r="AV169">
        <f t="shared" si="50"/>
        <v>1</v>
      </c>
      <c r="AW169">
        <f t="shared" si="58"/>
        <v>0</v>
      </c>
      <c r="AX169">
        <f t="shared" si="51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8.449704357277027E-2</v>
      </c>
      <c r="BE169" s="29">
        <f t="shared" si="62"/>
        <v>0</v>
      </c>
      <c r="BF169" s="29">
        <f t="shared" si="63"/>
        <v>0.12239568369702579</v>
      </c>
      <c r="BH169" s="29"/>
    </row>
    <row r="170" spans="1:60" x14ac:dyDescent="0.25">
      <c r="A170" s="1">
        <v>46268</v>
      </c>
      <c r="B170" s="33">
        <v>26.17</v>
      </c>
      <c r="C170" s="33">
        <v>26.67</v>
      </c>
      <c r="D170" s="15">
        <v>0</v>
      </c>
      <c r="E170" s="15">
        <v>-2.2471919569047199E-3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26.17</v>
      </c>
      <c r="M170" s="33">
        <v>26.67</v>
      </c>
      <c r="N170" s="34">
        <v>1.0191058463889899</v>
      </c>
      <c r="O170" s="34">
        <v>1.0078468940038601</v>
      </c>
      <c r="P170" s="34">
        <v>1.0211694953393</v>
      </c>
      <c r="Q170" s="34">
        <v>1.01759270116013</v>
      </c>
      <c r="R170" s="33">
        <v>26.375353216081201</v>
      </c>
      <c r="S170" s="33">
        <v>26.736583897655201</v>
      </c>
      <c r="T170" s="33">
        <v>26.631079277460799</v>
      </c>
      <c r="U170" s="15">
        <v>-1.1109354408454499E-2</v>
      </c>
      <c r="V170" s="15">
        <v>2.49347280032478E-3</v>
      </c>
      <c r="W170" s="15">
        <v>-1.46041055769589E-3</v>
      </c>
      <c r="X170" s="34">
        <v>1.0191058463889899</v>
      </c>
      <c r="Y170" s="34">
        <v>1.0078468940038601</v>
      </c>
      <c r="Z170" s="34">
        <v>1.0211694953393</v>
      </c>
      <c r="AA170" s="34">
        <v>1.01759270116013</v>
      </c>
      <c r="AB170" s="33">
        <v>26.375353216081201</v>
      </c>
      <c r="AC170" s="33">
        <v>26.736583897655201</v>
      </c>
      <c r="AD170" s="33">
        <v>26.631079277460799</v>
      </c>
      <c r="AE170" s="15">
        <v>-1.1109354408454499E-2</v>
      </c>
      <c r="AF170" s="15">
        <v>2.49347280032478E-3</v>
      </c>
      <c r="AG170" s="15">
        <v>-1.46041055769589E-3</v>
      </c>
      <c r="AI170" s="12"/>
      <c r="AJ170">
        <f t="shared" si="44"/>
        <v>0</v>
      </c>
      <c r="AK170">
        <f t="shared" si="45"/>
        <v>1</v>
      </c>
      <c r="AL170">
        <f t="shared" si="54"/>
        <v>0</v>
      </c>
      <c r="AM170">
        <f t="shared" si="46"/>
        <v>1</v>
      </c>
      <c r="AN170">
        <f t="shared" si="55"/>
        <v>0</v>
      </c>
      <c r="AO170" s="28">
        <f t="shared" si="47"/>
        <v>0</v>
      </c>
      <c r="AP170" s="28">
        <f t="shared" si="48"/>
        <v>0</v>
      </c>
      <c r="AQ170" s="28">
        <f t="shared" si="56"/>
        <v>0</v>
      </c>
      <c r="AR170" s="29">
        <f t="shared" si="57"/>
        <v>3.7898640124255499E-2</v>
      </c>
      <c r="AT170" s="12"/>
      <c r="AU170">
        <f t="shared" si="49"/>
        <v>0</v>
      </c>
      <c r="AV170">
        <f t="shared" si="50"/>
        <v>1</v>
      </c>
      <c r="AW170">
        <f t="shared" si="58"/>
        <v>0</v>
      </c>
      <c r="AX170">
        <f t="shared" si="51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8.449704357277027E-2</v>
      </c>
      <c r="BE170" s="29">
        <f t="shared" si="62"/>
        <v>0</v>
      </c>
      <c r="BF170" s="29">
        <f t="shared" si="63"/>
        <v>0.12239568369702579</v>
      </c>
      <c r="BH170" s="29"/>
    </row>
    <row r="171" spans="1:60" x14ac:dyDescent="0.25">
      <c r="A171" s="1">
        <v>46269</v>
      </c>
      <c r="B171" s="33">
        <v>26.27</v>
      </c>
      <c r="C171" s="33">
        <v>26.62</v>
      </c>
      <c r="D171" s="15">
        <v>3.81388715539396E-3</v>
      </c>
      <c r="E171" s="15">
        <v>-1.8765252269573401E-3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26.27</v>
      </c>
      <c r="M171" s="33">
        <v>26.62</v>
      </c>
      <c r="N171" s="34">
        <v>1.0133231823372599</v>
      </c>
      <c r="O171" s="34">
        <v>1.0078468940038601</v>
      </c>
      <c r="P171" s="34">
        <v>1.0207000117712299</v>
      </c>
      <c r="Q171" s="34">
        <v>1.01700886027699</v>
      </c>
      <c r="R171" s="33">
        <v>26.4761379054816</v>
      </c>
      <c r="S171" s="33">
        <v>26.826122642563501</v>
      </c>
      <c r="T171" s="33">
        <v>26.732160259476601</v>
      </c>
      <c r="U171" s="15">
        <v>-5.4189420261032501E-3</v>
      </c>
      <c r="V171" s="15">
        <v>7.7133252822321804E-3</v>
      </c>
      <c r="W171" s="15">
        <v>4.20453170640675E-3</v>
      </c>
      <c r="X171" s="34">
        <v>1.0133231823372599</v>
      </c>
      <c r="Y171" s="34">
        <v>1.0078468940038601</v>
      </c>
      <c r="Z171" s="34">
        <v>1.0207000117712299</v>
      </c>
      <c r="AA171" s="34">
        <v>1.01700886027699</v>
      </c>
      <c r="AB171" s="33">
        <v>26.4761379054816</v>
      </c>
      <c r="AC171" s="33">
        <v>26.826122642563501</v>
      </c>
      <c r="AD171" s="33">
        <v>26.732160259476601</v>
      </c>
      <c r="AE171" s="15">
        <v>-5.4189420261032501E-3</v>
      </c>
      <c r="AF171" s="15">
        <v>7.7133252822321804E-3</v>
      </c>
      <c r="AG171" s="15">
        <v>4.20453170640675E-3</v>
      </c>
      <c r="AI171" s="12"/>
      <c r="AJ171">
        <f t="shared" si="44"/>
        <v>0</v>
      </c>
      <c r="AK171">
        <f t="shared" si="45"/>
        <v>1</v>
      </c>
      <c r="AL171">
        <f t="shared" si="54"/>
        <v>0</v>
      </c>
      <c r="AM171">
        <f t="shared" si="46"/>
        <v>1</v>
      </c>
      <c r="AN171">
        <f t="shared" si="55"/>
        <v>0</v>
      </c>
      <c r="AO171" s="28">
        <f t="shared" si="47"/>
        <v>0</v>
      </c>
      <c r="AP171" s="28">
        <f t="shared" si="48"/>
        <v>0</v>
      </c>
      <c r="AQ171" s="28">
        <f t="shared" si="56"/>
        <v>0</v>
      </c>
      <c r="AR171" s="29">
        <f t="shared" si="57"/>
        <v>3.7898640124255499E-2</v>
      </c>
      <c r="AT171" s="12"/>
      <c r="AU171">
        <f t="shared" si="49"/>
        <v>0</v>
      </c>
      <c r="AV171">
        <f t="shared" si="50"/>
        <v>1</v>
      </c>
      <c r="AW171">
        <f t="shared" si="58"/>
        <v>0</v>
      </c>
      <c r="AX171">
        <f t="shared" si="51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8.449704357277027E-2</v>
      </c>
      <c r="BE171" s="29">
        <f t="shared" si="62"/>
        <v>0</v>
      </c>
      <c r="BF171" s="29">
        <f t="shared" si="63"/>
        <v>0.12239568369702579</v>
      </c>
      <c r="BH171" s="29"/>
    </row>
    <row r="172" spans="1:60" x14ac:dyDescent="0.25">
      <c r="A172" s="1">
        <v>46273</v>
      </c>
      <c r="B172" s="33">
        <v>25.92</v>
      </c>
      <c r="C172" s="33">
        <v>26.19</v>
      </c>
      <c r="D172" s="15">
        <v>-1.34127322133745E-2</v>
      </c>
      <c r="E172" s="15">
        <v>-1.6285154447345001E-2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25.92</v>
      </c>
      <c r="M172" s="33">
        <v>26.19</v>
      </c>
      <c r="N172" s="34">
        <v>1.0104166666666601</v>
      </c>
      <c r="O172" s="34">
        <v>1.0078468940038601</v>
      </c>
      <c r="P172" s="34">
        <v>1.0197246109437099</v>
      </c>
      <c r="Q172" s="34">
        <v>1.0172527948761401</v>
      </c>
      <c r="R172" s="33">
        <v>26.1233914925803</v>
      </c>
      <c r="S172" s="33">
        <v>26.456544305110299</v>
      </c>
      <c r="T172" s="33">
        <v>26.360869658379599</v>
      </c>
      <c r="U172" s="15">
        <v>-2.5465197921327198E-3</v>
      </c>
      <c r="V172" s="15">
        <v>1.01258909242769E-2</v>
      </c>
      <c r="W172" s="15">
        <v>6.5030421630272901E-3</v>
      </c>
      <c r="X172" s="34">
        <v>1.0104166666666601</v>
      </c>
      <c r="Y172" s="34">
        <v>1.0078468940038601</v>
      </c>
      <c r="Z172" s="34">
        <v>1.0197246109437099</v>
      </c>
      <c r="AA172" s="34">
        <v>1.0172527948761401</v>
      </c>
      <c r="AB172" s="33">
        <v>26.1233914925803</v>
      </c>
      <c r="AC172" s="33">
        <v>26.456544305110299</v>
      </c>
      <c r="AD172" s="33">
        <v>26.360869658379599</v>
      </c>
      <c r="AE172" s="15">
        <v>-2.5465197921327198E-3</v>
      </c>
      <c r="AF172" s="15">
        <v>1.01258909242769E-2</v>
      </c>
      <c r="AG172" s="15">
        <v>6.5030421630272901E-3</v>
      </c>
      <c r="AI172" s="12"/>
      <c r="AJ172">
        <f t="shared" si="44"/>
        <v>0</v>
      </c>
      <c r="AK172">
        <f t="shared" si="45"/>
        <v>1</v>
      </c>
      <c r="AL172">
        <f t="shared" si="54"/>
        <v>0</v>
      </c>
      <c r="AM172">
        <f t="shared" si="46"/>
        <v>1</v>
      </c>
      <c r="AN172">
        <f t="shared" si="55"/>
        <v>0</v>
      </c>
      <c r="AO172" s="28">
        <f t="shared" si="47"/>
        <v>0</v>
      </c>
      <c r="AP172" s="28">
        <f t="shared" si="48"/>
        <v>0</v>
      </c>
      <c r="AQ172" s="28">
        <f t="shared" si="56"/>
        <v>0</v>
      </c>
      <c r="AR172" s="29">
        <f t="shared" si="57"/>
        <v>3.7898640124255499E-2</v>
      </c>
      <c r="AT172" s="12"/>
      <c r="AU172">
        <f t="shared" si="49"/>
        <v>0</v>
      </c>
      <c r="AV172">
        <f t="shared" si="50"/>
        <v>0</v>
      </c>
      <c r="AW172">
        <f t="shared" si="58"/>
        <v>0</v>
      </c>
      <c r="AX172">
        <f t="shared" si="51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8.449704357277027E-2</v>
      </c>
      <c r="BE172" s="29">
        <f t="shared" si="62"/>
        <v>0</v>
      </c>
      <c r="BF172" s="29">
        <f t="shared" si="63"/>
        <v>0.12239568369702579</v>
      </c>
      <c r="BH172" s="29"/>
    </row>
    <row r="173" spans="1:60" x14ac:dyDescent="0.25">
      <c r="A173" s="1">
        <v>46274</v>
      </c>
      <c r="B173" s="33">
        <v>25.44</v>
      </c>
      <c r="C173" s="33">
        <v>25.87</v>
      </c>
      <c r="D173" s="15">
        <v>-1.8692133012152501E-2</v>
      </c>
      <c r="E173" s="15">
        <v>-1.22936623216827E-2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25.44</v>
      </c>
      <c r="M173" s="33">
        <v>25.87</v>
      </c>
      <c r="N173" s="34">
        <v>1.0169025157232701</v>
      </c>
      <c r="O173" s="34">
        <v>1.0078468940038601</v>
      </c>
      <c r="P173" s="34">
        <v>1.01959461223162</v>
      </c>
      <c r="Q173" s="34">
        <v>1.0179575275616299</v>
      </c>
      <c r="R173" s="33">
        <v>25.6396249834584</v>
      </c>
      <c r="S173" s="33">
        <v>25.9417941024081</v>
      </c>
      <c r="T173" s="33">
        <v>25.878911101649201</v>
      </c>
      <c r="U173" s="15">
        <v>-8.9449904826025099E-3</v>
      </c>
      <c r="V173" s="15">
        <v>2.7713438456319901E-3</v>
      </c>
      <c r="W173" s="15">
        <v>3.4439765195497799E-4</v>
      </c>
      <c r="X173" s="34">
        <v>1.0169025157232701</v>
      </c>
      <c r="Y173" s="34">
        <v>1.0078468940038601</v>
      </c>
      <c r="Z173" s="34">
        <v>1.01959461223162</v>
      </c>
      <c r="AA173" s="34">
        <v>1.0179575275616299</v>
      </c>
      <c r="AB173" s="33">
        <v>25.6396249834584</v>
      </c>
      <c r="AC173" s="33">
        <v>25.9417941024081</v>
      </c>
      <c r="AD173" s="33">
        <v>25.878911101649201</v>
      </c>
      <c r="AE173" s="15">
        <v>-8.9449904826025099E-3</v>
      </c>
      <c r="AF173" s="15">
        <v>2.7713438456319901E-3</v>
      </c>
      <c r="AG173" s="15">
        <v>3.4439765195497799E-4</v>
      </c>
      <c r="AI173" s="12"/>
      <c r="AJ173">
        <f t="shared" si="44"/>
        <v>0</v>
      </c>
      <c r="AK173">
        <f t="shared" si="45"/>
        <v>1</v>
      </c>
      <c r="AL173">
        <f t="shared" si="54"/>
        <v>0</v>
      </c>
      <c r="AM173">
        <f t="shared" si="46"/>
        <v>1</v>
      </c>
      <c r="AN173">
        <f t="shared" si="55"/>
        <v>0</v>
      </c>
      <c r="AO173" s="28">
        <f t="shared" si="47"/>
        <v>0</v>
      </c>
      <c r="AP173" s="28">
        <f t="shared" si="48"/>
        <v>0</v>
      </c>
      <c r="AQ173" s="28">
        <f t="shared" si="56"/>
        <v>0</v>
      </c>
      <c r="AR173" s="29">
        <f t="shared" si="57"/>
        <v>3.7898640124255499E-2</v>
      </c>
      <c r="AT173" s="12"/>
      <c r="AU173">
        <f t="shared" si="49"/>
        <v>0</v>
      </c>
      <c r="AV173">
        <f t="shared" si="50"/>
        <v>1</v>
      </c>
      <c r="AW173">
        <f t="shared" si="58"/>
        <v>0</v>
      </c>
      <c r="AX173">
        <f t="shared" si="51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8.449704357277027E-2</v>
      </c>
      <c r="BE173" s="29">
        <f t="shared" si="62"/>
        <v>0</v>
      </c>
      <c r="BF173" s="29">
        <f t="shared" si="63"/>
        <v>0.12239568369702579</v>
      </c>
      <c r="BH173" s="29"/>
    </row>
    <row r="174" spans="1:60" x14ac:dyDescent="0.25">
      <c r="A174" s="1">
        <v>46275</v>
      </c>
      <c r="B174" s="33">
        <v>25.71</v>
      </c>
      <c r="C174" s="33">
        <v>26.1</v>
      </c>
      <c r="D174" s="15">
        <v>1.05572828058767E-2</v>
      </c>
      <c r="E174" s="15">
        <v>8.8513181307098704E-3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25.71</v>
      </c>
      <c r="M174" s="33">
        <v>26.1</v>
      </c>
      <c r="N174" s="34">
        <v>1.0151691948658099</v>
      </c>
      <c r="O174" s="34">
        <v>1.0078468940038601</v>
      </c>
      <c r="P174" s="34">
        <v>1.0191753130393899</v>
      </c>
      <c r="Q174" s="34">
        <v>1.01867709193347</v>
      </c>
      <c r="R174" s="33">
        <v>25.911743644839401</v>
      </c>
      <c r="S174" s="33">
        <v>26.213777480475098</v>
      </c>
      <c r="T174" s="33">
        <v>26.171688033609499</v>
      </c>
      <c r="U174" s="15">
        <v>-7.2390258074358799E-3</v>
      </c>
      <c r="V174" s="15">
        <v>4.3498162569237898E-3</v>
      </c>
      <c r="W174" s="15">
        <v>2.7429027548884302E-3</v>
      </c>
      <c r="X174" s="34">
        <v>1.0151691948658099</v>
      </c>
      <c r="Y174" s="34">
        <v>1.0078468940038601</v>
      </c>
      <c r="Z174" s="34">
        <v>1.0191753130393899</v>
      </c>
      <c r="AA174" s="34">
        <v>1.01867709193347</v>
      </c>
      <c r="AB174" s="33">
        <v>25.911743644839401</v>
      </c>
      <c r="AC174" s="33">
        <v>26.213777480475098</v>
      </c>
      <c r="AD174" s="33">
        <v>26.171688033609499</v>
      </c>
      <c r="AE174" s="15">
        <v>-7.2390258074358799E-3</v>
      </c>
      <c r="AF174" s="15">
        <v>4.3498162569237898E-3</v>
      </c>
      <c r="AG174" s="15">
        <v>2.7429027548884302E-3</v>
      </c>
      <c r="AI174" s="12"/>
      <c r="AJ174">
        <f t="shared" si="44"/>
        <v>0</v>
      </c>
      <c r="AK174">
        <f t="shared" si="45"/>
        <v>1</v>
      </c>
      <c r="AL174">
        <f t="shared" si="54"/>
        <v>0</v>
      </c>
      <c r="AM174">
        <f t="shared" si="46"/>
        <v>1</v>
      </c>
      <c r="AN174">
        <f t="shared" si="55"/>
        <v>0</v>
      </c>
      <c r="AO174" s="28">
        <f t="shared" si="47"/>
        <v>0</v>
      </c>
      <c r="AP174" s="28">
        <f t="shared" si="48"/>
        <v>0</v>
      </c>
      <c r="AQ174" s="28">
        <f t="shared" si="56"/>
        <v>0</v>
      </c>
      <c r="AR174" s="29">
        <f t="shared" si="57"/>
        <v>3.7898640124255499E-2</v>
      </c>
      <c r="AT174" s="12"/>
      <c r="AU174">
        <f t="shared" si="49"/>
        <v>0</v>
      </c>
      <c r="AV174">
        <f t="shared" si="50"/>
        <v>1</v>
      </c>
      <c r="AW174">
        <f t="shared" si="58"/>
        <v>0</v>
      </c>
      <c r="AX174">
        <f t="shared" si="51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8.449704357277027E-2</v>
      </c>
      <c r="BE174" s="29">
        <f t="shared" si="62"/>
        <v>0</v>
      </c>
      <c r="BF174" s="29">
        <f t="shared" si="63"/>
        <v>0.12239568369702579</v>
      </c>
      <c r="BH174" s="29"/>
    </row>
    <row r="175" spans="1:60" x14ac:dyDescent="0.25">
      <c r="A175" s="1">
        <v>46276</v>
      </c>
      <c r="B175" s="33">
        <v>25.78</v>
      </c>
      <c r="C175" s="33">
        <v>26.05</v>
      </c>
      <c r="D175" s="15">
        <v>2.7189762332431298E-3</v>
      </c>
      <c r="E175" s="15">
        <v>-1.9175461292718101E-3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25.78</v>
      </c>
      <c r="M175" s="33">
        <v>26.05</v>
      </c>
      <c r="N175" s="34">
        <v>1.01047323506594</v>
      </c>
      <c r="O175" s="34">
        <v>1.0078468940038601</v>
      </c>
      <c r="P175" s="34">
        <v>1.0182716036462101</v>
      </c>
      <c r="Q175" s="34">
        <v>1.0188260815249</v>
      </c>
      <c r="R175" s="33">
        <v>25.982292927419699</v>
      </c>
      <c r="S175" s="33">
        <v>26.274339570155501</v>
      </c>
      <c r="T175" s="33">
        <v>26.2614954300448</v>
      </c>
      <c r="U175" s="15">
        <v>-2.6025034449206601E-3</v>
      </c>
      <c r="V175" s="15">
        <v>8.5750129539491505E-3</v>
      </c>
      <c r="W175" s="15">
        <v>8.0860461233439908E-3</v>
      </c>
      <c r="X175" s="34">
        <v>1.01047323506594</v>
      </c>
      <c r="Y175" s="34">
        <v>1.0078468940038601</v>
      </c>
      <c r="Z175" s="34">
        <v>1.0182716036462101</v>
      </c>
      <c r="AA175" s="34">
        <v>1.0188260815249</v>
      </c>
      <c r="AB175" s="33">
        <v>25.982292927419699</v>
      </c>
      <c r="AC175" s="33">
        <v>26.274339570155501</v>
      </c>
      <c r="AD175" s="33">
        <v>26.2614954300448</v>
      </c>
      <c r="AE175" s="15">
        <v>-2.6025034449206601E-3</v>
      </c>
      <c r="AF175" s="15">
        <v>8.5750129539491505E-3</v>
      </c>
      <c r="AG175" s="15">
        <v>8.0860461233439908E-3</v>
      </c>
      <c r="AI175" s="12"/>
      <c r="AJ175">
        <f t="shared" si="44"/>
        <v>0</v>
      </c>
      <c r="AK175">
        <f t="shared" si="45"/>
        <v>1</v>
      </c>
      <c r="AL175">
        <f t="shared" si="54"/>
        <v>0</v>
      </c>
      <c r="AM175">
        <f t="shared" si="46"/>
        <v>1</v>
      </c>
      <c r="AN175">
        <f t="shared" si="55"/>
        <v>0</v>
      </c>
      <c r="AO175" s="28">
        <f t="shared" si="47"/>
        <v>0</v>
      </c>
      <c r="AP175" s="28">
        <f t="shared" si="48"/>
        <v>0</v>
      </c>
      <c r="AQ175" s="28">
        <f t="shared" si="56"/>
        <v>0</v>
      </c>
      <c r="AR175" s="29">
        <f t="shared" si="57"/>
        <v>3.7898640124255499E-2</v>
      </c>
      <c r="AT175" s="12"/>
      <c r="AU175">
        <f t="shared" si="49"/>
        <v>0</v>
      </c>
      <c r="AV175">
        <f t="shared" si="50"/>
        <v>0</v>
      </c>
      <c r="AW175">
        <f t="shared" si="58"/>
        <v>0</v>
      </c>
      <c r="AX175">
        <f t="shared" si="51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8.449704357277027E-2</v>
      </c>
      <c r="BE175" s="29">
        <f t="shared" si="62"/>
        <v>0</v>
      </c>
      <c r="BF175" s="29">
        <f t="shared" si="63"/>
        <v>0.12239568369702579</v>
      </c>
      <c r="BH175" s="29"/>
    </row>
    <row r="176" spans="1:60" x14ac:dyDescent="0.25">
      <c r="A176" s="1">
        <v>46279</v>
      </c>
      <c r="B176" s="33">
        <v>25.84</v>
      </c>
      <c r="C176" s="33">
        <v>26.08</v>
      </c>
      <c r="D176" s="15">
        <v>2.3246814033598098E-3</v>
      </c>
      <c r="E176" s="15">
        <v>1.1509688590761701E-3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25.84</v>
      </c>
      <c r="M176" s="33">
        <v>26.08</v>
      </c>
      <c r="N176" s="34">
        <v>1.0092879256965901</v>
      </c>
      <c r="O176" s="34">
        <v>1.0078468940038601</v>
      </c>
      <c r="P176" s="34">
        <v>1.0167398041358999</v>
      </c>
      <c r="Q176" s="34">
        <v>1.01857886732284</v>
      </c>
      <c r="R176" s="33">
        <v>26.0427637410599</v>
      </c>
      <c r="S176" s="33">
        <v>26.3121382382182</v>
      </c>
      <c r="T176" s="33">
        <v>26.326465946603602</v>
      </c>
      <c r="U176" s="15">
        <v>-1.42879090063725E-3</v>
      </c>
      <c r="V176" s="15">
        <v>8.8616256233456005E-3</v>
      </c>
      <c r="W176" s="15">
        <v>9.4060058918236204E-3</v>
      </c>
      <c r="X176" s="34">
        <v>1.0092879256965901</v>
      </c>
      <c r="Y176" s="34">
        <v>1.0078468940038601</v>
      </c>
      <c r="Z176" s="34">
        <v>1.0167398041358999</v>
      </c>
      <c r="AA176" s="34">
        <v>1.01857886732284</v>
      </c>
      <c r="AB176" s="33">
        <v>26.0427637410599</v>
      </c>
      <c r="AC176" s="33">
        <v>26.3121382382182</v>
      </c>
      <c r="AD176" s="33">
        <v>26.326465946603602</v>
      </c>
      <c r="AE176" s="15">
        <v>-1.42879090063725E-3</v>
      </c>
      <c r="AF176" s="15">
        <v>8.8616256233456005E-3</v>
      </c>
      <c r="AG176" s="15">
        <v>9.4060058918236204E-3</v>
      </c>
      <c r="AI176" s="12"/>
      <c r="AJ176">
        <f t="shared" si="44"/>
        <v>0</v>
      </c>
      <c r="AK176">
        <f t="shared" si="45"/>
        <v>1</v>
      </c>
      <c r="AL176">
        <f t="shared" si="54"/>
        <v>0</v>
      </c>
      <c r="AM176">
        <f t="shared" si="46"/>
        <v>1</v>
      </c>
      <c r="AN176">
        <f t="shared" si="55"/>
        <v>0</v>
      </c>
      <c r="AO176" s="28">
        <f t="shared" si="47"/>
        <v>0</v>
      </c>
      <c r="AP176" s="28">
        <f t="shared" si="48"/>
        <v>0</v>
      </c>
      <c r="AQ176" s="28">
        <f t="shared" si="56"/>
        <v>0</v>
      </c>
      <c r="AR176" s="29">
        <f t="shared" si="57"/>
        <v>3.7898640124255499E-2</v>
      </c>
      <c r="AT176" s="12"/>
      <c r="AU176">
        <f t="shared" si="49"/>
        <v>0</v>
      </c>
      <c r="AV176">
        <f t="shared" si="50"/>
        <v>0</v>
      </c>
      <c r="AW176">
        <f t="shared" si="58"/>
        <v>0</v>
      </c>
      <c r="AX176">
        <f t="shared" si="51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8.449704357277027E-2</v>
      </c>
      <c r="BE176" s="29">
        <f t="shared" si="62"/>
        <v>0</v>
      </c>
      <c r="BF176" s="29">
        <f t="shared" si="63"/>
        <v>0.12239568369702579</v>
      </c>
      <c r="BH176" s="29"/>
    </row>
    <row r="177" spans="1:100" x14ac:dyDescent="0.25">
      <c r="A177" s="1">
        <v>46280</v>
      </c>
      <c r="B177" s="33">
        <v>25.55</v>
      </c>
      <c r="C177" s="33">
        <v>25.73</v>
      </c>
      <c r="D177" s="15">
        <v>-1.1286362264687599E-2</v>
      </c>
      <c r="E177" s="15">
        <v>-1.35111107647993E-2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25.55</v>
      </c>
      <c r="M177" s="33">
        <v>25.73</v>
      </c>
      <c r="N177" s="34">
        <v>1.0070450097847301</v>
      </c>
      <c r="O177" s="34">
        <v>1.0078468940038601</v>
      </c>
      <c r="P177" s="34">
        <v>1.0148703519833699</v>
      </c>
      <c r="Q177" s="34">
        <v>1.01781653040496</v>
      </c>
      <c r="R177" s="33">
        <v>25.750488141798801</v>
      </c>
      <c r="S177" s="33">
        <v>25.977701995672401</v>
      </c>
      <c r="T177" s="33">
        <v>26.024690060098699</v>
      </c>
      <c r="U177" s="15">
        <v>7.9595759947452798E-4</v>
      </c>
      <c r="V177" s="15">
        <v>9.5809282141584903E-3</v>
      </c>
      <c r="W177" s="15">
        <v>1.13880788222946E-2</v>
      </c>
      <c r="X177" s="34">
        <v>1.0070450097847301</v>
      </c>
      <c r="Y177" s="34">
        <v>1.0078468940038601</v>
      </c>
      <c r="Z177" s="34">
        <v>1.0148703519833699</v>
      </c>
      <c r="AA177" s="34">
        <v>1.01781653040496</v>
      </c>
      <c r="AB177" s="33">
        <v>25.750488141798801</v>
      </c>
      <c r="AC177" s="33">
        <v>25.977701995672401</v>
      </c>
      <c r="AD177" s="33">
        <v>26.024690060098699</v>
      </c>
      <c r="AE177" s="15">
        <v>7.9595759947452798E-4</v>
      </c>
      <c r="AF177" s="15">
        <v>9.5809282141584903E-3</v>
      </c>
      <c r="AG177" s="15">
        <v>1.13880788222946E-2</v>
      </c>
      <c r="AJ177">
        <f t="shared" si="44"/>
        <v>0</v>
      </c>
      <c r="AK177">
        <f t="shared" si="45"/>
        <v>1</v>
      </c>
      <c r="AL177">
        <f t="shared" si="54"/>
        <v>0</v>
      </c>
      <c r="AM177">
        <f t="shared" si="46"/>
        <v>1</v>
      </c>
      <c r="AN177">
        <f t="shared" si="55"/>
        <v>0</v>
      </c>
      <c r="AO177" s="28">
        <f t="shared" si="47"/>
        <v>0</v>
      </c>
      <c r="AP177" s="28">
        <f t="shared" si="48"/>
        <v>0</v>
      </c>
      <c r="AQ177" s="28">
        <f t="shared" si="56"/>
        <v>0</v>
      </c>
      <c r="AR177" s="29">
        <f t="shared" si="57"/>
        <v>3.7898640124255499E-2</v>
      </c>
      <c r="AU177">
        <f t="shared" si="49"/>
        <v>1</v>
      </c>
      <c r="AV177">
        <f t="shared" si="50"/>
        <v>0</v>
      </c>
      <c r="AW177">
        <f t="shared" si="58"/>
        <v>0</v>
      </c>
      <c r="AX177">
        <f t="shared" si="51"/>
        <v>1</v>
      </c>
      <c r="AY177">
        <f t="shared" si="59"/>
        <v>0</v>
      </c>
      <c r="AZ177" s="28">
        <f t="shared" si="52"/>
        <v>0</v>
      </c>
      <c r="BA177" s="28">
        <f t="shared" si="53"/>
        <v>0</v>
      </c>
      <c r="BB177" s="28">
        <f t="shared" si="60"/>
        <v>0</v>
      </c>
      <c r="BC177" s="29">
        <f t="shared" si="61"/>
        <v>8.449704357277027E-2</v>
      </c>
      <c r="BE177" s="29">
        <f t="shared" si="62"/>
        <v>0</v>
      </c>
      <c r="BF177" s="29">
        <f t="shared" si="63"/>
        <v>0.12239568369702579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 s="1">
        <v>46281</v>
      </c>
      <c r="B178" s="33">
        <v>24.88</v>
      </c>
      <c r="C178" s="33">
        <v>25.02</v>
      </c>
      <c r="D178" s="15">
        <v>-2.6573048778734801E-2</v>
      </c>
      <c r="E178" s="15">
        <v>-2.79821212548877E-2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24.88</v>
      </c>
      <c r="M178" s="33">
        <v>25.02</v>
      </c>
      <c r="N178" s="34">
        <v>1.0056270096463</v>
      </c>
      <c r="O178" s="34">
        <v>1.0078468940038601</v>
      </c>
      <c r="P178" s="34">
        <v>1.0128749134131201</v>
      </c>
      <c r="Q178" s="34">
        <v>1.0171370815021901</v>
      </c>
      <c r="R178" s="33">
        <v>25.075230722816201</v>
      </c>
      <c r="S178" s="33">
        <v>25.2499743573464</v>
      </c>
      <c r="T178" s="33">
        <v>25.323275276475499</v>
      </c>
      <c r="U178" s="15">
        <v>2.2050300756274802E-3</v>
      </c>
      <c r="V178" s="15">
        <v>9.1496351314533497E-3</v>
      </c>
      <c r="W178" s="15">
        <v>1.20484391825751E-2</v>
      </c>
      <c r="X178" s="34">
        <v>1.0056270096463</v>
      </c>
      <c r="Y178" s="34">
        <v>1.0078468940038601</v>
      </c>
      <c r="Z178" s="34">
        <v>1.0128749134131201</v>
      </c>
      <c r="AA178" s="34">
        <v>1.0171370815021901</v>
      </c>
      <c r="AB178" s="33">
        <v>25.075230722816201</v>
      </c>
      <c r="AC178" s="33">
        <v>25.2499743573464</v>
      </c>
      <c r="AD178" s="33">
        <v>25.323275276475499</v>
      </c>
      <c r="AE178" s="15">
        <v>2.2050300756274802E-3</v>
      </c>
      <c r="AF178" s="15">
        <v>9.1496351314533497E-3</v>
      </c>
      <c r="AG178" s="15">
        <v>1.20484391825751E-2</v>
      </c>
      <c r="AJ178">
        <f t="shared" si="44"/>
        <v>0</v>
      </c>
      <c r="AK178">
        <f t="shared" si="45"/>
        <v>1</v>
      </c>
      <c r="AL178">
        <f t="shared" si="54"/>
        <v>0</v>
      </c>
      <c r="AM178">
        <f t="shared" si="46"/>
        <v>1</v>
      </c>
      <c r="AN178">
        <f t="shared" si="55"/>
        <v>0</v>
      </c>
      <c r="AO178" s="28">
        <f t="shared" si="47"/>
        <v>0</v>
      </c>
      <c r="AP178" s="28">
        <f t="shared" si="48"/>
        <v>0</v>
      </c>
      <c r="AQ178" s="28">
        <f t="shared" si="56"/>
        <v>0</v>
      </c>
      <c r="AR178" s="29">
        <f t="shared" si="57"/>
        <v>3.7898640124255499E-2</v>
      </c>
      <c r="AU178">
        <f t="shared" si="49"/>
        <v>1</v>
      </c>
      <c r="AV178">
        <f t="shared" si="50"/>
        <v>0</v>
      </c>
      <c r="AW178">
        <f t="shared" si="58"/>
        <v>1</v>
      </c>
      <c r="AX178">
        <f t="shared" si="51"/>
        <v>1</v>
      </c>
      <c r="AY178">
        <f t="shared" si="59"/>
        <v>1</v>
      </c>
      <c r="AZ178" s="28">
        <f t="shared" si="52"/>
        <v>2.6573048778734801E-2</v>
      </c>
      <c r="BA178" s="28">
        <f t="shared" si="53"/>
        <v>-2.79821212548877E-2</v>
      </c>
      <c r="BB178" s="28">
        <f t="shared" si="60"/>
        <v>-1.4090724761528992E-3</v>
      </c>
      <c r="BC178" s="29">
        <f t="shared" si="61"/>
        <v>8.3087971096617363E-2</v>
      </c>
      <c r="BE178" s="29">
        <f t="shared" si="62"/>
        <v>-1.4090724761528992E-3</v>
      </c>
      <c r="BF178" s="29">
        <f t="shared" si="63"/>
        <v>0.1209866112208729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 s="1">
        <v>46282</v>
      </c>
      <c r="B179" s="33">
        <v>24.25</v>
      </c>
      <c r="C179" s="33">
        <v>24.36</v>
      </c>
      <c r="D179" s="15">
        <v>-2.5647650487486399E-2</v>
      </c>
      <c r="E179" s="15">
        <v>-2.6733062197068801E-2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24.25</v>
      </c>
      <c r="M179" s="33">
        <v>24.36</v>
      </c>
      <c r="N179" s="34">
        <v>1.00453608247422</v>
      </c>
      <c r="O179" s="34">
        <v>1.0078468940038601</v>
      </c>
      <c r="P179" s="34">
        <v>1.0111886668649801</v>
      </c>
      <c r="Q179" s="34">
        <v>1.01641939834757</v>
      </c>
      <c r="R179" s="33">
        <v>24.440287179593799</v>
      </c>
      <c r="S179" s="33">
        <v>24.562216650268301</v>
      </c>
      <c r="T179" s="33">
        <v>24.665574226428099</v>
      </c>
      <c r="U179" s="15">
        <v>3.2904417852099598E-3</v>
      </c>
      <c r="V179" s="15">
        <v>8.2669108543056095E-3</v>
      </c>
      <c r="W179" s="15">
        <v>1.24660725958402E-2</v>
      </c>
      <c r="X179" s="34">
        <v>1.00453608247422</v>
      </c>
      <c r="Y179" s="34">
        <v>1.0078468940038601</v>
      </c>
      <c r="Z179" s="34">
        <v>1.0111886668649801</v>
      </c>
      <c r="AA179" s="34">
        <v>1.01641939834757</v>
      </c>
      <c r="AB179" s="33">
        <v>24.440287179593799</v>
      </c>
      <c r="AC179" s="33">
        <v>24.562216650268301</v>
      </c>
      <c r="AD179" s="33">
        <v>24.665574226428099</v>
      </c>
      <c r="AE179" s="15">
        <v>3.2904417852099598E-3</v>
      </c>
      <c r="AF179" s="15">
        <v>8.2669108543056095E-3</v>
      </c>
      <c r="AG179" s="15">
        <v>1.24660725958402E-2</v>
      </c>
      <c r="AJ179">
        <f t="shared" si="44"/>
        <v>0</v>
      </c>
      <c r="AK179">
        <f t="shared" si="45"/>
        <v>1</v>
      </c>
      <c r="AL179">
        <f t="shared" si="54"/>
        <v>0</v>
      </c>
      <c r="AM179">
        <f t="shared" si="46"/>
        <v>1</v>
      </c>
      <c r="AN179">
        <f t="shared" si="55"/>
        <v>0</v>
      </c>
      <c r="AO179" s="28">
        <f t="shared" si="47"/>
        <v>0</v>
      </c>
      <c r="AP179" s="28">
        <f t="shared" si="48"/>
        <v>0</v>
      </c>
      <c r="AQ179" s="28">
        <f t="shared" si="56"/>
        <v>0</v>
      </c>
      <c r="AR179" s="29">
        <f t="shared" si="57"/>
        <v>3.7898640124255499E-2</v>
      </c>
      <c r="AU179">
        <f t="shared" si="49"/>
        <v>1</v>
      </c>
      <c r="AV179">
        <f t="shared" si="50"/>
        <v>0</v>
      </c>
      <c r="AW179">
        <f t="shared" si="58"/>
        <v>1</v>
      </c>
      <c r="AX179">
        <f t="shared" si="51"/>
        <v>1</v>
      </c>
      <c r="AY179">
        <f t="shared" si="59"/>
        <v>1</v>
      </c>
      <c r="AZ179" s="28">
        <f t="shared" si="52"/>
        <v>2.5647650487486399E-2</v>
      </c>
      <c r="BA179" s="28">
        <f t="shared" si="53"/>
        <v>-2.6733062197068801E-2</v>
      </c>
      <c r="BB179" s="28">
        <f t="shared" si="60"/>
        <v>-1.0854117095824012E-3</v>
      </c>
      <c r="BC179" s="29">
        <f t="shared" si="61"/>
        <v>8.2002559387034962E-2</v>
      </c>
      <c r="BE179" s="29">
        <f t="shared" si="62"/>
        <v>-1.0854117095824012E-3</v>
      </c>
      <c r="BF179" s="29">
        <f t="shared" si="63"/>
        <v>0.1199011995112905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 s="1">
        <v>46283</v>
      </c>
      <c r="B180" s="33">
        <v>23.79</v>
      </c>
      <c r="C180" s="33">
        <v>24.12</v>
      </c>
      <c r="D180" s="15">
        <v>-1.91512930686259E-2</v>
      </c>
      <c r="E180" s="15">
        <v>-9.9010709827115698E-3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23.79</v>
      </c>
      <c r="M180" s="33">
        <v>24.12</v>
      </c>
      <c r="N180" s="34">
        <v>1.01387137452711</v>
      </c>
      <c r="O180" s="34">
        <v>1.0078468940038601</v>
      </c>
      <c r="P180" s="34">
        <v>1.01066521967879</v>
      </c>
      <c r="Q180" s="34">
        <v>1.0159173575090401</v>
      </c>
      <c r="R180" s="33">
        <v>23.976677608351999</v>
      </c>
      <c r="S180" s="33">
        <v>24.056178384717899</v>
      </c>
      <c r="T180" s="33">
        <v>24.1806174866887</v>
      </c>
      <c r="U180" s="15">
        <v>-5.9597803007046301E-3</v>
      </c>
      <c r="V180" s="15">
        <v>-2.6495108062574001E-3</v>
      </c>
      <c r="W180" s="15">
        <v>2.5100100854958999E-3</v>
      </c>
      <c r="X180" s="34">
        <v>1.01387137452711</v>
      </c>
      <c r="Y180" s="34">
        <v>1.0078468940038601</v>
      </c>
      <c r="Z180" s="34">
        <v>1.01066521967879</v>
      </c>
      <c r="AA180" s="34">
        <v>1.0159173575090401</v>
      </c>
      <c r="AB180" s="33">
        <v>23.976677608351999</v>
      </c>
      <c r="AC180" s="33">
        <v>24.056178384717899</v>
      </c>
      <c r="AD180" s="33">
        <v>24.1806174866887</v>
      </c>
      <c r="AE180" s="15">
        <v>-5.9597803007046301E-3</v>
      </c>
      <c r="AF180" s="15">
        <v>-2.6495108062574001E-3</v>
      </c>
      <c r="AG180" s="15">
        <v>2.5100100854958999E-3</v>
      </c>
      <c r="AJ180">
        <f t="shared" si="44"/>
        <v>0</v>
      </c>
      <c r="AK180">
        <f t="shared" si="45"/>
        <v>1</v>
      </c>
      <c r="AL180">
        <f t="shared" si="54"/>
        <v>0</v>
      </c>
      <c r="AM180">
        <f t="shared" si="46"/>
        <v>1</v>
      </c>
      <c r="AN180">
        <f t="shared" si="55"/>
        <v>0</v>
      </c>
      <c r="AO180" s="28">
        <f t="shared" si="47"/>
        <v>0</v>
      </c>
      <c r="AP180" s="28">
        <f t="shared" si="48"/>
        <v>0</v>
      </c>
      <c r="AQ180" s="28">
        <f t="shared" si="56"/>
        <v>0</v>
      </c>
      <c r="AR180" s="29">
        <f t="shared" si="57"/>
        <v>3.7898640124255499E-2</v>
      </c>
      <c r="AU180">
        <f t="shared" si="49"/>
        <v>0</v>
      </c>
      <c r="AV180">
        <f t="shared" si="50"/>
        <v>1</v>
      </c>
      <c r="AW180">
        <f t="shared" si="58"/>
        <v>1</v>
      </c>
      <c r="AX180">
        <f t="shared" si="51"/>
        <v>1</v>
      </c>
      <c r="AY180">
        <f t="shared" si="59"/>
        <v>1</v>
      </c>
      <c r="AZ180" s="28">
        <f t="shared" si="52"/>
        <v>1.91512930686259E-2</v>
      </c>
      <c r="BA180" s="28">
        <f t="shared" si="53"/>
        <v>-9.9010709827115698E-3</v>
      </c>
      <c r="BB180" s="28">
        <f t="shared" si="60"/>
        <v>9.2502220859143301E-3</v>
      </c>
      <c r="BC180" s="29">
        <f t="shared" si="61"/>
        <v>9.1252781472949296E-2</v>
      </c>
      <c r="BE180" s="29">
        <f t="shared" si="62"/>
        <v>9.2502220859143301E-3</v>
      </c>
      <c r="BF180" s="29">
        <f t="shared" si="63"/>
        <v>0.12915142159720483</v>
      </c>
    </row>
    <row r="181" spans="1:100" x14ac:dyDescent="0.25">
      <c r="A181" s="1">
        <v>46286</v>
      </c>
      <c r="B181" s="33">
        <v>24.26</v>
      </c>
      <c r="C181" s="33">
        <v>24.26</v>
      </c>
      <c r="D181" s="15">
        <v>1.9563579201037799E-2</v>
      </c>
      <c r="E181" s="15">
        <v>5.7875316569194002E-3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24.26</v>
      </c>
      <c r="M181" s="33">
        <v>24.26</v>
      </c>
      <c r="N181" s="34">
        <v>1</v>
      </c>
      <c r="O181" s="34">
        <v>1.0078468940038601</v>
      </c>
      <c r="P181" s="34">
        <v>1.00933290144506</v>
      </c>
      <c r="Q181" s="34">
        <v>1.0150164566081401</v>
      </c>
      <c r="R181" s="33">
        <v>24.450365648533801</v>
      </c>
      <c r="S181" s="33">
        <v>24.5187382294075</v>
      </c>
      <c r="T181" s="33">
        <v>24.646155093169501</v>
      </c>
      <c r="U181" s="15">
        <v>7.8162672434138394E-3</v>
      </c>
      <c r="V181" s="15">
        <v>1.0608747394756601E-2</v>
      </c>
      <c r="W181" s="15">
        <v>1.57920048135286E-2</v>
      </c>
      <c r="X181" s="34">
        <v>1</v>
      </c>
      <c r="Y181" s="34">
        <v>1.0078468940038601</v>
      </c>
      <c r="Z181" s="34">
        <v>1.00933290144506</v>
      </c>
      <c r="AA181" s="34">
        <v>1.0150164566081401</v>
      </c>
      <c r="AB181" s="33">
        <v>24.450365648533801</v>
      </c>
      <c r="AC181" s="33">
        <v>24.5187382294075</v>
      </c>
      <c r="AD181" s="33">
        <v>24.646155093169501</v>
      </c>
      <c r="AE181" s="15">
        <v>7.8162672434138394E-3</v>
      </c>
      <c r="AF181" s="15">
        <v>1.0608747394756601E-2</v>
      </c>
      <c r="AG181" s="15">
        <v>1.57920048135286E-2</v>
      </c>
      <c r="AJ181">
        <f t="shared" si="44"/>
        <v>0</v>
      </c>
      <c r="AK181">
        <f t="shared" si="45"/>
        <v>1</v>
      </c>
      <c r="AL181">
        <f t="shared" si="54"/>
        <v>0</v>
      </c>
      <c r="AM181">
        <f t="shared" si="46"/>
        <v>1</v>
      </c>
      <c r="AN181">
        <f t="shared" si="55"/>
        <v>0</v>
      </c>
      <c r="AO181" s="28">
        <f t="shared" si="47"/>
        <v>0</v>
      </c>
      <c r="AP181" s="28">
        <f t="shared" si="48"/>
        <v>0</v>
      </c>
      <c r="AQ181" s="28">
        <f t="shared" si="56"/>
        <v>0</v>
      </c>
      <c r="AR181" s="29">
        <f t="shared" si="57"/>
        <v>3.7898640124255499E-2</v>
      </c>
      <c r="AU181">
        <f t="shared" si="49"/>
        <v>1</v>
      </c>
      <c r="AV181">
        <f t="shared" si="50"/>
        <v>0</v>
      </c>
      <c r="AW181">
        <f t="shared" si="58"/>
        <v>0</v>
      </c>
      <c r="AX181">
        <f t="shared" si="51"/>
        <v>1</v>
      </c>
      <c r="AY181">
        <f t="shared" si="59"/>
        <v>0</v>
      </c>
      <c r="AZ181" s="28">
        <f t="shared" si="52"/>
        <v>0</v>
      </c>
      <c r="BA181" s="28">
        <f t="shared" si="53"/>
        <v>0</v>
      </c>
      <c r="BB181" s="28">
        <f t="shared" si="60"/>
        <v>0</v>
      </c>
      <c r="BC181" s="29">
        <f t="shared" si="61"/>
        <v>9.1252781472949296E-2</v>
      </c>
      <c r="BE181" s="29">
        <f t="shared" si="62"/>
        <v>0</v>
      </c>
      <c r="BF181" s="29">
        <f t="shared" si="63"/>
        <v>0.12915142159720483</v>
      </c>
    </row>
    <row r="182" spans="1:100" x14ac:dyDescent="0.25">
      <c r="A182" s="1">
        <v>46287</v>
      </c>
      <c r="B182" s="33">
        <v>24.41</v>
      </c>
      <c r="C182" s="33">
        <v>24.34</v>
      </c>
      <c r="D182" s="15">
        <v>6.1639808889645603E-3</v>
      </c>
      <c r="E182" s="15">
        <v>3.2921840434768702E-3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24.41</v>
      </c>
      <c r="M182" s="33">
        <v>24.34</v>
      </c>
      <c r="N182" s="34">
        <v>0.99713232281851605</v>
      </c>
      <c r="O182" s="34">
        <v>1.0078468940038601</v>
      </c>
      <c r="P182" s="34">
        <v>1.0080044670602499</v>
      </c>
      <c r="Q182" s="34">
        <v>1.01386453900198</v>
      </c>
      <c r="R182" s="33">
        <v>24.601542682634399</v>
      </c>
      <c r="S182" s="33">
        <v>24.637816124274</v>
      </c>
      <c r="T182" s="33">
        <v>24.776551705804899</v>
      </c>
      <c r="U182" s="15">
        <v>1.06880640889013E-2</v>
      </c>
      <c r="V182" s="15">
        <v>1.21614158579044E-2</v>
      </c>
      <c r="W182" s="15">
        <v>1.7776622614845299E-2</v>
      </c>
      <c r="X182" s="34">
        <v>0.99713232281851605</v>
      </c>
      <c r="Y182" s="34">
        <v>1.0078468940038601</v>
      </c>
      <c r="Z182" s="34">
        <v>1.0080044670602499</v>
      </c>
      <c r="AA182" s="34">
        <v>1.01386453900198</v>
      </c>
      <c r="AB182" s="33">
        <v>24.601542682634399</v>
      </c>
      <c r="AC182" s="33">
        <v>24.637816124274</v>
      </c>
      <c r="AD182" s="33">
        <v>24.776551705804899</v>
      </c>
      <c r="AE182" s="15">
        <v>1.06880640889013E-2</v>
      </c>
      <c r="AF182" s="15">
        <v>1.21614158579044E-2</v>
      </c>
      <c r="AG182" s="15">
        <v>1.7776622614845299E-2</v>
      </c>
      <c r="AJ182">
        <f t="shared" si="44"/>
        <v>0</v>
      </c>
      <c r="AK182">
        <f t="shared" si="45"/>
        <v>1</v>
      </c>
      <c r="AL182">
        <f t="shared" si="54"/>
        <v>0</v>
      </c>
      <c r="AM182">
        <f t="shared" si="46"/>
        <v>1</v>
      </c>
      <c r="AN182">
        <f t="shared" si="55"/>
        <v>0</v>
      </c>
      <c r="AO182" s="28">
        <f t="shared" si="47"/>
        <v>0</v>
      </c>
      <c r="AP182" s="28">
        <f t="shared" si="48"/>
        <v>0</v>
      </c>
      <c r="AQ182" s="28">
        <f t="shared" si="56"/>
        <v>0</v>
      </c>
      <c r="AR182" s="29">
        <f t="shared" si="57"/>
        <v>3.7898640124255499E-2</v>
      </c>
      <c r="AU182">
        <f t="shared" si="49"/>
        <v>1</v>
      </c>
      <c r="AV182">
        <f t="shared" si="50"/>
        <v>0</v>
      </c>
      <c r="AW182">
        <f t="shared" si="58"/>
        <v>1</v>
      </c>
      <c r="AX182">
        <f t="shared" si="51"/>
        <v>1</v>
      </c>
      <c r="AY182">
        <f t="shared" si="59"/>
        <v>1</v>
      </c>
      <c r="AZ182" s="28">
        <f t="shared" si="52"/>
        <v>-6.1639808889645603E-3</v>
      </c>
      <c r="BA182" s="28">
        <f t="shared" si="53"/>
        <v>3.2921840434768702E-3</v>
      </c>
      <c r="BB182" s="28">
        <f t="shared" si="60"/>
        <v>-2.8717968454876901E-3</v>
      </c>
      <c r="BC182" s="29">
        <f t="shared" si="61"/>
        <v>8.8380984627461606E-2</v>
      </c>
      <c r="BE182" s="29">
        <f t="shared" si="62"/>
        <v>-2.8717968454876901E-3</v>
      </c>
      <c r="BF182" s="29">
        <f t="shared" si="63"/>
        <v>0.12627962475171714</v>
      </c>
    </row>
    <row r="183" spans="1:100" x14ac:dyDescent="0.25">
      <c r="A183" s="1">
        <v>46288</v>
      </c>
      <c r="B183" s="33">
        <v>23.7</v>
      </c>
      <c r="C183" s="33">
        <v>23.44</v>
      </c>
      <c r="D183" s="15">
        <v>-2.9517836263783102E-2</v>
      </c>
      <c r="E183" s="15">
        <v>-3.7677122850569199E-2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23.7</v>
      </c>
      <c r="M183" s="33">
        <v>23.44</v>
      </c>
      <c r="N183" s="34">
        <v>0.98902953586497899</v>
      </c>
      <c r="O183" s="34">
        <v>1.0078468940038601</v>
      </c>
      <c r="P183" s="34">
        <v>1.00521716907442</v>
      </c>
      <c r="Q183" s="34">
        <v>1.01240589065302</v>
      </c>
      <c r="R183" s="33">
        <v>23.885971387891701</v>
      </c>
      <c r="S183" s="33">
        <v>23.889705869327901</v>
      </c>
      <c r="T183" s="33">
        <v>24.028589574346999</v>
      </c>
      <c r="U183" s="15">
        <v>1.8847350675687401E-2</v>
      </c>
      <c r="V183" s="15">
        <v>1.9003684679023001E-2</v>
      </c>
      <c r="W183" s="15">
        <v>2.4800388949402299E-2</v>
      </c>
      <c r="X183" s="34">
        <v>0.98902953586497899</v>
      </c>
      <c r="Y183" s="34">
        <v>1.0078468940038601</v>
      </c>
      <c r="Z183" s="34">
        <v>1.00521716907442</v>
      </c>
      <c r="AA183" s="34">
        <v>1.01240589065302</v>
      </c>
      <c r="AB183" s="33">
        <v>23.885971387891701</v>
      </c>
      <c r="AC183" s="33">
        <v>23.889705869327901</v>
      </c>
      <c r="AD183" s="33">
        <v>24.028589574346999</v>
      </c>
      <c r="AE183" s="15">
        <v>1.8847350675687401E-2</v>
      </c>
      <c r="AF183" s="15">
        <v>1.9003684679023001E-2</v>
      </c>
      <c r="AG183" s="15">
        <v>2.4800388949402299E-2</v>
      </c>
      <c r="AJ183">
        <f t="shared" si="44"/>
        <v>0</v>
      </c>
      <c r="AK183">
        <f t="shared" si="45"/>
        <v>1</v>
      </c>
      <c r="AL183">
        <f t="shared" si="54"/>
        <v>0</v>
      </c>
      <c r="AM183">
        <f t="shared" si="46"/>
        <v>1</v>
      </c>
      <c r="AN183">
        <f t="shared" si="55"/>
        <v>0</v>
      </c>
      <c r="AO183" s="28">
        <f t="shared" si="47"/>
        <v>0</v>
      </c>
      <c r="AP183" s="28">
        <f t="shared" si="48"/>
        <v>0</v>
      </c>
      <c r="AQ183" s="28">
        <f t="shared" si="56"/>
        <v>0</v>
      </c>
      <c r="AR183" s="29">
        <f t="shared" si="57"/>
        <v>3.7898640124255499E-2</v>
      </c>
      <c r="AU183">
        <f t="shared" si="49"/>
        <v>1</v>
      </c>
      <c r="AV183">
        <f t="shared" si="50"/>
        <v>0</v>
      </c>
      <c r="AW183">
        <f t="shared" si="58"/>
        <v>1</v>
      </c>
      <c r="AX183">
        <f t="shared" si="51"/>
        <v>1</v>
      </c>
      <c r="AY183">
        <f t="shared" si="59"/>
        <v>1</v>
      </c>
      <c r="AZ183" s="28">
        <f t="shared" si="52"/>
        <v>2.9517836263783102E-2</v>
      </c>
      <c r="BA183" s="28">
        <f t="shared" si="53"/>
        <v>-3.7677122850569199E-2</v>
      </c>
      <c r="BB183" s="28">
        <f t="shared" si="60"/>
        <v>-8.1592865867860971E-3</v>
      </c>
      <c r="BC183" s="29">
        <f t="shared" si="61"/>
        <v>8.0221698040675513E-2</v>
      </c>
      <c r="BE183" s="29">
        <f t="shared" si="62"/>
        <v>-8.1592865867860971E-3</v>
      </c>
      <c r="BF183" s="29">
        <f t="shared" si="63"/>
        <v>0.11812033816493105</v>
      </c>
    </row>
    <row r="184" spans="1:100" x14ac:dyDescent="0.25">
      <c r="A184" s="1">
        <v>46289</v>
      </c>
      <c r="B184" s="33">
        <v>23.77</v>
      </c>
      <c r="C184" s="33">
        <v>23.46</v>
      </c>
      <c r="D184" s="15">
        <v>2.9492332310169901E-3</v>
      </c>
      <c r="E184" s="15">
        <v>8.52878516517605E-4</v>
      </c>
      <c r="F184" s="33">
        <v>0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23.77</v>
      </c>
      <c r="M184" s="33">
        <v>23.46</v>
      </c>
      <c r="N184" s="34">
        <v>0.986958350862431</v>
      </c>
      <c r="O184" s="34">
        <v>1.0078468940038601</v>
      </c>
      <c r="P184" s="34">
        <v>1.00239608467408</v>
      </c>
      <c r="Q184" s="34">
        <v>1.0107856988567301</v>
      </c>
      <c r="R184" s="33">
        <v>23.9565206704719</v>
      </c>
      <c r="S184" s="33">
        <v>23.894012108898998</v>
      </c>
      <c r="T184" s="33">
        <v>24.064888020822401</v>
      </c>
      <c r="U184" s="15">
        <v>2.09437053901869E-2</v>
      </c>
      <c r="V184" s="15">
        <v>1.8331044945292502E-2</v>
      </c>
      <c r="W184" s="15">
        <v>2.54570063222587E-2</v>
      </c>
      <c r="X184" s="34">
        <v>0.986958350862431</v>
      </c>
      <c r="Y184" s="34">
        <v>1.0078468940038601</v>
      </c>
      <c r="Z184" s="34">
        <v>1.00239608467408</v>
      </c>
      <c r="AA184" s="34">
        <v>1.0107856988567301</v>
      </c>
      <c r="AB184" s="33">
        <v>23.9565206704719</v>
      </c>
      <c r="AC184" s="33">
        <v>23.894012108898998</v>
      </c>
      <c r="AD184" s="33">
        <v>24.064888020822401</v>
      </c>
      <c r="AE184" s="15">
        <v>2.09437053901869E-2</v>
      </c>
      <c r="AF184" s="15">
        <v>1.8331044945292502E-2</v>
      </c>
      <c r="AG184" s="15">
        <v>2.54570063222587E-2</v>
      </c>
      <c r="AJ184">
        <f t="shared" si="44"/>
        <v>0</v>
      </c>
      <c r="AK184">
        <f t="shared" si="45"/>
        <v>1</v>
      </c>
      <c r="AL184">
        <f t="shared" si="54"/>
        <v>0</v>
      </c>
      <c r="AM184">
        <f t="shared" si="46"/>
        <v>1</v>
      </c>
      <c r="AN184">
        <f t="shared" si="55"/>
        <v>0</v>
      </c>
      <c r="AO184" s="28">
        <f t="shared" si="47"/>
        <v>0</v>
      </c>
      <c r="AP184" s="28">
        <f t="shared" si="48"/>
        <v>0</v>
      </c>
      <c r="AQ184" s="28">
        <f t="shared" si="56"/>
        <v>0</v>
      </c>
      <c r="AR184" s="29">
        <f t="shared" si="57"/>
        <v>3.7898640124255499E-2</v>
      </c>
      <c r="AU184">
        <f t="shared" si="49"/>
        <v>1</v>
      </c>
      <c r="AV184">
        <f t="shared" si="50"/>
        <v>0</v>
      </c>
      <c r="AW184">
        <f t="shared" si="58"/>
        <v>1</v>
      </c>
      <c r="AX184">
        <f t="shared" si="51"/>
        <v>1</v>
      </c>
      <c r="AY184">
        <f t="shared" si="59"/>
        <v>1</v>
      </c>
      <c r="AZ184" s="28">
        <f t="shared" si="52"/>
        <v>-2.9492332310169901E-3</v>
      </c>
      <c r="BA184" s="28">
        <f t="shared" si="53"/>
        <v>8.52878516517605E-4</v>
      </c>
      <c r="BB184" s="28">
        <f t="shared" si="60"/>
        <v>-2.0963547144993849E-3</v>
      </c>
      <c r="BC184" s="29">
        <f t="shared" si="61"/>
        <v>7.8125343326176128E-2</v>
      </c>
      <c r="BE184" s="29">
        <f t="shared" si="62"/>
        <v>-2.0963547144993849E-3</v>
      </c>
      <c r="BF184" s="29">
        <f t="shared" si="63"/>
        <v>0.11602398345043166</v>
      </c>
    </row>
    <row r="185" spans="1:100" x14ac:dyDescent="0.25">
      <c r="A185" s="1">
        <v>46290</v>
      </c>
      <c r="B185" s="33">
        <v>23.55</v>
      </c>
      <c r="C185" s="33">
        <v>23.65</v>
      </c>
      <c r="D185" s="15">
        <v>-9.2984609096757893E-3</v>
      </c>
      <c r="E185" s="15">
        <v>8.0662717126125799E-3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23.55</v>
      </c>
      <c r="M185" s="33">
        <v>23.65</v>
      </c>
      <c r="N185" s="34">
        <v>1.00424628450106</v>
      </c>
      <c r="O185" s="34">
        <v>1.0078468940038601</v>
      </c>
      <c r="P185" s="34">
        <v>1.00177338961759</v>
      </c>
      <c r="Q185" s="34">
        <v>1.0100224966319</v>
      </c>
      <c r="R185" s="33">
        <v>23.734794353791099</v>
      </c>
      <c r="S185" s="33">
        <v>23.606427794074602</v>
      </c>
      <c r="T185" s="33">
        <v>23.8040032080762</v>
      </c>
      <c r="U185" s="15">
        <v>3.5789727678987599E-3</v>
      </c>
      <c r="V185" s="15">
        <v>-1.8440758350537401E-3</v>
      </c>
      <c r="W185" s="15">
        <v>6.4906536151222802E-3</v>
      </c>
      <c r="X185" s="34">
        <v>1.00424628450106</v>
      </c>
      <c r="Y185" s="34">
        <v>1.0078468940038601</v>
      </c>
      <c r="Z185" s="34">
        <v>1.00177338961759</v>
      </c>
      <c r="AA185" s="34">
        <v>1.0100224966319</v>
      </c>
      <c r="AB185" s="33">
        <v>23.734794353791099</v>
      </c>
      <c r="AC185" s="33">
        <v>23.606427794074602</v>
      </c>
      <c r="AD185" s="33">
        <v>23.8040032080762</v>
      </c>
      <c r="AE185" s="15">
        <v>3.5789727678987599E-3</v>
      </c>
      <c r="AF185" s="15">
        <v>-1.8440758350537401E-3</v>
      </c>
      <c r="AG185" s="15">
        <v>6.4906536151222802E-3</v>
      </c>
      <c r="AJ185">
        <f t="shared" si="44"/>
        <v>0</v>
      </c>
      <c r="AK185">
        <f t="shared" si="45"/>
        <v>1</v>
      </c>
      <c r="AL185">
        <f t="shared" si="54"/>
        <v>0</v>
      </c>
      <c r="AM185">
        <f t="shared" si="46"/>
        <v>1</v>
      </c>
      <c r="AN185">
        <f t="shared" si="55"/>
        <v>0</v>
      </c>
      <c r="AO185" s="28">
        <f t="shared" si="47"/>
        <v>0</v>
      </c>
      <c r="AP185" s="28">
        <f t="shared" si="48"/>
        <v>0</v>
      </c>
      <c r="AQ185" s="28">
        <f t="shared" si="56"/>
        <v>0</v>
      </c>
      <c r="AR185" s="29">
        <f t="shared" si="57"/>
        <v>3.7898640124255499E-2</v>
      </c>
      <c r="AU185">
        <f t="shared" si="49"/>
        <v>0</v>
      </c>
      <c r="AV185">
        <f t="shared" si="50"/>
        <v>0</v>
      </c>
      <c r="AW185">
        <f t="shared" si="58"/>
        <v>1</v>
      </c>
      <c r="AX185">
        <f t="shared" si="51"/>
        <v>1</v>
      </c>
      <c r="AY185">
        <f t="shared" si="59"/>
        <v>1</v>
      </c>
      <c r="AZ185" s="28">
        <f t="shared" si="52"/>
        <v>9.2984609096757893E-3</v>
      </c>
      <c r="BA185" s="28">
        <f t="shared" si="53"/>
        <v>8.0662717126125799E-3</v>
      </c>
      <c r="BB185" s="28">
        <f t="shared" si="60"/>
        <v>1.7364732622288367E-2</v>
      </c>
      <c r="BC185" s="29">
        <f t="shared" si="61"/>
        <v>9.5490075948464495E-2</v>
      </c>
      <c r="BE185" s="29">
        <f t="shared" si="62"/>
        <v>1.7364732622288367E-2</v>
      </c>
      <c r="BF185" s="29">
        <f t="shared" si="63"/>
        <v>0.13338871607272001</v>
      </c>
    </row>
    <row r="186" spans="1:100" x14ac:dyDescent="0.25">
      <c r="A186" s="1">
        <v>46293</v>
      </c>
      <c r="B186" s="33">
        <v>23.34</v>
      </c>
      <c r="C186" s="33">
        <v>23.45</v>
      </c>
      <c r="D186" s="15">
        <v>-8.9571936040168196E-3</v>
      </c>
      <c r="E186" s="15">
        <v>-8.4926200456535792E-3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23.34</v>
      </c>
      <c r="M186" s="33">
        <v>23.45</v>
      </c>
      <c r="N186" s="34">
        <v>1.0047129391602301</v>
      </c>
      <c r="O186" s="34">
        <v>1.0078468940038601</v>
      </c>
      <c r="P186" s="34">
        <v>1.0013158909639599</v>
      </c>
      <c r="Q186" s="34">
        <v>1.0090278475499299</v>
      </c>
      <c r="R186" s="33">
        <v>23.523146506050299</v>
      </c>
      <c r="S186" s="33">
        <v>23.381390913674601</v>
      </c>
      <c r="T186" s="33">
        <v>23.5739250713887</v>
      </c>
      <c r="U186" s="15">
        <v>3.1143992095353898E-3</v>
      </c>
      <c r="V186" s="15">
        <v>-2.93004901506849E-3</v>
      </c>
      <c r="W186" s="15">
        <v>5.27073646420749E-3</v>
      </c>
      <c r="X186" s="34">
        <v>1.0047129391602301</v>
      </c>
      <c r="Y186" s="34">
        <v>1.0078468940038601</v>
      </c>
      <c r="Z186" s="34">
        <v>1.0013158909639599</v>
      </c>
      <c r="AA186" s="34">
        <v>1.0090278475499299</v>
      </c>
      <c r="AB186" s="33">
        <v>23.523146506050299</v>
      </c>
      <c r="AC186" s="33">
        <v>23.381390913674601</v>
      </c>
      <c r="AD186" s="33">
        <v>23.5739250713887</v>
      </c>
      <c r="AE186" s="15">
        <v>3.1143992095353898E-3</v>
      </c>
      <c r="AF186" s="15">
        <v>-2.93004901506849E-3</v>
      </c>
      <c r="AG186" s="15">
        <v>5.27073646420749E-3</v>
      </c>
      <c r="AJ186">
        <f t="shared" si="44"/>
        <v>0</v>
      </c>
      <c r="AK186">
        <f t="shared" si="45"/>
        <v>1</v>
      </c>
      <c r="AL186">
        <f t="shared" si="54"/>
        <v>0</v>
      </c>
      <c r="AM186">
        <f t="shared" si="46"/>
        <v>1</v>
      </c>
      <c r="AN186">
        <f t="shared" si="55"/>
        <v>0</v>
      </c>
      <c r="AO186" s="28">
        <f t="shared" si="47"/>
        <v>0</v>
      </c>
      <c r="AP186" s="28">
        <f t="shared" si="48"/>
        <v>0</v>
      </c>
      <c r="AQ186" s="28">
        <f t="shared" si="56"/>
        <v>0</v>
      </c>
      <c r="AR186" s="29">
        <f t="shared" si="57"/>
        <v>3.7898640124255499E-2</v>
      </c>
      <c r="AU186">
        <f t="shared" si="49"/>
        <v>0</v>
      </c>
      <c r="AV186">
        <f t="shared" si="50"/>
        <v>0</v>
      </c>
      <c r="AW186">
        <f t="shared" si="58"/>
        <v>1</v>
      </c>
      <c r="AX186">
        <f t="shared" si="51"/>
        <v>1</v>
      </c>
      <c r="AY186">
        <f t="shared" si="59"/>
        <v>1</v>
      </c>
      <c r="AZ186" s="28">
        <f t="shared" si="52"/>
        <v>8.9571936040168196E-3</v>
      </c>
      <c r="BA186" s="28">
        <f t="shared" si="53"/>
        <v>-8.4926200456535792E-3</v>
      </c>
      <c r="BB186" s="28">
        <f t="shared" si="60"/>
        <v>4.6457355836324044E-4</v>
      </c>
      <c r="BC186" s="29">
        <f t="shared" si="61"/>
        <v>9.5954649506827736E-2</v>
      </c>
      <c r="BE186" s="29">
        <f t="shared" si="62"/>
        <v>4.6457355836324044E-4</v>
      </c>
      <c r="BF186" s="29">
        <f t="shared" si="63"/>
        <v>0.13385328963108326</v>
      </c>
    </row>
    <row r="188" spans="1:100" x14ac:dyDescent="0.25">
      <c r="AU188" s="7"/>
      <c r="AV188" s="7"/>
      <c r="AW188" s="7"/>
      <c r="AX188" s="7"/>
      <c r="AY188" s="7"/>
    </row>
  </sheetData>
  <conditionalFormatting sqref="AJ2:AQ9">
    <cfRule type="top10" dxfId="1" priority="2" rank="3"/>
  </conditionalFormatting>
  <conditionalFormatting sqref="AU2:BB9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2026-10-06T20:43:16Z</dcterms:created>
  <dcterms:modified xsi:type="dcterms:W3CDTF">2026-10-06T20:59:40Z</dcterms:modified>
</cp:coreProperties>
</file>