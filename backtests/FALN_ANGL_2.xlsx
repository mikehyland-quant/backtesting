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FDEE7F7B-6FB4-40F4-94C3-99AFAD59DF7D}" xr6:coauthVersionLast="47" xr6:coauthVersionMax="47" xr10:uidLastSave="{00000000-0000-0000-0000-000000000000}"/>
  <bookViews>
    <workbookView xWindow="2115" yWindow="1995" windowWidth="27210" windowHeight="10515" xr2:uid="{7C348F8C-9AD8-43C5-AE30-89F9DC01B54C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N175" i="1" s="1"/>
  <c r="AX173" i="1"/>
  <c r="AV173" i="1"/>
  <c r="AU173" i="1"/>
  <c r="AY174" i="1" s="1"/>
  <c r="AM173" i="1"/>
  <c r="AK173" i="1"/>
  <c r="AJ173" i="1"/>
  <c r="AN174" i="1" s="1"/>
  <c r="AX172" i="1"/>
  <c r="AV172" i="1"/>
  <c r="AU172" i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Y171" i="1" s="1"/>
  <c r="AM170" i="1"/>
  <c r="AK170" i="1"/>
  <c r="AJ170" i="1"/>
  <c r="AX169" i="1"/>
  <c r="AV169" i="1"/>
  <c r="AU169" i="1"/>
  <c r="AY170" i="1" s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X166" i="1"/>
  <c r="AV166" i="1"/>
  <c r="AU166" i="1"/>
  <c r="AY167" i="1" s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X156" i="1"/>
  <c r="AV156" i="1"/>
  <c r="AU156" i="1"/>
  <c r="AM156" i="1"/>
  <c r="AK156" i="1"/>
  <c r="AJ156" i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M152" i="1"/>
  <c r="AK152" i="1"/>
  <c r="AJ152" i="1"/>
  <c r="AX151" i="1"/>
  <c r="AV151" i="1"/>
  <c r="AU151" i="1"/>
  <c r="AM151" i="1"/>
  <c r="AK151" i="1"/>
  <c r="AJ151" i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Y145" i="1" s="1"/>
  <c r="AM144" i="1"/>
  <c r="AK144" i="1"/>
  <c r="AJ144" i="1"/>
  <c r="AX143" i="1"/>
  <c r="AV143" i="1"/>
  <c r="AU143" i="1"/>
  <c r="AM143" i="1"/>
  <c r="AK143" i="1"/>
  <c r="AJ143" i="1"/>
  <c r="AX142" i="1"/>
  <c r="AV142" i="1"/>
  <c r="AU142" i="1"/>
  <c r="AY143" i="1" s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Y141" i="1" s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M133" i="1"/>
  <c r="AK133" i="1"/>
  <c r="AJ133" i="1"/>
  <c r="AN134" i="1" s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N132" i="1" s="1"/>
  <c r="AX130" i="1"/>
  <c r="AV130" i="1"/>
  <c r="AU130" i="1"/>
  <c r="AM130" i="1"/>
  <c r="AK130" i="1"/>
  <c r="AJ130" i="1"/>
  <c r="AN131" i="1" s="1"/>
  <c r="AX129" i="1"/>
  <c r="AV129" i="1"/>
  <c r="AU129" i="1"/>
  <c r="AM129" i="1"/>
  <c r="AK129" i="1"/>
  <c r="AJ129" i="1"/>
  <c r="AN130" i="1" s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M126" i="1"/>
  <c r="AK126" i="1"/>
  <c r="AJ126" i="1"/>
  <c r="AN127" i="1" s="1"/>
  <c r="AX125" i="1"/>
  <c r="AV125" i="1"/>
  <c r="AU125" i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M123" i="1"/>
  <c r="AK123" i="1"/>
  <c r="AJ123" i="1"/>
  <c r="AN124" i="1" s="1"/>
  <c r="AX122" i="1"/>
  <c r="AV122" i="1"/>
  <c r="AU122" i="1"/>
  <c r="AM122" i="1"/>
  <c r="AK122" i="1"/>
  <c r="AJ122" i="1"/>
  <c r="AN123" i="1" s="1"/>
  <c r="AX121" i="1"/>
  <c r="AV121" i="1"/>
  <c r="AU121" i="1"/>
  <c r="AM121" i="1"/>
  <c r="AK121" i="1"/>
  <c r="AJ121" i="1"/>
  <c r="AN122" i="1" s="1"/>
  <c r="AX120" i="1"/>
  <c r="AV120" i="1"/>
  <c r="AU120" i="1"/>
  <c r="AM120" i="1"/>
  <c r="AK120" i="1"/>
  <c r="AJ120" i="1"/>
  <c r="AN121" i="1" s="1"/>
  <c r="AX119" i="1"/>
  <c r="AV119" i="1"/>
  <c r="AU119" i="1"/>
  <c r="AM119" i="1"/>
  <c r="AK119" i="1"/>
  <c r="AJ119" i="1"/>
  <c r="AN120" i="1" s="1"/>
  <c r="AX118" i="1"/>
  <c r="AV118" i="1"/>
  <c r="AU118" i="1"/>
  <c r="AM118" i="1"/>
  <c r="AK118" i="1"/>
  <c r="AJ118" i="1"/>
  <c r="AN119" i="1" s="1"/>
  <c r="AX117" i="1"/>
  <c r="AV117" i="1"/>
  <c r="AU117" i="1"/>
  <c r="AM117" i="1"/>
  <c r="AK117" i="1"/>
  <c r="AJ117" i="1"/>
  <c r="AN118" i="1" s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N116" i="1" s="1"/>
  <c r="AX114" i="1"/>
  <c r="AV114" i="1"/>
  <c r="AU114" i="1"/>
  <c r="AM114" i="1"/>
  <c r="AK114" i="1"/>
  <c r="AJ114" i="1"/>
  <c r="AX113" i="1"/>
  <c r="AV113" i="1"/>
  <c r="AU113" i="1"/>
  <c r="AY114" i="1" s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Y109" i="1" s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M103" i="1"/>
  <c r="AK103" i="1"/>
  <c r="AJ103" i="1"/>
  <c r="AX102" i="1"/>
  <c r="AV102" i="1"/>
  <c r="AU102" i="1"/>
  <c r="AM102" i="1"/>
  <c r="AK102" i="1"/>
  <c r="AJ102" i="1"/>
  <c r="AN103" i="1" s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N101" i="1" s="1"/>
  <c r="AX99" i="1"/>
  <c r="AV99" i="1"/>
  <c r="AU99" i="1"/>
  <c r="AM99" i="1"/>
  <c r="AK99" i="1"/>
  <c r="AJ99" i="1"/>
  <c r="AN100" i="1" s="1"/>
  <c r="AX98" i="1"/>
  <c r="AV98" i="1"/>
  <c r="AU98" i="1"/>
  <c r="AM98" i="1"/>
  <c r="AK98" i="1"/>
  <c r="AJ98" i="1"/>
  <c r="AX97" i="1"/>
  <c r="AV97" i="1"/>
  <c r="AU97" i="1"/>
  <c r="AM97" i="1"/>
  <c r="AK97" i="1"/>
  <c r="AJ97" i="1"/>
  <c r="AN98" i="1" s="1"/>
  <c r="AX96" i="1"/>
  <c r="AV96" i="1"/>
  <c r="AU96" i="1"/>
  <c r="AM96" i="1"/>
  <c r="AK96" i="1"/>
  <c r="AJ96" i="1"/>
  <c r="AN97" i="1" s="1"/>
  <c r="AX95" i="1"/>
  <c r="AV95" i="1"/>
  <c r="AU95" i="1"/>
  <c r="AM95" i="1"/>
  <c r="AK95" i="1"/>
  <c r="AJ95" i="1"/>
  <c r="AX94" i="1"/>
  <c r="AV94" i="1"/>
  <c r="AU94" i="1"/>
  <c r="AM94" i="1"/>
  <c r="AK94" i="1"/>
  <c r="AJ94" i="1"/>
  <c r="AN95" i="1" s="1"/>
  <c r="AX93" i="1"/>
  <c r="AV93" i="1"/>
  <c r="AU93" i="1"/>
  <c r="AM93" i="1"/>
  <c r="AK93" i="1"/>
  <c r="AJ93" i="1"/>
  <c r="AX92" i="1"/>
  <c r="AV92" i="1"/>
  <c r="AU92" i="1"/>
  <c r="AM92" i="1"/>
  <c r="AK92" i="1"/>
  <c r="AJ92" i="1"/>
  <c r="AN93" i="1" s="1"/>
  <c r="AX91" i="1"/>
  <c r="AV91" i="1"/>
  <c r="AU91" i="1"/>
  <c r="AM91" i="1"/>
  <c r="AK91" i="1"/>
  <c r="AJ91" i="1"/>
  <c r="AN92" i="1" s="1"/>
  <c r="AX90" i="1"/>
  <c r="AV90" i="1"/>
  <c r="AU90" i="1"/>
  <c r="AM90" i="1"/>
  <c r="AK90" i="1"/>
  <c r="AJ90" i="1"/>
  <c r="AN91" i="1" s="1"/>
  <c r="AX89" i="1"/>
  <c r="AV89" i="1"/>
  <c r="AU89" i="1"/>
  <c r="AM89" i="1"/>
  <c r="AK89" i="1"/>
  <c r="AJ89" i="1"/>
  <c r="AN90" i="1" s="1"/>
  <c r="AX88" i="1"/>
  <c r="AV88" i="1"/>
  <c r="AU88" i="1"/>
  <c r="AM88" i="1"/>
  <c r="AK88" i="1"/>
  <c r="AJ88" i="1"/>
  <c r="AN89" i="1" s="1"/>
  <c r="AX87" i="1"/>
  <c r="AV87" i="1"/>
  <c r="AU87" i="1"/>
  <c r="AY88" i="1" s="1"/>
  <c r="AM87" i="1"/>
  <c r="AK87" i="1"/>
  <c r="AJ87" i="1"/>
  <c r="AX86" i="1"/>
  <c r="AV86" i="1"/>
  <c r="AU86" i="1"/>
  <c r="AY87" i="1" s="1"/>
  <c r="AM86" i="1"/>
  <c r="AK86" i="1"/>
  <c r="AJ86" i="1"/>
  <c r="AN87" i="1" s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Y78" i="1" s="1"/>
  <c r="AM77" i="1"/>
  <c r="AK77" i="1"/>
  <c r="AJ77" i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N74" i="1" s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N71" i="1" s="1"/>
  <c r="AX69" i="1"/>
  <c r="AV69" i="1"/>
  <c r="AU69" i="1"/>
  <c r="AY70" i="1" s="1"/>
  <c r="AM69" i="1"/>
  <c r="AK69" i="1"/>
  <c r="AJ69" i="1"/>
  <c r="AN70" i="1" s="1"/>
  <c r="AX68" i="1"/>
  <c r="AV68" i="1"/>
  <c r="AU68" i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N63" i="1" s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X59" i="1"/>
  <c r="AV59" i="1"/>
  <c r="AU59" i="1"/>
  <c r="AM59" i="1"/>
  <c r="AK59" i="1"/>
  <c r="AJ59" i="1"/>
  <c r="AN60" i="1" s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N58" i="1" s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M53" i="1"/>
  <c r="AK53" i="1"/>
  <c r="AJ53" i="1"/>
  <c r="AX52" i="1"/>
  <c r="AV52" i="1"/>
  <c r="AU52" i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N49" i="1" s="1"/>
  <c r="AX47" i="1"/>
  <c r="AV47" i="1"/>
  <c r="AU47" i="1"/>
  <c r="AY48" i="1" s="1"/>
  <c r="AM47" i="1"/>
  <c r="AK47" i="1"/>
  <c r="AJ47" i="1"/>
  <c r="AN48" i="1" s="1"/>
  <c r="AX46" i="1"/>
  <c r="AV46" i="1"/>
  <c r="AU46" i="1"/>
  <c r="AM46" i="1"/>
  <c r="AK46" i="1"/>
  <c r="AJ46" i="1"/>
  <c r="AN47" i="1" s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N45" i="1" s="1"/>
  <c r="AX43" i="1"/>
  <c r="AV43" i="1"/>
  <c r="AU43" i="1"/>
  <c r="AM43" i="1"/>
  <c r="AK43" i="1"/>
  <c r="AJ43" i="1"/>
  <c r="AX42" i="1"/>
  <c r="AV42" i="1"/>
  <c r="AU42" i="1"/>
  <c r="AM42" i="1"/>
  <c r="AK42" i="1"/>
  <c r="AJ42" i="1"/>
  <c r="AX41" i="1"/>
  <c r="AV41" i="1"/>
  <c r="AU41" i="1"/>
  <c r="AY42" i="1" s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N37" i="1" s="1"/>
  <c r="AX35" i="1"/>
  <c r="AV35" i="1"/>
  <c r="AU35" i="1"/>
  <c r="AM35" i="1"/>
  <c r="AK35" i="1"/>
  <c r="AJ35" i="1"/>
  <c r="AN36" i="1" s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N33" i="1" s="1"/>
  <c r="AX31" i="1"/>
  <c r="AV31" i="1"/>
  <c r="AU31" i="1"/>
  <c r="AM31" i="1"/>
  <c r="AK31" i="1"/>
  <c r="AJ31" i="1"/>
  <c r="AN32" i="1" s="1"/>
  <c r="AX30" i="1"/>
  <c r="AV30" i="1"/>
  <c r="AU30" i="1"/>
  <c r="AY31" i="1" s="1"/>
  <c r="AM30" i="1"/>
  <c r="AK30" i="1"/>
  <c r="AJ30" i="1"/>
  <c r="AN31" i="1" s="1"/>
  <c r="AX29" i="1"/>
  <c r="AV29" i="1"/>
  <c r="AU29" i="1"/>
  <c r="AY30" i="1" s="1"/>
  <c r="AM29" i="1"/>
  <c r="AK29" i="1"/>
  <c r="AJ29" i="1"/>
  <c r="AN30" i="1" s="1"/>
  <c r="AX28" i="1"/>
  <c r="AV28" i="1"/>
  <c r="AU28" i="1"/>
  <c r="AY29" i="1" s="1"/>
  <c r="AM28" i="1"/>
  <c r="AK28" i="1"/>
  <c r="AJ28" i="1"/>
  <c r="AX27" i="1"/>
  <c r="AV27" i="1"/>
  <c r="AU27" i="1"/>
  <c r="AM27" i="1"/>
  <c r="AK27" i="1"/>
  <c r="AJ27" i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M23" i="1"/>
  <c r="AK23" i="1"/>
  <c r="AJ23" i="1"/>
  <c r="AX22" i="1"/>
  <c r="AW22" i="1"/>
  <c r="AV22" i="1"/>
  <c r="AU22" i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73" i="1" l="1"/>
  <c r="AY164" i="1"/>
  <c r="AY158" i="1"/>
  <c r="AY157" i="1"/>
  <c r="AY155" i="1"/>
  <c r="AY154" i="1"/>
  <c r="AY51" i="1"/>
  <c r="AY40" i="1"/>
  <c r="AY34" i="1"/>
  <c r="AY79" i="1"/>
  <c r="AY50" i="1"/>
  <c r="AY46" i="1"/>
  <c r="AY44" i="1"/>
  <c r="AY32" i="1"/>
  <c r="AY80" i="1"/>
  <c r="AY43" i="1"/>
  <c r="AY35" i="1"/>
  <c r="AY33" i="1"/>
  <c r="AY26" i="1"/>
  <c r="AY23" i="1"/>
  <c r="AY123" i="1"/>
  <c r="AY101" i="1"/>
  <c r="AY65" i="1"/>
  <c r="AY36" i="1"/>
  <c r="AY28" i="1"/>
  <c r="AY152" i="1"/>
  <c r="AY76" i="1"/>
  <c r="AY73" i="1"/>
  <c r="AY41" i="1"/>
  <c r="AY111" i="1"/>
  <c r="AY77" i="1"/>
  <c r="AY66" i="1"/>
  <c r="AY54" i="1"/>
  <c r="AY27" i="1"/>
  <c r="AY142" i="1"/>
  <c r="AY110" i="1"/>
  <c r="AY72" i="1"/>
  <c r="AY69" i="1"/>
  <c r="AY153" i="1"/>
  <c r="AY129" i="1"/>
  <c r="AN59" i="1"/>
  <c r="AN133" i="1"/>
  <c r="AN129" i="1"/>
  <c r="AN55" i="1"/>
  <c r="AN82" i="1"/>
  <c r="AN56" i="1"/>
  <c r="AN52" i="1"/>
  <c r="AN111" i="1"/>
  <c r="AN104" i="1"/>
  <c r="AN99" i="1"/>
  <c r="AN24" i="1"/>
  <c r="AN157" i="1"/>
  <c r="AN117" i="1"/>
  <c r="AN112" i="1"/>
  <c r="AN96" i="1"/>
  <c r="AN94" i="1"/>
  <c r="AN88" i="1"/>
  <c r="AN62" i="1"/>
  <c r="AN61" i="1"/>
  <c r="AN41" i="1"/>
  <c r="AN115" i="1"/>
  <c r="AY39" i="1"/>
  <c r="AY38" i="1"/>
  <c r="AY175" i="1"/>
  <c r="AY81" i="1"/>
  <c r="AY37" i="1"/>
  <c r="AN57" i="1"/>
  <c r="AN38" i="1"/>
  <c r="AN152" i="1"/>
  <c r="AY138" i="1"/>
  <c r="AY144" i="1"/>
  <c r="AZ176" i="1"/>
  <c r="BA176" i="1"/>
  <c r="AW176" i="1"/>
  <c r="AO175" i="1"/>
  <c r="AP175" i="1"/>
  <c r="AL175" i="1"/>
  <c r="AN176" i="1" s="1"/>
  <c r="AZ174" i="1"/>
  <c r="BA174" i="1"/>
  <c r="AW174" i="1"/>
  <c r="AP174" i="1"/>
  <c r="AO174" i="1"/>
  <c r="AQ174" i="1" s="1"/>
  <c r="AL174" i="1"/>
  <c r="AZ173" i="1"/>
  <c r="BA173" i="1"/>
  <c r="AW173" i="1"/>
  <c r="AP173" i="1"/>
  <c r="AO173" i="1"/>
  <c r="AQ173" i="1" s="1"/>
  <c r="AL173" i="1"/>
  <c r="BA172" i="1"/>
  <c r="AW172" i="1"/>
  <c r="AZ172" i="1"/>
  <c r="BB172" i="1" s="1"/>
  <c r="AZ171" i="1"/>
  <c r="BA171" i="1"/>
  <c r="AW171" i="1"/>
  <c r="BA170" i="1"/>
  <c r="AZ170" i="1"/>
  <c r="BB170" i="1" s="1"/>
  <c r="AW170" i="1"/>
  <c r="AP170" i="1"/>
  <c r="AL170" i="1"/>
  <c r="AN171" i="1" s="1"/>
  <c r="AO170" i="1"/>
  <c r="AQ170" i="1" s="1"/>
  <c r="BE170" i="1" s="1"/>
  <c r="AP169" i="1"/>
  <c r="AL169" i="1"/>
  <c r="AO169" i="1"/>
  <c r="AQ169" i="1" s="1"/>
  <c r="BA168" i="1"/>
  <c r="AZ168" i="1"/>
  <c r="BB168" i="1" s="1"/>
  <c r="AW168" i="1"/>
  <c r="AY169" i="1" s="1"/>
  <c r="AW167" i="1"/>
  <c r="AZ167" i="1"/>
  <c r="BA167" i="1"/>
  <c r="BA166" i="1"/>
  <c r="AZ166" i="1"/>
  <c r="AW166" i="1"/>
  <c r="AW165" i="1"/>
  <c r="AZ165" i="1"/>
  <c r="BA165" i="1"/>
  <c r="AW164" i="1"/>
  <c r="AZ164" i="1"/>
  <c r="BA164" i="1"/>
  <c r="AO164" i="1"/>
  <c r="AL164" i="1"/>
  <c r="AN165" i="1" s="1"/>
  <c r="AP164" i="1"/>
  <c r="BA163" i="1"/>
  <c r="AW163" i="1"/>
  <c r="AZ163" i="1"/>
  <c r="BB163" i="1" s="1"/>
  <c r="AW162" i="1"/>
  <c r="AZ162" i="1"/>
  <c r="BA162" i="1"/>
  <c r="BA161" i="1"/>
  <c r="AW161" i="1"/>
  <c r="AZ161" i="1"/>
  <c r="BB161" i="1" s="1"/>
  <c r="BA160" i="1"/>
  <c r="AW160" i="1"/>
  <c r="AZ160" i="1"/>
  <c r="BB160" i="1" s="1"/>
  <c r="AZ159" i="1"/>
  <c r="BA159" i="1"/>
  <c r="AW159" i="1"/>
  <c r="AW158" i="1"/>
  <c r="BA158" i="1"/>
  <c r="AZ158" i="1"/>
  <c r="AW157" i="1"/>
  <c r="BA157" i="1"/>
  <c r="AZ157" i="1"/>
  <c r="BB157" i="1" s="1"/>
  <c r="AO157" i="1"/>
  <c r="AP157" i="1"/>
  <c r="AL157" i="1"/>
  <c r="AN158" i="1" s="1"/>
  <c r="AZ156" i="1"/>
  <c r="BA156" i="1"/>
  <c r="AW156" i="1"/>
  <c r="AL156" i="1"/>
  <c r="AO156" i="1"/>
  <c r="AP156" i="1"/>
  <c r="AZ155" i="1"/>
  <c r="BA155" i="1"/>
  <c r="AW155" i="1"/>
  <c r="AW154" i="1"/>
  <c r="AZ154" i="1"/>
  <c r="BA154" i="1"/>
  <c r="AO154" i="1"/>
  <c r="AP154" i="1"/>
  <c r="AL154" i="1"/>
  <c r="AN155" i="1" s="1"/>
  <c r="AW153" i="1"/>
  <c r="BA153" i="1"/>
  <c r="AZ153" i="1"/>
  <c r="BB153" i="1" s="1"/>
  <c r="BA152" i="1"/>
  <c r="AW152" i="1"/>
  <c r="AZ152" i="1"/>
  <c r="BB152" i="1" s="1"/>
  <c r="AO152" i="1"/>
  <c r="AL152" i="1"/>
  <c r="AN153" i="1" s="1"/>
  <c r="AP152" i="1"/>
  <c r="BA151" i="1"/>
  <c r="AZ151" i="1"/>
  <c r="AW151" i="1"/>
  <c r="AL151" i="1"/>
  <c r="AP151" i="1"/>
  <c r="AO151" i="1"/>
  <c r="AQ151" i="1" s="1"/>
  <c r="AW150" i="1"/>
  <c r="BA150" i="1"/>
  <c r="AZ150" i="1"/>
  <c r="AZ149" i="1"/>
  <c r="AW149" i="1"/>
  <c r="BA149" i="1"/>
  <c r="BA148" i="1"/>
  <c r="AW148" i="1"/>
  <c r="AZ148" i="1"/>
  <c r="BB148" i="1" s="1"/>
  <c r="BA147" i="1"/>
  <c r="AZ147" i="1"/>
  <c r="BB147" i="1" s="1"/>
  <c r="AW147" i="1"/>
  <c r="AO147" i="1"/>
  <c r="AL147" i="1"/>
  <c r="AN148" i="1" s="1"/>
  <c r="AP147" i="1"/>
  <c r="BA146" i="1"/>
  <c r="AZ146" i="1"/>
  <c r="BB146" i="1" s="1"/>
  <c r="AW146" i="1"/>
  <c r="AW145" i="1"/>
  <c r="AZ145" i="1"/>
  <c r="BA145" i="1"/>
  <c r="AW144" i="1"/>
  <c r="AZ144" i="1"/>
  <c r="BA144" i="1"/>
  <c r="AW143" i="1"/>
  <c r="BA143" i="1"/>
  <c r="AZ143" i="1"/>
  <c r="AO143" i="1"/>
  <c r="AL143" i="1"/>
  <c r="AN144" i="1" s="1"/>
  <c r="AP143" i="1"/>
  <c r="BA142" i="1"/>
  <c r="AZ142" i="1"/>
  <c r="BB142" i="1" s="1"/>
  <c r="AW142" i="1"/>
  <c r="BA141" i="1"/>
  <c r="AW141" i="1"/>
  <c r="AZ141" i="1"/>
  <c r="BB141" i="1" s="1"/>
  <c r="BA140" i="1"/>
  <c r="AW140" i="1"/>
  <c r="AZ140" i="1"/>
  <c r="BB140" i="1" s="1"/>
  <c r="BA139" i="1"/>
  <c r="AZ139" i="1"/>
  <c r="BB139" i="1" s="1"/>
  <c r="AW139" i="1"/>
  <c r="AL139" i="1"/>
  <c r="AN140" i="1" s="1"/>
  <c r="AP139" i="1"/>
  <c r="AO139" i="1"/>
  <c r="AQ139" i="1" s="1"/>
  <c r="AZ138" i="1"/>
  <c r="BA138" i="1"/>
  <c r="AW138" i="1"/>
  <c r="AP138" i="1"/>
  <c r="AO138" i="1"/>
  <c r="AQ138" i="1" s="1"/>
  <c r="AL138" i="1"/>
  <c r="AO137" i="1"/>
  <c r="AP137" i="1"/>
  <c r="AL137" i="1"/>
  <c r="AO136" i="1"/>
  <c r="AP136" i="1"/>
  <c r="AL136" i="1"/>
  <c r="AL135" i="1"/>
  <c r="AO135" i="1"/>
  <c r="AP135" i="1"/>
  <c r="AP134" i="1"/>
  <c r="AL134" i="1"/>
  <c r="AO134" i="1"/>
  <c r="AQ134" i="1" s="1"/>
  <c r="BA133" i="1"/>
  <c r="AZ133" i="1"/>
  <c r="AW133" i="1"/>
  <c r="AY134" i="1" s="1"/>
  <c r="AO133" i="1"/>
  <c r="AP133" i="1"/>
  <c r="AL133" i="1"/>
  <c r="AP132" i="1"/>
  <c r="AL132" i="1"/>
  <c r="AO132" i="1"/>
  <c r="AQ132" i="1" s="1"/>
  <c r="AL131" i="1"/>
  <c r="AO131" i="1"/>
  <c r="AP131" i="1"/>
  <c r="AL130" i="1"/>
  <c r="AO130" i="1"/>
  <c r="AP130" i="1"/>
  <c r="BA129" i="1"/>
  <c r="AZ129" i="1"/>
  <c r="BB129" i="1" s="1"/>
  <c r="AW129" i="1"/>
  <c r="AY130" i="1" s="1"/>
  <c r="AP129" i="1"/>
  <c r="AO129" i="1"/>
  <c r="AQ129" i="1" s="1"/>
  <c r="BE129" i="1" s="1"/>
  <c r="AL129" i="1"/>
  <c r="AP128" i="1"/>
  <c r="AL128" i="1"/>
  <c r="AO128" i="1"/>
  <c r="AQ128" i="1" s="1"/>
  <c r="AL127" i="1"/>
  <c r="AP127" i="1"/>
  <c r="AO127" i="1"/>
  <c r="AQ127" i="1" s="1"/>
  <c r="AL126" i="1"/>
  <c r="AP126" i="1"/>
  <c r="AO126" i="1"/>
  <c r="AQ126" i="1" s="1"/>
  <c r="AP125" i="1"/>
  <c r="AO125" i="1"/>
  <c r="AQ125" i="1" s="1"/>
  <c r="AL125" i="1"/>
  <c r="AO124" i="1"/>
  <c r="AL124" i="1"/>
  <c r="AP124" i="1"/>
  <c r="BA123" i="1"/>
  <c r="AZ123" i="1"/>
  <c r="BB123" i="1" s="1"/>
  <c r="AW123" i="1"/>
  <c r="AY124" i="1" s="1"/>
  <c r="AP123" i="1"/>
  <c r="AO123" i="1"/>
  <c r="AQ123" i="1" s="1"/>
  <c r="AL123" i="1"/>
  <c r="AL122" i="1"/>
  <c r="AP122" i="1"/>
  <c r="AO122" i="1"/>
  <c r="AQ122" i="1" s="1"/>
  <c r="AO121" i="1"/>
  <c r="AL121" i="1"/>
  <c r="AP121" i="1"/>
  <c r="AL120" i="1"/>
  <c r="AO120" i="1"/>
  <c r="AP120" i="1"/>
  <c r="AP119" i="1"/>
  <c r="AL119" i="1"/>
  <c r="AO119" i="1"/>
  <c r="AQ119" i="1" s="1"/>
  <c r="AL118" i="1"/>
  <c r="AO118" i="1"/>
  <c r="AP118" i="1"/>
  <c r="AO117" i="1"/>
  <c r="AL117" i="1"/>
  <c r="AP117" i="1"/>
  <c r="AO116" i="1"/>
  <c r="AL116" i="1"/>
  <c r="AP116" i="1"/>
  <c r="AP115" i="1"/>
  <c r="AO115" i="1"/>
  <c r="AQ115" i="1" s="1"/>
  <c r="AL115" i="1"/>
  <c r="AW114" i="1"/>
  <c r="AY115" i="1" s="1"/>
  <c r="AZ114" i="1"/>
  <c r="BA114" i="1"/>
  <c r="AL114" i="1"/>
  <c r="AO114" i="1"/>
  <c r="AP114" i="1"/>
  <c r="AP113" i="1"/>
  <c r="AL113" i="1"/>
  <c r="AO113" i="1"/>
  <c r="AQ113" i="1" s="1"/>
  <c r="AW112" i="1"/>
  <c r="AY113" i="1" s="1"/>
  <c r="AZ112" i="1"/>
  <c r="BA112" i="1"/>
  <c r="AP112" i="1"/>
  <c r="AL112" i="1"/>
  <c r="AO112" i="1"/>
  <c r="AQ112" i="1" s="1"/>
  <c r="BA111" i="1"/>
  <c r="AZ111" i="1"/>
  <c r="BB111" i="1" s="1"/>
  <c r="AW111" i="1"/>
  <c r="AO111" i="1"/>
  <c r="AL111" i="1"/>
  <c r="AP111" i="1"/>
  <c r="BA110" i="1"/>
  <c r="AW110" i="1"/>
  <c r="AZ110" i="1"/>
  <c r="BB110" i="1" s="1"/>
  <c r="AZ109" i="1"/>
  <c r="AW109" i="1"/>
  <c r="BA109" i="1"/>
  <c r="AW108" i="1"/>
  <c r="AZ108" i="1"/>
  <c r="BA108" i="1"/>
  <c r="BA107" i="1"/>
  <c r="AZ107" i="1"/>
  <c r="BB107" i="1" s="1"/>
  <c r="AW107" i="1"/>
  <c r="BA106" i="1"/>
  <c r="AW106" i="1"/>
  <c r="AZ106" i="1"/>
  <c r="BB106" i="1" s="1"/>
  <c r="AO105" i="1"/>
  <c r="AL105" i="1"/>
  <c r="AN106" i="1" s="1"/>
  <c r="AP105" i="1"/>
  <c r="AL103" i="1"/>
  <c r="AO103" i="1"/>
  <c r="AP103" i="1"/>
  <c r="AL102" i="1"/>
  <c r="AO102" i="1"/>
  <c r="AP102" i="1"/>
  <c r="BA101" i="1"/>
  <c r="AZ101" i="1"/>
  <c r="BB101" i="1" s="1"/>
  <c r="AW101" i="1"/>
  <c r="AY102" i="1" s="1"/>
  <c r="AL101" i="1"/>
  <c r="AO101" i="1"/>
  <c r="AP101" i="1"/>
  <c r="AL100" i="1"/>
  <c r="AO100" i="1"/>
  <c r="AP100" i="1"/>
  <c r="AL98" i="1"/>
  <c r="AP98" i="1"/>
  <c r="AO98" i="1"/>
  <c r="AP97" i="1"/>
  <c r="AO97" i="1"/>
  <c r="AQ97" i="1" s="1"/>
  <c r="AL97" i="1"/>
  <c r="AP95" i="1"/>
  <c r="AL95" i="1"/>
  <c r="AO95" i="1"/>
  <c r="AQ95" i="1" s="1"/>
  <c r="AP93" i="1"/>
  <c r="AL93" i="1"/>
  <c r="AO93" i="1"/>
  <c r="AQ93" i="1" s="1"/>
  <c r="AO92" i="1"/>
  <c r="AL92" i="1"/>
  <c r="AP92" i="1"/>
  <c r="AL91" i="1"/>
  <c r="AO91" i="1"/>
  <c r="AP91" i="1"/>
  <c r="AL90" i="1"/>
  <c r="AO90" i="1"/>
  <c r="AP90" i="1"/>
  <c r="AP89" i="1"/>
  <c r="AL89" i="1"/>
  <c r="AO89" i="1"/>
  <c r="AQ89" i="1" s="1"/>
  <c r="AW88" i="1"/>
  <c r="AY89" i="1" s="1"/>
  <c r="AZ88" i="1"/>
  <c r="BA88" i="1"/>
  <c r="AZ87" i="1"/>
  <c r="BA87" i="1"/>
  <c r="AW87" i="1"/>
  <c r="AP87" i="1"/>
  <c r="AL87" i="1"/>
  <c r="AO87" i="1"/>
  <c r="AQ87" i="1" s="1"/>
  <c r="AW86" i="1"/>
  <c r="BA86" i="1"/>
  <c r="AZ86" i="1"/>
  <c r="BB86" i="1" s="1"/>
  <c r="AZ85" i="1"/>
  <c r="AW85" i="1"/>
  <c r="BA85" i="1"/>
  <c r="AZ84" i="1"/>
  <c r="BA84" i="1"/>
  <c r="AW84" i="1"/>
  <c r="AZ83" i="1"/>
  <c r="BA83" i="1"/>
  <c r="AW83" i="1"/>
  <c r="AW82" i="1"/>
  <c r="AZ82" i="1"/>
  <c r="BA82" i="1"/>
  <c r="AP82" i="1"/>
  <c r="AL82" i="1"/>
  <c r="AN83" i="1" s="1"/>
  <c r="AO82" i="1"/>
  <c r="AQ82" i="1" s="1"/>
  <c r="AW81" i="1"/>
  <c r="AZ81" i="1"/>
  <c r="BA81" i="1"/>
  <c r="AW80" i="1"/>
  <c r="AZ80" i="1"/>
  <c r="BA80" i="1"/>
  <c r="AO79" i="1"/>
  <c r="AL79" i="1"/>
  <c r="AN80" i="1" s="1"/>
  <c r="AP79" i="1"/>
  <c r="AW78" i="1"/>
  <c r="AZ78" i="1"/>
  <c r="BA78" i="1"/>
  <c r="AP77" i="1"/>
  <c r="AL77" i="1"/>
  <c r="AN78" i="1" s="1"/>
  <c r="AO77" i="1"/>
  <c r="AQ77" i="1" s="1"/>
  <c r="BA75" i="1"/>
  <c r="AW75" i="1"/>
  <c r="AZ75" i="1"/>
  <c r="BB75" i="1" s="1"/>
  <c r="AO75" i="1"/>
  <c r="AL75" i="1"/>
  <c r="AN76" i="1" s="1"/>
  <c r="AP75" i="1"/>
  <c r="BA74" i="1"/>
  <c r="AZ74" i="1"/>
  <c r="BB74" i="1" s="1"/>
  <c r="AW74" i="1"/>
  <c r="AL74" i="1"/>
  <c r="AO74" i="1"/>
  <c r="AP74" i="1"/>
  <c r="AL73" i="1"/>
  <c r="AO73" i="1"/>
  <c r="AP73" i="1"/>
  <c r="AZ71" i="1"/>
  <c r="BA71" i="1"/>
  <c r="AW71" i="1"/>
  <c r="AP71" i="1"/>
  <c r="AL71" i="1"/>
  <c r="AN72" i="1" s="1"/>
  <c r="AO71" i="1"/>
  <c r="AQ71" i="1" s="1"/>
  <c r="AW70" i="1"/>
  <c r="AZ70" i="1"/>
  <c r="BA70" i="1"/>
  <c r="AO70" i="1"/>
  <c r="AL70" i="1"/>
  <c r="AP70" i="1"/>
  <c r="BA68" i="1"/>
  <c r="AZ68" i="1"/>
  <c r="BB68" i="1" s="1"/>
  <c r="AW68" i="1"/>
  <c r="BA67" i="1"/>
  <c r="AZ67" i="1"/>
  <c r="BB67" i="1" s="1"/>
  <c r="AW67" i="1"/>
  <c r="AP67" i="1"/>
  <c r="AO67" i="1"/>
  <c r="AQ67" i="1" s="1"/>
  <c r="AL67" i="1"/>
  <c r="AN68" i="1" s="1"/>
  <c r="AW64" i="1"/>
  <c r="AZ64" i="1"/>
  <c r="BA64" i="1"/>
  <c r="AP63" i="1"/>
  <c r="AL63" i="1"/>
  <c r="AN64" i="1" s="1"/>
  <c r="AO63" i="1"/>
  <c r="AQ63" i="1" s="1"/>
  <c r="AL62" i="1"/>
  <c r="AO62" i="1"/>
  <c r="AP62" i="1"/>
  <c r="AZ61" i="1"/>
  <c r="BA61" i="1"/>
  <c r="AW61" i="1"/>
  <c r="AY62" i="1" s="1"/>
  <c r="AP61" i="1"/>
  <c r="AO61" i="1"/>
  <c r="AQ61" i="1" s="1"/>
  <c r="AL61" i="1"/>
  <c r="AP60" i="1"/>
  <c r="AO60" i="1"/>
  <c r="AL60" i="1"/>
  <c r="AP59" i="1"/>
  <c r="AO59" i="1"/>
  <c r="AQ59" i="1" s="1"/>
  <c r="AL59" i="1"/>
  <c r="AO58" i="1"/>
  <c r="AP58" i="1"/>
  <c r="AL58" i="1"/>
  <c r="AL57" i="1"/>
  <c r="AP57" i="1"/>
  <c r="AO57" i="1"/>
  <c r="AQ57" i="1" s="1"/>
  <c r="AL56" i="1"/>
  <c r="AO56" i="1"/>
  <c r="AP56" i="1"/>
  <c r="AP55" i="1"/>
  <c r="AL55" i="1"/>
  <c r="AO55" i="1"/>
  <c r="AQ55" i="1" s="1"/>
  <c r="AL53" i="1"/>
  <c r="AN54" i="1" s="1"/>
  <c r="AP53" i="1"/>
  <c r="AO53" i="1"/>
  <c r="AQ53" i="1" s="1"/>
  <c r="AL52" i="1"/>
  <c r="AO52" i="1"/>
  <c r="AP52" i="1"/>
  <c r="AZ49" i="1"/>
  <c r="AW49" i="1"/>
  <c r="BA49" i="1"/>
  <c r="AL49" i="1"/>
  <c r="AN50" i="1" s="1"/>
  <c r="AO49" i="1"/>
  <c r="AP49" i="1"/>
  <c r="AW48" i="1"/>
  <c r="AZ48" i="1"/>
  <c r="BA48" i="1"/>
  <c r="AO48" i="1"/>
  <c r="AP48" i="1"/>
  <c r="AL48" i="1"/>
  <c r="AP47" i="1"/>
  <c r="AO47" i="1"/>
  <c r="AQ47" i="1" s="1"/>
  <c r="AL47" i="1"/>
  <c r="AO45" i="1"/>
  <c r="AP45" i="1"/>
  <c r="AL45" i="1"/>
  <c r="AN46" i="1" s="1"/>
  <c r="AZ42" i="1"/>
  <c r="AW42" i="1"/>
  <c r="BA42" i="1"/>
  <c r="AO42" i="1"/>
  <c r="AP42" i="1"/>
  <c r="AL42" i="1"/>
  <c r="AN43" i="1" s="1"/>
  <c r="AL41" i="1"/>
  <c r="AP41" i="1"/>
  <c r="AO41" i="1"/>
  <c r="AO38" i="1"/>
  <c r="AP38" i="1"/>
  <c r="AL38" i="1"/>
  <c r="AN39" i="1" s="1"/>
  <c r="AP37" i="1"/>
  <c r="AO37" i="1"/>
  <c r="AQ37" i="1" s="1"/>
  <c r="AL37" i="1"/>
  <c r="AO36" i="1"/>
  <c r="AP36" i="1"/>
  <c r="AL36" i="1"/>
  <c r="AP35" i="1"/>
  <c r="AO35" i="1"/>
  <c r="AL35" i="1"/>
  <c r="AO33" i="1"/>
  <c r="AL33" i="1"/>
  <c r="AN34" i="1" s="1"/>
  <c r="AP33" i="1"/>
  <c r="AO32" i="1"/>
  <c r="AP32" i="1"/>
  <c r="AL32" i="1"/>
  <c r="AW31" i="1"/>
  <c r="BA31" i="1"/>
  <c r="AZ31" i="1"/>
  <c r="BB31" i="1" s="1"/>
  <c r="AP31" i="1"/>
  <c r="AL31" i="1"/>
  <c r="AO31" i="1"/>
  <c r="AQ31" i="1" s="1"/>
  <c r="AZ30" i="1"/>
  <c r="BA30" i="1"/>
  <c r="AW30" i="1"/>
  <c r="AP30" i="1"/>
  <c r="AL30" i="1"/>
  <c r="AO30" i="1"/>
  <c r="AQ30" i="1" s="1"/>
  <c r="AW29" i="1"/>
  <c r="BA29" i="1"/>
  <c r="AZ29" i="1"/>
  <c r="AO26" i="1"/>
  <c r="AP26" i="1"/>
  <c r="AL26" i="1"/>
  <c r="AN27" i="1" s="1"/>
  <c r="AL25" i="1"/>
  <c r="AO25" i="1"/>
  <c r="AP25" i="1"/>
  <c r="AP24" i="1"/>
  <c r="AL24" i="1"/>
  <c r="AO24" i="1"/>
  <c r="AQ24" i="1" s="1"/>
  <c r="AO23" i="1"/>
  <c r="AP23" i="1"/>
  <c r="AL23" i="1"/>
  <c r="BA22" i="1"/>
  <c r="AZ22" i="1"/>
  <c r="BB22" i="1" s="1"/>
  <c r="AP22" i="1"/>
  <c r="AO22" i="1"/>
  <c r="AQ22" i="1" s="1"/>
  <c r="BE123" i="1" l="1"/>
  <c r="BA51" i="1"/>
  <c r="AZ51" i="1"/>
  <c r="AW51" i="1"/>
  <c r="AY52" i="1" s="1"/>
  <c r="BA40" i="1"/>
  <c r="AW40" i="1"/>
  <c r="AZ40" i="1"/>
  <c r="BB40" i="1" s="1"/>
  <c r="AZ34" i="1"/>
  <c r="BA34" i="1"/>
  <c r="AW34" i="1"/>
  <c r="BA79" i="1"/>
  <c r="AW79" i="1"/>
  <c r="AZ79" i="1"/>
  <c r="AZ50" i="1"/>
  <c r="BA50" i="1"/>
  <c r="AW50" i="1"/>
  <c r="AW46" i="1"/>
  <c r="AY47" i="1" s="1"/>
  <c r="AZ46" i="1"/>
  <c r="BA46" i="1"/>
  <c r="BA44" i="1"/>
  <c r="AW44" i="1"/>
  <c r="AY45" i="1" s="1"/>
  <c r="AZ44" i="1"/>
  <c r="BB44" i="1" s="1"/>
  <c r="BA32" i="1"/>
  <c r="AW32" i="1"/>
  <c r="AZ32" i="1"/>
  <c r="AZ43" i="1"/>
  <c r="BB43" i="1" s="1"/>
  <c r="AW43" i="1"/>
  <c r="BA43" i="1"/>
  <c r="AZ35" i="1"/>
  <c r="BA35" i="1"/>
  <c r="AW35" i="1"/>
  <c r="AZ33" i="1"/>
  <c r="AW33" i="1"/>
  <c r="BA33" i="1"/>
  <c r="BA26" i="1"/>
  <c r="AW26" i="1"/>
  <c r="AZ26" i="1"/>
  <c r="BB26" i="1" s="1"/>
  <c r="AZ23" i="1"/>
  <c r="BA23" i="1"/>
  <c r="AW23" i="1"/>
  <c r="AY24" i="1" s="1"/>
  <c r="BA65" i="1"/>
  <c r="AZ65" i="1"/>
  <c r="AW65" i="1"/>
  <c r="AW36" i="1"/>
  <c r="AZ36" i="1"/>
  <c r="BA36" i="1"/>
  <c r="AW28" i="1"/>
  <c r="AZ28" i="1"/>
  <c r="BB28" i="1" s="1"/>
  <c r="BA28" i="1"/>
  <c r="BA76" i="1"/>
  <c r="AW76" i="1"/>
  <c r="AZ76" i="1"/>
  <c r="BB76" i="1" s="1"/>
  <c r="AW73" i="1"/>
  <c r="AZ73" i="1"/>
  <c r="BA73" i="1"/>
  <c r="AZ41" i="1"/>
  <c r="BB41" i="1" s="1"/>
  <c r="AW41" i="1"/>
  <c r="BA41" i="1"/>
  <c r="AZ77" i="1"/>
  <c r="BA77" i="1"/>
  <c r="AW77" i="1"/>
  <c r="AZ66" i="1"/>
  <c r="AW66" i="1"/>
  <c r="BA66" i="1"/>
  <c r="BA54" i="1"/>
  <c r="AZ54" i="1"/>
  <c r="AW54" i="1"/>
  <c r="AY55" i="1" s="1"/>
  <c r="AW27" i="1"/>
  <c r="AZ27" i="1"/>
  <c r="BB27" i="1" s="1"/>
  <c r="BA27" i="1"/>
  <c r="AW72" i="1"/>
  <c r="BA72" i="1"/>
  <c r="AZ72" i="1"/>
  <c r="AZ69" i="1"/>
  <c r="BA69" i="1"/>
  <c r="AW69" i="1"/>
  <c r="BA39" i="1"/>
  <c r="AZ39" i="1"/>
  <c r="BB39" i="1" s="1"/>
  <c r="AW39" i="1"/>
  <c r="AZ38" i="1"/>
  <c r="AW38" i="1"/>
  <c r="BA38" i="1"/>
  <c r="AW37" i="1"/>
  <c r="AZ37" i="1"/>
  <c r="BA37" i="1"/>
  <c r="BE67" i="1"/>
  <c r="BB65" i="1"/>
  <c r="AZ169" i="1"/>
  <c r="AW169" i="1"/>
  <c r="BA169" i="1"/>
  <c r="AZ134" i="1"/>
  <c r="BB134" i="1" s="1"/>
  <c r="BA134" i="1"/>
  <c r="AW134" i="1"/>
  <c r="AY135" i="1" s="1"/>
  <c r="AZ124" i="1"/>
  <c r="BA124" i="1"/>
  <c r="AW124" i="1"/>
  <c r="AY125" i="1" s="1"/>
  <c r="AZ115" i="1"/>
  <c r="AW115" i="1"/>
  <c r="AY116" i="1" s="1"/>
  <c r="BA115" i="1"/>
  <c r="AZ113" i="1"/>
  <c r="AW113" i="1"/>
  <c r="BA113" i="1"/>
  <c r="AZ102" i="1"/>
  <c r="BA102" i="1"/>
  <c r="AW102" i="1"/>
  <c r="AY103" i="1" s="1"/>
  <c r="AZ55" i="1"/>
  <c r="BA55" i="1"/>
  <c r="AW55" i="1"/>
  <c r="AY56" i="1" s="1"/>
  <c r="AZ52" i="1"/>
  <c r="BA52" i="1"/>
  <c r="AW52" i="1"/>
  <c r="AY53" i="1" s="1"/>
  <c r="AW47" i="1"/>
  <c r="BA47" i="1"/>
  <c r="AZ47" i="1"/>
  <c r="BB47" i="1" s="1"/>
  <c r="BE31" i="1"/>
  <c r="BB144" i="1"/>
  <c r="BB29" i="1"/>
  <c r="BB143" i="1"/>
  <c r="BB133" i="1"/>
  <c r="BB151" i="1"/>
  <c r="BB162" i="1"/>
  <c r="BB150" i="1"/>
  <c r="BB114" i="1"/>
  <c r="AO104" i="1"/>
  <c r="AL104" i="1"/>
  <c r="AP104" i="1"/>
  <c r="AP99" i="1"/>
  <c r="AL99" i="1"/>
  <c r="AO99" i="1"/>
  <c r="AP96" i="1"/>
  <c r="AL96" i="1"/>
  <c r="AO96" i="1"/>
  <c r="AQ96" i="1" s="1"/>
  <c r="AO94" i="1"/>
  <c r="AL94" i="1"/>
  <c r="AP94" i="1"/>
  <c r="AO88" i="1"/>
  <c r="AL88" i="1"/>
  <c r="AP88" i="1"/>
  <c r="AO176" i="1"/>
  <c r="AP176" i="1"/>
  <c r="AL176" i="1"/>
  <c r="AO171" i="1"/>
  <c r="AP171" i="1"/>
  <c r="AL171" i="1"/>
  <c r="AN172" i="1" s="1"/>
  <c r="AP165" i="1"/>
  <c r="AL165" i="1"/>
  <c r="AN166" i="1" s="1"/>
  <c r="AO165" i="1"/>
  <c r="AQ165" i="1" s="1"/>
  <c r="AP158" i="1"/>
  <c r="AO158" i="1"/>
  <c r="AL158" i="1"/>
  <c r="AN159" i="1" s="1"/>
  <c r="AP155" i="1"/>
  <c r="AL155" i="1"/>
  <c r="AO155" i="1"/>
  <c r="AQ155" i="1" s="1"/>
  <c r="AO153" i="1"/>
  <c r="AL153" i="1"/>
  <c r="AP153" i="1"/>
  <c r="AO148" i="1"/>
  <c r="AL148" i="1"/>
  <c r="AN149" i="1" s="1"/>
  <c r="AP148" i="1"/>
  <c r="AL144" i="1"/>
  <c r="AN145" i="1" s="1"/>
  <c r="AO144" i="1"/>
  <c r="AQ144" i="1" s="1"/>
  <c r="AP144" i="1"/>
  <c r="AP140" i="1"/>
  <c r="AL140" i="1"/>
  <c r="AN141" i="1" s="1"/>
  <c r="AO140" i="1"/>
  <c r="AO106" i="1"/>
  <c r="AP106" i="1"/>
  <c r="AL106" i="1"/>
  <c r="AN107" i="1" s="1"/>
  <c r="AO83" i="1"/>
  <c r="AQ83" i="1" s="1"/>
  <c r="AP83" i="1"/>
  <c r="AL83" i="1"/>
  <c r="AN84" i="1" s="1"/>
  <c r="AO80" i="1"/>
  <c r="AL80" i="1"/>
  <c r="AN81" i="1" s="1"/>
  <c r="AP80" i="1"/>
  <c r="AP78" i="1"/>
  <c r="AO78" i="1"/>
  <c r="AL78" i="1"/>
  <c r="AL76" i="1"/>
  <c r="AO76" i="1"/>
  <c r="AQ76" i="1" s="1"/>
  <c r="AP76" i="1"/>
  <c r="AP72" i="1"/>
  <c r="AO72" i="1"/>
  <c r="AL72" i="1"/>
  <c r="AL68" i="1"/>
  <c r="AN69" i="1" s="1"/>
  <c r="AO68" i="1"/>
  <c r="AP68" i="1"/>
  <c r="AO64" i="1"/>
  <c r="AL64" i="1"/>
  <c r="AN65" i="1" s="1"/>
  <c r="AP64" i="1"/>
  <c r="AO54" i="1"/>
  <c r="AP54" i="1"/>
  <c r="AL54" i="1"/>
  <c r="AL50" i="1"/>
  <c r="AN51" i="1" s="1"/>
  <c r="AP50" i="1"/>
  <c r="AO50" i="1"/>
  <c r="AP46" i="1"/>
  <c r="AL46" i="1"/>
  <c r="AO46" i="1"/>
  <c r="AP43" i="1"/>
  <c r="AO43" i="1"/>
  <c r="AL43" i="1"/>
  <c r="AN44" i="1" s="1"/>
  <c r="AO39" i="1"/>
  <c r="AP39" i="1"/>
  <c r="AL39" i="1"/>
  <c r="AN40" i="1" s="1"/>
  <c r="AP34" i="1"/>
  <c r="AO34" i="1"/>
  <c r="AL34" i="1"/>
  <c r="AP27" i="1"/>
  <c r="AL27" i="1"/>
  <c r="AN28" i="1" s="1"/>
  <c r="AO27" i="1"/>
  <c r="AQ140" i="1"/>
  <c r="BE76" i="1"/>
  <c r="BB145" i="1"/>
  <c r="BB171" i="1"/>
  <c r="BB167" i="1"/>
  <c r="BB165" i="1"/>
  <c r="BE144" i="1"/>
  <c r="BE140" i="1"/>
  <c r="BE139" i="1"/>
  <c r="BE134" i="1"/>
  <c r="BB156" i="1"/>
  <c r="BE151" i="1"/>
  <c r="BE47" i="1"/>
  <c r="BA175" i="1"/>
  <c r="AZ175" i="1"/>
  <c r="AW175" i="1"/>
  <c r="AQ136" i="1"/>
  <c r="AQ133" i="1"/>
  <c r="BE133" i="1" s="1"/>
  <c r="AQ131" i="1"/>
  <c r="AQ156" i="1"/>
  <c r="BE156" i="1" s="1"/>
  <c r="AQ137" i="1"/>
  <c r="AQ98" i="1"/>
  <c r="AQ35" i="1"/>
  <c r="AQ41" i="1"/>
  <c r="BE41" i="1" s="1"/>
  <c r="BB108" i="1"/>
  <c r="AQ103" i="1"/>
  <c r="AQ102" i="1"/>
  <c r="AQ100" i="1"/>
  <c r="AQ90" i="1"/>
  <c r="BB88" i="1"/>
  <c r="BB84" i="1"/>
  <c r="BB82" i="1"/>
  <c r="BE82" i="1" s="1"/>
  <c r="BB81" i="1"/>
  <c r="BB80" i="1"/>
  <c r="AQ75" i="1"/>
  <c r="BE75" i="1" s="1"/>
  <c r="AQ74" i="1"/>
  <c r="BE74" i="1" s="1"/>
  <c r="BB73" i="1"/>
  <c r="BB72" i="1"/>
  <c r="BB70" i="1"/>
  <c r="AQ70" i="1"/>
  <c r="BE70" i="1" s="1"/>
  <c r="BB64" i="1"/>
  <c r="AQ62" i="1"/>
  <c r="BB61" i="1"/>
  <c r="BE61" i="1" s="1"/>
  <c r="AQ56" i="1"/>
  <c r="BB55" i="1"/>
  <c r="BE55" i="1" s="1"/>
  <c r="BB54" i="1"/>
  <c r="AQ52" i="1"/>
  <c r="BB51" i="1"/>
  <c r="BB49" i="1"/>
  <c r="BB48" i="1"/>
  <c r="AQ45" i="1"/>
  <c r="AQ43" i="1"/>
  <c r="BE43" i="1" s="1"/>
  <c r="BB42" i="1"/>
  <c r="AQ38" i="1"/>
  <c r="BB37" i="1"/>
  <c r="BE37" i="1" s="1"/>
  <c r="BB36" i="1"/>
  <c r="BB33" i="1"/>
  <c r="AQ32" i="1"/>
  <c r="BB174" i="1"/>
  <c r="BE174" i="1" s="1"/>
  <c r="AQ25" i="1"/>
  <c r="BB175" i="1"/>
  <c r="BB158" i="1"/>
  <c r="BB155" i="1"/>
  <c r="BE155" i="1" s="1"/>
  <c r="AQ130" i="1"/>
  <c r="BB30" i="1"/>
  <c r="BE30" i="1" s="1"/>
  <c r="AQ124" i="1"/>
  <c r="AQ114" i="1"/>
  <c r="BE114" i="1" s="1"/>
  <c r="AZ135" i="1"/>
  <c r="BA135" i="1"/>
  <c r="AW135" i="1"/>
  <c r="AY136" i="1" s="1"/>
  <c r="BA130" i="1"/>
  <c r="AZ130" i="1"/>
  <c r="AW130" i="1"/>
  <c r="AY131" i="1" s="1"/>
  <c r="AW125" i="1"/>
  <c r="AY126" i="1" s="1"/>
  <c r="AZ125" i="1"/>
  <c r="BA125" i="1"/>
  <c r="AW116" i="1"/>
  <c r="AY117" i="1" s="1"/>
  <c r="AZ116" i="1"/>
  <c r="BA116" i="1"/>
  <c r="BA103" i="1"/>
  <c r="AW103" i="1"/>
  <c r="AY104" i="1" s="1"/>
  <c r="AZ103" i="1"/>
  <c r="BB103" i="1" s="1"/>
  <c r="BE103" i="1" s="1"/>
  <c r="AZ89" i="1"/>
  <c r="BA89" i="1"/>
  <c r="AW89" i="1"/>
  <c r="AY90" i="1" s="1"/>
  <c r="BA62" i="1"/>
  <c r="AW62" i="1"/>
  <c r="AY63" i="1" s="1"/>
  <c r="AZ62" i="1"/>
  <c r="BB62" i="1" s="1"/>
  <c r="BE62" i="1" s="1"/>
  <c r="AW53" i="1"/>
  <c r="AZ53" i="1"/>
  <c r="BA53" i="1"/>
  <c r="AW45" i="1"/>
  <c r="AZ45" i="1"/>
  <c r="BA45" i="1"/>
  <c r="AW24" i="1"/>
  <c r="AY25" i="1" s="1"/>
  <c r="BA24" i="1"/>
  <c r="AZ24" i="1"/>
  <c r="BB24" i="1" s="1"/>
  <c r="BE24" i="1" s="1"/>
  <c r="BC22" i="1"/>
  <c r="BE22" i="1"/>
  <c r="AR22" i="1"/>
  <c r="BE165" i="1"/>
  <c r="AQ158" i="1"/>
  <c r="BE158" i="1" s="1"/>
  <c r="AQ157" i="1"/>
  <c r="BE157" i="1" s="1"/>
  <c r="AQ153" i="1"/>
  <c r="BE153" i="1" s="1"/>
  <c r="AQ152" i="1"/>
  <c r="BE152" i="1" s="1"/>
  <c r="AQ148" i="1"/>
  <c r="BE148" i="1" s="1"/>
  <c r="AQ121" i="1"/>
  <c r="AQ111" i="1"/>
  <c r="BE111" i="1" s="1"/>
  <c r="AQ79" i="1"/>
  <c r="AQ48" i="1"/>
  <c r="BE48" i="1" s="1"/>
  <c r="AQ46" i="1"/>
  <c r="BB38" i="1"/>
  <c r="BE38" i="1" s="1"/>
  <c r="AQ36" i="1"/>
  <c r="BE36" i="1" s="1"/>
  <c r="AQ34" i="1"/>
  <c r="AQ33" i="1"/>
  <c r="BE33" i="1" s="1"/>
  <c r="AQ27" i="1"/>
  <c r="AQ116" i="1"/>
  <c r="BB78" i="1"/>
  <c r="AQ73" i="1"/>
  <c r="BE73" i="1" s="1"/>
  <c r="AQ72" i="1"/>
  <c r="BE72" i="1" s="1"/>
  <c r="AQ58" i="1"/>
  <c r="BB176" i="1"/>
  <c r="AQ176" i="1"/>
  <c r="BE176" i="1" s="1"/>
  <c r="AQ175" i="1"/>
  <c r="BE175" i="1" s="1"/>
  <c r="AQ171" i="1"/>
  <c r="BE171" i="1" s="1"/>
  <c r="BB166" i="1"/>
  <c r="BB164" i="1"/>
  <c r="BB159" i="1"/>
  <c r="BB154" i="1"/>
  <c r="BB149" i="1"/>
  <c r="BB138" i="1"/>
  <c r="BE138" i="1" s="1"/>
  <c r="AQ117" i="1"/>
  <c r="AQ104" i="1"/>
  <c r="BB79" i="1"/>
  <c r="AQ42" i="1"/>
  <c r="BE42" i="1" s="1"/>
  <c r="AQ147" i="1"/>
  <c r="BE147" i="1" s="1"/>
  <c r="BB112" i="1"/>
  <c r="BE112" i="1" s="1"/>
  <c r="BB109" i="1"/>
  <c r="BB69" i="1"/>
  <c r="BB32" i="1"/>
  <c r="BE32" i="1" s="1"/>
  <c r="BB173" i="1"/>
  <c r="BE173" i="1" s="1"/>
  <c r="AQ164" i="1"/>
  <c r="BE164" i="1" s="1"/>
  <c r="AQ154" i="1"/>
  <c r="BE154" i="1" s="1"/>
  <c r="AQ135" i="1"/>
  <c r="AQ106" i="1"/>
  <c r="BE106" i="1" s="1"/>
  <c r="AQ101" i="1"/>
  <c r="BE101" i="1" s="1"/>
  <c r="AQ88" i="1"/>
  <c r="BE88" i="1" s="1"/>
  <c r="BB87" i="1"/>
  <c r="BE87" i="1" s="1"/>
  <c r="BB83" i="1"/>
  <c r="BE83" i="1" s="1"/>
  <c r="BB77" i="1"/>
  <c r="BE77" i="1" s="1"/>
  <c r="BB71" i="1"/>
  <c r="BE71" i="1" s="1"/>
  <c r="AQ60" i="1"/>
  <c r="AQ120" i="1"/>
  <c r="AQ105" i="1"/>
  <c r="AQ94" i="1"/>
  <c r="AQ92" i="1"/>
  <c r="AQ91" i="1"/>
  <c r="AQ49" i="1"/>
  <c r="AQ23" i="1"/>
  <c r="AQ143" i="1"/>
  <c r="AQ118" i="1"/>
  <c r="BB85" i="1"/>
  <c r="AQ78" i="1"/>
  <c r="AQ50" i="1"/>
  <c r="AQ26" i="1"/>
  <c r="BE49" i="1" l="1"/>
  <c r="BE143" i="1"/>
  <c r="BE78" i="1"/>
  <c r="BE26" i="1"/>
  <c r="BB34" i="1"/>
  <c r="BE34" i="1" s="1"/>
  <c r="BB66" i="1"/>
  <c r="BB50" i="1"/>
  <c r="BE50" i="1" s="1"/>
  <c r="BB46" i="1"/>
  <c r="BE46" i="1" s="1"/>
  <c r="BB35" i="1"/>
  <c r="BE35" i="1" s="1"/>
  <c r="BB23" i="1"/>
  <c r="BC23" i="1" s="1"/>
  <c r="BB124" i="1"/>
  <c r="BE124" i="1" s="1"/>
  <c r="AW56" i="1"/>
  <c r="AY57" i="1" s="1"/>
  <c r="BA56" i="1"/>
  <c r="AZ56" i="1"/>
  <c r="BB56" i="1" s="1"/>
  <c r="BE56" i="1" s="1"/>
  <c r="BB169" i="1"/>
  <c r="BE169" i="1" s="1"/>
  <c r="BB113" i="1"/>
  <c r="BE113" i="1" s="1"/>
  <c r="BB102" i="1"/>
  <c r="BE102" i="1" s="1"/>
  <c r="BC24" i="1"/>
  <c r="BB130" i="1"/>
  <c r="BE130" i="1" s="1"/>
  <c r="BB115" i="1"/>
  <c r="BE115" i="1" s="1"/>
  <c r="BB52" i="1"/>
  <c r="BE52" i="1" s="1"/>
  <c r="AZ131" i="1"/>
  <c r="BA131" i="1"/>
  <c r="AW131" i="1"/>
  <c r="AY132" i="1" s="1"/>
  <c r="AZ126" i="1"/>
  <c r="BA126" i="1"/>
  <c r="AW126" i="1"/>
  <c r="AY127" i="1" s="1"/>
  <c r="BA63" i="1"/>
  <c r="AZ63" i="1"/>
  <c r="BB63" i="1" s="1"/>
  <c r="BE63" i="1" s="1"/>
  <c r="AW63" i="1"/>
  <c r="BA25" i="1"/>
  <c r="AW25" i="1"/>
  <c r="AZ25" i="1"/>
  <c r="BB25" i="1" s="1"/>
  <c r="BE25" i="1" s="1"/>
  <c r="AQ68" i="1"/>
  <c r="BE68" i="1" s="1"/>
  <c r="AQ39" i="1"/>
  <c r="BE39" i="1" s="1"/>
  <c r="AL172" i="1"/>
  <c r="AO172" i="1"/>
  <c r="AP172" i="1"/>
  <c r="AP166" i="1"/>
  <c r="AO166" i="1"/>
  <c r="AL166" i="1"/>
  <c r="AN167" i="1" s="1"/>
  <c r="AL159" i="1"/>
  <c r="AN160" i="1" s="1"/>
  <c r="AP159" i="1"/>
  <c r="AO159" i="1"/>
  <c r="AQ159" i="1" s="1"/>
  <c r="AO149" i="1"/>
  <c r="AL149" i="1"/>
  <c r="AN150" i="1" s="1"/>
  <c r="AP149" i="1"/>
  <c r="AO145" i="1"/>
  <c r="AL145" i="1"/>
  <c r="AN146" i="1" s="1"/>
  <c r="AP145" i="1"/>
  <c r="AL141" i="1"/>
  <c r="AN142" i="1" s="1"/>
  <c r="AP141" i="1"/>
  <c r="AO141" i="1"/>
  <c r="AQ141" i="1" s="1"/>
  <c r="BE141" i="1" s="1"/>
  <c r="AP107" i="1"/>
  <c r="AO107" i="1"/>
  <c r="AQ107" i="1" s="1"/>
  <c r="BE107" i="1" s="1"/>
  <c r="AL107" i="1"/>
  <c r="AN108" i="1" s="1"/>
  <c r="AL84" i="1"/>
  <c r="AN85" i="1" s="1"/>
  <c r="AO84" i="1"/>
  <c r="AP84" i="1"/>
  <c r="AL81" i="1"/>
  <c r="AO81" i="1"/>
  <c r="AP81" i="1"/>
  <c r="AP69" i="1"/>
  <c r="AL69" i="1"/>
  <c r="AO69" i="1"/>
  <c r="AQ69" i="1" s="1"/>
  <c r="BE69" i="1" s="1"/>
  <c r="AP65" i="1"/>
  <c r="AL65" i="1"/>
  <c r="AN66" i="1" s="1"/>
  <c r="AO65" i="1"/>
  <c r="AQ65" i="1" s="1"/>
  <c r="BE65" i="1" s="1"/>
  <c r="AO51" i="1"/>
  <c r="AP51" i="1"/>
  <c r="AL51" i="1"/>
  <c r="AP44" i="1"/>
  <c r="AO44" i="1"/>
  <c r="AQ44" i="1" s="1"/>
  <c r="BE44" i="1" s="1"/>
  <c r="AL44" i="1"/>
  <c r="AL40" i="1"/>
  <c r="AO40" i="1"/>
  <c r="AP40" i="1"/>
  <c r="AO28" i="1"/>
  <c r="AP28" i="1"/>
  <c r="AL28" i="1"/>
  <c r="AN29" i="1" s="1"/>
  <c r="AQ54" i="1"/>
  <c r="BE54" i="1" s="1"/>
  <c r="AQ99" i="1"/>
  <c r="AQ80" i="1"/>
  <c r="BE80" i="1" s="1"/>
  <c r="AQ64" i="1"/>
  <c r="BE64" i="1" s="1"/>
  <c r="BA136" i="1"/>
  <c r="AW136" i="1"/>
  <c r="AY137" i="1" s="1"/>
  <c r="AZ136" i="1"/>
  <c r="BB136" i="1" s="1"/>
  <c r="BE136" i="1" s="1"/>
  <c r="AW117" i="1"/>
  <c r="AY118" i="1" s="1"/>
  <c r="BA117" i="1"/>
  <c r="AZ117" i="1"/>
  <c r="BA104" i="1"/>
  <c r="AW104" i="1"/>
  <c r="AY105" i="1" s="1"/>
  <c r="AZ104" i="1"/>
  <c r="AZ90" i="1"/>
  <c r="AW90" i="1"/>
  <c r="AY91" i="1" s="1"/>
  <c r="BA90" i="1"/>
  <c r="BF22" i="1"/>
  <c r="AR23" i="1"/>
  <c r="AR24" i="1" s="1"/>
  <c r="AR25" i="1" s="1"/>
  <c r="AR26" i="1" s="1"/>
  <c r="AR27" i="1" s="1"/>
  <c r="BE79" i="1"/>
  <c r="BB135" i="1"/>
  <c r="BE135" i="1" s="1"/>
  <c r="BB125" i="1"/>
  <c r="BE125" i="1" s="1"/>
  <c r="BB116" i="1"/>
  <c r="BE116" i="1" s="1"/>
  <c r="BB89" i="1"/>
  <c r="BE89" i="1" s="1"/>
  <c r="BB53" i="1"/>
  <c r="BE53" i="1" s="1"/>
  <c r="BB45" i="1"/>
  <c r="BE159" i="1"/>
  <c r="BE27" i="1"/>
  <c r="BE23" i="1"/>
  <c r="BB131" i="1" l="1"/>
  <c r="BE131" i="1" s="1"/>
  <c r="AW57" i="1"/>
  <c r="AY58" i="1" s="1"/>
  <c r="BA57" i="1"/>
  <c r="AZ57" i="1"/>
  <c r="BB57" i="1" s="1"/>
  <c r="BE57" i="1" s="1"/>
  <c r="AW132" i="1"/>
  <c r="BA132" i="1"/>
  <c r="AZ132" i="1"/>
  <c r="BB132" i="1" s="1"/>
  <c r="BE132" i="1" s="1"/>
  <c r="BA127" i="1"/>
  <c r="AZ127" i="1"/>
  <c r="BB127" i="1" s="1"/>
  <c r="BE127" i="1" s="1"/>
  <c r="AW127" i="1"/>
  <c r="AY128" i="1" s="1"/>
  <c r="BB126" i="1"/>
  <c r="BE126" i="1" s="1"/>
  <c r="BC25" i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AQ166" i="1"/>
  <c r="BE166" i="1" s="1"/>
  <c r="AL167" i="1"/>
  <c r="AN168" i="1" s="1"/>
  <c r="AP167" i="1"/>
  <c r="AO167" i="1"/>
  <c r="AQ167" i="1" s="1"/>
  <c r="BE167" i="1" s="1"/>
  <c r="AL160" i="1"/>
  <c r="AN161" i="1" s="1"/>
  <c r="AP160" i="1"/>
  <c r="AO160" i="1"/>
  <c r="AQ160" i="1" s="1"/>
  <c r="BE160" i="1" s="1"/>
  <c r="AO150" i="1"/>
  <c r="AP150" i="1"/>
  <c r="AL150" i="1"/>
  <c r="AP146" i="1"/>
  <c r="AO146" i="1"/>
  <c r="AQ146" i="1" s="1"/>
  <c r="BE146" i="1" s="1"/>
  <c r="AL146" i="1"/>
  <c r="AP142" i="1"/>
  <c r="AO142" i="1"/>
  <c r="AQ142" i="1" s="1"/>
  <c r="BE142" i="1" s="1"/>
  <c r="AL142" i="1"/>
  <c r="AO108" i="1"/>
  <c r="AP108" i="1"/>
  <c r="AL108" i="1"/>
  <c r="AN109" i="1" s="1"/>
  <c r="AO85" i="1"/>
  <c r="AL85" i="1"/>
  <c r="AN86" i="1" s="1"/>
  <c r="AP85" i="1"/>
  <c r="AL66" i="1"/>
  <c r="AO66" i="1"/>
  <c r="AP66" i="1"/>
  <c r="AL29" i="1"/>
  <c r="AO29" i="1"/>
  <c r="AP29" i="1"/>
  <c r="AQ172" i="1"/>
  <c r="BE172" i="1" s="1"/>
  <c r="AQ149" i="1"/>
  <c r="BE149" i="1" s="1"/>
  <c r="AQ145" i="1"/>
  <c r="BE145" i="1" s="1"/>
  <c r="AQ84" i="1"/>
  <c r="BE84" i="1" s="1"/>
  <c r="AQ81" i="1"/>
  <c r="BE81" i="1" s="1"/>
  <c r="AQ51" i="1"/>
  <c r="BE51" i="1" s="1"/>
  <c r="AQ40" i="1"/>
  <c r="BE40" i="1" s="1"/>
  <c r="AQ28" i="1"/>
  <c r="BB117" i="1"/>
  <c r="BE117" i="1" s="1"/>
  <c r="BF23" i="1"/>
  <c r="BF24" i="1" s="1"/>
  <c r="BF25" i="1" s="1"/>
  <c r="BF26" i="1" s="1"/>
  <c r="BF27" i="1" s="1"/>
  <c r="BB104" i="1"/>
  <c r="BE104" i="1" s="1"/>
  <c r="BA137" i="1"/>
  <c r="AZ137" i="1"/>
  <c r="AW137" i="1"/>
  <c r="AZ118" i="1"/>
  <c r="BA118" i="1"/>
  <c r="AW118" i="1"/>
  <c r="AY119" i="1" s="1"/>
  <c r="AW105" i="1"/>
  <c r="BA105" i="1"/>
  <c r="AZ105" i="1"/>
  <c r="BB105" i="1" s="1"/>
  <c r="BE105" i="1" s="1"/>
  <c r="AZ91" i="1"/>
  <c r="BA91" i="1"/>
  <c r="AW91" i="1"/>
  <c r="AY92" i="1" s="1"/>
  <c r="BB90" i="1"/>
  <c r="BE90" i="1" s="1"/>
  <c r="BE45" i="1"/>
  <c r="BA58" i="1" l="1"/>
  <c r="AZ58" i="1"/>
  <c r="BB58" i="1" s="1"/>
  <c r="AW58" i="1"/>
  <c r="AY59" i="1" s="1"/>
  <c r="AW128" i="1"/>
  <c r="AZ128" i="1"/>
  <c r="BA128" i="1"/>
  <c r="BA119" i="1"/>
  <c r="AZ119" i="1"/>
  <c r="AW119" i="1"/>
  <c r="AY120" i="1" s="1"/>
  <c r="AP168" i="1"/>
  <c r="AO168" i="1"/>
  <c r="AQ168" i="1" s="1"/>
  <c r="BE168" i="1" s="1"/>
  <c r="AL168" i="1"/>
  <c r="AO161" i="1"/>
  <c r="AL161" i="1"/>
  <c r="AN162" i="1" s="1"/>
  <c r="AP161" i="1"/>
  <c r="AL109" i="1"/>
  <c r="AN110" i="1" s="1"/>
  <c r="AO109" i="1"/>
  <c r="AP109" i="1"/>
  <c r="AL86" i="1"/>
  <c r="AP86" i="1"/>
  <c r="AO86" i="1"/>
  <c r="AQ86" i="1" s="1"/>
  <c r="BE86" i="1" s="1"/>
  <c r="AR28" i="1"/>
  <c r="BE28" i="1"/>
  <c r="BF28" i="1" s="1"/>
  <c r="AQ150" i="1"/>
  <c r="BE150" i="1" s="1"/>
  <c r="AQ108" i="1"/>
  <c r="BE108" i="1" s="1"/>
  <c r="AQ85" i="1"/>
  <c r="BE85" i="1" s="1"/>
  <c r="AQ66" i="1"/>
  <c r="BE66" i="1" s="1"/>
  <c r="AQ29" i="1"/>
  <c r="BE29" i="1" s="1"/>
  <c r="BB118" i="1"/>
  <c r="BE118" i="1" s="1"/>
  <c r="BA92" i="1"/>
  <c r="AW92" i="1"/>
  <c r="AY93" i="1" s="1"/>
  <c r="AZ92" i="1"/>
  <c r="BB92" i="1" s="1"/>
  <c r="BE92" i="1" s="1"/>
  <c r="BC58" i="1"/>
  <c r="BE58" i="1"/>
  <c r="BB137" i="1"/>
  <c r="BE137" i="1" s="1"/>
  <c r="BB91" i="1"/>
  <c r="BE91" i="1" s="1"/>
  <c r="BB119" i="1" l="1"/>
  <c r="BE119" i="1" s="1"/>
  <c r="AZ59" i="1"/>
  <c r="AW59" i="1"/>
  <c r="AY60" i="1" s="1"/>
  <c r="BA59" i="1"/>
  <c r="BA120" i="1"/>
  <c r="AW120" i="1"/>
  <c r="AY121" i="1" s="1"/>
  <c r="AZ120" i="1"/>
  <c r="BB120" i="1" s="1"/>
  <c r="BE120" i="1" s="1"/>
  <c r="BB128" i="1"/>
  <c r="BE128" i="1" s="1"/>
  <c r="AZ93" i="1"/>
  <c r="BA93" i="1"/>
  <c r="AW93" i="1"/>
  <c r="AY94" i="1" s="1"/>
  <c r="AP162" i="1"/>
  <c r="AO162" i="1"/>
  <c r="AQ162" i="1" s="1"/>
  <c r="BE162" i="1" s="1"/>
  <c r="AL162" i="1"/>
  <c r="AN163" i="1" s="1"/>
  <c r="AO110" i="1"/>
  <c r="AL110" i="1"/>
  <c r="AP110" i="1"/>
  <c r="AQ161" i="1"/>
  <c r="BE161" i="1" s="1"/>
  <c r="AQ109" i="1"/>
  <c r="AR29" i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BF29" i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B93" i="1" l="1"/>
  <c r="BE93" i="1" s="1"/>
  <c r="AZ60" i="1"/>
  <c r="BA60" i="1"/>
  <c r="AW60" i="1"/>
  <c r="BA121" i="1"/>
  <c r="AW121" i="1"/>
  <c r="AY122" i="1" s="1"/>
  <c r="AZ121" i="1"/>
  <c r="BB121" i="1" s="1"/>
  <c r="BE121" i="1" s="1"/>
  <c r="AW94" i="1"/>
  <c r="AY95" i="1" s="1"/>
  <c r="BA94" i="1"/>
  <c r="AZ94" i="1"/>
  <c r="BB94" i="1" s="1"/>
  <c r="BE94" i="1" s="1"/>
  <c r="BB59" i="1"/>
  <c r="AP163" i="1"/>
  <c r="AL163" i="1"/>
  <c r="AO163" i="1"/>
  <c r="AQ163" i="1" s="1"/>
  <c r="BE163" i="1" s="1"/>
  <c r="AQ14" i="1"/>
  <c r="AQ16" i="1" s="1"/>
  <c r="AI1" i="1" s="1"/>
  <c r="AQ15" i="1"/>
  <c r="BE109" i="1"/>
  <c r="AQ110" i="1"/>
  <c r="AQ19" i="1" s="1"/>
  <c r="AW122" i="1" l="1"/>
  <c r="AZ122" i="1"/>
  <c r="BA122" i="1"/>
  <c r="AW95" i="1"/>
  <c r="AY96" i="1" s="1"/>
  <c r="BA95" i="1"/>
  <c r="AZ95" i="1"/>
  <c r="BB95" i="1" s="1"/>
  <c r="BE95" i="1" s="1"/>
  <c r="BE59" i="1"/>
  <c r="BF59" i="1" s="1"/>
  <c r="BC59" i="1"/>
  <c r="BB60" i="1"/>
  <c r="AR110" i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10" i="1"/>
  <c r="AZ96" i="1" l="1"/>
  <c r="BA96" i="1"/>
  <c r="AW96" i="1"/>
  <c r="AY97" i="1" s="1"/>
  <c r="BE60" i="1"/>
  <c r="BB122" i="1"/>
  <c r="BE122" i="1" s="1"/>
  <c r="BC60" i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AZ97" i="1" l="1"/>
  <c r="BA97" i="1"/>
  <c r="AW97" i="1"/>
  <c r="AY98" i="1" s="1"/>
  <c r="BF60" i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B96" i="1"/>
  <c r="BA98" i="1" l="1"/>
  <c r="AZ98" i="1"/>
  <c r="BB98" i="1" s="1"/>
  <c r="BE98" i="1" s="1"/>
  <c r="AW98" i="1"/>
  <c r="AY99" i="1" s="1"/>
  <c r="BC96" i="1"/>
  <c r="BE96" i="1"/>
  <c r="BB97" i="1"/>
  <c r="BC97" i="1" l="1"/>
  <c r="BC98" i="1" s="1"/>
  <c r="AW99" i="1"/>
  <c r="AY100" i="1" s="1"/>
  <c r="BA99" i="1"/>
  <c r="AZ99" i="1"/>
  <c r="BB99" i="1" s="1"/>
  <c r="BF96" i="1"/>
  <c r="BE97" i="1"/>
  <c r="BF97" i="1" l="1"/>
  <c r="BF98" i="1" s="1"/>
  <c r="AW100" i="1"/>
  <c r="AZ100" i="1"/>
  <c r="BA100" i="1"/>
  <c r="BC99" i="1"/>
  <c r="BE99" i="1"/>
  <c r="BF99" i="1" l="1"/>
  <c r="BB100" i="1"/>
  <c r="BE100" i="1" l="1"/>
  <c r="BB14" i="1"/>
  <c r="BB15" i="1"/>
  <c r="BB19" i="1"/>
  <c r="BC100" i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B16" i="1" l="1"/>
  <c r="AT1" i="1" s="1"/>
  <c r="BE14" i="1"/>
  <c r="BF100" i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8" i="1"/>
  <c r="BE15" i="1"/>
  <c r="BE16" i="1" l="1"/>
</calcChain>
</file>

<file path=xl/sharedStrings.xml><?xml version="1.0" encoding="utf-8"?>
<sst xmlns="http://schemas.openxmlformats.org/spreadsheetml/2006/main" count="74" uniqueCount="53">
  <si>
    <t>date</t>
  </si>
  <si>
    <t>FALN</t>
  </si>
  <si>
    <t>ANGL</t>
  </si>
  <si>
    <t>FALN log rtn</t>
  </si>
  <si>
    <t>ANGL log rtn</t>
  </si>
  <si>
    <t>FALN div</t>
  </si>
  <si>
    <t>FALN div cumsum</t>
  </si>
  <si>
    <t>ANGL div</t>
  </si>
  <si>
    <t>ANGL div cumsum</t>
  </si>
  <si>
    <t>FALN div adjustment</t>
  </si>
  <si>
    <t>ANGL div adjustment</t>
  </si>
  <si>
    <t>FALN*</t>
  </si>
  <si>
    <t>ANGL*</t>
  </si>
  <si>
    <t>ANGL/FALN</t>
  </si>
  <si>
    <t>ANGL/FALN avg</t>
  </si>
  <si>
    <t>ANGL/FALN 10 dma</t>
  </si>
  <si>
    <t>ANGL/FALN 20 dma</t>
  </si>
  <si>
    <t>FALN x avg</t>
  </si>
  <si>
    <t>FALN x 10 dma</t>
  </si>
  <si>
    <t>FALN x 20 dma</t>
  </si>
  <si>
    <t>log diff FALN x avg / ANGL</t>
  </si>
  <si>
    <t>log diff FALN x 10 dma / ANGL</t>
  </si>
  <si>
    <t>log diff FALN x 20 dma / ANGL</t>
  </si>
  <si>
    <t>ANGL*/FALN*</t>
  </si>
  <si>
    <t>ANGL*/FALN* avg</t>
  </si>
  <si>
    <t>ANGL*/FALN* 10 dma</t>
  </si>
  <si>
    <t>ANGL*/FALN* 20 dma</t>
  </si>
  <si>
    <t>FALN* x avg</t>
  </si>
  <si>
    <t>FALN* x 10 dma</t>
  </si>
  <si>
    <t>FALN* x 20 dma</t>
  </si>
  <si>
    <t>log diff FALN* x avg / ANGL*</t>
  </si>
  <si>
    <t>log diff FALN* x 10 dma / ANGL*</t>
  </si>
  <si>
    <t>log diff FALN* x 20 dma / ANGL*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</si>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</sst>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ANGL/FALN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1.0748269802361801</c:v>
                </c:pt>
                <c:pt idx="1">
                  <c:v>1.0748269802361801</c:v>
                </c:pt>
                <c:pt idx="2">
                  <c:v>1.0748269802361801</c:v>
                </c:pt>
                <c:pt idx="3">
                  <c:v>1.0748269802361801</c:v>
                </c:pt>
                <c:pt idx="4">
                  <c:v>1.0748269802361801</c:v>
                </c:pt>
                <c:pt idx="5">
                  <c:v>1.0748269802361801</c:v>
                </c:pt>
                <c:pt idx="6">
                  <c:v>1.0748269802361801</c:v>
                </c:pt>
                <c:pt idx="7">
                  <c:v>1.0748269802361801</c:v>
                </c:pt>
                <c:pt idx="8">
                  <c:v>1.0748269802361801</c:v>
                </c:pt>
                <c:pt idx="9">
                  <c:v>1.0748269802361801</c:v>
                </c:pt>
                <c:pt idx="10">
                  <c:v>1.0748269802361801</c:v>
                </c:pt>
                <c:pt idx="11">
                  <c:v>1.0748269802361801</c:v>
                </c:pt>
                <c:pt idx="12">
                  <c:v>1.0748269802361801</c:v>
                </c:pt>
                <c:pt idx="13">
                  <c:v>1.0748269802361801</c:v>
                </c:pt>
                <c:pt idx="14">
                  <c:v>1.0748269802361801</c:v>
                </c:pt>
                <c:pt idx="15">
                  <c:v>1.0748269802361801</c:v>
                </c:pt>
                <c:pt idx="16">
                  <c:v>1.0748269802361801</c:v>
                </c:pt>
                <c:pt idx="17">
                  <c:v>1.0748269802361801</c:v>
                </c:pt>
                <c:pt idx="18">
                  <c:v>1.0748269802361801</c:v>
                </c:pt>
                <c:pt idx="19">
                  <c:v>1.0748269802361801</c:v>
                </c:pt>
                <c:pt idx="20">
                  <c:v>1.0748269802361801</c:v>
                </c:pt>
                <c:pt idx="21">
                  <c:v>1.0748269802361801</c:v>
                </c:pt>
                <c:pt idx="22">
                  <c:v>1.0748269802361801</c:v>
                </c:pt>
                <c:pt idx="23">
                  <c:v>1.0748269802361801</c:v>
                </c:pt>
                <c:pt idx="24">
                  <c:v>1.0748269802361801</c:v>
                </c:pt>
                <c:pt idx="25">
                  <c:v>1.0748269802361801</c:v>
                </c:pt>
                <c:pt idx="26">
                  <c:v>1.0748269802361801</c:v>
                </c:pt>
                <c:pt idx="27">
                  <c:v>1.0748269802361801</c:v>
                </c:pt>
                <c:pt idx="28">
                  <c:v>1.0748269802361801</c:v>
                </c:pt>
                <c:pt idx="29">
                  <c:v>1.0748269802361801</c:v>
                </c:pt>
                <c:pt idx="30">
                  <c:v>1.0748269802361801</c:v>
                </c:pt>
                <c:pt idx="31">
                  <c:v>1.0748269802361801</c:v>
                </c:pt>
                <c:pt idx="32">
                  <c:v>1.0748269802361801</c:v>
                </c:pt>
                <c:pt idx="33">
                  <c:v>1.0748269802361801</c:v>
                </c:pt>
                <c:pt idx="34">
                  <c:v>1.0748269802361801</c:v>
                </c:pt>
                <c:pt idx="35">
                  <c:v>1.0748269802361801</c:v>
                </c:pt>
                <c:pt idx="36">
                  <c:v>1.0748269802361801</c:v>
                </c:pt>
                <c:pt idx="37">
                  <c:v>1.0748269802361801</c:v>
                </c:pt>
                <c:pt idx="38">
                  <c:v>1.0748269802361801</c:v>
                </c:pt>
                <c:pt idx="39">
                  <c:v>1.0748269802361801</c:v>
                </c:pt>
                <c:pt idx="40">
                  <c:v>1.0748269802361801</c:v>
                </c:pt>
                <c:pt idx="41">
                  <c:v>1.0748269802361801</c:v>
                </c:pt>
                <c:pt idx="42">
                  <c:v>1.0748269802361801</c:v>
                </c:pt>
                <c:pt idx="43">
                  <c:v>1.0748269802361801</c:v>
                </c:pt>
                <c:pt idx="44">
                  <c:v>1.0748269802361801</c:v>
                </c:pt>
                <c:pt idx="45">
                  <c:v>1.0748269802361801</c:v>
                </c:pt>
                <c:pt idx="46">
                  <c:v>1.0748269802361801</c:v>
                </c:pt>
                <c:pt idx="47">
                  <c:v>1.0748269802361801</c:v>
                </c:pt>
                <c:pt idx="48">
                  <c:v>1.0748269802361801</c:v>
                </c:pt>
                <c:pt idx="49">
                  <c:v>1.0748269802361801</c:v>
                </c:pt>
                <c:pt idx="50">
                  <c:v>1.0748269802361801</c:v>
                </c:pt>
                <c:pt idx="51">
                  <c:v>1.0748269802361801</c:v>
                </c:pt>
                <c:pt idx="52">
                  <c:v>1.0748269802361801</c:v>
                </c:pt>
                <c:pt idx="53">
                  <c:v>1.0748269802361801</c:v>
                </c:pt>
                <c:pt idx="54">
                  <c:v>1.0748269802361801</c:v>
                </c:pt>
                <c:pt idx="55">
                  <c:v>1.0748269802361801</c:v>
                </c:pt>
                <c:pt idx="56">
                  <c:v>1.0748269802361801</c:v>
                </c:pt>
                <c:pt idx="57">
                  <c:v>1.0748269802361801</c:v>
                </c:pt>
                <c:pt idx="58">
                  <c:v>1.0748269802361801</c:v>
                </c:pt>
                <c:pt idx="59">
                  <c:v>1.0748269802361801</c:v>
                </c:pt>
                <c:pt idx="60">
                  <c:v>1.0748269802361801</c:v>
                </c:pt>
                <c:pt idx="61">
                  <c:v>1.0748269802361801</c:v>
                </c:pt>
                <c:pt idx="62">
                  <c:v>1.0748269802361801</c:v>
                </c:pt>
                <c:pt idx="63">
                  <c:v>1.0748269802361801</c:v>
                </c:pt>
                <c:pt idx="64">
                  <c:v>1.0748269802361801</c:v>
                </c:pt>
                <c:pt idx="65">
                  <c:v>1.0748269802361801</c:v>
                </c:pt>
                <c:pt idx="66">
                  <c:v>1.0748269802361801</c:v>
                </c:pt>
                <c:pt idx="67">
                  <c:v>1.0748269802361801</c:v>
                </c:pt>
                <c:pt idx="68">
                  <c:v>1.0748269802361801</c:v>
                </c:pt>
                <c:pt idx="69">
                  <c:v>1.0748269802361801</c:v>
                </c:pt>
                <c:pt idx="70">
                  <c:v>1.0748269802361801</c:v>
                </c:pt>
                <c:pt idx="71">
                  <c:v>1.0748269802361801</c:v>
                </c:pt>
                <c:pt idx="72">
                  <c:v>1.0748269802361801</c:v>
                </c:pt>
                <c:pt idx="73">
                  <c:v>1.0748269802361801</c:v>
                </c:pt>
                <c:pt idx="74">
                  <c:v>1.0748269802361801</c:v>
                </c:pt>
                <c:pt idx="75">
                  <c:v>1.0748269802361801</c:v>
                </c:pt>
                <c:pt idx="76">
                  <c:v>1.0748269802361801</c:v>
                </c:pt>
                <c:pt idx="77">
                  <c:v>1.0748269802361801</c:v>
                </c:pt>
                <c:pt idx="78">
                  <c:v>1.0748269802361801</c:v>
                </c:pt>
                <c:pt idx="79">
                  <c:v>1.0748269802361801</c:v>
                </c:pt>
                <c:pt idx="80">
                  <c:v>1.0748269802361801</c:v>
                </c:pt>
                <c:pt idx="81">
                  <c:v>1.0748269802361801</c:v>
                </c:pt>
                <c:pt idx="82">
                  <c:v>1.0748269802361801</c:v>
                </c:pt>
                <c:pt idx="83">
                  <c:v>1.0748269802361801</c:v>
                </c:pt>
                <c:pt idx="84">
                  <c:v>1.0748269802361801</c:v>
                </c:pt>
                <c:pt idx="85">
                  <c:v>1.0748269802361801</c:v>
                </c:pt>
                <c:pt idx="86">
                  <c:v>1.0748269802361801</c:v>
                </c:pt>
                <c:pt idx="87">
                  <c:v>1.0748269802361801</c:v>
                </c:pt>
                <c:pt idx="88">
                  <c:v>1.0748269802361801</c:v>
                </c:pt>
                <c:pt idx="89">
                  <c:v>1.0748269802361801</c:v>
                </c:pt>
                <c:pt idx="90">
                  <c:v>1.0748269802361801</c:v>
                </c:pt>
                <c:pt idx="91">
                  <c:v>1.0748269802361801</c:v>
                </c:pt>
                <c:pt idx="92">
                  <c:v>1.0748269802361801</c:v>
                </c:pt>
                <c:pt idx="93">
                  <c:v>1.0748269802361801</c:v>
                </c:pt>
                <c:pt idx="94">
                  <c:v>1.0748269802361801</c:v>
                </c:pt>
                <c:pt idx="95">
                  <c:v>1.0748269802361801</c:v>
                </c:pt>
                <c:pt idx="96">
                  <c:v>1.0748269802361801</c:v>
                </c:pt>
                <c:pt idx="97">
                  <c:v>1.0748269802361801</c:v>
                </c:pt>
                <c:pt idx="98">
                  <c:v>1.0748269802361801</c:v>
                </c:pt>
                <c:pt idx="99">
                  <c:v>1.0748269802361801</c:v>
                </c:pt>
                <c:pt idx="100">
                  <c:v>1.0748269802361801</c:v>
                </c:pt>
                <c:pt idx="101">
                  <c:v>1.0748269802361801</c:v>
                </c:pt>
                <c:pt idx="102">
                  <c:v>1.0748269802361801</c:v>
                </c:pt>
                <c:pt idx="103">
                  <c:v>1.0748269802361801</c:v>
                </c:pt>
                <c:pt idx="104">
                  <c:v>1.0748269802361801</c:v>
                </c:pt>
                <c:pt idx="105">
                  <c:v>1.0748269802361801</c:v>
                </c:pt>
                <c:pt idx="106">
                  <c:v>1.0748269802361801</c:v>
                </c:pt>
                <c:pt idx="107">
                  <c:v>1.0748269802361801</c:v>
                </c:pt>
                <c:pt idx="108">
                  <c:v>1.0748269802361801</c:v>
                </c:pt>
                <c:pt idx="109">
                  <c:v>1.0748269802361801</c:v>
                </c:pt>
                <c:pt idx="110">
                  <c:v>1.0748269802361801</c:v>
                </c:pt>
                <c:pt idx="111">
                  <c:v>1.0748269802361801</c:v>
                </c:pt>
                <c:pt idx="112">
                  <c:v>1.0748269802361801</c:v>
                </c:pt>
                <c:pt idx="113">
                  <c:v>1.0748269802361801</c:v>
                </c:pt>
                <c:pt idx="114">
                  <c:v>1.0748269802361801</c:v>
                </c:pt>
                <c:pt idx="115">
                  <c:v>1.0748269802361801</c:v>
                </c:pt>
                <c:pt idx="116">
                  <c:v>1.0748269802361801</c:v>
                </c:pt>
                <c:pt idx="117">
                  <c:v>1.0748269802361801</c:v>
                </c:pt>
                <c:pt idx="118">
                  <c:v>1.0748269802361801</c:v>
                </c:pt>
                <c:pt idx="119">
                  <c:v>1.0748269802361801</c:v>
                </c:pt>
                <c:pt idx="120">
                  <c:v>1.0748269802361801</c:v>
                </c:pt>
                <c:pt idx="121">
                  <c:v>1.0748269802361801</c:v>
                </c:pt>
                <c:pt idx="122">
                  <c:v>1.0748269802361801</c:v>
                </c:pt>
                <c:pt idx="123">
                  <c:v>1.0748269802361801</c:v>
                </c:pt>
                <c:pt idx="124">
                  <c:v>1.0748269802361801</c:v>
                </c:pt>
                <c:pt idx="125">
                  <c:v>1.0748269802361801</c:v>
                </c:pt>
                <c:pt idx="126">
                  <c:v>1.0748269802361801</c:v>
                </c:pt>
                <c:pt idx="127">
                  <c:v>1.0748269802361801</c:v>
                </c:pt>
                <c:pt idx="128">
                  <c:v>1.0748269802361801</c:v>
                </c:pt>
                <c:pt idx="129">
                  <c:v>1.0748269802361801</c:v>
                </c:pt>
                <c:pt idx="130">
                  <c:v>1.0748269802361801</c:v>
                </c:pt>
                <c:pt idx="131">
                  <c:v>1.0748269802361801</c:v>
                </c:pt>
                <c:pt idx="132">
                  <c:v>1.0748269802361801</c:v>
                </c:pt>
                <c:pt idx="133">
                  <c:v>1.0748269802361801</c:v>
                </c:pt>
                <c:pt idx="134">
                  <c:v>1.0748269802361801</c:v>
                </c:pt>
                <c:pt idx="135">
                  <c:v>1.0748269802361801</c:v>
                </c:pt>
                <c:pt idx="136">
                  <c:v>1.0748269802361801</c:v>
                </c:pt>
                <c:pt idx="137">
                  <c:v>1.0748269802361801</c:v>
                </c:pt>
                <c:pt idx="138">
                  <c:v>1.0748269802361801</c:v>
                </c:pt>
                <c:pt idx="139">
                  <c:v>1.0748269802361801</c:v>
                </c:pt>
                <c:pt idx="140">
                  <c:v>1.0748269802361801</c:v>
                </c:pt>
                <c:pt idx="141">
                  <c:v>1.0748269802361801</c:v>
                </c:pt>
                <c:pt idx="142">
                  <c:v>1.0748269802361801</c:v>
                </c:pt>
                <c:pt idx="143">
                  <c:v>1.0748269802361801</c:v>
                </c:pt>
                <c:pt idx="144">
                  <c:v>1.0748269802361801</c:v>
                </c:pt>
                <c:pt idx="145">
                  <c:v>1.0748269802361801</c:v>
                </c:pt>
                <c:pt idx="146">
                  <c:v>1.0748269802361801</c:v>
                </c:pt>
                <c:pt idx="147">
                  <c:v>1.0748269802361801</c:v>
                </c:pt>
                <c:pt idx="148">
                  <c:v>1.0748269802361801</c:v>
                </c:pt>
                <c:pt idx="149">
                  <c:v>1.0748269802361801</c:v>
                </c:pt>
                <c:pt idx="150">
                  <c:v>1.0748269802361801</c:v>
                </c:pt>
                <c:pt idx="151">
                  <c:v>1.0748269802361801</c:v>
                </c:pt>
                <c:pt idx="152">
                  <c:v>1.0748269802361801</c:v>
                </c:pt>
                <c:pt idx="153">
                  <c:v>1.0748269802361801</c:v>
                </c:pt>
                <c:pt idx="154">
                  <c:v>1.0748269802361801</c:v>
                </c:pt>
                <c:pt idx="155">
                  <c:v>1.0748269802361801</c:v>
                </c:pt>
                <c:pt idx="156">
                  <c:v>1.0748269802361801</c:v>
                </c:pt>
                <c:pt idx="157">
                  <c:v>1.0748269802361801</c:v>
                </c:pt>
                <c:pt idx="158">
                  <c:v>1.0748269802361801</c:v>
                </c:pt>
                <c:pt idx="159">
                  <c:v>1.0748269802361801</c:v>
                </c:pt>
                <c:pt idx="160">
                  <c:v>1.0748269802361801</c:v>
                </c:pt>
                <c:pt idx="161">
                  <c:v>1.0748269802361801</c:v>
                </c:pt>
                <c:pt idx="162">
                  <c:v>1.0748269802361801</c:v>
                </c:pt>
                <c:pt idx="163">
                  <c:v>1.0748269802361801</c:v>
                </c:pt>
                <c:pt idx="164">
                  <c:v>1.0748269802361801</c:v>
                </c:pt>
                <c:pt idx="165">
                  <c:v>1.0748269802361801</c:v>
                </c:pt>
                <c:pt idx="166">
                  <c:v>1.0748269802361801</c:v>
                </c:pt>
                <c:pt idx="167">
                  <c:v>1.0748269802361801</c:v>
                </c:pt>
                <c:pt idx="168">
                  <c:v>1.0748269802361801</c:v>
                </c:pt>
                <c:pt idx="169">
                  <c:v>1.0748269802361801</c:v>
                </c:pt>
                <c:pt idx="170">
                  <c:v>1.0748269802361801</c:v>
                </c:pt>
                <c:pt idx="171">
                  <c:v>1.0748269802361801</c:v>
                </c:pt>
                <c:pt idx="172">
                  <c:v>1.0748269802361801</c:v>
                </c:pt>
                <c:pt idx="173">
                  <c:v>1.0748269802361801</c:v>
                </c:pt>
                <c:pt idx="174">
                  <c:v>1.0748269802361801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E-4D66-989B-90741C5554E4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ANGL/FALN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1.07370053237195</c:v>
                </c:pt>
                <c:pt idx="21">
                  <c:v>1.0735548128819701</c:v>
                </c:pt>
                <c:pt idx="22">
                  <c:v>1.0734832091122399</c:v>
                </c:pt>
                <c:pt idx="23">
                  <c:v>1.07338335710977</c:v>
                </c:pt>
                <c:pt idx="24">
                  <c:v>1.0734077627433001</c:v>
                </c:pt>
                <c:pt idx="25">
                  <c:v>1.07338223168745</c:v>
                </c:pt>
                <c:pt idx="26">
                  <c:v>1.07350716047777</c:v>
                </c:pt>
                <c:pt idx="27">
                  <c:v>1.0737720741058101</c:v>
                </c:pt>
                <c:pt idx="28">
                  <c:v>1.07414018124051</c:v>
                </c:pt>
                <c:pt idx="29">
                  <c:v>1.07446107518433</c:v>
                </c:pt>
                <c:pt idx="30">
                  <c:v>1.0747556457855401</c:v>
                </c:pt>
                <c:pt idx="31">
                  <c:v>1.0749977205083201</c:v>
                </c:pt>
                <c:pt idx="32">
                  <c:v>1.07526491387048</c:v>
                </c:pt>
                <c:pt idx="33">
                  <c:v>1.07556301141239</c:v>
                </c:pt>
                <c:pt idx="34">
                  <c:v>1.07570358320299</c:v>
                </c:pt>
                <c:pt idx="35">
                  <c:v>1.07593579636638</c:v>
                </c:pt>
                <c:pt idx="36">
                  <c:v>1.0760563547303299</c:v>
                </c:pt>
                <c:pt idx="37">
                  <c:v>1.0759537827696299</c:v>
                </c:pt>
                <c:pt idx="38">
                  <c:v>1.0758059337530299</c:v>
                </c:pt>
                <c:pt idx="39">
                  <c:v>1.0759404786436799</c:v>
                </c:pt>
                <c:pt idx="40">
                  <c:v>1.0759988617318501</c:v>
                </c:pt>
                <c:pt idx="41">
                  <c:v>1.07608149673977</c:v>
                </c:pt>
                <c:pt idx="42">
                  <c:v>1.0759893183979601</c:v>
                </c:pt>
                <c:pt idx="43">
                  <c:v>1.0760278043214999</c:v>
                </c:pt>
                <c:pt idx="44">
                  <c:v>1.0759781057194699</c:v>
                </c:pt>
                <c:pt idx="45">
                  <c:v>1.0759431197687701</c:v>
                </c:pt>
                <c:pt idx="46">
                  <c:v>1.07601708887471</c:v>
                </c:pt>
                <c:pt idx="47">
                  <c:v>1.0762662604667399</c:v>
                </c:pt>
                <c:pt idx="48">
                  <c:v>1.07652130246446</c:v>
                </c:pt>
                <c:pt idx="49">
                  <c:v>1.07632500831022</c:v>
                </c:pt>
                <c:pt idx="50">
                  <c:v>1.0761645312016399</c:v>
                </c:pt>
                <c:pt idx="51">
                  <c:v>1.07623174959358</c:v>
                </c:pt>
                <c:pt idx="52">
                  <c:v>1.0762719337209301</c:v>
                </c:pt>
                <c:pt idx="53">
                  <c:v>1.07615816281927</c:v>
                </c:pt>
                <c:pt idx="54">
                  <c:v>1.0760579363838201</c:v>
                </c:pt>
                <c:pt idx="55">
                  <c:v>1.07584567468194</c:v>
                </c:pt>
                <c:pt idx="56">
                  <c:v>1.0756467595324299</c:v>
                </c:pt>
                <c:pt idx="57">
                  <c:v>1.0753311998763999</c:v>
                </c:pt>
                <c:pt idx="58">
                  <c:v>1.0751771572006401</c:v>
                </c:pt>
                <c:pt idx="59">
                  <c:v>1.0750392231456301</c:v>
                </c:pt>
                <c:pt idx="60">
                  <c:v>1.07500937213337</c:v>
                </c:pt>
                <c:pt idx="61">
                  <c:v>1.0748136992160999</c:v>
                </c:pt>
                <c:pt idx="62">
                  <c:v>1.0748108836347301</c:v>
                </c:pt>
                <c:pt idx="63">
                  <c:v>1.07489015859691</c:v>
                </c:pt>
                <c:pt idx="64">
                  <c:v>1.0750950784584099</c:v>
                </c:pt>
                <c:pt idx="65">
                  <c:v>1.0753017177729201</c:v>
                </c:pt>
                <c:pt idx="66">
                  <c:v>1.0754527537693099</c:v>
                </c:pt>
                <c:pt idx="67">
                  <c:v>1.07575928560916</c:v>
                </c:pt>
                <c:pt idx="68">
                  <c:v>1.0758872071636301</c:v>
                </c:pt>
                <c:pt idx="69">
                  <c:v>1.0760694194802201</c:v>
                </c:pt>
                <c:pt idx="70">
                  <c:v>1.07625974760107</c:v>
                </c:pt>
                <c:pt idx="71">
                  <c:v>1.07654343618885</c:v>
                </c:pt>
                <c:pt idx="72">
                  <c:v>1.0767350791549</c:v>
                </c:pt>
                <c:pt idx="73">
                  <c:v>1.07680082021657</c:v>
                </c:pt>
                <c:pt idx="74">
                  <c:v>1.0768633990560601</c:v>
                </c:pt>
                <c:pt idx="75">
                  <c:v>1.07696839121487</c:v>
                </c:pt>
                <c:pt idx="76">
                  <c:v>1.0771383818874201</c:v>
                </c:pt>
                <c:pt idx="77">
                  <c:v>1.0770929154760001</c:v>
                </c:pt>
                <c:pt idx="78">
                  <c:v>1.0770335449819199</c:v>
                </c:pt>
                <c:pt idx="79">
                  <c:v>1.0770136116600999</c:v>
                </c:pt>
                <c:pt idx="80">
                  <c:v>1.0770959189112901</c:v>
                </c:pt>
                <c:pt idx="81">
                  <c:v>1.0771413491820601</c:v>
                </c:pt>
                <c:pt idx="82">
                  <c:v>1.07717585149233</c:v>
                </c:pt>
                <c:pt idx="83">
                  <c:v>1.0772273585221399</c:v>
                </c:pt>
                <c:pt idx="84">
                  <c:v>1.07719624273958</c:v>
                </c:pt>
                <c:pt idx="85">
                  <c:v>1.0771906501528901</c:v>
                </c:pt>
                <c:pt idx="86">
                  <c:v>1.0769719677767899</c:v>
                </c:pt>
                <c:pt idx="87">
                  <c:v>1.0768074955190401</c:v>
                </c:pt>
                <c:pt idx="88">
                  <c:v>1.07674741634822</c:v>
                </c:pt>
                <c:pt idx="89">
                  <c:v>1.0766982786427299</c:v>
                </c:pt>
                <c:pt idx="90">
                  <c:v>1.07654447089734</c:v>
                </c:pt>
                <c:pt idx="91">
                  <c:v>1.0763369799011</c:v>
                </c:pt>
                <c:pt idx="92">
                  <c:v>1.0761080211445899</c:v>
                </c:pt>
                <c:pt idx="93">
                  <c:v>1.07588461187036</c:v>
                </c:pt>
                <c:pt idx="94">
                  <c:v>1.07574651033875</c:v>
                </c:pt>
                <c:pt idx="95">
                  <c:v>1.0754295490702099</c:v>
                </c:pt>
                <c:pt idx="96">
                  <c:v>1.0753721977997099</c:v>
                </c:pt>
                <c:pt idx="97">
                  <c:v>1.0752917806509299</c:v>
                </c:pt>
                <c:pt idx="98">
                  <c:v>1.07528617727994</c:v>
                </c:pt>
                <c:pt idx="99">
                  <c:v>1.0752582557274599</c:v>
                </c:pt>
                <c:pt idx="100">
                  <c:v>1.07514240996446</c:v>
                </c:pt>
                <c:pt idx="101">
                  <c:v>1.0750017876918101</c:v>
                </c:pt>
                <c:pt idx="102">
                  <c:v>1.0749348884601599</c:v>
                </c:pt>
                <c:pt idx="103">
                  <c:v>1.07498455664031</c:v>
                </c:pt>
                <c:pt idx="104">
                  <c:v>1.0750257255431901</c:v>
                </c:pt>
                <c:pt idx="105">
                  <c:v>1.07525735880842</c:v>
                </c:pt>
                <c:pt idx="106">
                  <c:v>1.0753939832959101</c:v>
                </c:pt>
                <c:pt idx="107">
                  <c:v>1.0755358741451699</c:v>
                </c:pt>
                <c:pt idx="108">
                  <c:v>1.0754869982898401</c:v>
                </c:pt>
                <c:pt idx="109">
                  <c:v>1.07550303825352</c:v>
                </c:pt>
                <c:pt idx="110">
                  <c:v>1.0755113336875699</c:v>
                </c:pt>
                <c:pt idx="111">
                  <c:v>1.07554163844513</c:v>
                </c:pt>
                <c:pt idx="112">
                  <c:v>1.0755482039861199</c:v>
                </c:pt>
                <c:pt idx="113">
                  <c:v>1.0753647083319799</c:v>
                </c:pt>
                <c:pt idx="114">
                  <c:v>1.07510966085934</c:v>
                </c:pt>
                <c:pt idx="115">
                  <c:v>1.07480736641772</c:v>
                </c:pt>
                <c:pt idx="116">
                  <c:v>1.07458430360413</c:v>
                </c:pt>
                <c:pt idx="117">
                  <c:v>1.0743304300311201</c:v>
                </c:pt>
                <c:pt idx="118">
                  <c:v>1.07419869179855</c:v>
                </c:pt>
                <c:pt idx="119">
                  <c:v>1.07407043093552</c:v>
                </c:pt>
                <c:pt idx="120">
                  <c:v>1.0740401038374601</c:v>
                </c:pt>
                <c:pt idx="121">
                  <c:v>1.0739648524380001</c:v>
                </c:pt>
                <c:pt idx="122">
                  <c:v>1.07383001660185</c:v>
                </c:pt>
                <c:pt idx="123">
                  <c:v>1.07376990942134</c:v>
                </c:pt>
                <c:pt idx="124">
                  <c:v>1.07375099068228</c:v>
                </c:pt>
                <c:pt idx="125">
                  <c:v>1.07367210875121</c:v>
                </c:pt>
                <c:pt idx="126">
                  <c:v>1.0736011697416701</c:v>
                </c:pt>
                <c:pt idx="127">
                  <c:v>1.0734697902982699</c:v>
                </c:pt>
                <c:pt idx="128">
                  <c:v>1.0733386586098199</c:v>
                </c:pt>
                <c:pt idx="129">
                  <c:v>1.07307895878756</c:v>
                </c:pt>
                <c:pt idx="130">
                  <c:v>1.0728722379070601</c:v>
                </c:pt>
                <c:pt idx="131">
                  <c:v>1.0726944368795099</c:v>
                </c:pt>
                <c:pt idx="132">
                  <c:v>1.07246356784453</c:v>
                </c:pt>
                <c:pt idx="133">
                  <c:v>1.07227920206282</c:v>
                </c:pt>
                <c:pt idx="134">
                  <c:v>1.0720714665441899</c:v>
                </c:pt>
                <c:pt idx="135">
                  <c:v>1.0720719688693401</c:v>
                </c:pt>
                <c:pt idx="136">
                  <c:v>1.0719538572388001</c:v>
                </c:pt>
                <c:pt idx="137">
                  <c:v>1.0720229257575</c:v>
                </c:pt>
                <c:pt idx="138">
                  <c:v>1.07205601001171</c:v>
                </c:pt>
                <c:pt idx="139">
                  <c:v>1.0721518599972</c:v>
                </c:pt>
                <c:pt idx="140">
                  <c:v>1.07233030992352</c:v>
                </c:pt>
                <c:pt idx="141">
                  <c:v>1.07239965532296</c:v>
                </c:pt>
                <c:pt idx="142">
                  <c:v>1.0726599366693399</c:v>
                </c:pt>
                <c:pt idx="143">
                  <c:v>1.07285348311447</c:v>
                </c:pt>
                <c:pt idx="144">
                  <c:v>1.0731663844456301</c:v>
                </c:pt>
                <c:pt idx="145">
                  <c:v>1.0732947096233301</c:v>
                </c:pt>
                <c:pt idx="146">
                  <c:v>1.0734590051128701</c:v>
                </c:pt>
                <c:pt idx="147">
                  <c:v>1.0735701985895201</c:v>
                </c:pt>
                <c:pt idx="148">
                  <c:v>1.0737740308686201</c:v>
                </c:pt>
                <c:pt idx="149">
                  <c:v>1.0740381709318001</c:v>
                </c:pt>
                <c:pt idx="150">
                  <c:v>1.07389946137572</c:v>
                </c:pt>
                <c:pt idx="151">
                  <c:v>1.0738488876108601</c:v>
                </c:pt>
                <c:pt idx="152">
                  <c:v>1.0739162655163099</c:v>
                </c:pt>
                <c:pt idx="153">
                  <c:v>1.0738333385402099</c:v>
                </c:pt>
                <c:pt idx="154">
                  <c:v>1.0736813469230799</c:v>
                </c:pt>
                <c:pt idx="155">
                  <c:v>1.0736404393760599</c:v>
                </c:pt>
                <c:pt idx="156">
                  <c:v>1.0737145683605001</c:v>
                </c:pt>
                <c:pt idx="157">
                  <c:v>1.07372698708766</c:v>
                </c:pt>
                <c:pt idx="158">
                  <c:v>1.0735964291253199</c:v>
                </c:pt>
                <c:pt idx="159">
                  <c:v>1.07348253234599</c:v>
                </c:pt>
                <c:pt idx="160">
                  <c:v>1.0735827188060301</c:v>
                </c:pt>
                <c:pt idx="161">
                  <c:v>1.07366121765886</c:v>
                </c:pt>
                <c:pt idx="162">
                  <c:v>1.0736419956068699</c:v>
                </c:pt>
                <c:pt idx="163">
                  <c:v>1.07379769587833</c:v>
                </c:pt>
                <c:pt idx="164">
                  <c:v>1.07391945307979</c:v>
                </c:pt>
                <c:pt idx="165">
                  <c:v>1.07399621276334</c:v>
                </c:pt>
                <c:pt idx="166">
                  <c:v>1.0738305232682499</c:v>
                </c:pt>
                <c:pt idx="167">
                  <c:v>1.07379301685866</c:v>
                </c:pt>
                <c:pt idx="168">
                  <c:v>1.0738424824316199</c:v>
                </c:pt>
                <c:pt idx="169">
                  <c:v>1.07385767853037</c:v>
                </c:pt>
                <c:pt idx="170">
                  <c:v>1.07404444161871</c:v>
                </c:pt>
                <c:pt idx="171">
                  <c:v>1.0743096797613001</c:v>
                </c:pt>
                <c:pt idx="172">
                  <c:v>1.07454456799209</c:v>
                </c:pt>
                <c:pt idx="173">
                  <c:v>1.07462862666028</c:v>
                </c:pt>
                <c:pt idx="174">
                  <c:v>1.07482581245283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E-4D66-989B-90741C5554E4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ANGL/FALN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1.0742702226007499</c:v>
                </c:pt>
                <c:pt idx="20">
                  <c:v>1.0741443775856601</c:v>
                </c:pt>
                <c:pt idx="21">
                  <c:v>1.0740113706724901</c:v>
                </c:pt>
                <c:pt idx="22">
                  <c:v>1.0738865356063201</c:v>
                </c:pt>
                <c:pt idx="23">
                  <c:v>1.0738035084028399</c:v>
                </c:pt>
                <c:pt idx="24">
                  <c:v>1.0737907533092601</c:v>
                </c:pt>
                <c:pt idx="25">
                  <c:v>1.0737739319948101</c:v>
                </c:pt>
                <c:pt idx="26">
                  <c:v>1.07384790556454</c:v>
                </c:pt>
                <c:pt idx="27">
                  <c:v>1.07391784677932</c:v>
                </c:pt>
                <c:pt idx="28">
                  <c:v>1.0740240124515299</c:v>
                </c:pt>
                <c:pt idx="29">
                  <c:v>1.07414281263485</c:v>
                </c:pt>
                <c:pt idx="30">
                  <c:v>1.0742280890787499</c:v>
                </c:pt>
                <c:pt idx="31">
                  <c:v>1.07427626669514</c:v>
                </c:pt>
                <c:pt idx="32">
                  <c:v>1.0743740614913599</c:v>
                </c:pt>
                <c:pt idx="33">
                  <c:v>1.07447318426108</c:v>
                </c:pt>
                <c:pt idx="34">
                  <c:v>1.07455567297315</c:v>
                </c:pt>
                <c:pt idx="35">
                  <c:v>1.0746590140269101</c:v>
                </c:pt>
                <c:pt idx="36">
                  <c:v>1.0747817576040499</c:v>
                </c:pt>
                <c:pt idx="37">
                  <c:v>1.07486292843772</c:v>
                </c:pt>
                <c:pt idx="38">
                  <c:v>1.07497305749677</c:v>
                </c:pt>
                <c:pt idx="39">
                  <c:v>1.0752007769140099</c:v>
                </c:pt>
                <c:pt idx="40">
                  <c:v>1.0753772537587001</c:v>
                </c:pt>
                <c:pt idx="41">
                  <c:v>1.0755396086240401</c:v>
                </c:pt>
                <c:pt idx="42">
                  <c:v>1.0756271161342199</c:v>
                </c:pt>
                <c:pt idx="43">
                  <c:v>1.0757954078669401</c:v>
                </c:pt>
                <c:pt idx="44">
                  <c:v>1.07584084446123</c:v>
                </c:pt>
                <c:pt idx="45">
                  <c:v>1.0759394580675701</c:v>
                </c:pt>
                <c:pt idx="46">
                  <c:v>1.07603672180252</c:v>
                </c:pt>
                <c:pt idx="47">
                  <c:v>1.07611002161818</c:v>
                </c:pt>
                <c:pt idx="48">
                  <c:v>1.0761636181087399</c:v>
                </c:pt>
                <c:pt idx="49">
                  <c:v>1.0761327434769501</c:v>
                </c:pt>
                <c:pt idx="50">
                  <c:v>1.0760816964667399</c:v>
                </c:pt>
                <c:pt idx="51">
                  <c:v>1.0761566231666699</c:v>
                </c:pt>
                <c:pt idx="52">
                  <c:v>1.0761306260594401</c:v>
                </c:pt>
                <c:pt idx="53">
                  <c:v>1.0760929835703801</c:v>
                </c:pt>
                <c:pt idx="54">
                  <c:v>1.0760180210516399</c:v>
                </c:pt>
                <c:pt idx="55">
                  <c:v>1.0758943972253501</c:v>
                </c:pt>
                <c:pt idx="56">
                  <c:v>1.0758319242035701</c:v>
                </c:pt>
                <c:pt idx="57">
                  <c:v>1.0757987301715699</c:v>
                </c:pt>
                <c:pt idx="58">
                  <c:v>1.0758492298325499</c:v>
                </c:pt>
                <c:pt idx="59">
                  <c:v>1.0756821157279299</c:v>
                </c:pt>
                <c:pt idx="60">
                  <c:v>1.0755869516675101</c:v>
                </c:pt>
                <c:pt idx="61">
                  <c:v>1.07552272440484</c:v>
                </c:pt>
                <c:pt idx="62">
                  <c:v>1.0755414086778301</c:v>
                </c:pt>
                <c:pt idx="63">
                  <c:v>1.0755241607080901</c:v>
                </c:pt>
                <c:pt idx="64">
                  <c:v>1.0755765074211101</c:v>
                </c:pt>
                <c:pt idx="65">
                  <c:v>1.07557369622743</c:v>
                </c:pt>
                <c:pt idx="66">
                  <c:v>1.07554975665087</c:v>
                </c:pt>
                <c:pt idx="67">
                  <c:v>1.0755452427427801</c:v>
                </c:pt>
                <c:pt idx="68">
                  <c:v>1.07553218218213</c:v>
                </c:pt>
                <c:pt idx="69">
                  <c:v>1.0755543213129299</c:v>
                </c:pt>
                <c:pt idx="70">
                  <c:v>1.0756345598672199</c:v>
                </c:pt>
                <c:pt idx="71">
                  <c:v>1.07567856770248</c:v>
                </c:pt>
                <c:pt idx="72">
                  <c:v>1.07577298139481</c:v>
                </c:pt>
                <c:pt idx="73">
                  <c:v>1.07584548940674</c:v>
                </c:pt>
                <c:pt idx="74">
                  <c:v>1.07597923875723</c:v>
                </c:pt>
                <c:pt idx="75">
                  <c:v>1.0761350544938999</c:v>
                </c:pt>
                <c:pt idx="76">
                  <c:v>1.0762955678283599</c:v>
                </c:pt>
                <c:pt idx="77">
                  <c:v>1.0764261005425799</c:v>
                </c:pt>
                <c:pt idx="78">
                  <c:v>1.07646037607277</c:v>
                </c:pt>
                <c:pt idx="79">
                  <c:v>1.0765415155701601</c:v>
                </c:pt>
                <c:pt idx="80">
                  <c:v>1.0766778332561799</c:v>
                </c:pt>
                <c:pt idx="81">
                  <c:v>1.07684239268545</c:v>
                </c:pt>
                <c:pt idx="82">
                  <c:v>1.07695546532362</c:v>
                </c:pt>
                <c:pt idx="83">
                  <c:v>1.0770140893693601</c:v>
                </c:pt>
                <c:pt idx="84">
                  <c:v>1.07702982089782</c:v>
                </c:pt>
                <c:pt idx="85">
                  <c:v>1.0770795206838799</c:v>
                </c:pt>
                <c:pt idx="86">
                  <c:v>1.07705517483211</c:v>
                </c:pt>
                <c:pt idx="87">
                  <c:v>1.07695020549752</c:v>
                </c:pt>
                <c:pt idx="88">
                  <c:v>1.0768904806650701</c:v>
                </c:pt>
                <c:pt idx="89">
                  <c:v>1.0768559451514099</c:v>
                </c:pt>
                <c:pt idx="90">
                  <c:v>1.0768201949043199</c:v>
                </c:pt>
                <c:pt idx="91">
                  <c:v>1.07673916454158</c:v>
                </c:pt>
                <c:pt idx="92">
                  <c:v>1.0766419363184601</c:v>
                </c:pt>
                <c:pt idx="93">
                  <c:v>1.0765559851962501</c:v>
                </c:pt>
                <c:pt idx="94">
                  <c:v>1.07647137653917</c:v>
                </c:pt>
                <c:pt idx="95">
                  <c:v>1.07631009961155</c:v>
                </c:pt>
                <c:pt idx="96">
                  <c:v>1.0761720827882499</c:v>
                </c:pt>
                <c:pt idx="97">
                  <c:v>1.07604963808498</c:v>
                </c:pt>
                <c:pt idx="98">
                  <c:v>1.0760167968140799</c:v>
                </c:pt>
                <c:pt idx="99">
                  <c:v>1.0759782671850999</c:v>
                </c:pt>
                <c:pt idx="100">
                  <c:v>1.0758434404309001</c:v>
                </c:pt>
                <c:pt idx="101">
                  <c:v>1.0756693837964599</c:v>
                </c:pt>
                <c:pt idx="102">
                  <c:v>1.0755214548023699</c:v>
                </c:pt>
                <c:pt idx="103">
                  <c:v>1.0754345842553401</c:v>
                </c:pt>
                <c:pt idx="104">
                  <c:v>1.0753861179409701</c:v>
                </c:pt>
                <c:pt idx="105">
                  <c:v>1.0753434539393201</c:v>
                </c:pt>
                <c:pt idx="106">
                  <c:v>1.0753830905478099</c:v>
                </c:pt>
                <c:pt idx="107">
                  <c:v>1.07541382739805</c:v>
                </c:pt>
                <c:pt idx="108">
                  <c:v>1.07538658778489</c:v>
                </c:pt>
                <c:pt idx="109">
                  <c:v>1.0753806469904901</c:v>
                </c:pt>
                <c:pt idx="110">
                  <c:v>1.0753268718260101</c:v>
                </c:pt>
                <c:pt idx="111">
                  <c:v>1.0752717130684699</c:v>
                </c:pt>
                <c:pt idx="112">
                  <c:v>1.0752415462231399</c:v>
                </c:pt>
                <c:pt idx="113">
                  <c:v>1.07517463248614</c:v>
                </c:pt>
                <c:pt idx="114">
                  <c:v>1.0750676932012599</c:v>
                </c:pt>
                <c:pt idx="115">
                  <c:v>1.07503236261307</c:v>
                </c:pt>
                <c:pt idx="116">
                  <c:v>1.0749891434500201</c:v>
                </c:pt>
                <c:pt idx="117">
                  <c:v>1.07493315208814</c:v>
                </c:pt>
                <c:pt idx="118">
                  <c:v>1.07484284504419</c:v>
                </c:pt>
                <c:pt idx="119">
                  <c:v>1.0747867345945199</c:v>
                </c:pt>
                <c:pt idx="120">
                  <c:v>1.07477571876251</c:v>
                </c:pt>
                <c:pt idx="121">
                  <c:v>1.07475324544157</c:v>
                </c:pt>
                <c:pt idx="122">
                  <c:v>1.07468911029398</c:v>
                </c:pt>
                <c:pt idx="123">
                  <c:v>1.0745673088766601</c:v>
                </c:pt>
                <c:pt idx="124">
                  <c:v>1.0744303257708101</c:v>
                </c:pt>
                <c:pt idx="125">
                  <c:v>1.0742397375844599</c:v>
                </c:pt>
                <c:pt idx="126">
                  <c:v>1.0740927366729001</c:v>
                </c:pt>
                <c:pt idx="127">
                  <c:v>1.0739001101646899</c:v>
                </c:pt>
                <c:pt idx="128">
                  <c:v>1.07376867520418</c:v>
                </c:pt>
                <c:pt idx="129">
                  <c:v>1.0735746948615399</c:v>
                </c:pt>
                <c:pt idx="130">
                  <c:v>1.0734561708722601</c:v>
                </c:pt>
                <c:pt idx="131">
                  <c:v>1.0733296446587599</c:v>
                </c:pt>
                <c:pt idx="132">
                  <c:v>1.0731467922231901</c:v>
                </c:pt>
                <c:pt idx="133">
                  <c:v>1.0730245557420801</c:v>
                </c:pt>
                <c:pt idx="134">
                  <c:v>1.0729112286132301</c:v>
                </c:pt>
                <c:pt idx="135">
                  <c:v>1.0728720388102699</c:v>
                </c:pt>
                <c:pt idx="136">
                  <c:v>1.07277751349023</c:v>
                </c:pt>
                <c:pt idx="137">
                  <c:v>1.07274635802789</c:v>
                </c:pt>
                <c:pt idx="138">
                  <c:v>1.07269733431076</c:v>
                </c:pt>
                <c:pt idx="139">
                  <c:v>1.0726154093923801</c:v>
                </c:pt>
                <c:pt idx="140">
                  <c:v>1.0726012739152899</c:v>
                </c:pt>
                <c:pt idx="141">
                  <c:v>1.0725470461012401</c:v>
                </c:pt>
                <c:pt idx="142">
                  <c:v>1.0725617522569399</c:v>
                </c:pt>
                <c:pt idx="143">
                  <c:v>1.07256634258865</c:v>
                </c:pt>
                <c:pt idx="144">
                  <c:v>1.0726189254949099</c:v>
                </c:pt>
                <c:pt idx="145">
                  <c:v>1.07268333924634</c:v>
                </c:pt>
                <c:pt idx="146">
                  <c:v>1.0727064311758301</c:v>
                </c:pt>
                <c:pt idx="147">
                  <c:v>1.07279656217351</c:v>
                </c:pt>
                <c:pt idx="148">
                  <c:v>1.0729150204401601</c:v>
                </c:pt>
                <c:pt idx="149">
                  <c:v>1.0730950154645</c:v>
                </c:pt>
                <c:pt idx="150">
                  <c:v>1.07311488564962</c:v>
                </c:pt>
                <c:pt idx="151">
                  <c:v>1.07312427146691</c:v>
                </c:pt>
                <c:pt idx="152">
                  <c:v>1.0732881010928299</c:v>
                </c:pt>
                <c:pt idx="153">
                  <c:v>1.0733434108273401</c:v>
                </c:pt>
                <c:pt idx="154">
                  <c:v>1.07342386568435</c:v>
                </c:pt>
                <c:pt idx="155">
                  <c:v>1.0734675744997</c:v>
                </c:pt>
                <c:pt idx="156">
                  <c:v>1.07358678673668</c:v>
                </c:pt>
                <c:pt idx="157">
                  <c:v>1.0736485928385899</c:v>
                </c:pt>
                <c:pt idx="158">
                  <c:v>1.0736852299969699</c:v>
                </c:pt>
                <c:pt idx="159">
                  <c:v>1.0737603516389</c:v>
                </c:pt>
                <c:pt idx="160">
                  <c:v>1.0737410900908799</c:v>
                </c:pt>
                <c:pt idx="161">
                  <c:v>1.07375505263486</c:v>
                </c:pt>
                <c:pt idx="162">
                  <c:v>1.07377913056159</c:v>
                </c:pt>
                <c:pt idx="163">
                  <c:v>1.07381551720927</c:v>
                </c:pt>
                <c:pt idx="164">
                  <c:v>1.0738004000014401</c:v>
                </c:pt>
                <c:pt idx="165">
                  <c:v>1.0738183260697001</c:v>
                </c:pt>
                <c:pt idx="166">
                  <c:v>1.0737725458143701</c:v>
                </c:pt>
                <c:pt idx="167">
                  <c:v>1.0737600019731599</c:v>
                </c:pt>
                <c:pt idx="168">
                  <c:v>1.0737194557784699</c:v>
                </c:pt>
                <c:pt idx="169">
                  <c:v>1.0736701054381801</c:v>
                </c:pt>
                <c:pt idx="170">
                  <c:v>1.0738135802123701</c:v>
                </c:pt>
                <c:pt idx="171">
                  <c:v>1.0739854487100799</c:v>
                </c:pt>
                <c:pt idx="172">
                  <c:v>1.0740932817994799</c:v>
                </c:pt>
                <c:pt idx="173">
                  <c:v>1.0742131612693</c:v>
                </c:pt>
                <c:pt idx="174">
                  <c:v>1.0743726327663099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2E-4D66-989B-90741C555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FALN* x 10 dma / ANGL*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5.2513990289648998E-4</c:v>
                </c:pt>
                <c:pt idx="21">
                  <c:v>7.5074101384466595E-4</c:v>
                </c:pt>
                <c:pt idx="22">
                  <c:v>2.3143890944320601E-4</c:v>
                </c:pt>
                <c:pt idx="23">
                  <c:v>9.37532414330253E-5</c:v>
                </c:pt>
                <c:pt idx="24">
                  <c:v>-1.22158444545118E-3</c:v>
                </c:pt>
                <c:pt idx="25">
                  <c:v>-7.0878729950848702E-4</c:v>
                </c:pt>
                <c:pt idx="26">
                  <c:v>-1.0160252215453301E-3</c:v>
                </c:pt>
                <c:pt idx="27">
                  <c:v>-2.2409749223927201E-3</c:v>
                </c:pt>
                <c:pt idx="28">
                  <c:v>-2.2511483592216799E-3</c:v>
                </c:pt>
                <c:pt idx="29">
                  <c:v>-2.1648246647951999E-3</c:v>
                </c:pt>
                <c:pt idx="30">
                  <c:v>-1.58042418289489E-3</c:v>
                </c:pt>
                <c:pt idx="31">
                  <c:v>-4.8548487314470698E-4</c:v>
                </c:pt>
                <c:pt idx="32">
                  <c:v>-8.8002406654119104E-4</c:v>
                </c:pt>
                <c:pt idx="33">
                  <c:v>-9.9266424018750799E-4</c:v>
                </c:pt>
                <c:pt idx="34">
                  <c:v>-4.8438843629399598E-4</c:v>
                </c:pt>
                <c:pt idx="35">
                  <c:v>-7.1487255733305099E-4</c:v>
                </c:pt>
                <c:pt idx="36">
                  <c:v>2.4595717202499098E-4</c:v>
                </c:pt>
                <c:pt idx="37">
                  <c:v>1.0774074062908201E-3</c:v>
                </c:pt>
                <c:pt idx="38">
                  <c:v>1.14221140855222E-3</c:v>
                </c:pt>
                <c:pt idx="39">
                  <c:v>-1.1314868282118801E-3</c:v>
                </c:pt>
                <c:pt idx="40">
                  <c:v>-9.4519018962086696E-5</c:v>
                </c:pt>
                <c:pt idx="41">
                  <c:v>4.7858763973995702E-4</c:v>
                </c:pt>
                <c:pt idx="42">
                  <c:v>1.47937963361282E-3</c:v>
                </c:pt>
                <c:pt idx="43">
                  <c:v>-2.32946046724843E-4</c:v>
                </c:pt>
                <c:pt idx="44">
                  <c:v>7.6787910513699195E-4</c:v>
                </c:pt>
                <c:pt idx="45">
                  <c:v>1.5652197594153401E-4</c:v>
                </c:pt>
                <c:pt idx="46">
                  <c:v>-2.06094847184698E-4</c:v>
                </c:pt>
                <c:pt idx="47">
                  <c:v>-1.1005585632629601E-3</c:v>
                </c:pt>
                <c:pt idx="48">
                  <c:v>-8.3773437314083098E-4</c:v>
                </c:pt>
                <c:pt idx="49">
                  <c:v>6.1662985083314802E-4</c:v>
                </c:pt>
                <c:pt idx="50">
                  <c:v>1.0853681051937001E-3</c:v>
                </c:pt>
                <c:pt idx="51">
                  <c:v>-5.5789724905099404E-4</c:v>
                </c:pt>
                <c:pt idx="52">
                  <c:v>7.4137102349259101E-4</c:v>
                </c:pt>
                <c:pt idx="53">
                  <c:v>6.4192211976834396E-4</c:v>
                </c:pt>
                <c:pt idx="54">
                  <c:v>1.44879166321855E-3</c:v>
                </c:pt>
                <c:pt idx="55">
                  <c:v>1.89427986517295E-3</c:v>
                </c:pt>
                <c:pt idx="56">
                  <c:v>1.31164565500579E-3</c:v>
                </c:pt>
                <c:pt idx="57">
                  <c:v>1.3108690988964801E-3</c:v>
                </c:pt>
                <c:pt idx="58">
                  <c:v>-3.5863271192196903E-4</c:v>
                </c:pt>
                <c:pt idx="59">
                  <c:v>6.4722408542902503E-4</c:v>
                </c:pt>
                <c:pt idx="60">
                  <c:v>1.7143609568797701E-4</c:v>
                </c:pt>
                <c:pt idx="61">
                  <c:v>-5.8507731059802997E-4</c:v>
                </c:pt>
                <c:pt idx="62">
                  <c:v>-1.21941561471766E-3</c:v>
                </c:pt>
                <c:pt idx="63">
                  <c:v>-2.0405890632757E-3</c:v>
                </c:pt>
                <c:pt idx="64">
                  <c:v>-2.12831998193448E-3</c:v>
                </c:pt>
                <c:pt idx="65">
                  <c:v>-1.3474830331302E-3</c:v>
                </c:pt>
                <c:pt idx="66">
                  <c:v>-9.5404000195990302E-4</c:v>
                </c:pt>
                <c:pt idx="67">
                  <c:v>-1.9854053384720498E-3</c:v>
                </c:pt>
                <c:pt idx="68">
                  <c:v>-1.3686384386030999E-3</c:v>
                </c:pt>
                <c:pt idx="69">
                  <c:v>-5.3069293221777599E-4</c:v>
                </c:pt>
                <c:pt idx="70">
                  <c:v>-7.0048124214607997E-4</c:v>
                </c:pt>
                <c:pt idx="71">
                  <c:v>-1.27853652883121E-3</c:v>
                </c:pt>
                <c:pt idx="72">
                  <c:v>-7.0735052765165797E-4</c:v>
                </c:pt>
                <c:pt idx="73">
                  <c:v>-2.74845418026748E-4</c:v>
                </c:pt>
                <c:pt idx="74">
                  <c:v>-4.2197953486790502E-4</c:v>
                </c:pt>
                <c:pt idx="75">
                  <c:v>-2.3518672128543399E-4</c:v>
                </c:pt>
                <c:pt idx="76">
                  <c:v>-6.0491593038743303E-4</c:v>
                </c:pt>
                <c:pt idx="77">
                  <c:v>2.74247785459063E-4</c:v>
                </c:pt>
                <c:pt idx="78">
                  <c:v>6.2011624525440303E-4</c:v>
                </c:pt>
                <c:pt idx="79">
                  <c:v>8.5063103051666105E-4</c:v>
                </c:pt>
                <c:pt idx="80">
                  <c:v>-5.1435105302963301E-4</c:v>
                </c:pt>
                <c:pt idx="81">
                  <c:v>-9.2925204713402497E-4</c:v>
                </c:pt>
                <c:pt idx="82">
                  <c:v>-2.37554341021818E-4</c:v>
                </c:pt>
                <c:pt idx="83">
                  <c:v>-1.2768051649646899E-4</c:v>
                </c:pt>
                <c:pt idx="84">
                  <c:v>4.39508264152933E-4</c:v>
                </c:pt>
                <c:pt idx="85">
                  <c:v>2.8380782902575502E-4</c:v>
                </c:pt>
                <c:pt idx="86">
                  <c:v>1.73015506137238E-3</c:v>
                </c:pt>
                <c:pt idx="87">
                  <c:v>1.73478547562074E-3</c:v>
                </c:pt>
                <c:pt idx="88">
                  <c:v>9.9818246276332594E-4</c:v>
                </c:pt>
                <c:pt idx="89">
                  <c:v>1.1045912686189199E-3</c:v>
                </c:pt>
                <c:pt idx="90">
                  <c:v>6.4845986522150305E-4</c:v>
                </c:pt>
                <c:pt idx="91">
                  <c:v>4.8472319550762599E-4</c:v>
                </c:pt>
                <c:pt idx="92">
                  <c:v>8.7843601154759005E-4</c:v>
                </c:pt>
                <c:pt idx="93">
                  <c:v>7.2104715966043998E-4</c:v>
                </c:pt>
                <c:pt idx="94">
                  <c:v>2.8763137329576398E-4</c:v>
                </c:pt>
                <c:pt idx="95">
                  <c:v>1.6858623314002701E-3</c:v>
                </c:pt>
                <c:pt idx="96">
                  <c:v>5.0883166426837995E-4</c:v>
                </c:pt>
                <c:pt idx="97">
                  <c:v>8.9435548281307402E-4</c:v>
                </c:pt>
                <c:pt idx="98">
                  <c:v>-4.2485785802237299E-4</c:v>
                </c:pt>
                <c:pt idx="99">
                  <c:v>-4.3103271604794703E-5</c:v>
                </c:pt>
                <c:pt idx="100">
                  <c:v>3.4307821245776099E-4</c:v>
                </c:pt>
                <c:pt idx="101">
                  <c:v>4.6280716808187798E-4</c:v>
                </c:pt>
                <c:pt idx="102">
                  <c:v>4.9430190345385898E-4</c:v>
                </c:pt>
                <c:pt idx="103">
                  <c:v>-5.9353544455352405E-4</c:v>
                </c:pt>
                <c:pt idx="104">
                  <c:v>-7.2272447038733401E-4</c:v>
                </c:pt>
                <c:pt idx="105">
                  <c:v>-9.1647228711366205E-4</c:v>
                </c:pt>
                <c:pt idx="106">
                  <c:v>-7.4894339887630597E-4</c:v>
                </c:pt>
                <c:pt idx="107">
                  <c:v>-2.6067874673728803E-4</c:v>
                </c:pt>
                <c:pt idx="108">
                  <c:v>3.32804344553919E-4</c:v>
                </c:pt>
                <c:pt idx="109">
                  <c:v>6.4031508877982501E-5</c:v>
                </c:pt>
                <c:pt idx="110">
                  <c:v>5.3244821596230298E-4</c:v>
                </c:pt>
                <c:pt idx="111">
                  <c:v>5.4244841199409895E-4</c:v>
                </c:pt>
                <c:pt idx="112">
                  <c:v>6.9669998038167304E-4</c:v>
                </c:pt>
                <c:pt idx="113">
                  <c:v>1.4196346663186499E-3</c:v>
                </c:pt>
                <c:pt idx="114">
                  <c:v>1.75064205682833E-3</c:v>
                </c:pt>
                <c:pt idx="115">
                  <c:v>1.7391881708470999E-3</c:v>
                </c:pt>
                <c:pt idx="116">
                  <c:v>7.2468969120243398E-4</c:v>
                </c:pt>
                <c:pt idx="117">
                  <c:v>1.19090183793557E-3</c:v>
                </c:pt>
                <c:pt idx="118">
                  <c:v>3.4237709573859602E-4</c:v>
                </c:pt>
                <c:pt idx="119">
                  <c:v>-1.1851589502996601E-5</c:v>
                </c:pt>
                <c:pt idx="120">
                  <c:v>-5.3480124247237497E-4</c:v>
                </c:pt>
                <c:pt idx="121">
                  <c:v>-1.3041020768812301E-4</c:v>
                </c:pt>
                <c:pt idx="122">
                  <c:v>4.9202343792259496E-4</c:v>
                </c:pt>
                <c:pt idx="123">
                  <c:v>-2.42749936494404E-4</c:v>
                </c:pt>
                <c:pt idx="124">
                  <c:v>-1.09599863337258E-4</c:v>
                </c:pt>
                <c:pt idx="125">
                  <c:v>6.9969749951811404E-4</c:v>
                </c:pt>
                <c:pt idx="126">
                  <c:v>-1.1609450986229099E-4</c:v>
                </c:pt>
                <c:pt idx="127">
                  <c:v>1.0946467585732601E-3</c:v>
                </c:pt>
                <c:pt idx="128">
                  <c:v>4.2379518994211898E-4</c:v>
                </c:pt>
                <c:pt idx="129">
                  <c:v>1.29759349607799E-3</c:v>
                </c:pt>
                <c:pt idx="130">
                  <c:v>2.4266319772504299E-4</c:v>
                </c:pt>
                <c:pt idx="131">
                  <c:v>2.91184660695128E-4</c:v>
                </c:pt>
                <c:pt idx="132">
                  <c:v>1.3637353922828E-3</c:v>
                </c:pt>
                <c:pt idx="133">
                  <c:v>8.3966935673004798E-4</c:v>
                </c:pt>
                <c:pt idx="134">
                  <c:v>1.0064347628077599E-3</c:v>
                </c:pt>
                <c:pt idx="135">
                  <c:v>-3.01532695470225E-4</c:v>
                </c:pt>
                <c:pt idx="136">
                  <c:v>-3.9886424275023003E-5</c:v>
                </c:pt>
                <c:pt idx="137">
                  <c:v>-6.2649358000977599E-4</c:v>
                </c:pt>
                <c:pt idx="138">
                  <c:v>-8.5814535387510201E-4</c:v>
                </c:pt>
                <c:pt idx="139">
                  <c:v>-4.6758125664318702E-4</c:v>
                </c:pt>
                <c:pt idx="140">
                  <c:v>-2.0085718978991298E-3</c:v>
                </c:pt>
                <c:pt idx="141">
                  <c:v>-6.9389853759230301E-4</c:v>
                </c:pt>
                <c:pt idx="142">
                  <c:v>-1.18871388272028E-3</c:v>
                </c:pt>
                <c:pt idx="143">
                  <c:v>-7.3058762890275799E-4</c:v>
                </c:pt>
                <c:pt idx="144">
                  <c:v>-1.2995480541530601E-3</c:v>
                </c:pt>
                <c:pt idx="145">
                  <c:v>-7.8405057896489599E-4</c:v>
                </c:pt>
                <c:pt idx="146">
                  <c:v>-6.9741312266949698E-4</c:v>
                </c:pt>
                <c:pt idx="147">
                  <c:v>-5.1803457291681296E-4</c:v>
                </c:pt>
                <c:pt idx="148">
                  <c:v>-1.5085090101332199E-3</c:v>
                </c:pt>
                <c:pt idx="149">
                  <c:v>-1.4755352032932499E-3</c:v>
                </c:pt>
                <c:pt idx="150">
                  <c:v>7.8530571358399997E-4</c:v>
                </c:pt>
                <c:pt idx="151">
                  <c:v>1.04849766122889E-3</c:v>
                </c:pt>
                <c:pt idx="152">
                  <c:v>-5.7638183398245996E-4</c:v>
                </c:pt>
                <c:pt idx="153">
                  <c:v>1.08587012293489E-3</c:v>
                </c:pt>
                <c:pt idx="154">
                  <c:v>9.2091128332598199E-4</c:v>
                </c:pt>
                <c:pt idx="155">
                  <c:v>3.6127989164954602E-4</c:v>
                </c:pt>
                <c:pt idx="156">
                  <c:v>-7.7075302264456797E-4</c:v>
                </c:pt>
                <c:pt idx="157">
                  <c:v>-1.49374217383893E-4</c:v>
                </c:pt>
                <c:pt idx="158">
                  <c:v>2.0443606392645001E-5</c:v>
                </c:pt>
                <c:pt idx="159">
                  <c:v>-4.2878129846269698E-4</c:v>
                </c:pt>
                <c:pt idx="160">
                  <c:v>-4.5662615660805298E-4</c:v>
                </c:pt>
                <c:pt idx="161">
                  <c:v>1.85853920594115E-4</c:v>
                </c:pt>
                <c:pt idx="162">
                  <c:v>-4.7949793126467497E-4</c:v>
                </c:pt>
                <c:pt idx="163">
                  <c:v>-4.9687633067393901E-4</c:v>
                </c:pt>
                <c:pt idx="164">
                  <c:v>-1.7442890799172699E-4</c:v>
                </c:pt>
                <c:pt idx="165">
                  <c:v>-1.14705562479646E-4</c:v>
                </c:pt>
                <c:pt idx="166">
                  <c:v>8.2624471432370702E-4</c:v>
                </c:pt>
                <c:pt idx="167">
                  <c:v>1.06313564958782E-4</c:v>
                </c:pt>
                <c:pt idx="168">
                  <c:v>-5.22239321818889E-4</c:v>
                </c:pt>
                <c:pt idx="169">
                  <c:v>-4.8291109430371402E-4</c:v>
                </c:pt>
                <c:pt idx="170">
                  <c:v>-1.90532742764302E-3</c:v>
                </c:pt>
                <c:pt idx="171">
                  <c:v>-1.87177424381526E-3</c:v>
                </c:pt>
                <c:pt idx="172">
                  <c:v>-2.0778957425138999E-3</c:v>
                </c:pt>
                <c:pt idx="173">
                  <c:v>-5.0601805425615405E-4</c:v>
                </c:pt>
                <c:pt idx="174">
                  <c:v>-1.23573083692672E-3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A-4BC4-B0F3-5938EDBAD9D2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FALN* x 20 dma / ANGL*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9.4008669895692004E-4</c:v>
                </c:pt>
                <c:pt idx="21">
                  <c:v>1.1623226593794501E-3</c:v>
                </c:pt>
                <c:pt idx="22">
                  <c:v>6.5311025466063897E-4</c:v>
                </c:pt>
                <c:pt idx="23">
                  <c:v>4.64185162690021E-4</c:v>
                </c:pt>
                <c:pt idx="24">
                  <c:v>-8.3713177114409505E-4</c:v>
                </c:pt>
                <c:pt idx="25">
                  <c:v>-3.6029939758219499E-4</c:v>
                </c:pt>
                <c:pt idx="26">
                  <c:v>-6.6089529713802696E-4</c:v>
                </c:pt>
                <c:pt idx="27">
                  <c:v>-1.9347353330077201E-3</c:v>
                </c:pt>
                <c:pt idx="28">
                  <c:v>-2.1275570898010398E-3</c:v>
                </c:pt>
                <c:pt idx="29">
                  <c:v>-2.28609870953313E-3</c:v>
                </c:pt>
                <c:pt idx="30">
                  <c:v>-1.8906832298471699E-3</c:v>
                </c:pt>
                <c:pt idx="31">
                  <c:v>-9.8802367667277097E-4</c:v>
                </c:pt>
                <c:pt idx="32">
                  <c:v>-1.56051255074334E-3</c:v>
                </c:pt>
                <c:pt idx="33">
                  <c:v>-1.82827116444361E-3</c:v>
                </c:pt>
                <c:pt idx="34">
                  <c:v>-1.5024988072258299E-3</c:v>
                </c:pt>
                <c:pt idx="35">
                  <c:v>-1.7851988289997499E-3</c:v>
                </c:pt>
                <c:pt idx="36">
                  <c:v>-9.4199565859103495E-4</c:v>
                </c:pt>
                <c:pt idx="37">
                  <c:v>-1.0668034002825E-4</c:v>
                </c:pt>
                <c:pt idx="38">
                  <c:v>1.2975638029625599E-4</c:v>
                </c:pt>
                <c:pt idx="39">
                  <c:v>-1.90346943324212E-3</c:v>
                </c:pt>
                <c:pt idx="40">
                  <c:v>-7.4192936979853696E-4</c:v>
                </c:pt>
                <c:pt idx="41">
                  <c:v>-2.3051370605644701E-5</c:v>
                </c:pt>
                <c:pt idx="42">
                  <c:v>1.0877137018741199E-3</c:v>
                </c:pt>
                <c:pt idx="43">
                  <c:v>-4.2233724596140099E-4</c:v>
                </c:pt>
                <c:pt idx="44">
                  <c:v>7.3536817489841305E-4</c:v>
                </c:pt>
                <c:pt idx="45">
                  <c:v>2.4835827944085501E-4</c:v>
                </c:pt>
                <c:pt idx="46">
                  <c:v>4.58884511360955E-5</c:v>
                </c:pt>
                <c:pt idx="47">
                  <c:v>-7.9024680028958697E-4</c:v>
                </c:pt>
                <c:pt idx="48">
                  <c:v>-6.5275838643017901E-4</c:v>
                </c:pt>
                <c:pt idx="49">
                  <c:v>6.5274730592447896E-4</c:v>
                </c:pt>
                <c:pt idx="50">
                  <c:v>1.23813204680639E-3</c:v>
                </c:pt>
                <c:pt idx="51">
                  <c:v>-3.4040682419855502E-4</c:v>
                </c:pt>
                <c:pt idx="52">
                  <c:v>9.3074321050514201E-4</c:v>
                </c:pt>
                <c:pt idx="53">
                  <c:v>7.3458486261737904E-4</c:v>
                </c:pt>
                <c:pt idx="54">
                  <c:v>1.5754108417744301E-3</c:v>
                </c:pt>
                <c:pt idx="55">
                  <c:v>2.0082051957196201E-3</c:v>
                </c:pt>
                <c:pt idx="56">
                  <c:v>1.47100179126198E-3</c:v>
                </c:pt>
                <c:pt idx="57">
                  <c:v>1.55944395315117E-3</c:v>
                </c:pt>
                <c:pt idx="58">
                  <c:v>1.1338138741788401E-4</c:v>
                </c:pt>
                <c:pt idx="59">
                  <c:v>1.2710454672021599E-3</c:v>
                </c:pt>
                <c:pt idx="60">
                  <c:v>7.6808433301354397E-4</c:v>
                </c:pt>
                <c:pt idx="61">
                  <c:v>-4.8762695996571498E-5</c:v>
                </c:pt>
                <c:pt idx="62">
                  <c:v>-6.00650286203926E-4</c:v>
                </c:pt>
                <c:pt idx="63">
                  <c:v>-1.44009838435934E-3</c:v>
                </c:pt>
                <c:pt idx="64">
                  <c:v>-1.65508907828773E-3</c:v>
                </c:pt>
                <c:pt idx="65">
                  <c:v>-1.05261704896732E-3</c:v>
                </c:pt>
                <c:pt idx="66">
                  <c:v>-8.9000651593098602E-4</c:v>
                </c:pt>
                <c:pt idx="67">
                  <c:v>-2.1200160046136499E-3</c:v>
                </c:pt>
                <c:pt idx="68">
                  <c:v>-1.8269010917718301E-3</c:v>
                </c:pt>
                <c:pt idx="69">
                  <c:v>-1.15645816666392E-3</c:v>
                </c:pt>
                <c:pt idx="70">
                  <c:v>-1.51140344513592E-3</c:v>
                </c:pt>
                <c:pt idx="71">
                  <c:v>-2.2279242032009899E-3</c:v>
                </c:pt>
                <c:pt idx="72">
                  <c:v>-1.8385052878532001E-3</c:v>
                </c:pt>
                <c:pt idx="73">
                  <c:v>-1.4572829554347E-3</c:v>
                </c:pt>
                <c:pt idx="74">
                  <c:v>-1.56030787090308E-3</c:v>
                </c:pt>
                <c:pt idx="75">
                  <c:v>-1.27057750279477E-3</c:v>
                </c:pt>
                <c:pt idx="76">
                  <c:v>-1.5557634957749601E-3</c:v>
                </c:pt>
                <c:pt idx="77">
                  <c:v>-6.4742409419828997E-4</c:v>
                </c:pt>
                <c:pt idx="78">
                  <c:v>-1.02667231473503E-4</c:v>
                </c:pt>
                <c:pt idx="79">
                  <c:v>2.5125724463603399E-4</c:v>
                </c:pt>
                <c:pt idx="80">
                  <c:v>-9.8329639448726993E-4</c:v>
                </c:pt>
                <c:pt idx="81">
                  <c:v>-1.3111999196191899E-3</c:v>
                </c:pt>
                <c:pt idx="82">
                  <c:v>-5.1065255808889801E-4</c:v>
                </c:pt>
                <c:pt idx="83">
                  <c:v>-3.1706872076390602E-4</c:v>
                </c:pt>
                <c:pt idx="84">
                  <c:v>2.6855926237149202E-4</c:v>
                </c:pt>
                <c:pt idx="85">
                  <c:v>1.6740877302241501E-4</c:v>
                </c:pt>
                <c:pt idx="86">
                  <c:v>1.67602191869672E-3</c:v>
                </c:pt>
                <c:pt idx="87">
                  <c:v>1.8695982342485499E-3</c:v>
                </c:pt>
                <c:pt idx="88">
                  <c:v>1.1986737548902299E-3</c:v>
                </c:pt>
                <c:pt idx="89">
                  <c:v>1.3168887217598799E-3</c:v>
                </c:pt>
                <c:pt idx="90">
                  <c:v>8.8555957714216496E-4</c:v>
                </c:pt>
                <c:pt idx="91">
                  <c:v>8.4132951698545698E-4</c:v>
                </c:pt>
                <c:pt idx="92">
                  <c:v>1.3622741294771301E-3</c:v>
                </c:pt>
                <c:pt idx="93">
                  <c:v>1.3129673720906701E-3</c:v>
                </c:pt>
                <c:pt idx="94">
                  <c:v>9.9285860698265891E-4</c:v>
                </c:pt>
                <c:pt idx="95">
                  <c:v>2.4280717388578E-3</c:v>
                </c:pt>
                <c:pt idx="96">
                  <c:v>1.38112057775385E-3</c:v>
                </c:pt>
                <c:pt idx="97">
                  <c:v>1.68140884559618E-3</c:v>
                </c:pt>
                <c:pt idx="98">
                  <c:v>3.12352921364791E-4</c:v>
                </c:pt>
                <c:pt idx="99">
                  <c:v>6.5769616932924001E-4</c:v>
                </c:pt>
                <c:pt idx="100">
                  <c:v>1.02263529867352E-3</c:v>
                </c:pt>
                <c:pt idx="101">
                  <c:v>1.11315251095131E-3</c:v>
                </c:pt>
                <c:pt idx="102">
                  <c:v>1.10212752828149E-3</c:v>
                </c:pt>
                <c:pt idx="103">
                  <c:v>-4.8389586637226102E-5</c:v>
                </c:pt>
                <c:pt idx="104">
                  <c:v>-2.9051967067140002E-4</c:v>
                </c:pt>
                <c:pt idx="105">
                  <c:v>-5.5453618835455895E-4</c:v>
                </c:pt>
                <c:pt idx="106">
                  <c:v>-6.2526580788787396E-4</c:v>
                </c:pt>
                <c:pt idx="107">
                  <c:v>-2.1365814527672601E-4</c:v>
                </c:pt>
                <c:pt idx="108">
                  <c:v>2.9015722013838802E-4</c:v>
                </c:pt>
                <c:pt idx="109">
                  <c:v>5.2460033981366002E-5</c:v>
                </c:pt>
                <c:pt idx="110">
                  <c:v>5.1240339424082502E-4</c:v>
                </c:pt>
                <c:pt idx="111">
                  <c:v>4.7719015957657098E-4</c:v>
                </c:pt>
                <c:pt idx="112">
                  <c:v>5.6497278555667598E-4</c:v>
                </c:pt>
                <c:pt idx="113">
                  <c:v>1.24330703654664E-3</c:v>
                </c:pt>
                <c:pt idx="114">
                  <c:v>1.66851908911779E-3</c:v>
                </c:pt>
                <c:pt idx="115">
                  <c:v>1.7797742307551099E-3</c:v>
                </c:pt>
                <c:pt idx="116">
                  <c:v>9.9604002695224806E-4</c:v>
                </c:pt>
                <c:pt idx="117">
                  <c:v>1.61368800036061E-3</c:v>
                </c:pt>
                <c:pt idx="118">
                  <c:v>9.33138015031623E-4</c:v>
                </c:pt>
                <c:pt idx="119">
                  <c:v>6.0486133732339398E-4</c:v>
                </c:pt>
                <c:pt idx="120">
                  <c:v>1.3564238013769601E-4</c:v>
                </c:pt>
                <c:pt idx="121">
                  <c:v>5.4624574823157598E-4</c:v>
                </c:pt>
                <c:pt idx="122">
                  <c:v>1.20526425943837E-3</c:v>
                </c:pt>
                <c:pt idx="123">
                  <c:v>5.3466593282520405E-4</c:v>
                </c:pt>
                <c:pt idx="124">
                  <c:v>5.7936022947916604E-4</c:v>
                </c:pt>
                <c:pt idx="125">
                  <c:v>1.24903495244571E-3</c:v>
                </c:pt>
                <c:pt idx="126">
                  <c:v>2.9931097587176302E-4</c:v>
                </c:pt>
                <c:pt idx="127">
                  <c:v>1.4086561691721499E-3</c:v>
                </c:pt>
                <c:pt idx="128">
                  <c:v>6.4948566128314098E-4</c:v>
                </c:pt>
                <c:pt idx="129">
                  <c:v>1.4903550975846199E-3</c:v>
                </c:pt>
                <c:pt idx="130">
                  <c:v>4.62250274257435E-4</c:v>
                </c:pt>
                <c:pt idx="131">
                  <c:v>5.5796989201045797E-4</c:v>
                </c:pt>
                <c:pt idx="132">
                  <c:v>1.64427333601913E-3</c:v>
                </c:pt>
                <c:pt idx="133">
                  <c:v>1.1307287198285101E-3</c:v>
                </c:pt>
                <c:pt idx="134">
                  <c:v>1.38616166231803E-3</c:v>
                </c:pt>
                <c:pt idx="135">
                  <c:v>1.96151531164854E-4</c:v>
                </c:pt>
                <c:pt idx="136">
                  <c:v>4.54548467771093E-4</c:v>
                </c:pt>
                <c:pt idx="137">
                  <c:v>-7.8248318379722096E-5</c:v>
                </c:pt>
                <c:pt idx="138">
                  <c:v>-3.6774840015142598E-4</c:v>
                </c:pt>
                <c:pt idx="139">
                  <c:v>-1.8917594130997E-5</c:v>
                </c:pt>
                <c:pt idx="140">
                  <c:v>-1.6880751082238301E-3</c:v>
                </c:pt>
                <c:pt idx="141">
                  <c:v>-5.1490021833115501E-4</c:v>
                </c:pt>
                <c:pt idx="142">
                  <c:v>-1.08885936293737E-3</c:v>
                </c:pt>
                <c:pt idx="143">
                  <c:v>-8.1995348206910696E-4</c:v>
                </c:pt>
                <c:pt idx="144">
                  <c:v>-1.55954269336674E-3</c:v>
                </c:pt>
                <c:pt idx="145">
                  <c:v>-1.2789920958714499E-3</c:v>
                </c:pt>
                <c:pt idx="146">
                  <c:v>-1.2656404939320001E-3</c:v>
                </c:pt>
                <c:pt idx="147">
                  <c:v>-1.2291347363459801E-3</c:v>
                </c:pt>
                <c:pt idx="148">
                  <c:v>-2.2540266471583301E-3</c:v>
                </c:pt>
                <c:pt idx="149">
                  <c:v>-2.31303333086426E-3</c:v>
                </c:pt>
                <c:pt idx="150">
                  <c:v>-1.4289281311883901E-4</c:v>
                </c:pt>
                <c:pt idx="151">
                  <c:v>2.47614856250497E-4</c:v>
                </c:pt>
                <c:pt idx="152">
                  <c:v>-1.3389351261644199E-3</c:v>
                </c:pt>
                <c:pt idx="153">
                  <c:v>3.9521847600278799E-4</c:v>
                </c:pt>
                <c:pt idx="154">
                  <c:v>3.3933526190654502E-4</c:v>
                </c:pt>
                <c:pt idx="155">
                  <c:v>-2.62936643972012E-5</c:v>
                </c:pt>
                <c:pt idx="156">
                  <c:v>-1.0662289131476801E-3</c:v>
                </c:pt>
                <c:pt idx="157">
                  <c:v>-3.8840834207444199E-4</c:v>
                </c:pt>
                <c:pt idx="158">
                  <c:v>-1.58377926552624E-4</c:v>
                </c:pt>
                <c:pt idx="159">
                  <c:v>-4.4188514387758101E-4</c:v>
                </c:pt>
                <c:pt idx="160">
                  <c:v>-2.8445482987064303E-4</c:v>
                </c:pt>
                <c:pt idx="161">
                  <c:v>2.6631612341431198E-4</c:v>
                </c:pt>
                <c:pt idx="162">
                  <c:v>-4.4109709947190098E-4</c:v>
                </c:pt>
                <c:pt idx="163">
                  <c:v>-4.0411152826335501E-4</c:v>
                </c:pt>
                <c:pt idx="164">
                  <c:v>-1.7322617495449399E-4</c:v>
                </c:pt>
                <c:pt idx="165">
                  <c:v>-2.20951115526787E-4</c:v>
                </c:pt>
                <c:pt idx="166">
                  <c:v>6.6709213972132402E-4</c:v>
                </c:pt>
                <c:pt idx="167">
                  <c:v>4.4308169293147802E-5</c:v>
                </c:pt>
                <c:pt idx="168">
                  <c:v>-5.7218821795540498E-4</c:v>
                </c:pt>
                <c:pt idx="169">
                  <c:v>-6.2358635238835198E-4</c:v>
                </c:pt>
                <c:pt idx="170">
                  <c:v>-2.1138487012760799E-3</c:v>
                </c:pt>
                <c:pt idx="171">
                  <c:v>-2.1287763702147501E-3</c:v>
                </c:pt>
                <c:pt idx="172">
                  <c:v>-2.4284469749142499E-3</c:v>
                </c:pt>
                <c:pt idx="173">
                  <c:v>-9.8028213856302896E-4</c:v>
                </c:pt>
                <c:pt idx="174">
                  <c:v>-1.6880565349842E-3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A-4BC4-B0F3-5938EDBAD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ANGL*/FALN*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1.0748179428614399</c:v>
                </c:pt>
                <c:pt idx="1">
                  <c:v>1.0748179428614399</c:v>
                </c:pt>
                <c:pt idx="2">
                  <c:v>1.0748179428614399</c:v>
                </c:pt>
                <c:pt idx="3">
                  <c:v>1.0748179428614399</c:v>
                </c:pt>
                <c:pt idx="4">
                  <c:v>1.0748179428614399</c:v>
                </c:pt>
                <c:pt idx="5">
                  <c:v>1.0748179428614399</c:v>
                </c:pt>
                <c:pt idx="6">
                  <c:v>1.0748179428614399</c:v>
                </c:pt>
                <c:pt idx="7">
                  <c:v>1.0748179428614399</c:v>
                </c:pt>
                <c:pt idx="8">
                  <c:v>1.0748179428614399</c:v>
                </c:pt>
                <c:pt idx="9">
                  <c:v>1.0748179428614399</c:v>
                </c:pt>
                <c:pt idx="10">
                  <c:v>1.0748179428614399</c:v>
                </c:pt>
                <c:pt idx="11">
                  <c:v>1.0748179428614399</c:v>
                </c:pt>
                <c:pt idx="12">
                  <c:v>1.0748179428614399</c:v>
                </c:pt>
                <c:pt idx="13">
                  <c:v>1.0748179428614399</c:v>
                </c:pt>
                <c:pt idx="14">
                  <c:v>1.0748179428614399</c:v>
                </c:pt>
                <c:pt idx="15">
                  <c:v>1.0748179428614399</c:v>
                </c:pt>
                <c:pt idx="16">
                  <c:v>1.0748179428614399</c:v>
                </c:pt>
                <c:pt idx="17">
                  <c:v>1.0748179428614399</c:v>
                </c:pt>
                <c:pt idx="18">
                  <c:v>1.0748179428614399</c:v>
                </c:pt>
                <c:pt idx="19">
                  <c:v>1.0748179428614399</c:v>
                </c:pt>
                <c:pt idx="20">
                  <c:v>1.0748179428614399</c:v>
                </c:pt>
                <c:pt idx="21">
                  <c:v>1.0748179428614399</c:v>
                </c:pt>
                <c:pt idx="22">
                  <c:v>1.0748179428614399</c:v>
                </c:pt>
                <c:pt idx="23">
                  <c:v>1.0748179428614399</c:v>
                </c:pt>
                <c:pt idx="24">
                  <c:v>1.0748179428614399</c:v>
                </c:pt>
                <c:pt idx="25">
                  <c:v>1.0748179428614399</c:v>
                </c:pt>
                <c:pt idx="26">
                  <c:v>1.0748179428614399</c:v>
                </c:pt>
                <c:pt idx="27">
                  <c:v>1.0748179428614399</c:v>
                </c:pt>
                <c:pt idx="28">
                  <c:v>1.0748179428614399</c:v>
                </c:pt>
                <c:pt idx="29">
                  <c:v>1.0748179428614399</c:v>
                </c:pt>
                <c:pt idx="30">
                  <c:v>1.0748179428614399</c:v>
                </c:pt>
                <c:pt idx="31">
                  <c:v>1.0748179428614399</c:v>
                </c:pt>
                <c:pt idx="32">
                  <c:v>1.0748179428614399</c:v>
                </c:pt>
                <c:pt idx="33">
                  <c:v>1.0748179428614399</c:v>
                </c:pt>
                <c:pt idx="34">
                  <c:v>1.0748179428614399</c:v>
                </c:pt>
                <c:pt idx="35">
                  <c:v>1.0748179428614399</c:v>
                </c:pt>
                <c:pt idx="36">
                  <c:v>1.0748179428614399</c:v>
                </c:pt>
                <c:pt idx="37">
                  <c:v>1.0748179428614399</c:v>
                </c:pt>
                <c:pt idx="38">
                  <c:v>1.0748179428614399</c:v>
                </c:pt>
                <c:pt idx="39">
                  <c:v>1.0748179428614399</c:v>
                </c:pt>
                <c:pt idx="40">
                  <c:v>1.0748179428614399</c:v>
                </c:pt>
                <c:pt idx="41">
                  <c:v>1.0748179428614399</c:v>
                </c:pt>
                <c:pt idx="42">
                  <c:v>1.0748179428614399</c:v>
                </c:pt>
                <c:pt idx="43">
                  <c:v>1.0748179428614399</c:v>
                </c:pt>
                <c:pt idx="44">
                  <c:v>1.0748179428614399</c:v>
                </c:pt>
                <c:pt idx="45">
                  <c:v>1.0748179428614399</c:v>
                </c:pt>
                <c:pt idx="46">
                  <c:v>1.0748179428614399</c:v>
                </c:pt>
                <c:pt idx="47">
                  <c:v>1.0748179428614399</c:v>
                </c:pt>
                <c:pt idx="48">
                  <c:v>1.0748179428614399</c:v>
                </c:pt>
                <c:pt idx="49">
                  <c:v>1.0748179428614399</c:v>
                </c:pt>
                <c:pt idx="50">
                  <c:v>1.0748179428614399</c:v>
                </c:pt>
                <c:pt idx="51">
                  <c:v>1.0748179428614399</c:v>
                </c:pt>
                <c:pt idx="52">
                  <c:v>1.0748179428614399</c:v>
                </c:pt>
                <c:pt idx="53">
                  <c:v>1.0748179428614399</c:v>
                </c:pt>
                <c:pt idx="54">
                  <c:v>1.0748179428614399</c:v>
                </c:pt>
                <c:pt idx="55">
                  <c:v>1.0748179428614399</c:v>
                </c:pt>
                <c:pt idx="56">
                  <c:v>1.0748179428614399</c:v>
                </c:pt>
                <c:pt idx="57">
                  <c:v>1.0748179428614399</c:v>
                </c:pt>
                <c:pt idx="58">
                  <c:v>1.0748179428614399</c:v>
                </c:pt>
                <c:pt idx="59">
                  <c:v>1.0748179428614399</c:v>
                </c:pt>
                <c:pt idx="60">
                  <c:v>1.0748179428614399</c:v>
                </c:pt>
                <c:pt idx="61">
                  <c:v>1.0748179428614399</c:v>
                </c:pt>
                <c:pt idx="62">
                  <c:v>1.0748179428614399</c:v>
                </c:pt>
                <c:pt idx="63">
                  <c:v>1.0748179428614399</c:v>
                </c:pt>
                <c:pt idx="64">
                  <c:v>1.0748179428614399</c:v>
                </c:pt>
                <c:pt idx="65">
                  <c:v>1.0748179428614399</c:v>
                </c:pt>
                <c:pt idx="66">
                  <c:v>1.0748179428614399</c:v>
                </c:pt>
                <c:pt idx="67">
                  <c:v>1.0748179428614399</c:v>
                </c:pt>
                <c:pt idx="68">
                  <c:v>1.0748179428614399</c:v>
                </c:pt>
                <c:pt idx="69">
                  <c:v>1.0748179428614399</c:v>
                </c:pt>
                <c:pt idx="70">
                  <c:v>1.0748179428614399</c:v>
                </c:pt>
                <c:pt idx="71">
                  <c:v>1.0748179428614399</c:v>
                </c:pt>
                <c:pt idx="72">
                  <c:v>1.0748179428614399</c:v>
                </c:pt>
                <c:pt idx="73">
                  <c:v>1.0748179428614399</c:v>
                </c:pt>
                <c:pt idx="74">
                  <c:v>1.0748179428614399</c:v>
                </c:pt>
                <c:pt idx="75">
                  <c:v>1.0748179428614399</c:v>
                </c:pt>
                <c:pt idx="76">
                  <c:v>1.0748179428614399</c:v>
                </c:pt>
                <c:pt idx="77">
                  <c:v>1.0748179428614399</c:v>
                </c:pt>
                <c:pt idx="78">
                  <c:v>1.0748179428614399</c:v>
                </c:pt>
                <c:pt idx="79">
                  <c:v>1.0748179428614399</c:v>
                </c:pt>
                <c:pt idx="80">
                  <c:v>1.0748179428614399</c:v>
                </c:pt>
                <c:pt idx="81">
                  <c:v>1.0748179428614399</c:v>
                </c:pt>
                <c:pt idx="82">
                  <c:v>1.0748179428614399</c:v>
                </c:pt>
                <c:pt idx="83">
                  <c:v>1.0748179428614399</c:v>
                </c:pt>
                <c:pt idx="84">
                  <c:v>1.0748179428614399</c:v>
                </c:pt>
                <c:pt idx="85">
                  <c:v>1.0748179428614399</c:v>
                </c:pt>
                <c:pt idx="86">
                  <c:v>1.0748179428614399</c:v>
                </c:pt>
                <c:pt idx="87">
                  <c:v>1.0748179428614399</c:v>
                </c:pt>
                <c:pt idx="88">
                  <c:v>1.0748179428614399</c:v>
                </c:pt>
                <c:pt idx="89">
                  <c:v>1.0748179428614399</c:v>
                </c:pt>
                <c:pt idx="90">
                  <c:v>1.0748179428614399</c:v>
                </c:pt>
                <c:pt idx="91">
                  <c:v>1.0748179428614399</c:v>
                </c:pt>
                <c:pt idx="92">
                  <c:v>1.0748179428614399</c:v>
                </c:pt>
                <c:pt idx="93">
                  <c:v>1.0748179428614399</c:v>
                </c:pt>
                <c:pt idx="94">
                  <c:v>1.0748179428614399</c:v>
                </c:pt>
                <c:pt idx="95">
                  <c:v>1.0748179428614399</c:v>
                </c:pt>
                <c:pt idx="96">
                  <c:v>1.0748179428614399</c:v>
                </c:pt>
                <c:pt idx="97">
                  <c:v>1.0748179428614399</c:v>
                </c:pt>
                <c:pt idx="98">
                  <c:v>1.0748179428614399</c:v>
                </c:pt>
                <c:pt idx="99">
                  <c:v>1.0748179428614399</c:v>
                </c:pt>
                <c:pt idx="100">
                  <c:v>1.0748179428614399</c:v>
                </c:pt>
                <c:pt idx="101">
                  <c:v>1.0748179428614399</c:v>
                </c:pt>
                <c:pt idx="102">
                  <c:v>1.0748179428614399</c:v>
                </c:pt>
                <c:pt idx="103">
                  <c:v>1.0748179428614399</c:v>
                </c:pt>
                <c:pt idx="104">
                  <c:v>1.0748179428614399</c:v>
                </c:pt>
                <c:pt idx="105">
                  <c:v>1.0748179428614399</c:v>
                </c:pt>
                <c:pt idx="106">
                  <c:v>1.0748179428614399</c:v>
                </c:pt>
                <c:pt idx="107">
                  <c:v>1.0748179428614399</c:v>
                </c:pt>
                <c:pt idx="108">
                  <c:v>1.0748179428614399</c:v>
                </c:pt>
                <c:pt idx="109">
                  <c:v>1.0748179428614399</c:v>
                </c:pt>
                <c:pt idx="110">
                  <c:v>1.0748179428614399</c:v>
                </c:pt>
                <c:pt idx="111">
                  <c:v>1.0748179428614399</c:v>
                </c:pt>
                <c:pt idx="112">
                  <c:v>1.0748179428614399</c:v>
                </c:pt>
                <c:pt idx="113">
                  <c:v>1.0748179428614399</c:v>
                </c:pt>
                <c:pt idx="114">
                  <c:v>1.0748179428614399</c:v>
                </c:pt>
                <c:pt idx="115">
                  <c:v>1.0748179428614399</c:v>
                </c:pt>
                <c:pt idx="116">
                  <c:v>1.0748179428614399</c:v>
                </c:pt>
                <c:pt idx="117">
                  <c:v>1.0748179428614399</c:v>
                </c:pt>
                <c:pt idx="118">
                  <c:v>1.0748179428614399</c:v>
                </c:pt>
                <c:pt idx="119">
                  <c:v>1.0748179428614399</c:v>
                </c:pt>
                <c:pt idx="120">
                  <c:v>1.0748179428614399</c:v>
                </c:pt>
                <c:pt idx="121">
                  <c:v>1.0748179428614399</c:v>
                </c:pt>
                <c:pt idx="122">
                  <c:v>1.0748179428614399</c:v>
                </c:pt>
                <c:pt idx="123">
                  <c:v>1.0748179428614399</c:v>
                </c:pt>
                <c:pt idx="124">
                  <c:v>1.0748179428614399</c:v>
                </c:pt>
                <c:pt idx="125">
                  <c:v>1.0748179428614399</c:v>
                </c:pt>
                <c:pt idx="126">
                  <c:v>1.0748179428614399</c:v>
                </c:pt>
                <c:pt idx="127">
                  <c:v>1.0748179428614399</c:v>
                </c:pt>
                <c:pt idx="128">
                  <c:v>1.0748179428614399</c:v>
                </c:pt>
                <c:pt idx="129">
                  <c:v>1.0748179428614399</c:v>
                </c:pt>
                <c:pt idx="130">
                  <c:v>1.0748179428614399</c:v>
                </c:pt>
                <c:pt idx="131">
                  <c:v>1.0748179428614399</c:v>
                </c:pt>
                <c:pt idx="132">
                  <c:v>1.0748179428614399</c:v>
                </c:pt>
                <c:pt idx="133">
                  <c:v>1.0748179428614399</c:v>
                </c:pt>
                <c:pt idx="134">
                  <c:v>1.0748179428614399</c:v>
                </c:pt>
                <c:pt idx="135">
                  <c:v>1.0748179428614399</c:v>
                </c:pt>
                <c:pt idx="136">
                  <c:v>1.0748179428614399</c:v>
                </c:pt>
                <c:pt idx="137">
                  <c:v>1.0748179428614399</c:v>
                </c:pt>
                <c:pt idx="138">
                  <c:v>1.0748179428614399</c:v>
                </c:pt>
                <c:pt idx="139">
                  <c:v>1.0748179428614399</c:v>
                </c:pt>
                <c:pt idx="140">
                  <c:v>1.0748179428614399</c:v>
                </c:pt>
                <c:pt idx="141">
                  <c:v>1.0748179428614399</c:v>
                </c:pt>
                <c:pt idx="142">
                  <c:v>1.0748179428614399</c:v>
                </c:pt>
                <c:pt idx="143">
                  <c:v>1.0748179428614399</c:v>
                </c:pt>
                <c:pt idx="144">
                  <c:v>1.0748179428614399</c:v>
                </c:pt>
                <c:pt idx="145">
                  <c:v>1.0748179428614399</c:v>
                </c:pt>
                <c:pt idx="146">
                  <c:v>1.0748179428614399</c:v>
                </c:pt>
                <c:pt idx="147">
                  <c:v>1.0748179428614399</c:v>
                </c:pt>
                <c:pt idx="148">
                  <c:v>1.0748179428614399</c:v>
                </c:pt>
                <c:pt idx="149">
                  <c:v>1.0748179428614399</c:v>
                </c:pt>
                <c:pt idx="150">
                  <c:v>1.0748179428614399</c:v>
                </c:pt>
                <c:pt idx="151">
                  <c:v>1.0748179428614399</c:v>
                </c:pt>
                <c:pt idx="152">
                  <c:v>1.0748179428614399</c:v>
                </c:pt>
                <c:pt idx="153">
                  <c:v>1.0748179428614399</c:v>
                </c:pt>
                <c:pt idx="154">
                  <c:v>1.0748179428614399</c:v>
                </c:pt>
                <c:pt idx="155">
                  <c:v>1.0748179428614399</c:v>
                </c:pt>
                <c:pt idx="156">
                  <c:v>1.0748179428614399</c:v>
                </c:pt>
                <c:pt idx="157">
                  <c:v>1.0748179428614399</c:v>
                </c:pt>
                <c:pt idx="158">
                  <c:v>1.0748179428614399</c:v>
                </c:pt>
                <c:pt idx="159">
                  <c:v>1.0748179428614399</c:v>
                </c:pt>
                <c:pt idx="160">
                  <c:v>1.0748179428614399</c:v>
                </c:pt>
                <c:pt idx="161">
                  <c:v>1.0748179428614399</c:v>
                </c:pt>
                <c:pt idx="162">
                  <c:v>1.0748179428614399</c:v>
                </c:pt>
                <c:pt idx="163">
                  <c:v>1.0748179428614399</c:v>
                </c:pt>
                <c:pt idx="164">
                  <c:v>1.0748179428614399</c:v>
                </c:pt>
                <c:pt idx="165">
                  <c:v>1.0748179428614399</c:v>
                </c:pt>
                <c:pt idx="166">
                  <c:v>1.0748179428614399</c:v>
                </c:pt>
                <c:pt idx="167">
                  <c:v>1.0748179428614399</c:v>
                </c:pt>
                <c:pt idx="168">
                  <c:v>1.0748179428614399</c:v>
                </c:pt>
                <c:pt idx="169">
                  <c:v>1.0748179428614399</c:v>
                </c:pt>
                <c:pt idx="170">
                  <c:v>1.0748179428614399</c:v>
                </c:pt>
                <c:pt idx="171">
                  <c:v>1.0748179428614399</c:v>
                </c:pt>
                <c:pt idx="172">
                  <c:v>1.0748179428614399</c:v>
                </c:pt>
                <c:pt idx="173">
                  <c:v>1.0748179428614399</c:v>
                </c:pt>
                <c:pt idx="174">
                  <c:v>1.0748179428614399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B-4FA2-9DA8-9C9C8B85C025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ANGL*/FALN*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1.07471589511613</c:v>
                </c:pt>
                <c:pt idx="10">
                  <c:v>1.0745882227993699</c:v>
                </c:pt>
                <c:pt idx="11">
                  <c:v>1.0744679284630201</c:v>
                </c:pt>
                <c:pt idx="12">
                  <c:v>1.07428986210039</c:v>
                </c:pt>
                <c:pt idx="13">
                  <c:v>1.07422365969592</c:v>
                </c:pt>
                <c:pt idx="14">
                  <c:v>1.0741737438752099</c:v>
                </c:pt>
                <c:pt idx="15">
                  <c:v>1.07416563230217</c:v>
                </c:pt>
                <c:pt idx="16">
                  <c:v>1.0741886506513101</c:v>
                </c:pt>
                <c:pt idx="17">
                  <c:v>1.0740636194528399</c:v>
                </c:pt>
                <c:pt idx="18">
                  <c:v>1.07390784366255</c:v>
                </c:pt>
                <c:pt idx="19">
                  <c:v>1.07382455008536</c:v>
                </c:pt>
                <c:pt idx="20">
                  <c:v>1.07370420700085</c:v>
                </c:pt>
                <c:pt idx="21">
                  <c:v>1.07356235658343</c:v>
                </c:pt>
                <c:pt idx="22">
                  <c:v>1.0734944015902299</c:v>
                </c:pt>
                <c:pt idx="23">
                  <c:v>1.07339815943721</c:v>
                </c:pt>
                <c:pt idx="24">
                  <c:v>1.0734254619249799</c:v>
                </c:pt>
                <c:pt idx="25">
                  <c:v>1.0734031017866901</c:v>
                </c:pt>
                <c:pt idx="26">
                  <c:v>1.0735310345559801</c:v>
                </c:pt>
                <c:pt idx="27">
                  <c:v>1.0737981788900499</c:v>
                </c:pt>
                <c:pt idx="28">
                  <c:v>1.07416836534976</c:v>
                </c:pt>
                <c:pt idx="29">
                  <c:v>1.0744911878886301</c:v>
                </c:pt>
                <c:pt idx="30">
                  <c:v>1.07478417712351</c:v>
                </c:pt>
                <c:pt idx="31">
                  <c:v>1.0750249430783401</c:v>
                </c:pt>
                <c:pt idx="32">
                  <c:v>1.0752906916846099</c:v>
                </c:pt>
                <c:pt idx="33">
                  <c:v>1.07558717783816</c:v>
                </c:pt>
                <c:pt idx="34">
                  <c:v>1.0757269877257001</c:v>
                </c:pt>
                <c:pt idx="35">
                  <c:v>1.0759579585665699</c:v>
                </c:pt>
                <c:pt idx="36">
                  <c:v>1.07607786765583</c:v>
                </c:pt>
                <c:pt idx="37">
                  <c:v>1.0759758305967599</c:v>
                </c:pt>
                <c:pt idx="38">
                  <c:v>1.0758287665544199</c:v>
                </c:pt>
                <c:pt idx="39">
                  <c:v>1.07588381367436</c:v>
                </c:pt>
                <c:pt idx="40">
                  <c:v>1.0758632964353001</c:v>
                </c:pt>
                <c:pt idx="41">
                  <c:v>1.0758675393839201</c:v>
                </c:pt>
                <c:pt idx="42">
                  <c:v>1.07569810861241</c:v>
                </c:pt>
                <c:pt idx="43">
                  <c:v>1.0756571179282901</c:v>
                </c:pt>
                <c:pt idx="44">
                  <c:v>1.07552943335958</c:v>
                </c:pt>
                <c:pt idx="45">
                  <c:v>1.0754159165772199</c:v>
                </c:pt>
                <c:pt idx="46">
                  <c:v>1.0754103391337</c:v>
                </c:pt>
                <c:pt idx="47">
                  <c:v>1.0755778816325099</c:v>
                </c:pt>
                <c:pt idx="48">
                  <c:v>1.07575105837003</c:v>
                </c:pt>
                <c:pt idx="49">
                  <c:v>1.07555517647668</c:v>
                </c:pt>
                <c:pt idx="50">
                  <c:v>1.0753954691282299</c:v>
                </c:pt>
                <c:pt idx="51">
                  <c:v>1.07546017632225</c:v>
                </c:pt>
                <c:pt idx="52">
                  <c:v>1.0754987820433299</c:v>
                </c:pt>
                <c:pt idx="53">
                  <c:v>1.07538477201361</c:v>
                </c:pt>
                <c:pt idx="54">
                  <c:v>1.0752844151381</c:v>
                </c:pt>
                <c:pt idx="55">
                  <c:v>1.0750732502362501</c:v>
                </c:pt>
                <c:pt idx="56">
                  <c:v>1.0748758984725799</c:v>
                </c:pt>
                <c:pt idx="57">
                  <c:v>1.0745632242001399</c:v>
                </c:pt>
                <c:pt idx="58">
                  <c:v>1.07441016011167</c:v>
                </c:pt>
                <c:pt idx="59">
                  <c:v>1.07427286794503</c:v>
                </c:pt>
                <c:pt idx="60">
                  <c:v>1.07424289575563</c:v>
                </c:pt>
                <c:pt idx="61">
                  <c:v>1.07413049556659</c:v>
                </c:pt>
                <c:pt idx="62">
                  <c:v>1.0742082904867301</c:v>
                </c:pt>
                <c:pt idx="63">
                  <c:v>1.07436768339439</c:v>
                </c:pt>
                <c:pt idx="64">
                  <c:v>1.0746505658989101</c:v>
                </c:pt>
                <c:pt idx="65">
                  <c:v>1.0749355820834601</c:v>
                </c:pt>
                <c:pt idx="66">
                  <c:v>1.0751653364357301</c:v>
                </c:pt>
                <c:pt idx="67">
                  <c:v>1.0755487660266501</c:v>
                </c:pt>
                <c:pt idx="68">
                  <c:v>1.0757560804644699</c:v>
                </c:pt>
                <c:pt idx="69">
                  <c:v>1.0760172931805401</c:v>
                </c:pt>
                <c:pt idx="70">
                  <c:v>1.07628555043799</c:v>
                </c:pt>
                <c:pt idx="71">
                  <c:v>1.07656464104619</c:v>
                </c:pt>
                <c:pt idx="72">
                  <c:v>1.0767531723473101</c:v>
                </c:pt>
                <c:pt idx="73">
                  <c:v>1.07681783309672</c:v>
                </c:pt>
                <c:pt idx="74">
                  <c:v>1.0768793938402099</c:v>
                </c:pt>
                <c:pt idx="75">
                  <c:v>1.0769827014392499</c:v>
                </c:pt>
                <c:pt idx="76">
                  <c:v>1.0771499793927899</c:v>
                </c:pt>
                <c:pt idx="77">
                  <c:v>1.07710523119284</c:v>
                </c:pt>
                <c:pt idx="78">
                  <c:v>1.0770468008510401</c:v>
                </c:pt>
                <c:pt idx="79">
                  <c:v>1.0770271901356701</c:v>
                </c:pt>
                <c:pt idx="80">
                  <c:v>1.07710819168946</c:v>
                </c:pt>
                <c:pt idx="81">
                  <c:v>1.07715289778839</c:v>
                </c:pt>
                <c:pt idx="82">
                  <c:v>1.07716113694112</c:v>
                </c:pt>
                <c:pt idx="83">
                  <c:v>1.0771860893927301</c:v>
                </c:pt>
                <c:pt idx="84">
                  <c:v>1.07713013310839</c:v>
                </c:pt>
                <c:pt idx="85">
                  <c:v>1.0770993118244201</c:v>
                </c:pt>
                <c:pt idx="86">
                  <c:v>1.0768596109909201</c:v>
                </c:pt>
                <c:pt idx="87">
                  <c:v>1.0766734606045401</c:v>
                </c:pt>
                <c:pt idx="88">
                  <c:v>1.0765896378491</c:v>
                </c:pt>
                <c:pt idx="89">
                  <c:v>1.0765166460398199</c:v>
                </c:pt>
                <c:pt idx="90">
                  <c:v>1.07634039521906</c:v>
                </c:pt>
                <c:pt idx="91">
                  <c:v>1.07611131848079</c:v>
                </c:pt>
                <c:pt idx="92">
                  <c:v>1.07588708128925</c:v>
                </c:pt>
                <c:pt idx="93">
                  <c:v>1.0756683730260299</c:v>
                </c:pt>
                <c:pt idx="94">
                  <c:v>1.0755329990578799</c:v>
                </c:pt>
                <c:pt idx="95">
                  <c:v>1.07522268380928</c:v>
                </c:pt>
                <c:pt idx="96">
                  <c:v>1.07516651795402</c:v>
                </c:pt>
                <c:pt idx="97">
                  <c:v>1.07508774362575</c:v>
                </c:pt>
                <c:pt idx="98">
                  <c:v>1.0750822756160701</c:v>
                </c:pt>
                <c:pt idx="99">
                  <c:v>1.075055026946</c:v>
                </c:pt>
                <c:pt idx="100">
                  <c:v>1.0749417737220801</c:v>
                </c:pt>
                <c:pt idx="101">
                  <c:v>1.0748043340798701</c:v>
                </c:pt>
                <c:pt idx="102">
                  <c:v>1.07471500897193</c:v>
                </c:pt>
                <c:pt idx="103">
                  <c:v>1.0747391573902301</c:v>
                </c:pt>
                <c:pt idx="104">
                  <c:v>1.07475487307867</c:v>
                </c:pt>
                <c:pt idx="105">
                  <c:v>1.07495677123814</c:v>
                </c:pt>
                <c:pt idx="106">
                  <c:v>1.0750654151322301</c:v>
                </c:pt>
                <c:pt idx="107">
                  <c:v>1.0751794482936701</c:v>
                </c:pt>
                <c:pt idx="108">
                  <c:v>1.0751071566230599</c:v>
                </c:pt>
                <c:pt idx="109">
                  <c:v>1.0750981268146</c:v>
                </c:pt>
                <c:pt idx="110">
                  <c:v>1.0750820850999501</c:v>
                </c:pt>
                <c:pt idx="111">
                  <c:v>1.0750875519605301</c:v>
                </c:pt>
                <c:pt idx="112">
                  <c:v>1.07509411314119</c:v>
                </c:pt>
                <c:pt idx="113">
                  <c:v>1.0749157006757599</c:v>
                </c:pt>
                <c:pt idx="114">
                  <c:v>1.0746676382581299</c:v>
                </c:pt>
                <c:pt idx="115">
                  <c:v>1.07437362883396</c:v>
                </c:pt>
                <c:pt idx="116">
                  <c:v>1.07415694571577</c:v>
                </c:pt>
                <c:pt idx="117">
                  <c:v>1.0739102250432599</c:v>
                </c:pt>
                <c:pt idx="118">
                  <c:v>1.07378231727095</c:v>
                </c:pt>
                <c:pt idx="119">
                  <c:v>1.07365798979896</c:v>
                </c:pt>
                <c:pt idx="120">
                  <c:v>1.07362863898789</c:v>
                </c:pt>
                <c:pt idx="121">
                  <c:v>1.0735555983457301</c:v>
                </c:pt>
                <c:pt idx="122">
                  <c:v>1.0734244697869999</c:v>
                </c:pt>
                <c:pt idx="123">
                  <c:v>1.0734360817900199</c:v>
                </c:pt>
                <c:pt idx="124">
                  <c:v>1.0734879000330899</c:v>
                </c:pt>
                <c:pt idx="125">
                  <c:v>1.07348158328942</c:v>
                </c:pt>
                <c:pt idx="126">
                  <c:v>1.07348267253466</c:v>
                </c:pt>
                <c:pt idx="127">
                  <c:v>1.0734256464827301</c:v>
                </c:pt>
                <c:pt idx="128">
                  <c:v>1.07336846893504</c:v>
                </c:pt>
                <c:pt idx="129">
                  <c:v>1.07318662222184</c:v>
                </c:pt>
                <c:pt idx="130">
                  <c:v>1.0730560116144801</c:v>
                </c:pt>
                <c:pt idx="131">
                  <c:v>1.0729535055543999</c:v>
                </c:pt>
                <c:pt idx="132">
                  <c:v>1.0727998819945801</c:v>
                </c:pt>
                <c:pt idx="133">
                  <c:v>1.0726213207694999</c:v>
                </c:pt>
                <c:pt idx="134">
                  <c:v>1.07242018114475</c:v>
                </c:pt>
                <c:pt idx="135">
                  <c:v>1.07242083651486</c:v>
                </c:pt>
                <c:pt idx="136">
                  <c:v>1.07230657617069</c:v>
                </c:pt>
                <c:pt idx="137">
                  <c:v>1.07237361104211</c:v>
                </c:pt>
                <c:pt idx="138">
                  <c:v>1.0724059538624999</c:v>
                </c:pt>
                <c:pt idx="139">
                  <c:v>1.0724990470419</c:v>
                </c:pt>
                <c:pt idx="140">
                  <c:v>1.07267196428614</c:v>
                </c:pt>
                <c:pt idx="141">
                  <c:v>1.0727392591306999</c:v>
                </c:pt>
                <c:pt idx="142">
                  <c:v>1.07299165105432</c:v>
                </c:pt>
                <c:pt idx="143">
                  <c:v>1.0731792899564701</c:v>
                </c:pt>
                <c:pt idx="144">
                  <c:v>1.07348254037403</c:v>
                </c:pt>
                <c:pt idx="145">
                  <c:v>1.07364063391108</c:v>
                </c:pt>
                <c:pt idx="146">
                  <c:v>1.07383323928507</c:v>
                </c:pt>
                <c:pt idx="147">
                  <c:v>1.0739743479153501</c:v>
                </c:pt>
                <c:pt idx="148">
                  <c:v>1.0742044891189499</c:v>
                </c:pt>
                <c:pt idx="149">
                  <c:v>1.07449280687687</c:v>
                </c:pt>
                <c:pt idx="150">
                  <c:v>1.07439219981793</c:v>
                </c:pt>
                <c:pt idx="151">
                  <c:v>1.0743771742550901</c:v>
                </c:pt>
                <c:pt idx="152">
                  <c:v>1.07447531493959</c:v>
                </c:pt>
                <c:pt idx="153">
                  <c:v>1.0744286505019001</c:v>
                </c:pt>
                <c:pt idx="154">
                  <c:v>1.0743151312899899</c:v>
                </c:pt>
                <c:pt idx="155">
                  <c:v>1.0742753850817399</c:v>
                </c:pt>
                <c:pt idx="156">
                  <c:v>1.07434678899331</c:v>
                </c:pt>
                <c:pt idx="157">
                  <c:v>1.07435855044833</c:v>
                </c:pt>
                <c:pt idx="158">
                  <c:v>1.0742326420914601</c:v>
                </c:pt>
                <c:pt idx="159">
                  <c:v>1.0741229087023201</c:v>
                </c:pt>
                <c:pt idx="160">
                  <c:v>1.07421932475671</c:v>
                </c:pt>
                <c:pt idx="161">
                  <c:v>1.07429466505343</c:v>
                </c:pt>
                <c:pt idx="162">
                  <c:v>1.0742759956938801</c:v>
                </c:pt>
                <c:pt idx="163">
                  <c:v>1.0744260660049001</c:v>
                </c:pt>
                <c:pt idx="164">
                  <c:v>1.0745434500871001</c:v>
                </c:pt>
                <c:pt idx="165">
                  <c:v>1.07461741411995</c:v>
                </c:pt>
                <c:pt idx="166">
                  <c:v>1.0744800319814101</c:v>
                </c:pt>
                <c:pt idx="167">
                  <c:v>1.07446588453744</c:v>
                </c:pt>
                <c:pt idx="168">
                  <c:v>1.07453494178843</c:v>
                </c:pt>
                <c:pt idx="169">
                  <c:v>1.07457100381066</c:v>
                </c:pt>
                <c:pt idx="170">
                  <c:v>1.07477169099398</c:v>
                </c:pt>
                <c:pt idx="171">
                  <c:v>1.0750482519395199</c:v>
                </c:pt>
                <c:pt idx="172">
                  <c:v>1.07529570213276</c:v>
                </c:pt>
                <c:pt idx="173">
                  <c:v>1.07539870695469</c:v>
                </c:pt>
                <c:pt idx="174">
                  <c:v>1.07561020079513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2B-4FA2-9DA8-9C9C8B85C025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ANGL*/FALN*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1.0742702226007499</c:v>
                </c:pt>
                <c:pt idx="20">
                  <c:v>1.07414621490011</c:v>
                </c:pt>
                <c:pt idx="21">
                  <c:v>1.0740151425232201</c:v>
                </c:pt>
                <c:pt idx="22">
                  <c:v>1.0738921318453101</c:v>
                </c:pt>
                <c:pt idx="23">
                  <c:v>1.07381090956657</c:v>
                </c:pt>
                <c:pt idx="24">
                  <c:v>1.07379960290009</c:v>
                </c:pt>
                <c:pt idx="25">
                  <c:v>1.07378436704443</c:v>
                </c:pt>
                <c:pt idx="26">
                  <c:v>1.0738598426036401</c:v>
                </c:pt>
                <c:pt idx="27">
                  <c:v>1.07393089917144</c:v>
                </c:pt>
                <c:pt idx="28">
                  <c:v>1.07403810450615</c:v>
                </c:pt>
                <c:pt idx="29">
                  <c:v>1.0741578689869999</c:v>
                </c:pt>
                <c:pt idx="30">
                  <c:v>1.0742441920621799</c:v>
                </c:pt>
                <c:pt idx="31">
                  <c:v>1.0742936498308899</c:v>
                </c:pt>
                <c:pt idx="32">
                  <c:v>1.07439254663742</c:v>
                </c:pt>
                <c:pt idx="33">
                  <c:v>1.0744926686376901</c:v>
                </c:pt>
                <c:pt idx="34">
                  <c:v>1.0745762248253401</c:v>
                </c:pt>
                <c:pt idx="35">
                  <c:v>1.07468053017663</c:v>
                </c:pt>
                <c:pt idx="36">
                  <c:v>1.0748044511059001</c:v>
                </c:pt>
                <c:pt idx="37">
                  <c:v>1.0748870047434</c:v>
                </c:pt>
                <c:pt idx="38">
                  <c:v>1.07499856595209</c:v>
                </c:pt>
                <c:pt idx="39">
                  <c:v>1.0751875007814999</c:v>
                </c:pt>
                <c:pt idx="40">
                  <c:v>1.07532373677941</c:v>
                </c:pt>
                <c:pt idx="41">
                  <c:v>1.0754462412311301</c:v>
                </c:pt>
                <c:pt idx="42">
                  <c:v>1.0754944001485101</c:v>
                </c:pt>
                <c:pt idx="43">
                  <c:v>1.07562214788322</c:v>
                </c:pt>
                <c:pt idx="44">
                  <c:v>1.07562821054264</c:v>
                </c:pt>
                <c:pt idx="45">
                  <c:v>1.07568693757189</c:v>
                </c:pt>
                <c:pt idx="46">
                  <c:v>1.0757441033947599</c:v>
                </c:pt>
                <c:pt idx="47">
                  <c:v>1.0757768561146399</c:v>
                </c:pt>
                <c:pt idx="48">
                  <c:v>1.0757899124622301</c:v>
                </c:pt>
                <c:pt idx="49">
                  <c:v>1.07571949507552</c:v>
                </c:pt>
                <c:pt idx="50">
                  <c:v>1.07562938278176</c:v>
                </c:pt>
                <c:pt idx="51">
                  <c:v>1.0756638578530899</c:v>
                </c:pt>
                <c:pt idx="52">
                  <c:v>1.07559844532787</c:v>
                </c:pt>
                <c:pt idx="53">
                  <c:v>1.07552094497095</c:v>
                </c:pt>
                <c:pt idx="54">
                  <c:v>1.07540692424884</c:v>
                </c:pt>
                <c:pt idx="55">
                  <c:v>1.0752445834067399</c:v>
                </c:pt>
                <c:pt idx="56">
                  <c:v>1.07514311880314</c:v>
                </c:pt>
                <c:pt idx="57">
                  <c:v>1.07507055291633</c:v>
                </c:pt>
                <c:pt idx="58">
                  <c:v>1.07508060924085</c:v>
                </c:pt>
                <c:pt idx="59">
                  <c:v>1.07491402221085</c:v>
                </c:pt>
                <c:pt idx="60">
                  <c:v>1.07481918244193</c:v>
                </c:pt>
                <c:pt idx="61">
                  <c:v>1.07479533594442</c:v>
                </c:pt>
                <c:pt idx="62">
                  <c:v>1.07485353626503</c:v>
                </c:pt>
                <c:pt idx="63">
                  <c:v>1.074876227704</c:v>
                </c:pt>
                <c:pt idx="64">
                  <c:v>1.07496749051851</c:v>
                </c:pt>
                <c:pt idx="65">
                  <c:v>1.07500441615986</c:v>
                </c:pt>
                <c:pt idx="66">
                  <c:v>1.0750206174541601</c:v>
                </c:pt>
                <c:pt idx="67">
                  <c:v>1.07505599511339</c:v>
                </c:pt>
                <c:pt idx="68">
                  <c:v>1.07508312028807</c:v>
                </c:pt>
                <c:pt idx="69">
                  <c:v>1.07514508056278</c:v>
                </c:pt>
                <c:pt idx="70">
                  <c:v>1.0752642230968099</c:v>
                </c:pt>
                <c:pt idx="71">
                  <c:v>1.07534756830639</c:v>
                </c:pt>
                <c:pt idx="72">
                  <c:v>1.0754807314170201</c:v>
                </c:pt>
                <c:pt idx="73">
                  <c:v>1.07559275824555</c:v>
                </c:pt>
                <c:pt idx="74">
                  <c:v>1.0757649798695601</c:v>
                </c:pt>
                <c:pt idx="75">
                  <c:v>1.0759591417613601</c:v>
                </c:pt>
                <c:pt idx="76">
                  <c:v>1.07615765791426</c:v>
                </c:pt>
                <c:pt idx="77">
                  <c:v>1.0763269986097399</c:v>
                </c:pt>
                <c:pt idx="78">
                  <c:v>1.07640144065775</c:v>
                </c:pt>
                <c:pt idx="79">
                  <c:v>1.0765222416581</c:v>
                </c:pt>
                <c:pt idx="80">
                  <c:v>1.0766968710637299</c:v>
                </c:pt>
                <c:pt idx="81">
                  <c:v>1.07685876941729</c:v>
                </c:pt>
                <c:pt idx="82">
                  <c:v>1.07695715464421</c:v>
                </c:pt>
                <c:pt idx="83">
                  <c:v>1.0770019612447299</c:v>
                </c:pt>
                <c:pt idx="84">
                  <c:v>1.0770047634743001</c:v>
                </c:pt>
                <c:pt idx="85">
                  <c:v>1.0770410066318401</c:v>
                </c:pt>
                <c:pt idx="86">
                  <c:v>1.07700479519186</c:v>
                </c:pt>
                <c:pt idx="87">
                  <c:v>1.0768893458986899</c:v>
                </c:pt>
                <c:pt idx="88">
                  <c:v>1.0768182193500699</c:v>
                </c:pt>
                <c:pt idx="89">
                  <c:v>1.07677191808775</c:v>
                </c:pt>
                <c:pt idx="90">
                  <c:v>1.07672429345426</c:v>
                </c:pt>
                <c:pt idx="91">
                  <c:v>1.07663210813459</c:v>
                </c:pt>
                <c:pt idx="92">
                  <c:v>1.07652410911518</c:v>
                </c:pt>
                <c:pt idx="93">
                  <c:v>1.0764272312093801</c:v>
                </c:pt>
                <c:pt idx="94">
                  <c:v>1.0763315660831401</c:v>
                </c:pt>
                <c:pt idx="95">
                  <c:v>1.07616099781685</c:v>
                </c:pt>
                <c:pt idx="96">
                  <c:v>1.0760130644724699</c:v>
                </c:pt>
                <c:pt idx="97">
                  <c:v>1.0758806021151399</c:v>
                </c:pt>
                <c:pt idx="98">
                  <c:v>1.0758359567325799</c:v>
                </c:pt>
                <c:pt idx="99">
                  <c:v>1.07578583649291</c:v>
                </c:pt>
                <c:pt idx="100">
                  <c:v>1.0756410844705699</c:v>
                </c:pt>
                <c:pt idx="101">
                  <c:v>1.07545782628033</c:v>
                </c:pt>
                <c:pt idx="102">
                  <c:v>1.07530104513059</c:v>
                </c:pt>
                <c:pt idx="103">
                  <c:v>1.0752037652081301</c:v>
                </c:pt>
                <c:pt idx="104">
                  <c:v>1.07514393606828</c:v>
                </c:pt>
                <c:pt idx="105">
                  <c:v>1.0750897275237099</c:v>
                </c:pt>
                <c:pt idx="106">
                  <c:v>1.07511596654313</c:v>
                </c:pt>
                <c:pt idx="107">
                  <c:v>1.0751335959597099</c:v>
                </c:pt>
                <c:pt idx="108">
                  <c:v>1.0750947161195601</c:v>
                </c:pt>
                <c:pt idx="109">
                  <c:v>1.0750765768802999</c:v>
                </c:pt>
                <c:pt idx="110">
                  <c:v>1.0750119294110101</c:v>
                </c:pt>
                <c:pt idx="111">
                  <c:v>1.0749459430202</c:v>
                </c:pt>
                <c:pt idx="112">
                  <c:v>1.07490456105656</c:v>
                </c:pt>
                <c:pt idx="113">
                  <c:v>1.07482742903299</c:v>
                </c:pt>
                <c:pt idx="114">
                  <c:v>1.0747112556684</c:v>
                </c:pt>
                <c:pt idx="115">
                  <c:v>1.0746652000360499</c:v>
                </c:pt>
                <c:pt idx="116">
                  <c:v>1.0746111804239999</c:v>
                </c:pt>
                <c:pt idx="117">
                  <c:v>1.07454483666847</c:v>
                </c:pt>
                <c:pt idx="118">
                  <c:v>1.07444473694701</c:v>
                </c:pt>
                <c:pt idx="119">
                  <c:v>1.0743780583067799</c:v>
                </c:pt>
                <c:pt idx="120">
                  <c:v>1.0743553620439199</c:v>
                </c:pt>
                <c:pt idx="121">
                  <c:v>1.0743215751531301</c:v>
                </c:pt>
                <c:pt idx="122">
                  <c:v>1.07425929146409</c:v>
                </c:pt>
                <c:pt idx="123">
                  <c:v>1.07417589123289</c:v>
                </c:pt>
                <c:pt idx="124">
                  <c:v>1.07407776914561</c:v>
                </c:pt>
                <c:pt idx="125">
                  <c:v>1.07392760606169</c:v>
                </c:pt>
                <c:pt idx="126">
                  <c:v>1.07381980912522</c:v>
                </c:pt>
                <c:pt idx="127">
                  <c:v>1.0736679357629999</c:v>
                </c:pt>
                <c:pt idx="128">
                  <c:v>1.0735753931030001</c:v>
                </c:pt>
                <c:pt idx="129">
                  <c:v>1.0734223060104</c:v>
                </c:pt>
                <c:pt idx="130">
                  <c:v>1.07334232530118</c:v>
                </c:pt>
                <c:pt idx="131">
                  <c:v>1.07325455195007</c:v>
                </c:pt>
                <c:pt idx="132">
                  <c:v>1.07311217589079</c:v>
                </c:pt>
                <c:pt idx="133">
                  <c:v>1.0730287012797599</c:v>
                </c:pt>
                <c:pt idx="134">
                  <c:v>1.07295404058892</c:v>
                </c:pt>
                <c:pt idx="135">
                  <c:v>1.0729512099021401</c:v>
                </c:pt>
                <c:pt idx="136">
                  <c:v>1.07289462435268</c:v>
                </c:pt>
                <c:pt idx="137">
                  <c:v>1.07289962876242</c:v>
                </c:pt>
                <c:pt idx="138">
                  <c:v>1.07288721139877</c:v>
                </c:pt>
                <c:pt idx="139">
                  <c:v>1.0728428346318699</c:v>
                </c:pt>
                <c:pt idx="140">
                  <c:v>1.0728639879503099</c:v>
                </c:pt>
                <c:pt idx="141">
                  <c:v>1.07284638234255</c:v>
                </c:pt>
                <c:pt idx="142">
                  <c:v>1.0728957665244501</c:v>
                </c:pt>
                <c:pt idx="143">
                  <c:v>1.07290030536299</c:v>
                </c:pt>
                <c:pt idx="144">
                  <c:v>1.0729513607593899</c:v>
                </c:pt>
                <c:pt idx="145">
                  <c:v>1.07303073521297</c:v>
                </c:pt>
                <c:pt idx="146">
                  <c:v>1.07306990772788</c:v>
                </c:pt>
                <c:pt idx="147">
                  <c:v>1.0731739794787301</c:v>
                </c:pt>
                <c:pt idx="148">
                  <c:v>1.0733052214907299</c:v>
                </c:pt>
                <c:pt idx="149">
                  <c:v>1.07349592695939</c:v>
                </c:pt>
                <c:pt idx="150">
                  <c:v>1.07353208205204</c:v>
                </c:pt>
                <c:pt idx="151">
                  <c:v>1.0735582166928901</c:v>
                </c:pt>
                <c:pt idx="152">
                  <c:v>1.07373348299696</c:v>
                </c:pt>
                <c:pt idx="153">
                  <c:v>1.0738039702291899</c:v>
                </c:pt>
                <c:pt idx="154">
                  <c:v>1.0738988358320101</c:v>
                </c:pt>
                <c:pt idx="155">
                  <c:v>1.0739580094964101</c:v>
                </c:pt>
                <c:pt idx="156">
                  <c:v>1.07409001413919</c:v>
                </c:pt>
                <c:pt idx="157">
                  <c:v>1.0741664491818399</c:v>
                </c:pt>
                <c:pt idx="158">
                  <c:v>1.0742185656052099</c:v>
                </c:pt>
                <c:pt idx="159">
                  <c:v>1.0743078577895999</c:v>
                </c:pt>
                <c:pt idx="160">
                  <c:v>1.07430576228732</c:v>
                </c:pt>
                <c:pt idx="161">
                  <c:v>1.0743359196542599</c:v>
                </c:pt>
                <c:pt idx="162">
                  <c:v>1.0743756553167401</c:v>
                </c:pt>
                <c:pt idx="163">
                  <c:v>1.0744273582534001</c:v>
                </c:pt>
                <c:pt idx="164">
                  <c:v>1.07442929068855</c:v>
                </c:pt>
                <c:pt idx="165">
                  <c:v>1.07444639960084</c:v>
                </c:pt>
                <c:pt idx="166">
                  <c:v>1.0744134104873599</c:v>
                </c:pt>
                <c:pt idx="167">
                  <c:v>1.0744122174928801</c:v>
                </c:pt>
                <c:pt idx="168">
                  <c:v>1.0743837919399499</c:v>
                </c:pt>
                <c:pt idx="169">
                  <c:v>1.07434695625649</c:v>
                </c:pt>
                <c:pt idx="170">
                  <c:v>1.07449550787534</c:v>
                </c:pt>
                <c:pt idx="171">
                  <c:v>1.07467145849648</c:v>
                </c:pt>
                <c:pt idx="172">
                  <c:v>1.07478584891332</c:v>
                </c:pt>
                <c:pt idx="173">
                  <c:v>1.07491238647979</c:v>
                </c:pt>
                <c:pt idx="174">
                  <c:v>1.07507682544112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2B-4FA2-9DA8-9C9C8B85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FALN x avg / ANGL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-6.4445699793408602E-4</c:v>
                </c:pt>
                <c:pt idx="2">
                  <c:v>-8.8082779178446995E-4</c:v>
                </c:pt>
                <c:pt idx="3">
                  <c:v>-1.7789938393926699E-4</c:v>
                </c:pt>
                <c:pt idx="4">
                  <c:v>-1.0174166644552E-4</c:v>
                </c:pt>
                <c:pt idx="5">
                  <c:v>3.12379209264459E-4</c:v>
                </c:pt>
                <c:pt idx="6">
                  <c:v>1.7154494569088701E-3</c:v>
                </c:pt>
                <c:pt idx="7">
                  <c:v>2.8717886498954599E-4</c:v>
                </c:pt>
                <c:pt idx="8">
                  <c:v>7.0073602636239803E-4</c:v>
                </c:pt>
                <c:pt idx="9">
                  <c:v>6.7568529863738596E-4</c:v>
                </c:pt>
                <c:pt idx="10">
                  <c:v>3.3756188036958903E-4</c:v>
                </c:pt>
                <c:pt idx="11">
                  <c:v>4.7464513686215301E-4</c:v>
                </c:pt>
                <c:pt idx="12">
                  <c:v>7.7578293071291703E-4</c:v>
                </c:pt>
                <c:pt idx="13">
                  <c:v>4.3811620456001102E-4</c:v>
                </c:pt>
                <c:pt idx="14">
                  <c:v>3.6272689689777801E-4</c:v>
                </c:pt>
                <c:pt idx="15">
                  <c:v>3.8787427741604198E-4</c:v>
                </c:pt>
                <c:pt idx="16">
                  <c:v>1.50094612420227E-3</c:v>
                </c:pt>
                <c:pt idx="17">
                  <c:v>1.4514586320945101E-3</c:v>
                </c:pt>
                <c:pt idx="18">
                  <c:v>2.15211509100945E-3</c:v>
                </c:pt>
                <c:pt idx="19">
                  <c:v>1.4514586320945101E-3</c:v>
                </c:pt>
                <c:pt idx="20">
                  <c:v>1.4924569295626099E-3</c:v>
                </c:pt>
                <c:pt idx="21">
                  <c:v>1.83195786645129E-3</c:v>
                </c:pt>
                <c:pt idx="22">
                  <c:v>1.4427110973437001E-3</c:v>
                </c:pt>
                <c:pt idx="23">
                  <c:v>1.3679608366282401E-3</c:v>
                </c:pt>
                <c:pt idx="24">
                  <c:v>1.3560461827279101E-4</c:v>
                </c:pt>
                <c:pt idx="25">
                  <c:v>6.2553109288328995E-4</c:v>
                </c:pt>
                <c:pt idx="26">
                  <c:v>3.3756188036958903E-4</c:v>
                </c:pt>
                <c:pt idx="27">
                  <c:v>-1.0137896766294801E-3</c:v>
                </c:pt>
                <c:pt idx="28">
                  <c:v>-1.27419055582086E-3</c:v>
                </c:pt>
                <c:pt idx="29">
                  <c:v>-1.53395757095182E-3</c:v>
                </c:pt>
                <c:pt idx="30">
                  <c:v>-1.24850925851777E-3</c:v>
                </c:pt>
                <c:pt idx="31">
                  <c:v>-4.21850530683827E-4</c:v>
                </c:pt>
                <c:pt idx="32">
                  <c:v>-1.0437040147876901E-3</c:v>
                </c:pt>
                <c:pt idx="33">
                  <c:v>-1.4054330836623099E-3</c:v>
                </c:pt>
                <c:pt idx="34">
                  <c:v>-1.17157307704213E-3</c:v>
                </c:pt>
                <c:pt idx="35">
                  <c:v>-1.53395757095182E-3</c:v>
                </c:pt>
                <c:pt idx="36">
                  <c:v>-7.8384148486286998E-4</c:v>
                </c:pt>
                <c:pt idx="37">
                  <c:v>-5.9990566539804199E-5</c:v>
                </c:pt>
                <c:pt idx="38">
                  <c:v>1.00563458738836E-4</c:v>
                </c:pt>
                <c:pt idx="39">
                  <c:v>-2.7830402846789901E-3</c:v>
                </c:pt>
                <c:pt idx="40">
                  <c:v>-1.7908703242751601E-3</c:v>
                </c:pt>
                <c:pt idx="41">
                  <c:v>-1.19005261741973E-3</c:v>
                </c:pt>
                <c:pt idx="42">
                  <c:v>-1.8662047026785599E-4</c:v>
                </c:pt>
                <c:pt idx="43">
                  <c:v>-1.7629325098030601E-3</c:v>
                </c:pt>
                <c:pt idx="44">
                  <c:v>-7.0962079892791796E-4</c:v>
                </c:pt>
                <c:pt idx="45">
                  <c:v>-1.2089005773359099E-3</c:v>
                </c:pt>
                <c:pt idx="46">
                  <c:v>-1.4712614034281201E-3</c:v>
                </c:pt>
                <c:pt idx="47">
                  <c:v>-2.3754172208530801E-3</c:v>
                </c:pt>
                <c:pt idx="48">
                  <c:v>-2.2697294209534399E-3</c:v>
                </c:pt>
                <c:pt idx="49">
                  <c:v>-9.6016935554937496E-4</c:v>
                </c:pt>
                <c:pt idx="50">
                  <c:v>-2.9937945493034698E-4</c:v>
                </c:pt>
                <c:pt idx="51">
                  <c:v>-1.8145018286483501E-3</c:v>
                </c:pt>
                <c:pt idx="52">
                  <c:v>-5.6034687036645402E-4</c:v>
                </c:pt>
                <c:pt idx="53">
                  <c:v>-7.0573396638928397E-4</c:v>
                </c:pt>
                <c:pt idx="54">
                  <c:v>2.22641160651686E-4</c:v>
                </c:pt>
                <c:pt idx="55">
                  <c:v>7.6550664125249804E-4</c:v>
                </c:pt>
                <c:pt idx="56">
                  <c:v>3.78398691106153E-4</c:v>
                </c:pt>
                <c:pt idx="57">
                  <c:v>5.5782598798815501E-4</c:v>
                </c:pt>
                <c:pt idx="58">
                  <c:v>-8.3876954854827696E-4</c:v>
                </c:pt>
                <c:pt idx="59">
                  <c:v>3.2273564386108998E-4</c:v>
                </c:pt>
                <c:pt idx="60">
                  <c:v>-2.16955030711659E-5</c:v>
                </c:pt>
                <c:pt idx="61">
                  <c:v>4.3571681368951698E-6</c:v>
                </c:pt>
                <c:pt idx="62">
                  <c:v>-5.3416553141242499E-4</c:v>
                </c:pt>
                <c:pt idx="63">
                  <c:v>-1.4425023661554599E-3</c:v>
                </c:pt>
                <c:pt idx="64">
                  <c:v>-1.68250553988173E-3</c:v>
                </c:pt>
                <c:pt idx="65">
                  <c:v>-1.1566527144772601E-3</c:v>
                </c:pt>
                <c:pt idx="66">
                  <c:v>-1.02635818667573E-3</c:v>
                </c:pt>
                <c:pt idx="67">
                  <c:v>-2.2916197880724601E-3</c:v>
                </c:pt>
                <c:pt idx="68">
                  <c:v>-2.0272247079240898E-3</c:v>
                </c:pt>
                <c:pt idx="69">
                  <c:v>-1.3716464379416201E-3</c:v>
                </c:pt>
                <c:pt idx="70">
                  <c:v>-1.7908703242751601E-3</c:v>
                </c:pt>
                <c:pt idx="71">
                  <c:v>-2.63156564634699E-3</c:v>
                </c:pt>
                <c:pt idx="72">
                  <c:v>-2.3146396158814698E-3</c:v>
                </c:pt>
                <c:pt idx="73">
                  <c:v>-2.05307746942076E-3</c:v>
                </c:pt>
                <c:pt idx="74">
                  <c:v>-2.26358036160589E-3</c:v>
                </c:pt>
                <c:pt idx="75">
                  <c:v>-2.1318762951840898E-3</c:v>
                </c:pt>
                <c:pt idx="76">
                  <c:v>-2.6050521081370901E-3</c:v>
                </c:pt>
                <c:pt idx="77">
                  <c:v>-1.86948752918314E-3</c:v>
                </c:pt>
                <c:pt idx="78">
                  <c:v>-1.4758187911943299E-3</c:v>
                </c:pt>
                <c:pt idx="79">
                  <c:v>-1.1864273933354999E-3</c:v>
                </c:pt>
                <c:pt idx="80">
                  <c:v>-2.5549802449129099E-3</c:v>
                </c:pt>
                <c:pt idx="81">
                  <c:v>-3.05304117674774E-3</c:v>
                </c:pt>
                <c:pt idx="82">
                  <c:v>-2.6348495837881002E-3</c:v>
                </c:pt>
                <c:pt idx="83">
                  <c:v>-2.5311925930817298E-3</c:v>
                </c:pt>
                <c:pt idx="84">
                  <c:v>-1.97469746066831E-3</c:v>
                </c:pt>
                <c:pt idx="85">
                  <c:v>-2.0799533189474399E-3</c:v>
                </c:pt>
                <c:pt idx="86">
                  <c:v>-5.7370148204787701E-4</c:v>
                </c:pt>
                <c:pt idx="87">
                  <c:v>-3.4095720028251997E-4</c:v>
                </c:pt>
                <c:pt idx="88">
                  <c:v>-9.1752132383957801E-4</c:v>
                </c:pt>
                <c:pt idx="89">
                  <c:v>-7.2969666792463005E-4</c:v>
                </c:pt>
                <c:pt idx="90">
                  <c:v>-1.12661208069897E-3</c:v>
                </c:pt>
                <c:pt idx="91">
                  <c:v>-1.12661208069897E-3</c:v>
                </c:pt>
                <c:pt idx="92">
                  <c:v>-5.0800304605773405E-4</c:v>
                </c:pt>
                <c:pt idx="93">
                  <c:v>-4.5573455470850597E-4</c:v>
                </c:pt>
                <c:pt idx="94">
                  <c:v>-6.9153708402438401E-4</c:v>
                </c:pt>
                <c:pt idx="95">
                  <c:v>8.6720954145089201E-4</c:v>
                </c:pt>
                <c:pt idx="96">
                  <c:v>-4.0279198356826703E-5</c:v>
                </c:pt>
                <c:pt idx="97">
                  <c:v>4.07254504021431E-4</c:v>
                </c:pt>
                <c:pt idx="98">
                  <c:v>-8.6543500638252299E-4</c:v>
                </c:pt>
                <c:pt idx="99">
                  <c:v>-4.7007527590373999E-4</c:v>
                </c:pt>
                <c:pt idx="100">
                  <c:v>-4.9437247977340798E-5</c:v>
                </c:pt>
                <c:pt idx="101">
                  <c:v>1.8109418730447201E-4</c:v>
                </c:pt>
                <c:pt idx="102">
                  <c:v>1.14293041134022E-4</c:v>
                </c:pt>
                <c:pt idx="103">
                  <c:v>-9.1752132383957801E-4</c:v>
                </c:pt>
                <c:pt idx="104">
                  <c:v>-1.07422724842135E-3</c:v>
                </c:pt>
                <c:pt idx="105">
                  <c:v>-1.2874122102467099E-3</c:v>
                </c:pt>
                <c:pt idx="106">
                  <c:v>-1.3105509140571899E-3</c:v>
                </c:pt>
                <c:pt idx="107">
                  <c:v>-9.1253927168243E-4</c:v>
                </c:pt>
                <c:pt idx="108">
                  <c:v>-4.1099282632809498E-4</c:v>
                </c:pt>
                <c:pt idx="109">
                  <c:v>-6.19227001283293E-4</c:v>
                </c:pt>
                <c:pt idx="110">
                  <c:v>-1.26609704950337E-4</c:v>
                </c:pt>
                <c:pt idx="111">
                  <c:v>-1.00867222974174E-4</c:v>
                </c:pt>
                <c:pt idx="112">
                  <c:v>5.3203293812278799E-5</c:v>
                </c:pt>
                <c:pt idx="113">
                  <c:v>7.8958035212422595E-4</c:v>
                </c:pt>
                <c:pt idx="114">
                  <c:v>1.2989553870522399E-3</c:v>
                </c:pt>
                <c:pt idx="115">
                  <c:v>1.52541555824721E-3</c:v>
                </c:pt>
                <c:pt idx="116">
                  <c:v>7.6421881937267398E-4</c:v>
                </c:pt>
                <c:pt idx="117">
                  <c:v>1.4500899025014101E-3</c:v>
                </c:pt>
                <c:pt idx="118">
                  <c:v>8.14923865481585E-4</c:v>
                </c:pt>
                <c:pt idx="119">
                  <c:v>5.7406235024965704E-4</c:v>
                </c:pt>
                <c:pt idx="120">
                  <c:v>1.5555233033331001E-4</c:v>
                </c:pt>
                <c:pt idx="121">
                  <c:v>5.9943301630995297E-4</c:v>
                </c:pt>
                <c:pt idx="122">
                  <c:v>1.3085464082412501E-3</c:v>
                </c:pt>
                <c:pt idx="123">
                  <c:v>1.3494053231702999E-3</c:v>
                </c:pt>
                <c:pt idx="124">
                  <c:v>1.47521630630635E-3</c:v>
                </c:pt>
                <c:pt idx="125">
                  <c:v>2.2607097090225898E-3</c:v>
                </c:pt>
                <c:pt idx="126">
                  <c:v>1.42494562139299E-3</c:v>
                </c:pt>
                <c:pt idx="127">
                  <c:v>2.6749445962422598E-3</c:v>
                </c:pt>
                <c:pt idx="128">
                  <c:v>2.0366905735919E-3</c:v>
                </c:pt>
                <c:pt idx="129">
                  <c:v>2.9945780689725398E-3</c:v>
                </c:pt>
                <c:pt idx="130">
                  <c:v>2.0809984953207902E-3</c:v>
                </c:pt>
                <c:pt idx="131">
                  <c:v>2.25602559817859E-3</c:v>
                </c:pt>
                <c:pt idx="132">
                  <c:v>3.4616398444460399E-3</c:v>
                </c:pt>
                <c:pt idx="133">
                  <c:v>3.0685049385654299E-3</c:v>
                </c:pt>
                <c:pt idx="134">
                  <c:v>3.4126797827818299E-3</c:v>
                </c:pt>
                <c:pt idx="135">
                  <c:v>2.25602559817859E-3</c:v>
                </c:pt>
                <c:pt idx="136">
                  <c:v>2.5260082497066999E-3</c:v>
                </c:pt>
                <c:pt idx="137">
                  <c:v>2.0308295847792398E-3</c:v>
                </c:pt>
                <c:pt idx="138">
                  <c:v>1.7283005322228501E-3</c:v>
                </c:pt>
                <c:pt idx="139">
                  <c:v>2.1005320645312402E-3</c:v>
                </c:pt>
                <c:pt idx="140">
                  <c:v>4.1865581113684398E-4</c:v>
                </c:pt>
                <c:pt idx="141">
                  <c:v>1.60960007294959E-3</c:v>
                </c:pt>
                <c:pt idx="142">
                  <c:v>1.03457868685059E-3</c:v>
                </c:pt>
                <c:pt idx="143">
                  <c:v>1.2638783754698099E-3</c:v>
                </c:pt>
                <c:pt idx="144">
                  <c:v>4.9580749447047598E-4</c:v>
                </c:pt>
                <c:pt idx="145">
                  <c:v>1.0601296817986301E-3</c:v>
                </c:pt>
                <c:pt idx="146">
                  <c:v>9.9473900685818494E-4</c:v>
                </c:pt>
                <c:pt idx="147">
                  <c:v>9.9473900685818494E-4</c:v>
                </c:pt>
                <c:pt idx="148">
                  <c:v>-1.6959718698931101E-4</c:v>
                </c:pt>
                <c:pt idx="149">
                  <c:v>-3.59120417621186E-4</c:v>
                </c:pt>
                <c:pt idx="150">
                  <c:v>1.71055952090501E-3</c:v>
                </c:pt>
                <c:pt idx="151">
                  <c:v>2.0809984953207902E-3</c:v>
                </c:pt>
                <c:pt idx="152">
                  <c:v>4.07254504021431E-4</c:v>
                </c:pt>
                <c:pt idx="153">
                  <c:v>2.0366905735919E-3</c:v>
                </c:pt>
                <c:pt idx="154">
                  <c:v>1.91161367812178E-3</c:v>
                </c:pt>
                <c:pt idx="155">
                  <c:v>1.4412025540859799E-3</c:v>
                </c:pt>
                <c:pt idx="156">
                  <c:v>3.0460785455302798E-4</c:v>
                </c:pt>
                <c:pt idx="157">
                  <c:v>8.79089063932528E-4</c:v>
                </c:pt>
                <c:pt idx="158">
                  <c:v>1.0456230792722501E-3</c:v>
                </c:pt>
                <c:pt idx="159">
                  <c:v>7.0073602636239803E-4</c:v>
                </c:pt>
                <c:pt idx="160">
                  <c:v>7.7728226032498901E-4</c:v>
                </c:pt>
                <c:pt idx="161">
                  <c:v>1.3494053231702999E-3</c:v>
                </c:pt>
                <c:pt idx="162">
                  <c:v>5.8618192806424196E-4</c:v>
                </c:pt>
                <c:pt idx="163">
                  <c:v>5.8618192806424196E-4</c:v>
                </c:pt>
                <c:pt idx="164">
                  <c:v>7.7728226032498901E-4</c:v>
                </c:pt>
                <c:pt idx="165">
                  <c:v>7.2626967971886397E-4</c:v>
                </c:pt>
                <c:pt idx="166">
                  <c:v>1.8478133607450101E-3</c:v>
                </c:pt>
                <c:pt idx="167">
                  <c:v>1.22840996186173E-3</c:v>
                </c:pt>
                <c:pt idx="168">
                  <c:v>5.85028765602712E-4</c:v>
                </c:pt>
                <c:pt idx="169">
                  <c:v>5.5926511447496605E-4</c:v>
                </c:pt>
                <c:pt idx="170">
                  <c:v>-9.6016935554937496E-4</c:v>
                </c:pt>
                <c:pt idx="171">
                  <c:v>-1.11860757648709E-3</c:v>
                </c:pt>
                <c:pt idx="172">
                  <c:v>-1.59807077585014E-3</c:v>
                </c:pt>
                <c:pt idx="173">
                  <c:v>-1.9603759841158101E-4</c:v>
                </c:pt>
                <c:pt idx="174">
                  <c:v>-1.05704259462912E-3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6-4CB9-8A57-10BF00040E3F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FALN x 10 dma / ANGL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2.34204909524595E-4</c:v>
                </c:pt>
                <c:pt idx="11">
                  <c:v>2.52484767425096E-4</c:v>
                </c:pt>
                <c:pt idx="12">
                  <c:v>4.41671706559552E-4</c:v>
                </c:pt>
                <c:pt idx="13">
                  <c:v>-6.17339072532959E-5</c:v>
                </c:pt>
                <c:pt idx="14">
                  <c:v>-1.9874945447411401E-4</c:v>
                </c:pt>
                <c:pt idx="15">
                  <c:v>-2.2007003248049201E-4</c:v>
                </c:pt>
                <c:pt idx="16">
                  <c:v>8.8545033232960695E-4</c:v>
                </c:pt>
                <c:pt idx="17">
                  <c:v>8.5739166071203304E-4</c:v>
                </c:pt>
                <c:pt idx="18">
                  <c:v>1.44164540440629E-3</c:v>
                </c:pt>
                <c:pt idx="19">
                  <c:v>5.9594438298988899E-4</c:v>
                </c:pt>
                <c:pt idx="20">
                  <c:v>5.5937847602638999E-4</c:v>
                </c:pt>
                <c:pt idx="21">
                  <c:v>7.8338114510483796E-4</c:v>
                </c:pt>
                <c:pt idx="22">
                  <c:v>2.58408095908778E-4</c:v>
                </c:pt>
                <c:pt idx="23">
                  <c:v>1.16957787012228E-4</c:v>
                </c:pt>
                <c:pt idx="24">
                  <c:v>-1.2084195851591001E-3</c:v>
                </c:pt>
                <c:pt idx="25">
                  <c:v>-6.95756260829164E-4</c:v>
                </c:pt>
                <c:pt idx="26">
                  <c:v>-1.0075108048611199E-3</c:v>
                </c:pt>
                <c:pt idx="27">
                  <c:v>-2.2424811538453398E-3</c:v>
                </c:pt>
                <c:pt idx="28">
                  <c:v>-2.2561385027905501E-3</c:v>
                </c:pt>
                <c:pt idx="29">
                  <c:v>-2.1731474398036001E-3</c:v>
                </c:pt>
                <c:pt idx="30">
                  <c:v>-1.5889988029158301E-3</c:v>
                </c:pt>
                <c:pt idx="31">
                  <c:v>-4.8822104354604698E-4</c:v>
                </c:pt>
                <c:pt idx="32">
                  <c:v>-8.8486290329378204E-4</c:v>
                </c:pt>
                <c:pt idx="33">
                  <c:v>-9.9807036437670805E-4</c:v>
                </c:pt>
                <c:pt idx="34">
                  <c:v>-4.8701705901323301E-4</c:v>
                </c:pt>
                <c:pt idx="35">
                  <c:v>-7.1871408614484296E-4</c:v>
                </c:pt>
                <c:pt idx="36">
                  <c:v>2.47249661490277E-4</c:v>
                </c:pt>
                <c:pt idx="37">
                  <c:v>1.0831440777567499E-3</c:v>
                </c:pt>
                <c:pt idx="38">
                  <c:v>1.14837145099692E-3</c:v>
                </c:pt>
                <c:pt idx="39">
                  <c:v>-1.87265378580836E-3</c:v>
                </c:pt>
                <c:pt idx="40">
                  <c:v>-7.5542736888938695E-4</c:v>
                </c:pt>
                <c:pt idx="41">
                  <c:v>-1.00348756919603E-4</c:v>
                </c:pt>
                <c:pt idx="42">
                  <c:v>9.7987885712948197E-4</c:v>
                </c:pt>
                <c:pt idx="43">
                  <c:v>-6.8209796743233997E-4</c:v>
                </c:pt>
                <c:pt idx="44">
                  <c:v>4.0698104579059403E-4</c:v>
                </c:pt>
                <c:pt idx="45">
                  <c:v>-1.38486897625358E-4</c:v>
                </c:pt>
                <c:pt idx="46">
                  <c:v>-4.3336373805078198E-4</c:v>
                </c:pt>
                <c:pt idx="47">
                  <c:v>-1.26877376205638E-3</c:v>
                </c:pt>
                <c:pt idx="48">
                  <c:v>-9.31544336171012E-4</c:v>
                </c:pt>
                <c:pt idx="49">
                  <c:v>6.1495689639578296E-4</c:v>
                </c:pt>
                <c:pt idx="50">
                  <c:v>1.0933890004552901E-3</c:v>
                </c:pt>
                <c:pt idx="51">
                  <c:v>-5.7084174840938795E-4</c:v>
                </c:pt>
                <c:pt idx="52">
                  <c:v>7.4577233281384605E-4</c:v>
                </c:pt>
                <c:pt idx="53">
                  <c:v>6.3772234117646497E-4</c:v>
                </c:pt>
                <c:pt idx="54">
                  <c:v>1.4603835572802499E-3</c:v>
                </c:pt>
                <c:pt idx="55">
                  <c:v>1.9101111456734301E-3</c:v>
                </c:pt>
                <c:pt idx="56">
                  <c:v>1.325725119058E-3</c:v>
                </c:pt>
                <c:pt idx="57">
                  <c:v>1.3202434226155799E-3</c:v>
                </c:pt>
                <c:pt idx="58">
                  <c:v>-3.6976252002309001E-4</c:v>
                </c:pt>
                <c:pt idx="59">
                  <c:v>6.4848103332844299E-4</c:v>
                </c:pt>
                <c:pt idx="60">
                  <c:v>1.7575204953299001E-4</c:v>
                </c:pt>
                <c:pt idx="61">
                  <c:v>1.7403696485957001E-4</c:v>
                </c:pt>
                <c:pt idx="62">
                  <c:v>-5.46522033786965E-4</c:v>
                </c:pt>
                <c:pt idx="63">
                  <c:v>-1.45747847140755E-3</c:v>
                </c:pt>
                <c:pt idx="64">
                  <c:v>-1.6237272386768001E-3</c:v>
                </c:pt>
                <c:pt idx="65">
                  <c:v>-9.0724997680044603E-4</c:v>
                </c:pt>
                <c:pt idx="66">
                  <c:v>-5.8476829961774505E-4</c:v>
                </c:pt>
                <c:pt idx="67">
                  <c:v>-1.7095805855481901E-3</c:v>
                </c:pt>
                <c:pt idx="68">
                  <c:v>-1.16020026330161E-3</c:v>
                </c:pt>
                <c:pt idx="69">
                  <c:v>-3.8571625759686097E-4</c:v>
                </c:pt>
                <c:pt idx="70">
                  <c:v>-6.3559442870734302E-4</c:v>
                </c:pt>
                <c:pt idx="71">
                  <c:v>-1.2994319315855301E-3</c:v>
                </c:pt>
                <c:pt idx="72">
                  <c:v>-7.1895316061827697E-4</c:v>
                </c:pt>
                <c:pt idx="73">
                  <c:v>-2.7938991937158901E-4</c:v>
                </c:pt>
                <c:pt idx="74">
                  <c:v>-4.2883874534350102E-4</c:v>
                </c:pt>
                <c:pt idx="75">
                  <c:v>-2.39020847674919E-4</c:v>
                </c:pt>
                <c:pt idx="76">
                  <c:v>-6.1470329148875097E-4</c:v>
                </c:pt>
                <c:pt idx="77">
                  <c:v>2.78690671807571E-4</c:v>
                </c:pt>
                <c:pt idx="78">
                  <c:v>6.3014814726453702E-4</c:v>
                </c:pt>
                <c:pt idx="79">
                  <c:v>8.6441697438524904E-4</c:v>
                </c:pt>
                <c:pt idx="80">
                  <c:v>-5.22643663118654E-4</c:v>
                </c:pt>
                <c:pt idx="81">
                  <c:v>-9.4428577774534198E-4</c:v>
                </c:pt>
                <c:pt idx="82">
                  <c:v>-4.83916592324255E-4</c:v>
                </c:pt>
                <c:pt idx="83">
                  <c:v>-3.4822874723441E-4</c:v>
                </c:pt>
                <c:pt idx="84">
                  <c:v>2.5608197474168398E-4</c:v>
                </c:pt>
                <c:pt idx="85">
                  <c:v>1.21940634010632E-4</c:v>
                </c:pt>
                <c:pt idx="86">
                  <c:v>1.6230006581366501E-3</c:v>
                </c:pt>
                <c:pt idx="87">
                  <c:v>1.6527125643282701E-3</c:v>
                </c:pt>
                <c:pt idx="88">
                  <c:v>9.2341947210951801E-4</c:v>
                </c:pt>
                <c:pt idx="89">
                  <c:v>1.0554487819206899E-3</c:v>
                </c:pt>
                <c:pt idx="90">
                  <c:v>6.1289701470940096E-4</c:v>
                </c:pt>
                <c:pt idx="91">
                  <c:v>4.7003551367118599E-4</c:v>
                </c:pt>
                <c:pt idx="92">
                  <c:v>8.9588800167930596E-4</c:v>
                </c:pt>
                <c:pt idx="93">
                  <c:v>7.35413535818688E-4</c:v>
                </c:pt>
                <c:pt idx="94">
                  <c:v>2.9198085796115498E-4</c:v>
                </c:pt>
                <c:pt idx="95">
                  <c:v>1.72235833095549E-3</c:v>
                </c:pt>
                <c:pt idx="96">
                  <c:v>5.2018309215815699E-4</c:v>
                </c:pt>
                <c:pt idx="97">
                  <c:v>9.1438666255406402E-4</c:v>
                </c:pt>
                <c:pt idx="98">
                  <c:v>-4.3308640272072998E-4</c:v>
                </c:pt>
                <c:pt idx="99">
                  <c:v>-4.29377095514007E-5</c:v>
                </c:pt>
                <c:pt idx="100">
                  <c:v>3.5173335665569002E-4</c:v>
                </c:pt>
                <c:pt idx="101">
                  <c:v>4.74521370013105E-4</c:v>
                </c:pt>
                <c:pt idx="102">
                  <c:v>2.76917579999356E-4</c:v>
                </c:pt>
                <c:pt idx="103">
                  <c:v>-8.1713046135711495E-4</c:v>
                </c:pt>
                <c:pt idx="104">
                  <c:v>-9.2763169647907596E-4</c:v>
                </c:pt>
                <c:pt idx="105">
                  <c:v>-1.10252018760988E-3</c:v>
                </c:pt>
                <c:pt idx="106">
                  <c:v>-9.1021445267033796E-4</c:v>
                </c:pt>
                <c:pt idx="107">
                  <c:v>-3.8514875462869702E-4</c:v>
                </c:pt>
                <c:pt idx="108">
                  <c:v>2.4833211803576501E-4</c:v>
                </c:pt>
                <c:pt idx="109">
                  <c:v>-5.3463485279072599E-6</c:v>
                </c:pt>
                <c:pt idx="110">
                  <c:v>5.0218497660802104E-4</c:v>
                </c:pt>
                <c:pt idx="111">
                  <c:v>5.3564050240153898E-4</c:v>
                </c:pt>
                <c:pt idx="112">
                  <c:v>7.1788769168881902E-4</c:v>
                </c:pt>
                <c:pt idx="113">
                  <c:v>1.4603691356569401E-3</c:v>
                </c:pt>
                <c:pt idx="114">
                  <c:v>1.79912298593574E-3</c:v>
                </c:pt>
                <c:pt idx="115">
                  <c:v>1.7883820284037601E-3</c:v>
                </c:pt>
                <c:pt idx="116">
                  <c:v>7.4597030330098805E-4</c:v>
                </c:pt>
                <c:pt idx="117">
                  <c:v>1.22428236635743E-3</c:v>
                </c:pt>
                <c:pt idx="118">
                  <c:v>3.5283559635131497E-4</c:v>
                </c:pt>
                <c:pt idx="119">
                  <c:v>-1.0657007654918799E-5</c:v>
                </c:pt>
                <c:pt idx="120">
                  <c:v>-5.48575589399874E-4</c:v>
                </c:pt>
                <c:pt idx="121">
                  <c:v>-1.3293097188220001E-4</c:v>
                </c:pt>
                <c:pt idx="122">
                  <c:v>5.0611610174827596E-4</c:v>
                </c:pt>
                <c:pt idx="123">
                  <c:v>4.2141755467487601E-4</c:v>
                </c:pt>
                <c:pt idx="124">
                  <c:v>4.9125239458694598E-4</c:v>
                </c:pt>
                <c:pt idx="125">
                  <c:v>1.2591266541708999E-3</c:v>
                </c:pt>
                <c:pt idx="126">
                  <c:v>3.4989597196712199E-4</c:v>
                </c:pt>
                <c:pt idx="127">
                  <c:v>1.5338213731588401E-3</c:v>
                </c:pt>
                <c:pt idx="128">
                  <c:v>7.7318719074100301E-4</c:v>
                </c:pt>
                <c:pt idx="129">
                  <c:v>1.60891037409047E-3</c:v>
                </c:pt>
                <c:pt idx="130">
                  <c:v>4.5334636886574099E-4</c:v>
                </c:pt>
                <c:pt idx="131">
                  <c:v>4.35712164741547E-4</c:v>
                </c:pt>
                <c:pt idx="132">
                  <c:v>1.47558835211604E-3</c:v>
                </c:pt>
                <c:pt idx="133">
                  <c:v>8.6720679739695503E-4</c:v>
                </c:pt>
                <c:pt idx="134">
                  <c:v>1.0394581972252199E-3</c:v>
                </c:pt>
                <c:pt idx="135">
                  <c:v>-3.1094743141732998E-4</c:v>
                </c:pt>
                <c:pt idx="136">
                  <c:v>-4.0496224338140898E-5</c:v>
                </c:pt>
                <c:pt idx="137">
                  <c:v>-6.4585232204083501E-4</c:v>
                </c:pt>
                <c:pt idx="138">
                  <c:v>-8.8395108852544599E-4</c:v>
                </c:pt>
                <c:pt idx="139">
                  <c:v>-4.8085851500056901E-4</c:v>
                </c:pt>
                <c:pt idx="140">
                  <c:v>-2.07333113649538E-3</c:v>
                </c:pt>
                <c:pt idx="141">
                  <c:v>-7.1595981902649198E-4</c:v>
                </c:pt>
                <c:pt idx="142">
                  <c:v>-1.2263153491997301E-3</c:v>
                </c:pt>
                <c:pt idx="143">
                  <c:v>-7.5433583141981599E-4</c:v>
                </c:pt>
                <c:pt idx="144">
                  <c:v>-1.34198701066669E-3</c:v>
                </c:pt>
                <c:pt idx="145">
                  <c:v>-4.8605397843761198E-4</c:v>
                </c:pt>
                <c:pt idx="146">
                  <c:v>-4.31875583887274E-4</c:v>
                </c:pt>
                <c:pt idx="147">
                  <c:v>-2.78811458524946E-4</c:v>
                </c:pt>
                <c:pt idx="148">
                  <c:v>-1.3395687382552399E-3</c:v>
                </c:pt>
                <c:pt idx="149">
                  <c:v>-1.33924604021007E-3</c:v>
                </c:pt>
                <c:pt idx="150">
                  <c:v>9.7639587235479205E-4</c:v>
                </c:pt>
                <c:pt idx="151">
                  <c:v>1.2176788096632E-3</c:v>
                </c:pt>
                <c:pt idx="152">
                  <c:v>-5.0315986560384802E-4</c:v>
                </c:pt>
                <c:pt idx="153">
                  <c:v>1.1890185437168799E-3</c:v>
                </c:pt>
                <c:pt idx="154">
                  <c:v>9.8671944693909603E-4</c:v>
                </c:pt>
                <c:pt idx="155">
                  <c:v>3.7475714431043798E-4</c:v>
                </c:pt>
                <c:pt idx="156">
                  <c:v>-7.9993854901071399E-4</c:v>
                </c:pt>
                <c:pt idx="157">
                  <c:v>-1.56415207151651E-4</c:v>
                </c:pt>
                <c:pt idx="158">
                  <c:v>2.16848758518287E-5</c:v>
                </c:pt>
                <c:pt idx="159">
                  <c:v>-4.4480282791442002E-4</c:v>
                </c:pt>
                <c:pt idx="160">
                  <c:v>-4.7435122901550201E-4</c:v>
                </c:pt>
                <c:pt idx="161">
                  <c:v>1.9109592824823499E-4</c:v>
                </c:pt>
                <c:pt idx="162">
                  <c:v>-4.99011551579724E-4</c:v>
                </c:pt>
                <c:pt idx="163">
                  <c:v>-5.1691498680875097E-4</c:v>
                </c:pt>
                <c:pt idx="164">
                  <c:v>-1.80804508414118E-4</c:v>
                </c:pt>
                <c:pt idx="165">
                  <c:v>-1.18434186945219E-4</c:v>
                </c:pt>
                <c:pt idx="166">
                  <c:v>1.07458314157878E-3</c:v>
                </c:pt>
                <c:pt idx="167">
                  <c:v>3.0089402435654798E-4</c:v>
                </c:pt>
                <c:pt idx="168">
                  <c:v>-3.7741546253421799E-4</c:v>
                </c:pt>
                <c:pt idx="169">
                  <c:v>-3.57113966218948E-4</c:v>
                </c:pt>
                <c:pt idx="170">
                  <c:v>-1.86239739316626E-3</c:v>
                </c:pt>
                <c:pt idx="171">
                  <c:v>-1.8469328211731099E-3</c:v>
                </c:pt>
                <c:pt idx="172">
                  <c:v>-2.0794738382989902E-3</c:v>
                </c:pt>
                <c:pt idx="173">
                  <c:v>-4.5882347733996001E-4</c:v>
                </c:pt>
                <c:pt idx="174">
                  <c:v>-1.2416042816290999E-3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6-4CB9-8A57-10BF00040E3F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FALN x 20 dma / ANGL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9.7432527208692597E-4</c:v>
                </c:pt>
                <c:pt idx="21">
                  <c:v>1.1966746915550901E-3</c:v>
                </c:pt>
                <c:pt idx="22">
                  <c:v>6.8359433780404205E-4</c:v>
                </c:pt>
                <c:pt idx="23">
                  <c:v>4.9260478475389403E-4</c:v>
                </c:pt>
                <c:pt idx="24">
                  <c:v>-8.17069111488468E-4</c:v>
                </c:pt>
                <c:pt idx="25">
                  <c:v>-3.390211316353E-4</c:v>
                </c:pt>
                <c:pt idx="26">
                  <c:v>-6.4265582287776398E-4</c:v>
                </c:pt>
                <c:pt idx="27">
                  <c:v>-1.9251185573966501E-3</c:v>
                </c:pt>
                <c:pt idx="28">
                  <c:v>-2.1203901600516501E-3</c:v>
                </c:pt>
                <c:pt idx="29">
                  <c:v>-2.2813037804003599E-3</c:v>
                </c:pt>
                <c:pt idx="30">
                  <c:v>-1.8852493622838499E-3</c:v>
                </c:pt>
                <c:pt idx="31">
                  <c:v>-9.7920355666372E-4</c:v>
                </c:pt>
                <c:pt idx="32">
                  <c:v>-1.5562094552615099E-3</c:v>
                </c:pt>
                <c:pt idx="33">
                  <c:v>-1.8269094767388E-3</c:v>
                </c:pt>
                <c:pt idx="34">
                  <c:v>-1.50079277761753E-3</c:v>
                </c:pt>
                <c:pt idx="35">
                  <c:v>-1.7864089100101601E-3</c:v>
                </c:pt>
                <c:pt idx="36">
                  <c:v>-9.4012648514843196E-4</c:v>
                </c:pt>
                <c:pt idx="37">
                  <c:v>-1.02065788270525E-4</c:v>
                </c:pt>
                <c:pt idx="38">
                  <c:v>1.3400846994093799E-4</c:v>
                </c:pt>
                <c:pt idx="39">
                  <c:v>-2.6471418213345199E-3</c:v>
                </c:pt>
                <c:pt idx="40">
                  <c:v>-1.44315697001949E-3</c:v>
                </c:pt>
                <c:pt idx="41">
                  <c:v>-6.7821888011545899E-4</c:v>
                </c:pt>
                <c:pt idx="42">
                  <c:v>4.7617667105744998E-4</c:v>
                </c:pt>
                <c:pt idx="43">
                  <c:v>-1.01877718343896E-3</c:v>
                </c:pt>
                <c:pt idx="44">
                  <c:v>1.90981465395012E-4</c:v>
                </c:pt>
                <c:pt idx="45">
                  <c:v>-2.6606385609880603E-4</c:v>
                </c:pt>
                <c:pt idx="46">
                  <c:v>-4.3676699177197103E-4</c:v>
                </c:pt>
                <c:pt idx="47">
                  <c:v>-1.25052800285568E-3</c:v>
                </c:pt>
                <c:pt idx="48">
                  <c:v>-1.0767223425763E-3</c:v>
                </c:pt>
                <c:pt idx="49">
                  <c:v>2.8264225472492301E-4</c:v>
                </c:pt>
                <c:pt idx="50">
                  <c:v>9.14742210644203E-4</c:v>
                </c:pt>
                <c:pt idx="51">
                  <c:v>-6.4781689546402005E-4</c:v>
                </c:pt>
                <c:pt idx="52">
                  <c:v>6.7596483163592997E-4</c:v>
                </c:pt>
                <c:pt idx="53">
                  <c:v>5.0642007985267498E-4</c:v>
                </c:pt>
                <c:pt idx="54">
                  <c:v>1.39981511570418E-3</c:v>
                </c:pt>
                <c:pt idx="55">
                  <c:v>1.8730164213532699E-3</c:v>
                </c:pt>
                <c:pt idx="56">
                  <c:v>1.37101176316452E-3</c:v>
                </c:pt>
                <c:pt idx="57">
                  <c:v>1.49237124614456E-3</c:v>
                </c:pt>
                <c:pt idx="58">
                  <c:v>6.4920941914196103E-5</c:v>
                </c:pt>
                <c:pt idx="59">
                  <c:v>1.2733665836221499E-3</c:v>
                </c:pt>
                <c:pt idx="60">
                  <c:v>7.7359109992066399E-4</c:v>
                </c:pt>
                <c:pt idx="61">
                  <c:v>7.1117128581704204E-4</c:v>
                </c:pt>
                <c:pt idx="62">
                  <c:v>1.1293311624806E-4</c:v>
                </c:pt>
                <c:pt idx="63">
                  <c:v>-7.7803159768877097E-4</c:v>
                </c:pt>
                <c:pt idx="64">
                  <c:v>-1.03407144643276E-3</c:v>
                </c:pt>
                <c:pt idx="65">
                  <c:v>-4.5954892015604099E-4</c:v>
                </c:pt>
                <c:pt idx="66">
                  <c:v>-3.3186805799014798E-4</c:v>
                </c:pt>
                <c:pt idx="67">
                  <c:v>-1.6193874024581401E-3</c:v>
                </c:pt>
                <c:pt idx="68">
                  <c:v>-1.35918916911749E-3</c:v>
                </c:pt>
                <c:pt idx="69">
                  <c:v>-7.1575417254191704E-4</c:v>
                </c:pt>
                <c:pt idx="70">
                  <c:v>-1.11439392080174E-3</c:v>
                </c:pt>
                <c:pt idx="71">
                  <c:v>-1.8804899782253999E-3</c:v>
                </c:pt>
                <c:pt idx="72">
                  <c:v>-1.52265141420263E-3</c:v>
                </c:pt>
                <c:pt idx="73">
                  <c:v>-1.1733218323664999E-3</c:v>
                </c:pt>
                <c:pt idx="74">
                  <c:v>-1.31642614721202E-3</c:v>
                </c:pt>
                <c:pt idx="75">
                  <c:v>-1.0604095855278101E-3</c:v>
                </c:pt>
                <c:pt idx="76">
                  <c:v>-1.38878292453632E-3</c:v>
                </c:pt>
                <c:pt idx="77">
                  <c:v>-5.0407222853666002E-4</c:v>
                </c:pt>
                <c:pt idx="78">
                  <c:v>1.0868772646872901E-5</c:v>
                </c:pt>
                <c:pt idx="79">
                  <c:v>3.3210163596902301E-4</c:v>
                </c:pt>
                <c:pt idx="80">
                  <c:v>-9.6107785180405097E-4</c:v>
                </c:pt>
                <c:pt idx="81">
                  <c:v>-1.33252122721285E-3</c:v>
                </c:pt>
                <c:pt idx="82">
                  <c:v>-7.6150132308565896E-4</c:v>
                </c:pt>
                <c:pt idx="83">
                  <c:v>-5.5284595674792096E-4</c:v>
                </c:pt>
                <c:pt idx="84">
                  <c:v>5.8082670912138098E-5</c:v>
                </c:pt>
                <c:pt idx="85">
                  <c:v>-3.2566680614350001E-5</c:v>
                </c:pt>
                <c:pt idx="86">
                  <c:v>1.5198293190802801E-3</c:v>
                </c:pt>
                <c:pt idx="87">
                  <c:v>1.7299697666251E-3</c:v>
                </c:pt>
                <c:pt idx="88">
                  <c:v>1.0559413232216399E-3</c:v>
                </c:pt>
                <c:pt idx="89">
                  <c:v>1.18830706534782E-3</c:v>
                </c:pt>
                <c:pt idx="90">
                  <c:v>7.5932147639453805E-4</c:v>
                </c:pt>
                <c:pt idx="91">
                  <c:v>7.2612219778757695E-4</c:v>
                </c:pt>
                <c:pt idx="92">
                  <c:v>1.2694787324992001E-3</c:v>
                </c:pt>
                <c:pt idx="93">
                  <c:v>1.23144437578535E-3</c:v>
                </c:pt>
                <c:pt idx="94">
                  <c:v>9.1580606231471396E-4</c:v>
                </c:pt>
                <c:pt idx="95">
                  <c:v>2.3959576279818698E-3</c:v>
                </c:pt>
                <c:pt idx="96">
                  <c:v>1.33863767706129E-3</c:v>
                </c:pt>
                <c:pt idx="97">
                  <c:v>1.6579316898246001E-3</c:v>
                </c:pt>
                <c:pt idx="98">
                  <c:v>2.7145770989806E-4</c:v>
                </c:pt>
                <c:pt idx="99">
                  <c:v>6.3629675535391305E-4</c:v>
                </c:pt>
                <c:pt idx="100">
                  <c:v>1.02112649576623E-3</c:v>
                </c:pt>
                <c:pt idx="101">
                  <c:v>1.1263438737587801E-3</c:v>
                </c:pt>
                <c:pt idx="102">
                  <c:v>8.9774342724080697E-4</c:v>
                </c:pt>
                <c:pt idx="103">
                  <c:v>-2.7160312842576501E-4</c:v>
                </c:pt>
                <c:pt idx="104">
                  <c:v>-5.09082946574267E-4</c:v>
                </c:pt>
                <c:pt idx="105">
                  <c:v>-7.6733564866029297E-4</c:v>
                </c:pt>
                <c:pt idx="106">
                  <c:v>-8.3014833307105897E-4</c:v>
                </c:pt>
                <c:pt idx="107">
                  <c:v>-3.95277882589023E-4</c:v>
                </c:pt>
                <c:pt idx="108">
                  <c:v>1.34850387467105E-4</c:v>
                </c:pt>
                <c:pt idx="109">
                  <c:v>-9.8713532607035395E-5</c:v>
                </c:pt>
                <c:pt idx="110">
                  <c:v>3.8837941473530399E-4</c:v>
                </c:pt>
                <c:pt idx="111">
                  <c:v>3.6411494410030099E-4</c:v>
                </c:pt>
                <c:pt idx="112">
                  <c:v>4.6688927019562901E-4</c:v>
                </c:pt>
                <c:pt idx="113">
                  <c:v>1.1752108443546E-3</c:v>
                </c:pt>
                <c:pt idx="114">
                  <c:v>1.6223525891142E-3</c:v>
                </c:pt>
                <c:pt idx="115">
                  <c:v>1.7493455665963599E-3</c:v>
                </c:pt>
                <c:pt idx="116">
                  <c:v>9.5528469370308601E-4</c:v>
                </c:pt>
                <c:pt idx="117">
                  <c:v>1.6009523063680001E-3</c:v>
                </c:pt>
                <c:pt idx="118">
                  <c:v>9.1369939903985804E-4</c:v>
                </c:pt>
                <c:pt idx="119">
                  <c:v>5.8882257791257795E-4</c:v>
                </c:pt>
                <c:pt idx="120">
                  <c:v>1.18107796561914E-4</c:v>
                </c:pt>
                <c:pt idx="121">
                  <c:v>5.5173911110425902E-4</c:v>
                </c:pt>
                <c:pt idx="122">
                  <c:v>1.23994250710358E-3</c:v>
                </c:pt>
                <c:pt idx="123">
                  <c:v>1.2211253414627101E-3</c:v>
                </c:pt>
                <c:pt idx="124">
                  <c:v>1.2335934806556E-3</c:v>
                </c:pt>
                <c:pt idx="125">
                  <c:v>1.8916013023495899E-3</c:v>
                </c:pt>
                <c:pt idx="126">
                  <c:v>8.7843614221702702E-4</c:v>
                </c:pt>
                <c:pt idx="127">
                  <c:v>1.9915839419758401E-3</c:v>
                </c:pt>
                <c:pt idx="128">
                  <c:v>1.1739750308721699E-3</c:v>
                </c:pt>
                <c:pt idx="129">
                  <c:v>2.0094647323569701E-3</c:v>
                </c:pt>
                <c:pt idx="130">
                  <c:v>9.1521508434302501E-4</c:v>
                </c:pt>
                <c:pt idx="131">
                  <c:v>9.7983484160615495E-4</c:v>
                </c:pt>
                <c:pt idx="132">
                  <c:v>2.0675740649132601E-3</c:v>
                </c:pt>
                <c:pt idx="133">
                  <c:v>1.5040646486331199E-3</c:v>
                </c:pt>
                <c:pt idx="134">
                  <c:v>1.7343282887349999E-3</c:v>
                </c:pt>
                <c:pt idx="135">
                  <c:v>4.7205386164520798E-4</c:v>
                </c:pt>
                <c:pt idx="136">
                  <c:v>7.0550924263224697E-4</c:v>
                </c:pt>
                <c:pt idx="137">
                  <c:v>1.22221762357421E-4</c:v>
                </c:pt>
                <c:pt idx="138">
                  <c:v>-2.0934957936773001E-4</c:v>
                </c:pt>
                <c:pt idx="139">
                  <c:v>1.17181646465763E-4</c:v>
                </c:pt>
                <c:pt idx="140">
                  <c:v>-1.6410703415742601E-3</c:v>
                </c:pt>
                <c:pt idx="141">
                  <c:v>-4.6330468050952801E-4</c:v>
                </c:pt>
                <c:pt idx="142">
                  <c:v>-1.0888846350364399E-3</c:v>
                </c:pt>
                <c:pt idx="143">
                  <c:v>-8.4587360859324895E-4</c:v>
                </c:pt>
                <c:pt idx="144">
                  <c:v>-1.60966471560723E-3</c:v>
                </c:pt>
                <c:pt idx="145">
                  <c:v>-9.9631841175595501E-4</c:v>
                </c:pt>
                <c:pt idx="146">
                  <c:v>-1.0016581069276101E-3</c:v>
                </c:pt>
                <c:pt idx="147">
                  <c:v>-9.8013108203329593E-4</c:v>
                </c:pt>
                <c:pt idx="148">
                  <c:v>-2.0604487515439502E-3</c:v>
                </c:pt>
                <c:pt idx="149">
                  <c:v>-2.13955801253298E-3</c:v>
                </c:pt>
                <c:pt idx="150">
                  <c:v>9.7870465607938703E-5</c:v>
                </c:pt>
                <c:pt idx="151">
                  <c:v>4.8682597478282702E-4</c:v>
                </c:pt>
                <c:pt idx="152">
                  <c:v>-1.17817172441706E-3</c:v>
                </c:pt>
                <c:pt idx="153">
                  <c:v>6.0391872632332695E-4</c:v>
                </c:pt>
                <c:pt idx="154">
                  <c:v>5.3037348332211096E-4</c:v>
                </c:pt>
                <c:pt idx="155">
                  <c:v>1.3491678767836701E-4</c:v>
                </c:pt>
                <c:pt idx="156">
                  <c:v>-9.60959676611816E-4</c:v>
                </c:pt>
                <c:pt idx="157">
                  <c:v>-2.7543122105199097E-4</c:v>
                </c:pt>
                <c:pt idx="158">
                  <c:v>-5.1329132353403603E-5</c:v>
                </c:pt>
                <c:pt idx="159">
                  <c:v>-3.6209279187815197E-4</c:v>
                </c:pt>
                <c:pt idx="160">
                  <c:v>-2.15582836741227E-4</c:v>
                </c:pt>
                <c:pt idx="161">
                  <c:v>3.3860166024649399E-4</c:v>
                </c:pt>
                <c:pt idx="162">
                  <c:v>-4.11618178103233E-4</c:v>
                </c:pt>
                <c:pt idx="163">
                  <c:v>-3.8919438907587199E-4</c:v>
                </c:pt>
                <c:pt idx="164">
                  <c:v>-1.64208101917758E-4</c:v>
                </c:pt>
                <c:pt idx="165">
                  <c:v>-2.2929881233696599E-4</c:v>
                </c:pt>
                <c:pt idx="166">
                  <c:v>9.0893877068192396E-4</c:v>
                </c:pt>
                <c:pt idx="167">
                  <c:v>2.4690131525195101E-4</c:v>
                </c:pt>
                <c:pt idx="168">
                  <c:v>-4.0816197748762099E-4</c:v>
                </c:pt>
                <c:pt idx="169">
                  <c:v>-4.7168728873543398E-4</c:v>
                </c:pt>
                <c:pt idx="170">
                  <c:v>-2.03708485850703E-3</c:v>
                </c:pt>
                <c:pt idx="171">
                  <c:v>-2.06190178549512E-3</c:v>
                </c:pt>
                <c:pt idx="172">
                  <c:v>-2.3813234765388399E-3</c:v>
                </c:pt>
                <c:pt idx="173">
                  <c:v>-8.7889072998524999E-4</c:v>
                </c:pt>
                <c:pt idx="174">
                  <c:v>-1.62829202986916E-3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6-4CB9-8A57-10BF00040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-2.6040087919132005E-4</c:v>
                </c:pt>
                <c:pt idx="9">
                  <c:v>-5.2016789432217012E-4</c:v>
                </c:pt>
                <c:pt idx="10">
                  <c:v>-2.3471958188806712E-4</c:v>
                </c:pt>
                <c:pt idx="11">
                  <c:v>5.9193914594596277E-4</c:v>
                </c:pt>
                <c:pt idx="12">
                  <c:v>-2.9914338157780124E-5</c:v>
                </c:pt>
                <c:pt idx="13">
                  <c:v>-3.9164340703231313E-4</c:v>
                </c:pt>
                <c:pt idx="14">
                  <c:v>-1.5778340041225315E-4</c:v>
                </c:pt>
                <c:pt idx="15">
                  <c:v>-5.2016789432194417E-4</c:v>
                </c:pt>
                <c:pt idx="16">
                  <c:v>2.2994819176723187E-4</c:v>
                </c:pt>
                <c:pt idx="17">
                  <c:v>9.5379911009030891E-4</c:v>
                </c:pt>
                <c:pt idx="18">
                  <c:v>1.1143531353690786E-3</c:v>
                </c:pt>
                <c:pt idx="19">
                  <c:v>1.1143531353690786E-3</c:v>
                </c:pt>
                <c:pt idx="20">
                  <c:v>2.1065230957730383E-3</c:v>
                </c:pt>
                <c:pt idx="21">
                  <c:v>2.7073408026283582E-3</c:v>
                </c:pt>
                <c:pt idx="22">
                  <c:v>3.7107729497802386E-3</c:v>
                </c:pt>
                <c:pt idx="23">
                  <c:v>3.7107729497802386E-3</c:v>
                </c:pt>
                <c:pt idx="24">
                  <c:v>3.7107729497802386E-3</c:v>
                </c:pt>
                <c:pt idx="25">
                  <c:v>3.7107729497802386E-3</c:v>
                </c:pt>
                <c:pt idx="26">
                  <c:v>3.7107729497802386E-3</c:v>
                </c:pt>
                <c:pt idx="27">
                  <c:v>3.7107729497802386E-3</c:v>
                </c:pt>
                <c:pt idx="28">
                  <c:v>3.7107729497802386E-3</c:v>
                </c:pt>
                <c:pt idx="29">
                  <c:v>3.7107729497802386E-3</c:v>
                </c:pt>
                <c:pt idx="30">
                  <c:v>3.7107729497802386E-3</c:v>
                </c:pt>
                <c:pt idx="31">
                  <c:v>3.7107729497802386E-3</c:v>
                </c:pt>
                <c:pt idx="32">
                  <c:v>3.7107729497802386E-3</c:v>
                </c:pt>
                <c:pt idx="33">
                  <c:v>3.7107729497802386E-3</c:v>
                </c:pt>
                <c:pt idx="34">
                  <c:v>3.7107729497802386E-3</c:v>
                </c:pt>
                <c:pt idx="35">
                  <c:v>3.7107729497802386E-3</c:v>
                </c:pt>
                <c:pt idx="36">
                  <c:v>3.7107729497802386E-3</c:v>
                </c:pt>
                <c:pt idx="37">
                  <c:v>3.7107729497802386E-3</c:v>
                </c:pt>
                <c:pt idx="38">
                  <c:v>3.7107729497802386E-3</c:v>
                </c:pt>
                <c:pt idx="39">
                  <c:v>3.7107729497802386E-3</c:v>
                </c:pt>
                <c:pt idx="40">
                  <c:v>3.7107729497802386E-3</c:v>
                </c:pt>
                <c:pt idx="41">
                  <c:v>3.7107729497802386E-3</c:v>
                </c:pt>
                <c:pt idx="42">
                  <c:v>3.7107729497802386E-3</c:v>
                </c:pt>
                <c:pt idx="43">
                  <c:v>3.7107729497802386E-3</c:v>
                </c:pt>
                <c:pt idx="44">
                  <c:v>3.7107729497802386E-3</c:v>
                </c:pt>
                <c:pt idx="45">
                  <c:v>4.2366257751847783E-3</c:v>
                </c:pt>
                <c:pt idx="46">
                  <c:v>4.3669203029861377E-3</c:v>
                </c:pt>
                <c:pt idx="47">
                  <c:v>3.1016587015893875E-3</c:v>
                </c:pt>
                <c:pt idx="48">
                  <c:v>3.3660537817379274E-3</c:v>
                </c:pt>
                <c:pt idx="49">
                  <c:v>4.0216320517204376E-3</c:v>
                </c:pt>
                <c:pt idx="50">
                  <c:v>3.6024081653870024E-3</c:v>
                </c:pt>
                <c:pt idx="51">
                  <c:v>2.7617128433150223E-3</c:v>
                </c:pt>
                <c:pt idx="52">
                  <c:v>3.078638873780612E-3</c:v>
                </c:pt>
                <c:pt idx="53">
                  <c:v>3.3402010202411821E-3</c:v>
                </c:pt>
                <c:pt idx="54">
                  <c:v>3.1296981280561722E-3</c:v>
                </c:pt>
                <c:pt idx="55">
                  <c:v>3.2614021944781424E-3</c:v>
                </c:pt>
                <c:pt idx="56">
                  <c:v>2.7882263815250225E-3</c:v>
                </c:pt>
                <c:pt idx="57">
                  <c:v>3.5237909604789322E-3</c:v>
                </c:pt>
                <c:pt idx="58">
                  <c:v>3.9174596984676516E-3</c:v>
                </c:pt>
                <c:pt idx="59">
                  <c:v>4.206851096326532E-3</c:v>
                </c:pt>
                <c:pt idx="60">
                  <c:v>4.206851096326532E-3</c:v>
                </c:pt>
                <c:pt idx="61">
                  <c:v>4.206851096326532E-3</c:v>
                </c:pt>
                <c:pt idx="62">
                  <c:v>4.206851096326532E-3</c:v>
                </c:pt>
                <c:pt idx="63">
                  <c:v>4.206851096326532E-3</c:v>
                </c:pt>
                <c:pt idx="64">
                  <c:v>4.206851096326532E-3</c:v>
                </c:pt>
                <c:pt idx="65">
                  <c:v>4.206851096326532E-3</c:v>
                </c:pt>
                <c:pt idx="66">
                  <c:v>4.206851096326532E-3</c:v>
                </c:pt>
                <c:pt idx="67">
                  <c:v>4.206851096326532E-3</c:v>
                </c:pt>
                <c:pt idx="68">
                  <c:v>4.206851096326532E-3</c:v>
                </c:pt>
                <c:pt idx="69">
                  <c:v>4.206851096326532E-3</c:v>
                </c:pt>
                <c:pt idx="70">
                  <c:v>4.206851096326532E-3</c:v>
                </c:pt>
                <c:pt idx="71">
                  <c:v>4.206851096326532E-3</c:v>
                </c:pt>
                <c:pt idx="72">
                  <c:v>4.206851096326532E-3</c:v>
                </c:pt>
                <c:pt idx="73">
                  <c:v>4.206851096326532E-3</c:v>
                </c:pt>
                <c:pt idx="74">
                  <c:v>4.206851096326532E-3</c:v>
                </c:pt>
                <c:pt idx="75">
                  <c:v>4.206851096326532E-3</c:v>
                </c:pt>
                <c:pt idx="76">
                  <c:v>4.206851096326532E-3</c:v>
                </c:pt>
                <c:pt idx="77">
                  <c:v>4.206851096326532E-3</c:v>
                </c:pt>
                <c:pt idx="78">
                  <c:v>4.206851096326532E-3</c:v>
                </c:pt>
                <c:pt idx="79">
                  <c:v>4.206851096326532E-3</c:v>
                </c:pt>
                <c:pt idx="80">
                  <c:v>4.206851096326532E-3</c:v>
                </c:pt>
                <c:pt idx="81">
                  <c:v>4.206851096326532E-3</c:v>
                </c:pt>
                <c:pt idx="82">
                  <c:v>4.206851096326532E-3</c:v>
                </c:pt>
                <c:pt idx="83">
                  <c:v>4.206851096326532E-3</c:v>
                </c:pt>
                <c:pt idx="84">
                  <c:v>4.206851096326532E-3</c:v>
                </c:pt>
                <c:pt idx="85">
                  <c:v>4.206851096326532E-3</c:v>
                </c:pt>
                <c:pt idx="86">
                  <c:v>4.206851096326532E-3</c:v>
                </c:pt>
                <c:pt idx="87">
                  <c:v>4.206851096326532E-3</c:v>
                </c:pt>
                <c:pt idx="88">
                  <c:v>4.206851096326532E-3</c:v>
                </c:pt>
                <c:pt idx="89">
                  <c:v>4.206851096326532E-3</c:v>
                </c:pt>
                <c:pt idx="90">
                  <c:v>4.206851096326532E-3</c:v>
                </c:pt>
                <c:pt idx="91">
                  <c:v>4.206851096326532E-3</c:v>
                </c:pt>
                <c:pt idx="92">
                  <c:v>4.206851096326532E-3</c:v>
                </c:pt>
                <c:pt idx="93">
                  <c:v>4.206851096326532E-3</c:v>
                </c:pt>
                <c:pt idx="94">
                  <c:v>4.206851096326532E-3</c:v>
                </c:pt>
                <c:pt idx="95">
                  <c:v>4.206851096326532E-3</c:v>
                </c:pt>
                <c:pt idx="96">
                  <c:v>4.206851096326532E-3</c:v>
                </c:pt>
                <c:pt idx="97">
                  <c:v>4.206851096326532E-3</c:v>
                </c:pt>
                <c:pt idx="98">
                  <c:v>4.206851096326532E-3</c:v>
                </c:pt>
                <c:pt idx="99">
                  <c:v>4.206851096326532E-3</c:v>
                </c:pt>
                <c:pt idx="100">
                  <c:v>4.206851096326532E-3</c:v>
                </c:pt>
                <c:pt idx="101">
                  <c:v>4.206851096326532E-3</c:v>
                </c:pt>
                <c:pt idx="102">
                  <c:v>4.206851096326532E-3</c:v>
                </c:pt>
                <c:pt idx="103">
                  <c:v>4.206851096326532E-3</c:v>
                </c:pt>
                <c:pt idx="104">
                  <c:v>4.206851096326532E-3</c:v>
                </c:pt>
                <c:pt idx="105">
                  <c:v>4.206851096326532E-3</c:v>
                </c:pt>
                <c:pt idx="106">
                  <c:v>4.206851096326532E-3</c:v>
                </c:pt>
                <c:pt idx="107">
                  <c:v>4.206851096326532E-3</c:v>
                </c:pt>
                <c:pt idx="108">
                  <c:v>4.206851096326532E-3</c:v>
                </c:pt>
                <c:pt idx="109">
                  <c:v>4.206851096326532E-3</c:v>
                </c:pt>
                <c:pt idx="110">
                  <c:v>4.206851096326532E-3</c:v>
                </c:pt>
                <c:pt idx="111">
                  <c:v>4.206851096326532E-3</c:v>
                </c:pt>
                <c:pt idx="112">
                  <c:v>4.206851096326532E-3</c:v>
                </c:pt>
                <c:pt idx="113">
                  <c:v>4.206851096326532E-3</c:v>
                </c:pt>
                <c:pt idx="114">
                  <c:v>4.206851096326532E-3</c:v>
                </c:pt>
                <c:pt idx="115">
                  <c:v>4.206851096326532E-3</c:v>
                </c:pt>
                <c:pt idx="116">
                  <c:v>4.206851096326532E-3</c:v>
                </c:pt>
                <c:pt idx="117">
                  <c:v>4.206851096326532E-3</c:v>
                </c:pt>
                <c:pt idx="118">
                  <c:v>4.206851096326532E-3</c:v>
                </c:pt>
                <c:pt idx="119">
                  <c:v>4.206851096326532E-3</c:v>
                </c:pt>
                <c:pt idx="120">
                  <c:v>4.206851096326532E-3</c:v>
                </c:pt>
                <c:pt idx="121">
                  <c:v>5.3977953581393415E-3</c:v>
                </c:pt>
                <c:pt idx="122">
                  <c:v>4.8227739720404419E-3</c:v>
                </c:pt>
                <c:pt idx="123">
                  <c:v>5.0520736606597724E-3</c:v>
                </c:pt>
                <c:pt idx="124">
                  <c:v>4.284002779660484E-3</c:v>
                </c:pt>
                <c:pt idx="125">
                  <c:v>4.284002779660484E-3</c:v>
                </c:pt>
                <c:pt idx="126">
                  <c:v>4.284002779660484E-3</c:v>
                </c:pt>
                <c:pt idx="127">
                  <c:v>4.284002779660484E-3</c:v>
                </c:pt>
                <c:pt idx="128">
                  <c:v>4.284002779660484E-3</c:v>
                </c:pt>
                <c:pt idx="129">
                  <c:v>4.0944795490285135E-3</c:v>
                </c:pt>
                <c:pt idx="130">
                  <c:v>6.1641594875545928E-3</c:v>
                </c:pt>
                <c:pt idx="131">
                  <c:v>6.5345984619703638E-3</c:v>
                </c:pt>
                <c:pt idx="132">
                  <c:v>6.5345984619703638E-3</c:v>
                </c:pt>
                <c:pt idx="133">
                  <c:v>6.5345984619703638E-3</c:v>
                </c:pt>
                <c:pt idx="134">
                  <c:v>6.5345984619703638E-3</c:v>
                </c:pt>
                <c:pt idx="135">
                  <c:v>6.5345984619703638E-3</c:v>
                </c:pt>
                <c:pt idx="136">
                  <c:v>6.5345984619703638E-3</c:v>
                </c:pt>
                <c:pt idx="137">
                  <c:v>6.5345984619703638E-3</c:v>
                </c:pt>
                <c:pt idx="138">
                  <c:v>6.5345984619703638E-3</c:v>
                </c:pt>
                <c:pt idx="139">
                  <c:v>6.5345984619703638E-3</c:v>
                </c:pt>
                <c:pt idx="140">
                  <c:v>6.5345984619703638E-3</c:v>
                </c:pt>
                <c:pt idx="141">
                  <c:v>6.5345984619703638E-3</c:v>
                </c:pt>
                <c:pt idx="142">
                  <c:v>6.5345984619703638E-3</c:v>
                </c:pt>
                <c:pt idx="143">
                  <c:v>6.5345984619703638E-3</c:v>
                </c:pt>
                <c:pt idx="144">
                  <c:v>6.5345984619703638E-3</c:v>
                </c:pt>
                <c:pt idx="145">
                  <c:v>6.5345984619703638E-3</c:v>
                </c:pt>
                <c:pt idx="146">
                  <c:v>6.5345984619703638E-3</c:v>
                </c:pt>
                <c:pt idx="147">
                  <c:v>6.5345984619703638E-3</c:v>
                </c:pt>
                <c:pt idx="148">
                  <c:v>6.5345984619703638E-3</c:v>
                </c:pt>
                <c:pt idx="149">
                  <c:v>6.5345984619703638E-3</c:v>
                </c:pt>
                <c:pt idx="150">
                  <c:v>6.5345984619703638E-3</c:v>
                </c:pt>
                <c:pt idx="151">
                  <c:v>6.3761602410326631E-3</c:v>
                </c:pt>
                <c:pt idx="152">
                  <c:v>5.8966970416695734E-3</c:v>
                </c:pt>
                <c:pt idx="153">
                  <c:v>7.2987302191081533E-3</c:v>
                </c:pt>
                <c:pt idx="154">
                  <c:v>6.4377252228905932E-3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7A-4131-89AB-A1A46D69D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3.8710795014635941E-4</c:v>
                </c:pt>
                <c:pt idx="37">
                  <c:v>2.0768065326453884E-4</c:v>
                </c:pt>
                <c:pt idx="38">
                  <c:v>1.6042761898009991E-3</c:v>
                </c:pt>
                <c:pt idx="39">
                  <c:v>1.6042761898009991E-3</c:v>
                </c:pt>
                <c:pt idx="40">
                  <c:v>1.6042761898009991E-3</c:v>
                </c:pt>
                <c:pt idx="41">
                  <c:v>1.6042761898009991E-3</c:v>
                </c:pt>
                <c:pt idx="42">
                  <c:v>1.6042761898009991E-3</c:v>
                </c:pt>
                <c:pt idx="43">
                  <c:v>1.6042761898009991E-3</c:v>
                </c:pt>
                <c:pt idx="44">
                  <c:v>1.6042761898009991E-3</c:v>
                </c:pt>
                <c:pt idx="45">
                  <c:v>1.6042761898009991E-3</c:v>
                </c:pt>
                <c:pt idx="46">
                  <c:v>1.6042761898009991E-3</c:v>
                </c:pt>
                <c:pt idx="47">
                  <c:v>1.6042761898009991E-3</c:v>
                </c:pt>
                <c:pt idx="48">
                  <c:v>1.6042761898009991E-3</c:v>
                </c:pt>
                <c:pt idx="49">
                  <c:v>1.6042761898009991E-3</c:v>
                </c:pt>
                <c:pt idx="50">
                  <c:v>1.6042761898009991E-3</c:v>
                </c:pt>
                <c:pt idx="51">
                  <c:v>1.6042761898009991E-3</c:v>
                </c:pt>
                <c:pt idx="52">
                  <c:v>1.6042761898009991E-3</c:v>
                </c:pt>
                <c:pt idx="53">
                  <c:v>1.6042761898009991E-3</c:v>
                </c:pt>
                <c:pt idx="54">
                  <c:v>1.6042761898009991E-3</c:v>
                </c:pt>
                <c:pt idx="55">
                  <c:v>1.6042761898009991E-3</c:v>
                </c:pt>
                <c:pt idx="56">
                  <c:v>1.6042761898009991E-3</c:v>
                </c:pt>
                <c:pt idx="57">
                  <c:v>1.6042761898009991E-3</c:v>
                </c:pt>
                <c:pt idx="58">
                  <c:v>1.6042761898009991E-3</c:v>
                </c:pt>
                <c:pt idx="59">
                  <c:v>1.6042761898009991E-3</c:v>
                </c:pt>
                <c:pt idx="60">
                  <c:v>1.6042761898009991E-3</c:v>
                </c:pt>
                <c:pt idx="61">
                  <c:v>1.6042761898009991E-3</c:v>
                </c:pt>
                <c:pt idx="62">
                  <c:v>1.6042761898009991E-3</c:v>
                </c:pt>
                <c:pt idx="63">
                  <c:v>1.6042761898009991E-3</c:v>
                </c:pt>
                <c:pt idx="64">
                  <c:v>1.6042761898009991E-3</c:v>
                </c:pt>
                <c:pt idx="65">
                  <c:v>1.6042761898009991E-3</c:v>
                </c:pt>
                <c:pt idx="66">
                  <c:v>1.6042761898009991E-3</c:v>
                </c:pt>
                <c:pt idx="67">
                  <c:v>1.6042761898009991E-3</c:v>
                </c:pt>
                <c:pt idx="68">
                  <c:v>1.6042761898009991E-3</c:v>
                </c:pt>
                <c:pt idx="69">
                  <c:v>1.6042761898009991E-3</c:v>
                </c:pt>
                <c:pt idx="70">
                  <c:v>1.6042761898009991E-3</c:v>
                </c:pt>
                <c:pt idx="71">
                  <c:v>1.6042761898009991E-3</c:v>
                </c:pt>
                <c:pt idx="72">
                  <c:v>1.6042761898009991E-3</c:v>
                </c:pt>
                <c:pt idx="73">
                  <c:v>1.6042761898009991E-3</c:v>
                </c:pt>
                <c:pt idx="74">
                  <c:v>1.6042761898009991E-3</c:v>
                </c:pt>
                <c:pt idx="75">
                  <c:v>1.6042761898009991E-3</c:v>
                </c:pt>
                <c:pt idx="76">
                  <c:v>2.5117649296086588E-3</c:v>
                </c:pt>
                <c:pt idx="77">
                  <c:v>2.0642312272304191E-3</c:v>
                </c:pt>
                <c:pt idx="78">
                  <c:v>3.3369207376346193E-3</c:v>
                </c:pt>
                <c:pt idx="79">
                  <c:v>3.3369207376346193E-3</c:v>
                </c:pt>
                <c:pt idx="80">
                  <c:v>3.3369207376346193E-3</c:v>
                </c:pt>
                <c:pt idx="81">
                  <c:v>3.3369207376346193E-3</c:v>
                </c:pt>
                <c:pt idx="82">
                  <c:v>3.3369207376346193E-3</c:v>
                </c:pt>
                <c:pt idx="83">
                  <c:v>3.3369207376346193E-3</c:v>
                </c:pt>
                <c:pt idx="84">
                  <c:v>3.3369207376346193E-3</c:v>
                </c:pt>
                <c:pt idx="85">
                  <c:v>3.3369207376346193E-3</c:v>
                </c:pt>
                <c:pt idx="86">
                  <c:v>3.3369207376346193E-3</c:v>
                </c:pt>
                <c:pt idx="87">
                  <c:v>3.3369207376346193E-3</c:v>
                </c:pt>
                <c:pt idx="88">
                  <c:v>3.3369207376346193E-3</c:v>
                </c:pt>
                <c:pt idx="89">
                  <c:v>3.3369207376346193E-3</c:v>
                </c:pt>
                <c:pt idx="90">
                  <c:v>3.3369207376346193E-3</c:v>
                </c:pt>
                <c:pt idx="91">
                  <c:v>3.3369207376346193E-3</c:v>
                </c:pt>
                <c:pt idx="92">
                  <c:v>3.3369207376346193E-3</c:v>
                </c:pt>
                <c:pt idx="93">
                  <c:v>3.3369207376346193E-3</c:v>
                </c:pt>
                <c:pt idx="94">
                  <c:v>3.3369207376346193E-3</c:v>
                </c:pt>
                <c:pt idx="95">
                  <c:v>3.3369207376346193E-3</c:v>
                </c:pt>
                <c:pt idx="96">
                  <c:v>3.3369207376346193E-3</c:v>
                </c:pt>
                <c:pt idx="97">
                  <c:v>3.3369207376346193E-3</c:v>
                </c:pt>
                <c:pt idx="98">
                  <c:v>3.3369207376346193E-3</c:v>
                </c:pt>
                <c:pt idx="99">
                  <c:v>3.3369207376346193E-3</c:v>
                </c:pt>
                <c:pt idx="100">
                  <c:v>3.3369207376346193E-3</c:v>
                </c:pt>
                <c:pt idx="101">
                  <c:v>3.3369207376346193E-3</c:v>
                </c:pt>
                <c:pt idx="102">
                  <c:v>3.3369207376346193E-3</c:v>
                </c:pt>
                <c:pt idx="103">
                  <c:v>3.3369207376346193E-3</c:v>
                </c:pt>
                <c:pt idx="104">
                  <c:v>3.3369207376346193E-3</c:v>
                </c:pt>
                <c:pt idx="105">
                  <c:v>3.3369207376346193E-3</c:v>
                </c:pt>
                <c:pt idx="106">
                  <c:v>3.3369207376346193E-3</c:v>
                </c:pt>
                <c:pt idx="107">
                  <c:v>3.3369207376346193E-3</c:v>
                </c:pt>
                <c:pt idx="108">
                  <c:v>3.3369207376346193E-3</c:v>
                </c:pt>
                <c:pt idx="109">
                  <c:v>3.3369207376346193E-3</c:v>
                </c:pt>
                <c:pt idx="110">
                  <c:v>3.3369207376346193E-3</c:v>
                </c:pt>
                <c:pt idx="111">
                  <c:v>3.3369207376346193E-3</c:v>
                </c:pt>
                <c:pt idx="112">
                  <c:v>3.3369207376346193E-3</c:v>
                </c:pt>
                <c:pt idx="113">
                  <c:v>3.3369207376346193E-3</c:v>
                </c:pt>
                <c:pt idx="114">
                  <c:v>3.3369207376346193E-3</c:v>
                </c:pt>
                <c:pt idx="115">
                  <c:v>3.3369207376346193E-3</c:v>
                </c:pt>
                <c:pt idx="116">
                  <c:v>3.3369207376346193E-3</c:v>
                </c:pt>
                <c:pt idx="117">
                  <c:v>3.3369207376346193E-3</c:v>
                </c:pt>
                <c:pt idx="118">
                  <c:v>3.3369207376346193E-3</c:v>
                </c:pt>
                <c:pt idx="119">
                  <c:v>3.3369207376346193E-3</c:v>
                </c:pt>
                <c:pt idx="120">
                  <c:v>3.3369207376346193E-3</c:v>
                </c:pt>
                <c:pt idx="121">
                  <c:v>3.3369207376346193E-3</c:v>
                </c:pt>
                <c:pt idx="122">
                  <c:v>3.3369207376346193E-3</c:v>
                </c:pt>
                <c:pt idx="123">
                  <c:v>3.3369207376346193E-3</c:v>
                </c:pt>
                <c:pt idx="124">
                  <c:v>3.3369207376346193E-3</c:v>
                </c:pt>
                <c:pt idx="125">
                  <c:v>3.3369207376346193E-3</c:v>
                </c:pt>
                <c:pt idx="126">
                  <c:v>3.3369207376346193E-3</c:v>
                </c:pt>
                <c:pt idx="127">
                  <c:v>3.3369207376346193E-3</c:v>
                </c:pt>
                <c:pt idx="128">
                  <c:v>3.3369207376346193E-3</c:v>
                </c:pt>
                <c:pt idx="129">
                  <c:v>3.3369207376346193E-3</c:v>
                </c:pt>
                <c:pt idx="130">
                  <c:v>3.3369207376346193E-3</c:v>
                </c:pt>
                <c:pt idx="131">
                  <c:v>3.3369207376346193E-3</c:v>
                </c:pt>
                <c:pt idx="132">
                  <c:v>3.3369207376346193E-3</c:v>
                </c:pt>
                <c:pt idx="133">
                  <c:v>3.3369207376346193E-3</c:v>
                </c:pt>
                <c:pt idx="134">
                  <c:v>3.3369207376346193E-3</c:v>
                </c:pt>
                <c:pt idx="135">
                  <c:v>3.3369207376346193E-3</c:v>
                </c:pt>
                <c:pt idx="136">
                  <c:v>3.3369207376346193E-3</c:v>
                </c:pt>
                <c:pt idx="137">
                  <c:v>3.3369207376346193E-3</c:v>
                </c:pt>
                <c:pt idx="138">
                  <c:v>3.3369207376346193E-3</c:v>
                </c:pt>
                <c:pt idx="139">
                  <c:v>3.3369207376346193E-3</c:v>
                </c:pt>
                <c:pt idx="140">
                  <c:v>3.3369207376346193E-3</c:v>
                </c:pt>
                <c:pt idx="141">
                  <c:v>3.3369207376346193E-3</c:v>
                </c:pt>
                <c:pt idx="142">
                  <c:v>3.3369207376346193E-3</c:v>
                </c:pt>
                <c:pt idx="143">
                  <c:v>3.3369207376346193E-3</c:v>
                </c:pt>
                <c:pt idx="144">
                  <c:v>3.3369207376346193E-3</c:v>
                </c:pt>
                <c:pt idx="145">
                  <c:v>3.3369207376346193E-3</c:v>
                </c:pt>
                <c:pt idx="146">
                  <c:v>3.3369207376346193E-3</c:v>
                </c:pt>
                <c:pt idx="147">
                  <c:v>3.3369207376346193E-3</c:v>
                </c:pt>
                <c:pt idx="148">
                  <c:v>3.3369207376346193E-3</c:v>
                </c:pt>
                <c:pt idx="149">
                  <c:v>3.3369207376346193E-3</c:v>
                </c:pt>
                <c:pt idx="150">
                  <c:v>3.3369207376346193E-3</c:v>
                </c:pt>
                <c:pt idx="151">
                  <c:v>3.3369207376346193E-3</c:v>
                </c:pt>
                <c:pt idx="152">
                  <c:v>3.3369207376346193E-3</c:v>
                </c:pt>
                <c:pt idx="153">
                  <c:v>3.3369207376346193E-3</c:v>
                </c:pt>
                <c:pt idx="154">
                  <c:v>3.3369207376346193E-3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7-4F55-A724-EF0EDB89E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-2.6040087919132005E-4</c:v>
                </c:pt>
                <c:pt idx="9">
                  <c:v>-5.2016789432217012E-4</c:v>
                </c:pt>
                <c:pt idx="10">
                  <c:v>-2.3471958188806712E-4</c:v>
                </c:pt>
                <c:pt idx="11">
                  <c:v>5.9193914594596277E-4</c:v>
                </c:pt>
                <c:pt idx="12">
                  <c:v>-2.9914338157780124E-5</c:v>
                </c:pt>
                <c:pt idx="13">
                  <c:v>-3.9164340703231313E-4</c:v>
                </c:pt>
                <c:pt idx="14">
                  <c:v>-1.5778340041225315E-4</c:v>
                </c:pt>
                <c:pt idx="15">
                  <c:v>-5.2016789432194417E-4</c:v>
                </c:pt>
                <c:pt idx="16">
                  <c:v>2.2994819176723187E-4</c:v>
                </c:pt>
                <c:pt idx="17">
                  <c:v>9.5379911009030891E-4</c:v>
                </c:pt>
                <c:pt idx="18">
                  <c:v>1.1143531353690786E-3</c:v>
                </c:pt>
                <c:pt idx="19">
                  <c:v>1.1143531353690786E-3</c:v>
                </c:pt>
                <c:pt idx="20">
                  <c:v>2.1065230957730383E-3</c:v>
                </c:pt>
                <c:pt idx="21">
                  <c:v>2.7073408026283582E-3</c:v>
                </c:pt>
                <c:pt idx="22">
                  <c:v>3.7107729497802386E-3</c:v>
                </c:pt>
                <c:pt idx="23">
                  <c:v>3.7107729497802386E-3</c:v>
                </c:pt>
                <c:pt idx="24">
                  <c:v>3.7107729497802386E-3</c:v>
                </c:pt>
                <c:pt idx="25">
                  <c:v>3.7107729497802386E-3</c:v>
                </c:pt>
                <c:pt idx="26">
                  <c:v>3.7107729497802386E-3</c:v>
                </c:pt>
                <c:pt idx="27">
                  <c:v>3.7107729497802386E-3</c:v>
                </c:pt>
                <c:pt idx="28">
                  <c:v>3.7107729497802386E-3</c:v>
                </c:pt>
                <c:pt idx="29">
                  <c:v>3.7107729497802386E-3</c:v>
                </c:pt>
                <c:pt idx="30">
                  <c:v>3.7107729497802386E-3</c:v>
                </c:pt>
                <c:pt idx="31">
                  <c:v>3.7107729497802386E-3</c:v>
                </c:pt>
                <c:pt idx="32">
                  <c:v>3.7107729497802386E-3</c:v>
                </c:pt>
                <c:pt idx="33">
                  <c:v>3.7107729497802386E-3</c:v>
                </c:pt>
                <c:pt idx="34">
                  <c:v>3.7107729497802386E-3</c:v>
                </c:pt>
                <c:pt idx="35">
                  <c:v>3.7107729497802386E-3</c:v>
                </c:pt>
                <c:pt idx="36">
                  <c:v>4.0978808999265984E-3</c:v>
                </c:pt>
                <c:pt idx="37">
                  <c:v>3.9184536030447779E-3</c:v>
                </c:pt>
                <c:pt idx="38">
                  <c:v>5.3150491395812377E-3</c:v>
                </c:pt>
                <c:pt idx="39">
                  <c:v>5.3150491395812377E-3</c:v>
                </c:pt>
                <c:pt idx="40">
                  <c:v>5.3150491395812377E-3</c:v>
                </c:pt>
                <c:pt idx="41">
                  <c:v>5.3150491395812377E-3</c:v>
                </c:pt>
                <c:pt idx="42">
                  <c:v>5.3150491395812377E-3</c:v>
                </c:pt>
                <c:pt idx="43">
                  <c:v>5.3150491395812377E-3</c:v>
                </c:pt>
                <c:pt idx="44">
                  <c:v>5.3150491395812377E-3</c:v>
                </c:pt>
                <c:pt idx="45">
                  <c:v>5.8409019649857778E-3</c:v>
                </c:pt>
                <c:pt idx="46">
                  <c:v>5.9711964927871373E-3</c:v>
                </c:pt>
                <c:pt idx="47">
                  <c:v>4.705934891390387E-3</c:v>
                </c:pt>
                <c:pt idx="48">
                  <c:v>4.9703299715389265E-3</c:v>
                </c:pt>
                <c:pt idx="49">
                  <c:v>5.6259082415214363E-3</c:v>
                </c:pt>
                <c:pt idx="50">
                  <c:v>5.206684355188001E-3</c:v>
                </c:pt>
                <c:pt idx="51">
                  <c:v>4.365989033116021E-3</c:v>
                </c:pt>
                <c:pt idx="52">
                  <c:v>4.6829150635816106E-3</c:v>
                </c:pt>
                <c:pt idx="53">
                  <c:v>4.9444772100421808E-3</c:v>
                </c:pt>
                <c:pt idx="54">
                  <c:v>4.7339743178571713E-3</c:v>
                </c:pt>
                <c:pt idx="55">
                  <c:v>4.8656783842791415E-3</c:v>
                </c:pt>
                <c:pt idx="56">
                  <c:v>4.3925025713260216E-3</c:v>
                </c:pt>
                <c:pt idx="57">
                  <c:v>5.1280671502799318E-3</c:v>
                </c:pt>
                <c:pt idx="58">
                  <c:v>5.5217358882686512E-3</c:v>
                </c:pt>
                <c:pt idx="59">
                  <c:v>5.8111272861275315E-3</c:v>
                </c:pt>
                <c:pt idx="60">
                  <c:v>5.8111272861275315E-3</c:v>
                </c:pt>
                <c:pt idx="61">
                  <c:v>5.8111272861275315E-3</c:v>
                </c:pt>
                <c:pt idx="62">
                  <c:v>5.8111272861275315E-3</c:v>
                </c:pt>
                <c:pt idx="63">
                  <c:v>5.8111272861275315E-3</c:v>
                </c:pt>
                <c:pt idx="64">
                  <c:v>5.8111272861275315E-3</c:v>
                </c:pt>
                <c:pt idx="65">
                  <c:v>5.8111272861275315E-3</c:v>
                </c:pt>
                <c:pt idx="66">
                  <c:v>5.8111272861275315E-3</c:v>
                </c:pt>
                <c:pt idx="67">
                  <c:v>5.8111272861275315E-3</c:v>
                </c:pt>
                <c:pt idx="68">
                  <c:v>5.8111272861275315E-3</c:v>
                </c:pt>
                <c:pt idx="69">
                  <c:v>5.8111272861275315E-3</c:v>
                </c:pt>
                <c:pt idx="70">
                  <c:v>5.8111272861275315E-3</c:v>
                </c:pt>
                <c:pt idx="71">
                  <c:v>5.8111272861275315E-3</c:v>
                </c:pt>
                <c:pt idx="72">
                  <c:v>5.8111272861275315E-3</c:v>
                </c:pt>
                <c:pt idx="73">
                  <c:v>5.8111272861275315E-3</c:v>
                </c:pt>
                <c:pt idx="74">
                  <c:v>5.8111272861275315E-3</c:v>
                </c:pt>
                <c:pt idx="75">
                  <c:v>5.8111272861275315E-3</c:v>
                </c:pt>
                <c:pt idx="76">
                  <c:v>6.7186160259351917E-3</c:v>
                </c:pt>
                <c:pt idx="77">
                  <c:v>6.2710823235569519E-3</c:v>
                </c:pt>
                <c:pt idx="78">
                  <c:v>7.5437718339611522E-3</c:v>
                </c:pt>
                <c:pt idx="79">
                  <c:v>7.5437718339611522E-3</c:v>
                </c:pt>
                <c:pt idx="80">
                  <c:v>7.5437718339611522E-3</c:v>
                </c:pt>
                <c:pt idx="81">
                  <c:v>7.5437718339611522E-3</c:v>
                </c:pt>
                <c:pt idx="82">
                  <c:v>7.5437718339611522E-3</c:v>
                </c:pt>
                <c:pt idx="83">
                  <c:v>7.5437718339611522E-3</c:v>
                </c:pt>
                <c:pt idx="84">
                  <c:v>7.5437718339611522E-3</c:v>
                </c:pt>
                <c:pt idx="85">
                  <c:v>7.5437718339611522E-3</c:v>
                </c:pt>
                <c:pt idx="86">
                  <c:v>7.5437718339611522E-3</c:v>
                </c:pt>
                <c:pt idx="87">
                  <c:v>7.5437718339611522E-3</c:v>
                </c:pt>
                <c:pt idx="88">
                  <c:v>7.5437718339611522E-3</c:v>
                </c:pt>
                <c:pt idx="89">
                  <c:v>7.5437718339611522E-3</c:v>
                </c:pt>
                <c:pt idx="90">
                  <c:v>7.5437718339611522E-3</c:v>
                </c:pt>
                <c:pt idx="91">
                  <c:v>7.5437718339611522E-3</c:v>
                </c:pt>
                <c:pt idx="92">
                  <c:v>7.5437718339611522E-3</c:v>
                </c:pt>
                <c:pt idx="93">
                  <c:v>7.5437718339611522E-3</c:v>
                </c:pt>
                <c:pt idx="94">
                  <c:v>7.5437718339611522E-3</c:v>
                </c:pt>
                <c:pt idx="95">
                  <c:v>7.5437718339611522E-3</c:v>
                </c:pt>
                <c:pt idx="96">
                  <c:v>7.5437718339611522E-3</c:v>
                </c:pt>
                <c:pt idx="97">
                  <c:v>7.5437718339611522E-3</c:v>
                </c:pt>
                <c:pt idx="98">
                  <c:v>7.5437718339611522E-3</c:v>
                </c:pt>
                <c:pt idx="99">
                  <c:v>7.5437718339611522E-3</c:v>
                </c:pt>
                <c:pt idx="100">
                  <c:v>7.5437718339611522E-3</c:v>
                </c:pt>
                <c:pt idx="101">
                  <c:v>7.5437718339611522E-3</c:v>
                </c:pt>
                <c:pt idx="102">
                  <c:v>7.5437718339611522E-3</c:v>
                </c:pt>
                <c:pt idx="103">
                  <c:v>7.5437718339611522E-3</c:v>
                </c:pt>
                <c:pt idx="104">
                  <c:v>7.5437718339611522E-3</c:v>
                </c:pt>
                <c:pt idx="105">
                  <c:v>7.5437718339611522E-3</c:v>
                </c:pt>
                <c:pt idx="106">
                  <c:v>7.5437718339611522E-3</c:v>
                </c:pt>
                <c:pt idx="107">
                  <c:v>7.5437718339611522E-3</c:v>
                </c:pt>
                <c:pt idx="108">
                  <c:v>7.5437718339611522E-3</c:v>
                </c:pt>
                <c:pt idx="109">
                  <c:v>7.5437718339611522E-3</c:v>
                </c:pt>
                <c:pt idx="110">
                  <c:v>7.5437718339611522E-3</c:v>
                </c:pt>
                <c:pt idx="111">
                  <c:v>7.5437718339611522E-3</c:v>
                </c:pt>
                <c:pt idx="112">
                  <c:v>7.5437718339611522E-3</c:v>
                </c:pt>
                <c:pt idx="113">
                  <c:v>7.5437718339611522E-3</c:v>
                </c:pt>
                <c:pt idx="114">
                  <c:v>7.5437718339611522E-3</c:v>
                </c:pt>
                <c:pt idx="115">
                  <c:v>7.5437718339611522E-3</c:v>
                </c:pt>
                <c:pt idx="116">
                  <c:v>7.5437718339611522E-3</c:v>
                </c:pt>
                <c:pt idx="117">
                  <c:v>7.5437718339611522E-3</c:v>
                </c:pt>
                <c:pt idx="118">
                  <c:v>7.5437718339611522E-3</c:v>
                </c:pt>
                <c:pt idx="119">
                  <c:v>7.5437718339611522E-3</c:v>
                </c:pt>
                <c:pt idx="120">
                  <c:v>7.5437718339611522E-3</c:v>
                </c:pt>
                <c:pt idx="121">
                  <c:v>8.7347160957739617E-3</c:v>
                </c:pt>
                <c:pt idx="122">
                  <c:v>8.1596947096750621E-3</c:v>
                </c:pt>
                <c:pt idx="123">
                  <c:v>8.3889943982943926E-3</c:v>
                </c:pt>
                <c:pt idx="124">
                  <c:v>7.6209235172951043E-3</c:v>
                </c:pt>
                <c:pt idx="125">
                  <c:v>7.6209235172951043E-3</c:v>
                </c:pt>
                <c:pt idx="126">
                  <c:v>7.6209235172951043E-3</c:v>
                </c:pt>
                <c:pt idx="127">
                  <c:v>7.6209235172951043E-3</c:v>
                </c:pt>
                <c:pt idx="128">
                  <c:v>7.6209235172951043E-3</c:v>
                </c:pt>
                <c:pt idx="129">
                  <c:v>7.4314002866631337E-3</c:v>
                </c:pt>
                <c:pt idx="130">
                  <c:v>9.5010802251892131E-3</c:v>
                </c:pt>
                <c:pt idx="131">
                  <c:v>9.8715191996049841E-3</c:v>
                </c:pt>
                <c:pt idx="132">
                  <c:v>9.8715191996049841E-3</c:v>
                </c:pt>
                <c:pt idx="133">
                  <c:v>9.8715191996049841E-3</c:v>
                </c:pt>
                <c:pt idx="134">
                  <c:v>9.8715191996049841E-3</c:v>
                </c:pt>
                <c:pt idx="135">
                  <c:v>9.8715191996049841E-3</c:v>
                </c:pt>
                <c:pt idx="136">
                  <c:v>9.8715191996049841E-3</c:v>
                </c:pt>
                <c:pt idx="137">
                  <c:v>9.8715191996049841E-3</c:v>
                </c:pt>
                <c:pt idx="138">
                  <c:v>9.8715191996049841E-3</c:v>
                </c:pt>
                <c:pt idx="139">
                  <c:v>9.8715191996049841E-3</c:v>
                </c:pt>
                <c:pt idx="140">
                  <c:v>9.8715191996049841E-3</c:v>
                </c:pt>
                <c:pt idx="141">
                  <c:v>9.8715191996049841E-3</c:v>
                </c:pt>
                <c:pt idx="142">
                  <c:v>9.8715191996049841E-3</c:v>
                </c:pt>
                <c:pt idx="143">
                  <c:v>9.8715191996049841E-3</c:v>
                </c:pt>
                <c:pt idx="144">
                  <c:v>9.8715191996049841E-3</c:v>
                </c:pt>
                <c:pt idx="145">
                  <c:v>9.8715191996049841E-3</c:v>
                </c:pt>
                <c:pt idx="146">
                  <c:v>9.8715191996049841E-3</c:v>
                </c:pt>
                <c:pt idx="147">
                  <c:v>9.8715191996049841E-3</c:v>
                </c:pt>
                <c:pt idx="148">
                  <c:v>9.8715191996049841E-3</c:v>
                </c:pt>
                <c:pt idx="149">
                  <c:v>9.8715191996049841E-3</c:v>
                </c:pt>
                <c:pt idx="150">
                  <c:v>9.8715191996049841E-3</c:v>
                </c:pt>
                <c:pt idx="151">
                  <c:v>9.7130809786672833E-3</c:v>
                </c:pt>
                <c:pt idx="152">
                  <c:v>9.2336177793041936E-3</c:v>
                </c:pt>
                <c:pt idx="153">
                  <c:v>1.0635650956742774E-2</c:v>
                </c:pt>
                <c:pt idx="154">
                  <c:v>9.7746459605252134E-3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64-4559-82E3-CE04314B3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FE1B99-D484-42F0-9E25-E27D30DF6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D2EB7C-3659-4341-9D2F-64FF1640F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ACB785-E65F-49EB-9255-D229523DED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6D794C-262B-4AC1-9A39-99F822199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9E78F6-A9DB-474C-9CA5-37DC91A0B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8C593F-0B46-465F-B9C3-1D3468742F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284E24E-5201-442B-BDBC-3563B19EC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CWB_ICVT_2.xlsx" TargetMode="External"/><Relationship Id="rId1" Type="http://schemas.openxmlformats.org/officeDocument/2006/relationships/externalLinkPath" Target="CWB_ICV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ICVT/CWB avg</v>
          </cell>
          <cell r="P1" t="str">
            <v>ICVT/CWB 10 dma</v>
          </cell>
          <cell r="Q1" t="str">
            <v>ICVT/CWB 20 dma</v>
          </cell>
          <cell r="U1" t="str">
            <v>log diff CWB x avg / ICVT</v>
          </cell>
          <cell r="V1" t="str">
            <v>log diff CWB x 10 dma / ICVT</v>
          </cell>
          <cell r="W1" t="str">
            <v>log diff CWB x 20 dma / ICVT</v>
          </cell>
          <cell r="Y1" t="str">
            <v>ICVT*/CWB* avg</v>
          </cell>
          <cell r="Z1" t="str">
            <v>ICVT*/CWB* 10 dma</v>
          </cell>
          <cell r="AA1" t="str">
            <v>ICVT*/CWB* 20 dma</v>
          </cell>
          <cell r="AF1" t="str">
            <v>log diff CWB* x 10 dma / ICVT*</v>
          </cell>
          <cell r="AG1" t="str">
            <v>log diff CWB* x 20 dma / ICVT*</v>
          </cell>
        </row>
        <row r="2">
          <cell r="O2">
            <v>1.1144210713463301</v>
          </cell>
          <cell r="Y2">
            <v>1.1139962285470999</v>
          </cell>
        </row>
        <row r="3">
          <cell r="O3">
            <v>1.1144210713463301</v>
          </cell>
          <cell r="U3">
            <v>1.05746316939213E-2</v>
          </cell>
          <cell r="Y3">
            <v>1.1139962285470999</v>
          </cell>
        </row>
        <row r="4">
          <cell r="O4">
            <v>1.1144210713463301</v>
          </cell>
          <cell r="U4">
            <v>1.08596795330909E-2</v>
          </cell>
          <cell r="Y4">
            <v>1.1139962285470999</v>
          </cell>
        </row>
        <row r="5">
          <cell r="O5">
            <v>1.1144210713463301</v>
          </cell>
          <cell r="U5">
            <v>9.96962864367687E-3</v>
          </cell>
          <cell r="Y5">
            <v>1.1139962285470999</v>
          </cell>
        </row>
        <row r="6">
          <cell r="O6">
            <v>1.1144210713463301</v>
          </cell>
          <cell r="U6">
            <v>1.1175336320067101E-2</v>
          </cell>
          <cell r="Y6">
            <v>1.1139962285470999</v>
          </cell>
        </row>
        <row r="7">
          <cell r="O7">
            <v>1.1144210713463301</v>
          </cell>
          <cell r="U7">
            <v>1.18436529824524E-2</v>
          </cell>
          <cell r="Y7">
            <v>1.1139962285470999</v>
          </cell>
        </row>
        <row r="8">
          <cell r="O8">
            <v>1.1144210713463301</v>
          </cell>
          <cell r="U8">
            <v>1.1201130423945001E-2</v>
          </cell>
          <cell r="Y8">
            <v>1.1139962285470999</v>
          </cell>
        </row>
        <row r="9">
          <cell r="O9">
            <v>1.1144210713463301</v>
          </cell>
          <cell r="U9">
            <v>1.1020531580362E-2</v>
          </cell>
          <cell r="Y9">
            <v>1.1139962285470999</v>
          </cell>
        </row>
        <row r="10">
          <cell r="O10">
            <v>1.1144210713463301</v>
          </cell>
          <cell r="U10">
            <v>1.33363193937911E-2</v>
          </cell>
          <cell r="Y10">
            <v>1.1139962285470999</v>
          </cell>
        </row>
        <row r="11">
          <cell r="O11">
            <v>1.1144210713463301</v>
          </cell>
          <cell r="P11">
            <v>1.10218252225373</v>
          </cell>
          <cell r="U11">
            <v>1.16857287889941E-2</v>
          </cell>
          <cell r="Y11">
            <v>1.1139962285470999</v>
          </cell>
          <cell r="Z11">
            <v>1.10218252225373</v>
          </cell>
        </row>
        <row r="12">
          <cell r="O12">
            <v>1.1144210713463301</v>
          </cell>
          <cell r="P12">
            <v>1.1019698516584899</v>
          </cell>
          <cell r="U12">
            <v>1.06941050658673E-2</v>
          </cell>
          <cell r="V12">
            <v>-3.4862128681375598E-4</v>
          </cell>
          <cell r="Y12">
            <v>1.1139962285470999</v>
          </cell>
          <cell r="Z12">
            <v>1.1019698516584899</v>
          </cell>
          <cell r="AF12">
            <v>-3.4862128681375598E-4</v>
          </cell>
        </row>
        <row r="13">
          <cell r="O13">
            <v>1.1144210713463301</v>
          </cell>
          <cell r="P13">
            <v>1.10211778019607</v>
          </cell>
          <cell r="U13">
            <v>9.2340168938129501E-3</v>
          </cell>
          <cell r="V13">
            <v>-2.0016821393526799E-3</v>
          </cell>
          <cell r="Y13">
            <v>1.1139962285470999</v>
          </cell>
          <cell r="Z13">
            <v>1.10211778019607</v>
          </cell>
          <cell r="AF13">
            <v>-2.0016821393526799E-3</v>
          </cell>
        </row>
        <row r="14">
          <cell r="O14">
            <v>1.1144210713463301</v>
          </cell>
          <cell r="P14">
            <v>1.1022267508530501</v>
          </cell>
          <cell r="U14">
            <v>9.8716680516285401E-3</v>
          </cell>
          <cell r="V14">
            <v>-1.22979989593216E-3</v>
          </cell>
          <cell r="Y14">
            <v>1.1139962285470999</v>
          </cell>
          <cell r="Z14">
            <v>1.1022267508530501</v>
          </cell>
          <cell r="AF14">
            <v>-1.22979989593216E-3</v>
          </cell>
        </row>
        <row r="15">
          <cell r="O15">
            <v>1.1144210713463301</v>
          </cell>
          <cell r="P15">
            <v>1.1021958277772299</v>
          </cell>
          <cell r="U15">
            <v>1.02499292195662E-2</v>
          </cell>
          <cell r="V15">
            <v>-7.52669739467281E-4</v>
          </cell>
          <cell r="Y15">
            <v>1.1139962285470999</v>
          </cell>
          <cell r="Z15">
            <v>1.1021958277772299</v>
          </cell>
          <cell r="AF15">
            <v>-7.52669739467281E-4</v>
          </cell>
        </row>
        <row r="16">
          <cell r="O16">
            <v>1.1144210713463301</v>
          </cell>
          <cell r="P16">
            <v>1.1025257937742401</v>
          </cell>
          <cell r="U16">
            <v>8.1856618788641294E-3</v>
          </cell>
          <cell r="V16">
            <v>-2.84499256837346E-3</v>
          </cell>
          <cell r="Y16">
            <v>1.1139962285470999</v>
          </cell>
          <cell r="Z16">
            <v>1.1025257937742401</v>
          </cell>
          <cell r="AF16">
            <v>-2.84499256837346E-3</v>
          </cell>
        </row>
        <row r="17">
          <cell r="O17">
            <v>1.1144210713463301</v>
          </cell>
          <cell r="P17">
            <v>1.1030041073797101</v>
          </cell>
          <cell r="U17">
            <v>7.5098850984687696E-3</v>
          </cell>
          <cell r="V17">
            <v>-3.22144267074281E-3</v>
          </cell>
          <cell r="Y17">
            <v>1.1139962285470999</v>
          </cell>
          <cell r="Z17">
            <v>1.1030041073797101</v>
          </cell>
          <cell r="AF17">
            <v>-3.22144267074281E-3</v>
          </cell>
        </row>
        <row r="18">
          <cell r="O18">
            <v>1.1144210713463301</v>
          </cell>
          <cell r="P18">
            <v>1.10343443701444</v>
          </cell>
          <cell r="U18">
            <v>7.3037755328790198E-3</v>
          </cell>
          <cell r="V18">
            <v>-2.9938119250238499E-3</v>
          </cell>
          <cell r="Y18">
            <v>1.1139962285470999</v>
          </cell>
          <cell r="Z18">
            <v>1.10343443701444</v>
          </cell>
          <cell r="AF18">
            <v>-2.9938119250238499E-3</v>
          </cell>
        </row>
        <row r="19">
          <cell r="O19">
            <v>1.1144210713463301</v>
          </cell>
          <cell r="P19">
            <v>1.1038478134955201</v>
          </cell>
          <cell r="U19">
            <v>7.2771036506855697E-3</v>
          </cell>
          <cell r="V19">
            <v>-2.63041661836424E-3</v>
          </cell>
          <cell r="Y19">
            <v>1.1139962285470999</v>
          </cell>
          <cell r="Z19">
            <v>1.1038478134955201</v>
          </cell>
          <cell r="AF19">
            <v>-2.63041661836424E-3</v>
          </cell>
        </row>
        <row r="20">
          <cell r="O20">
            <v>1.1144210713463301</v>
          </cell>
          <cell r="P20">
            <v>1.1047025694064001</v>
          </cell>
          <cell r="U20">
            <v>5.5934442046346898E-3</v>
          </cell>
          <cell r="V20">
            <v>-3.93951908529347E-3</v>
          </cell>
          <cell r="Y20">
            <v>1.1139962285470999</v>
          </cell>
          <cell r="Z20">
            <v>1.1047025694064001</v>
          </cell>
          <cell r="AF20">
            <v>-3.93951908529347E-3</v>
          </cell>
        </row>
        <row r="21">
          <cell r="O21">
            <v>1.1144210713463301</v>
          </cell>
          <cell r="P21">
            <v>1.1053902827786499</v>
          </cell>
          <cell r="Q21">
            <v>1.1037864025161901</v>
          </cell>
          <cell r="U21">
            <v>5.46156603020831E-3</v>
          </cell>
          <cell r="V21">
            <v>-3.2973547382751998E-3</v>
          </cell>
          <cell r="Y21">
            <v>1.1139962285470999</v>
          </cell>
          <cell r="Z21">
            <v>1.1053902827786499</v>
          </cell>
          <cell r="AA21">
            <v>1.1037864025161901</v>
          </cell>
          <cell r="AF21">
            <v>-3.2973547382751998E-3</v>
          </cell>
        </row>
        <row r="22">
          <cell r="O22">
            <v>1.1144210713463301</v>
          </cell>
          <cell r="P22">
            <v>1.1059628469210001</v>
          </cell>
          <cell r="Q22">
            <v>1.10396634928975</v>
          </cell>
          <cell r="U22">
            <v>5.5145314927438497E-3</v>
          </cell>
          <cell r="V22">
            <v>-2.6220503601897798E-3</v>
          </cell>
          <cell r="W22">
            <v>-4.0740669009533999E-3</v>
          </cell>
          <cell r="Y22">
            <v>1.1139962285470999</v>
          </cell>
          <cell r="Z22">
            <v>1.10597542518287</v>
          </cell>
          <cell r="AA22">
            <v>1.1039726384206801</v>
          </cell>
          <cell r="AF22">
            <v>-2.73553618129315E-3</v>
          </cell>
          <cell r="AG22">
            <v>-4.1875527220567397E-3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1.1144210713463301</v>
          </cell>
          <cell r="P23">
            <v>1.1066905063647099</v>
          </cell>
          <cell r="Q23">
            <v>1.1044041432803899</v>
          </cell>
          <cell r="U23">
            <v>2.66557989263968E-3</v>
          </cell>
          <cell r="V23">
            <v>-4.9531614151102797E-3</v>
          </cell>
          <cell r="W23">
            <v>-6.7600049808109602E-3</v>
          </cell>
          <cell r="Y23">
            <v>1.1139962285470999</v>
          </cell>
          <cell r="Z23">
            <v>1.10671536854659</v>
          </cell>
          <cell r="AA23">
            <v>1.1044165743713299</v>
          </cell>
          <cell r="AF23">
            <v>-5.0523033690297496E-3</v>
          </cell>
          <cell r="AG23">
            <v>-6.86482316845171E-3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1.1144210713463301</v>
          </cell>
          <cell r="P24">
            <v>1.10710703283626</v>
          </cell>
          <cell r="Q24">
            <v>1.10466689184466</v>
          </cell>
          <cell r="U24">
            <v>6.1040911342382601E-3</v>
          </cell>
          <cell r="V24">
            <v>-8.5692448966800797E-4</v>
          </cell>
          <cell r="W24">
            <v>-2.9250077348453498E-3</v>
          </cell>
          <cell r="Y24">
            <v>1.1139962285470999</v>
          </cell>
          <cell r="Z24">
            <v>1.1071446706829999</v>
          </cell>
          <cell r="AA24">
            <v>1.1046857107680199</v>
          </cell>
          <cell r="AF24">
            <v>-9.4979413436858896E-4</v>
          </cell>
          <cell r="AG24">
            <v>-3.0290866079398199E-3</v>
          </cell>
          <cell r="AR24">
            <v>3.4385112415986994E-3</v>
          </cell>
          <cell r="BC24">
            <v>0</v>
          </cell>
          <cell r="BF24">
            <v>3.4385112415986994E-3</v>
          </cell>
        </row>
        <row r="25">
          <cell r="O25">
            <v>1.1144210713463301</v>
          </cell>
          <cell r="P25">
            <v>1.10779194162496</v>
          </cell>
          <cell r="Q25">
            <v>1.1049938847010901</v>
          </cell>
          <cell r="U25">
            <v>4.0599373485521303E-3</v>
          </cell>
          <cell r="V25">
            <v>-2.52477785122995E-3</v>
          </cell>
          <cell r="W25">
            <v>-4.7312800207258802E-3</v>
          </cell>
          <cell r="Y25">
            <v>1.1139962285470999</v>
          </cell>
          <cell r="Z25">
            <v>1.10784235791402</v>
          </cell>
          <cell r="AA25">
            <v>1.1050190928456201</v>
          </cell>
          <cell r="AF25">
            <v>-2.6059061039310901E-3</v>
          </cell>
          <cell r="AG25">
            <v>-4.8293685797532399E-3</v>
          </cell>
          <cell r="AR25">
            <v>1.3943574559126988E-3</v>
          </cell>
          <cell r="BC25">
            <v>0</v>
          </cell>
          <cell r="BF25">
            <v>1.3943574559126988E-3</v>
          </cell>
        </row>
        <row r="26">
          <cell r="O26">
            <v>1.1144210713463301</v>
          </cell>
          <cell r="P26">
            <v>1.1083919201647201</v>
          </cell>
          <cell r="Q26">
            <v>1.1054588569694801</v>
          </cell>
          <cell r="U26">
            <v>2.7723211054568502E-3</v>
          </cell>
          <cell r="V26">
            <v>-3.1939380668311798E-3</v>
          </cell>
          <cell r="W26">
            <v>-5.7229296952945596E-3</v>
          </cell>
          <cell r="Y26">
            <v>1.1139962285470999</v>
          </cell>
          <cell r="Z26">
            <v>1.1084546181917201</v>
          </cell>
          <cell r="AA26">
            <v>1.1054902059829801</v>
          </cell>
          <cell r="AF26">
            <v>-3.25893567616277E-3</v>
          </cell>
          <cell r="AG26">
            <v>-5.81062421437581E-3</v>
          </cell>
          <cell r="AR26">
            <v>1.0674121281739959E-4</v>
          </cell>
          <cell r="BC26">
            <v>0</v>
          </cell>
          <cell r="BF26">
            <v>1.0674121281739959E-4</v>
          </cell>
        </row>
        <row r="27">
          <cell r="O27">
            <v>1.1144210713463301</v>
          </cell>
          <cell r="P27">
            <v>1.1084655574172899</v>
          </cell>
          <cell r="Q27">
            <v>1.1057348323984999</v>
          </cell>
          <cell r="U27">
            <v>6.8443587748397896E-3</v>
          </cell>
          <cell r="V27">
            <v>1.4195515684884601E-3</v>
          </cell>
          <cell r="W27">
            <v>-1.2301888220109501E-3</v>
          </cell>
          <cell r="Y27">
            <v>1.1139962285470999</v>
          </cell>
          <cell r="Z27">
            <v>1.10854080857097</v>
          </cell>
          <cell r="AA27">
            <v>1.1057724579753401</v>
          </cell>
          <cell r="AF27">
            <v>1.36270686554398E-3</v>
          </cell>
          <cell r="AG27">
            <v>-1.3152406135010599E-3</v>
          </cell>
          <cell r="AR27">
            <v>4.1787788822000996E-3</v>
          </cell>
          <cell r="BC27">
            <v>0</v>
          </cell>
          <cell r="BF27">
            <v>4.1787788822000996E-3</v>
          </cell>
        </row>
        <row r="28">
          <cell r="O28">
            <v>1.1144210713463301</v>
          </cell>
          <cell r="P28">
            <v>1.1085015227386901</v>
          </cell>
          <cell r="Q28">
            <v>1.10596797987657</v>
          </cell>
          <cell r="U28">
            <v>6.9787361111354604E-3</v>
          </cell>
          <cell r="V28">
            <v>1.6203628125535301E-3</v>
          </cell>
          <cell r="W28">
            <v>-8.46194790642671E-4</v>
          </cell>
          <cell r="Y28">
            <v>1.1139962285470999</v>
          </cell>
          <cell r="Z28">
            <v>1.1085893975812799</v>
          </cell>
          <cell r="AA28">
            <v>1.10601191729786</v>
          </cell>
          <cell r="AF28">
            <v>1.5741856502383101E-3</v>
          </cell>
          <cell r="AG28">
            <v>-9.26230239225705E-4</v>
          </cell>
          <cell r="AR28">
            <v>4.1787788822000996E-3</v>
          </cell>
          <cell r="BC28">
            <v>0</v>
          </cell>
          <cell r="BF28">
            <v>4.1787788822000996E-3</v>
          </cell>
        </row>
        <row r="29">
          <cell r="O29">
            <v>1.1144210713463301</v>
          </cell>
          <cell r="P29">
            <v>1.10834363821227</v>
          </cell>
          <cell r="Q29">
            <v>1.1060957258538999</v>
          </cell>
          <cell r="U29">
            <v>8.7052105991603096E-3</v>
          </cell>
          <cell r="V29">
            <v>3.3792828174521502E-3</v>
          </cell>
          <cell r="W29">
            <v>1.0911104452012599E-3</v>
          </cell>
          <cell r="Y29">
            <v>1.1139962285470999</v>
          </cell>
          <cell r="Z29">
            <v>1.10844432282976</v>
          </cell>
          <cell r="AA29">
            <v>1.1061460681626401</v>
          </cell>
          <cell r="AF29">
            <v>3.3426093910330201E-3</v>
          </cell>
          <cell r="AG29">
            <v>1.0148933999981301E-3</v>
          </cell>
          <cell r="AR29">
            <v>4.1787788822000996E-3</v>
          </cell>
          <cell r="BC29">
            <v>0</v>
          </cell>
          <cell r="BF29">
            <v>4.1787788822000996E-3</v>
          </cell>
        </row>
        <row r="30">
          <cell r="O30">
            <v>1.1144210713463301</v>
          </cell>
          <cell r="P30">
            <v>1.1080970899940199</v>
          </cell>
          <cell r="Q30">
            <v>1.10639982970021</v>
          </cell>
          <cell r="U30">
            <v>7.8206754087438799E-3</v>
          </cell>
          <cell r="V30">
            <v>2.3523068923657201E-3</v>
          </cell>
          <cell r="W30">
            <v>3.2207462050344598E-4</v>
          </cell>
          <cell r="Y30">
            <v>1.1139962285470999</v>
          </cell>
          <cell r="Z30">
            <v>1.1082105750847799</v>
          </cell>
          <cell r="AA30">
            <v>1.1064565722455899</v>
          </cell>
          <cell r="AF30">
            <v>2.3273879754857701E-3</v>
          </cell>
          <cell r="AG30">
            <v>2.5182989347688901E-4</v>
          </cell>
          <cell r="AR30">
            <v>4.1787788822000996E-3</v>
          </cell>
          <cell r="BC30">
            <v>0</v>
          </cell>
          <cell r="BF30">
            <v>4.1787788822000996E-3</v>
          </cell>
        </row>
        <row r="31">
          <cell r="O31">
            <v>1.1144210713463301</v>
          </cell>
          <cell r="P31">
            <v>1.1080756427320499</v>
          </cell>
          <cell r="Q31">
            <v>1.1067329627553499</v>
          </cell>
          <cell r="U31">
            <v>5.6550907699120696E-3</v>
          </cell>
          <cell r="V31">
            <v>-3.5749943567257801E-5</v>
          </cell>
          <cell r="W31">
            <v>-1.5686133321277801E-3</v>
          </cell>
          <cell r="Y31">
            <v>1.1139962285470999</v>
          </cell>
          <cell r="Z31">
            <v>1.10820162853948</v>
          </cell>
          <cell r="AA31">
            <v>1.1067959556590601</v>
          </cell>
          <cell r="AF31">
            <v>-4.6142866479113401E-5</v>
          </cell>
          <cell r="AG31">
            <v>-1.6301309687418301E-3</v>
          </cell>
          <cell r="AR31">
            <v>4.1787788822000996E-3</v>
          </cell>
          <cell r="BC31">
            <v>0</v>
          </cell>
          <cell r="BF31">
            <v>4.1787788822000996E-3</v>
          </cell>
        </row>
        <row r="32">
          <cell r="O32">
            <v>1.1144210713463301</v>
          </cell>
          <cell r="P32">
            <v>1.1078287965873499</v>
          </cell>
          <cell r="Q32">
            <v>1.10689582175417</v>
          </cell>
          <cell r="U32">
            <v>7.7442809053578903E-3</v>
          </cell>
          <cell r="V32">
            <v>2.0340849659554899E-3</v>
          </cell>
          <cell r="W32">
            <v>8.2162792758470405E-4</v>
          </cell>
          <cell r="Y32">
            <v>1.1139962285470999</v>
          </cell>
          <cell r="Z32">
            <v>1.1079548795352001</v>
          </cell>
          <cell r="AA32">
            <v>1.10696515235903</v>
          </cell>
          <cell r="AF32">
            <v>2.0331588655624002E-3</v>
          </cell>
          <cell r="AG32">
            <v>7.6392671908580897E-4</v>
          </cell>
          <cell r="AR32">
            <v>4.1787788822000996E-3</v>
          </cell>
          <cell r="BC32">
            <v>0</v>
          </cell>
          <cell r="BF32">
            <v>4.1787788822000996E-3</v>
          </cell>
        </row>
        <row r="33">
          <cell r="O33">
            <v>1.1144210713463301</v>
          </cell>
          <cell r="P33">
            <v>1.1074198389269301</v>
          </cell>
          <cell r="Q33">
            <v>1.10705517264582</v>
          </cell>
          <cell r="U33">
            <v>6.3518478074971602E-3</v>
          </cell>
          <cell r="V33">
            <v>4.18856930417296E-4</v>
          </cell>
          <cell r="W33">
            <v>-4.2366306564551502E-4</v>
          </cell>
          <cell r="Y33">
            <v>1.1139962285470999</v>
          </cell>
          <cell r="Z33">
            <v>1.10754615611185</v>
          </cell>
          <cell r="AA33">
            <v>1.1071307623292199</v>
          </cell>
          <cell r="AF33">
            <v>4.1962314687948898E-4</v>
          </cell>
          <cell r="AG33">
            <v>-4.7406802732875901E-4</v>
          </cell>
          <cell r="AR33">
            <v>4.1787788822000996E-3</v>
          </cell>
          <cell r="BC33">
            <v>0</v>
          </cell>
          <cell r="BF33">
            <v>4.1787788822000996E-3</v>
          </cell>
        </row>
        <row r="34">
          <cell r="O34">
            <v>1.1144210713463301</v>
          </cell>
          <cell r="P34">
            <v>1.1074792438535099</v>
          </cell>
          <cell r="Q34">
            <v>1.1072931383448901</v>
          </cell>
          <cell r="U34">
            <v>5.5679147433445502E-3</v>
          </cell>
          <cell r="V34">
            <v>-7.3429668849226597E-4</v>
          </cell>
          <cell r="W34">
            <v>-1.06364453165758E-3</v>
          </cell>
          <cell r="Y34">
            <v>1.1139962285470999</v>
          </cell>
          <cell r="Z34">
            <v>1.1076052155228799</v>
          </cell>
          <cell r="AA34">
            <v>1.10737494310294</v>
          </cell>
          <cell r="AF34">
            <v>-7.3239434382719396E-4</v>
          </cell>
          <cell r="AG34">
            <v>-1.10752245758602E-3</v>
          </cell>
          <cell r="AR34">
            <v>4.1787788822000996E-3</v>
          </cell>
          <cell r="BC34">
            <v>0</v>
          </cell>
          <cell r="BF34">
            <v>4.1787788822000996E-3</v>
          </cell>
        </row>
        <row r="35">
          <cell r="O35">
            <v>1.1144210713463301</v>
          </cell>
          <cell r="P35">
            <v>1.1074882448240499</v>
          </cell>
          <cell r="Q35">
            <v>1.1076400932245001</v>
          </cell>
          <cell r="U35">
            <v>3.9788439271234198E-3</v>
          </cell>
          <cell r="V35">
            <v>-2.2697263008695399E-3</v>
          </cell>
          <cell r="W35">
            <v>-2.4377846625839202E-3</v>
          </cell>
          <cell r="Y35">
            <v>1.1139962285470999</v>
          </cell>
          <cell r="Z35">
            <v>1.1076137523404701</v>
          </cell>
          <cell r="AA35">
            <v>1.1077280551272399</v>
          </cell>
          <cell r="AF35">
            <v>-2.2669202796935998E-3</v>
          </cell>
          <cell r="AG35">
            <v>-2.4748430638997202E-3</v>
          </cell>
          <cell r="AR35">
            <v>4.1787788822000996E-3</v>
          </cell>
          <cell r="BC35">
            <v>0</v>
          </cell>
          <cell r="BF35">
            <v>4.1787788822000996E-3</v>
          </cell>
        </row>
        <row r="36">
          <cell r="O36">
            <v>1.1144210713463301</v>
          </cell>
          <cell r="P36">
            <v>1.1072332353190599</v>
          </cell>
          <cell r="Q36">
            <v>1.1078125777418899</v>
          </cell>
          <cell r="U36">
            <v>5.0695792751700598E-3</v>
          </cell>
          <cell r="V36">
            <v>-1.1708635463621401E-3</v>
          </cell>
          <cell r="W36">
            <v>-1.03376232465588E-3</v>
          </cell>
          <cell r="Y36">
            <v>1.1139962285470999</v>
          </cell>
          <cell r="Z36">
            <v>1.10735895281897</v>
          </cell>
          <cell r="AA36">
            <v>1.1079067855053399</v>
          </cell>
          <cell r="AF36">
            <v>-1.17019862339824E-3</v>
          </cell>
          <cell r="AG36">
            <v>-1.0670066134858701E-3</v>
          </cell>
          <cell r="AR36">
            <v>4.1787788822000996E-3</v>
          </cell>
          <cell r="BC36">
            <v>0</v>
          </cell>
          <cell r="BF36">
            <v>4.1787788822000996E-3</v>
          </cell>
        </row>
        <row r="37">
          <cell r="O37">
            <v>1.1144210713463301</v>
          </cell>
          <cell r="P37">
            <v>1.10707703487428</v>
          </cell>
          <cell r="Q37">
            <v>1.10777129614579</v>
          </cell>
          <cell r="U37">
            <v>8.2566102881507994E-3</v>
          </cell>
          <cell r="V37">
            <v>1.7858816194796601E-3</v>
          </cell>
          <cell r="W37">
            <v>2.3089790945967099E-3</v>
          </cell>
          <cell r="Y37">
            <v>1.1139962285470999</v>
          </cell>
          <cell r="Z37">
            <v>1.10720290872912</v>
          </cell>
          <cell r="AA37">
            <v>1.10787185865005</v>
          </cell>
          <cell r="AF37">
            <v>1.78443268178854E-3</v>
          </cell>
          <cell r="AG37">
            <v>2.2790304070788299E-3</v>
          </cell>
          <cell r="AR37">
            <v>4.1787788822000996E-3</v>
          </cell>
          <cell r="BC37">
            <v>0</v>
          </cell>
          <cell r="BF37">
            <v>4.1787788822000996E-3</v>
          </cell>
        </row>
        <row r="38">
          <cell r="O38">
            <v>1.1144210713463301</v>
          </cell>
          <cell r="P38">
            <v>1.1069412149388</v>
          </cell>
          <cell r="Q38">
            <v>1.1077213688387499</v>
          </cell>
          <cell r="U38">
            <v>8.2067737247030394E-3</v>
          </cell>
          <cell r="V38">
            <v>1.5949623476692501E-3</v>
          </cell>
          <cell r="W38">
            <v>2.2218777752593499E-3</v>
          </cell>
          <cell r="Y38">
            <v>1.1139962285470999</v>
          </cell>
          <cell r="Z38">
            <v>1.1070670753365199</v>
          </cell>
          <cell r="AA38">
            <v>1.1078282364589001</v>
          </cell>
          <cell r="AF38">
            <v>1.59457420571143E-3</v>
          </cell>
          <cell r="AG38">
            <v>2.1985718234104798E-3</v>
          </cell>
          <cell r="AR38">
            <v>4.1787788822000996E-3</v>
          </cell>
          <cell r="BC38">
            <v>0</v>
          </cell>
          <cell r="BF38">
            <v>4.1787788822000996E-3</v>
          </cell>
        </row>
        <row r="39">
          <cell r="O39">
            <v>1.1144210713463301</v>
          </cell>
          <cell r="P39">
            <v>1.10732018381887</v>
          </cell>
          <cell r="Q39">
            <v>1.1078319110155701</v>
          </cell>
          <cell r="U39">
            <v>5.2807589730952797E-3</v>
          </cell>
          <cell r="V39">
            <v>-1.4537432947317301E-3</v>
          </cell>
          <cell r="W39">
            <v>-7.4920804143233002E-4</v>
          </cell>
          <cell r="Y39">
            <v>1.1139962285470999</v>
          </cell>
          <cell r="Z39">
            <v>1.1074456239852699</v>
          </cell>
          <cell r="AA39">
            <v>1.10794497340751</v>
          </cell>
          <cell r="AF39">
            <v>-1.4518057920873499E-3</v>
          </cell>
          <cell r="AG39">
            <v>-7.6449461463612802E-4</v>
          </cell>
          <cell r="AR39">
            <v>4.1787788822000996E-3</v>
          </cell>
          <cell r="BC39">
            <v>0</v>
          </cell>
          <cell r="BF39">
            <v>4.1787788822000996E-3</v>
          </cell>
        </row>
        <row r="40">
          <cell r="O40">
            <v>1.1144210713463301</v>
          </cell>
          <cell r="P40">
            <v>1.1077655137798901</v>
          </cell>
          <cell r="Q40">
            <v>1.1079313018869501</v>
          </cell>
          <cell r="U40">
            <v>3.8013238661691899E-3</v>
          </cell>
          <cell r="V40">
            <v>-2.5908801671436698E-3</v>
          </cell>
          <cell r="W40">
            <v>-2.1288557246723198E-3</v>
          </cell>
          <cell r="Y40">
            <v>1.1139962285470999</v>
          </cell>
          <cell r="Z40">
            <v>1.10789048366265</v>
          </cell>
          <cell r="AA40">
            <v>1.10805052937371</v>
          </cell>
          <cell r="AF40">
            <v>-2.5886612593775298E-3</v>
          </cell>
          <cell r="AG40">
            <v>-2.1378609072493998E-3</v>
          </cell>
          <cell r="AR40">
            <v>4.1787788822000996E-3</v>
          </cell>
          <cell r="BC40">
            <v>0</v>
          </cell>
          <cell r="BF40">
            <v>4.1787788822000996E-3</v>
          </cell>
        </row>
        <row r="41">
          <cell r="O41">
            <v>1.1144210713463301</v>
          </cell>
          <cell r="P41">
            <v>1.1084253497075101</v>
          </cell>
          <cell r="Q41">
            <v>1.1082504962197799</v>
          </cell>
          <cell r="U41">
            <v>-2.8171471477579299E-4</v>
          </cell>
          <cell r="V41">
            <v>-6.27183049705688E-3</v>
          </cell>
          <cell r="W41">
            <v>-6.1221817669601299E-3</v>
          </cell>
          <cell r="Y41">
            <v>1.1139962285470999</v>
          </cell>
          <cell r="Z41">
            <v>1.10851427827775</v>
          </cell>
          <cell r="AA41">
            <v>1.1083579534086101</v>
          </cell>
          <cell r="AF41">
            <v>-5.9478253836574803E-3</v>
          </cell>
          <cell r="AG41">
            <v>-5.8033759507517303E-3</v>
          </cell>
          <cell r="AR41">
            <v>4.1787788822000996E-3</v>
          </cell>
          <cell r="BC41">
            <v>0</v>
          </cell>
          <cell r="BF41">
            <v>4.1787788822000996E-3</v>
          </cell>
        </row>
        <row r="42">
          <cell r="O42">
            <v>1.1144210713463301</v>
          </cell>
          <cell r="P42">
            <v>1.10883349412409</v>
          </cell>
          <cell r="Q42">
            <v>1.1083311453557201</v>
          </cell>
          <cell r="U42">
            <v>4.0602131207383603E-3</v>
          </cell>
          <cell r="V42">
            <v>-1.3344341412216301E-3</v>
          </cell>
          <cell r="W42">
            <v>-1.4921960335717199E-3</v>
          </cell>
          <cell r="Y42">
            <v>1.1139962285470999</v>
          </cell>
          <cell r="Z42">
            <v>1.10888699241134</v>
          </cell>
          <cell r="AA42">
            <v>1.10842093597327</v>
          </cell>
          <cell r="AF42">
            <v>-1.04917031048892E-3</v>
          </cell>
          <cell r="AG42">
            <v>-1.1902022266847901E-3</v>
          </cell>
          <cell r="AR42">
            <v>8.5207067177144012E-3</v>
          </cell>
          <cell r="BC42">
            <v>0</v>
          </cell>
          <cell r="BF42">
            <v>8.5207067177144012E-3</v>
          </cell>
        </row>
        <row r="43">
          <cell r="O43">
            <v>1.1144210713463301</v>
          </cell>
          <cell r="P43">
            <v>1.10919393213051</v>
          </cell>
          <cell r="Q43">
            <v>1.1083068855287199</v>
          </cell>
          <cell r="U43">
            <v>3.1022171978052101E-3</v>
          </cell>
          <cell r="V43">
            <v>-1.9242778095531099E-3</v>
          </cell>
          <cell r="W43">
            <v>-2.3774230275721299E-3</v>
          </cell>
          <cell r="Y43">
            <v>1.1139962285470999</v>
          </cell>
          <cell r="Z43">
            <v>1.1092121144000999</v>
          </cell>
          <cell r="AA43">
            <v>1.10837913525598</v>
          </cell>
          <cell r="AF43">
            <v>-1.6708036123632801E-3</v>
          </cell>
          <cell r="AG43">
            <v>-2.0911840556645002E-3</v>
          </cell>
          <cell r="AR43">
            <v>8.5207067177144012E-3</v>
          </cell>
          <cell r="BC43">
            <v>0</v>
          </cell>
          <cell r="BF43">
            <v>8.5207067177144012E-3</v>
          </cell>
        </row>
        <row r="44">
          <cell r="O44">
            <v>1.1144210713463301</v>
          </cell>
          <cell r="P44">
            <v>1.10940886401552</v>
          </cell>
          <cell r="Q44">
            <v>1.10844405393451</v>
          </cell>
          <cell r="U44">
            <v>3.6303828970565498E-3</v>
          </cell>
          <cell r="V44">
            <v>-1.0711043982089699E-3</v>
          </cell>
          <cell r="W44">
            <v>-1.8711461768084899E-3</v>
          </cell>
          <cell r="Y44">
            <v>1.1139962285470999</v>
          </cell>
          <cell r="Z44">
            <v>1.1093917324395699</v>
          </cell>
          <cell r="AA44">
            <v>1.10849847398123</v>
          </cell>
          <cell r="AF44">
            <v>-8.4860258221382604E-4</v>
          </cell>
          <cell r="AG44">
            <v>-1.59984939871474E-3</v>
          </cell>
          <cell r="AR44">
            <v>8.5207067177144012E-3</v>
          </cell>
          <cell r="BC44">
            <v>0</v>
          </cell>
          <cell r="BF44">
            <v>8.5207067177144012E-3</v>
          </cell>
        </row>
        <row r="45">
          <cell r="O45">
            <v>1.1144210713463301</v>
          </cell>
          <cell r="P45">
            <v>1.1092917040115899</v>
          </cell>
          <cell r="Q45">
            <v>1.1083899744178201</v>
          </cell>
          <cell r="U45">
            <v>5.0349009089885001E-3</v>
          </cell>
          <cell r="V45">
            <v>5.2716788650975302E-4</v>
          </cell>
          <cell r="W45">
            <v>-3.4287190202318799E-4</v>
          </cell>
          <cell r="Y45">
            <v>1.1139962285470999</v>
          </cell>
          <cell r="Z45">
            <v>1.10923934568758</v>
          </cell>
          <cell r="AA45">
            <v>1.1084265490140199</v>
          </cell>
          <cell r="AF45">
            <v>7.1838448220650495E-4</v>
          </cell>
          <cell r="AG45">
            <v>-8.7118426871101294E-5</v>
          </cell>
          <cell r="AR45">
            <v>8.5207067177144012E-3</v>
          </cell>
          <cell r="BC45">
            <v>0</v>
          </cell>
          <cell r="BF45">
            <v>8.5207067177144012E-3</v>
          </cell>
        </row>
        <row r="46">
          <cell r="O46">
            <v>1.1144210713463301</v>
          </cell>
          <cell r="P46">
            <v>1.10951467161099</v>
          </cell>
          <cell r="Q46">
            <v>1.1083739534650201</v>
          </cell>
          <cell r="U46">
            <v>3.0606815194148202E-3</v>
          </cell>
          <cell r="V46">
            <v>-1.5526628737270801E-3</v>
          </cell>
          <cell r="W46">
            <v>-2.3658811567965599E-3</v>
          </cell>
          <cell r="Y46">
            <v>1.1139962285470999</v>
          </cell>
          <cell r="Z46">
            <v>1.10942673791838</v>
          </cell>
          <cell r="AA46">
            <v>1.10839284536867</v>
          </cell>
          <cell r="AF46">
            <v>-1.3920714576932699E-3</v>
          </cell>
          <cell r="AG46">
            <v>-2.12509144225667E-3</v>
          </cell>
          <cell r="AR46">
            <v>8.5207067177144012E-3</v>
          </cell>
          <cell r="BC46">
            <v>0</v>
          </cell>
          <cell r="BF46">
            <v>8.5207067177144012E-3</v>
          </cell>
        </row>
        <row r="47">
          <cell r="O47">
            <v>1.1144210713463301</v>
          </cell>
          <cell r="P47">
            <v>1.1102672675293801</v>
          </cell>
          <cell r="Q47">
            <v>1.10867215120183</v>
          </cell>
          <cell r="U47">
            <v>1.47045309695348E-3</v>
          </cell>
          <cell r="V47">
            <v>-2.9419115238217999E-3</v>
          </cell>
          <cell r="W47">
            <v>-3.9705639400440798E-3</v>
          </cell>
          <cell r="Y47">
            <v>1.1139962285470999</v>
          </cell>
          <cell r="Z47">
            <v>1.1101431340571599</v>
          </cell>
          <cell r="AA47">
            <v>1.1086730213931399</v>
          </cell>
          <cell r="AF47">
            <v>-2.8100516374613802E-3</v>
          </cell>
          <cell r="AG47">
            <v>-3.7424021608242698E-3</v>
          </cell>
          <cell r="AR47">
            <v>8.5207067177144012E-3</v>
          </cell>
          <cell r="BC47">
            <v>0</v>
          </cell>
          <cell r="BF47">
            <v>8.5207067177144012E-3</v>
          </cell>
        </row>
        <row r="48">
          <cell r="O48">
            <v>1.1144210713463301</v>
          </cell>
          <cell r="P48">
            <v>1.1111324666203499</v>
          </cell>
          <cell r="Q48">
            <v>1.1090368407795801</v>
          </cell>
          <cell r="U48">
            <v>4.0960982865027298E-4</v>
          </cell>
          <cell r="V48">
            <v>-3.3246738203276298E-3</v>
          </cell>
          <cell r="W48">
            <v>-4.7624026639844202E-3</v>
          </cell>
          <cell r="Y48">
            <v>1.1139962285470999</v>
          </cell>
          <cell r="Z48">
            <v>1.1109720495409801</v>
          </cell>
          <cell r="AA48">
            <v>1.10901956243875</v>
          </cell>
          <cell r="AF48">
            <v>-3.2239479284966802E-3</v>
          </cell>
          <cell r="AG48">
            <v>-4.5490805903732603E-3</v>
          </cell>
          <cell r="AR48">
            <v>8.5207067177144012E-3</v>
          </cell>
          <cell r="BC48">
            <v>0</v>
          </cell>
          <cell r="BF48">
            <v>8.5207067177144012E-3</v>
          </cell>
        </row>
        <row r="49">
          <cell r="O49">
            <v>1.1144210713463301</v>
          </cell>
          <cell r="P49">
            <v>1.11114332921346</v>
          </cell>
          <cell r="Q49">
            <v>1.10923175651616</v>
          </cell>
          <cell r="U49">
            <v>5.1827747115534102E-3</v>
          </cell>
          <cell r="V49">
            <v>2.2274585950007499E-3</v>
          </cell>
          <cell r="W49">
            <v>3.39650799296794E-4</v>
          </cell>
          <cell r="Y49">
            <v>1.1139962285470999</v>
          </cell>
          <cell r="Z49">
            <v>1.1109478228410501</v>
          </cell>
          <cell r="AA49">
            <v>1.1091967234131599</v>
          </cell>
          <cell r="AF49">
            <v>2.2878459214723998E-3</v>
          </cell>
          <cell r="AG49">
            <v>5.2884143233621799E-4</v>
          </cell>
          <cell r="AR49">
            <v>8.5207067177144012E-3</v>
          </cell>
          <cell r="BC49">
            <v>0</v>
          </cell>
          <cell r="BF49">
            <v>8.5207067177144012E-3</v>
          </cell>
        </row>
        <row r="50">
          <cell r="O50">
            <v>1.1144210713463301</v>
          </cell>
          <cell r="P50">
            <v>1.11136793465756</v>
          </cell>
          <cell r="Q50">
            <v>1.1095667242187199</v>
          </cell>
          <cell r="U50">
            <v>1.7802466216809E-3</v>
          </cell>
          <cell r="V50">
            <v>-1.1652933967645101E-3</v>
          </cell>
          <cell r="W50">
            <v>-2.8871404683295E-3</v>
          </cell>
          <cell r="Y50">
            <v>1.1139962285470999</v>
          </cell>
          <cell r="Z50">
            <v>1.1111364503541801</v>
          </cell>
          <cell r="AA50">
            <v>1.1095134670084099</v>
          </cell>
          <cell r="AF50">
            <v>-1.1286612701735101E-3</v>
          </cell>
          <cell r="AG50">
            <v>-2.7061259392781901E-3</v>
          </cell>
          <cell r="AR50">
            <v>8.5207067177144012E-3</v>
          </cell>
          <cell r="BC50">
            <v>0</v>
          </cell>
          <cell r="BF50">
            <v>8.5207067177144012E-3</v>
          </cell>
        </row>
        <row r="51">
          <cell r="O51">
            <v>1.1144210713463301</v>
          </cell>
          <cell r="P51">
            <v>1.11120101478829</v>
          </cell>
          <cell r="Q51">
            <v>1.1098131822479</v>
          </cell>
          <cell r="U51">
            <v>1.2168024844079401E-3</v>
          </cell>
          <cell r="V51">
            <v>-1.5266189229718699E-3</v>
          </cell>
          <cell r="W51">
            <v>-3.1486484829557002E-3</v>
          </cell>
          <cell r="Y51">
            <v>1.1139962285470999</v>
          </cell>
          <cell r="Z51">
            <v>1.11096956327032</v>
          </cell>
          <cell r="AA51">
            <v>1.10974192077404</v>
          </cell>
          <cell r="AF51">
            <v>-1.5237073050567099E-3</v>
          </cell>
          <cell r="AG51">
            <v>-2.9854267972204401E-3</v>
          </cell>
          <cell r="AR51">
            <v>8.5207067177144012E-3</v>
          </cell>
          <cell r="BC51">
            <v>0</v>
          </cell>
          <cell r="BF51">
            <v>8.5207067177144012E-3</v>
          </cell>
        </row>
        <row r="52">
          <cell r="O52">
            <v>1.1144210713463301</v>
          </cell>
          <cell r="P52">
            <v>1.11140203541456</v>
          </cell>
          <cell r="Q52">
            <v>1.1101177647693301</v>
          </cell>
          <cell r="U52">
            <v>2.2507003821174202E-3</v>
          </cell>
          <cell r="V52">
            <v>-6.4292547190009802E-4</v>
          </cell>
          <cell r="W52">
            <v>-1.8926542875647499E-3</v>
          </cell>
          <cell r="Y52">
            <v>1.1139962285470999</v>
          </cell>
          <cell r="Z52">
            <v>1.1111702875914899</v>
          </cell>
          <cell r="AA52">
            <v>1.1100286400014101</v>
          </cell>
          <cell r="AF52">
            <v>-6.4390462894852102E-4</v>
          </cell>
          <cell r="AG52">
            <v>-1.7495346310118099E-3</v>
          </cell>
          <cell r="AR52">
            <v>8.5207067177144012E-3</v>
          </cell>
          <cell r="BC52">
            <v>0</v>
          </cell>
          <cell r="BF52">
            <v>8.5207067177144012E-3</v>
          </cell>
        </row>
        <row r="53">
          <cell r="O53">
            <v>1.1144210713463301</v>
          </cell>
          <cell r="P53">
            <v>1.11162626795834</v>
          </cell>
          <cell r="Q53">
            <v>1.11041010004442</v>
          </cell>
          <cell r="U53">
            <v>1.08590074756842E-3</v>
          </cell>
          <cell r="V53">
            <v>-1.6268375414806599E-3</v>
          </cell>
          <cell r="W53">
            <v>-2.7830467170157601E-3</v>
          </cell>
          <cell r="Y53">
            <v>1.1139962285470999</v>
          </cell>
          <cell r="Z53">
            <v>1.1113938767421501</v>
          </cell>
          <cell r="AA53">
            <v>1.1103029955711301</v>
          </cell>
          <cell r="AF53">
            <v>-1.62478234338922E-3</v>
          </cell>
          <cell r="AG53">
            <v>-2.6527386208934E-3</v>
          </cell>
          <cell r="AR53">
            <v>8.5207067177144012E-3</v>
          </cell>
          <cell r="BC53">
            <v>0</v>
          </cell>
          <cell r="BF53">
            <v>8.5207067177144012E-3</v>
          </cell>
        </row>
        <row r="54">
          <cell r="O54">
            <v>1.1144210713463301</v>
          </cell>
          <cell r="P54">
            <v>1.1119364269049901</v>
          </cell>
          <cell r="Q54">
            <v>1.11067264546025</v>
          </cell>
          <cell r="U54">
            <v>8.4101493184777598E-4</v>
          </cell>
          <cell r="V54">
            <v>-1.6699872441735999E-3</v>
          </cell>
          <cell r="W54">
            <v>-2.7646300257833899E-3</v>
          </cell>
          <cell r="Y54">
            <v>1.1139962285470999</v>
          </cell>
          <cell r="Z54">
            <v>1.11170353014227</v>
          </cell>
          <cell r="AA54">
            <v>1.1105476312909199</v>
          </cell>
          <cell r="AF54">
            <v>-1.6689876519639601E-3</v>
          </cell>
          <cell r="AG54">
            <v>-2.6510129428911301E-3</v>
          </cell>
          <cell r="AR54">
            <v>8.5207067177144012E-3</v>
          </cell>
          <cell r="BC54">
            <v>0</v>
          </cell>
          <cell r="BF54">
            <v>8.5207067177144012E-3</v>
          </cell>
        </row>
        <row r="55">
          <cell r="O55">
            <v>1.1144210713463301</v>
          </cell>
          <cell r="P55">
            <v>1.1124477908199799</v>
          </cell>
          <cell r="Q55">
            <v>1.11086974741579</v>
          </cell>
          <cell r="U55">
            <v>4.33735148723212E-4</v>
          </cell>
          <cell r="V55">
            <v>-1.7982922546230999E-3</v>
          </cell>
          <cell r="W55">
            <v>-2.9354977098206099E-3</v>
          </cell>
          <cell r="Y55">
            <v>1.1139962285470999</v>
          </cell>
          <cell r="Z55">
            <v>1.1122137625361801</v>
          </cell>
          <cell r="AA55">
            <v>1.11072655411188</v>
          </cell>
          <cell r="AF55">
            <v>-1.79189570641502E-3</v>
          </cell>
          <cell r="AG55">
            <v>-2.8321912190499799E-3</v>
          </cell>
          <cell r="AR55">
            <v>8.5207067177144012E-3</v>
          </cell>
          <cell r="BC55">
            <v>0</v>
          </cell>
          <cell r="BF55">
            <v>8.5207067177144012E-3</v>
          </cell>
        </row>
        <row r="56">
          <cell r="O56">
            <v>1.1144210713463301</v>
          </cell>
          <cell r="P56">
            <v>1.1126059576768399</v>
          </cell>
          <cell r="Q56">
            <v>1.11106031464391</v>
          </cell>
          <cell r="U56">
            <v>1.63806956635382E-3</v>
          </cell>
          <cell r="V56">
            <v>-1.3417762462734599E-4</v>
          </cell>
          <cell r="W56">
            <v>-1.5537172468830501E-3</v>
          </cell>
          <cell r="Y56">
            <v>1.1139962285470999</v>
          </cell>
          <cell r="Z56">
            <v>1.1123714961497999</v>
          </cell>
          <cell r="AA56">
            <v>1.1108991170340901</v>
          </cell>
          <cell r="AF56">
            <v>-1.3318045244656399E-4</v>
          </cell>
          <cell r="AG56">
            <v>-1.47123585146399E-3</v>
          </cell>
          <cell r="AR56">
            <v>8.5207067177144012E-3</v>
          </cell>
          <cell r="BC56">
            <v>0</v>
          </cell>
          <cell r="BF56">
            <v>8.5207067177144012E-3</v>
          </cell>
        </row>
        <row r="57">
          <cell r="O57">
            <v>1.1144210713463301</v>
          </cell>
          <cell r="P57">
            <v>1.1128259333064701</v>
          </cell>
          <cell r="Q57">
            <v>1.11154660041793</v>
          </cell>
          <cell r="U57">
            <v>-5.0440074579227397E-4</v>
          </cell>
          <cell r="V57">
            <v>-2.1344789152540201E-3</v>
          </cell>
          <cell r="W57">
            <v>-3.5246545014858302E-3</v>
          </cell>
          <cell r="Y57">
            <v>1.1139962285470999</v>
          </cell>
          <cell r="Z57">
            <v>1.1125909124358699</v>
          </cell>
          <cell r="AA57">
            <v>1.11136702324652</v>
          </cell>
          <cell r="AF57">
            <v>-2.1295146428090901E-3</v>
          </cell>
          <cell r="AG57">
            <v>-3.45403116565872E-3</v>
          </cell>
          <cell r="AR57">
            <v>8.5207067177144012E-3</v>
          </cell>
          <cell r="BC57">
            <v>0</v>
          </cell>
          <cell r="BF57">
            <v>8.5207067177144012E-3</v>
          </cell>
        </row>
        <row r="58">
          <cell r="O58">
            <v>1.1144210713463301</v>
          </cell>
          <cell r="P58">
            <v>1.11301359125119</v>
          </cell>
          <cell r="Q58">
            <v>1.1120730289357701</v>
          </cell>
          <cell r="U58">
            <v>-1.27356792711696E-3</v>
          </cell>
          <cell r="V58">
            <v>-2.7059535666596698E-3</v>
          </cell>
          <cell r="W58">
            <v>-3.85624022971772E-3</v>
          </cell>
          <cell r="Y58">
            <v>1.1139962285470999</v>
          </cell>
          <cell r="Z58">
            <v>1.1127781145165101</v>
          </cell>
          <cell r="AA58">
            <v>1.11187508202875</v>
          </cell>
          <cell r="AF58">
            <v>-2.7009027482448799E-3</v>
          </cell>
          <cell r="AG58">
            <v>-3.8015434512657501E-3</v>
          </cell>
          <cell r="AR58">
            <v>8.5207067177144012E-3</v>
          </cell>
          <cell r="BC58">
            <v>0</v>
          </cell>
          <cell r="BF58">
            <v>8.5207067177144012E-3</v>
          </cell>
        </row>
        <row r="59">
          <cell r="O59">
            <v>1.1144210713463301</v>
          </cell>
          <cell r="P59">
            <v>1.113708326165</v>
          </cell>
          <cell r="Q59">
            <v>1.11242582768923</v>
          </cell>
          <cell r="U59">
            <v>-1.0641095599341699E-3</v>
          </cell>
          <cell r="V59">
            <v>-2.32787752232996E-3</v>
          </cell>
          <cell r="W59">
            <v>-3.1732939325564199E-3</v>
          </cell>
          <cell r="Y59">
            <v>1.1139962285470999</v>
          </cell>
          <cell r="Z59">
            <v>1.1134709370000699</v>
          </cell>
          <cell r="AA59">
            <v>1.1122093799205599</v>
          </cell>
          <cell r="AF59">
            <v>-2.3188255533781099E-3</v>
          </cell>
          <cell r="AG59">
            <v>-3.13066673272923E-3</v>
          </cell>
          <cell r="AR59">
            <v>8.5207067177144012E-3</v>
          </cell>
          <cell r="BC59">
            <v>0</v>
          </cell>
          <cell r="BF59">
            <v>8.5207067177144012E-3</v>
          </cell>
        </row>
        <row r="60">
          <cell r="O60">
            <v>1.1144210713463301</v>
          </cell>
          <cell r="P60">
            <v>1.1147459201054</v>
          </cell>
          <cell r="Q60">
            <v>1.1130569273814801</v>
          </cell>
          <cell r="U60">
            <v>-7.5037230888590403E-3</v>
          </cell>
          <cell r="V60">
            <v>-8.14349311876204E-3</v>
          </cell>
          <cell r="W60">
            <v>-9.2957135412755597E-3</v>
          </cell>
          <cell r="Y60">
            <v>1.1139962285470999</v>
          </cell>
          <cell r="Z60">
            <v>1.11450526093927</v>
          </cell>
          <cell r="AA60">
            <v>1.1128208556467201</v>
          </cell>
          <cell r="AF60">
            <v>-8.1169046288552295E-3</v>
          </cell>
          <cell r="AG60">
            <v>-9.2505420205541405E-3</v>
          </cell>
          <cell r="AR60">
            <v>8.5207067177144012E-3</v>
          </cell>
          <cell r="BC60">
            <v>0</v>
          </cell>
          <cell r="BF60">
            <v>8.5207067177144012E-3</v>
          </cell>
        </row>
        <row r="61">
          <cell r="O61">
            <v>1.1144210713463301</v>
          </cell>
          <cell r="P61">
            <v>1.1147937809753501</v>
          </cell>
          <cell r="Q61">
            <v>1.1129973978818199</v>
          </cell>
          <cell r="U61">
            <v>7.8690354948596903E-4</v>
          </cell>
          <cell r="V61">
            <v>1.0783566013357899E-3</v>
          </cell>
          <cell r="W61">
            <v>-4.3792932084794602E-4</v>
          </cell>
          <cell r="Y61">
            <v>1.1139962285470999</v>
          </cell>
          <cell r="Z61">
            <v>1.1145518963415799</v>
          </cell>
          <cell r="AA61">
            <v>1.1127607298059501</v>
          </cell>
          <cell r="AF61">
            <v>1.08458402191663E-3</v>
          </cell>
          <cell r="AG61">
            <v>-4.2790721240205601E-4</v>
          </cell>
          <cell r="AR61">
            <v>1.6811333356059461E-2</v>
          </cell>
          <cell r="BC61">
            <v>0</v>
          </cell>
          <cell r="BF61">
            <v>1.6811333356059461E-2</v>
          </cell>
        </row>
        <row r="62">
          <cell r="O62">
            <v>1.1144210713463301</v>
          </cell>
          <cell r="P62">
            <v>1.11482380549108</v>
          </cell>
          <cell r="Q62">
            <v>1.1131129204528201</v>
          </cell>
          <cell r="U62">
            <v>1.9807117152407898E-3</v>
          </cell>
          <cell r="V62">
            <v>2.3150981761094502E-3</v>
          </cell>
          <cell r="W62">
            <v>7.0239452603889296E-4</v>
          </cell>
          <cell r="Y62">
            <v>1.1139962285470999</v>
          </cell>
          <cell r="Z62">
            <v>1.11458124426005</v>
          </cell>
          <cell r="AA62">
            <v>1.11287576592577</v>
          </cell>
          <cell r="AF62">
            <v>2.3114582936968201E-3</v>
          </cell>
          <cell r="AG62">
            <v>7.0309231873588805E-4</v>
          </cell>
          <cell r="AR62">
            <v>1.6811333356059461E-2</v>
          </cell>
          <cell r="BC62">
            <v>0</v>
          </cell>
          <cell r="BF62">
            <v>1.6811333356059461E-2</v>
          </cell>
        </row>
        <row r="63">
          <cell r="O63">
            <v>1.1144210713463301</v>
          </cell>
          <cell r="P63">
            <v>1.11469546703524</v>
          </cell>
          <cell r="Q63">
            <v>1.1131608674967901</v>
          </cell>
          <cell r="U63">
            <v>2.2394325101902802E-3</v>
          </cell>
          <cell r="V63">
            <v>2.60075140639646E-3</v>
          </cell>
          <cell r="W63">
            <v>1.064904041751E-3</v>
          </cell>
          <cell r="Y63">
            <v>1.1139962285470999</v>
          </cell>
          <cell r="Z63">
            <v>1.11447491139119</v>
          </cell>
          <cell r="AA63">
            <v>1.1129343940666701</v>
          </cell>
          <cell r="AF63">
            <v>2.3960612346266299E-3</v>
          </cell>
          <cell r="AG63">
            <v>8.64737703124867E-4</v>
          </cell>
          <cell r="AR63">
            <v>1.6811333356059461E-2</v>
          </cell>
          <cell r="BC63">
            <v>0</v>
          </cell>
          <cell r="BF63">
            <v>1.6811333356059461E-2</v>
          </cell>
        </row>
        <row r="64">
          <cell r="O64">
            <v>1.1144210713463301</v>
          </cell>
          <cell r="P64">
            <v>1.11469752729106</v>
          </cell>
          <cell r="Q64">
            <v>1.11331697709803</v>
          </cell>
          <cell r="U64">
            <v>8.2251231885944001E-4</v>
          </cell>
          <cell r="V64">
            <v>1.0687046426561099E-3</v>
          </cell>
          <cell r="W64">
            <v>-3.0894234236536E-4</v>
          </cell>
          <cell r="Y64">
            <v>1.1139962285470999</v>
          </cell>
          <cell r="Z64">
            <v>1.1144983743780399</v>
          </cell>
          <cell r="AA64">
            <v>1.11310095226016</v>
          </cell>
          <cell r="AF64">
            <v>8.8866360315820896E-4</v>
          </cell>
          <cell r="AG64">
            <v>-4.9457347533929798E-4</v>
          </cell>
          <cell r="AR64">
            <v>1.6811333356059461E-2</v>
          </cell>
          <cell r="BC64">
            <v>0</v>
          </cell>
          <cell r="BF64">
            <v>1.6811333356059461E-2</v>
          </cell>
        </row>
        <row r="65">
          <cell r="O65">
            <v>1.1144210713463301</v>
          </cell>
          <cell r="P65">
            <v>1.1148034242149201</v>
          </cell>
          <cell r="Q65">
            <v>1.11362560751745</v>
          </cell>
          <cell r="U65">
            <v>-5.1646708769930902E-4</v>
          </cell>
          <cell r="V65">
            <v>-2.6842649773713899E-4</v>
          </cell>
          <cell r="W65">
            <v>-1.5076916524320099E-3</v>
          </cell>
          <cell r="Y65">
            <v>1.1139962285470999</v>
          </cell>
          <cell r="Z65">
            <v>1.11462579331017</v>
          </cell>
          <cell r="AA65">
            <v>1.11341977792317</v>
          </cell>
          <cell r="AF65">
            <v>-4.2448450440957599E-4</v>
          </cell>
          <cell r="AG65">
            <v>-1.6791287166669001E-3</v>
          </cell>
          <cell r="AR65">
            <v>1.6811333356059461E-2</v>
          </cell>
          <cell r="BC65">
            <v>0</v>
          </cell>
          <cell r="BF65">
            <v>1.6811333356059461E-2</v>
          </cell>
        </row>
        <row r="66">
          <cell r="O66">
            <v>1.1144210713463301</v>
          </cell>
          <cell r="P66">
            <v>1.1149354481765399</v>
          </cell>
          <cell r="Q66">
            <v>1.1137707029266899</v>
          </cell>
          <cell r="U66">
            <v>4.5214434860591798E-4</v>
          </cell>
          <cell r="V66">
            <v>7.9518101727428904E-4</v>
          </cell>
          <cell r="W66">
            <v>-2.6190160942911198E-4</v>
          </cell>
          <cell r="Y66">
            <v>1.1139962285470999</v>
          </cell>
          <cell r="Z66">
            <v>1.11477921244339</v>
          </cell>
          <cell r="AA66">
            <v>1.11357535429659</v>
          </cell>
          <cell r="AF66">
            <v>6.5487754682075697E-4</v>
          </cell>
          <cell r="AG66">
            <v>-4.2769950667161598E-4</v>
          </cell>
          <cell r="AR66">
            <v>1.6811333356059461E-2</v>
          </cell>
          <cell r="BC66">
            <v>0</v>
          </cell>
          <cell r="BF66">
            <v>1.6811333356059461E-2</v>
          </cell>
        </row>
        <row r="67">
          <cell r="O67">
            <v>1.1144210713463301</v>
          </cell>
          <cell r="P67">
            <v>1.1148490875773001</v>
          </cell>
          <cell r="Q67">
            <v>1.1138375104418901</v>
          </cell>
          <cell r="U67">
            <v>2.7044547375317597E-4</v>
          </cell>
          <cell r="V67">
            <v>7.3190314984659304E-4</v>
          </cell>
          <cell r="W67">
            <v>-3.1331795775653301E-4</v>
          </cell>
          <cell r="Y67">
            <v>1.1139962285470999</v>
          </cell>
          <cell r="Z67">
            <v>1.11471476566007</v>
          </cell>
          <cell r="AA67">
            <v>1.1136528390479701</v>
          </cell>
          <cell r="AF67">
            <v>6.1093418981368998E-4</v>
          </cell>
          <cell r="AG67">
            <v>-4.6955657398513702E-4</v>
          </cell>
          <cell r="AR67">
            <v>1.6811333356059461E-2</v>
          </cell>
          <cell r="BC67">
            <v>0</v>
          </cell>
          <cell r="BF67">
            <v>1.6811333356059461E-2</v>
          </cell>
        </row>
        <row r="68">
          <cell r="O68">
            <v>1.1144210713463301</v>
          </cell>
          <cell r="P68">
            <v>1.11471455164873</v>
          </cell>
          <cell r="Q68">
            <v>1.1138640714499599</v>
          </cell>
          <cell r="U68">
            <v>-6.7149933617641195E-5</v>
          </cell>
          <cell r="V68">
            <v>3.1684680587147201E-4</v>
          </cell>
          <cell r="W68">
            <v>-5.9093197808254697E-4</v>
          </cell>
          <cell r="Y68">
            <v>1.1139962285470999</v>
          </cell>
          <cell r="Z68">
            <v>1.11460209578036</v>
          </cell>
          <cell r="AA68">
            <v>1.11369010514844</v>
          </cell>
          <cell r="AF68">
            <v>2.1666221286922499E-4</v>
          </cell>
          <cell r="AG68">
            <v>-7.3643609123412196E-4</v>
          </cell>
          <cell r="AR68">
            <v>1.6811333356059461E-2</v>
          </cell>
          <cell r="BC68">
            <v>0</v>
          </cell>
          <cell r="BF68">
            <v>1.6811333356059461E-2</v>
          </cell>
        </row>
        <row r="69">
          <cell r="O69">
            <v>1.1144210713463301</v>
          </cell>
          <cell r="P69">
            <v>1.11469783623633</v>
          </cell>
          <cell r="Q69">
            <v>1.11420308120067</v>
          </cell>
          <cell r="U69">
            <v>-9.1426596576321597E-4</v>
          </cell>
          <cell r="V69">
            <v>-6.5095286711700905E-4</v>
          </cell>
          <cell r="W69">
            <v>-1.41420190059557E-3</v>
          </cell>
          <cell r="Y69">
            <v>1.1139962285470999</v>
          </cell>
          <cell r="Z69">
            <v>1.1146074026633299</v>
          </cell>
          <cell r="AA69">
            <v>1.1140391698317</v>
          </cell>
          <cell r="AF69">
            <v>-7.2862230328411002E-4</v>
          </cell>
          <cell r="AG69">
            <v>-1.5471780406937901E-3</v>
          </cell>
          <cell r="AR69">
            <v>1.6811333356059461E-2</v>
          </cell>
          <cell r="BC69">
            <v>0</v>
          </cell>
          <cell r="BF69">
            <v>1.6811333356059461E-2</v>
          </cell>
        </row>
        <row r="70">
          <cell r="O70">
            <v>1.1144210713463301</v>
          </cell>
          <cell r="P70">
            <v>1.1133583228641699</v>
          </cell>
          <cell r="Q70">
            <v>1.1140521214847801</v>
          </cell>
          <cell r="U70">
            <v>4.4979678936632904E-3</v>
          </cell>
          <cell r="V70">
            <v>4.7462856397332501E-3</v>
          </cell>
          <cell r="W70">
            <v>4.3023403392307199E-3</v>
          </cell>
          <cell r="Y70">
            <v>1.1139962285470999</v>
          </cell>
          <cell r="Z70">
            <v>1.11329430530353</v>
          </cell>
          <cell r="AA70">
            <v>1.1138997831213999</v>
          </cell>
          <cell r="AF70">
            <v>4.6696764856448397E-3</v>
          </cell>
          <cell r="AG70">
            <v>4.1597411276055596E-3</v>
          </cell>
          <cell r="AR70">
            <v>1.6811333356059461E-2</v>
          </cell>
          <cell r="BC70">
            <v>0</v>
          </cell>
          <cell r="BF70">
            <v>1.6811333356059461E-2</v>
          </cell>
        </row>
        <row r="71">
          <cell r="O71">
            <v>1.1144210713463301</v>
          </cell>
          <cell r="P71">
            <v>1.1130925035106101</v>
          </cell>
          <cell r="Q71">
            <v>1.11394314224298</v>
          </cell>
          <cell r="U71">
            <v>3.1769035929806498E-3</v>
          </cell>
          <cell r="V71">
            <v>2.22281579996073E-3</v>
          </cell>
          <cell r="W71">
            <v>2.8457801438828501E-3</v>
          </cell>
          <cell r="Y71">
            <v>1.1139962285470999</v>
          </cell>
          <cell r="Z71">
            <v>1.11305222740432</v>
          </cell>
          <cell r="AA71">
            <v>1.1138020618729501</v>
          </cell>
          <cell r="AF71">
            <v>2.1742428944237901E-3</v>
          </cell>
          <cell r="AG71">
            <v>2.71795647190841E-3</v>
          </cell>
          <cell r="AR71">
            <v>1.6811333356059461E-2</v>
          </cell>
          <cell r="BC71">
            <v>1.3210643006825607E-3</v>
          </cell>
          <cell r="BF71">
            <v>1.8132397656742023E-2</v>
          </cell>
        </row>
        <row r="72">
          <cell r="O72">
            <v>1.1144210713463301</v>
          </cell>
          <cell r="P72">
            <v>1.1132614003325101</v>
          </cell>
          <cell r="Q72">
            <v>1.1140426029118</v>
          </cell>
          <cell r="U72">
            <v>4.6330209992246902E-4</v>
          </cell>
          <cell r="V72">
            <v>-7.2956873889535201E-4</v>
          </cell>
          <cell r="W72">
            <v>3.4351475276990097E-5</v>
          </cell>
          <cell r="Y72">
            <v>1.1139962285470999</v>
          </cell>
          <cell r="Z72">
            <v>1.1132428452982199</v>
          </cell>
          <cell r="AA72">
            <v>1.11391204477913</v>
          </cell>
          <cell r="AF72">
            <v>-7.4773809910577802E-4</v>
          </cell>
          <cell r="AG72">
            <v>-7.4290805694479797E-5</v>
          </cell>
          <cell r="AR72">
            <v>1.6811333356059461E-2</v>
          </cell>
          <cell r="BC72">
            <v>4.034665793740711E-3</v>
          </cell>
          <cell r="BF72">
            <v>2.0845999149800173E-2</v>
          </cell>
        </row>
        <row r="73">
          <cell r="O73">
            <v>1.1144210713463301</v>
          </cell>
          <cell r="P73">
            <v>1.11311311868706</v>
          </cell>
          <cell r="Q73">
            <v>1.11390429286115</v>
          </cell>
          <cell r="U73">
            <v>3.5738766333183402E-3</v>
          </cell>
          <cell r="V73">
            <v>2.5327308386922198E-3</v>
          </cell>
          <cell r="W73">
            <v>3.2342090474891802E-3</v>
          </cell>
          <cell r="Y73">
            <v>1.1139962285470999</v>
          </cell>
          <cell r="Z73">
            <v>1.11309516720202</v>
          </cell>
          <cell r="AA73">
            <v>1.11378503929661</v>
          </cell>
          <cell r="AF73">
            <v>2.5235569993613698E-3</v>
          </cell>
          <cell r="AG73">
            <v>3.1245026309694199E-3</v>
          </cell>
          <cell r="AR73">
            <v>1.6811333356059461E-2</v>
          </cell>
          <cell r="BC73">
            <v>4.034665793740711E-3</v>
          </cell>
          <cell r="BF73">
            <v>2.0845999149800173E-2</v>
          </cell>
        </row>
        <row r="74">
          <cell r="O74">
            <v>1.1144210713463301</v>
          </cell>
          <cell r="P74">
            <v>1.1132540302631</v>
          </cell>
          <cell r="Q74">
            <v>1.1139757787770801</v>
          </cell>
          <cell r="U74">
            <v>-4.4216555248836198E-4</v>
          </cell>
          <cell r="V74">
            <v>-1.61651593098132E-3</v>
          </cell>
          <cell r="W74">
            <v>-9.0599233716158998E-4</v>
          </cell>
          <cell r="Y74">
            <v>1.1139962285470999</v>
          </cell>
          <cell r="Z74">
            <v>1.1132357531253101</v>
          </cell>
          <cell r="AA74">
            <v>1.1138670637516801</v>
          </cell>
          <cell r="AF74">
            <v>-1.6119046222291399E-3</v>
          </cell>
          <cell r="AG74">
            <v>-9.9231842747933389E-4</v>
          </cell>
          <cell r="AR74">
            <v>1.6811333356059461E-2</v>
          </cell>
          <cell r="BC74">
            <v>8.0507079795472322E-3</v>
          </cell>
          <cell r="BF74">
            <v>2.4862041335606693E-2</v>
          </cell>
        </row>
        <row r="75">
          <cell r="O75">
            <v>1.1144210713463301</v>
          </cell>
          <cell r="P75">
            <v>1.11311325782138</v>
          </cell>
          <cell r="Q75">
            <v>1.1139583410181499</v>
          </cell>
          <cell r="U75">
            <v>7.4686733695136104E-4</v>
          </cell>
          <cell r="V75">
            <v>-3.00898730147365E-4</v>
          </cell>
          <cell r="W75">
            <v>3.4721448772983199E-4</v>
          </cell>
          <cell r="Y75">
            <v>1.1139962285470999</v>
          </cell>
          <cell r="Z75">
            <v>1.1130956372432701</v>
          </cell>
          <cell r="AA75">
            <v>1.1138607152767199</v>
          </cell>
          <cell r="AF75">
            <v>-3.0056513664994497E-4</v>
          </cell>
          <cell r="AG75">
            <v>2.6636930256252199E-4</v>
          </cell>
          <cell r="AR75">
            <v>1.6811333356059461E-2</v>
          </cell>
          <cell r="BC75">
            <v>8.0507079795472322E-3</v>
          </cell>
          <cell r="BF75">
            <v>2.4862041335606693E-2</v>
          </cell>
        </row>
        <row r="76">
          <cell r="O76">
            <v>1.1144210713463301</v>
          </cell>
          <cell r="P76">
            <v>1.11315295864752</v>
          </cell>
          <cell r="Q76">
            <v>1.1140442034120299</v>
          </cell>
          <cell r="U76">
            <v>9.5800544819486398E-5</v>
          </cell>
          <cell r="V76">
            <v>-1.07842483801312E-3</v>
          </cell>
          <cell r="W76">
            <v>-3.1950605177353799E-4</v>
          </cell>
          <cell r="Y76">
            <v>1.1139962285470999</v>
          </cell>
          <cell r="Z76">
            <v>1.11313533377699</v>
          </cell>
          <cell r="AA76">
            <v>1.1139572731101901</v>
          </cell>
          <cell r="AF76">
            <v>-1.07517567855175E-3</v>
          </cell>
          <cell r="AG76">
            <v>-3.8806920456939902E-4</v>
          </cell>
          <cell r="AR76">
            <v>1.6811333356059461E-2</v>
          </cell>
          <cell r="BC76">
            <v>8.0507079795472322E-3</v>
          </cell>
          <cell r="BF76">
            <v>2.4862041335606693E-2</v>
          </cell>
        </row>
        <row r="77">
          <cell r="O77">
            <v>1.1144210713463301</v>
          </cell>
          <cell r="P77">
            <v>1.1129588082334201</v>
          </cell>
          <cell r="Q77">
            <v>1.1139039479053601</v>
          </cell>
          <cell r="U77">
            <v>2.0146007357832599E-3</v>
          </cell>
          <cell r="V77">
            <v>8.7604119188422697E-4</v>
          </cell>
          <cell r="W77">
            <v>1.67636980873425E-3</v>
          </cell>
          <cell r="Y77">
            <v>1.1139962285470999</v>
          </cell>
          <cell r="Z77">
            <v>1.11294192179009</v>
          </cell>
          <cell r="AA77">
            <v>1.11382834372508</v>
          </cell>
          <cell r="AF77">
            <v>8.7277237717047602E-4</v>
          </cell>
          <cell r="AG77">
            <v>1.6109000760141799E-3</v>
          </cell>
          <cell r="AR77">
            <v>1.6811333356059461E-2</v>
          </cell>
          <cell r="BC77">
            <v>8.0507079795472322E-3</v>
          </cell>
          <cell r="BF77">
            <v>2.4862041335606693E-2</v>
          </cell>
        </row>
        <row r="78">
          <cell r="O78">
            <v>1.1144210713463301</v>
          </cell>
          <cell r="P78">
            <v>1.1124981196181001</v>
          </cell>
          <cell r="Q78">
            <v>1.11360633563342</v>
          </cell>
          <cell r="U78">
            <v>4.0750222972104899E-3</v>
          </cell>
          <cell r="V78">
            <v>2.7620326842660099E-3</v>
          </cell>
          <cell r="W78">
            <v>3.6108858307744101E-3</v>
          </cell>
          <cell r="Y78">
            <v>1.1139962285470999</v>
          </cell>
          <cell r="Z78">
            <v>1.1124828545627199</v>
          </cell>
          <cell r="AA78">
            <v>1.1135424751715399</v>
          </cell>
          <cell r="AF78">
            <v>2.7526426016217199E-3</v>
          </cell>
          <cell r="AG78">
            <v>3.5487929683987699E-3</v>
          </cell>
          <cell r="AR78">
            <v>1.6811333356059461E-2</v>
          </cell>
          <cell r="BC78">
            <v>8.0507079795472322E-3</v>
          </cell>
          <cell r="BF78">
            <v>2.4862041335606693E-2</v>
          </cell>
        </row>
        <row r="79">
          <cell r="O79">
            <v>1.1144210713463301</v>
          </cell>
          <cell r="P79">
            <v>1.1122757689789899</v>
          </cell>
          <cell r="Q79">
            <v>1.1134868026076601</v>
          </cell>
          <cell r="U79">
            <v>1.0811122435804099E-3</v>
          </cell>
          <cell r="V79">
            <v>-6.4589447850609796E-4</v>
          </cell>
          <cell r="W79">
            <v>3.4976060340202302E-4</v>
          </cell>
          <cell r="Y79">
            <v>1.1139962285470999</v>
          </cell>
          <cell r="Z79">
            <v>1.1122613495520299</v>
          </cell>
          <cell r="AA79">
            <v>1.1134343761076799</v>
          </cell>
          <cell r="AF79">
            <v>-6.43947263262835E-4</v>
          </cell>
          <cell r="AG79">
            <v>3.0808205527152899E-4</v>
          </cell>
          <cell r="AR79">
            <v>1.6811333356059461E-2</v>
          </cell>
          <cell r="BC79">
            <v>1.1044618033177373E-2</v>
          </cell>
          <cell r="BF79">
            <v>2.7855951389236834E-2</v>
          </cell>
        </row>
        <row r="80">
          <cell r="O80">
            <v>1.1144210713463301</v>
          </cell>
          <cell r="P80">
            <v>1.11249455783395</v>
          </cell>
          <cell r="Q80">
            <v>1.11292644034906</v>
          </cell>
          <cell r="U80">
            <v>2.5278081632910299E-3</v>
          </cell>
          <cell r="V80">
            <v>6.0091538447900803E-4</v>
          </cell>
          <cell r="W80">
            <v>1.68911208940676E-3</v>
          </cell>
          <cell r="Y80">
            <v>1.1139962285470999</v>
          </cell>
          <cell r="Z80">
            <v>1.11247942774395</v>
          </cell>
          <cell r="AA80">
            <v>1.1128868665237399</v>
          </cell>
          <cell r="AF80">
            <v>5.9885812979308597E-4</v>
          </cell>
          <cell r="AG80">
            <v>1.65293452553282E-3</v>
          </cell>
          <cell r="AR80">
            <v>1.6811333356059461E-2</v>
          </cell>
          <cell r="BC80">
            <v>1.1044618033177373E-2</v>
          </cell>
          <cell r="BF80">
            <v>2.7855951389236834E-2</v>
          </cell>
        </row>
        <row r="81">
          <cell r="O81">
            <v>1.1144210713463301</v>
          </cell>
          <cell r="P81">
            <v>1.1124274080177901</v>
          </cell>
          <cell r="Q81">
            <v>1.1127599557642001</v>
          </cell>
          <cell r="U81">
            <v>3.7815570174011401E-3</v>
          </cell>
          <cell r="V81">
            <v>2.0513486810430702E-3</v>
          </cell>
          <cell r="W81">
            <v>2.4394842480976501E-3</v>
          </cell>
          <cell r="Y81">
            <v>1.1139962285470999</v>
          </cell>
          <cell r="Z81">
            <v>1.11241250708627</v>
          </cell>
          <cell r="AA81">
            <v>1.11273236724529</v>
          </cell>
          <cell r="AF81">
            <v>2.0446179935928702E-3</v>
          </cell>
          <cell r="AG81">
            <v>2.4107948206543799E-3</v>
          </cell>
          <cell r="AR81">
            <v>1.6811333356059461E-2</v>
          </cell>
          <cell r="BC81">
            <v>1.1044618033177373E-2</v>
          </cell>
          <cell r="BF81">
            <v>2.7855951389236834E-2</v>
          </cell>
        </row>
        <row r="82">
          <cell r="O82">
            <v>1.1144210713463301</v>
          </cell>
          <cell r="P82">
            <v>1.1124955669033401</v>
          </cell>
          <cell r="Q82">
            <v>1.11287848361793</v>
          </cell>
          <cell r="U82">
            <v>-1.4840220734905701E-4</v>
          </cell>
          <cell r="V82">
            <v>-1.9389720460053501E-3</v>
          </cell>
          <cell r="W82">
            <v>-1.64007789057519E-3</v>
          </cell>
          <cell r="Y82">
            <v>1.1139962285470999</v>
          </cell>
          <cell r="Z82">
            <v>1.1124804524731799</v>
          </cell>
          <cell r="AA82">
            <v>1.1128616488856999</v>
          </cell>
          <cell r="AF82">
            <v>-1.9324473245982601E-3</v>
          </cell>
          <cell r="AG82">
            <v>-1.64495129239017E-3</v>
          </cell>
          <cell r="AR82">
            <v>1.6811333356059461E-2</v>
          </cell>
          <cell r="BC82">
            <v>1.1044618033177373E-2</v>
          </cell>
          <cell r="BF82">
            <v>2.7855951389236834E-2</v>
          </cell>
        </row>
        <row r="83">
          <cell r="O83">
            <v>1.1144210713463301</v>
          </cell>
          <cell r="P83">
            <v>1.1130009104912</v>
          </cell>
          <cell r="Q83">
            <v>1.1130570145891301</v>
          </cell>
          <cell r="U83">
            <v>-9.6661866374981003E-4</v>
          </cell>
          <cell r="V83">
            <v>-2.69591996741359E-3</v>
          </cell>
          <cell r="W83">
            <v>-2.3517830181454999E-3</v>
          </cell>
          <cell r="Y83">
            <v>1.1139962285470999</v>
          </cell>
          <cell r="Z83">
            <v>1.11298413499972</v>
          </cell>
          <cell r="AA83">
            <v>1.11303965110087</v>
          </cell>
          <cell r="AF83">
            <v>-2.6871555198062099E-3</v>
          </cell>
          <cell r="AG83">
            <v>-2.3445597310374098E-3</v>
          </cell>
          <cell r="AR83">
            <v>1.6811333356059461E-2</v>
          </cell>
          <cell r="BC83">
            <v>1.1044618033177373E-2</v>
          </cell>
          <cell r="BF83">
            <v>2.7855951389236834E-2</v>
          </cell>
        </row>
        <row r="84">
          <cell r="O84">
            <v>1.1144210713463301</v>
          </cell>
          <cell r="P84">
            <v>1.1130143757342399</v>
          </cell>
          <cell r="Q84">
            <v>1.1131342029986699</v>
          </cell>
          <cell r="U84">
            <v>-5.6293209335356298E-4</v>
          </cell>
          <cell r="V84">
            <v>-1.83809329688336E-3</v>
          </cell>
          <cell r="W84">
            <v>-1.78768661401225E-3</v>
          </cell>
          <cell r="Y84">
            <v>1.1139962285470999</v>
          </cell>
          <cell r="Z84">
            <v>1.11298051550991</v>
          </cell>
          <cell r="AA84">
            <v>1.1131081343176099</v>
          </cell>
          <cell r="AF84">
            <v>-1.6791949614890899E-3</v>
          </cell>
          <cell r="AG84">
            <v>-1.629315798912E-3</v>
          </cell>
          <cell r="AR84">
            <v>1.6811333356059461E-2</v>
          </cell>
          <cell r="BC84">
            <v>1.1044618033177373E-2</v>
          </cell>
          <cell r="BF84">
            <v>2.7855951389236834E-2</v>
          </cell>
        </row>
        <row r="85">
          <cell r="O85">
            <v>1.1144210713463301</v>
          </cell>
          <cell r="P85">
            <v>1.11356720598438</v>
          </cell>
          <cell r="Q85">
            <v>1.11334023190288</v>
          </cell>
          <cell r="U85">
            <v>-4.2052515411856199E-3</v>
          </cell>
          <cell r="V85">
            <v>-5.46831467592045E-3</v>
          </cell>
          <cell r="W85">
            <v>-5.3606603479990304E-3</v>
          </cell>
          <cell r="Y85">
            <v>1.1139962285470999</v>
          </cell>
          <cell r="Z85">
            <v>1.113514101252</v>
          </cell>
          <cell r="AA85">
            <v>1.1133048692476399</v>
          </cell>
          <cell r="AF85">
            <v>-5.3100893552906004E-3</v>
          </cell>
          <cell r="AG85">
            <v>-5.1954319198366699E-3</v>
          </cell>
          <cell r="AR85">
            <v>1.6811333356059461E-2</v>
          </cell>
          <cell r="BC85">
            <v>1.1044618033177373E-2</v>
          </cell>
          <cell r="BF85">
            <v>2.7855951389236834E-2</v>
          </cell>
        </row>
        <row r="86">
          <cell r="O86">
            <v>1.1144210713463301</v>
          </cell>
          <cell r="P86">
            <v>1.11369496608326</v>
          </cell>
          <cell r="Q86">
            <v>1.1134239623653901</v>
          </cell>
          <cell r="U86">
            <v>-1.05007824747027E-3</v>
          </cell>
          <cell r="V86">
            <v>-1.81656828015479E-3</v>
          </cell>
          <cell r="W86">
            <v>-2.02041517421459E-3</v>
          </cell>
          <cell r="Y86">
            <v>1.1139962285470999</v>
          </cell>
          <cell r="Z86">
            <v>1.1136247286179199</v>
          </cell>
          <cell r="AA86">
            <v>1.11338003119746</v>
          </cell>
          <cell r="AF86">
            <v>-1.6916108395077199E-3</v>
          </cell>
          <cell r="AG86">
            <v>-1.87953092439436E-3</v>
          </cell>
          <cell r="AR86">
            <v>1.996650664977466E-2</v>
          </cell>
          <cell r="BC86">
            <v>1.1044618033177373E-2</v>
          </cell>
          <cell r="BF86">
            <v>3.1011124682952033E-2</v>
          </cell>
        </row>
        <row r="87">
          <cell r="O87">
            <v>1.1144210713463301</v>
          </cell>
          <cell r="P87">
            <v>1.1144411764828199</v>
          </cell>
          <cell r="Q87">
            <v>1.1136999923581199</v>
          </cell>
          <cell r="U87">
            <v>-4.6724409475781799E-3</v>
          </cell>
          <cell r="V87">
            <v>-5.3242070823503601E-3</v>
          </cell>
          <cell r="W87">
            <v>-5.5675741659360596E-3</v>
          </cell>
          <cell r="Y87">
            <v>1.1139962285470999</v>
          </cell>
          <cell r="Z87">
            <v>1.1143516426917801</v>
          </cell>
          <cell r="AA87">
            <v>1.1136467822409299</v>
          </cell>
          <cell r="AF87">
            <v>-5.2024342984234298E-3</v>
          </cell>
          <cell r="AG87">
            <v>-5.4221890343509899E-3</v>
          </cell>
          <cell r="AR87">
            <v>1.996650664977466E-2</v>
          </cell>
          <cell r="BC87">
            <v>1.1044618033177373E-2</v>
          </cell>
          <cell r="BF87">
            <v>3.1011124682952033E-2</v>
          </cell>
        </row>
        <row r="88">
          <cell r="O88">
            <v>1.1144210713463301</v>
          </cell>
          <cell r="P88">
            <v>1.1151227768754299</v>
          </cell>
          <cell r="Q88">
            <v>1.1138104482467699</v>
          </cell>
          <cell r="U88">
            <v>-2.0473557170474E-3</v>
          </cell>
          <cell r="V88">
            <v>-2.0293150000776101E-3</v>
          </cell>
          <cell r="W88">
            <v>-2.69460870983364E-3</v>
          </cell>
          <cell r="Y88">
            <v>1.1139962285470999</v>
          </cell>
          <cell r="Z88">
            <v>1.1150142078331899</v>
          </cell>
          <cell r="AA88">
            <v>1.11374853119796</v>
          </cell>
          <cell r="AF88">
            <v>-1.93343596106321E-3</v>
          </cell>
          <cell r="AG88">
            <v>-2.56616573903017E-3</v>
          </cell>
          <cell r="AR88">
            <v>2.2591591880305462E-2</v>
          </cell>
          <cell r="BC88">
            <v>1.1044618033177373E-2</v>
          </cell>
          <cell r="BF88">
            <v>3.3636209913482831E-2</v>
          </cell>
        </row>
        <row r="89">
          <cell r="O89">
            <v>1.1144210713463301</v>
          </cell>
          <cell r="P89">
            <v>1.1153410172827201</v>
          </cell>
          <cell r="Q89">
            <v>1.11380839313086</v>
          </cell>
          <cell r="U89">
            <v>-8.7741677596738996E-4</v>
          </cell>
          <cell r="V89">
            <v>-2.4795568433561401E-4</v>
          </cell>
          <cell r="W89">
            <v>-1.4254954737857599E-3</v>
          </cell>
          <cell r="Y89">
            <v>1.1139962285470999</v>
          </cell>
          <cell r="Z89">
            <v>1.1152151607769301</v>
          </cell>
          <cell r="AA89">
            <v>1.1137382551644801</v>
          </cell>
          <cell r="AF89">
            <v>-1.7467952255727199E-4</v>
          </cell>
          <cell r="AG89">
            <v>-1.3104457924481799E-3</v>
          </cell>
          <cell r="AR89">
            <v>2.2591591880305462E-2</v>
          </cell>
          <cell r="BC89">
            <v>1.1044618033177373E-2</v>
          </cell>
          <cell r="BF89">
            <v>3.3636209913482831E-2</v>
          </cell>
        </row>
        <row r="90">
          <cell r="O90">
            <v>1.1144210713463301</v>
          </cell>
          <cell r="P90">
            <v>1.1159444096122699</v>
          </cell>
          <cell r="Q90">
            <v>1.1142194837231101</v>
          </cell>
          <cell r="U90">
            <v>-2.88561830659903E-3</v>
          </cell>
          <cell r="V90">
            <v>-2.0604666069854302E-3</v>
          </cell>
          <cell r="W90">
            <v>-3.4355421278953599E-3</v>
          </cell>
          <cell r="Y90">
            <v>1.1139962285470999</v>
          </cell>
          <cell r="Z90">
            <v>1.1158000022738299</v>
          </cell>
          <cell r="AA90">
            <v>1.1141397150088901</v>
          </cell>
          <cell r="AF90">
            <v>-1.9964688747845798E-3</v>
          </cell>
          <cell r="AG90">
            <v>-3.3216700369316601E-3</v>
          </cell>
          <cell r="AR90">
            <v>2.2591591880305462E-2</v>
          </cell>
          <cell r="BC90">
            <v>1.1044618033177373E-2</v>
          </cell>
          <cell r="BF90">
            <v>3.3636209913482831E-2</v>
          </cell>
        </row>
        <row r="91">
          <cell r="O91">
            <v>1.1144210713463301</v>
          </cell>
          <cell r="P91">
            <v>1.11651533664747</v>
          </cell>
          <cell r="Q91">
            <v>1.1144713723326301</v>
          </cell>
          <cell r="U91">
            <v>-1.34775727138071E-3</v>
          </cell>
          <cell r="V91">
            <v>1.8241723688572298E-5</v>
          </cell>
          <cell r="W91">
            <v>-1.5286636300237101E-3</v>
          </cell>
          <cell r="Y91">
            <v>1.1139962285470999</v>
          </cell>
          <cell r="Z91">
            <v>1.1163524547783701</v>
          </cell>
          <cell r="AA91">
            <v>1.11438248093232</v>
          </cell>
          <cell r="AF91">
            <v>6.1232547144415494E-5</v>
          </cell>
          <cell r="AG91">
            <v>-1.4278548563056599E-3</v>
          </cell>
          <cell r="AR91">
            <v>2.2591591880305462E-2</v>
          </cell>
          <cell r="BC91">
            <v>1.1044618033177373E-2</v>
          </cell>
          <cell r="BF91">
            <v>3.3636209913482831E-2</v>
          </cell>
        </row>
        <row r="92">
          <cell r="O92">
            <v>1.1144210713463301</v>
          </cell>
          <cell r="P92">
            <v>1.1169201377864899</v>
          </cell>
          <cell r="Q92">
            <v>1.1147078523449201</v>
          </cell>
          <cell r="U92">
            <v>-3.7736734417541402E-3</v>
          </cell>
          <cell r="V92">
            <v>-1.89619642464856E-3</v>
          </cell>
          <cell r="W92">
            <v>-3.72853803250534E-3</v>
          </cell>
          <cell r="Y92">
            <v>1.1139962285470999</v>
          </cell>
          <cell r="Z92">
            <v>1.1167392920305901</v>
          </cell>
          <cell r="AA92">
            <v>1.11460987225189</v>
          </cell>
          <cell r="AF92">
            <v>-1.86163977997017E-3</v>
          </cell>
          <cell r="AG92">
            <v>-3.6278508403950502E-3</v>
          </cell>
          <cell r="AR92">
            <v>2.2591591880305462E-2</v>
          </cell>
          <cell r="BC92">
            <v>1.1044618033177373E-2</v>
          </cell>
          <cell r="BF92">
            <v>3.3636209913482831E-2</v>
          </cell>
        </row>
        <row r="93">
          <cell r="O93">
            <v>1.1144210713463301</v>
          </cell>
          <cell r="P93">
            <v>1.11720285484354</v>
          </cell>
          <cell r="Q93">
            <v>1.11510188266737</v>
          </cell>
          <cell r="U93">
            <v>-3.4978575379665E-3</v>
          </cell>
          <cell r="V93">
            <v>-1.25788861268746E-3</v>
          </cell>
          <cell r="W93">
            <v>-3.24055434018313E-3</v>
          </cell>
          <cell r="Y93">
            <v>1.1139962285470999</v>
          </cell>
          <cell r="Z93">
            <v>1.1170045505227699</v>
          </cell>
          <cell r="AA93">
            <v>1.1149943427612501</v>
          </cell>
          <cell r="AF93">
            <v>-1.24139325023498E-3</v>
          </cell>
          <cell r="AG93">
            <v>-3.1500326144627399E-3</v>
          </cell>
          <cell r="AR93">
            <v>2.2591591880305462E-2</v>
          </cell>
          <cell r="BC93">
            <v>1.1044618033177373E-2</v>
          </cell>
          <cell r="BF93">
            <v>3.3636209913482831E-2</v>
          </cell>
        </row>
        <row r="94">
          <cell r="O94">
            <v>1.1144210713463301</v>
          </cell>
          <cell r="P94">
            <v>1.11784153637921</v>
          </cell>
          <cell r="Q94">
            <v>1.11542795605672</v>
          </cell>
          <cell r="U94">
            <v>-6.2744263176436601E-3</v>
          </cell>
          <cell r="V94">
            <v>-3.7813674241849999E-3</v>
          </cell>
          <cell r="W94">
            <v>-5.6637025383919296E-3</v>
          </cell>
          <cell r="Y94">
            <v>1.1139962285470999</v>
          </cell>
          <cell r="Z94">
            <v>1.1176409228702899</v>
          </cell>
          <cell r="AA94">
            <v>1.1153107191900999</v>
          </cell>
          <cell r="AF94">
            <v>-3.76530890294695E-3</v>
          </cell>
          <cell r="AG94">
            <v>-5.56657171816925E-3</v>
          </cell>
          <cell r="AR94">
            <v>2.2591591880305462E-2</v>
          </cell>
          <cell r="BC94">
            <v>1.1044618033177373E-2</v>
          </cell>
          <cell r="BF94">
            <v>3.3636209913482831E-2</v>
          </cell>
        </row>
        <row r="95">
          <cell r="O95">
            <v>1.1144210713463301</v>
          </cell>
          <cell r="P95">
            <v>1.1180822406001401</v>
          </cell>
          <cell r="Q95">
            <v>1.11582472329226</v>
          </cell>
          <cell r="U95">
            <v>-6.3537816418672496E-3</v>
          </cell>
          <cell r="V95">
            <v>-3.2892069829422799E-3</v>
          </cell>
          <cell r="W95">
            <v>-5.4506848254899098E-3</v>
          </cell>
          <cell r="Y95">
            <v>1.1139962285470999</v>
          </cell>
          <cell r="Z95">
            <v>1.1178806468148601</v>
          </cell>
          <cell r="AA95">
            <v>1.1156973740334299</v>
          </cell>
          <cell r="AF95">
            <v>-3.2717029479802599E-3</v>
          </cell>
          <cell r="AG95">
            <v>-5.3588099700650899E-3</v>
          </cell>
          <cell r="AR95">
            <v>2.2512236556081963E-2</v>
          </cell>
          <cell r="BC95">
            <v>1.1044618033177373E-2</v>
          </cell>
          <cell r="BF95">
            <v>3.3556854589259333E-2</v>
          </cell>
        </row>
        <row r="96">
          <cell r="O96">
            <v>1.1144210713463301</v>
          </cell>
          <cell r="P96">
            <v>1.1184324594563899</v>
          </cell>
          <cell r="Q96">
            <v>1.1160637127698201</v>
          </cell>
          <cell r="U96">
            <v>-4.1844706405904496E-3</v>
          </cell>
          <cell r="V96">
            <v>-9.0458969588090403E-4</v>
          </cell>
          <cell r="W96">
            <v>-2.92572854621334E-3</v>
          </cell>
          <cell r="Y96">
            <v>1.1139962285470999</v>
          </cell>
          <cell r="Z96">
            <v>1.11822902898038</v>
          </cell>
          <cell r="AA96">
            <v>1.1159268787991501</v>
          </cell>
          <cell r="AF96">
            <v>-8.9638679783159104E-4</v>
          </cell>
          <cell r="AG96">
            <v>-2.8513428874726299E-3</v>
          </cell>
          <cell r="AR96">
            <v>2.4681547557358845E-2</v>
          </cell>
          <cell r="BC96">
            <v>1.1044618033177373E-2</v>
          </cell>
          <cell r="BF96">
            <v>3.5726165590536214E-2</v>
          </cell>
        </row>
        <row r="97">
          <cell r="O97">
            <v>1.1144210713463301</v>
          </cell>
          <cell r="P97">
            <v>1.1185526092162701</v>
          </cell>
          <cell r="Q97">
            <v>1.11649689284954</v>
          </cell>
          <cell r="U97">
            <v>-5.7449759094961696E-3</v>
          </cell>
          <cell r="V97">
            <v>-2.1519122621612599E-3</v>
          </cell>
          <cell r="W97">
            <v>-4.2720748324209298E-3</v>
          </cell>
          <cell r="Y97">
            <v>1.1139962285470999</v>
          </cell>
          <cell r="Z97">
            <v>1.11834813833553</v>
          </cell>
          <cell r="AA97">
            <v>1.11634989051365</v>
          </cell>
          <cell r="AF97">
            <v>-2.1398899513564102E-3</v>
          </cell>
          <cell r="AG97">
            <v>-4.2007586561925098E-3</v>
          </cell>
          <cell r="AR97">
            <v>2.4681547557358845E-2</v>
          </cell>
          <cell r="BC97">
            <v>1.1044618033177373E-2</v>
          </cell>
          <cell r="BF97">
            <v>3.5726165590536214E-2</v>
          </cell>
        </row>
        <row r="98">
          <cell r="O98">
            <v>1.1144210713463301</v>
          </cell>
          <cell r="P98">
            <v>1.11885895022683</v>
          </cell>
          <cell r="Q98">
            <v>1.1169908635511301</v>
          </cell>
          <cell r="U98">
            <v>-4.78685795238984E-3</v>
          </cell>
          <cell r="V98">
            <v>-1.08637314996378E-3</v>
          </cell>
          <cell r="W98">
            <v>-2.9259001443445801E-3</v>
          </cell>
          <cell r="Y98">
            <v>1.1139962285470999</v>
          </cell>
          <cell r="Z98">
            <v>1.1186533523165101</v>
          </cell>
          <cell r="AA98">
            <v>1.11683378007485</v>
          </cell>
          <cell r="AF98">
            <v>-1.0833829620987799E-3</v>
          </cell>
          <cell r="AG98">
            <v>-2.87176629502623E-3</v>
          </cell>
          <cell r="AR98">
            <v>2.4681547557358845E-2</v>
          </cell>
          <cell r="BC98">
            <v>1.1044618033177373E-2</v>
          </cell>
          <cell r="BF98">
            <v>3.5726165590536214E-2</v>
          </cell>
        </row>
        <row r="99">
          <cell r="O99">
            <v>1.1144210713463301</v>
          </cell>
          <cell r="P99">
            <v>1.11936823812761</v>
          </cell>
          <cell r="Q99">
            <v>1.11735462770516</v>
          </cell>
          <cell r="U99">
            <v>-5.4329936525115497E-3</v>
          </cell>
          <cell r="V99">
            <v>-1.4586736576485499E-3</v>
          </cell>
          <cell r="W99">
            <v>-3.1297045997808999E-3</v>
          </cell>
          <cell r="Y99">
            <v>1.1139962285470999</v>
          </cell>
          <cell r="Z99">
            <v>1.11916060942829</v>
          </cell>
          <cell r="AA99">
            <v>1.11718788510261</v>
          </cell>
          <cell r="AF99">
            <v>-1.45445414215173E-3</v>
          </cell>
          <cell r="AG99">
            <v>-3.082352256283E-3</v>
          </cell>
          <cell r="AR99">
            <v>2.4681547557358845E-2</v>
          </cell>
          <cell r="BC99">
            <v>1.1044618033177373E-2</v>
          </cell>
          <cell r="BF99">
            <v>3.5726165590536214E-2</v>
          </cell>
        </row>
        <row r="100">
          <cell r="O100">
            <v>1.1144210713463301</v>
          </cell>
          <cell r="P100">
            <v>1.11992258835517</v>
          </cell>
          <cell r="Q100">
            <v>1.11793349898372</v>
          </cell>
          <cell r="U100">
            <v>-7.83335837673306E-3</v>
          </cell>
          <cell r="V100">
            <v>-3.4039568671593401E-3</v>
          </cell>
          <cell r="W100">
            <v>-5.2044579459316603E-3</v>
          </cell>
          <cell r="Y100">
            <v>1.1139962285470999</v>
          </cell>
          <cell r="Z100">
            <v>1.11971272268791</v>
          </cell>
          <cell r="AA100">
            <v>1.11775636248087</v>
          </cell>
          <cell r="AF100">
            <v>-3.3935689969551599E-3</v>
          </cell>
          <cell r="AG100">
            <v>-5.1578064064492597E-3</v>
          </cell>
          <cell r="AR100">
            <v>2.4681547557358845E-2</v>
          </cell>
          <cell r="BC100">
            <v>1.1044618033177373E-2</v>
          </cell>
          <cell r="BF100">
            <v>3.5726165590536214E-2</v>
          </cell>
        </row>
        <row r="101">
          <cell r="O101">
            <v>1.1144210713463301</v>
          </cell>
          <cell r="P101">
            <v>1.1205180045824601</v>
          </cell>
          <cell r="Q101">
            <v>1.1185166706149701</v>
          </cell>
          <cell r="U101">
            <v>-6.66920716695366E-3</v>
          </cell>
          <cell r="V101">
            <v>-1.7446933367003001E-3</v>
          </cell>
          <cell r="W101">
            <v>-3.5223678766484298E-3</v>
          </cell>
          <cell r="Y101">
            <v>1.1139962285470999</v>
          </cell>
          <cell r="Z101">
            <v>1.12030596779034</v>
          </cell>
          <cell r="AA101">
            <v>1.1183292112843599</v>
          </cell>
          <cell r="AF101">
            <v>-1.74125998903405E-3</v>
          </cell>
          <cell r="AG101">
            <v>-3.48998645731283E-3</v>
          </cell>
          <cell r="AR101">
            <v>2.5845698767138228E-2</v>
          </cell>
          <cell r="BC101">
            <v>1.1044618033177373E-2</v>
          </cell>
          <cell r="BF101">
            <v>3.6890316800315598E-2</v>
          </cell>
        </row>
        <row r="102">
          <cell r="O102">
            <v>1.1144210713463301</v>
          </cell>
          <cell r="P102">
            <v>1.1204350989732099</v>
          </cell>
          <cell r="Q102">
            <v>1.1186776183798499</v>
          </cell>
          <cell r="U102">
            <v>-3.0322664127279001E-3</v>
          </cell>
          <cell r="V102">
            <v>2.4237645157130202E-3</v>
          </cell>
          <cell r="W102">
            <v>6.3608831520336302E-4</v>
          </cell>
          <cell r="Y102">
            <v>1.1139962285470999</v>
          </cell>
          <cell r="Z102">
            <v>1.1202237276758999</v>
          </cell>
          <cell r="AA102">
            <v>1.1184815098532399</v>
          </cell>
          <cell r="AF102">
            <v>2.4091461907814801E-3</v>
          </cell>
          <cell r="AG102">
            <v>6.4310852798098801E-4</v>
          </cell>
          <cell r="AR102">
            <v>2.9482639521364058E-2</v>
          </cell>
          <cell r="BC102">
            <v>1.1044618033177373E-2</v>
          </cell>
          <cell r="BF102">
            <v>4.0527257554541424E-2</v>
          </cell>
        </row>
        <row r="103">
          <cell r="O103">
            <v>1.1144210713463301</v>
          </cell>
          <cell r="P103">
            <v>1.12023987348396</v>
          </cell>
          <cell r="Q103">
            <v>1.1187213641637499</v>
          </cell>
          <cell r="U103">
            <v>-1.75063809769628E-3</v>
          </cell>
          <cell r="V103">
            <v>3.6314014480915298E-3</v>
          </cell>
          <cell r="W103">
            <v>2.0616002133025798E-3</v>
          </cell>
          <cell r="Y103">
            <v>1.1139962285470999</v>
          </cell>
          <cell r="Z103">
            <v>1.1200296094605799</v>
          </cell>
          <cell r="AA103">
            <v>1.1185170799916799</v>
          </cell>
          <cell r="AF103">
            <v>3.6115475416333398E-3</v>
          </cell>
          <cell r="AG103">
            <v>2.0550959416967001E-3</v>
          </cell>
          <cell r="AR103">
            <v>2.9482639521364058E-2</v>
          </cell>
          <cell r="BC103">
            <v>1.1044618033177373E-2</v>
          </cell>
          <cell r="BF103">
            <v>4.0527257554541424E-2</v>
          </cell>
        </row>
        <row r="104">
          <cell r="O104">
            <v>1.1144210713463301</v>
          </cell>
          <cell r="P104">
            <v>1.1201588385255199</v>
          </cell>
          <cell r="Q104">
            <v>1.1190001874523601</v>
          </cell>
          <cell r="U104">
            <v>-5.5515647955813102E-3</v>
          </cell>
          <cell r="V104">
            <v>-3.43781214746613E-4</v>
          </cell>
          <cell r="W104">
            <v>-1.7002223424516299E-3</v>
          </cell>
          <cell r="Y104">
            <v>1.1139962285470999</v>
          </cell>
          <cell r="Z104">
            <v>1.11990953343609</v>
          </cell>
          <cell r="AA104">
            <v>1.11877522815319</v>
          </cell>
          <cell r="AF104">
            <v>1.07353647708127E-5</v>
          </cell>
          <cell r="AG104">
            <v>-1.3406143356426499E-3</v>
          </cell>
          <cell r="AR104">
            <v>2.9482639521364058E-2</v>
          </cell>
          <cell r="BC104">
            <v>1.1044618033177373E-2</v>
          </cell>
          <cell r="BF104">
            <v>4.0527257554541424E-2</v>
          </cell>
        </row>
        <row r="105">
          <cell r="O105">
            <v>1.1144210713463301</v>
          </cell>
          <cell r="P105">
            <v>1.11989008984524</v>
          </cell>
          <cell r="Q105">
            <v>1.11898616522269</v>
          </cell>
          <cell r="U105">
            <v>-3.9546256922740703E-3</v>
          </cell>
          <cell r="V105">
            <v>1.18081812328241E-3</v>
          </cell>
          <cell r="W105">
            <v>1.4591960725389799E-4</v>
          </cell>
          <cell r="Y105">
            <v>1.1139962285470999</v>
          </cell>
          <cell r="Z105">
            <v>1.11960382935742</v>
          </cell>
          <cell r="AA105">
            <v>1.11874223808614</v>
          </cell>
          <cell r="AF105">
            <v>1.48611124191028E-3</v>
          </cell>
          <cell r="AG105">
            <v>4.7274357225754102E-4</v>
          </cell>
          <cell r="AR105">
            <v>2.9482639521364058E-2</v>
          </cell>
          <cell r="BC105">
            <v>1.1044618033177373E-2</v>
          </cell>
          <cell r="BF105">
            <v>4.0527257554541424E-2</v>
          </cell>
        </row>
        <row r="106">
          <cell r="O106">
            <v>1.1144210713463301</v>
          </cell>
          <cell r="P106">
            <v>1.12007642219574</v>
          </cell>
          <cell r="Q106">
            <v>1.1192544408260601</v>
          </cell>
          <cell r="U106">
            <v>-5.8481144530921304E-3</v>
          </cell>
          <cell r="V106">
            <v>-9.5261957630285595E-4</v>
          </cell>
          <cell r="W106">
            <v>-1.76010026633105E-3</v>
          </cell>
          <cell r="Y106">
            <v>1.1139962285470999</v>
          </cell>
          <cell r="Z106">
            <v>1.11975034097205</v>
          </cell>
          <cell r="AA106">
            <v>1.11898968497621</v>
          </cell>
          <cell r="AF106">
            <v>-6.6468951192008899E-4</v>
          </cell>
          <cell r="AG106">
            <v>-1.43453589659367E-3</v>
          </cell>
          <cell r="AR106">
            <v>2.9482639521364058E-2</v>
          </cell>
          <cell r="BC106">
            <v>1.1044618033177373E-2</v>
          </cell>
          <cell r="BF106">
            <v>4.0527257554541424E-2</v>
          </cell>
        </row>
        <row r="107">
          <cell r="O107">
            <v>1.1144210713463301</v>
          </cell>
          <cell r="P107">
            <v>1.11997473159098</v>
          </cell>
          <cell r="Q107">
            <v>1.1192636704036301</v>
          </cell>
          <cell r="U107">
            <v>-4.8372941891380097E-3</v>
          </cell>
          <cell r="V107">
            <v>2.2457134536705401E-4</v>
          </cell>
          <cell r="W107">
            <v>-5.0955992586930801E-4</v>
          </cell>
          <cell r="Y107">
            <v>1.1139962285470999</v>
          </cell>
          <cell r="Z107">
            <v>1.11961020998677</v>
          </cell>
          <cell r="AA107">
            <v>1.1189791741611499</v>
          </cell>
          <cell r="AF107">
            <v>4.7090571179754401E-4</v>
          </cell>
          <cell r="AG107">
            <v>-2.0863368651230399E-4</v>
          </cell>
          <cell r="AR107">
            <v>2.9482639521364058E-2</v>
          </cell>
          <cell r="BC107">
            <v>1.1044618033177373E-2</v>
          </cell>
          <cell r="BF107">
            <v>4.0527257554541424E-2</v>
          </cell>
        </row>
        <row r="108">
          <cell r="O108">
            <v>1.1144210713463301</v>
          </cell>
          <cell r="P108">
            <v>1.1198006059432699</v>
          </cell>
          <cell r="Q108">
            <v>1.11932977808505</v>
          </cell>
          <cell r="U108">
            <v>-3.2306328726491298E-3</v>
          </cell>
          <cell r="V108">
            <v>1.7404395523735799E-3</v>
          </cell>
          <cell r="W108">
            <v>1.10534754017491E-3</v>
          </cell>
          <cell r="Y108">
            <v>1.1139962285470999</v>
          </cell>
          <cell r="Z108">
            <v>1.1193952392406901</v>
          </cell>
          <cell r="AA108">
            <v>1.1190242957786001</v>
          </cell>
          <cell r="AF108">
            <v>1.9664759995248701E-3</v>
          </cell>
          <cell r="AG108">
            <v>1.40269610598543E-3</v>
          </cell>
          <cell r="AR108">
            <v>2.9482639521364058E-2</v>
          </cell>
          <cell r="BC108">
            <v>1.1044618033177373E-2</v>
          </cell>
          <cell r="BF108">
            <v>4.0527257554541424E-2</v>
          </cell>
        </row>
        <row r="109">
          <cell r="O109">
            <v>1.1144210713463301</v>
          </cell>
          <cell r="P109">
            <v>1.1197729859140999</v>
          </cell>
          <cell r="Q109">
            <v>1.11957061202085</v>
          </cell>
          <cell r="U109">
            <v>-5.1864641889174104E-3</v>
          </cell>
          <cell r="V109">
            <v>-3.7087668700434698E-4</v>
          </cell>
          <cell r="W109">
            <v>-7.9142197415466497E-4</v>
          </cell>
          <cell r="Y109">
            <v>1.1139962285470999</v>
          </cell>
          <cell r="Z109">
            <v>1.11932595715865</v>
          </cell>
          <cell r="AA109">
            <v>1.11924328329347</v>
          </cell>
          <cell r="AF109">
            <v>-1.7285166235152499E-4</v>
          </cell>
          <cell r="AG109">
            <v>-5.0428503280088195E-4</v>
          </cell>
          <cell r="AR109">
            <v>2.9482639521364058E-2</v>
          </cell>
          <cell r="BC109">
            <v>1.1044618033177373E-2</v>
          </cell>
          <cell r="BF109">
            <v>4.0527257554541424E-2</v>
          </cell>
        </row>
        <row r="110">
          <cell r="O110">
            <v>1.1144210713463301</v>
          </cell>
          <cell r="P110">
            <v>1.11957714427695</v>
          </cell>
          <cell r="Q110">
            <v>1.1197498663160601</v>
          </cell>
          <cell r="U110">
            <v>-6.0882089020859098E-3</v>
          </cell>
          <cell r="V110">
            <v>-1.2972868358360401E-3</v>
          </cell>
          <cell r="W110">
            <v>-1.47803077703523E-3</v>
          </cell>
          <cell r="Y110">
            <v>1.1139962285470999</v>
          </cell>
          <cell r="Z110">
            <v>1.1190882770572901</v>
          </cell>
          <cell r="AA110">
            <v>1.1194004998725999</v>
          </cell>
          <cell r="AF110">
            <v>-1.12705366312064E-3</v>
          </cell>
          <cell r="AG110">
            <v>-1.2009167929487299E-3</v>
          </cell>
          <cell r="AR110">
            <v>2.9482639521364058E-2</v>
          </cell>
          <cell r="BC110">
            <v>1.1044618033177373E-2</v>
          </cell>
          <cell r="BF110">
            <v>4.0527257554541424E-2</v>
          </cell>
        </row>
        <row r="111">
          <cell r="O111">
            <v>1.1144210713463301</v>
          </cell>
          <cell r="P111">
            <v>1.11918305339498</v>
          </cell>
          <cell r="Q111">
            <v>1.11985052898872</v>
          </cell>
          <cell r="U111">
            <v>-3.1502451380963801E-3</v>
          </cell>
          <cell r="V111">
            <v>1.46576757833608E-3</v>
          </cell>
          <cell r="W111">
            <v>1.62003003186371E-3</v>
          </cell>
          <cell r="Y111">
            <v>1.1139962285470999</v>
          </cell>
          <cell r="Z111">
            <v>1.11865288966675</v>
          </cell>
          <cell r="AA111">
            <v>1.1194794287285399</v>
          </cell>
          <cell r="AF111">
            <v>1.59007367925974E-3</v>
          </cell>
          <cell r="AG111">
            <v>1.86903225216376E-3</v>
          </cell>
          <cell r="AR111">
            <v>2.9482639521364058E-2</v>
          </cell>
          <cell r="BC111">
            <v>1.1044618033177373E-2</v>
          </cell>
          <cell r="BF111">
            <v>4.0527257554541424E-2</v>
          </cell>
        </row>
        <row r="112">
          <cell r="O112">
            <v>1.1144210713463301</v>
          </cell>
          <cell r="P112">
            <v>1.11926579471771</v>
          </cell>
          <cell r="Q112">
            <v>1.11985044684546</v>
          </cell>
          <cell r="U112">
            <v>-3.77220480612809E-3</v>
          </cell>
          <cell r="V112">
            <v>4.9174618752121496E-4</v>
          </cell>
          <cell r="W112">
            <v>1.0879637867278599E-3</v>
          </cell>
          <cell r="Y112">
            <v>1.1139962285470999</v>
          </cell>
          <cell r="Z112">
            <v>1.1186933763458899</v>
          </cell>
          <cell r="AA112">
            <v>1.11945855201089</v>
          </cell>
          <cell r="AF112">
            <v>5.7030140273921399E-4</v>
          </cell>
          <cell r="AG112">
            <v>1.30889857376331E-3</v>
          </cell>
          <cell r="AR112">
            <v>2.9482639521364058E-2</v>
          </cell>
          <cell r="BC112">
            <v>1.1044618033177373E-2</v>
          </cell>
          <cell r="BF112">
            <v>4.0527257554541424E-2</v>
          </cell>
        </row>
        <row r="113">
          <cell r="O113">
            <v>1.1144210713463301</v>
          </cell>
          <cell r="P113">
            <v>1.11966996383092</v>
          </cell>
          <cell r="Q113">
            <v>1.11995491865744</v>
          </cell>
          <cell r="U113">
            <v>-5.3644749546874699E-3</v>
          </cell>
          <cell r="V113">
            <v>-1.0265965868726001E-3</v>
          </cell>
          <cell r="W113">
            <v>-5.04379713821646E-4</v>
          </cell>
          <cell r="Y113">
            <v>1.1139962285470999</v>
          </cell>
          <cell r="Z113">
            <v>1.1190543215842801</v>
          </cell>
          <cell r="AA113">
            <v>1.1195419655224299</v>
          </cell>
          <cell r="AF113">
            <v>-9.840208250478761E-4</v>
          </cell>
          <cell r="AG113">
            <v>-3.0026411923972601E-4</v>
          </cell>
          <cell r="AR113">
            <v>2.9482639521364058E-2</v>
          </cell>
          <cell r="BC113">
            <v>1.1044618033177373E-2</v>
          </cell>
          <cell r="BF113">
            <v>4.0527257554541424E-2</v>
          </cell>
        </row>
        <row r="114">
          <cell r="O114">
            <v>1.1144210713463301</v>
          </cell>
          <cell r="P114">
            <v>1.1198239107021799</v>
          </cell>
          <cell r="Q114">
            <v>1.1199913746138499</v>
          </cell>
          <cell r="U114">
            <v>-6.9243810116705598E-3</v>
          </cell>
          <cell r="V114">
            <v>-2.2254658288826698E-3</v>
          </cell>
          <cell r="W114">
            <v>-1.9709992614788899E-3</v>
          </cell>
          <cell r="Y114">
            <v>1.1139962285470999</v>
          </cell>
          <cell r="Z114">
            <v>1.11920759843288</v>
          </cell>
          <cell r="AA114">
            <v>1.11955856593449</v>
          </cell>
          <cell r="AF114">
            <v>-2.22799993242316E-3</v>
          </cell>
          <cell r="AG114">
            <v>-1.79233053667645E-3</v>
          </cell>
          <cell r="AR114">
            <v>2.9482639521364058E-2</v>
          </cell>
          <cell r="BC114">
            <v>1.1044618033177373E-2</v>
          </cell>
          <cell r="BF114">
            <v>4.0527257554541424E-2</v>
          </cell>
        </row>
        <row r="115">
          <cell r="O115">
            <v>1.1144210713463301</v>
          </cell>
          <cell r="P115">
            <v>1.1200702885915399</v>
          </cell>
          <cell r="Q115">
            <v>1.11998018921839</v>
          </cell>
          <cell r="U115">
            <v>-6.1542940310555299E-3</v>
          </cell>
          <cell r="V115">
            <v>-1.3178952201567901E-3</v>
          </cell>
          <cell r="W115">
            <v>-1.1683615393386501E-3</v>
          </cell>
          <cell r="Y115">
            <v>1.1139962285470999</v>
          </cell>
          <cell r="Z115">
            <v>1.1194519251875199</v>
          </cell>
          <cell r="AA115">
            <v>1.1195278772724699</v>
          </cell>
          <cell r="AF115">
            <v>-1.32338983955512E-3</v>
          </cell>
          <cell r="AG115">
            <v>-1.0098532942338599E-3</v>
          </cell>
          <cell r="AR115">
            <v>2.9482639521364058E-2</v>
          </cell>
          <cell r="BC115">
            <v>1.1044618033177373E-2</v>
          </cell>
          <cell r="BF115">
            <v>4.0527257554541424E-2</v>
          </cell>
        </row>
        <row r="116">
          <cell r="O116">
            <v>1.1144210713463301</v>
          </cell>
          <cell r="P116">
            <v>1.1202349073662401</v>
          </cell>
          <cell r="Q116">
            <v>1.12015566478099</v>
          </cell>
          <cell r="U116">
            <v>-7.31559228077898E-3</v>
          </cell>
          <cell r="V116">
            <v>-2.2592028199341502E-3</v>
          </cell>
          <cell r="W116">
            <v>-2.3396468760785299E-3</v>
          </cell>
          <cell r="Y116">
            <v>1.1139962285470999</v>
          </cell>
          <cell r="Z116">
            <v>1.11961566973847</v>
          </cell>
          <cell r="AA116">
            <v>1.11968300535526</v>
          </cell>
          <cell r="AF116">
            <v>-2.2608588546577301E-3</v>
          </cell>
          <cell r="AG116">
            <v>-2.1930135932616201E-3</v>
          </cell>
          <cell r="AR116">
            <v>2.9482639521364058E-2</v>
          </cell>
          <cell r="BC116">
            <v>1.1044618033177373E-2</v>
          </cell>
          <cell r="BF116">
            <v>4.0527257554541424E-2</v>
          </cell>
        </row>
        <row r="117">
          <cell r="O117">
            <v>1.1144210713463301</v>
          </cell>
          <cell r="P117">
            <v>1.1206145068233799</v>
          </cell>
          <cell r="Q117">
            <v>1.1202946192071801</v>
          </cell>
          <cell r="U117">
            <v>-8.2213725189496396E-3</v>
          </cell>
          <cell r="V117">
            <v>-3.0180220321723702E-3</v>
          </cell>
          <cell r="W117">
            <v>-3.0887620060595501E-3</v>
          </cell>
          <cell r="Y117">
            <v>1.1139962285470999</v>
          </cell>
          <cell r="Z117">
            <v>1.1199936689605501</v>
          </cell>
          <cell r="AA117">
            <v>1.11980193947366</v>
          </cell>
          <cell r="AF117">
            <v>-3.02101568726492E-3</v>
          </cell>
          <cell r="AG117">
            <v>-2.9608757715362099E-3</v>
          </cell>
          <cell r="AR117">
            <v>2.9482639521364058E-2</v>
          </cell>
          <cell r="BC117">
            <v>1.1044618033177373E-2</v>
          </cell>
          <cell r="BF117">
            <v>4.0527257554541424E-2</v>
          </cell>
        </row>
        <row r="118">
          <cell r="O118">
            <v>1.1144210713463301</v>
          </cell>
          <cell r="P118">
            <v>1.12135480653654</v>
          </cell>
          <cell r="Q118">
            <v>1.1205777062399001</v>
          </cell>
          <cell r="U118">
            <v>-9.8302894140029906E-3</v>
          </cell>
          <cell r="V118">
            <v>-4.2881393110059101E-3</v>
          </cell>
          <cell r="W118">
            <v>-4.5736373837792898E-3</v>
          </cell>
          <cell r="Y118">
            <v>1.1139962285470999</v>
          </cell>
          <cell r="Z118">
            <v>1.1207327526423101</v>
          </cell>
          <cell r="AA118">
            <v>1.1200639959415</v>
          </cell>
          <cell r="AF118">
            <v>-4.283564013592E-3</v>
          </cell>
          <cell r="AG118">
            <v>-4.4547666774729698E-3</v>
          </cell>
          <cell r="AR118">
            <v>2.9482639521364058E-2</v>
          </cell>
          <cell r="BC118">
            <v>1.1044618033177373E-2</v>
          </cell>
          <cell r="BF118">
            <v>4.0527257554541424E-2</v>
          </cell>
        </row>
        <row r="119">
          <cell r="O119">
            <v>1.1144210713463301</v>
          </cell>
          <cell r="P119">
            <v>1.12190711727598</v>
          </cell>
          <cell r="Q119">
            <v>1.1208400515950401</v>
          </cell>
          <cell r="U119">
            <v>-1.0104744660681101E-2</v>
          </cell>
          <cell r="V119">
            <v>-3.9021932438477098E-3</v>
          </cell>
          <cell r="W119">
            <v>-4.5954347427144904E-3</v>
          </cell>
          <cell r="Y119">
            <v>1.1139962285470999</v>
          </cell>
          <cell r="Z119">
            <v>1.12128348932931</v>
          </cell>
          <cell r="AA119">
            <v>1.12030472324398</v>
          </cell>
          <cell r="AF119">
            <v>-3.8857502264647999E-3</v>
          </cell>
          <cell r="AG119">
            <v>-4.4826421320648098E-3</v>
          </cell>
          <cell r="AR119">
            <v>2.9482639521364058E-2</v>
          </cell>
          <cell r="BC119">
            <v>1.1044618033177373E-2</v>
          </cell>
          <cell r="BF119">
            <v>4.0527257554541424E-2</v>
          </cell>
        </row>
        <row r="120">
          <cell r="O120">
            <v>1.1144210713463301</v>
          </cell>
          <cell r="P120">
            <v>1.1223206287493499</v>
          </cell>
          <cell r="Q120">
            <v>1.1209488865131501</v>
          </cell>
          <cell r="U120">
            <v>-9.7694524957717896E-3</v>
          </cell>
          <cell r="V120">
            <v>-3.0744835464691501E-3</v>
          </cell>
          <cell r="W120">
            <v>-4.0260538137475502E-3</v>
          </cell>
          <cell r="Y120">
            <v>1.1139962285470999</v>
          </cell>
          <cell r="Z120">
            <v>1.1216960937009499</v>
          </cell>
          <cell r="AA120">
            <v>1.1203921853791201</v>
          </cell>
          <cell r="AF120">
            <v>-3.0550037957899198E-3</v>
          </cell>
          <cell r="AG120">
            <v>-3.92828296637479E-3</v>
          </cell>
          <cell r="AR120">
            <v>2.9482639521364058E-2</v>
          </cell>
          <cell r="BC120">
            <v>1.1044618033177373E-2</v>
          </cell>
          <cell r="BF120">
            <v>4.0527257554541424E-2</v>
          </cell>
        </row>
        <row r="121">
          <cell r="O121">
            <v>1.1144210713463301</v>
          </cell>
          <cell r="P121">
            <v>1.1231013028611001</v>
          </cell>
          <cell r="Q121">
            <v>1.12114217812804</v>
          </cell>
          <cell r="U121">
            <v>-1.0109141157259499E-2</v>
          </cell>
          <cell r="V121">
            <v>-3.0456610541474702E-3</v>
          </cell>
          <cell r="W121">
            <v>-4.2686459855978296E-3</v>
          </cell>
          <cell r="Y121">
            <v>1.1139962285470999</v>
          </cell>
          <cell r="Z121">
            <v>1.12247474309136</v>
          </cell>
          <cell r="AA121">
            <v>1.1205638163790499</v>
          </cell>
          <cell r="AF121">
            <v>-3.0271246541926301E-3</v>
          </cell>
          <cell r="AG121">
            <v>-4.1902443056327197E-3</v>
          </cell>
          <cell r="AR121">
            <v>2.9482639521364058E-2</v>
          </cell>
          <cell r="BC121">
            <v>1.1044618033177373E-2</v>
          </cell>
          <cell r="BF121">
            <v>4.0527257554541424E-2</v>
          </cell>
        </row>
        <row r="122">
          <cell r="O122">
            <v>1.1144210713463301</v>
          </cell>
          <cell r="P122">
            <v>1.12385413313614</v>
          </cell>
          <cell r="Q122">
            <v>1.12155996392692</v>
          </cell>
          <cell r="U122">
            <v>-1.0479574006073199E-2</v>
          </cell>
          <cell r="V122">
            <v>-2.72074650992559E-3</v>
          </cell>
          <cell r="W122">
            <v>-4.4666579917309697E-3</v>
          </cell>
          <cell r="Y122">
            <v>1.1139962285470999</v>
          </cell>
          <cell r="Z122">
            <v>1.12322314329935</v>
          </cell>
          <cell r="AA122">
            <v>1.12095825982262</v>
          </cell>
          <cell r="AF122">
            <v>-2.6907457612769699E-3</v>
          </cell>
          <cell r="AG122">
            <v>-4.3946194343806302E-3</v>
          </cell>
          <cell r="AR122">
            <v>2.9482639521364058E-2</v>
          </cell>
          <cell r="BC122">
            <v>1.1044618033177373E-2</v>
          </cell>
          <cell r="BF122">
            <v>4.0527257554541424E-2</v>
          </cell>
        </row>
        <row r="123">
          <cell r="O123">
            <v>1.1144210713463301</v>
          </cell>
          <cell r="P123">
            <v>1.1245715981268201</v>
          </cell>
          <cell r="Q123">
            <v>1.12212078097887</v>
          </cell>
          <cell r="U123">
            <v>-1.1747621530656701E-2</v>
          </cell>
          <cell r="V123">
            <v>-3.3187048185459702E-3</v>
          </cell>
          <cell r="W123">
            <v>-5.3621319178108499E-3</v>
          </cell>
          <cell r="Y123">
            <v>1.1139962285470999</v>
          </cell>
          <cell r="Z123">
            <v>1.1239366659146801</v>
          </cell>
          <cell r="AA123">
            <v>1.1214954937494801</v>
          </cell>
          <cell r="AF123">
            <v>-3.2947286255047602E-3</v>
          </cell>
          <cell r="AG123">
            <v>-5.3131788653417696E-3</v>
          </cell>
          <cell r="AR123">
            <v>2.9482639521364058E-2</v>
          </cell>
          <cell r="BC123">
            <v>1.1044618033177373E-2</v>
          </cell>
          <cell r="BF123">
            <v>4.0527257554541424E-2</v>
          </cell>
        </row>
        <row r="124">
          <cell r="O124">
            <v>1.1144210713463301</v>
          </cell>
          <cell r="P124">
            <v>1.12526555177676</v>
          </cell>
          <cell r="Q124">
            <v>1.1225447312394701</v>
          </cell>
          <cell r="U124">
            <v>-1.30894014942541E-2</v>
          </cell>
          <cell r="V124">
            <v>-4.0222915742837897E-3</v>
          </cell>
          <cell r="W124">
            <v>-6.2040038041137301E-3</v>
          </cell>
          <cell r="Y124">
            <v>1.1139962285470999</v>
          </cell>
          <cell r="Z124">
            <v>1.1246255818689599</v>
          </cell>
          <cell r="AA124">
            <v>1.12191659015092</v>
          </cell>
          <cell r="AF124">
            <v>-3.9983140937728803E-3</v>
          </cell>
          <cell r="AG124">
            <v>-6.1726600133078201E-3</v>
          </cell>
          <cell r="AR124">
            <v>2.8140859557766358E-2</v>
          </cell>
          <cell r="BC124">
            <v>1.1044618033177373E-2</v>
          </cell>
          <cell r="BF124">
            <v>3.9185477590943721E-2</v>
          </cell>
        </row>
        <row r="125">
          <cell r="O125">
            <v>1.1144210713463301</v>
          </cell>
          <cell r="P125">
            <v>1.12596495803081</v>
          </cell>
          <cell r="Q125">
            <v>1.1230176233111699</v>
          </cell>
          <cell r="U125">
            <v>-1.23723765514597E-2</v>
          </cell>
          <cell r="V125">
            <v>-2.6883742737697299E-3</v>
          </cell>
          <cell r="W125">
            <v>-5.1092386026201199E-3</v>
          </cell>
          <cell r="Y125">
            <v>1.1139962285470999</v>
          </cell>
          <cell r="Z125">
            <v>1.1253352345058401</v>
          </cell>
          <cell r="AA125">
            <v>1.12239357984668</v>
          </cell>
          <cell r="AF125">
            <v>-2.8064791905622602E-3</v>
          </cell>
          <cell r="AG125">
            <v>-5.2181793267131599E-3</v>
          </cell>
          <cell r="AR125">
            <v>2.8140859557766358E-2</v>
          </cell>
          <cell r="BC125">
            <v>1.1044618033177373E-2</v>
          </cell>
          <cell r="BF125">
            <v>3.9185477590943721E-2</v>
          </cell>
        </row>
        <row r="126">
          <cell r="O126">
            <v>1.1144210713463301</v>
          </cell>
          <cell r="P126">
            <v>1.1262069916138799</v>
          </cell>
          <cell r="Q126">
            <v>1.12322094949006</v>
          </cell>
          <cell r="U126">
            <v>-9.4692736137211402E-3</v>
          </cell>
          <cell r="V126">
            <v>8.3608331735108004E-4</v>
          </cell>
          <cell r="W126">
            <v>-1.7849564642782099E-3</v>
          </cell>
          <cell r="Y126">
            <v>1.1139962285470999</v>
          </cell>
          <cell r="Z126">
            <v>1.1255896931270599</v>
          </cell>
          <cell r="AA126">
            <v>1.1226026814327701</v>
          </cell>
          <cell r="AF126">
            <v>7.1554245768569197E-4</v>
          </cell>
          <cell r="AG126">
            <v>-1.9019052698360801E-3</v>
          </cell>
          <cell r="AR126">
            <v>3.1043962495505159E-2</v>
          </cell>
          <cell r="BC126">
            <v>1.1044618033177373E-2</v>
          </cell>
          <cell r="BF126">
            <v>4.2088580528682522E-2</v>
          </cell>
        </row>
        <row r="127">
          <cell r="O127">
            <v>1.1144210713463301</v>
          </cell>
          <cell r="P127">
            <v>1.12605414794795</v>
          </cell>
          <cell r="Q127">
            <v>1.12333432738567</v>
          </cell>
          <cell r="U127">
            <v>-6.8601686276970504E-3</v>
          </cell>
          <cell r="V127">
            <v>3.6601217892836299E-3</v>
          </cell>
          <cell r="W127">
            <v>1.00518555129727E-3</v>
          </cell>
          <cell r="Y127">
            <v>1.1139962285470999</v>
          </cell>
          <cell r="Z127">
            <v>1.1254516519503801</v>
          </cell>
          <cell r="AA127">
            <v>1.1227226604554601</v>
          </cell>
          <cell r="AF127">
            <v>3.5305505123926001E-3</v>
          </cell>
          <cell r="AG127">
            <v>8.7329263205597495E-4</v>
          </cell>
          <cell r="AR127">
            <v>3.1043962495505159E-2</v>
          </cell>
          <cell r="BC127">
            <v>1.1044618033177373E-2</v>
          </cell>
          <cell r="BF127">
            <v>4.2088580528682522E-2</v>
          </cell>
        </row>
        <row r="128">
          <cell r="O128">
            <v>1.1144210713463301</v>
          </cell>
          <cell r="P128">
            <v>1.1254995752510899</v>
          </cell>
          <cell r="Q128">
            <v>1.12342719089381</v>
          </cell>
          <cell r="U128">
            <v>-4.8904576544958698E-3</v>
          </cell>
          <cell r="V128">
            <v>5.4941081225028396E-3</v>
          </cell>
          <cell r="W128">
            <v>3.0758314063332802E-3</v>
          </cell>
          <cell r="Y128">
            <v>1.1139962285470999</v>
          </cell>
          <cell r="Z128">
            <v>1.1249137974942001</v>
          </cell>
          <cell r="AA128">
            <v>1.1228232750682501</v>
          </cell>
          <cell r="AF128">
            <v>5.3710682644530399E-3</v>
          </cell>
          <cell r="AG128">
            <v>2.9433269454384701E-3</v>
          </cell>
          <cell r="AR128">
            <v>3.1043962495505159E-2</v>
          </cell>
          <cell r="BC128">
            <v>1.1044618033177373E-2</v>
          </cell>
          <cell r="BF128">
            <v>4.2088580528682522E-2</v>
          </cell>
        </row>
        <row r="129">
          <cell r="O129">
            <v>1.1144210713463301</v>
          </cell>
          <cell r="P129">
            <v>1.12480335295094</v>
          </cell>
          <cell r="Q129">
            <v>1.1233552351134599</v>
          </cell>
          <cell r="U129">
            <v>-3.90096138367476E-3</v>
          </cell>
          <cell r="V129">
            <v>5.9909910460433802E-3</v>
          </cell>
          <cell r="W129">
            <v>4.1479919986152696E-3</v>
          </cell>
          <cell r="Y129">
            <v>1.1139962285470999</v>
          </cell>
          <cell r="Z129">
            <v>1.1242368190634799</v>
          </cell>
          <cell r="AA129">
            <v>1.1227601541964001</v>
          </cell>
          <cell r="AF129">
            <v>5.8731907482988399E-3</v>
          </cell>
          <cell r="AG129">
            <v>4.0130772552788296E-3</v>
          </cell>
          <cell r="AR129">
            <v>3.1043962495505159E-2</v>
          </cell>
          <cell r="BC129">
            <v>1.1044618033177373E-2</v>
          </cell>
          <cell r="BF129">
            <v>4.2088580528682522E-2</v>
          </cell>
        </row>
        <row r="130">
          <cell r="O130">
            <v>1.1144210713463301</v>
          </cell>
          <cell r="P130">
            <v>1.1245186494688399</v>
          </cell>
          <cell r="Q130">
            <v>1.1234196391091</v>
          </cell>
          <cell r="U130">
            <v>-7.2363627209880103E-3</v>
          </cell>
          <cell r="V130">
            <v>2.0368087316134601E-3</v>
          </cell>
          <cell r="W130">
            <v>7.4853837075224399E-4</v>
          </cell>
          <cell r="Y130">
            <v>1.1139962285470999</v>
          </cell>
          <cell r="Z130">
            <v>1.1239697370017601</v>
          </cell>
          <cell r="AA130">
            <v>1.1228329153513501</v>
          </cell>
          <cell r="AF130">
            <v>1.95290672444918E-3</v>
          </cell>
          <cell r="AG130">
            <v>6.3856131389957804E-4</v>
          </cell>
          <cell r="AR130">
            <v>3.1043962495505159E-2</v>
          </cell>
          <cell r="BC130">
            <v>1.4380019370490554E-2</v>
          </cell>
          <cell r="BF130">
            <v>4.5423981865995701E-2</v>
          </cell>
        </row>
        <row r="131">
          <cell r="O131">
            <v>1.1144210713463301</v>
          </cell>
          <cell r="P131">
            <v>1.12399289541009</v>
          </cell>
          <cell r="Q131">
            <v>1.1235470991356</v>
          </cell>
          <cell r="U131">
            <v>-5.4279207209329298E-3</v>
          </cell>
          <cell r="V131">
            <v>3.5921046873833599E-3</v>
          </cell>
          <cell r="W131">
            <v>2.6143105433966301E-3</v>
          </cell>
          <cell r="Y131">
            <v>1.1139962285470999</v>
          </cell>
          <cell r="Z131">
            <v>1.12346276997181</v>
          </cell>
          <cell r="AA131">
            <v>1.12296875653158</v>
          </cell>
          <cell r="AF131">
            <v>3.51396152861764E-3</v>
          </cell>
          <cell r="AG131">
            <v>2.5020152891701798E-3</v>
          </cell>
          <cell r="AR131">
            <v>3.1043962495505159E-2</v>
          </cell>
          <cell r="BC131">
            <v>1.4380019370490554E-2</v>
          </cell>
          <cell r="BF131">
            <v>4.5423981865995701E-2</v>
          </cell>
        </row>
        <row r="132">
          <cell r="O132">
            <v>1.1144210713463301</v>
          </cell>
          <cell r="P132">
            <v>1.12343147067044</v>
          </cell>
          <cell r="Q132">
            <v>1.12364280190329</v>
          </cell>
          <cell r="U132">
            <v>-5.48180926434932E-3</v>
          </cell>
          <cell r="V132">
            <v>3.0705698296491302E-3</v>
          </cell>
          <cell r="W132">
            <v>2.6738727462393501E-3</v>
          </cell>
          <cell r="Y132">
            <v>1.1139962285470999</v>
          </cell>
          <cell r="Z132">
            <v>1.1229209589501701</v>
          </cell>
          <cell r="AA132">
            <v>1.1230720511247601</v>
          </cell>
          <cell r="AF132">
            <v>3.01467569855106E-3</v>
          </cell>
          <cell r="AG132">
            <v>2.5748550831770898E-3</v>
          </cell>
          <cell r="AR132">
            <v>3.1043962495505159E-2</v>
          </cell>
          <cell r="BC132">
            <v>1.4380019370490554E-2</v>
          </cell>
          <cell r="BF132">
            <v>4.5423981865995701E-2</v>
          </cell>
        </row>
        <row r="133">
          <cell r="O133">
            <v>1.1144210713463301</v>
          </cell>
          <cell r="P133">
            <v>1.12260831934262</v>
          </cell>
          <cell r="Q133">
            <v>1.12358995873472</v>
          </cell>
          <cell r="U133">
            <v>-4.4207516489862897E-3</v>
          </cell>
          <cell r="V133">
            <v>3.6320112979255801E-3</v>
          </cell>
          <cell r="W133">
            <v>3.8201058669818798E-3</v>
          </cell>
          <cell r="Y133">
            <v>1.1139962285470999</v>
          </cell>
          <cell r="Z133">
            <v>1.12211815295135</v>
          </cell>
          <cell r="AA133">
            <v>1.1230274094330199</v>
          </cell>
          <cell r="AF133">
            <v>3.5855298333258702E-3</v>
          </cell>
          <cell r="AG133">
            <v>3.7200735956064101E-3</v>
          </cell>
          <cell r="AR133">
            <v>3.1043962495505159E-2</v>
          </cell>
          <cell r="BC133">
            <v>1.4380019370490554E-2</v>
          </cell>
          <cell r="BF133">
            <v>4.5423981865995701E-2</v>
          </cell>
        </row>
        <row r="134">
          <cell r="O134">
            <v>1.1144210713463301</v>
          </cell>
          <cell r="P134">
            <v>1.1216778339517901</v>
          </cell>
          <cell r="Q134">
            <v>1.1234716928642701</v>
          </cell>
          <cell r="U134">
            <v>-4.81433948835229E-3</v>
          </cell>
          <cell r="V134">
            <v>2.5054432430383E-3</v>
          </cell>
          <cell r="W134">
            <v>3.3794884813179802E-3</v>
          </cell>
          <cell r="Y134">
            <v>1.1139962285470999</v>
          </cell>
          <cell r="Z134">
            <v>1.1212079180891199</v>
          </cell>
          <cell r="AA134">
            <v>1.12291674997904</v>
          </cell>
          <cell r="AF134">
            <v>2.4814140624471299E-3</v>
          </cell>
          <cell r="AG134">
            <v>3.2913896351756599E-3</v>
          </cell>
          <cell r="AR134">
            <v>3.1043962495505159E-2</v>
          </cell>
          <cell r="BC134">
            <v>1.4773607209856605E-2</v>
          </cell>
          <cell r="BF134">
            <v>4.5817569705361751E-2</v>
          </cell>
        </row>
        <row r="135">
          <cell r="O135">
            <v>1.1144210713463301</v>
          </cell>
          <cell r="P135">
            <v>1.1207746927281499</v>
          </cell>
          <cell r="Q135">
            <v>1.1233698253794799</v>
          </cell>
          <cell r="U135">
            <v>-4.3356892313023403E-3</v>
          </cell>
          <cell r="V135">
            <v>2.1548895745733699E-3</v>
          </cell>
          <cell r="W135">
            <v>3.7528760541227701E-3</v>
          </cell>
          <cell r="Y135">
            <v>1.1139962285470999</v>
          </cell>
          <cell r="Z135">
            <v>1.1203088663071299</v>
          </cell>
          <cell r="AA135">
            <v>1.1228220504064901</v>
          </cell>
          <cell r="AF135">
            <v>2.15373182201628E-3</v>
          </cell>
          <cell r="AG135">
            <v>3.67667058252001E-3</v>
          </cell>
          <cell r="AR135">
            <v>3.1043962495505159E-2</v>
          </cell>
          <cell r="BC135">
            <v>1.4294956952806605E-2</v>
          </cell>
          <cell r="BF135">
            <v>4.5338919448311754E-2</v>
          </cell>
        </row>
        <row r="136">
          <cell r="O136">
            <v>1.1144210713463301</v>
          </cell>
          <cell r="P136">
            <v>1.1203424523283501</v>
          </cell>
          <cell r="Q136">
            <v>1.1232747219711099</v>
          </cell>
          <cell r="U136">
            <v>-5.6198188699252798E-3</v>
          </cell>
          <cell r="V136">
            <v>6.5265717696166595E-5</v>
          </cell>
          <cell r="W136">
            <v>2.37807025161417E-3</v>
          </cell>
          <cell r="Y136">
            <v>1.1139962285470999</v>
          </cell>
          <cell r="Z136">
            <v>1.1198782144314201</v>
          </cell>
          <cell r="AA136">
            <v>1.12273395377924</v>
          </cell>
          <cell r="AF136">
            <v>7.5953082332459504E-5</v>
          </cell>
          <cell r="AG136">
            <v>2.3167363841083799E-3</v>
          </cell>
          <cell r="AR136">
            <v>3.1043962495505159E-2</v>
          </cell>
          <cell r="BC136">
            <v>1.5579086591429467E-2</v>
          </cell>
          <cell r="BF136">
            <v>4.6623049086934612E-2</v>
          </cell>
        </row>
        <row r="137">
          <cell r="O137">
            <v>1.1144210713463301</v>
          </cell>
          <cell r="P137">
            <v>1.1202526316390899</v>
          </cell>
          <cell r="Q137">
            <v>1.12315338979352</v>
          </cell>
          <cell r="U137">
            <v>-6.0593731463894698E-3</v>
          </cell>
          <cell r="V137">
            <v>-7.6002511530191504E-4</v>
          </cell>
          <cell r="W137">
            <v>1.85385335369948E-3</v>
          </cell>
          <cell r="Y137">
            <v>1.1139962285470999</v>
          </cell>
          <cell r="Z137">
            <v>1.1197874038283699</v>
          </cell>
          <cell r="AA137">
            <v>1.12261952788937</v>
          </cell>
          <cell r="AF137">
            <v>-7.4661338219321797E-4</v>
          </cell>
          <cell r="AG137">
            <v>1.8001853303732801E-3</v>
          </cell>
          <cell r="AR137">
            <v>3.1043962495505159E-2</v>
          </cell>
          <cell r="BC137">
            <v>1.6018640867893646E-2</v>
          </cell>
          <cell r="BF137">
            <v>4.7062603363398792E-2</v>
          </cell>
        </row>
        <row r="138">
          <cell r="O138">
            <v>1.1144210713463301</v>
          </cell>
          <cell r="P138">
            <v>1.12083049017105</v>
          </cell>
          <cell r="Q138">
            <v>1.12316503271107</v>
          </cell>
          <cell r="U138">
            <v>-1.00371740963418E-2</v>
          </cell>
          <cell r="V138">
            <v>-4.8180018095920199E-3</v>
          </cell>
          <cell r="W138">
            <v>-2.2319699069367799E-3</v>
          </cell>
          <cell r="Y138">
            <v>1.1139962285470999</v>
          </cell>
          <cell r="Z138">
            <v>1.1203612857228999</v>
          </cell>
          <cell r="AA138">
            <v>1.1226375416085499</v>
          </cell>
          <cell r="AF138">
            <v>-4.7879964317108599E-3</v>
          </cell>
          <cell r="AG138">
            <v>-2.26202710222568E-3</v>
          </cell>
          <cell r="AR138">
            <v>3.1043962495505159E-2</v>
          </cell>
          <cell r="BC138">
            <v>1.9996441817846045E-2</v>
          </cell>
          <cell r="BF138">
            <v>5.104040431335119E-2</v>
          </cell>
        </row>
        <row r="139">
          <cell r="O139">
            <v>1.1144210713463301</v>
          </cell>
          <cell r="P139">
            <v>1.1209816487950399</v>
          </cell>
          <cell r="Q139">
            <v>1.12289250087299</v>
          </cell>
          <cell r="U139">
            <v>-5.2511555424755501E-3</v>
          </cell>
          <cell r="V139">
            <v>4.8371251579582702E-4</v>
          </cell>
          <cell r="W139">
            <v>2.5644148687723402E-3</v>
          </cell>
          <cell r="Y139">
            <v>1.1139962285470999</v>
          </cell>
          <cell r="Z139">
            <v>1.1205111459530701</v>
          </cell>
          <cell r="AA139">
            <v>1.1223739825082799</v>
          </cell>
          <cell r="AF139">
            <v>4.7884909993021498E-4</v>
          </cell>
          <cell r="AG139">
            <v>2.5085038989722001E-3</v>
          </cell>
          <cell r="AR139">
            <v>3.1043962495505159E-2</v>
          </cell>
          <cell r="BC139">
            <v>1.9996441817846045E-2</v>
          </cell>
          <cell r="BF139">
            <v>5.104040431335119E-2</v>
          </cell>
        </row>
        <row r="140">
          <cell r="O140">
            <v>1.1144210713463301</v>
          </cell>
          <cell r="P140">
            <v>1.1210690394651599</v>
          </cell>
          <cell r="Q140">
            <v>1.122793844467</v>
          </cell>
          <cell r="U140">
            <v>-8.0145856854199199E-3</v>
          </cell>
          <cell r="V140">
            <v>-2.14486366540368E-3</v>
          </cell>
          <cell r="W140">
            <v>-4.4169101630489301E-4</v>
          </cell>
          <cell r="Y140">
            <v>1.1139962285470999</v>
          </cell>
          <cell r="Z140">
            <v>1.12059683149787</v>
          </cell>
          <cell r="AA140">
            <v>1.1222832842498101</v>
          </cell>
          <cell r="AF140">
            <v>-2.12991894380073E-3</v>
          </cell>
          <cell r="AG140">
            <v>-4.6881115017830498E-4</v>
          </cell>
          <cell r="AR140">
            <v>3.1043962495505159E-2</v>
          </cell>
          <cell r="BC140">
            <v>1.9996441817846045E-2</v>
          </cell>
          <cell r="BF140">
            <v>5.104040431335119E-2</v>
          </cell>
        </row>
        <row r="141">
          <cell r="O141">
            <v>1.1144210713463301</v>
          </cell>
          <cell r="P141">
            <v>1.12111144118613</v>
          </cell>
          <cell r="Q141">
            <v>1.1225521682981101</v>
          </cell>
          <cell r="U141">
            <v>-5.8062715519770196E-3</v>
          </cell>
          <cell r="V141">
            <v>1.4140648448772699E-4</v>
          </cell>
          <cell r="W141">
            <v>1.6787600847459601E-3</v>
          </cell>
          <cell r="Y141">
            <v>1.1139962285470999</v>
          </cell>
          <cell r="Z141">
            <v>1.1206372499242001</v>
          </cell>
          <cell r="AA141">
            <v>1.122050009948</v>
          </cell>
          <cell r="AF141">
            <v>1.4775845267194599E-4</v>
          </cell>
          <cell r="AG141">
            <v>1.65158655112988E-3</v>
          </cell>
          <cell r="AR141">
            <v>3.1043962495505159E-2</v>
          </cell>
          <cell r="BC141">
            <v>1.9996441817846045E-2</v>
          </cell>
          <cell r="BF141">
            <v>5.104040431335119E-2</v>
          </cell>
        </row>
        <row r="142">
          <cell r="O142">
            <v>1.1144210713463301</v>
          </cell>
          <cell r="P142">
            <v>1.1209967561288099</v>
          </cell>
          <cell r="Q142">
            <v>1.12221411339963</v>
          </cell>
          <cell r="U142">
            <v>-4.45781118805204E-3</v>
          </cell>
          <cell r="V142">
            <v>1.5276887109603799E-3</v>
          </cell>
          <cell r="W142">
            <v>2.8119519168274699E-3</v>
          </cell>
          <cell r="Y142">
            <v>1.1139962285470999</v>
          </cell>
          <cell r="Z142">
            <v>1.1205222073855201</v>
          </cell>
          <cell r="AA142">
            <v>1.12172158316785</v>
          </cell>
          <cell r="AF142">
            <v>1.5241168641716501E-3</v>
          </cell>
          <cell r="AG142">
            <v>2.7839984677802102E-3</v>
          </cell>
          <cell r="AR142">
            <v>3.1043962495505159E-2</v>
          </cell>
          <cell r="BC142">
            <v>1.9996441817846045E-2</v>
          </cell>
          <cell r="BF142">
            <v>5.104040431335119E-2</v>
          </cell>
        </row>
        <row r="143">
          <cell r="O143">
            <v>1.1144210713463301</v>
          </cell>
          <cell r="P143">
            <v>1.12057520620226</v>
          </cell>
          <cell r="Q143">
            <v>1.1215917627724401</v>
          </cell>
          <cell r="U143">
            <v>-6.4764695004649404E-4</v>
          </cell>
          <cell r="V143">
            <v>5.2355518579143999E-3</v>
          </cell>
          <cell r="W143">
            <v>6.3209223033436502E-3</v>
          </cell>
          <cell r="Y143">
            <v>1.1139962285470999</v>
          </cell>
          <cell r="Z143">
            <v>1.1201018707764601</v>
          </cell>
          <cell r="AA143">
            <v>1.1211100118639099</v>
          </cell>
          <cell r="AF143">
            <v>5.2108363700795997E-3</v>
          </cell>
          <cell r="AG143">
            <v>6.2806360963775596E-3</v>
          </cell>
          <cell r="AR143">
            <v>3.1043962495505159E-2</v>
          </cell>
          <cell r="BC143">
            <v>1.9996441817846045E-2</v>
          </cell>
          <cell r="BF143">
            <v>5.104040431335119E-2</v>
          </cell>
        </row>
        <row r="144">
          <cell r="O144">
            <v>1.1144210713463301</v>
          </cell>
          <cell r="P144">
            <v>1.1200700287287</v>
          </cell>
          <cell r="Q144">
            <v>1.12087393134025</v>
          </cell>
          <cell r="U144">
            <v>-2.9281082838339601E-4</v>
          </cell>
          <cell r="V144">
            <v>5.2142680614091202E-3</v>
          </cell>
          <cell r="W144">
            <v>6.1210307190541404E-3</v>
          </cell>
          <cell r="Y144">
            <v>1.1139962285470999</v>
          </cell>
          <cell r="Z144">
            <v>1.11959786601705</v>
          </cell>
          <cell r="AA144">
            <v>1.12040289205308</v>
          </cell>
          <cell r="AF144">
            <v>5.1958190593087497E-3</v>
          </cell>
          <cell r="AG144">
            <v>6.0954583689602701E-3</v>
          </cell>
          <cell r="AR144">
            <v>3.1043962495505159E-2</v>
          </cell>
          <cell r="BC144">
            <v>1.9641605696182843E-2</v>
          </cell>
          <cell r="BF144">
            <v>5.0685568191687985E-2</v>
          </cell>
        </row>
        <row r="145">
          <cell r="O145">
            <v>1.1144210713463301</v>
          </cell>
          <cell r="P145">
            <v>1.11985913422405</v>
          </cell>
          <cell r="Q145">
            <v>1.1203169134761</v>
          </cell>
          <cell r="U145">
            <v>-2.4496858874293102E-3</v>
          </cell>
          <cell r="V145">
            <v>2.6064715675588501E-3</v>
          </cell>
          <cell r="W145">
            <v>3.3239394385571599E-3</v>
          </cell>
          <cell r="Y145">
            <v>1.1139962285470999</v>
          </cell>
          <cell r="Z145">
            <v>1.1193884048177001</v>
          </cell>
          <cell r="AA145">
            <v>1.11984863556242</v>
          </cell>
          <cell r="AF145">
            <v>2.59065911830458E-3</v>
          </cell>
          <cell r="AG145">
            <v>3.3094321524604702E-3</v>
          </cell>
          <cell r="AR145">
            <v>3.1043962495505159E-2</v>
          </cell>
          <cell r="BC145">
            <v>2.1798480755228743E-2</v>
          </cell>
          <cell r="BF145">
            <v>5.2842443250733881E-2</v>
          </cell>
        </row>
        <row r="146">
          <cell r="O146">
            <v>1.1144210713463301</v>
          </cell>
          <cell r="P146">
            <v>1.1189622735889</v>
          </cell>
          <cell r="Q146">
            <v>1.1196523629586199</v>
          </cell>
          <cell r="U146">
            <v>2.4150458948681099E-3</v>
          </cell>
          <cell r="V146">
            <v>7.2828987295430704E-3</v>
          </cell>
          <cell r="W146">
            <v>7.6915980894811898E-3</v>
          </cell>
          <cell r="Y146">
            <v>1.1139962285470999</v>
          </cell>
          <cell r="Z146">
            <v>1.1184978827944301</v>
          </cell>
          <cell r="AA146">
            <v>1.11918804861292</v>
          </cell>
          <cell r="AF146">
            <v>7.2352682450966101E-3</v>
          </cell>
          <cell r="AG146">
            <v>7.6463285686799399E-3</v>
          </cell>
          <cell r="AR146">
            <v>3.1043962495505159E-2</v>
          </cell>
          <cell r="BC146">
            <v>1.6933748972931394E-2</v>
          </cell>
          <cell r="BF146">
            <v>4.7977711468436532E-2</v>
          </cell>
        </row>
        <row r="147">
          <cell r="O147">
            <v>1.1144210713463301</v>
          </cell>
          <cell r="P147">
            <v>1.1182755673824201</v>
          </cell>
          <cell r="Q147">
            <v>1.1192640995107499</v>
          </cell>
          <cell r="U147">
            <v>8.4234746623799102E-5</v>
          </cell>
          <cell r="V147">
            <v>4.1508975623030398E-3</v>
          </cell>
          <cell r="W147">
            <v>4.7674301090998997E-3</v>
          </cell>
          <cell r="Y147">
            <v>1.1139962285470999</v>
          </cell>
          <cell r="Z147">
            <v>1.1177248234363999</v>
          </cell>
          <cell r="AA147">
            <v>1.11875611363239</v>
          </cell>
          <cell r="AF147">
            <v>4.9418682887562198E-3</v>
          </cell>
          <cell r="AG147">
            <v>5.5587250430425301E-3</v>
          </cell>
          <cell r="AR147">
            <v>3.1043962495505159E-2</v>
          </cell>
          <cell r="BC147">
            <v>1.6933748972931394E-2</v>
          </cell>
          <cell r="BF147">
            <v>4.7977711468436532E-2</v>
          </cell>
        </row>
        <row r="148">
          <cell r="O148">
            <v>1.1144210713463301</v>
          </cell>
          <cell r="P148">
            <v>1.11688154684467</v>
          </cell>
          <cell r="Q148">
            <v>1.11885601850786</v>
          </cell>
          <cell r="U148">
            <v>2.4241415851981602E-3</v>
          </cell>
          <cell r="V148">
            <v>5.8769168512653597E-3</v>
          </cell>
          <cell r="W148">
            <v>6.7605053813601301E-3</v>
          </cell>
          <cell r="Y148">
            <v>1.1139962285470999</v>
          </cell>
          <cell r="Z148">
            <v>1.1162514476648</v>
          </cell>
          <cell r="AA148">
            <v>1.11830636669385</v>
          </cell>
          <cell r="AF148">
            <v>6.5496487348849202E-3</v>
          </cell>
          <cell r="AG148">
            <v>7.4718924723451404E-3</v>
          </cell>
          <cell r="AR148">
            <v>3.1043962495505159E-2</v>
          </cell>
          <cell r="BC148">
            <v>1.4593842134356994E-2</v>
          </cell>
          <cell r="BF148">
            <v>4.5637804629862132E-2</v>
          </cell>
        </row>
        <row r="149">
          <cell r="O149">
            <v>1.1144210713463301</v>
          </cell>
          <cell r="P149">
            <v>1.1161139619520899</v>
          </cell>
          <cell r="Q149">
            <v>1.11854780537356</v>
          </cell>
          <cell r="U149">
            <v>1.62409679230381E-3</v>
          </cell>
          <cell r="V149">
            <v>3.8295139110472499E-3</v>
          </cell>
          <cell r="W149">
            <v>5.59579650799478E-3</v>
          </cell>
          <cell r="Y149">
            <v>1.1139962285470999</v>
          </cell>
          <cell r="Z149">
            <v>1.11539872014129</v>
          </cell>
          <cell r="AA149">
            <v>1.1179549330471801</v>
          </cell>
          <cell r="AF149">
            <v>4.44775911252658E-3</v>
          </cell>
          <cell r="AG149">
            <v>6.2869772299687801E-3</v>
          </cell>
          <cell r="AR149">
            <v>3.1043962495505159E-2</v>
          </cell>
          <cell r="BC149">
            <v>1.5393886927251193E-2</v>
          </cell>
          <cell r="BF149">
            <v>4.6437849422756333E-2</v>
          </cell>
        </row>
        <row r="150">
          <cell r="O150">
            <v>1.1144210713463301</v>
          </cell>
          <cell r="P150">
            <v>1.1151184163540799</v>
          </cell>
          <cell r="Q150">
            <v>1.1180937279096199</v>
          </cell>
          <cell r="U150">
            <v>8.8690313780619005E-4</v>
          </cell>
          <cell r="V150">
            <v>2.4048267799222098E-3</v>
          </cell>
          <cell r="W150">
            <v>4.58309323564462E-3</v>
          </cell>
          <cell r="Y150">
            <v>1.1139962285470999</v>
          </cell>
          <cell r="Z150">
            <v>1.1143179343713601</v>
          </cell>
          <cell r="AA150">
            <v>1.1174573829346199</v>
          </cell>
          <cell r="AF150">
            <v>2.9686250057651001E-3</v>
          </cell>
          <cell r="AG150">
            <v>5.2577510637657901E-3</v>
          </cell>
          <cell r="AR150">
            <v>3.1043962495505159E-2</v>
          </cell>
          <cell r="BC150">
            <v>1.6131080581748693E-2</v>
          </cell>
          <cell r="BF150">
            <v>4.7175043077253835E-2</v>
          </cell>
        </row>
        <row r="151">
          <cell r="O151">
            <v>1.1144210713463301</v>
          </cell>
          <cell r="P151">
            <v>1.1144369537624199</v>
          </cell>
          <cell r="Q151">
            <v>1.1177741974742701</v>
          </cell>
          <cell r="U151">
            <v>2.9182907592849999E-4</v>
          </cell>
          <cell r="V151">
            <v>9.17379809013546E-4</v>
          </cell>
          <cell r="W151">
            <v>3.5819840864037699E-3</v>
          </cell>
          <cell r="Y151">
            <v>1.1139962285470999</v>
          </cell>
          <cell r="Z151">
            <v>1.1135510024102799</v>
          </cell>
          <cell r="AA151">
            <v>1.11709412616724</v>
          </cell>
          <cell r="AF151">
            <v>1.3973348442715399E-3</v>
          </cell>
          <cell r="AG151">
            <v>4.2107458625862898E-3</v>
          </cell>
          <cell r="AR151">
            <v>3.1043962495505159E-2</v>
          </cell>
          <cell r="BC151">
            <v>1.6726154643626603E-2</v>
          </cell>
          <cell r="BF151">
            <v>4.7770117139131749E-2</v>
          </cell>
        </row>
        <row r="152">
          <cell r="O152">
            <v>1.1144210713463301</v>
          </cell>
          <cell r="P152">
            <v>1.1136252192873699</v>
          </cell>
          <cell r="Q152">
            <v>1.11731098770809</v>
          </cell>
          <cell r="U152">
            <v>2.8201225639984898E-3</v>
          </cell>
          <cell r="V152">
            <v>2.8343741815639598E-3</v>
          </cell>
          <cell r="W152">
            <v>5.82445529142059E-3</v>
          </cell>
          <cell r="Y152">
            <v>1.1139962285470999</v>
          </cell>
          <cell r="Z152">
            <v>1.11265496657226</v>
          </cell>
          <cell r="AA152">
            <v>1.1165885869788901</v>
          </cell>
          <cell r="AF152">
            <v>3.2208329305602598E-3</v>
          </cell>
          <cell r="AG152">
            <v>6.3976060454751203E-3</v>
          </cell>
          <cell r="AR152">
            <v>3.1043962495505159E-2</v>
          </cell>
          <cell r="BC152">
            <v>1.4197861155556513E-2</v>
          </cell>
          <cell r="BF152">
            <v>4.5241823651061656E-2</v>
          </cell>
        </row>
        <row r="153">
          <cell r="O153">
            <v>1.1144210713463301</v>
          </cell>
          <cell r="P153">
            <v>1.1134353083488899</v>
          </cell>
          <cell r="Q153">
            <v>1.11700525727557</v>
          </cell>
          <cell r="U153">
            <v>1.0568234507090199E-3</v>
          </cell>
          <cell r="V153">
            <v>3.4242887448058602E-4</v>
          </cell>
          <cell r="W153">
            <v>3.6466665865147398E-3</v>
          </cell>
          <cell r="Y153">
            <v>1.1139962285470999</v>
          </cell>
          <cell r="Z153">
            <v>1.11237661649772</v>
          </cell>
          <cell r="AA153">
            <v>1.11623924363709</v>
          </cell>
          <cell r="AF153">
            <v>6.6523557655864005E-4</v>
          </cell>
          <cell r="AG153">
            <v>4.1943470395139201E-3</v>
          </cell>
          <cell r="AR153">
            <v>3.1043962495505159E-2</v>
          </cell>
          <cell r="BC153">
            <v>1.5961160268846E-2</v>
          </cell>
          <cell r="BF153">
            <v>4.7005122764351141E-2</v>
          </cell>
        </row>
        <row r="154">
          <cell r="O154">
            <v>1.1144210713463301</v>
          </cell>
          <cell r="P154">
            <v>1.1136697245651701</v>
          </cell>
          <cell r="Q154">
            <v>1.11686987664694</v>
          </cell>
          <cell r="U154">
            <v>-2.3934668289786799E-3</v>
          </cell>
          <cell r="V154">
            <v>-3.2784099256307001E-3</v>
          </cell>
          <cell r="W154">
            <v>-7.7291697968843396E-5</v>
          </cell>
          <cell r="Y154">
            <v>1.1139962285470999</v>
          </cell>
          <cell r="Z154">
            <v>1.1125226473079799</v>
          </cell>
          <cell r="AA154">
            <v>1.11606025666252</v>
          </cell>
          <cell r="AF154">
            <v>-3.0346572932168901E-3</v>
          </cell>
          <cell r="AG154">
            <v>4.3173732077280601E-4</v>
          </cell>
          <cell r="AR154">
            <v>3.1043962495505159E-2</v>
          </cell>
          <cell r="BC154">
            <v>1.94114505485335E-2</v>
          </cell>
          <cell r="BF154">
            <v>5.0455413044038638E-2</v>
          </cell>
        </row>
        <row r="155">
          <cell r="O155">
            <v>1.1144210713463301</v>
          </cell>
          <cell r="P155">
            <v>1.1133546605602</v>
          </cell>
          <cell r="Q155">
            <v>1.1166068973921299</v>
          </cell>
          <cell r="U155">
            <v>3.7453536413647797E-4</v>
          </cell>
          <cell r="V155">
            <v>-2.99895687787888E-4</v>
          </cell>
          <cell r="W155">
            <v>2.5695035156308899E-3</v>
          </cell>
          <cell r="Y155">
            <v>1.1139962285470999</v>
          </cell>
          <cell r="Z155">
            <v>1.1121227516252601</v>
          </cell>
          <cell r="AA155">
            <v>1.1157555782214801</v>
          </cell>
          <cell r="AF155">
            <v>-1.61349376509316E-4</v>
          </cell>
          <cell r="AG155">
            <v>3.01341456838393E-3</v>
          </cell>
          <cell r="AR155">
            <v>3.1043962495505159E-2</v>
          </cell>
          <cell r="BC155">
            <v>1.94114505485335E-2</v>
          </cell>
          <cell r="BF155">
            <v>5.0455413044038638E-2</v>
          </cell>
        </row>
        <row r="156">
          <cell r="O156">
            <v>1.1144210713463301</v>
          </cell>
          <cell r="P156">
            <v>1.1138323983952401</v>
          </cell>
          <cell r="Q156">
            <v>1.11639733599207</v>
          </cell>
          <cell r="U156">
            <v>-1.8729829369602199E-3</v>
          </cell>
          <cell r="V156">
            <v>-2.8303601561370999E-3</v>
          </cell>
          <cell r="W156">
            <v>8.6496527938938802E-5</v>
          </cell>
          <cell r="Y156">
            <v>1.1139962285470999</v>
          </cell>
          <cell r="Z156">
            <v>1.1125098746037201</v>
          </cell>
          <cell r="AA156">
            <v>1.1155038786990701</v>
          </cell>
          <cell r="AF156">
            <v>-2.7540261524328698E-3</v>
          </cell>
          <cell r="AG156">
            <v>5.0722000034165396E-4</v>
          </cell>
          <cell r="AR156">
            <v>3.1043962495505159E-2</v>
          </cell>
          <cell r="BC156">
            <v>2.165896884963019E-2</v>
          </cell>
          <cell r="BF156">
            <v>5.2702931345135332E-2</v>
          </cell>
        </row>
        <row r="157">
          <cell r="O157">
            <v>1.1144210713463301</v>
          </cell>
          <cell r="P157">
            <v>1.1142494434211301</v>
          </cell>
          <cell r="Q157">
            <v>1.1162625054017701</v>
          </cell>
          <cell r="U157">
            <v>-3.6513516782721799E-3</v>
          </cell>
          <cell r="V157">
            <v>-4.1797233135235602E-3</v>
          </cell>
          <cell r="W157">
            <v>-1.8795667976795199E-3</v>
          </cell>
          <cell r="Y157">
            <v>1.1139962285470999</v>
          </cell>
          <cell r="Z157">
            <v>1.11292736388962</v>
          </cell>
          <cell r="AA157">
            <v>1.1153260936630101</v>
          </cell>
          <cell r="AF157">
            <v>-4.1701925201354899E-3</v>
          </cell>
          <cell r="AG157">
            <v>-1.48259160824169E-3</v>
          </cell>
          <cell r="AR157">
            <v>3.1043962495505159E-2</v>
          </cell>
          <cell r="BC157">
            <v>2.165896884963019E-2</v>
          </cell>
          <cell r="BF157">
            <v>5.2702931345135332E-2</v>
          </cell>
        </row>
        <row r="158">
          <cell r="O158">
            <v>1.1144210713463301</v>
          </cell>
          <cell r="P158">
            <v>1.11453718927637</v>
          </cell>
          <cell r="Q158">
            <v>1.1157093680605199</v>
          </cell>
          <cell r="U158">
            <v>-1.6080229301315899E-4</v>
          </cell>
          <cell r="V158">
            <v>-3.1482050647684999E-4</v>
          </cell>
          <cell r="W158">
            <v>1.49020235230782E-3</v>
          </cell>
          <cell r="Y158">
            <v>1.1139962285470999</v>
          </cell>
          <cell r="Z158">
            <v>1.1132115017754201</v>
          </cell>
          <cell r="AA158">
            <v>1.11473147472011</v>
          </cell>
          <cell r="AF158">
            <v>-3.0730005768584399E-4</v>
          </cell>
          <cell r="AG158">
            <v>1.8457141713412099E-3</v>
          </cell>
          <cell r="AR158">
            <v>3.1043962495505159E-2</v>
          </cell>
          <cell r="BC158">
            <v>2.165896884963019E-2</v>
          </cell>
          <cell r="BF158">
            <v>5.2702931345135332E-2</v>
          </cell>
        </row>
        <row r="159">
          <cell r="O159">
            <v>1.1144210713463301</v>
          </cell>
          <cell r="P159">
            <v>1.1149504676854101</v>
          </cell>
          <cell r="Q159">
            <v>1.1155322148187501</v>
          </cell>
          <cell r="U159">
            <v>-2.0835076456679302E-3</v>
          </cell>
          <cell r="V159">
            <v>-1.9793173320176599E-3</v>
          </cell>
          <cell r="W159">
            <v>-9.2815203531192701E-4</v>
          </cell>
          <cell r="Y159">
            <v>1.1139962285470999</v>
          </cell>
          <cell r="Z159">
            <v>1.1136203954106301</v>
          </cell>
          <cell r="AA159">
            <v>1.1145095577759601</v>
          </cell>
          <cell r="AF159">
            <v>-1.9519806604463301E-3</v>
          </cell>
          <cell r="AG159">
            <v>-5.8751738958058596E-4</v>
          </cell>
          <cell r="AR159">
            <v>3.1043962495505159E-2</v>
          </cell>
          <cell r="BC159">
            <v>2.165896884963019E-2</v>
          </cell>
          <cell r="BF159">
            <v>5.2702931345135332E-2</v>
          </cell>
        </row>
        <row r="160">
          <cell r="O160">
            <v>1.1144210713463301</v>
          </cell>
          <cell r="P160">
            <v>1.1152417983246601</v>
          </cell>
          <cell r="Q160">
            <v>1.1151801073393699</v>
          </cell>
          <cell r="U160">
            <v>-1.7261875055411601E-3</v>
          </cell>
          <cell r="V160">
            <v>-1.25125872874679E-3</v>
          </cell>
          <cell r="W160">
            <v>-7.2962531630588298E-4</v>
          </cell>
          <cell r="Y160">
            <v>1.1139962285470999</v>
          </cell>
          <cell r="Z160">
            <v>1.1139100568984599</v>
          </cell>
          <cell r="AA160">
            <v>1.11411399563491</v>
          </cell>
          <cell r="AF160">
            <v>-1.22825401444752E-3</v>
          </cell>
          <cell r="AG160">
            <v>-4.3012964000253899E-4</v>
          </cell>
          <cell r="AR160">
            <v>3.1043962495505159E-2</v>
          </cell>
          <cell r="BC160">
            <v>2.165896884963019E-2</v>
          </cell>
          <cell r="BF160">
            <v>5.2702931345135332E-2</v>
          </cell>
        </row>
        <row r="161">
          <cell r="O161">
            <v>1.1144210713463301</v>
          </cell>
          <cell r="P161">
            <v>1.1155691165836199</v>
          </cell>
          <cell r="Q161">
            <v>1.11500303517302</v>
          </cell>
          <cell r="U161">
            <v>-2.6418355502896501E-3</v>
          </cell>
          <cell r="V161">
            <v>-1.90564621282064E-3</v>
          </cell>
          <cell r="W161">
            <v>-1.96096398490022E-3</v>
          </cell>
          <cell r="Y161">
            <v>1.1139962285470999</v>
          </cell>
          <cell r="Z161">
            <v>1.1142342915955901</v>
          </cell>
          <cell r="AA161">
            <v>1.11389264700294</v>
          </cell>
          <cell r="AF161">
            <v>-1.8783117418978801E-3</v>
          </cell>
          <cell r="AG161">
            <v>-1.69524483399014E-3</v>
          </cell>
          <cell r="AR161">
            <v>3.1043962495505159E-2</v>
          </cell>
          <cell r="BC161">
            <v>2.165896884963019E-2</v>
          </cell>
          <cell r="BF161">
            <v>5.2702931345135332E-2</v>
          </cell>
        </row>
        <row r="162">
          <cell r="O162">
            <v>1.1144210713463301</v>
          </cell>
          <cell r="P162">
            <v>1.1161883631840399</v>
          </cell>
          <cell r="Q162">
            <v>1.1149067912357</v>
          </cell>
          <cell r="U162">
            <v>-2.7367681711515401E-3</v>
          </cell>
          <cell r="V162">
            <v>-1.7071265656119401E-3</v>
          </cell>
          <cell r="W162">
            <v>-2.21469268250102E-3</v>
          </cell>
          <cell r="Y162">
            <v>1.1139962285470999</v>
          </cell>
          <cell r="Z162">
            <v>1.11484685685897</v>
          </cell>
          <cell r="AA162">
            <v>1.1137509117156099</v>
          </cell>
          <cell r="AF162">
            <v>-1.6693239793331199E-3</v>
          </cell>
          <cell r="AG162">
            <v>-1.9759892679326999E-3</v>
          </cell>
          <cell r="AR162">
            <v>3.1043962495505159E-2</v>
          </cell>
          <cell r="BC162">
            <v>2.165896884963019E-2</v>
          </cell>
          <cell r="BF162">
            <v>5.2702931345135332E-2</v>
          </cell>
        </row>
        <row r="163">
          <cell r="O163">
            <v>1.1144210713463301</v>
          </cell>
          <cell r="P163">
            <v>1.11659236353177</v>
          </cell>
          <cell r="Q163">
            <v>1.1150138359403301</v>
          </cell>
          <cell r="U163">
            <v>-2.5656444854400299E-3</v>
          </cell>
          <cell r="V163">
            <v>-9.8106210168460105E-4</v>
          </cell>
          <cell r="W163">
            <v>-2.1298899199392002E-3</v>
          </cell>
          <cell r="Y163">
            <v>1.1139962285470999</v>
          </cell>
          <cell r="Z163">
            <v>1.1152473311876201</v>
          </cell>
          <cell r="AA163">
            <v>1.1138119738426699</v>
          </cell>
          <cell r="AF163">
            <v>-9.6193079014146598E-4</v>
          </cell>
          <cell r="AG163">
            <v>-1.94545975813668E-3</v>
          </cell>
          <cell r="AR163">
            <v>3.1043962495505159E-2</v>
          </cell>
          <cell r="BC163">
            <v>2.165896884963019E-2</v>
          </cell>
          <cell r="BF163">
            <v>5.2702931345135332E-2</v>
          </cell>
        </row>
        <row r="164">
          <cell r="O164">
            <v>1.1144210713463301</v>
          </cell>
          <cell r="P164">
            <v>1.11620850515207</v>
          </cell>
          <cell r="Q164">
            <v>1.1149391148586201</v>
          </cell>
          <cell r="U164">
            <v>1.0486806969610199E-3</v>
          </cell>
          <cell r="V164">
            <v>2.9951439831327302E-3</v>
          </cell>
          <cell r="W164">
            <v>1.5804428991491801E-3</v>
          </cell>
          <cell r="Y164">
            <v>1.1139962285470999</v>
          </cell>
          <cell r="Z164">
            <v>1.11486409227019</v>
          </cell>
          <cell r="AA164">
            <v>1.1136933697890901</v>
          </cell>
          <cell r="AF164">
            <v>2.9834218141211E-3</v>
          </cell>
          <cell r="AG164">
            <v>1.6955623658788999E-3</v>
          </cell>
          <cell r="AR164">
            <v>3.1043962495505159E-2</v>
          </cell>
          <cell r="BC164">
            <v>2.165896884963019E-2</v>
          </cell>
          <cell r="BF164">
            <v>5.2702931345135332E-2</v>
          </cell>
        </row>
        <row r="165">
          <cell r="O165">
            <v>1.1144210713463301</v>
          </cell>
          <cell r="P165">
            <v>1.11646710652864</v>
          </cell>
          <cell r="Q165">
            <v>1.1149108835444199</v>
          </cell>
          <cell r="U165">
            <v>-1.9441433969309E-3</v>
          </cell>
          <cell r="V165">
            <v>-3.4151586329743199E-4</v>
          </cell>
          <cell r="W165">
            <v>-1.4793970317412101E-3</v>
          </cell>
          <cell r="Y165">
            <v>1.1139962285470999</v>
          </cell>
          <cell r="Z165">
            <v>1.1151175095660899</v>
          </cell>
          <cell r="AA165">
            <v>1.1136201305956801</v>
          </cell>
          <cell r="AF165">
            <v>-3.3383906187321998E-4</v>
          </cell>
          <cell r="AG165">
            <v>-1.38449412348194E-3</v>
          </cell>
          <cell r="AR165">
            <v>3.1043962495505159E-2</v>
          </cell>
          <cell r="BC165">
            <v>2.165896884963019E-2</v>
          </cell>
          <cell r="BF165">
            <v>5.2702931345135332E-2</v>
          </cell>
        </row>
        <row r="166">
          <cell r="O166">
            <v>1.1144210713463301</v>
          </cell>
          <cell r="P166">
            <v>1.1163230041671801</v>
          </cell>
          <cell r="Q166">
            <v>1.1150777012812101</v>
          </cell>
          <cell r="U166">
            <v>-5.8149971525639802E-4</v>
          </cell>
          <cell r="V166">
            <v>1.2527793636086799E-3</v>
          </cell>
          <cell r="W166">
            <v>-1.4207461761778901E-4</v>
          </cell>
          <cell r="Y166">
            <v>1.1139962285470999</v>
          </cell>
          <cell r="Z166">
            <v>1.1149693958739999</v>
          </cell>
          <cell r="AA166">
            <v>1.11373963523886</v>
          </cell>
          <cell r="AF166">
            <v>1.26421568495955E-3</v>
          </cell>
          <cell r="AG166">
            <v>-7.9485941228025697E-5</v>
          </cell>
          <cell r="AR166">
            <v>3.1043962495505159E-2</v>
          </cell>
          <cell r="BC166">
            <v>2.165896884963019E-2</v>
          </cell>
          <cell r="BF166">
            <v>5.2702931345135332E-2</v>
          </cell>
        </row>
        <row r="167">
          <cell r="O167">
            <v>1.1144210713463301</v>
          </cell>
          <cell r="P167">
            <v>1.1158735716225401</v>
          </cell>
          <cell r="Q167">
            <v>1.11506150752183</v>
          </cell>
          <cell r="U167">
            <v>3.7492339052236698E-4</v>
          </cell>
          <cell r="V167">
            <v>2.0801241821203501E-3</v>
          </cell>
          <cell r="W167">
            <v>9.6396157428912499E-4</v>
          </cell>
          <cell r="Y167">
            <v>1.1139962285470999</v>
          </cell>
          <cell r="Z167">
            <v>1.1145183608729201</v>
          </cell>
          <cell r="AA167">
            <v>1.1137228623812701</v>
          </cell>
          <cell r="AF167">
            <v>2.0836649374242899E-3</v>
          </cell>
          <cell r="AG167">
            <v>9.8010162540751195E-4</v>
          </cell>
          <cell r="AR167">
            <v>3.1043962495505159E-2</v>
          </cell>
          <cell r="BC167">
            <v>2.165896884963019E-2</v>
          </cell>
          <cell r="BF167">
            <v>5.2702931345135332E-2</v>
          </cell>
        </row>
        <row r="168">
          <cell r="O168">
            <v>1.1144210713463301</v>
          </cell>
          <cell r="P168">
            <v>1.1157458856446001</v>
          </cell>
          <cell r="Q168">
            <v>1.1151415374604801</v>
          </cell>
          <cell r="U168">
            <v>9.854307766724189E-4</v>
          </cell>
          <cell r="V168">
            <v>2.28794969375197E-3</v>
          </cell>
          <cell r="W168">
            <v>1.55994631600831E-3</v>
          </cell>
          <cell r="Y168">
            <v>1.1139962285470999</v>
          </cell>
          <cell r="Z168">
            <v>1.1143503190442801</v>
          </cell>
          <cell r="AA168">
            <v>1.1137809104098499</v>
          </cell>
          <cell r="AF168">
            <v>2.6318243349959698E-3</v>
          </cell>
          <cell r="AG168">
            <v>1.9178096070155901E-3</v>
          </cell>
          <cell r="AR168">
            <v>3.1043962495505159E-2</v>
          </cell>
          <cell r="BC168">
            <v>2.165896884963019E-2</v>
          </cell>
          <cell r="BF168">
            <v>5.2702931345135332E-2</v>
          </cell>
        </row>
        <row r="169">
          <cell r="O169">
            <v>1.1144210713463301</v>
          </cell>
          <cell r="P169">
            <v>1.1154325146644599</v>
          </cell>
          <cell r="Q169">
            <v>1.1151914911749301</v>
          </cell>
          <cell r="U169">
            <v>7.26546301757664E-4</v>
          </cell>
          <cell r="V169">
            <v>1.91463174975502E-3</v>
          </cell>
          <cell r="W169">
            <v>1.3728310361571399E-3</v>
          </cell>
          <cell r="Y169">
            <v>1.1139962285470999</v>
          </cell>
          <cell r="Z169">
            <v>1.1139996942733399</v>
          </cell>
          <cell r="AA169">
            <v>1.1138100448419801</v>
          </cell>
          <cell r="AF169">
            <v>2.2189762589011701E-3</v>
          </cell>
          <cell r="AG169">
            <v>1.7078675420582E-3</v>
          </cell>
          <cell r="AR169">
            <v>3.1043962495505159E-2</v>
          </cell>
          <cell r="BC169">
            <v>2.165896884963019E-2</v>
          </cell>
          <cell r="BF169">
            <v>5.2702931345135332E-2</v>
          </cell>
        </row>
        <row r="170">
          <cell r="O170">
            <v>1.1144210713463301</v>
          </cell>
          <cell r="P170">
            <v>1.1150900830227699</v>
          </cell>
          <cell r="Q170">
            <v>1.11516594067372</v>
          </cell>
          <cell r="U170">
            <v>1.3459583897905501E-3</v>
          </cell>
          <cell r="V170">
            <v>2.2531420666380099E-3</v>
          </cell>
          <cell r="W170">
            <v>2.0370379721486001E-3</v>
          </cell>
          <cell r="Y170">
            <v>1.1139962285470999</v>
          </cell>
          <cell r="Z170">
            <v>1.1136225035588001</v>
          </cell>
          <cell r="AA170">
            <v>1.1137662802286299</v>
          </cell>
          <cell r="AF170">
            <v>2.5009323544087901E-3</v>
          </cell>
          <cell r="AG170">
            <v>2.3306759555034701E-3</v>
          </cell>
          <cell r="AR170">
            <v>3.1043962495505159E-2</v>
          </cell>
          <cell r="BC170">
            <v>2.165896884963019E-2</v>
          </cell>
          <cell r="BF170">
            <v>5.2702931345135332E-2</v>
          </cell>
        </row>
        <row r="171">
          <cell r="O171">
            <v>1.1144210713463301</v>
          </cell>
          <cell r="P171">
            <v>1.1148441899871899</v>
          </cell>
          <cell r="Q171">
            <v>1.1152066532854099</v>
          </cell>
          <cell r="U171">
            <v>-4.38767658416457E-4</v>
          </cell>
          <cell r="V171">
            <v>1.61374390845239E-4</v>
          </cell>
          <cell r="W171">
            <v>2.29400348557013E-4</v>
          </cell>
          <cell r="Y171">
            <v>1.1139962285470999</v>
          </cell>
          <cell r="Z171">
            <v>1.11334134769983</v>
          </cell>
          <cell r="AA171">
            <v>1.11378781964771</v>
          </cell>
          <cell r="AF171">
            <v>3.8599405093579E-4</v>
          </cell>
          <cell r="AG171">
            <v>5.15092905232453E-4</v>
          </cell>
          <cell r="AR171">
            <v>3.1043962495505159E-2</v>
          </cell>
          <cell r="BC171">
            <v>2.165896884963019E-2</v>
          </cell>
          <cell r="BF171">
            <v>5.2702931345135332E-2</v>
          </cell>
        </row>
        <row r="172">
          <cell r="O172">
            <v>1.1144210713463301</v>
          </cell>
          <cell r="P172">
            <v>1.11458231686104</v>
          </cell>
          <cell r="Q172">
            <v>1.11538534002254</v>
          </cell>
          <cell r="U172">
            <v>-3.9058226013829198E-4</v>
          </cell>
          <cell r="V172">
            <v>-1.09785823853674E-5</v>
          </cell>
          <cell r="W172">
            <v>3.1409320017069902E-4</v>
          </cell>
          <cell r="Y172">
            <v>1.1139962285470999</v>
          </cell>
          <cell r="Z172">
            <v>1.1130476438291399</v>
          </cell>
          <cell r="AA172">
            <v>1.1139472503440599</v>
          </cell>
          <cell r="AF172">
            <v>1.63955468497787E-4</v>
          </cell>
          <cell r="AG172">
            <v>5.6489490246202398E-4</v>
          </cell>
          <cell r="AR172">
            <v>3.1043962495505159E-2</v>
          </cell>
          <cell r="BC172">
            <v>2.165896884963019E-2</v>
          </cell>
          <cell r="BF172">
            <v>5.2702931345135332E-2</v>
          </cell>
        </row>
        <row r="173">
          <cell r="O173">
            <v>1.1144210713463301</v>
          </cell>
          <cell r="P173">
            <v>1.11463569777145</v>
          </cell>
          <cell r="Q173">
            <v>1.11561403065161</v>
          </cell>
          <cell r="U173">
            <v>-3.04330428213961E-3</v>
          </cell>
          <cell r="V173">
            <v>-2.8986248116258701E-3</v>
          </cell>
          <cell r="W173">
            <v>-2.1784141899775498E-3</v>
          </cell>
          <cell r="Y173">
            <v>1.1139962285470999</v>
          </cell>
          <cell r="Z173">
            <v>1.11306342610258</v>
          </cell>
          <cell r="AA173">
            <v>1.1141553786450999</v>
          </cell>
          <cell r="AF173">
            <v>-2.7185184954863599E-3</v>
          </cell>
          <cell r="AG173">
            <v>-1.9106077398745201E-3</v>
          </cell>
          <cell r="AR173">
            <v>3.1043962495505159E-2</v>
          </cell>
          <cell r="BC173">
            <v>2.165896884963019E-2</v>
          </cell>
          <cell r="BF173">
            <v>5.2702931345135332E-2</v>
          </cell>
        </row>
        <row r="174">
          <cell r="O174">
            <v>1.1144210713463301</v>
          </cell>
          <cell r="P174">
            <v>1.1150381863293299</v>
          </cell>
          <cell r="Q174">
            <v>1.1156233457407001</v>
          </cell>
          <cell r="U174">
            <v>-2.5602268772381902E-3</v>
          </cell>
          <cell r="V174">
            <v>-2.3676553566214899E-3</v>
          </cell>
          <cell r="W174">
            <v>-1.4903249568524E-3</v>
          </cell>
          <cell r="Y174">
            <v>1.1139962285470999</v>
          </cell>
          <cell r="Z174">
            <v>1.1134228933391399</v>
          </cell>
          <cell r="AA174">
            <v>1.1141434928046701</v>
          </cell>
          <cell r="AF174">
            <v>-2.2043454952566399E-3</v>
          </cell>
          <cell r="AG174">
            <v>-1.2237928637097099E-3</v>
          </cell>
          <cell r="AR174">
            <v>3.1043962495505159E-2</v>
          </cell>
          <cell r="BC174">
            <v>2.165896884963019E-2</v>
          </cell>
          <cell r="BF174">
            <v>5.2702931345135332E-2</v>
          </cell>
        </row>
        <row r="175">
          <cell r="O175">
            <v>1.1144210713463301</v>
          </cell>
          <cell r="P175">
            <v>1.1145920682433099</v>
          </cell>
          <cell r="Q175">
            <v>1.1155295873859701</v>
          </cell>
          <cell r="U175">
            <v>2.0592218443631401E-3</v>
          </cell>
          <cell r="V175">
            <v>2.6128224510010298E-3</v>
          </cell>
          <cell r="W175">
            <v>3.13747347167923E-3</v>
          </cell>
          <cell r="Y175">
            <v>1.1139962285470999</v>
          </cell>
          <cell r="Z175">
            <v>1.1129427524396001</v>
          </cell>
          <cell r="AA175">
            <v>1.11403013100284</v>
          </cell>
          <cell r="AF175">
            <v>2.6871902652111702E-3</v>
          </cell>
          <cell r="AG175">
            <v>3.33417389285525E-3</v>
          </cell>
          <cell r="AR175">
            <v>3.1043962495505159E-2</v>
          </cell>
          <cell r="BC175">
            <v>2.165896884963019E-2</v>
          </cell>
          <cell r="BF175">
            <v>5.2702931345135332E-2</v>
          </cell>
        </row>
        <row r="176">
          <cell r="O176">
            <v>1.1144210713463301</v>
          </cell>
          <cell r="P176">
            <v>1.1143850201796099</v>
          </cell>
          <cell r="Q176">
            <v>1.1153540121734</v>
          </cell>
          <cell r="U176">
            <v>1.27704421675285E-3</v>
          </cell>
          <cell r="V176">
            <v>1.4304725606931301E-3</v>
          </cell>
          <cell r="W176">
            <v>2.2712510855131501E-3</v>
          </cell>
          <cell r="Y176">
            <v>1.1139962285470999</v>
          </cell>
          <cell r="Z176">
            <v>1.11269915754529</v>
          </cell>
          <cell r="AA176">
            <v>1.1138342767096501</v>
          </cell>
          <cell r="AF176">
            <v>1.5016984392596201E-3</v>
          </cell>
          <cell r="AG176">
            <v>2.47825155110914E-3</v>
          </cell>
          <cell r="AR176">
            <v>3.1043962495505159E-2</v>
          </cell>
          <cell r="BC176">
            <v>2.2441146477240492E-2</v>
          </cell>
          <cell r="BF176">
            <v>5.3485108972745631E-2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AACE-9DCA-487A-8ECB-F12A09AEFFF3}">
  <dimension ref="A1:DZ179"/>
  <sheetViews>
    <sheetView tabSelected="1" topLeftCell="AH1" workbookViewId="0">
      <selection activeCell="CI43" sqref="CI4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7.710937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1.8710899704725388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1.9553735428359187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27.33</v>
      </c>
      <c r="C2" s="33">
        <v>29.4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27.33</v>
      </c>
      <c r="M2" s="33">
        <v>29.4</v>
      </c>
      <c r="N2" s="34">
        <v>1.07574094401756</v>
      </c>
      <c r="O2" s="34">
        <v>1.0748269802361801</v>
      </c>
      <c r="X2" s="34">
        <v>1.07574094401756</v>
      </c>
      <c r="Y2" s="34">
        <v>1.0748179428614399</v>
      </c>
      <c r="AI2" s="4">
        <v>0</v>
      </c>
      <c r="AJ2" s="10">
        <f t="dataTable" ref="AJ2:AQ9" dt2D="1" dtr="1" r1="AI21" r2="AI22"/>
        <v>1.0682606313782144</v>
      </c>
      <c r="AK2" s="10">
        <v>1.4590864507434147</v>
      </c>
      <c r="AL2" s="10">
        <v>1.9869847671093099</v>
      </c>
      <c r="AM2" s="10">
        <v>1.8710899704725388</v>
      </c>
      <c r="AN2" s="10">
        <v>1.6627244289651302</v>
      </c>
      <c r="AO2" s="10" t="e">
        <v>#DIV/0!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1.4046262812247723</v>
      </c>
      <c r="AV2" s="11">
        <v>0.96158357410502415</v>
      </c>
      <c r="AW2" s="11">
        <v>1.2001106364119671</v>
      </c>
      <c r="AX2" s="11">
        <v>0.30153649728312343</v>
      </c>
      <c r="AY2" s="11">
        <v>0.72798255304199899</v>
      </c>
      <c r="AZ2" s="11" t="e">
        <v>#DIV/0!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27.41</v>
      </c>
      <c r="C3" s="33">
        <v>29.48</v>
      </c>
      <c r="D3" s="15">
        <v>2.9229103747177702E-3</v>
      </c>
      <c r="E3" s="15">
        <v>2.71739297649988E-3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27.41</v>
      </c>
      <c r="M3" s="33">
        <v>29.48</v>
      </c>
      <c r="N3" s="34">
        <v>1.0755198832542801</v>
      </c>
      <c r="O3" s="34">
        <v>1.0748269802361801</v>
      </c>
      <c r="R3" s="33">
        <v>29.4610075282738</v>
      </c>
      <c r="U3" s="15">
        <v>-6.4445699793408602E-4</v>
      </c>
      <c r="X3" s="34">
        <v>1.0755198832542801</v>
      </c>
      <c r="Y3" s="34">
        <v>1.0748179428614399</v>
      </c>
      <c r="AB3" s="33">
        <v>29.460759813831999</v>
      </c>
      <c r="AE3" s="15">
        <v>-6.5286524680324004E-4</v>
      </c>
      <c r="AI3" s="4">
        <f t="shared" ref="AI3:AI9" si="2">AI2-AK$12</f>
        <v>-5.0000000000000001E-4</v>
      </c>
      <c r="AJ3" s="10">
        <v>1.0682606313782144</v>
      </c>
      <c r="AK3" s="10">
        <v>0.79821229139995897</v>
      </c>
      <c r="AL3" s="10">
        <v>1.437645108257481</v>
      </c>
      <c r="AM3" s="10">
        <v>1.3822314479823177</v>
      </c>
      <c r="AN3" s="10">
        <v>1.379495286983927</v>
      </c>
      <c r="AO3" s="11" t="e">
        <v>#DIV/0!</v>
      </c>
      <c r="AP3" s="10" t="e">
        <v>#DIV/0!</v>
      </c>
      <c r="AQ3" s="10" t="e">
        <v>#DIV/0!</v>
      </c>
      <c r="AR3"/>
      <c r="AT3" s="4">
        <f>AT2+AV$12</f>
        <v>5.0000000000000001E-4</v>
      </c>
      <c r="AU3" s="10">
        <v>1.4046262812247723</v>
      </c>
      <c r="AV3" s="11">
        <v>1.1503190439827593</v>
      </c>
      <c r="AW3" s="11">
        <v>2.6108416971697235</v>
      </c>
      <c r="AX3" s="11">
        <v>1.3708564226441202</v>
      </c>
      <c r="AY3" s="11">
        <v>1.9553735428359187</v>
      </c>
      <c r="AZ3" s="11" t="e">
        <v>#DIV/0!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27.45</v>
      </c>
      <c r="C4" s="33">
        <v>29.53</v>
      </c>
      <c r="D4" s="15">
        <v>1.45825764084527E-3</v>
      </c>
      <c r="E4" s="15">
        <v>1.69462843469557E-3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27.45</v>
      </c>
      <c r="M4" s="33">
        <v>29.53</v>
      </c>
      <c r="N4" s="34">
        <v>1.0757741347905201</v>
      </c>
      <c r="O4" s="34">
        <v>1.0748269802361801</v>
      </c>
      <c r="R4" s="33">
        <v>29.504000607483299</v>
      </c>
      <c r="U4" s="15">
        <v>-8.8082779178446995E-4</v>
      </c>
      <c r="X4" s="34">
        <v>1.0757741347905201</v>
      </c>
      <c r="Y4" s="34">
        <v>1.0748179428614399</v>
      </c>
      <c r="AB4" s="33">
        <v>29.5037525315465</v>
      </c>
      <c r="AE4" s="15">
        <v>-8.8923604065351404E-4</v>
      </c>
      <c r="AG4"/>
      <c r="AI4" s="4">
        <f t="shared" si="2"/>
        <v>-1E-3</v>
      </c>
      <c r="AJ4" s="10">
        <v>1.0682606313782144</v>
      </c>
      <c r="AK4" s="11">
        <v>0.79821229139995897</v>
      </c>
      <c r="AL4" s="11">
        <v>2.348141050711726</v>
      </c>
      <c r="AM4" s="11">
        <v>2.3729699150124381</v>
      </c>
      <c r="AN4" s="10">
        <v>1.6032060056604118</v>
      </c>
      <c r="AO4" s="11" t="e">
        <v>#DIV/0!</v>
      </c>
      <c r="AP4" s="11" t="e">
        <v>#DIV/0!</v>
      </c>
      <c r="AQ4" s="11" t="e">
        <v>#DIV/0!</v>
      </c>
      <c r="AR4"/>
      <c r="AT4" s="4">
        <f t="shared" ref="AT4:AT9" si="3">AT3+AV$12</f>
        <v>1E-3</v>
      </c>
      <c r="AU4" s="10">
        <v>1.4046262812247723</v>
      </c>
      <c r="AV4" s="11">
        <v>1.1503190439827593</v>
      </c>
      <c r="AW4" s="11">
        <v>3.9772691495222525</v>
      </c>
      <c r="AX4" s="11">
        <v>2.5580084149149149</v>
      </c>
      <c r="AY4" s="11">
        <v>1.9553735428359187</v>
      </c>
      <c r="AZ4" s="11" t="e">
        <v>#DIV/0!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27.46</v>
      </c>
      <c r="C5" s="33">
        <v>29.52</v>
      </c>
      <c r="D5" s="15">
        <v>3.6423238428547099E-4</v>
      </c>
      <c r="E5" s="15">
        <v>-3.3869602355962299E-4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27.46</v>
      </c>
      <c r="M5" s="33">
        <v>29.52</v>
      </c>
      <c r="N5" s="34">
        <v>1.07501820830298</v>
      </c>
      <c r="O5" s="34">
        <v>1.0748269802361801</v>
      </c>
      <c r="R5" s="33">
        <v>29.514748877285701</v>
      </c>
      <c r="U5" s="15">
        <v>-1.7789938393926699E-4</v>
      </c>
      <c r="X5" s="34">
        <v>1.07501820830298</v>
      </c>
      <c r="Y5" s="34">
        <v>1.0748179428614399</v>
      </c>
      <c r="AB5" s="33">
        <v>29.514500710975099</v>
      </c>
      <c r="AE5" s="15">
        <v>-1.8630763280853699E-4</v>
      </c>
      <c r="AG5" s="29"/>
      <c r="AI5" s="4">
        <f t="shared" si="2"/>
        <v>-1.5E-3</v>
      </c>
      <c r="AJ5" s="10">
        <v>1.0682606313782144</v>
      </c>
      <c r="AK5" s="11">
        <v>0.79821229139995897</v>
      </c>
      <c r="AL5" s="11">
        <v>2.348141050711726</v>
      </c>
      <c r="AM5" s="11">
        <v>2.7735634829790583</v>
      </c>
      <c r="AN5" s="11">
        <v>2.2615547608973698</v>
      </c>
      <c r="AO5" s="11" t="e">
        <v>#DIV/0!</v>
      </c>
      <c r="AP5" s="10" t="e">
        <v>#DIV/0!</v>
      </c>
      <c r="AQ5" s="11" t="e">
        <v>#DIV/0!</v>
      </c>
      <c r="AR5"/>
      <c r="AT5" s="4">
        <f t="shared" si="3"/>
        <v>1.5E-3</v>
      </c>
      <c r="AU5" s="10">
        <v>1.4046262812247723</v>
      </c>
      <c r="AV5" s="11">
        <v>1.1503190439827593</v>
      </c>
      <c r="AW5" s="11">
        <v>3.9772691495222525</v>
      </c>
      <c r="AX5" s="11">
        <v>2.7128305111936282</v>
      </c>
      <c r="AY5" s="11">
        <v>1.677049959867579</v>
      </c>
      <c r="AZ5" s="11" t="e">
        <v>#DIV/0!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27.49</v>
      </c>
      <c r="C6" s="33">
        <v>29.55</v>
      </c>
      <c r="D6" s="15">
        <v>1.09190183732921E-3</v>
      </c>
      <c r="E6" s="15">
        <v>1.0157441198354201E-3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27.49</v>
      </c>
      <c r="M6" s="33">
        <v>29.55</v>
      </c>
      <c r="N6" s="34">
        <v>1.0749363404874499</v>
      </c>
      <c r="O6" s="34">
        <v>1.0748269802361801</v>
      </c>
      <c r="R6" s="33">
        <v>29.546993686692701</v>
      </c>
      <c r="U6" s="15">
        <v>-1.0174166644552E-4</v>
      </c>
      <c r="X6" s="34">
        <v>1.0749363404874499</v>
      </c>
      <c r="Y6" s="34">
        <v>1.0748179428614399</v>
      </c>
      <c r="AB6" s="33">
        <v>29.546745249261001</v>
      </c>
      <c r="AE6" s="15">
        <v>-1.1014991531470199E-4</v>
      </c>
      <c r="AG6" s="29"/>
      <c r="AI6" s="4">
        <f t="shared" si="2"/>
        <v>-2E-3</v>
      </c>
      <c r="AJ6" s="10">
        <v>1.0682606313782144</v>
      </c>
      <c r="AK6" s="11">
        <v>0.79821229139995897</v>
      </c>
      <c r="AL6" s="11">
        <v>2.348141050711726</v>
      </c>
      <c r="AM6" s="11">
        <v>2.7735634829790583</v>
      </c>
      <c r="AN6" s="11">
        <v>1.5856551722506682</v>
      </c>
      <c r="AO6" s="11" t="e">
        <v>#DIV/0!</v>
      </c>
      <c r="AP6" s="11" t="e">
        <v>#DIV/0!</v>
      </c>
      <c r="AQ6" s="11" t="e">
        <v>#DIV/0!</v>
      </c>
      <c r="AR6"/>
      <c r="AT6" s="4">
        <f t="shared" si="3"/>
        <v>2E-3</v>
      </c>
      <c r="AU6" s="10">
        <v>1.4046262812247723</v>
      </c>
      <c r="AV6" s="11">
        <v>1.1503190439827593</v>
      </c>
      <c r="AW6" s="11">
        <v>3.9772691495222525</v>
      </c>
      <c r="AX6" s="11">
        <v>2.7128305111936282</v>
      </c>
      <c r="AY6" s="11">
        <v>1.677049959867579</v>
      </c>
      <c r="AZ6" s="11" t="e">
        <v>#DIV/0!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27.52</v>
      </c>
      <c r="C7" s="33">
        <v>29.57</v>
      </c>
      <c r="D7" s="15">
        <v>1.0907108879885301E-3</v>
      </c>
      <c r="E7" s="15">
        <v>6.7659001227854301E-4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27.52</v>
      </c>
      <c r="M7" s="33">
        <v>29.57</v>
      </c>
      <c r="N7" s="34">
        <v>1.0744912790697601</v>
      </c>
      <c r="O7" s="34">
        <v>1.0748269802361801</v>
      </c>
      <c r="R7" s="33">
        <v>29.579238496099801</v>
      </c>
      <c r="U7" s="15">
        <v>3.12379209264459E-4</v>
      </c>
      <c r="X7" s="34">
        <v>1.0744912790697601</v>
      </c>
      <c r="Y7" s="34">
        <v>1.0748179428614399</v>
      </c>
      <c r="AB7" s="33">
        <v>29.578989787546799</v>
      </c>
      <c r="AE7" s="15">
        <v>3.0397096039518599E-4</v>
      </c>
      <c r="AG7"/>
      <c r="AI7" s="4">
        <f t="shared" si="2"/>
        <v>-2.5000000000000001E-3</v>
      </c>
      <c r="AJ7" s="10">
        <v>1.0682606313782144</v>
      </c>
      <c r="AK7" s="11">
        <v>0.79821229139995897</v>
      </c>
      <c r="AL7" s="11">
        <v>2.348141050711726</v>
      </c>
      <c r="AM7" s="11">
        <v>2.7735634829790583</v>
      </c>
      <c r="AN7" s="11">
        <v>1.5856551722506682</v>
      </c>
      <c r="AO7" s="11" t="e">
        <v>#DIV/0!</v>
      </c>
      <c r="AP7" s="11" t="e">
        <v>#DIV/0!</v>
      </c>
      <c r="AQ7" s="11" t="e">
        <v>#DIV/0!</v>
      </c>
      <c r="AR7"/>
      <c r="AT7" s="4">
        <f t="shared" si="3"/>
        <v>2.5000000000000001E-3</v>
      </c>
      <c r="AU7" s="10">
        <v>1.4046262812247723</v>
      </c>
      <c r="AV7" s="11">
        <v>1.1503190439827593</v>
      </c>
      <c r="AW7" s="11">
        <v>3.9772691495222525</v>
      </c>
      <c r="AX7" s="11">
        <v>2.7128305111936282</v>
      </c>
      <c r="AY7" s="11">
        <v>1.677049959867579</v>
      </c>
      <c r="AZ7" s="11" t="e">
        <v>#DIV/0!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27.54</v>
      </c>
      <c r="C8" s="33">
        <v>29.55</v>
      </c>
      <c r="D8" s="15">
        <v>7.2648023536593198E-4</v>
      </c>
      <c r="E8" s="15">
        <v>-6.7659001227861901E-4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27.54</v>
      </c>
      <c r="M8" s="33">
        <v>29.55</v>
      </c>
      <c r="N8" s="34">
        <v>1.07298474945533</v>
      </c>
      <c r="O8" s="34">
        <v>1.0748269802361801</v>
      </c>
      <c r="R8" s="33">
        <v>29.600735035704599</v>
      </c>
      <c r="U8" s="15">
        <v>1.7154494569088701E-3</v>
      </c>
      <c r="X8" s="34">
        <v>1.07298474945533</v>
      </c>
      <c r="Y8" s="34">
        <v>1.0748179428614399</v>
      </c>
      <c r="AB8" s="33">
        <v>29.600486146403998</v>
      </c>
      <c r="AE8" s="15">
        <v>1.70704120803966E-3</v>
      </c>
      <c r="AG8"/>
      <c r="AI8" s="4">
        <f t="shared" si="2"/>
        <v>-3.0000000000000001E-3</v>
      </c>
      <c r="AJ8" s="10">
        <v>1.0682606313782144</v>
      </c>
      <c r="AK8" s="11">
        <v>0.79821229139995897</v>
      </c>
      <c r="AL8" s="11">
        <v>2.348141050711726</v>
      </c>
      <c r="AM8" s="11">
        <v>2.7735634829790583</v>
      </c>
      <c r="AN8" s="11">
        <v>1.5856551722506682</v>
      </c>
      <c r="AO8" s="11" t="e">
        <v>#DIV/0!</v>
      </c>
      <c r="AP8" s="11" t="e">
        <v>#DIV/0!</v>
      </c>
      <c r="AQ8" s="11" t="e">
        <v>#DIV/0!</v>
      </c>
      <c r="AR8"/>
      <c r="AT8" s="4">
        <f t="shared" si="3"/>
        <v>3.0000000000000001E-3</v>
      </c>
      <c r="AU8" s="10">
        <v>1.4046262812247723</v>
      </c>
      <c r="AV8" s="11">
        <v>1.1503190439827593</v>
      </c>
      <c r="AW8" s="11">
        <v>3.9772691495222525</v>
      </c>
      <c r="AX8" s="11">
        <v>2.7128305111936282</v>
      </c>
      <c r="AY8" s="11">
        <v>1.677049959867579</v>
      </c>
      <c r="AZ8" s="11" t="e">
        <v>#DIV/0!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27.51</v>
      </c>
      <c r="C9" s="33">
        <v>29.56</v>
      </c>
      <c r="D9" s="15">
        <v>-1.0899183640255699E-3</v>
      </c>
      <c r="E9" s="15">
        <v>3.38352227893769E-4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27.51</v>
      </c>
      <c r="M9" s="33">
        <v>29.56</v>
      </c>
      <c r="N9" s="34">
        <v>1.0745183569611001</v>
      </c>
      <c r="O9" s="34">
        <v>1.0748269802361801</v>
      </c>
      <c r="R9" s="33">
        <v>29.568490226297499</v>
      </c>
      <c r="U9" s="15">
        <v>2.8717886498954599E-4</v>
      </c>
      <c r="X9" s="34">
        <v>1.0745183569611001</v>
      </c>
      <c r="Y9" s="34">
        <v>1.0748179428614399</v>
      </c>
      <c r="AB9" s="33">
        <v>29.5682416081182</v>
      </c>
      <c r="AE9" s="15">
        <v>2.7877061612043398E-4</v>
      </c>
      <c r="AF9"/>
      <c r="AI9" s="4">
        <f t="shared" si="2"/>
        <v>-3.5000000000000001E-3</v>
      </c>
      <c r="AJ9" s="10">
        <v>1.0682606313782144</v>
      </c>
      <c r="AK9" s="11">
        <v>0.79821229139995897</v>
      </c>
      <c r="AL9" s="11">
        <v>2.348141050711726</v>
      </c>
      <c r="AM9" s="11">
        <v>2.7735634829790583</v>
      </c>
      <c r="AN9" s="11">
        <v>1.5856551722506682</v>
      </c>
      <c r="AO9" s="11" t="e">
        <v>#DIV/0!</v>
      </c>
      <c r="AP9" s="11" t="e">
        <v>#DIV/0!</v>
      </c>
      <c r="AQ9" s="11" t="e">
        <v>#DIV/0!</v>
      </c>
      <c r="AR9"/>
      <c r="AT9" s="4">
        <f t="shared" si="3"/>
        <v>3.5000000000000001E-3</v>
      </c>
      <c r="AU9" s="10">
        <v>1.4046262812247723</v>
      </c>
      <c r="AV9" s="10">
        <v>1.1503190439827593</v>
      </c>
      <c r="AW9" s="10">
        <v>3.9772691495222525</v>
      </c>
      <c r="AX9" s="10">
        <v>2.7128305111936282</v>
      </c>
      <c r="AY9" s="10">
        <v>1.677049959867579</v>
      </c>
      <c r="AZ9" s="10" t="e">
        <v>#DIV/0!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27.54</v>
      </c>
      <c r="C10" s="33">
        <v>29.58</v>
      </c>
      <c r="D10" s="15">
        <v>1.0899183640256001E-3</v>
      </c>
      <c r="E10" s="15">
        <v>6.7636120265276002E-4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27.54</v>
      </c>
      <c r="M10" s="33">
        <v>29.58</v>
      </c>
      <c r="N10" s="34">
        <v>1.07407407407407</v>
      </c>
      <c r="O10" s="34">
        <v>1.0748269802361801</v>
      </c>
      <c r="R10" s="33">
        <v>29.600735035704599</v>
      </c>
      <c r="U10" s="15">
        <v>7.0073602636239803E-4</v>
      </c>
      <c r="X10" s="34">
        <v>1.07407407407407</v>
      </c>
      <c r="Y10" s="34">
        <v>1.0748179428614399</v>
      </c>
      <c r="AB10" s="33">
        <v>29.600486146403998</v>
      </c>
      <c r="AE10" s="15">
        <v>6.9232777749318503E-4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27.53</v>
      </c>
      <c r="C11" s="33">
        <v>29.57</v>
      </c>
      <c r="D11" s="15">
        <v>-3.6317414599278998E-4</v>
      </c>
      <c r="E11" s="15">
        <v>-3.3812341826782799E-4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27.53</v>
      </c>
      <c r="M11" s="33">
        <v>29.57</v>
      </c>
      <c r="N11" s="34">
        <v>1.07410098074827</v>
      </c>
      <c r="O11" s="34">
        <v>1.0748269802361801</v>
      </c>
      <c r="P11" s="34">
        <v>1.07471589511613</v>
      </c>
      <c r="R11" s="33">
        <v>29.5899867659022</v>
      </c>
      <c r="U11" s="15">
        <v>6.7568529863738596E-4</v>
      </c>
      <c r="X11" s="34">
        <v>1.07410098074827</v>
      </c>
      <c r="Y11" s="34">
        <v>1.0748179428614399</v>
      </c>
      <c r="Z11" s="34">
        <v>1.07471589511613</v>
      </c>
      <c r="AB11" s="33">
        <v>29.589737966975399</v>
      </c>
      <c r="AE11" s="15">
        <v>6.6727704976847003E-4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27.53</v>
      </c>
      <c r="C12" s="33">
        <v>29.58</v>
      </c>
      <c r="D12" s="15">
        <v>0</v>
      </c>
      <c r="E12" s="15">
        <v>3.3812341826782198E-4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27.53</v>
      </c>
      <c r="M12" s="33">
        <v>29.58</v>
      </c>
      <c r="N12" s="34">
        <v>1.0744642208499799</v>
      </c>
      <c r="O12" s="34">
        <v>1.0748269802361801</v>
      </c>
      <c r="P12" s="34">
        <v>1.0745882227993699</v>
      </c>
      <c r="R12" s="33">
        <v>29.5899867659022</v>
      </c>
      <c r="S12" s="33">
        <v>29.586928592547199</v>
      </c>
      <c r="U12" s="15">
        <v>3.3756188036958903E-4</v>
      </c>
      <c r="V12" s="15">
        <v>2.34204909524595E-4</v>
      </c>
      <c r="X12" s="34">
        <v>1.0744642208499799</v>
      </c>
      <c r="Y12" s="34">
        <v>1.0748179428614399</v>
      </c>
      <c r="Z12" s="34">
        <v>1.0745882227993699</v>
      </c>
      <c r="AB12" s="33">
        <v>29.589737966975399</v>
      </c>
      <c r="AC12" s="33">
        <v>29.586928592547199</v>
      </c>
      <c r="AE12" s="15">
        <v>3.2915363150050998E-4</v>
      </c>
      <c r="AF12" s="15">
        <v>2.34204909524595E-4</v>
      </c>
      <c r="AK12" s="17">
        <v>5.0000000000000001E-4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27.45</v>
      </c>
      <c r="C13" s="33">
        <v>29.49</v>
      </c>
      <c r="D13" s="15">
        <v>-2.9101511989764002E-3</v>
      </c>
      <c r="E13" s="15">
        <v>-3.0472344554688499E-3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27.45</v>
      </c>
      <c r="M13" s="33">
        <v>29.49</v>
      </c>
      <c r="N13" s="34">
        <v>1.07431693989071</v>
      </c>
      <c r="O13" s="34">
        <v>1.0748269802361801</v>
      </c>
      <c r="P13" s="34">
        <v>1.0744679284630201</v>
      </c>
      <c r="R13" s="33">
        <v>29.504000607483299</v>
      </c>
      <c r="S13" s="33">
        <v>29.497446715842901</v>
      </c>
      <c r="U13" s="15">
        <v>4.7464513686215301E-4</v>
      </c>
      <c r="V13" s="15">
        <v>2.52484767425096E-4</v>
      </c>
      <c r="X13" s="34">
        <v>1.07431693989071</v>
      </c>
      <c r="Y13" s="34">
        <v>1.0748179428614399</v>
      </c>
      <c r="Z13" s="34">
        <v>1.0744679284630201</v>
      </c>
      <c r="AB13" s="33">
        <v>29.5037525315465</v>
      </c>
      <c r="AC13" s="33">
        <v>29.497446715842901</v>
      </c>
      <c r="AE13" s="15">
        <v>4.6623688799292499E-4</v>
      </c>
      <c r="AF13" s="15">
        <v>2.52484767425096E-4</v>
      </c>
    </row>
    <row r="14" spans="1:130" x14ac:dyDescent="0.25">
      <c r="A14" s="1">
        <v>46043</v>
      </c>
      <c r="B14" s="33">
        <v>27.57</v>
      </c>
      <c r="C14" s="33">
        <v>29.61</v>
      </c>
      <c r="D14" s="15">
        <v>4.3620570801658201E-3</v>
      </c>
      <c r="E14" s="15">
        <v>4.0609192863150104E-3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27.57</v>
      </c>
      <c r="M14" s="33">
        <v>29.61</v>
      </c>
      <c r="N14" s="34">
        <v>1.0739934711643</v>
      </c>
      <c r="O14" s="34">
        <v>1.0748269802361801</v>
      </c>
      <c r="P14" s="34">
        <v>1.07428986210039</v>
      </c>
      <c r="R14" s="33">
        <v>29.632979845111599</v>
      </c>
      <c r="S14" s="33">
        <v>29.623080787725499</v>
      </c>
      <c r="U14" s="15">
        <v>7.7578293071291703E-4</v>
      </c>
      <c r="V14" s="15">
        <v>4.41671706559552E-4</v>
      </c>
      <c r="X14" s="34">
        <v>1.0739934711643</v>
      </c>
      <c r="Y14" s="34">
        <v>1.0748179428614399</v>
      </c>
      <c r="Z14" s="34">
        <v>1.07428986210039</v>
      </c>
      <c r="AB14" s="33">
        <v>29.6327306846899</v>
      </c>
      <c r="AC14" s="33">
        <v>29.623080787725499</v>
      </c>
      <c r="AE14" s="15">
        <v>7.6737468184369503E-4</v>
      </c>
      <c r="AF14" s="15">
        <v>4.41671706559552E-4</v>
      </c>
      <c r="AQ14" s="20">
        <f>AVERAGE(AQ22:AQ176)</f>
        <v>4.1533711115423183E-5</v>
      </c>
      <c r="AR14" s="21" t="s">
        <v>41</v>
      </c>
      <c r="BB14" s="20">
        <f>AVERAGE(BB22:BB176)</f>
        <v>2.1528520887965286E-5</v>
      </c>
      <c r="BC14" s="21" t="s">
        <v>41</v>
      </c>
      <c r="BD14" s="22"/>
      <c r="BE14" s="20">
        <f>AVERAGE(BE22:BE176)</f>
        <v>6.3062232003388479E-5</v>
      </c>
      <c r="BF14" s="21" t="s">
        <v>41</v>
      </c>
    </row>
    <row r="15" spans="1:130" x14ac:dyDescent="0.25">
      <c r="A15" s="1">
        <v>46044</v>
      </c>
      <c r="B15" s="33">
        <v>27.57</v>
      </c>
      <c r="C15" s="33">
        <v>29.62</v>
      </c>
      <c r="D15" s="15">
        <v>0</v>
      </c>
      <c r="E15" s="15">
        <v>3.37666726152801E-4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27.57</v>
      </c>
      <c r="M15" s="33">
        <v>29.62</v>
      </c>
      <c r="N15" s="34">
        <v>1.0743561842582501</v>
      </c>
      <c r="O15" s="34">
        <v>1.0748269802361801</v>
      </c>
      <c r="P15" s="34">
        <v>1.07422365969592</v>
      </c>
      <c r="R15" s="33">
        <v>29.632979845111599</v>
      </c>
      <c r="S15" s="33">
        <v>29.618171498108001</v>
      </c>
      <c r="U15" s="15">
        <v>4.3811620456001102E-4</v>
      </c>
      <c r="V15" s="15">
        <v>-6.17339072532959E-5</v>
      </c>
      <c r="X15" s="34">
        <v>1.0743561842582501</v>
      </c>
      <c r="Y15" s="34">
        <v>1.0748179428614399</v>
      </c>
      <c r="Z15" s="34">
        <v>1.07422365969592</v>
      </c>
      <c r="AB15" s="33">
        <v>29.6327306846899</v>
      </c>
      <c r="AC15" s="33">
        <v>29.618171498108001</v>
      </c>
      <c r="AE15" s="15">
        <v>4.2970795569082399E-4</v>
      </c>
      <c r="AF15" s="15">
        <v>-6.17339072532959E-5</v>
      </c>
      <c r="AQ15" s="20">
        <f>STDEV(AQ22:AQ176)</f>
        <v>3.5237601303348434E-4</v>
      </c>
      <c r="AR15" s="21" t="s">
        <v>42</v>
      </c>
      <c r="BB15" s="20">
        <f>STDEV(BB22:BB176)</f>
        <v>1.7477718026809324E-4</v>
      </c>
      <c r="BC15" s="21" t="s">
        <v>42</v>
      </c>
      <c r="BD15" s="22"/>
      <c r="BE15" s="20">
        <f>STDEV(BE22:BE176)</f>
        <v>3.9104473671169399E-4</v>
      </c>
      <c r="BF15" s="21" t="s">
        <v>42</v>
      </c>
    </row>
    <row r="16" spans="1:130" x14ac:dyDescent="0.25">
      <c r="A16" s="1">
        <v>46045</v>
      </c>
      <c r="B16" s="33">
        <v>27.54</v>
      </c>
      <c r="C16" s="33">
        <v>29.59</v>
      </c>
      <c r="D16" s="15">
        <v>-1.0887317351966699E-3</v>
      </c>
      <c r="E16" s="15">
        <v>-1.0133424275344501E-3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27.54</v>
      </c>
      <c r="M16" s="33">
        <v>29.59</v>
      </c>
      <c r="N16" s="34">
        <v>1.07443718228031</v>
      </c>
      <c r="O16" s="34">
        <v>1.0748269802361801</v>
      </c>
      <c r="P16" s="34">
        <v>1.0741737438752099</v>
      </c>
      <c r="R16" s="33">
        <v>29.600735035704599</v>
      </c>
      <c r="S16" s="33">
        <v>29.5841195880258</v>
      </c>
      <c r="U16" s="15">
        <v>3.6272689689777801E-4</v>
      </c>
      <c r="V16" s="15">
        <v>-1.9874945447411401E-4</v>
      </c>
      <c r="X16" s="34">
        <v>1.07443718228031</v>
      </c>
      <c r="Y16" s="34">
        <v>1.0748179428614399</v>
      </c>
      <c r="Z16" s="34">
        <v>1.0741737438752099</v>
      </c>
      <c r="AB16" s="33">
        <v>29.600486146403998</v>
      </c>
      <c r="AC16" s="33">
        <v>29.5841195880258</v>
      </c>
      <c r="AE16" s="15">
        <v>3.5431864802872498E-4</v>
      </c>
      <c r="AF16" s="15">
        <v>-1.9874945447411401E-4</v>
      </c>
      <c r="AQ16" s="23">
        <f>SQRT(252)*AQ14/AQ15</f>
        <v>1.8710899704725388</v>
      </c>
      <c r="AR16" s="21" t="s">
        <v>43</v>
      </c>
      <c r="BB16" s="23">
        <f>SQRT(252)*BB14/BB15</f>
        <v>1.9553735428359187</v>
      </c>
      <c r="BC16" s="21" t="s">
        <v>43</v>
      </c>
      <c r="BD16" s="22"/>
      <c r="BE16" s="23">
        <f>SQRT(252)*BE14/BE15</f>
        <v>2.5600188521340859</v>
      </c>
      <c r="BF16" s="21" t="s">
        <v>43</v>
      </c>
    </row>
    <row r="17" spans="1:124" x14ac:dyDescent="0.25">
      <c r="A17" s="1">
        <v>46048</v>
      </c>
      <c r="B17" s="33">
        <v>27.55</v>
      </c>
      <c r="C17" s="33">
        <v>29.6</v>
      </c>
      <c r="D17" s="15">
        <v>3.6304229841465502E-4</v>
      </c>
      <c r="E17" s="15">
        <v>3.37894917896377E-4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27.55</v>
      </c>
      <c r="M17" s="33">
        <v>29.6</v>
      </c>
      <c r="N17" s="34">
        <v>1.0744101633393801</v>
      </c>
      <c r="O17" s="34">
        <v>1.0748269802361801</v>
      </c>
      <c r="P17" s="34">
        <v>1.07416563230217</v>
      </c>
      <c r="R17" s="33">
        <v>29.611483305506901</v>
      </c>
      <c r="S17" s="33">
        <v>29.593486643762098</v>
      </c>
      <c r="U17" s="15">
        <v>3.8787427741604198E-4</v>
      </c>
      <c r="V17" s="15">
        <v>-2.2007003248049201E-4</v>
      </c>
      <c r="X17" s="34">
        <v>1.0744101633393801</v>
      </c>
      <c r="Y17" s="34">
        <v>1.0748179428614399</v>
      </c>
      <c r="Z17" s="34">
        <v>1.07416563230217</v>
      </c>
      <c r="AB17" s="33">
        <v>29.611234325832601</v>
      </c>
      <c r="AC17" s="33">
        <v>29.593486643762098</v>
      </c>
      <c r="AE17" s="15">
        <v>3.7946602854699502E-4</v>
      </c>
      <c r="AF17" s="15">
        <v>-2.2007003248049201E-4</v>
      </c>
    </row>
    <row r="18" spans="1:124" x14ac:dyDescent="0.25">
      <c r="A18" s="1">
        <v>46049</v>
      </c>
      <c r="B18" s="33">
        <v>27.59</v>
      </c>
      <c r="C18" s="33">
        <v>29.61</v>
      </c>
      <c r="D18" s="15">
        <v>1.45085263027109E-3</v>
      </c>
      <c r="E18" s="15">
        <v>3.37780783485186E-4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27.59</v>
      </c>
      <c r="M18" s="33">
        <v>29.61</v>
      </c>
      <c r="N18" s="34">
        <v>1.07321493294671</v>
      </c>
      <c r="O18" s="34">
        <v>1.0748269802361801</v>
      </c>
      <c r="P18" s="34">
        <v>1.0741886506513101</v>
      </c>
      <c r="R18" s="33">
        <v>29.6544763847164</v>
      </c>
      <c r="S18" s="33">
        <v>29.636229795216899</v>
      </c>
      <c r="U18" s="15">
        <v>1.50094612420227E-3</v>
      </c>
      <c r="V18" s="15">
        <v>8.8545033232960695E-4</v>
      </c>
      <c r="X18" s="34">
        <v>1.07321493294671</v>
      </c>
      <c r="Y18" s="34">
        <v>1.0748179428614399</v>
      </c>
      <c r="Z18" s="34">
        <v>1.0741886506513101</v>
      </c>
      <c r="AB18" s="33">
        <v>29.654227043547099</v>
      </c>
      <c r="AC18" s="33">
        <v>29.636229795216899</v>
      </c>
      <c r="AE18" s="15">
        <v>1.4925378753331E-3</v>
      </c>
      <c r="AF18" s="15">
        <v>8.8545033232960695E-4</v>
      </c>
      <c r="BE18" s="24">
        <f>SUM(BE22:BE176)</f>
        <v>9.7746459605252134E-3</v>
      </c>
      <c r="BF18" s="20">
        <f>BF176</f>
        <v>9.7746459605252134E-3</v>
      </c>
    </row>
    <row r="19" spans="1:124" x14ac:dyDescent="0.25">
      <c r="A19" s="1">
        <v>46050</v>
      </c>
      <c r="B19" s="33">
        <v>27.57</v>
      </c>
      <c r="C19" s="33">
        <v>29.59</v>
      </c>
      <c r="D19" s="15">
        <v>-7.2516319348928701E-4</v>
      </c>
      <c r="E19" s="15">
        <v>-6.7567570138159303E-4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27.57</v>
      </c>
      <c r="M19" s="33">
        <v>29.59</v>
      </c>
      <c r="N19" s="34">
        <v>1.07326804497642</v>
      </c>
      <c r="O19" s="34">
        <v>1.0748269802361801</v>
      </c>
      <c r="P19" s="34">
        <v>1.0740636194528399</v>
      </c>
      <c r="R19" s="33">
        <v>29.632979845111599</v>
      </c>
      <c r="S19" s="33">
        <v>29.615381098456599</v>
      </c>
      <c r="U19" s="15">
        <v>1.4514586320945101E-3</v>
      </c>
      <c r="V19" s="15">
        <v>8.5739166071203304E-4</v>
      </c>
      <c r="X19" s="34">
        <v>1.07326804497642</v>
      </c>
      <c r="Y19" s="34">
        <v>1.0748179428614399</v>
      </c>
      <c r="Z19" s="34">
        <v>1.0740636194528399</v>
      </c>
      <c r="AB19" s="33">
        <v>29.6327306846899</v>
      </c>
      <c r="AC19" s="33">
        <v>29.615381098456599</v>
      </c>
      <c r="AE19" s="15">
        <v>1.4430503832252399E-3</v>
      </c>
      <c r="AF19" s="15">
        <v>8.5739166071203304E-4</v>
      </c>
      <c r="AI19" s="12"/>
      <c r="AJ19"/>
      <c r="AK19"/>
      <c r="AL19"/>
      <c r="AM19"/>
      <c r="AN19"/>
      <c r="AO19"/>
      <c r="AP19"/>
      <c r="AQ19" s="24">
        <f>SUM(AQ22:AQ176)</f>
        <v>6.4377252228905932E-3</v>
      </c>
      <c r="AR19" s="24">
        <f>AR176</f>
        <v>6.4377252228905932E-3</v>
      </c>
      <c r="AU19"/>
      <c r="AV19"/>
      <c r="AW19"/>
      <c r="AX19"/>
      <c r="AY19"/>
      <c r="AZ19"/>
      <c r="BA19"/>
      <c r="BB19" s="24">
        <f>SUM(BB22:BB176)</f>
        <v>3.3369207376346193E-3</v>
      </c>
      <c r="BC19" s="24">
        <f>BC176</f>
        <v>3.3369207376346193E-3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27.58</v>
      </c>
      <c r="C20" s="33">
        <v>29.58</v>
      </c>
      <c r="D20" s="15">
        <v>3.62647329450224E-4</v>
      </c>
      <c r="E20" s="15">
        <v>-3.38009129464623E-4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27.58</v>
      </c>
      <c r="M20" s="33">
        <v>29.58</v>
      </c>
      <c r="N20" s="34">
        <v>1.07251631617113</v>
      </c>
      <c r="O20" s="34">
        <v>1.0748269802361801</v>
      </c>
      <c r="P20" s="34">
        <v>1.07390784366255</v>
      </c>
      <c r="R20" s="33">
        <v>29.643728114914001</v>
      </c>
      <c r="S20" s="33">
        <v>29.622674624509401</v>
      </c>
      <c r="U20" s="15">
        <v>2.15211509100945E-3</v>
      </c>
      <c r="V20" s="15">
        <v>1.44164540440629E-3</v>
      </c>
      <c r="X20" s="34">
        <v>1.07251631617113</v>
      </c>
      <c r="Y20" s="34">
        <v>1.0748179428614399</v>
      </c>
      <c r="Z20" s="34">
        <v>1.07390784366255</v>
      </c>
      <c r="AB20" s="33">
        <v>29.643478864118499</v>
      </c>
      <c r="AC20" s="33">
        <v>29.622674624509401</v>
      </c>
      <c r="AE20" s="15">
        <v>2.14370684214037E-3</v>
      </c>
      <c r="AF20" s="15">
        <v>1.44164540440629E-3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FALN log rtn</v>
      </c>
      <c r="AP20" s="7" t="str">
        <f>E1</f>
        <v>ANGL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FALN log rtn</v>
      </c>
      <c r="BA20" s="24" t="str">
        <f>E1</f>
        <v>ANGL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27.57</v>
      </c>
      <c r="C21" s="33">
        <v>29.59</v>
      </c>
      <c r="D21" s="15">
        <v>-3.6264732945035698E-4</v>
      </c>
      <c r="E21" s="15">
        <v>3.3800912946470101E-4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27.57</v>
      </c>
      <c r="M21" s="33">
        <v>29.59</v>
      </c>
      <c r="N21" s="34">
        <v>1.07326804497642</v>
      </c>
      <c r="O21" s="34">
        <v>1.0748269802361801</v>
      </c>
      <c r="P21" s="34">
        <v>1.07382455008536</v>
      </c>
      <c r="Q21" s="34">
        <v>1.0742702226007499</v>
      </c>
      <c r="R21" s="33">
        <v>29.632979845111599</v>
      </c>
      <c r="S21" s="33">
        <v>29.607639249776501</v>
      </c>
      <c r="U21" s="15">
        <v>1.4514586320945101E-3</v>
      </c>
      <c r="V21" s="15">
        <v>5.9594438298988899E-4</v>
      </c>
      <c r="X21" s="34">
        <v>1.07326804497642</v>
      </c>
      <c r="Y21" s="34">
        <v>1.0748179428614399</v>
      </c>
      <c r="Z21" s="34">
        <v>1.07382455008536</v>
      </c>
      <c r="AA21" s="34">
        <v>1.0742702226007499</v>
      </c>
      <c r="AB21" s="33">
        <v>29.6327306846899</v>
      </c>
      <c r="AC21" s="33">
        <v>29.607639249776501</v>
      </c>
      <c r="AE21" s="15">
        <v>1.4430503832252399E-3</v>
      </c>
      <c r="AF21" s="15">
        <v>5.9594438298988899E-4</v>
      </c>
      <c r="AI21" s="26">
        <v>-1.5E-3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2E-3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27.45</v>
      </c>
      <c r="C22" s="33">
        <v>29.46</v>
      </c>
      <c r="D22" s="15">
        <v>-4.3620570801657403E-3</v>
      </c>
      <c r="E22" s="15">
        <v>-4.4030553776340199E-3</v>
      </c>
      <c r="F22" s="33">
        <v>0.14729999999999999</v>
      </c>
      <c r="G22" s="33">
        <v>0.14729999999999999</v>
      </c>
      <c r="H22" s="33">
        <v>0.15909999999999999</v>
      </c>
      <c r="I22" s="33">
        <v>0.15909999999999999</v>
      </c>
      <c r="J22" s="33">
        <v>0.14729999999999999</v>
      </c>
      <c r="K22" s="33">
        <v>0.15909999999999999</v>
      </c>
      <c r="L22" s="33">
        <v>27.597300000000001</v>
      </c>
      <c r="M22" s="33">
        <v>29.6191</v>
      </c>
      <c r="N22" s="34">
        <v>1.07322404371584</v>
      </c>
      <c r="O22" s="34">
        <v>1.0748269802361801</v>
      </c>
      <c r="P22" s="34">
        <v>1.07370053237195</v>
      </c>
      <c r="Q22" s="34">
        <v>1.0741443775856601</v>
      </c>
      <c r="R22" s="33">
        <v>29.504000607483299</v>
      </c>
      <c r="S22" s="33">
        <v>29.476483899843299</v>
      </c>
      <c r="T22" s="33">
        <v>29.488717610390601</v>
      </c>
      <c r="U22" s="15">
        <v>1.4924569295626099E-3</v>
      </c>
      <c r="V22" s="15">
        <v>5.5937847602638999E-4</v>
      </c>
      <c r="W22" s="15">
        <v>9.7432527208692597E-4</v>
      </c>
      <c r="X22" s="34">
        <v>1.0732607900048099</v>
      </c>
      <c r="Y22" s="34">
        <v>1.0748179428614399</v>
      </c>
      <c r="Z22" s="34">
        <v>1.07370420700085</v>
      </c>
      <c r="AA22" s="34">
        <v>1.07414621490011</v>
      </c>
      <c r="AB22" s="33">
        <v>29.66207321453</v>
      </c>
      <c r="AC22" s="33">
        <v>29.6346582560708</v>
      </c>
      <c r="AD22" s="33">
        <v>29.646957614179701</v>
      </c>
      <c r="AE22" s="15">
        <v>1.44981010756365E-3</v>
      </c>
      <c r="AF22" s="15">
        <v>5.2513990289648998E-4</v>
      </c>
      <c r="AG22" s="15">
        <v>9.4008669895692004E-4</v>
      </c>
      <c r="AI22" s="26">
        <v>0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5.0000000000000001E-4</v>
      </c>
      <c r="AU22">
        <f t="shared" ref="AU22:AU85" si="10">IF($AG22&gt;AT$21,1,0)</f>
        <v>0</v>
      </c>
      <c r="AV22">
        <f t="shared" ref="AV22:AV85" si="11">IF($AG22&lt;AT$22,1,0)</f>
        <v>0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27.45</v>
      </c>
      <c r="C23" s="33">
        <v>29.45</v>
      </c>
      <c r="D23" s="15">
        <v>0</v>
      </c>
      <c r="E23" s="15">
        <v>-3.3950093688852202E-4</v>
      </c>
      <c r="F23" s="33">
        <v>0</v>
      </c>
      <c r="G23" s="33">
        <v>0.14729999999999999</v>
      </c>
      <c r="H23" s="33">
        <v>0</v>
      </c>
      <c r="I23" s="33">
        <v>0.15909999999999999</v>
      </c>
      <c r="J23" s="33">
        <v>0.14729999999999999</v>
      </c>
      <c r="K23" s="33">
        <v>0.15909999999999999</v>
      </c>
      <c r="L23" s="33">
        <v>27.597300000000001</v>
      </c>
      <c r="M23" s="33">
        <v>29.609099999999899</v>
      </c>
      <c r="N23" s="34">
        <v>1.0728597449908901</v>
      </c>
      <c r="O23" s="34">
        <v>1.0748269802361801</v>
      </c>
      <c r="P23" s="34">
        <v>1.0735548128819701</v>
      </c>
      <c r="Q23" s="34">
        <v>1.0740113706724901</v>
      </c>
      <c r="R23" s="33">
        <v>29.504000607483299</v>
      </c>
      <c r="S23" s="33">
        <v>29.4730796136101</v>
      </c>
      <c r="T23" s="33">
        <v>29.485263164726501</v>
      </c>
      <c r="U23" s="15">
        <v>1.83195786645129E-3</v>
      </c>
      <c r="V23" s="15">
        <v>7.8338114510483796E-4</v>
      </c>
      <c r="W23" s="15">
        <v>1.1966746915550901E-3</v>
      </c>
      <c r="X23" s="34">
        <v>1.0728984357165301</v>
      </c>
      <c r="Y23" s="34">
        <v>1.0748179428614399</v>
      </c>
      <c r="Z23" s="34">
        <v>1.07356235658343</v>
      </c>
      <c r="AA23" s="34">
        <v>1.0740151425232201</v>
      </c>
      <c r="AB23" s="33">
        <v>29.66207321453</v>
      </c>
      <c r="AC23" s="33">
        <v>29.6313371118645</v>
      </c>
      <c r="AD23" s="33">
        <v>29.6435353364629</v>
      </c>
      <c r="AE23" s="15">
        <v>1.7874870957221101E-3</v>
      </c>
      <c r="AF23" s="15">
        <v>7.5074101384466595E-4</v>
      </c>
      <c r="AG23" s="15">
        <v>1.1623226593794501E-3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27.43</v>
      </c>
      <c r="C24" s="33">
        <v>29.44</v>
      </c>
      <c r="D24" s="15">
        <v>-7.2886300602778998E-4</v>
      </c>
      <c r="E24" s="15">
        <v>-3.3961623692016003E-4</v>
      </c>
      <c r="F24" s="33">
        <v>0</v>
      </c>
      <c r="G24" s="33">
        <v>0.14729999999999999</v>
      </c>
      <c r="H24" s="33">
        <v>0</v>
      </c>
      <c r="I24" s="33">
        <v>0.15909999999999999</v>
      </c>
      <c r="J24" s="33">
        <v>0.14729999999999999</v>
      </c>
      <c r="K24" s="33">
        <v>0.15909999999999999</v>
      </c>
      <c r="L24" s="33">
        <v>27.577300000000001</v>
      </c>
      <c r="M24" s="33">
        <v>29.5991</v>
      </c>
      <c r="N24" s="34">
        <v>1.0732774334670001</v>
      </c>
      <c r="O24" s="34">
        <v>1.0748269802361801</v>
      </c>
      <c r="P24" s="34">
        <v>1.0734832091122399</v>
      </c>
      <c r="Q24" s="34">
        <v>1.0738865356063201</v>
      </c>
      <c r="R24" s="33">
        <v>29.482504067878601</v>
      </c>
      <c r="S24" s="33">
        <v>29.4476085173524</v>
      </c>
      <c r="T24" s="33">
        <v>29.4601318975465</v>
      </c>
      <c r="U24" s="15">
        <v>1.4427110973437001E-3</v>
      </c>
      <c r="V24" s="15">
        <v>2.58408095908778E-4</v>
      </c>
      <c r="W24" s="15">
        <v>6.8359433780404205E-4</v>
      </c>
      <c r="X24" s="34">
        <v>1.07331392123231</v>
      </c>
      <c r="Y24" s="34">
        <v>1.0748179428614399</v>
      </c>
      <c r="Z24" s="34">
        <v>1.0734944015902299</v>
      </c>
      <c r="AA24" s="34">
        <v>1.0738921318453101</v>
      </c>
      <c r="AB24" s="33">
        <v>29.640576855672801</v>
      </c>
      <c r="AC24" s="33">
        <v>29.605951176208201</v>
      </c>
      <c r="AD24" s="33">
        <v>29.618437789905698</v>
      </c>
      <c r="AE24" s="15">
        <v>1.40030684338077E-3</v>
      </c>
      <c r="AF24" s="15">
        <v>2.3143890944320601E-4</v>
      </c>
      <c r="AG24" s="15">
        <v>6.5311025466063897E-4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0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27.4</v>
      </c>
      <c r="C25" s="33">
        <v>29.41</v>
      </c>
      <c r="D25" s="15">
        <v>-1.0942915554873699E-3</v>
      </c>
      <c r="E25" s="15">
        <v>-1.01954129477188E-3</v>
      </c>
      <c r="F25" s="33">
        <v>0</v>
      </c>
      <c r="G25" s="33">
        <v>0.14729999999999999</v>
      </c>
      <c r="H25" s="33">
        <v>0</v>
      </c>
      <c r="I25" s="33">
        <v>0.15909999999999999</v>
      </c>
      <c r="J25" s="33">
        <v>0.14729999999999999</v>
      </c>
      <c r="K25" s="33">
        <v>0.15909999999999999</v>
      </c>
      <c r="L25" s="33">
        <v>27.5473</v>
      </c>
      <c r="M25" s="33">
        <v>29.569099999999999</v>
      </c>
      <c r="N25" s="34">
        <v>1.07335766423357</v>
      </c>
      <c r="O25" s="34">
        <v>1.0748269802361801</v>
      </c>
      <c r="P25" s="34">
        <v>1.07338335710977</v>
      </c>
      <c r="Q25" s="34">
        <v>1.0738035084028399</v>
      </c>
      <c r="R25" s="33">
        <v>29.450259258471501</v>
      </c>
      <c r="S25" s="33">
        <v>29.413439929675299</v>
      </c>
      <c r="T25" s="33">
        <v>29.424491075613101</v>
      </c>
      <c r="U25" s="15">
        <v>1.3679608366282401E-3</v>
      </c>
      <c r="V25" s="15">
        <v>1.16957787012228E-4</v>
      </c>
      <c r="W25" s="15">
        <v>4.9260478475389403E-4</v>
      </c>
      <c r="X25" s="34">
        <v>1.0733937627281001</v>
      </c>
      <c r="Y25" s="34">
        <v>1.0748179428614399</v>
      </c>
      <c r="Z25" s="34">
        <v>1.07339815943721</v>
      </c>
      <c r="AA25" s="34">
        <v>1.07381090956657</v>
      </c>
      <c r="AB25" s="33">
        <v>29.6083323173869</v>
      </c>
      <c r="AC25" s="33">
        <v>29.571872328926599</v>
      </c>
      <c r="AD25" s="33">
        <v>29.582828723582399</v>
      </c>
      <c r="AE25" s="15">
        <v>1.3259217778935899E-3</v>
      </c>
      <c r="AF25" s="15">
        <v>9.37532414330253E-5</v>
      </c>
      <c r="AG25" s="15">
        <v>4.64185162690021E-4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27.45</v>
      </c>
      <c r="C26" s="33">
        <v>29.5</v>
      </c>
      <c r="D26" s="15">
        <v>1.8231545615151701E-3</v>
      </c>
      <c r="E26" s="15">
        <v>3.0555107798704898E-3</v>
      </c>
      <c r="F26" s="33">
        <v>0</v>
      </c>
      <c r="G26" s="33">
        <v>0.14729999999999999</v>
      </c>
      <c r="H26" s="33">
        <v>0</v>
      </c>
      <c r="I26" s="33">
        <v>0.15909999999999999</v>
      </c>
      <c r="J26" s="33">
        <v>0.14729999999999999</v>
      </c>
      <c r="K26" s="33">
        <v>0.15909999999999999</v>
      </c>
      <c r="L26" s="33">
        <v>27.597300000000001</v>
      </c>
      <c r="M26" s="33">
        <v>29.659099999999999</v>
      </c>
      <c r="N26" s="34">
        <v>1.0746812386156599</v>
      </c>
      <c r="O26" s="34">
        <v>1.0748269802361801</v>
      </c>
      <c r="P26" s="34">
        <v>1.0734077627433001</v>
      </c>
      <c r="Q26" s="34">
        <v>1.0737907533092601</v>
      </c>
      <c r="R26" s="33">
        <v>29.504000607483299</v>
      </c>
      <c r="S26" s="33">
        <v>29.4643731526632</v>
      </c>
      <c r="T26" s="33">
        <v>29.475906305658199</v>
      </c>
      <c r="U26" s="15">
        <v>1.3560461827279101E-4</v>
      </c>
      <c r="V26" s="15">
        <v>-1.2084195851591001E-3</v>
      </c>
      <c r="W26" s="15">
        <v>-8.17069111488468E-4</v>
      </c>
      <c r="X26" s="34">
        <v>1.07471020715794</v>
      </c>
      <c r="Y26" s="34">
        <v>1.0748179428614399</v>
      </c>
      <c r="Z26" s="34">
        <v>1.0734254619249799</v>
      </c>
      <c r="AA26" s="34">
        <v>1.07379960290009</v>
      </c>
      <c r="AB26" s="33">
        <v>29.66207321453</v>
      </c>
      <c r="AC26" s="33">
        <v>29.622891025436701</v>
      </c>
      <c r="AD26" s="33">
        <v>29.634281814581499</v>
      </c>
      <c r="AE26" s="15">
        <v>1.0024125860675099E-4</v>
      </c>
      <c r="AF26" s="15">
        <v>-1.22158444545118E-3</v>
      </c>
      <c r="AG26" s="15">
        <v>-8.3713177114409505E-4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27.51</v>
      </c>
      <c r="C27" s="33">
        <v>29.55</v>
      </c>
      <c r="D27" s="15">
        <v>2.18340698094358E-3</v>
      </c>
      <c r="E27" s="15">
        <v>1.6934805063331399E-3</v>
      </c>
      <c r="F27" s="33">
        <v>0</v>
      </c>
      <c r="G27" s="33">
        <v>0.14729999999999999</v>
      </c>
      <c r="H27" s="33">
        <v>0</v>
      </c>
      <c r="I27" s="33">
        <v>0.15909999999999999</v>
      </c>
      <c r="J27" s="33">
        <v>0.14729999999999999</v>
      </c>
      <c r="K27" s="33">
        <v>0.15909999999999999</v>
      </c>
      <c r="L27" s="33">
        <v>27.657299999999999</v>
      </c>
      <c r="M27" s="33">
        <v>29.709099999999999</v>
      </c>
      <c r="N27" s="34">
        <v>1.0741548527808</v>
      </c>
      <c r="O27" s="34">
        <v>1.0748269802361801</v>
      </c>
      <c r="P27" s="34">
        <v>1.07338223168745</v>
      </c>
      <c r="Q27" s="34">
        <v>1.0737739319948101</v>
      </c>
      <c r="R27" s="33">
        <v>29.568490226297499</v>
      </c>
      <c r="S27" s="33">
        <v>29.529447553068302</v>
      </c>
      <c r="T27" s="33">
        <v>29.539983623537701</v>
      </c>
      <c r="U27" s="15">
        <v>6.2553109288328995E-4</v>
      </c>
      <c r="V27" s="15">
        <v>-6.95756260829164E-4</v>
      </c>
      <c r="W27" s="15">
        <v>-3.390211316353E-4</v>
      </c>
      <c r="X27" s="34">
        <v>1.0741865619565101</v>
      </c>
      <c r="Y27" s="34">
        <v>1.0748179428614399</v>
      </c>
      <c r="Z27" s="34">
        <v>1.0734031017866901</v>
      </c>
      <c r="AA27" s="34">
        <v>1.07378436704443</v>
      </c>
      <c r="AB27" s="33">
        <v>29.7265622911017</v>
      </c>
      <c r="AC27" s="33">
        <v>29.688050028097798</v>
      </c>
      <c r="AD27" s="33">
        <v>29.698397757288799</v>
      </c>
      <c r="AE27" s="15">
        <v>5.8760316385947798E-4</v>
      </c>
      <c r="AF27" s="15">
        <v>-7.0878729950848702E-4</v>
      </c>
      <c r="AG27" s="15">
        <v>-3.6029939758219499E-4</v>
      </c>
      <c r="AI27" s="12"/>
      <c r="AJ27">
        <f t="shared" si="6"/>
        <v>0</v>
      </c>
      <c r="AK27">
        <f t="shared" si="7"/>
        <v>0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27.53</v>
      </c>
      <c r="C28" s="33">
        <v>29.58</v>
      </c>
      <c r="D28" s="15">
        <v>7.2674421803276402E-4</v>
      </c>
      <c r="E28" s="15">
        <v>1.01471343054638E-3</v>
      </c>
      <c r="F28" s="33">
        <v>0</v>
      </c>
      <c r="G28" s="33">
        <v>0.14729999999999999</v>
      </c>
      <c r="H28" s="33">
        <v>0</v>
      </c>
      <c r="I28" s="33">
        <v>0.15909999999999999</v>
      </c>
      <c r="J28" s="33">
        <v>0.14729999999999999</v>
      </c>
      <c r="K28" s="33">
        <v>0.15909999999999999</v>
      </c>
      <c r="L28" s="33">
        <v>27.677299999999999</v>
      </c>
      <c r="M28" s="33">
        <v>29.739099999999901</v>
      </c>
      <c r="N28" s="34">
        <v>1.0744642208499799</v>
      </c>
      <c r="O28" s="34">
        <v>1.0748269802361801</v>
      </c>
      <c r="P28" s="34">
        <v>1.07350716047777</v>
      </c>
      <c r="Q28" s="34">
        <v>1.07384790556454</v>
      </c>
      <c r="R28" s="33">
        <v>29.5899867659022</v>
      </c>
      <c r="S28" s="33">
        <v>29.550212838355499</v>
      </c>
      <c r="T28" s="33">
        <v>29.560996347817099</v>
      </c>
      <c r="U28" s="15">
        <v>3.3756188036958903E-4</v>
      </c>
      <c r="V28" s="15">
        <v>-1.0075108048611199E-3</v>
      </c>
      <c r="W28" s="15">
        <v>-6.4265582287776398E-4</v>
      </c>
      <c r="X28" s="34">
        <v>1.07449426063958</v>
      </c>
      <c r="Y28" s="34">
        <v>1.0748179428614399</v>
      </c>
      <c r="Z28" s="34">
        <v>1.0735310345559801</v>
      </c>
      <c r="AA28" s="34">
        <v>1.0738598426036401</v>
      </c>
      <c r="AB28" s="33">
        <v>29.748058649958899</v>
      </c>
      <c r="AC28" s="33">
        <v>29.7088996690808</v>
      </c>
      <c r="AD28" s="33">
        <v>29.719452061998901</v>
      </c>
      <c r="AE28" s="15">
        <v>3.0119609777955701E-4</v>
      </c>
      <c r="AF28" s="15">
        <v>-1.0160252215453301E-3</v>
      </c>
      <c r="AG28" s="15">
        <v>-6.6089529713802696E-4</v>
      </c>
      <c r="AI28" s="12"/>
      <c r="AJ28">
        <f t="shared" si="6"/>
        <v>0</v>
      </c>
      <c r="AK28">
        <f t="shared" si="7"/>
        <v>0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27.53</v>
      </c>
      <c r="C29" s="33">
        <v>29.62</v>
      </c>
      <c r="D29" s="15">
        <v>0</v>
      </c>
      <c r="E29" s="15">
        <v>1.3513515569991701E-3</v>
      </c>
      <c r="F29" s="33">
        <v>0</v>
      </c>
      <c r="G29" s="33">
        <v>0.14729999999999999</v>
      </c>
      <c r="H29" s="33">
        <v>0</v>
      </c>
      <c r="I29" s="33">
        <v>0.15909999999999999</v>
      </c>
      <c r="J29" s="33">
        <v>0.14729999999999999</v>
      </c>
      <c r="K29" s="33">
        <v>0.15909999999999999</v>
      </c>
      <c r="L29" s="33">
        <v>27.677299999999999</v>
      </c>
      <c r="M29" s="33">
        <v>29.7791</v>
      </c>
      <c r="N29" s="34">
        <v>1.07591718125681</v>
      </c>
      <c r="O29" s="34">
        <v>1.0748269802361801</v>
      </c>
      <c r="P29" s="34">
        <v>1.0737720741058101</v>
      </c>
      <c r="Q29" s="34">
        <v>1.07391784677932</v>
      </c>
      <c r="R29" s="33">
        <v>29.5899867659022</v>
      </c>
      <c r="S29" s="33">
        <v>29.5536521279531</v>
      </c>
      <c r="T29" s="33">
        <v>29.563032840191902</v>
      </c>
      <c r="U29" s="15">
        <v>-1.0137896766294801E-3</v>
      </c>
      <c r="V29" s="15">
        <v>-2.2424811538453398E-3</v>
      </c>
      <c r="W29" s="15">
        <v>-1.9251185573966501E-3</v>
      </c>
      <c r="X29" s="34">
        <v>1.07593948831714</v>
      </c>
      <c r="Y29" s="34">
        <v>1.0748179428614399</v>
      </c>
      <c r="Z29" s="34">
        <v>1.0737981788900499</v>
      </c>
      <c r="AA29" s="34">
        <v>1.07393089917144</v>
      </c>
      <c r="AB29" s="33">
        <v>29.748058649958899</v>
      </c>
      <c r="AC29" s="33">
        <v>29.712440502716198</v>
      </c>
      <c r="AD29" s="33">
        <v>29.721541021693898</v>
      </c>
      <c r="AE29" s="15">
        <v>-1.04293077508481E-3</v>
      </c>
      <c r="AF29" s="15">
        <v>-2.2409749223927201E-3</v>
      </c>
      <c r="AG29" s="15">
        <v>-1.9347353330077201E-3</v>
      </c>
      <c r="AI29" s="12"/>
      <c r="AJ29">
        <f t="shared" si="6"/>
        <v>1</v>
      </c>
      <c r="AK29">
        <f t="shared" si="7"/>
        <v>0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27.56</v>
      </c>
      <c r="C30" s="33">
        <v>29.66</v>
      </c>
      <c r="D30" s="15">
        <v>1.08912699094185E-3</v>
      </c>
      <c r="E30" s="15">
        <v>1.34952787013317E-3</v>
      </c>
      <c r="F30" s="33">
        <v>0</v>
      </c>
      <c r="G30" s="33">
        <v>0.14729999999999999</v>
      </c>
      <c r="H30" s="33">
        <v>0</v>
      </c>
      <c r="I30" s="33">
        <v>0.15909999999999999</v>
      </c>
      <c r="J30" s="33">
        <v>0.14729999999999999</v>
      </c>
      <c r="K30" s="33">
        <v>0.15909999999999999</v>
      </c>
      <c r="L30" s="33">
        <v>27.7073</v>
      </c>
      <c r="M30" s="33">
        <v>29.819099999999999</v>
      </c>
      <c r="N30" s="34">
        <v>1.0761973875181401</v>
      </c>
      <c r="O30" s="34">
        <v>1.0748269802361801</v>
      </c>
      <c r="P30" s="34">
        <v>1.07414018124051</v>
      </c>
      <c r="Q30" s="34">
        <v>1.0740240124515299</v>
      </c>
      <c r="R30" s="33">
        <v>29.6222315753093</v>
      </c>
      <c r="S30" s="33">
        <v>29.593158362356199</v>
      </c>
      <c r="T30" s="33">
        <v>29.597175857238302</v>
      </c>
      <c r="U30" s="15">
        <v>-1.27419055582086E-3</v>
      </c>
      <c r="V30" s="15">
        <v>-2.2561385027905501E-3</v>
      </c>
      <c r="W30" s="15">
        <v>-2.1203901600516501E-3</v>
      </c>
      <c r="X30" s="34">
        <v>1.0762181807682401</v>
      </c>
      <c r="Y30" s="34">
        <v>1.0748179428614399</v>
      </c>
      <c r="Z30" s="34">
        <v>1.07416836534976</v>
      </c>
      <c r="AA30" s="34">
        <v>1.07403810450615</v>
      </c>
      <c r="AB30" s="33">
        <v>29.780303188244702</v>
      </c>
      <c r="AC30" s="33">
        <v>29.752048281960299</v>
      </c>
      <c r="AD30" s="33">
        <v>29.755725602613001</v>
      </c>
      <c r="AE30" s="15">
        <v>-1.3019196555609301E-3</v>
      </c>
      <c r="AF30" s="15">
        <v>-2.2511483592216799E-3</v>
      </c>
      <c r="AG30" s="15">
        <v>-2.1275570898010398E-3</v>
      </c>
      <c r="AI30" s="12"/>
      <c r="AJ30">
        <f t="shared" si="6"/>
        <v>1</v>
      </c>
      <c r="AK30">
        <f t="shared" si="7"/>
        <v>0</v>
      </c>
      <c r="AL30">
        <f t="shared" si="14"/>
        <v>1</v>
      </c>
      <c r="AM30">
        <f t="shared" si="4"/>
        <v>1</v>
      </c>
      <c r="AN30">
        <f t="shared" si="15"/>
        <v>1</v>
      </c>
      <c r="AO30" s="28">
        <f t="shared" si="8"/>
        <v>1.08912699094185E-3</v>
      </c>
      <c r="AP30" s="28">
        <f t="shared" si="9"/>
        <v>-1.34952787013317E-3</v>
      </c>
      <c r="AQ30" s="28">
        <f t="shared" si="16"/>
        <v>-2.6040087919132005E-4</v>
      </c>
      <c r="AR30" s="29">
        <f t="shared" si="17"/>
        <v>-2.6040087919132005E-4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-2.6040087919132005E-4</v>
      </c>
      <c r="BF30" s="29">
        <f t="shared" si="23"/>
        <v>-2.6040087919132005E-4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27.59</v>
      </c>
      <c r="C31" s="33">
        <v>29.7</v>
      </c>
      <c r="D31" s="15">
        <v>1.0879420837369199E-3</v>
      </c>
      <c r="E31" s="15">
        <v>1.34770909886777E-3</v>
      </c>
      <c r="F31" s="33">
        <v>0</v>
      </c>
      <c r="G31" s="33">
        <v>0.14729999999999999</v>
      </c>
      <c r="H31" s="33">
        <v>0</v>
      </c>
      <c r="I31" s="33">
        <v>0.15909999999999999</v>
      </c>
      <c r="J31" s="33">
        <v>0.14729999999999999</v>
      </c>
      <c r="K31" s="33">
        <v>0.15909999999999999</v>
      </c>
      <c r="L31" s="33">
        <v>27.737300000000001</v>
      </c>
      <c r="M31" s="33">
        <v>29.859099999999899</v>
      </c>
      <c r="N31" s="34">
        <v>1.07647698441464</v>
      </c>
      <c r="O31" s="34">
        <v>1.0748269802361801</v>
      </c>
      <c r="P31" s="34">
        <v>1.07446107518433</v>
      </c>
      <c r="Q31" s="34">
        <v>1.07414281263485</v>
      </c>
      <c r="R31" s="33">
        <v>29.6544763847164</v>
      </c>
      <c r="S31" s="33">
        <v>29.635527600425799</v>
      </c>
      <c r="T31" s="33">
        <v>29.6323225035378</v>
      </c>
      <c r="U31" s="15">
        <v>-1.53395757095182E-3</v>
      </c>
      <c r="V31" s="15">
        <v>-2.1731474398036001E-3</v>
      </c>
      <c r="W31" s="15">
        <v>-2.2813037804003599E-3</v>
      </c>
      <c r="X31" s="34">
        <v>1.0764962703651699</v>
      </c>
      <c r="Y31" s="34">
        <v>1.0748179428614399</v>
      </c>
      <c r="Z31" s="34">
        <v>1.0744911878886301</v>
      </c>
      <c r="AA31" s="34">
        <v>1.0741578689869999</v>
      </c>
      <c r="AB31" s="33">
        <v>29.8125477265306</v>
      </c>
      <c r="AC31" s="33">
        <v>29.794530200215998</v>
      </c>
      <c r="AD31" s="33">
        <v>29.790917116118599</v>
      </c>
      <c r="AE31" s="15">
        <v>-1.5602814632139101E-3</v>
      </c>
      <c r="AF31" s="15">
        <v>-2.1648246647951999E-3</v>
      </c>
      <c r="AG31" s="15">
        <v>-2.28609870953313E-3</v>
      </c>
      <c r="AI31" s="12"/>
      <c r="AJ31">
        <f t="shared" si="6"/>
        <v>1</v>
      </c>
      <c r="AK31">
        <f t="shared" si="7"/>
        <v>0</v>
      </c>
      <c r="AL31">
        <f t="shared" si="14"/>
        <v>1</v>
      </c>
      <c r="AM31">
        <f t="shared" si="4"/>
        <v>1</v>
      </c>
      <c r="AN31">
        <f t="shared" si="15"/>
        <v>1</v>
      </c>
      <c r="AO31" s="28">
        <f t="shared" si="8"/>
        <v>1.0879420837369199E-3</v>
      </c>
      <c r="AP31" s="28">
        <f t="shared" si="9"/>
        <v>-1.34770909886777E-3</v>
      </c>
      <c r="AQ31" s="28">
        <f t="shared" si="16"/>
        <v>-2.5976701513085007E-4</v>
      </c>
      <c r="AR31" s="29">
        <f t="shared" si="17"/>
        <v>-5.2016789432217012E-4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-2.5976701513085007E-4</v>
      </c>
      <c r="BF31" s="29">
        <f t="shared" si="23"/>
        <v>-5.2016789432217012E-4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27.57</v>
      </c>
      <c r="C32" s="33">
        <v>29.67</v>
      </c>
      <c r="D32" s="15">
        <v>-7.2516319348928701E-4</v>
      </c>
      <c r="E32" s="15">
        <v>-1.01061150592339E-3</v>
      </c>
      <c r="F32" s="33">
        <v>0</v>
      </c>
      <c r="G32" s="33">
        <v>0.14729999999999999</v>
      </c>
      <c r="H32" s="33">
        <v>0</v>
      </c>
      <c r="I32" s="33">
        <v>0.15909999999999999</v>
      </c>
      <c r="J32" s="33">
        <v>0.14729999999999999</v>
      </c>
      <c r="K32" s="33">
        <v>0.15909999999999999</v>
      </c>
      <c r="L32" s="33">
        <v>27.717300000000002</v>
      </c>
      <c r="M32" s="33">
        <v>29.8291</v>
      </c>
      <c r="N32" s="34">
        <v>1.0761697497279601</v>
      </c>
      <c r="O32" s="34">
        <v>1.0748269802361801</v>
      </c>
      <c r="P32" s="34">
        <v>1.0747556457855401</v>
      </c>
      <c r="Q32" s="34">
        <v>1.0742280890787499</v>
      </c>
      <c r="R32" s="33">
        <v>29.632979845111599</v>
      </c>
      <c r="S32" s="33">
        <v>29.6228918428321</v>
      </c>
      <c r="T32" s="33">
        <v>29.614117344342802</v>
      </c>
      <c r="U32" s="15">
        <v>-1.24850925851777E-3</v>
      </c>
      <c r="V32" s="15">
        <v>-1.5889988029158301E-3</v>
      </c>
      <c r="W32" s="15">
        <v>-1.8852493622838499E-3</v>
      </c>
      <c r="X32" s="34">
        <v>1.07619068235362</v>
      </c>
      <c r="Y32" s="34">
        <v>1.0748179428614399</v>
      </c>
      <c r="Z32" s="34">
        <v>1.07478417712351</v>
      </c>
      <c r="AA32" s="34">
        <v>1.0742441920621799</v>
      </c>
      <c r="AB32" s="33">
        <v>29.791051367673401</v>
      </c>
      <c r="AC32" s="33">
        <v>29.781994602065701</v>
      </c>
      <c r="AD32" s="33">
        <v>29.772755902073399</v>
      </c>
      <c r="AE32" s="15">
        <v>-1.2763683626837599E-3</v>
      </c>
      <c r="AF32" s="15">
        <v>-1.58042418289489E-3</v>
      </c>
      <c r="AG32" s="15">
        <v>-1.8906832298471699E-3</v>
      </c>
      <c r="AI32" s="12"/>
      <c r="AJ32">
        <f t="shared" si="6"/>
        <v>1</v>
      </c>
      <c r="AK32">
        <f t="shared" si="7"/>
        <v>0</v>
      </c>
      <c r="AL32">
        <f t="shared" si="14"/>
        <v>1</v>
      </c>
      <c r="AM32">
        <f t="shared" si="4"/>
        <v>1</v>
      </c>
      <c r="AN32">
        <f t="shared" si="15"/>
        <v>1</v>
      </c>
      <c r="AO32" s="28">
        <f t="shared" si="8"/>
        <v>-7.2516319348928701E-4</v>
      </c>
      <c r="AP32" s="28">
        <f t="shared" si="9"/>
        <v>1.01061150592339E-3</v>
      </c>
      <c r="AQ32" s="28">
        <f t="shared" si="16"/>
        <v>2.85448312434103E-4</v>
      </c>
      <c r="AR32" s="29">
        <f t="shared" si="17"/>
        <v>-2.3471958188806712E-4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2.85448312434103E-4</v>
      </c>
      <c r="BF32" s="29">
        <f t="shared" si="23"/>
        <v>-2.3471958188806712E-4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27.63</v>
      </c>
      <c r="C33" s="33">
        <v>29.71</v>
      </c>
      <c r="D33" s="15">
        <v>2.1739138996197398E-3</v>
      </c>
      <c r="E33" s="15">
        <v>1.3472551717857099E-3</v>
      </c>
      <c r="F33" s="33">
        <v>0</v>
      </c>
      <c r="G33" s="33">
        <v>0.14729999999999999</v>
      </c>
      <c r="H33" s="33">
        <v>0</v>
      </c>
      <c r="I33" s="33">
        <v>0.15909999999999999</v>
      </c>
      <c r="J33" s="33">
        <v>0.14729999999999999</v>
      </c>
      <c r="K33" s="33">
        <v>0.15909999999999999</v>
      </c>
      <c r="L33" s="33">
        <v>27.7773</v>
      </c>
      <c r="M33" s="33">
        <v>29.8691</v>
      </c>
      <c r="N33" s="34">
        <v>1.0752804922185999</v>
      </c>
      <c r="O33" s="34">
        <v>1.0748269802361801</v>
      </c>
      <c r="P33" s="34">
        <v>1.0749977205083201</v>
      </c>
      <c r="Q33" s="34">
        <v>1.07427626669514</v>
      </c>
      <c r="R33" s="33">
        <v>29.697469463925799</v>
      </c>
      <c r="S33" s="33">
        <v>29.6954984930547</v>
      </c>
      <c r="T33" s="33">
        <v>29.680922101245802</v>
      </c>
      <c r="U33" s="15">
        <v>-4.21850530683827E-4</v>
      </c>
      <c r="V33" s="15">
        <v>-4.8822104354604698E-4</v>
      </c>
      <c r="W33" s="15">
        <v>-9.7920355666372E-4</v>
      </c>
      <c r="X33" s="34">
        <v>1.0753060952648299</v>
      </c>
      <c r="Y33" s="34">
        <v>1.0748179428614399</v>
      </c>
      <c r="Z33" s="34">
        <v>1.0750249430783401</v>
      </c>
      <c r="AA33" s="34">
        <v>1.0742936498308899</v>
      </c>
      <c r="AB33" s="33">
        <v>29.855540444245001</v>
      </c>
      <c r="AC33" s="33">
        <v>29.854602523213099</v>
      </c>
      <c r="AD33" s="33">
        <v>29.839603196168898</v>
      </c>
      <c r="AE33" s="15">
        <v>-4.5406907055521502E-4</v>
      </c>
      <c r="AF33" s="15">
        <v>-4.8548487314470698E-4</v>
      </c>
      <c r="AG33" s="15">
        <v>-9.8802367667277097E-4</v>
      </c>
      <c r="AI33" s="12"/>
      <c r="AJ33">
        <f t="shared" si="6"/>
        <v>0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2.1739138996197398E-3</v>
      </c>
      <c r="AP33" s="28">
        <f t="shared" si="9"/>
        <v>-1.3472551717857099E-3</v>
      </c>
      <c r="AQ33" s="28">
        <f t="shared" si="16"/>
        <v>8.2665872783402989E-4</v>
      </c>
      <c r="AR33" s="29">
        <f t="shared" si="17"/>
        <v>5.9193914594596277E-4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8.2665872783402989E-4</v>
      </c>
      <c r="BF33" s="29">
        <f t="shared" si="23"/>
        <v>5.9193914594596277E-4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27.65</v>
      </c>
      <c r="C34" s="33">
        <v>29.75</v>
      </c>
      <c r="D34" s="15">
        <v>7.2358903301863705E-4</v>
      </c>
      <c r="E34" s="15">
        <v>1.3454425171223799E-3</v>
      </c>
      <c r="F34" s="33">
        <v>0</v>
      </c>
      <c r="G34" s="33">
        <v>0.14729999999999999</v>
      </c>
      <c r="H34" s="33">
        <v>0</v>
      </c>
      <c r="I34" s="33">
        <v>0.15909999999999999</v>
      </c>
      <c r="J34" s="33">
        <v>0.14729999999999999</v>
      </c>
      <c r="K34" s="33">
        <v>0.15909999999999999</v>
      </c>
      <c r="L34" s="33">
        <v>27.7973</v>
      </c>
      <c r="M34" s="33">
        <v>29.909099999999999</v>
      </c>
      <c r="N34" s="34">
        <v>1.0759493670886</v>
      </c>
      <c r="O34" s="34">
        <v>1.0748269802361801</v>
      </c>
      <c r="P34" s="34">
        <v>1.07526491387048</v>
      </c>
      <c r="Q34" s="34">
        <v>1.0743740614913599</v>
      </c>
      <c r="R34" s="33">
        <v>29.7189660035305</v>
      </c>
      <c r="S34" s="33">
        <v>29.723686972054999</v>
      </c>
      <c r="T34" s="33">
        <v>29.703738774120701</v>
      </c>
      <c r="U34" s="15">
        <v>-1.0437040147876901E-3</v>
      </c>
      <c r="V34" s="15">
        <v>-8.8486290329378204E-4</v>
      </c>
      <c r="W34" s="15">
        <v>-1.5562094552615099E-3</v>
      </c>
      <c r="X34" s="34">
        <v>1.07597140729495</v>
      </c>
      <c r="Y34" s="34">
        <v>1.0748179428614399</v>
      </c>
      <c r="Z34" s="34">
        <v>1.0752906916846099</v>
      </c>
      <c r="AA34" s="34">
        <v>1.07439254663742</v>
      </c>
      <c r="AB34" s="33">
        <v>29.8770368031023</v>
      </c>
      <c r="AC34" s="33">
        <v>29.8827908502318</v>
      </c>
      <c r="AD34" s="33">
        <v>29.862462872444201</v>
      </c>
      <c r="AE34" s="15">
        <v>-1.0725964809276899E-3</v>
      </c>
      <c r="AF34" s="15">
        <v>-8.8002406654119104E-4</v>
      </c>
      <c r="AG34" s="15">
        <v>-1.56051255074334E-3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7.2358903301863705E-4</v>
      </c>
      <c r="AP34" s="28">
        <f t="shared" si="9"/>
        <v>-1.3454425171223799E-3</v>
      </c>
      <c r="AQ34" s="28">
        <f t="shared" si="16"/>
        <v>-6.2185348410374289E-4</v>
      </c>
      <c r="AR34" s="29">
        <f t="shared" si="17"/>
        <v>-2.9914338157780124E-5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-6.2185348410374289E-4</v>
      </c>
      <c r="BF34" s="29">
        <f t="shared" si="23"/>
        <v>-2.9914338157780124E-5</v>
      </c>
      <c r="BH34" s="29"/>
    </row>
    <row r="35" spans="1:124" x14ac:dyDescent="0.25">
      <c r="A35" s="1">
        <v>46073</v>
      </c>
      <c r="B35" s="33">
        <v>27.64</v>
      </c>
      <c r="C35" s="33">
        <v>29.75</v>
      </c>
      <c r="D35" s="15">
        <v>-3.6172906887453301E-4</v>
      </c>
      <c r="E35" s="15">
        <v>0</v>
      </c>
      <c r="F35" s="33">
        <v>0</v>
      </c>
      <c r="G35" s="33">
        <v>0.14729999999999999</v>
      </c>
      <c r="H35" s="33">
        <v>0</v>
      </c>
      <c r="I35" s="33">
        <v>0.15909999999999999</v>
      </c>
      <c r="J35" s="33">
        <v>0.14729999999999999</v>
      </c>
      <c r="K35" s="33">
        <v>0.15909999999999999</v>
      </c>
      <c r="L35" s="33">
        <v>27.787299999999998</v>
      </c>
      <c r="M35" s="33">
        <v>29.909099999999999</v>
      </c>
      <c r="N35" s="34">
        <v>1.07633863965267</v>
      </c>
      <c r="O35" s="34">
        <v>1.0748269802361801</v>
      </c>
      <c r="P35" s="34">
        <v>1.07556301141239</v>
      </c>
      <c r="Q35" s="34">
        <v>1.07447318426108</v>
      </c>
      <c r="R35" s="33">
        <v>29.708217733728201</v>
      </c>
      <c r="S35" s="33">
        <v>29.720322219380002</v>
      </c>
      <c r="T35" s="33">
        <v>29.695699059621202</v>
      </c>
      <c r="U35" s="15">
        <v>-1.4054330836623099E-3</v>
      </c>
      <c r="V35" s="15">
        <v>-9.9807036437670805E-4</v>
      </c>
      <c r="W35" s="15">
        <v>-1.8269094767388E-3</v>
      </c>
      <c r="X35" s="34">
        <v>1.0763586242636001</v>
      </c>
      <c r="Y35" s="34">
        <v>1.0748179428614399</v>
      </c>
      <c r="Z35" s="34">
        <v>1.07558717783816</v>
      </c>
      <c r="AA35" s="34">
        <v>1.0744926686376901</v>
      </c>
      <c r="AB35" s="33">
        <v>29.8662886236737</v>
      </c>
      <c r="AC35" s="33">
        <v>29.879425037047799</v>
      </c>
      <c r="AD35" s="33">
        <v>29.854468011178</v>
      </c>
      <c r="AE35" s="15">
        <v>-1.4324083751533E-3</v>
      </c>
      <c r="AF35" s="15">
        <v>-9.9266424018750799E-4</v>
      </c>
      <c r="AG35" s="15">
        <v>-1.82827116444361E-3</v>
      </c>
      <c r="AI35" s="12"/>
      <c r="AJ35">
        <f t="shared" si="6"/>
        <v>1</v>
      </c>
      <c r="AK35">
        <f t="shared" si="7"/>
        <v>0</v>
      </c>
      <c r="AL35">
        <f t="shared" si="14"/>
        <v>1</v>
      </c>
      <c r="AM35">
        <f t="shared" si="4"/>
        <v>1</v>
      </c>
      <c r="AN35">
        <f t="shared" si="15"/>
        <v>1</v>
      </c>
      <c r="AO35" s="28">
        <f t="shared" si="8"/>
        <v>-3.6172906887453301E-4</v>
      </c>
      <c r="AP35" s="28">
        <f t="shared" si="9"/>
        <v>0</v>
      </c>
      <c r="AQ35" s="28">
        <f t="shared" si="16"/>
        <v>-3.6172906887453301E-4</v>
      </c>
      <c r="AR35" s="29">
        <f t="shared" si="17"/>
        <v>-3.9164340703231313E-4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-3.6172906887453301E-4</v>
      </c>
      <c r="BF35" s="29">
        <f t="shared" si="23"/>
        <v>-3.9164340703231313E-4</v>
      </c>
      <c r="BH35" s="29"/>
    </row>
    <row r="36" spans="1:124" x14ac:dyDescent="0.25">
      <c r="A36" s="1">
        <v>46076</v>
      </c>
      <c r="B36" s="33">
        <v>27.6</v>
      </c>
      <c r="C36" s="33">
        <v>29.7</v>
      </c>
      <c r="D36" s="15">
        <v>-1.44822617636476E-3</v>
      </c>
      <c r="E36" s="15">
        <v>-1.68208618298482E-3</v>
      </c>
      <c r="F36" s="33">
        <v>0</v>
      </c>
      <c r="G36" s="33">
        <v>0.14729999999999999</v>
      </c>
      <c r="H36" s="33">
        <v>0</v>
      </c>
      <c r="I36" s="33">
        <v>0.15909999999999999</v>
      </c>
      <c r="J36" s="33">
        <v>0.14729999999999999</v>
      </c>
      <c r="K36" s="33">
        <v>0.15909999999999999</v>
      </c>
      <c r="L36" s="33">
        <v>27.747299999999999</v>
      </c>
      <c r="M36" s="33">
        <v>29.859099999999899</v>
      </c>
      <c r="N36" s="34">
        <v>1.0760869565217299</v>
      </c>
      <c r="O36" s="34">
        <v>1.0748269802361801</v>
      </c>
      <c r="P36" s="34">
        <v>1.07570358320299</v>
      </c>
      <c r="Q36" s="34">
        <v>1.07455567297315</v>
      </c>
      <c r="R36" s="33">
        <v>29.665224654518699</v>
      </c>
      <c r="S36" s="33">
        <v>29.6855391149819</v>
      </c>
      <c r="T36" s="33">
        <v>29.655459885605801</v>
      </c>
      <c r="U36" s="15">
        <v>-1.17157307704213E-3</v>
      </c>
      <c r="V36" s="15">
        <v>-4.8701705901323301E-4</v>
      </c>
      <c r="W36" s="15">
        <v>-1.50079277761753E-3</v>
      </c>
      <c r="X36" s="34">
        <v>1.07610830603337</v>
      </c>
      <c r="Y36" s="34">
        <v>1.0748179428614399</v>
      </c>
      <c r="Z36" s="34">
        <v>1.0757269877257001</v>
      </c>
      <c r="AA36" s="34">
        <v>1.0745762248253401</v>
      </c>
      <c r="AB36" s="33">
        <v>29.823295905959199</v>
      </c>
      <c r="AC36" s="33">
        <v>29.844640099628801</v>
      </c>
      <c r="AD36" s="33">
        <v>29.814270424490601</v>
      </c>
      <c r="AE36" s="15">
        <v>-1.19982107931357E-3</v>
      </c>
      <c r="AF36" s="15">
        <v>-4.8438843629399598E-4</v>
      </c>
      <c r="AG36" s="15">
        <v>-1.5024988072258299E-3</v>
      </c>
      <c r="AI36" s="12"/>
      <c r="AJ36">
        <f t="shared" si="6"/>
        <v>1</v>
      </c>
      <c r="AK36">
        <f t="shared" si="7"/>
        <v>0</v>
      </c>
      <c r="AL36">
        <f t="shared" si="14"/>
        <v>1</v>
      </c>
      <c r="AM36">
        <f t="shared" si="4"/>
        <v>1</v>
      </c>
      <c r="AN36">
        <f t="shared" si="15"/>
        <v>1</v>
      </c>
      <c r="AO36" s="28">
        <f t="shared" si="8"/>
        <v>-1.44822617636476E-3</v>
      </c>
      <c r="AP36" s="28">
        <f t="shared" si="9"/>
        <v>1.68208618298482E-3</v>
      </c>
      <c r="AQ36" s="28">
        <f t="shared" si="16"/>
        <v>2.3386000662005998E-4</v>
      </c>
      <c r="AR36" s="29">
        <f t="shared" si="17"/>
        <v>-1.5778340041225315E-4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2.3386000662005998E-4</v>
      </c>
      <c r="BF36" s="29">
        <f t="shared" si="23"/>
        <v>-1.5778340041225315E-4</v>
      </c>
      <c r="BH36" s="29"/>
    </row>
    <row r="37" spans="1:124" x14ac:dyDescent="0.25">
      <c r="A37" s="1">
        <v>46077</v>
      </c>
      <c r="B37" s="33">
        <v>27.59</v>
      </c>
      <c r="C37" s="33">
        <v>29.7</v>
      </c>
      <c r="D37" s="15">
        <v>-3.6238449390969102E-4</v>
      </c>
      <c r="E37" s="15">
        <v>0</v>
      </c>
      <c r="F37" s="33">
        <v>0</v>
      </c>
      <c r="G37" s="33">
        <v>0.14729999999999999</v>
      </c>
      <c r="H37" s="33">
        <v>0</v>
      </c>
      <c r="I37" s="33">
        <v>0.15909999999999999</v>
      </c>
      <c r="J37" s="33">
        <v>0.14729999999999999</v>
      </c>
      <c r="K37" s="33">
        <v>0.15909999999999999</v>
      </c>
      <c r="L37" s="33">
        <v>27.737300000000001</v>
      </c>
      <c r="M37" s="33">
        <v>29.859099999999899</v>
      </c>
      <c r="N37" s="34">
        <v>1.07647698441464</v>
      </c>
      <c r="O37" s="34">
        <v>1.0748269802361801</v>
      </c>
      <c r="P37" s="34">
        <v>1.07593579636638</v>
      </c>
      <c r="Q37" s="34">
        <v>1.0746590140269101</v>
      </c>
      <c r="R37" s="33">
        <v>29.6544763847164</v>
      </c>
      <c r="S37" s="33">
        <v>29.678661860570699</v>
      </c>
      <c r="T37" s="33">
        <v>29.646991017329199</v>
      </c>
      <c r="U37" s="15">
        <v>-1.53395757095182E-3</v>
      </c>
      <c r="V37" s="15">
        <v>-7.1871408614484296E-4</v>
      </c>
      <c r="W37" s="15">
        <v>-1.7864089100101601E-3</v>
      </c>
      <c r="X37" s="34">
        <v>1.0764962703651699</v>
      </c>
      <c r="Y37" s="34">
        <v>1.0748179428614399</v>
      </c>
      <c r="Z37" s="34">
        <v>1.0759579585665699</v>
      </c>
      <c r="AA37" s="34">
        <v>1.07468053017663</v>
      </c>
      <c r="AB37" s="33">
        <v>29.8125477265306</v>
      </c>
      <c r="AC37" s="33">
        <v>29.837762176644201</v>
      </c>
      <c r="AD37" s="33">
        <v>29.805843120847999</v>
      </c>
      <c r="AE37" s="15">
        <v>-1.5602814632139101E-3</v>
      </c>
      <c r="AF37" s="15">
        <v>-7.1487255733305099E-4</v>
      </c>
      <c r="AG37" s="15">
        <v>-1.7851988289997499E-3</v>
      </c>
      <c r="AI37" s="12"/>
      <c r="AJ37">
        <f t="shared" si="6"/>
        <v>1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-3.6238449390969102E-4</v>
      </c>
      <c r="AP37" s="28">
        <f t="shared" si="9"/>
        <v>0</v>
      </c>
      <c r="AQ37" s="28">
        <f t="shared" si="16"/>
        <v>-3.6238449390969102E-4</v>
      </c>
      <c r="AR37" s="29">
        <f t="shared" si="17"/>
        <v>-5.2016789432194417E-4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-3.6238449390969102E-4</v>
      </c>
      <c r="BF37" s="29">
        <f t="shared" si="23"/>
        <v>-5.2016789432194417E-4</v>
      </c>
      <c r="BH37" s="29"/>
    </row>
    <row r="38" spans="1:124" x14ac:dyDescent="0.25">
      <c r="A38" s="1">
        <v>46078</v>
      </c>
      <c r="B38" s="33">
        <v>27.62</v>
      </c>
      <c r="C38" s="33">
        <v>29.71</v>
      </c>
      <c r="D38" s="15">
        <v>1.0867597519514801E-3</v>
      </c>
      <c r="E38" s="15">
        <v>3.3664366586230401E-4</v>
      </c>
      <c r="F38" s="33">
        <v>0</v>
      </c>
      <c r="G38" s="33">
        <v>0.14729999999999999</v>
      </c>
      <c r="H38" s="33">
        <v>0</v>
      </c>
      <c r="I38" s="33">
        <v>0.15909999999999999</v>
      </c>
      <c r="J38" s="33">
        <v>0.14729999999999999</v>
      </c>
      <c r="K38" s="33">
        <v>0.15909999999999999</v>
      </c>
      <c r="L38" s="33">
        <v>27.767299999999999</v>
      </c>
      <c r="M38" s="33">
        <v>29.8691</v>
      </c>
      <c r="N38" s="34">
        <v>1.0756698044894999</v>
      </c>
      <c r="O38" s="34">
        <v>1.0748269802361801</v>
      </c>
      <c r="P38" s="34">
        <v>1.0760563547303299</v>
      </c>
      <c r="Q38" s="34">
        <v>1.0747817576040499</v>
      </c>
      <c r="R38" s="33">
        <v>29.6867211941234</v>
      </c>
      <c r="S38" s="33">
        <v>29.717346695639399</v>
      </c>
      <c r="T38" s="33">
        <v>29.6820819674234</v>
      </c>
      <c r="U38" s="15">
        <v>-7.8384148486286998E-4</v>
      </c>
      <c r="V38" s="15">
        <v>2.47249661490277E-4</v>
      </c>
      <c r="W38" s="15">
        <v>-9.4012648514843196E-4</v>
      </c>
      <c r="X38" s="34">
        <v>1.07569335153219</v>
      </c>
      <c r="Y38" s="34">
        <v>1.0748179428614399</v>
      </c>
      <c r="Z38" s="34">
        <v>1.07607786765583</v>
      </c>
      <c r="AA38" s="34">
        <v>1.0748044511059001</v>
      </c>
      <c r="AB38" s="33">
        <v>29.844792264816402</v>
      </c>
      <c r="AC38" s="33">
        <v>29.8764474229055</v>
      </c>
      <c r="AD38" s="33">
        <v>29.840976685573601</v>
      </c>
      <c r="AE38" s="15">
        <v>-8.14140080447692E-4</v>
      </c>
      <c r="AF38" s="15">
        <v>2.4595717202499098E-4</v>
      </c>
      <c r="AG38" s="15">
        <v>-9.4199565859103495E-4</v>
      </c>
      <c r="AI38" s="12"/>
      <c r="AJ38">
        <f t="shared" si="6"/>
        <v>0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1.0867597519514801E-3</v>
      </c>
      <c r="AP38" s="28">
        <f t="shared" si="9"/>
        <v>-3.3664366586230401E-4</v>
      </c>
      <c r="AQ38" s="28">
        <f t="shared" si="16"/>
        <v>7.5011608608917604E-4</v>
      </c>
      <c r="AR38" s="29">
        <f t="shared" si="17"/>
        <v>2.2994819176723187E-4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7.5011608608917604E-4</v>
      </c>
      <c r="BF38" s="29">
        <f t="shared" si="23"/>
        <v>2.2994819176723187E-4</v>
      </c>
      <c r="BH38" s="29"/>
    </row>
    <row r="39" spans="1:124" x14ac:dyDescent="0.25">
      <c r="A39" s="1">
        <v>46079</v>
      </c>
      <c r="B39" s="33">
        <v>27.64</v>
      </c>
      <c r="C39" s="33">
        <v>29.71</v>
      </c>
      <c r="D39" s="15">
        <v>7.2385091832307704E-4</v>
      </c>
      <c r="E39" s="15">
        <v>0</v>
      </c>
      <c r="F39" s="33">
        <v>0</v>
      </c>
      <c r="G39" s="33">
        <v>0.14729999999999999</v>
      </c>
      <c r="H39" s="33">
        <v>0</v>
      </c>
      <c r="I39" s="33">
        <v>0.15909999999999999</v>
      </c>
      <c r="J39" s="33">
        <v>0.14729999999999999</v>
      </c>
      <c r="K39" s="33">
        <v>0.15909999999999999</v>
      </c>
      <c r="L39" s="33">
        <v>27.787299999999998</v>
      </c>
      <c r="M39" s="33">
        <v>29.8691</v>
      </c>
      <c r="N39" s="34">
        <v>1.07489146164978</v>
      </c>
      <c r="O39" s="34">
        <v>1.0748269802361801</v>
      </c>
      <c r="P39" s="34">
        <v>1.0759537827696299</v>
      </c>
      <c r="Q39" s="34">
        <v>1.07486292843772</v>
      </c>
      <c r="R39" s="33">
        <v>29.708217733728201</v>
      </c>
      <c r="S39" s="33">
        <v>29.742197644746401</v>
      </c>
      <c r="T39" s="33">
        <v>29.706967780176001</v>
      </c>
      <c r="U39" s="15">
        <v>-5.9990566539804199E-5</v>
      </c>
      <c r="V39" s="15">
        <v>1.0831440777567499E-3</v>
      </c>
      <c r="W39" s="15">
        <v>-1.02065788270525E-4</v>
      </c>
      <c r="X39" s="34">
        <v>1.0749191177264401</v>
      </c>
      <c r="Y39" s="34">
        <v>1.0748179428614399</v>
      </c>
      <c r="Z39" s="34">
        <v>1.0759758305967599</v>
      </c>
      <c r="AA39" s="34">
        <v>1.0748870047434</v>
      </c>
      <c r="AB39" s="33">
        <v>29.8662886236737</v>
      </c>
      <c r="AC39" s="33">
        <v>29.9012985319129</v>
      </c>
      <c r="AD39" s="33">
        <v>29.865913724215101</v>
      </c>
      <c r="AE39" s="15">
        <v>-9.4127665129159203E-5</v>
      </c>
      <c r="AF39" s="15">
        <v>1.0774074062908201E-3</v>
      </c>
      <c r="AG39" s="15">
        <v>-1.0668034002825E-4</v>
      </c>
      <c r="AI39" s="12"/>
      <c r="AJ39">
        <f t="shared" si="6"/>
        <v>0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7.2385091832307704E-4</v>
      </c>
      <c r="AP39" s="28">
        <f t="shared" si="9"/>
        <v>0</v>
      </c>
      <c r="AQ39" s="28">
        <f t="shared" si="16"/>
        <v>7.2385091832307704E-4</v>
      </c>
      <c r="AR39" s="29">
        <f t="shared" si="17"/>
        <v>9.5379911009030891E-4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7.2385091832307704E-4</v>
      </c>
      <c r="BF39" s="29">
        <f t="shared" si="23"/>
        <v>9.5379911009030891E-4</v>
      </c>
      <c r="BH39" s="29"/>
    </row>
    <row r="40" spans="1:124" x14ac:dyDescent="0.25">
      <c r="A40" s="1">
        <v>46080</v>
      </c>
      <c r="B40" s="33">
        <v>27.57</v>
      </c>
      <c r="C40" s="33">
        <v>29.63</v>
      </c>
      <c r="D40" s="15">
        <v>-2.5357738637637401E-3</v>
      </c>
      <c r="E40" s="15">
        <v>-2.6963278890425098E-3</v>
      </c>
      <c r="F40" s="33">
        <v>0</v>
      </c>
      <c r="G40" s="33">
        <v>0.14729999999999999</v>
      </c>
      <c r="H40" s="33">
        <v>0</v>
      </c>
      <c r="I40" s="33">
        <v>0.15909999999999999</v>
      </c>
      <c r="J40" s="33">
        <v>0.14729999999999999</v>
      </c>
      <c r="K40" s="33">
        <v>0.15909999999999999</v>
      </c>
      <c r="L40" s="33">
        <v>27.717300000000002</v>
      </c>
      <c r="M40" s="33">
        <v>29.789099999999902</v>
      </c>
      <c r="N40" s="34">
        <v>1.07471889735219</v>
      </c>
      <c r="O40" s="34">
        <v>1.0748269802361801</v>
      </c>
      <c r="P40" s="34">
        <v>1.0758059337530299</v>
      </c>
      <c r="Q40" s="34">
        <v>1.07497305749677</v>
      </c>
      <c r="R40" s="33">
        <v>29.632979845111599</v>
      </c>
      <c r="S40" s="33">
        <v>29.664045790958699</v>
      </c>
      <c r="T40" s="33">
        <v>29.633970937028</v>
      </c>
      <c r="U40" s="15">
        <v>1.00563458738836E-4</v>
      </c>
      <c r="V40" s="15">
        <v>1.14837145099692E-3</v>
      </c>
      <c r="W40" s="15">
        <v>1.3400846994093799E-4</v>
      </c>
      <c r="X40" s="34">
        <v>1.0747475403448301</v>
      </c>
      <c r="Y40" s="34">
        <v>1.0748179428614399</v>
      </c>
      <c r="Z40" s="34">
        <v>1.0758287665544199</v>
      </c>
      <c r="AA40" s="34">
        <v>1.07499856595209</v>
      </c>
      <c r="AB40" s="33">
        <v>29.791051367673401</v>
      </c>
      <c r="AC40" s="33">
        <v>29.8231448893996</v>
      </c>
      <c r="AD40" s="33">
        <v>29.792965576574399</v>
      </c>
      <c r="AE40" s="15">
        <v>6.5503951544742102E-5</v>
      </c>
      <c r="AF40" s="15">
        <v>1.14221140855222E-3</v>
      </c>
      <c r="AG40" s="15">
        <v>1.2975638029625599E-4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-2.5357738637637401E-3</v>
      </c>
      <c r="AP40" s="28">
        <f t="shared" si="9"/>
        <v>2.6963278890425098E-3</v>
      </c>
      <c r="AQ40" s="28">
        <f t="shared" si="16"/>
        <v>1.6055402527876978E-4</v>
      </c>
      <c r="AR40" s="29">
        <f t="shared" si="17"/>
        <v>1.1143531353690786E-3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1.6055402527876978E-4</v>
      </c>
      <c r="BF40" s="29">
        <f t="shared" si="23"/>
        <v>1.1143531353690786E-3</v>
      </c>
      <c r="BH40" s="29"/>
    </row>
    <row r="41" spans="1:124" x14ac:dyDescent="0.25">
      <c r="A41" s="1">
        <v>46083</v>
      </c>
      <c r="B41" s="33">
        <v>27.37</v>
      </c>
      <c r="C41" s="33">
        <v>29.5</v>
      </c>
      <c r="D41" s="15">
        <v>-7.2807019831176399E-3</v>
      </c>
      <c r="E41" s="15">
        <v>-4.3970982396996398E-3</v>
      </c>
      <c r="F41" s="33">
        <v>0.15057999999999999</v>
      </c>
      <c r="G41" s="33">
        <v>0.29787999999999998</v>
      </c>
      <c r="H41" s="33">
        <v>0.14050000000000001</v>
      </c>
      <c r="I41" s="33">
        <v>0.29959999999999998</v>
      </c>
      <c r="J41" s="33">
        <v>0.29787999999999998</v>
      </c>
      <c r="K41" s="33">
        <v>0.29959999999999998</v>
      </c>
      <c r="L41" s="33">
        <v>27.66788</v>
      </c>
      <c r="M41" s="33">
        <v>29.799600000000002</v>
      </c>
      <c r="N41" s="34">
        <v>1.0778224333211499</v>
      </c>
      <c r="O41" s="34">
        <v>1.0748269802361801</v>
      </c>
      <c r="P41" s="34">
        <v>1.0759404786436799</v>
      </c>
      <c r="Q41" s="34">
        <v>1.0752007769140099</v>
      </c>
      <c r="R41" s="33">
        <v>29.418014449064401</v>
      </c>
      <c r="S41" s="33">
        <v>29.444808406820499</v>
      </c>
      <c r="T41" s="33">
        <v>29.422012583686701</v>
      </c>
      <c r="U41" s="15">
        <v>-2.7830402846789901E-3</v>
      </c>
      <c r="V41" s="15">
        <v>-1.87265378580836E-3</v>
      </c>
      <c r="W41" s="15">
        <v>-2.6471418213345199E-3</v>
      </c>
      <c r="X41" s="34">
        <v>1.0770467415645799</v>
      </c>
      <c r="Y41" s="34">
        <v>1.0748179428614399</v>
      </c>
      <c r="Z41" s="34">
        <v>1.07588381367436</v>
      </c>
      <c r="AA41" s="34">
        <v>1.0751875007814999</v>
      </c>
      <c r="AB41" s="33">
        <v>29.737933864937101</v>
      </c>
      <c r="AC41" s="33">
        <v>29.765901213575699</v>
      </c>
      <c r="AD41" s="33">
        <v>29.742931322934599</v>
      </c>
      <c r="AE41" s="15">
        <v>-2.0715052542876599E-3</v>
      </c>
      <c r="AF41" s="15">
        <v>-1.1314868282118801E-3</v>
      </c>
      <c r="AG41" s="15">
        <v>-1.90346943324212E-3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1.1143531353690786E-3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1.1143531353690786E-3</v>
      </c>
      <c r="BH41" s="29"/>
    </row>
    <row r="42" spans="1:124" x14ac:dyDescent="0.25">
      <c r="A42" s="1">
        <v>46084</v>
      </c>
      <c r="B42" s="33">
        <v>27.23</v>
      </c>
      <c r="C42" s="33">
        <v>29.32</v>
      </c>
      <c r="D42" s="15">
        <v>-5.1282163669194502E-3</v>
      </c>
      <c r="E42" s="15">
        <v>-6.1203863273234099E-3</v>
      </c>
      <c r="F42" s="33">
        <v>0</v>
      </c>
      <c r="G42" s="33">
        <v>0.29787999999999998</v>
      </c>
      <c r="H42" s="33">
        <v>0</v>
      </c>
      <c r="I42" s="33">
        <v>0.29959999999999998</v>
      </c>
      <c r="J42" s="33">
        <v>0.29787999999999998</v>
      </c>
      <c r="K42" s="33">
        <v>0.29959999999999998</v>
      </c>
      <c r="L42" s="33">
        <v>27.52788</v>
      </c>
      <c r="M42" s="33">
        <v>29.619599999999998</v>
      </c>
      <c r="N42" s="34">
        <v>1.07675358060962</v>
      </c>
      <c r="O42" s="34">
        <v>1.0748269802361801</v>
      </c>
      <c r="P42" s="34">
        <v>1.0759988617318501</v>
      </c>
      <c r="Q42" s="34">
        <v>1.0753772537587001</v>
      </c>
      <c r="R42" s="33">
        <v>29.2675386718313</v>
      </c>
      <c r="S42" s="33">
        <v>29.297859233467499</v>
      </c>
      <c r="T42" s="33">
        <v>29.277717155368499</v>
      </c>
      <c r="U42" s="15">
        <v>-1.7908703242751601E-3</v>
      </c>
      <c r="V42" s="15">
        <v>-7.5542736888938695E-4</v>
      </c>
      <c r="W42" s="15">
        <v>-1.44315697001949E-3</v>
      </c>
      <c r="X42" s="34">
        <v>1.07598550996299</v>
      </c>
      <c r="Y42" s="34">
        <v>1.0748179428614399</v>
      </c>
      <c r="Z42" s="34">
        <v>1.0758632964353001</v>
      </c>
      <c r="AA42" s="34">
        <v>1.07532373677941</v>
      </c>
      <c r="AB42" s="33">
        <v>29.587459352936499</v>
      </c>
      <c r="AC42" s="33">
        <v>29.616800516770201</v>
      </c>
      <c r="AD42" s="33">
        <v>29.597632499012999</v>
      </c>
      <c r="AE42" s="15">
        <v>-1.08570331213271E-3</v>
      </c>
      <c r="AF42" s="15">
        <v>-9.4519018962086696E-5</v>
      </c>
      <c r="AG42" s="15">
        <v>-7.4192936979853696E-4</v>
      </c>
      <c r="AI42" s="12"/>
      <c r="AJ42">
        <f t="shared" si="6"/>
        <v>0</v>
      </c>
      <c r="AK42">
        <f t="shared" si="7"/>
        <v>0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-5.1282163669194502E-3</v>
      </c>
      <c r="AP42" s="28">
        <f t="shared" si="9"/>
        <v>6.1203863273234099E-3</v>
      </c>
      <c r="AQ42" s="28">
        <f t="shared" si="16"/>
        <v>9.921699604039597E-4</v>
      </c>
      <c r="AR42" s="29">
        <f t="shared" si="17"/>
        <v>2.1065230957730383E-3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9.921699604039597E-4</v>
      </c>
      <c r="BF42" s="29">
        <f t="shared" si="23"/>
        <v>2.1065230957730383E-3</v>
      </c>
      <c r="BH42" s="29"/>
    </row>
    <row r="43" spans="1:124" x14ac:dyDescent="0.25">
      <c r="A43" s="1">
        <v>46085</v>
      </c>
      <c r="B43" s="33">
        <v>27.33</v>
      </c>
      <c r="C43" s="33">
        <v>29.41</v>
      </c>
      <c r="D43" s="15">
        <v>3.66569325430826E-3</v>
      </c>
      <c r="E43" s="15">
        <v>3.0648755474529401E-3</v>
      </c>
      <c r="F43" s="33">
        <v>0</v>
      </c>
      <c r="G43" s="33">
        <v>0.29787999999999998</v>
      </c>
      <c r="H43" s="33">
        <v>0</v>
      </c>
      <c r="I43" s="33">
        <v>0.29959999999999998</v>
      </c>
      <c r="J43" s="33">
        <v>0.29787999999999998</v>
      </c>
      <c r="K43" s="33">
        <v>0.29959999999999998</v>
      </c>
      <c r="L43" s="33">
        <v>27.627879999999902</v>
      </c>
      <c r="M43" s="33">
        <v>29.709599999999998</v>
      </c>
      <c r="N43" s="34">
        <v>1.0761068422978399</v>
      </c>
      <c r="O43" s="34">
        <v>1.0748269802361801</v>
      </c>
      <c r="P43" s="34">
        <v>1.07608149673977</v>
      </c>
      <c r="Q43" s="34">
        <v>1.0755396086240401</v>
      </c>
      <c r="R43" s="33">
        <v>29.375021369854998</v>
      </c>
      <c r="S43" s="33">
        <v>29.407048891131499</v>
      </c>
      <c r="T43" s="33">
        <v>29.390060345225201</v>
      </c>
      <c r="U43" s="15">
        <v>-1.19005261741973E-3</v>
      </c>
      <c r="V43" s="15">
        <v>-1.00348756919603E-4</v>
      </c>
      <c r="W43" s="15">
        <v>-6.7821888011545899E-4</v>
      </c>
      <c r="X43" s="34">
        <v>1.0753485247510799</v>
      </c>
      <c r="Y43" s="34">
        <v>1.0748179428614399</v>
      </c>
      <c r="Z43" s="34">
        <v>1.0758675393839201</v>
      </c>
      <c r="AA43" s="34">
        <v>1.0754462412311301</v>
      </c>
      <c r="AB43" s="33">
        <v>29.6949411472227</v>
      </c>
      <c r="AC43" s="33">
        <v>29.723822050318901</v>
      </c>
      <c r="AD43" s="33">
        <v>29.708915160893099</v>
      </c>
      <c r="AE43" s="15">
        <v>-4.9352634636039999E-4</v>
      </c>
      <c r="AF43" s="15">
        <v>4.7858763973995702E-4</v>
      </c>
      <c r="AG43" s="15">
        <v>-2.3051370605644701E-5</v>
      </c>
      <c r="AI43" s="12"/>
      <c r="AJ43">
        <f t="shared" si="6"/>
        <v>0</v>
      </c>
      <c r="AK43">
        <f t="shared" si="7"/>
        <v>0</v>
      </c>
      <c r="AL43">
        <f t="shared" si="14"/>
        <v>1</v>
      </c>
      <c r="AM43">
        <f t="shared" si="4"/>
        <v>1</v>
      </c>
      <c r="AN43">
        <f t="shared" si="15"/>
        <v>1</v>
      </c>
      <c r="AO43" s="28">
        <f t="shared" si="8"/>
        <v>3.66569325430826E-3</v>
      </c>
      <c r="AP43" s="28">
        <f t="shared" si="9"/>
        <v>-3.0648755474529401E-3</v>
      </c>
      <c r="AQ43" s="28">
        <f t="shared" si="16"/>
        <v>6.0081770685531995E-4</v>
      </c>
      <c r="AR43" s="29">
        <f t="shared" si="17"/>
        <v>2.7073408026283582E-3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6.0081770685531995E-4</v>
      </c>
      <c r="BF43" s="29">
        <f t="shared" si="23"/>
        <v>2.7073408026283582E-3</v>
      </c>
      <c r="BH43" s="29"/>
    </row>
    <row r="44" spans="1:124" x14ac:dyDescent="0.25">
      <c r="A44" s="1">
        <v>46086</v>
      </c>
      <c r="B44" s="33">
        <v>27.19</v>
      </c>
      <c r="C44" s="33">
        <v>29.23</v>
      </c>
      <c r="D44" s="15">
        <v>-5.1357412955972299E-3</v>
      </c>
      <c r="E44" s="15">
        <v>-6.1391734427491103E-3</v>
      </c>
      <c r="F44" s="33">
        <v>0</v>
      </c>
      <c r="G44" s="33">
        <v>0.29787999999999998</v>
      </c>
      <c r="H44" s="33">
        <v>0</v>
      </c>
      <c r="I44" s="33">
        <v>0.29959999999999998</v>
      </c>
      <c r="J44" s="33">
        <v>0.29787999999999998</v>
      </c>
      <c r="K44" s="33">
        <v>0.29959999999999998</v>
      </c>
      <c r="L44" s="33">
        <v>27.487880000000001</v>
      </c>
      <c r="M44" s="33">
        <v>29.529599999999999</v>
      </c>
      <c r="N44" s="34">
        <v>1.0750275836704599</v>
      </c>
      <c r="O44" s="34">
        <v>1.0748269802361801</v>
      </c>
      <c r="P44" s="34">
        <v>1.0759893183979601</v>
      </c>
      <c r="Q44" s="34">
        <v>1.0756271161342199</v>
      </c>
      <c r="R44" s="33">
        <v>29.224545592621901</v>
      </c>
      <c r="S44" s="33">
        <v>29.258655896354501</v>
      </c>
      <c r="T44" s="33">
        <v>29.2439219584878</v>
      </c>
      <c r="U44" s="15">
        <v>-1.8662047026785599E-4</v>
      </c>
      <c r="V44" s="15">
        <v>9.7987885712948197E-4</v>
      </c>
      <c r="W44" s="15">
        <v>4.7617667105744998E-4</v>
      </c>
      <c r="X44" s="34">
        <v>1.07427709957988</v>
      </c>
      <c r="Y44" s="34">
        <v>1.0748179428614399</v>
      </c>
      <c r="Z44" s="34">
        <v>1.07569810861241</v>
      </c>
      <c r="AA44" s="34">
        <v>1.0754944001485101</v>
      </c>
      <c r="AB44" s="33">
        <v>29.544466635222101</v>
      </c>
      <c r="AC44" s="33">
        <v>29.5733178184806</v>
      </c>
      <c r="AD44" s="33">
        <v>29.5617372254125</v>
      </c>
      <c r="AE44" s="15">
        <v>5.0332189343881202E-4</v>
      </c>
      <c r="AF44" s="15">
        <v>1.47937963361282E-3</v>
      </c>
      <c r="AG44" s="15">
        <v>1.0877137018741199E-3</v>
      </c>
      <c r="AI44" s="12"/>
      <c r="AJ44">
        <f t="shared" si="6"/>
        <v>0</v>
      </c>
      <c r="AK44">
        <f t="shared" si="7"/>
        <v>1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-5.1357412955972299E-3</v>
      </c>
      <c r="AP44" s="28">
        <f t="shared" si="9"/>
        <v>6.1391734427491103E-3</v>
      </c>
      <c r="AQ44" s="28">
        <f t="shared" si="16"/>
        <v>1.0034321471518804E-3</v>
      </c>
      <c r="AR44" s="29">
        <f t="shared" si="17"/>
        <v>3.7107729497802386E-3</v>
      </c>
      <c r="AT44" s="12"/>
      <c r="AU44">
        <f t="shared" si="10"/>
        <v>0</v>
      </c>
      <c r="AV44">
        <f t="shared" si="11"/>
        <v>0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1.0034321471518804E-3</v>
      </c>
      <c r="BF44" s="29">
        <f t="shared" si="23"/>
        <v>3.7107729497802386E-3</v>
      </c>
      <c r="BH44" s="29"/>
    </row>
    <row r="45" spans="1:124" x14ac:dyDescent="0.25">
      <c r="A45" s="1">
        <v>46087</v>
      </c>
      <c r="B45" s="33">
        <v>26.98</v>
      </c>
      <c r="C45" s="33">
        <v>29.05</v>
      </c>
      <c r="D45" s="15">
        <v>-7.7534078647695298E-3</v>
      </c>
      <c r="E45" s="15">
        <v>-6.1770958252342903E-3</v>
      </c>
      <c r="F45" s="33">
        <v>0</v>
      </c>
      <c r="G45" s="33">
        <v>0.29787999999999998</v>
      </c>
      <c r="H45" s="33">
        <v>0</v>
      </c>
      <c r="I45" s="33">
        <v>0.29959999999999998</v>
      </c>
      <c r="J45" s="33">
        <v>0.29787999999999998</v>
      </c>
      <c r="K45" s="33">
        <v>0.29959999999999998</v>
      </c>
      <c r="L45" s="33">
        <v>27.27788</v>
      </c>
      <c r="M45" s="33">
        <v>29.349599999999999</v>
      </c>
      <c r="N45" s="34">
        <v>1.0767234988880601</v>
      </c>
      <c r="O45" s="34">
        <v>1.0748269802361801</v>
      </c>
      <c r="P45" s="34">
        <v>1.0760278043214999</v>
      </c>
      <c r="Q45" s="34">
        <v>1.0757954078669401</v>
      </c>
      <c r="R45" s="33">
        <v>28.998831926772301</v>
      </c>
      <c r="S45" s="33">
        <v>29.030191810377001</v>
      </c>
      <c r="T45" s="33">
        <v>29.020419593301199</v>
      </c>
      <c r="U45" s="15">
        <v>-1.7629325098030601E-3</v>
      </c>
      <c r="V45" s="15">
        <v>-6.8209796743233997E-4</v>
      </c>
      <c r="W45" s="15">
        <v>-1.01877718343896E-3</v>
      </c>
      <c r="X45" s="34">
        <v>1.0759487174223199</v>
      </c>
      <c r="Y45" s="34">
        <v>1.0748179428614399</v>
      </c>
      <c r="Z45" s="34">
        <v>1.0756571179282901</v>
      </c>
      <c r="AA45" s="34">
        <v>1.07562214788322</v>
      </c>
      <c r="AB45" s="33">
        <v>29.318754867221202</v>
      </c>
      <c r="AC45" s="33">
        <v>29.3427639229565</v>
      </c>
      <c r="AD45" s="33">
        <v>29.337207187923202</v>
      </c>
      <c r="AE45" s="15">
        <v>-1.05150845598525E-3</v>
      </c>
      <c r="AF45" s="15">
        <v>-2.32946046724843E-4</v>
      </c>
      <c r="AG45" s="15">
        <v>-4.2233724596140099E-4</v>
      </c>
      <c r="AI45" s="12"/>
      <c r="AJ45">
        <f t="shared" si="6"/>
        <v>0</v>
      </c>
      <c r="AK45">
        <f t="shared" si="7"/>
        <v>0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3.7107729497802386E-3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3.7107729497802386E-3</v>
      </c>
      <c r="BH45" s="29"/>
    </row>
    <row r="46" spans="1:124" x14ac:dyDescent="0.25">
      <c r="A46" s="1">
        <v>46090</v>
      </c>
      <c r="B46" s="33">
        <v>27.12</v>
      </c>
      <c r="C46" s="33">
        <v>29.17</v>
      </c>
      <c r="D46" s="15">
        <v>5.1756122925850998E-3</v>
      </c>
      <c r="E46" s="15">
        <v>4.1223005817097504E-3</v>
      </c>
      <c r="F46" s="33">
        <v>0</v>
      </c>
      <c r="G46" s="33">
        <v>0.29787999999999998</v>
      </c>
      <c r="H46" s="33">
        <v>0</v>
      </c>
      <c r="I46" s="33">
        <v>0.29959999999999998</v>
      </c>
      <c r="J46" s="33">
        <v>0.29787999999999998</v>
      </c>
      <c r="K46" s="33">
        <v>0.29959999999999998</v>
      </c>
      <c r="L46" s="33">
        <v>27.41788</v>
      </c>
      <c r="M46" s="33">
        <v>29.4696</v>
      </c>
      <c r="N46" s="34">
        <v>1.07558997050147</v>
      </c>
      <c r="O46" s="34">
        <v>1.0748269802361801</v>
      </c>
      <c r="P46" s="34">
        <v>1.0759781057194699</v>
      </c>
      <c r="Q46" s="34">
        <v>1.07584084446123</v>
      </c>
      <c r="R46" s="33">
        <v>29.149307704005398</v>
      </c>
      <c r="S46" s="33">
        <v>29.181874053199099</v>
      </c>
      <c r="T46" s="33">
        <v>29.175571461351499</v>
      </c>
      <c r="U46" s="15">
        <v>-7.0962079892791796E-4</v>
      </c>
      <c r="V46" s="15">
        <v>4.0698104579059403E-4</v>
      </c>
      <c r="W46" s="15">
        <v>1.90981465395012E-4</v>
      </c>
      <c r="X46" s="34">
        <v>1.0748314603463101</v>
      </c>
      <c r="Y46" s="34">
        <v>1.0748179428614399</v>
      </c>
      <c r="Z46" s="34">
        <v>1.07552943335958</v>
      </c>
      <c r="AA46" s="34">
        <v>1.07562821054264</v>
      </c>
      <c r="AB46" s="33">
        <v>29.469229379221801</v>
      </c>
      <c r="AC46" s="33">
        <v>29.4922377805037</v>
      </c>
      <c r="AD46" s="33">
        <v>29.491278976004502</v>
      </c>
      <c r="AE46" s="15">
        <v>-1.25764553546724E-5</v>
      </c>
      <c r="AF46" s="15">
        <v>7.6787910513699195E-4</v>
      </c>
      <c r="AG46" s="15">
        <v>7.3536817489841305E-4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3.7107729497802386E-3</v>
      </c>
      <c r="AT46" s="12"/>
      <c r="AU46">
        <f t="shared" si="10"/>
        <v>0</v>
      </c>
      <c r="AV46">
        <f t="shared" si="11"/>
        <v>0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3.7107729497802386E-3</v>
      </c>
      <c r="BH46" s="29"/>
    </row>
    <row r="47" spans="1:124" x14ac:dyDescent="0.25">
      <c r="A47" s="1">
        <v>46091</v>
      </c>
      <c r="B47" s="33">
        <v>27.06</v>
      </c>
      <c r="C47" s="33">
        <v>29.12</v>
      </c>
      <c r="D47" s="15">
        <v>-2.2148403295528898E-3</v>
      </c>
      <c r="E47" s="15">
        <v>-1.7155605511448E-3</v>
      </c>
      <c r="F47" s="33">
        <v>0</v>
      </c>
      <c r="G47" s="33">
        <v>0.29787999999999998</v>
      </c>
      <c r="H47" s="33">
        <v>0</v>
      </c>
      <c r="I47" s="33">
        <v>0.29959999999999998</v>
      </c>
      <c r="J47" s="33">
        <v>0.29787999999999998</v>
      </c>
      <c r="K47" s="33">
        <v>0.29959999999999998</v>
      </c>
      <c r="L47" s="33">
        <v>27.357879999999899</v>
      </c>
      <c r="M47" s="33">
        <v>29.419599999999999</v>
      </c>
      <c r="N47" s="34">
        <v>1.0761271249076101</v>
      </c>
      <c r="O47" s="34">
        <v>1.0748269802361801</v>
      </c>
      <c r="P47" s="34">
        <v>1.0759431197687701</v>
      </c>
      <c r="Q47" s="34">
        <v>1.0759394580675701</v>
      </c>
      <c r="R47" s="33">
        <v>29.084818085191198</v>
      </c>
      <c r="S47" s="33">
        <v>29.115967540768899</v>
      </c>
      <c r="T47" s="33">
        <v>29.112253251121</v>
      </c>
      <c r="U47" s="15">
        <v>-1.2089005773359099E-3</v>
      </c>
      <c r="V47" s="15">
        <v>-1.38486897625358E-4</v>
      </c>
      <c r="W47" s="15">
        <v>-2.6606385609880603E-4</v>
      </c>
      <c r="X47" s="34">
        <v>1.0753611025415699</v>
      </c>
      <c r="Y47" s="34">
        <v>1.0748179428614399</v>
      </c>
      <c r="Z47" s="34">
        <v>1.0754159165772199</v>
      </c>
      <c r="AA47" s="34">
        <v>1.07568693757189</v>
      </c>
      <c r="AB47" s="33">
        <v>29.404740302650101</v>
      </c>
      <c r="AC47" s="33">
        <v>29.4242051743195</v>
      </c>
      <c r="AD47" s="33">
        <v>29.426907508640401</v>
      </c>
      <c r="AE47" s="15">
        <v>-5.0522275607280598E-4</v>
      </c>
      <c r="AF47" s="15">
        <v>1.5652197594153401E-4</v>
      </c>
      <c r="AG47" s="15">
        <v>2.4835827944085501E-4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3.7107729497802386E-3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3.7107729497802386E-3</v>
      </c>
      <c r="BH47" s="29"/>
    </row>
    <row r="48" spans="1:124" x14ac:dyDescent="0.25">
      <c r="A48" s="1">
        <v>46092</v>
      </c>
      <c r="B48" s="33">
        <v>26.96</v>
      </c>
      <c r="C48" s="33">
        <v>29.02</v>
      </c>
      <c r="D48" s="15">
        <v>-3.70233669853566E-3</v>
      </c>
      <c r="E48" s="15">
        <v>-3.4399758724435298E-3</v>
      </c>
      <c r="F48" s="33">
        <v>0</v>
      </c>
      <c r="G48" s="33">
        <v>0.29787999999999998</v>
      </c>
      <c r="H48" s="33">
        <v>0</v>
      </c>
      <c r="I48" s="33">
        <v>0.29959999999999998</v>
      </c>
      <c r="J48" s="33">
        <v>0.29787999999999998</v>
      </c>
      <c r="K48" s="33">
        <v>0.29959999999999998</v>
      </c>
      <c r="L48" s="33">
        <v>27.25788</v>
      </c>
      <c r="M48" s="33">
        <v>29.319600000000001</v>
      </c>
      <c r="N48" s="34">
        <v>1.07640949554896</v>
      </c>
      <c r="O48" s="34">
        <v>1.0748269802361801</v>
      </c>
      <c r="P48" s="34">
        <v>1.07601708887471</v>
      </c>
      <c r="Q48" s="34">
        <v>1.07603672180252</v>
      </c>
      <c r="R48" s="33">
        <v>28.977335387167599</v>
      </c>
      <c r="S48" s="33">
        <v>29.007426508965999</v>
      </c>
      <c r="T48" s="33">
        <v>29.007327789501801</v>
      </c>
      <c r="U48" s="15">
        <v>-1.4712614034281201E-3</v>
      </c>
      <c r="V48" s="15">
        <v>-4.3336373805078198E-4</v>
      </c>
      <c r="W48" s="15">
        <v>-4.3676699177197103E-4</v>
      </c>
      <c r="X48" s="34">
        <v>1.0756375770969699</v>
      </c>
      <c r="Y48" s="34">
        <v>1.0748179428614399</v>
      </c>
      <c r="Z48" s="34">
        <v>1.0754103391337</v>
      </c>
      <c r="AA48" s="34">
        <v>1.0757441033947599</v>
      </c>
      <c r="AB48" s="33">
        <v>29.297258508363999</v>
      </c>
      <c r="AC48" s="33">
        <v>29.313558004151901</v>
      </c>
      <c r="AD48" s="33">
        <v>29.320945461902198</v>
      </c>
      <c r="AE48" s="15">
        <v>-7.6228898260265296E-4</v>
      </c>
      <c r="AF48" s="15">
        <v>-2.06094847184698E-4</v>
      </c>
      <c r="AG48" s="15">
        <v>4.58884511360955E-5</v>
      </c>
      <c r="AI48" s="12"/>
      <c r="AJ48">
        <f t="shared" si="6"/>
        <v>0</v>
      </c>
      <c r="AK48">
        <f t="shared" si="7"/>
        <v>1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3.7107729497802386E-3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3.7107729497802386E-3</v>
      </c>
      <c r="BH48" s="29"/>
    </row>
    <row r="49" spans="1:60" x14ac:dyDescent="0.25">
      <c r="A49" s="1">
        <v>46093</v>
      </c>
      <c r="B49" s="33">
        <v>26.75</v>
      </c>
      <c r="C49" s="33">
        <v>28.82</v>
      </c>
      <c r="D49" s="15">
        <v>-7.8198127020907299E-3</v>
      </c>
      <c r="E49" s="15">
        <v>-6.91565688466574E-3</v>
      </c>
      <c r="F49" s="33">
        <v>0</v>
      </c>
      <c r="G49" s="33">
        <v>0.29787999999999998</v>
      </c>
      <c r="H49" s="33">
        <v>0</v>
      </c>
      <c r="I49" s="33">
        <v>0.29959999999999998</v>
      </c>
      <c r="J49" s="33">
        <v>0.29787999999999998</v>
      </c>
      <c r="K49" s="33">
        <v>0.29959999999999998</v>
      </c>
      <c r="L49" s="33">
        <v>27.047879999999999</v>
      </c>
      <c r="M49" s="33">
        <v>29.119599999999998</v>
      </c>
      <c r="N49" s="34">
        <v>1.0773831775700899</v>
      </c>
      <c r="O49" s="34">
        <v>1.0748269802361801</v>
      </c>
      <c r="P49" s="34">
        <v>1.0762662604667399</v>
      </c>
      <c r="Q49" s="34">
        <v>1.07611002161818</v>
      </c>
      <c r="R49" s="33">
        <v>28.751621721317999</v>
      </c>
      <c r="S49" s="33">
        <v>28.783457127398599</v>
      </c>
      <c r="T49" s="33">
        <v>28.783982308217499</v>
      </c>
      <c r="U49" s="15">
        <v>-2.3754172208530801E-3</v>
      </c>
      <c r="V49" s="15">
        <v>-1.26877376205638E-3</v>
      </c>
      <c r="W49" s="15">
        <v>-1.25052800285568E-3</v>
      </c>
      <c r="X49" s="34">
        <v>1.07659454271462</v>
      </c>
      <c r="Y49" s="34">
        <v>1.0748179428614399</v>
      </c>
      <c r="Z49" s="34">
        <v>1.0755778816325099</v>
      </c>
      <c r="AA49" s="34">
        <v>1.0757768561146399</v>
      </c>
      <c r="AB49" s="33">
        <v>29.0715467403631</v>
      </c>
      <c r="AC49" s="33">
        <v>29.0875698036476</v>
      </c>
      <c r="AD49" s="33">
        <v>29.0965974193292</v>
      </c>
      <c r="AE49" s="15">
        <v>-1.65156637225583E-3</v>
      </c>
      <c r="AF49" s="15">
        <v>-1.1005585632629601E-3</v>
      </c>
      <c r="AG49" s="15">
        <v>-7.9024680028958697E-4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3.7107729497802386E-3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3.7107729497802386E-3</v>
      </c>
      <c r="BH49" s="29"/>
    </row>
    <row r="50" spans="1:60" x14ac:dyDescent="0.25">
      <c r="A50" s="1">
        <v>46094</v>
      </c>
      <c r="B50" s="33">
        <v>26.66</v>
      </c>
      <c r="C50" s="33">
        <v>28.72</v>
      </c>
      <c r="D50" s="15">
        <v>-3.3701585914529802E-3</v>
      </c>
      <c r="E50" s="15">
        <v>-3.4758463913526498E-3</v>
      </c>
      <c r="F50" s="33">
        <v>0</v>
      </c>
      <c r="G50" s="33">
        <v>0.29787999999999998</v>
      </c>
      <c r="H50" s="33">
        <v>0</v>
      </c>
      <c r="I50" s="33">
        <v>0.29959999999999998</v>
      </c>
      <c r="J50" s="33">
        <v>0.29787999999999998</v>
      </c>
      <c r="K50" s="33">
        <v>0.29959999999999998</v>
      </c>
      <c r="L50" s="33">
        <v>26.957879999999999</v>
      </c>
      <c r="M50" s="33">
        <v>29.019600000000001</v>
      </c>
      <c r="N50" s="34">
        <v>1.07726931732933</v>
      </c>
      <c r="O50" s="34">
        <v>1.0748269802361801</v>
      </c>
      <c r="P50" s="34">
        <v>1.07652130246446</v>
      </c>
      <c r="Q50" s="34">
        <v>1.0761636181087399</v>
      </c>
      <c r="R50" s="33">
        <v>28.654887293096699</v>
      </c>
      <c r="S50" s="33">
        <v>28.693258504043499</v>
      </c>
      <c r="T50" s="33">
        <v>28.689093176340901</v>
      </c>
      <c r="U50" s="15">
        <v>-2.2697294209534399E-3</v>
      </c>
      <c r="V50" s="15">
        <v>-9.31544336171012E-4</v>
      </c>
      <c r="W50" s="15">
        <v>-1.0767223425763E-3</v>
      </c>
      <c r="X50" s="34">
        <v>1.0764793077200401</v>
      </c>
      <c r="Y50" s="34">
        <v>1.0748179428614399</v>
      </c>
      <c r="Z50" s="34">
        <v>1.07575105837003</v>
      </c>
      <c r="AA50" s="34">
        <v>1.0757899124622301</v>
      </c>
      <c r="AB50" s="33">
        <v>28.974813125505499</v>
      </c>
      <c r="AC50" s="33">
        <v>28.995299463703599</v>
      </c>
      <c r="AD50" s="33">
        <v>29.000663393915701</v>
      </c>
      <c r="AE50" s="15">
        <v>-1.5445240665153E-3</v>
      </c>
      <c r="AF50" s="15">
        <v>-8.3773437314083098E-4</v>
      </c>
      <c r="AG50" s="15">
        <v>-6.5275838643017901E-4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3.7107729497802386E-3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3.7107729497802386E-3</v>
      </c>
      <c r="BH50" s="29"/>
    </row>
    <row r="51" spans="1:60" x14ac:dyDescent="0.25">
      <c r="A51" s="1">
        <v>46097</v>
      </c>
      <c r="B51" s="33">
        <v>26.76</v>
      </c>
      <c r="C51" s="33">
        <v>28.79</v>
      </c>
      <c r="D51" s="15">
        <v>3.74392050946506E-3</v>
      </c>
      <c r="E51" s="15">
        <v>2.4343604440611399E-3</v>
      </c>
      <c r="F51" s="33">
        <v>0</v>
      </c>
      <c r="G51" s="33">
        <v>0.29787999999999998</v>
      </c>
      <c r="H51" s="33">
        <v>0</v>
      </c>
      <c r="I51" s="33">
        <v>0.29959999999999998</v>
      </c>
      <c r="J51" s="33">
        <v>0.29787999999999998</v>
      </c>
      <c r="K51" s="33">
        <v>0.29959999999999998</v>
      </c>
      <c r="L51" s="33">
        <v>27.057880000000001</v>
      </c>
      <c r="M51" s="33">
        <v>29.089600000000001</v>
      </c>
      <c r="N51" s="34">
        <v>1.07585949177877</v>
      </c>
      <c r="O51" s="34">
        <v>1.0748269802361801</v>
      </c>
      <c r="P51" s="34">
        <v>1.07632500831022</v>
      </c>
      <c r="Q51" s="34">
        <v>1.0761327434769501</v>
      </c>
      <c r="R51" s="33">
        <v>28.762369991120298</v>
      </c>
      <c r="S51" s="33">
        <v>28.807710053948998</v>
      </c>
      <c r="T51" s="33">
        <v>28.798138420590099</v>
      </c>
      <c r="U51" s="15">
        <v>-9.6016935554937496E-4</v>
      </c>
      <c r="V51" s="15">
        <v>6.1495689639578296E-4</v>
      </c>
      <c r="W51" s="15">
        <v>2.8264225472492301E-4</v>
      </c>
      <c r="X51" s="34">
        <v>1.0750879226310399</v>
      </c>
      <c r="Y51" s="34">
        <v>1.0748179428614399</v>
      </c>
      <c r="Z51" s="34">
        <v>1.07555517647668</v>
      </c>
      <c r="AA51" s="34">
        <v>1.07571949507552</v>
      </c>
      <c r="AB51" s="33">
        <v>29.0822949197917</v>
      </c>
      <c r="AC51" s="33">
        <v>29.1075430472495</v>
      </c>
      <c r="AD51" s="33">
        <v>29.108594356613501</v>
      </c>
      <c r="AE51" s="15">
        <v>-2.5115496948324901E-4</v>
      </c>
      <c r="AF51" s="15">
        <v>6.1662985083314802E-4</v>
      </c>
      <c r="AG51" s="15">
        <v>6.5274730592447896E-4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3.7107729497802386E-3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3.7107729497802386E-3</v>
      </c>
      <c r="BH51" s="29"/>
    </row>
    <row r="52" spans="1:60" x14ac:dyDescent="0.25">
      <c r="A52" s="1">
        <v>46098</v>
      </c>
      <c r="B52" s="33">
        <v>26.88</v>
      </c>
      <c r="C52" s="33">
        <v>28.9</v>
      </c>
      <c r="D52" s="15">
        <v>4.4742803949210999E-3</v>
      </c>
      <c r="E52" s="15">
        <v>3.8134904943019098E-3</v>
      </c>
      <c r="F52" s="33">
        <v>0</v>
      </c>
      <c r="G52" s="33">
        <v>0.29787999999999998</v>
      </c>
      <c r="H52" s="33">
        <v>0</v>
      </c>
      <c r="I52" s="33">
        <v>0.29959999999999998</v>
      </c>
      <c r="J52" s="33">
        <v>0.29787999999999998</v>
      </c>
      <c r="K52" s="33">
        <v>0.29959999999999998</v>
      </c>
      <c r="L52" s="33">
        <v>27.177879999999998</v>
      </c>
      <c r="M52" s="33">
        <v>29.1996</v>
      </c>
      <c r="N52" s="34">
        <v>1.0751488095238</v>
      </c>
      <c r="O52" s="34">
        <v>1.0748269802361801</v>
      </c>
      <c r="P52" s="34">
        <v>1.0761645312016399</v>
      </c>
      <c r="Q52" s="34">
        <v>1.0760816964667399</v>
      </c>
      <c r="R52" s="33">
        <v>28.891349228748702</v>
      </c>
      <c r="S52" s="33">
        <v>28.9316162233788</v>
      </c>
      <c r="T52" s="33">
        <v>28.926448144660501</v>
      </c>
      <c r="U52" s="15">
        <v>-2.9937945493034698E-4</v>
      </c>
      <c r="V52" s="15">
        <v>1.0933890004552901E-3</v>
      </c>
      <c r="W52" s="15">
        <v>9.14742210644203E-4</v>
      </c>
      <c r="X52" s="34">
        <v>1.0743884364784799</v>
      </c>
      <c r="Y52" s="34">
        <v>1.0748179428614399</v>
      </c>
      <c r="Z52" s="34">
        <v>1.0753954691282299</v>
      </c>
      <c r="AA52" s="34">
        <v>1.07562938278176</v>
      </c>
      <c r="AB52" s="33">
        <v>29.211273072935001</v>
      </c>
      <c r="AC52" s="33">
        <v>29.231309519662101</v>
      </c>
      <c r="AD52" s="33">
        <v>29.235775350823101</v>
      </c>
      <c r="AE52" s="15">
        <v>3.99688361990836E-4</v>
      </c>
      <c r="AF52" s="15">
        <v>1.0853681051937001E-3</v>
      </c>
      <c r="AG52" s="15">
        <v>1.23813204680639E-3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3.7107729497802386E-3</v>
      </c>
      <c r="AT52" s="12"/>
      <c r="AU52">
        <f t="shared" si="10"/>
        <v>0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3.7107729497802386E-3</v>
      </c>
      <c r="BH52" s="29"/>
    </row>
    <row r="53" spans="1:60" x14ac:dyDescent="0.25">
      <c r="A53" s="1">
        <v>46099</v>
      </c>
      <c r="B53" s="33">
        <v>26.7</v>
      </c>
      <c r="C53" s="33">
        <v>28.75</v>
      </c>
      <c r="D53" s="15">
        <v>-6.7189502487449799E-3</v>
      </c>
      <c r="E53" s="15">
        <v>-5.2038278750269904E-3</v>
      </c>
      <c r="F53" s="33">
        <v>0</v>
      </c>
      <c r="G53" s="33">
        <v>0.29787999999999998</v>
      </c>
      <c r="H53" s="33">
        <v>0</v>
      </c>
      <c r="I53" s="33">
        <v>0.29959999999999998</v>
      </c>
      <c r="J53" s="33">
        <v>0.29787999999999998</v>
      </c>
      <c r="K53" s="33">
        <v>0.29959999999999998</v>
      </c>
      <c r="L53" s="33">
        <v>26.997879999999999</v>
      </c>
      <c r="M53" s="33">
        <v>29.049600000000002</v>
      </c>
      <c r="N53" s="34">
        <v>1.0767790262172201</v>
      </c>
      <c r="O53" s="34">
        <v>1.0748269802361801</v>
      </c>
      <c r="P53" s="34">
        <v>1.07623174959358</v>
      </c>
      <c r="Q53" s="34">
        <v>1.0761566231666699</v>
      </c>
      <c r="R53" s="33">
        <v>28.697880372306201</v>
      </c>
      <c r="S53" s="33">
        <v>28.733592983083799</v>
      </c>
      <c r="T53" s="33">
        <v>28.7313812956621</v>
      </c>
      <c r="U53" s="15">
        <v>-1.8145018286483501E-3</v>
      </c>
      <c r="V53" s="15">
        <v>-5.7084174840938795E-4</v>
      </c>
      <c r="W53" s="15">
        <v>-6.4781689546402005E-4</v>
      </c>
      <c r="X53" s="34">
        <v>1.07599559669129</v>
      </c>
      <c r="Y53" s="34">
        <v>1.0748179428614399</v>
      </c>
      <c r="Z53" s="34">
        <v>1.07546017632225</v>
      </c>
      <c r="AA53" s="34">
        <v>1.0756638578530899</v>
      </c>
      <c r="AB53" s="33">
        <v>29.01780584322</v>
      </c>
      <c r="AC53" s="33">
        <v>29.033397828067699</v>
      </c>
      <c r="AD53" s="33">
        <v>29.039713000816199</v>
      </c>
      <c r="AE53" s="15">
        <v>-1.09507767724627E-3</v>
      </c>
      <c r="AF53" s="15">
        <v>-5.5789724905099404E-4</v>
      </c>
      <c r="AG53" s="15">
        <v>-3.4040682419855502E-4</v>
      </c>
      <c r="AI53" s="12"/>
      <c r="AJ53">
        <f t="shared" si="6"/>
        <v>0</v>
      </c>
      <c r="AK53">
        <f t="shared" si="7"/>
        <v>0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3.7107729497802386E-3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3.7107729497802386E-3</v>
      </c>
      <c r="BH53" s="29"/>
    </row>
    <row r="54" spans="1:60" x14ac:dyDescent="0.25">
      <c r="A54" s="1">
        <v>46100</v>
      </c>
      <c r="B54" s="33">
        <v>26.78</v>
      </c>
      <c r="C54" s="33">
        <v>28.8</v>
      </c>
      <c r="D54" s="15">
        <v>2.9917748568226502E-3</v>
      </c>
      <c r="E54" s="15">
        <v>1.7376198985408701E-3</v>
      </c>
      <c r="F54" s="33">
        <v>0</v>
      </c>
      <c r="G54" s="33">
        <v>0.29787999999999998</v>
      </c>
      <c r="H54" s="33">
        <v>0</v>
      </c>
      <c r="I54" s="33">
        <v>0.29959999999999998</v>
      </c>
      <c r="J54" s="33">
        <v>0.29787999999999998</v>
      </c>
      <c r="K54" s="33">
        <v>0.29959999999999998</v>
      </c>
      <c r="L54" s="33">
        <v>27.07788</v>
      </c>
      <c r="M54" s="33">
        <v>29.099599999999999</v>
      </c>
      <c r="N54" s="34">
        <v>1.07542942494398</v>
      </c>
      <c r="O54" s="34">
        <v>1.0748269802361801</v>
      </c>
      <c r="P54" s="34">
        <v>1.0762719337209301</v>
      </c>
      <c r="Q54" s="34">
        <v>1.0761306260594401</v>
      </c>
      <c r="R54" s="33">
        <v>28.783866530725099</v>
      </c>
      <c r="S54" s="33">
        <v>28.821486254116099</v>
      </c>
      <c r="T54" s="33">
        <v>28.819474368403601</v>
      </c>
      <c r="U54" s="15">
        <v>-5.6034687036645402E-4</v>
      </c>
      <c r="V54" s="15">
        <v>7.4577233281384605E-4</v>
      </c>
      <c r="W54" s="15">
        <v>6.7596483163592997E-4</v>
      </c>
      <c r="X54" s="34">
        <v>1.0746631567906999</v>
      </c>
      <c r="Y54" s="34">
        <v>1.0748179428614399</v>
      </c>
      <c r="Z54" s="34">
        <v>1.0754987820433299</v>
      </c>
      <c r="AA54" s="34">
        <v>1.07559844532787</v>
      </c>
      <c r="AB54" s="33">
        <v>29.103791278648899</v>
      </c>
      <c r="AC54" s="33">
        <v>29.121181599232798</v>
      </c>
      <c r="AD54" s="33">
        <v>29.126696863283001</v>
      </c>
      <c r="AE54" s="15">
        <v>1.4402180230775101E-4</v>
      </c>
      <c r="AF54" s="15">
        <v>7.4137102349259101E-4</v>
      </c>
      <c r="AG54" s="15">
        <v>9.3074321050514201E-4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3.7107729497802386E-3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3.7107729497802386E-3</v>
      </c>
      <c r="BH54" s="29"/>
    </row>
    <row r="55" spans="1:60" x14ac:dyDescent="0.25">
      <c r="A55" s="1">
        <v>46101</v>
      </c>
      <c r="B55" s="33">
        <v>26.46</v>
      </c>
      <c r="C55" s="33">
        <v>28.46</v>
      </c>
      <c r="D55" s="15">
        <v>-1.2021181576216801E-2</v>
      </c>
      <c r="E55" s="15">
        <v>-1.18757944801938E-2</v>
      </c>
      <c r="F55" s="33">
        <v>0</v>
      </c>
      <c r="G55" s="33">
        <v>0.29787999999999998</v>
      </c>
      <c r="H55" s="33">
        <v>0</v>
      </c>
      <c r="I55" s="33">
        <v>0.29959999999999998</v>
      </c>
      <c r="J55" s="33">
        <v>0.29787999999999998</v>
      </c>
      <c r="K55" s="33">
        <v>0.29959999999999998</v>
      </c>
      <c r="L55" s="33">
        <v>26.75788</v>
      </c>
      <c r="M55" s="33">
        <v>28.759599999999999</v>
      </c>
      <c r="N55" s="34">
        <v>1.0755857898715</v>
      </c>
      <c r="O55" s="34">
        <v>1.0748269802361801</v>
      </c>
      <c r="P55" s="34">
        <v>1.07615816281927</v>
      </c>
      <c r="Q55" s="34">
        <v>1.0760929835703801</v>
      </c>
      <c r="R55" s="33">
        <v>28.439921897049501</v>
      </c>
      <c r="S55" s="33">
        <v>28.478155366255901</v>
      </c>
      <c r="T55" s="33">
        <v>28.474416365532999</v>
      </c>
      <c r="U55" s="15">
        <v>-7.0573396638928397E-4</v>
      </c>
      <c r="V55" s="15">
        <v>6.3772234117646497E-4</v>
      </c>
      <c r="W55" s="15">
        <v>5.0642007985267498E-4</v>
      </c>
      <c r="X55" s="34">
        <v>1.0748086171251201</v>
      </c>
      <c r="Y55" s="34">
        <v>1.0748179428614399</v>
      </c>
      <c r="Z55" s="34">
        <v>1.07538477201361</v>
      </c>
      <c r="AA55" s="34">
        <v>1.07552094497095</v>
      </c>
      <c r="AB55" s="33">
        <v>28.759849536933199</v>
      </c>
      <c r="AC55" s="33">
        <v>28.778067350061701</v>
      </c>
      <c r="AD55" s="33">
        <v>28.780734128269899</v>
      </c>
      <c r="AE55" s="15">
        <v>8.6766106175366004E-6</v>
      </c>
      <c r="AF55" s="15">
        <v>6.4192211976834396E-4</v>
      </c>
      <c r="AG55" s="15">
        <v>7.3458486261737904E-4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3.7107729497802386E-3</v>
      </c>
      <c r="AT55" s="12"/>
      <c r="AU55">
        <f t="shared" si="10"/>
        <v>0</v>
      </c>
      <c r="AV55">
        <f t="shared" si="11"/>
        <v>0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3.7107729497802386E-3</v>
      </c>
      <c r="BH55" s="29"/>
    </row>
    <row r="56" spans="1:60" x14ac:dyDescent="0.25">
      <c r="A56" s="1">
        <v>46104</v>
      </c>
      <c r="B56" s="33">
        <v>26.68</v>
      </c>
      <c r="C56" s="33">
        <v>28.67</v>
      </c>
      <c r="D56" s="15">
        <v>8.2800623606133009E-3</v>
      </c>
      <c r="E56" s="15">
        <v>7.3516872335721902E-3</v>
      </c>
      <c r="F56" s="33">
        <v>0</v>
      </c>
      <c r="G56" s="33">
        <v>0.29787999999999998</v>
      </c>
      <c r="H56" s="33">
        <v>0</v>
      </c>
      <c r="I56" s="33">
        <v>0.29959999999999998</v>
      </c>
      <c r="J56" s="33">
        <v>0.29787999999999998</v>
      </c>
      <c r="K56" s="33">
        <v>0.29959999999999998</v>
      </c>
      <c r="L56" s="33">
        <v>26.977879999999999</v>
      </c>
      <c r="M56" s="33">
        <v>28.9696</v>
      </c>
      <c r="N56" s="34">
        <v>1.07458770614692</v>
      </c>
      <c r="O56" s="34">
        <v>1.0748269802361801</v>
      </c>
      <c r="P56" s="34">
        <v>1.0760579363838201</v>
      </c>
      <c r="Q56" s="34">
        <v>1.0760180210516399</v>
      </c>
      <c r="R56" s="33">
        <v>28.676383832701401</v>
      </c>
      <c r="S56" s="33">
        <v>28.7118997840183</v>
      </c>
      <c r="T56" s="33">
        <v>28.710160801657899</v>
      </c>
      <c r="U56" s="15">
        <v>2.22641160651686E-4</v>
      </c>
      <c r="V56" s="15">
        <v>1.4603835572802499E-3</v>
      </c>
      <c r="W56" s="15">
        <v>1.39981511570418E-3</v>
      </c>
      <c r="X56" s="34">
        <v>1.0738278915911801</v>
      </c>
      <c r="Y56" s="34">
        <v>1.0748179428614399</v>
      </c>
      <c r="Z56" s="34">
        <v>1.0752844151381</v>
      </c>
      <c r="AA56" s="34">
        <v>1.07540692424884</v>
      </c>
      <c r="AB56" s="33">
        <v>28.996309484362801</v>
      </c>
      <c r="AC56" s="33">
        <v>29.011601333210699</v>
      </c>
      <c r="AD56" s="33">
        <v>29.015274990912999</v>
      </c>
      <c r="AE56" s="15">
        <v>9.2155842945241E-4</v>
      </c>
      <c r="AF56" s="15">
        <v>1.44879166321855E-3</v>
      </c>
      <c r="AG56" s="15">
        <v>1.5754108417744301E-3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3.7107729497802386E-3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3.7107729497802386E-3</v>
      </c>
      <c r="BH56" s="29"/>
    </row>
    <row r="57" spans="1:60" x14ac:dyDescent="0.25">
      <c r="A57" s="1">
        <v>46105</v>
      </c>
      <c r="B57" s="33">
        <v>26.62</v>
      </c>
      <c r="C57" s="33">
        <v>28.59</v>
      </c>
      <c r="D57" s="15">
        <v>-2.2514080804573698E-3</v>
      </c>
      <c r="E57" s="15">
        <v>-2.79427356105813E-3</v>
      </c>
      <c r="F57" s="33">
        <v>0</v>
      </c>
      <c r="G57" s="33">
        <v>0.29787999999999998</v>
      </c>
      <c r="H57" s="33">
        <v>0</v>
      </c>
      <c r="I57" s="33">
        <v>0.29959999999999998</v>
      </c>
      <c r="J57" s="33">
        <v>0.29787999999999998</v>
      </c>
      <c r="K57" s="33">
        <v>0.29959999999999998</v>
      </c>
      <c r="L57" s="33">
        <v>26.91788</v>
      </c>
      <c r="M57" s="33">
        <v>28.889600000000002</v>
      </c>
      <c r="N57" s="34">
        <v>1.0740045078888001</v>
      </c>
      <c r="O57" s="34">
        <v>1.0748269802361801</v>
      </c>
      <c r="P57" s="34">
        <v>1.07584567468194</v>
      </c>
      <c r="Q57" s="34">
        <v>1.0758943972253501</v>
      </c>
      <c r="R57" s="33">
        <v>28.6118942138873</v>
      </c>
      <c r="S57" s="33">
        <v>28.644662266537299</v>
      </c>
      <c r="T57" s="33">
        <v>28.6435997203948</v>
      </c>
      <c r="U57" s="15">
        <v>7.6550664125249804E-4</v>
      </c>
      <c r="V57" s="15">
        <v>1.9101111456734301E-3</v>
      </c>
      <c r="W57" s="15">
        <v>1.8730164213532699E-3</v>
      </c>
      <c r="X57" s="34">
        <v>1.0732494535230801</v>
      </c>
      <c r="Y57" s="34">
        <v>1.0748179428614399</v>
      </c>
      <c r="Z57" s="34">
        <v>1.0750732502362501</v>
      </c>
      <c r="AA57" s="34">
        <v>1.0752445834067399</v>
      </c>
      <c r="AB57" s="33">
        <v>28.931820407791101</v>
      </c>
      <c r="AC57" s="33">
        <v>28.944376852557699</v>
      </c>
      <c r="AD57" s="33">
        <v>28.947674538099498</v>
      </c>
      <c r="AE57" s="15">
        <v>1.4603728167497099E-3</v>
      </c>
      <c r="AF57" s="15">
        <v>1.89427986517295E-3</v>
      </c>
      <c r="AG57" s="15">
        <v>2.0082051957196201E-3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3.7107729497802386E-3</v>
      </c>
      <c r="AT57" s="12"/>
      <c r="AU57">
        <f t="shared" si="10"/>
        <v>1</v>
      </c>
      <c r="AV57">
        <f t="shared" si="11"/>
        <v>0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3.7107729497802386E-3</v>
      </c>
      <c r="BH57" s="29"/>
    </row>
    <row r="58" spans="1:60" x14ac:dyDescent="0.25">
      <c r="A58" s="1">
        <v>46106</v>
      </c>
      <c r="B58" s="33">
        <v>26.74</v>
      </c>
      <c r="C58" s="33">
        <v>28.73</v>
      </c>
      <c r="D58" s="15">
        <v>4.4977587068313904E-3</v>
      </c>
      <c r="E58" s="15">
        <v>4.8848666569777498E-3</v>
      </c>
      <c r="F58" s="33">
        <v>0</v>
      </c>
      <c r="G58" s="33">
        <v>0.29787999999999998</v>
      </c>
      <c r="H58" s="33">
        <v>0</v>
      </c>
      <c r="I58" s="33">
        <v>0.29959999999999998</v>
      </c>
      <c r="J58" s="33">
        <v>0.29787999999999998</v>
      </c>
      <c r="K58" s="33">
        <v>0.29959999999999998</v>
      </c>
      <c r="L58" s="33">
        <v>27.037879999999902</v>
      </c>
      <c r="M58" s="33">
        <v>29.029599999999999</v>
      </c>
      <c r="N58" s="34">
        <v>1.07442034405385</v>
      </c>
      <c r="O58" s="34">
        <v>1.0748269802361801</v>
      </c>
      <c r="P58" s="34">
        <v>1.0756467595324299</v>
      </c>
      <c r="Q58" s="34">
        <v>1.0758319242035701</v>
      </c>
      <c r="R58" s="33">
        <v>28.740873451515601</v>
      </c>
      <c r="S58" s="33">
        <v>28.7681133409951</v>
      </c>
      <c r="T58" s="33">
        <v>28.769416181806001</v>
      </c>
      <c r="U58" s="15">
        <v>3.78398691106153E-4</v>
      </c>
      <c r="V58" s="15">
        <v>1.325725119058E-3</v>
      </c>
      <c r="W58" s="15">
        <v>1.37101176316452E-3</v>
      </c>
      <c r="X58" s="34">
        <v>1.07366405946028</v>
      </c>
      <c r="Y58" s="34">
        <v>1.0748179428614399</v>
      </c>
      <c r="Z58" s="34">
        <v>1.0748758984725799</v>
      </c>
      <c r="AA58" s="34">
        <v>1.07514311880314</v>
      </c>
      <c r="AB58" s="33">
        <v>29.060798560934401</v>
      </c>
      <c r="AC58" s="33">
        <v>29.0677015310978</v>
      </c>
      <c r="AD58" s="33">
        <v>29.072334016801399</v>
      </c>
      <c r="AE58" s="15">
        <v>1.0741384017679801E-3</v>
      </c>
      <c r="AF58" s="15">
        <v>1.31164565500579E-3</v>
      </c>
      <c r="AG58" s="15">
        <v>1.47100179126198E-3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3.7107729497802386E-3</v>
      </c>
      <c r="AT58" s="12"/>
      <c r="AU58">
        <f t="shared" si="10"/>
        <v>0</v>
      </c>
      <c r="AV58">
        <f t="shared" si="11"/>
        <v>0</v>
      </c>
      <c r="AW58">
        <f t="shared" si="18"/>
        <v>1</v>
      </c>
      <c r="AX58">
        <f t="shared" si="5"/>
        <v>1</v>
      </c>
      <c r="AY58">
        <f t="shared" si="19"/>
        <v>1</v>
      </c>
      <c r="AZ58" s="28">
        <f t="shared" si="12"/>
        <v>-4.4977587068313904E-3</v>
      </c>
      <c r="BA58" s="28">
        <f t="shared" si="13"/>
        <v>4.8848666569777498E-3</v>
      </c>
      <c r="BB58" s="28">
        <f t="shared" si="20"/>
        <v>3.8710795014635941E-4</v>
      </c>
      <c r="BC58" s="29">
        <f t="shared" si="21"/>
        <v>3.8710795014635941E-4</v>
      </c>
      <c r="BE58" s="29">
        <f t="shared" si="22"/>
        <v>3.8710795014635941E-4</v>
      </c>
      <c r="BF58" s="29">
        <f t="shared" si="23"/>
        <v>4.0978808999265984E-3</v>
      </c>
      <c r="BH58" s="29"/>
    </row>
    <row r="59" spans="1:60" x14ac:dyDescent="0.25">
      <c r="A59" s="1">
        <v>46107</v>
      </c>
      <c r="B59" s="33">
        <v>26.54</v>
      </c>
      <c r="C59" s="33">
        <v>28.51</v>
      </c>
      <c r="D59" s="15">
        <v>-7.5075427697356596E-3</v>
      </c>
      <c r="E59" s="15">
        <v>-7.6869700666174802E-3</v>
      </c>
      <c r="F59" s="33">
        <v>0</v>
      </c>
      <c r="G59" s="33">
        <v>0.29787999999999998</v>
      </c>
      <c r="H59" s="33">
        <v>0</v>
      </c>
      <c r="I59" s="33">
        <v>0.29959999999999998</v>
      </c>
      <c r="J59" s="33">
        <v>0.29787999999999998</v>
      </c>
      <c r="K59" s="33">
        <v>0.29959999999999998</v>
      </c>
      <c r="L59" s="33">
        <v>26.837879999999998</v>
      </c>
      <c r="M59" s="33">
        <v>28.8096</v>
      </c>
      <c r="N59" s="34">
        <v>1.0742275810097901</v>
      </c>
      <c r="O59" s="34">
        <v>1.0748269802361801</v>
      </c>
      <c r="P59" s="34">
        <v>1.0753311998763999</v>
      </c>
      <c r="Q59" s="34">
        <v>1.0757987301715699</v>
      </c>
      <c r="R59" s="33">
        <v>28.525908055468399</v>
      </c>
      <c r="S59" s="33">
        <v>28.547664997990701</v>
      </c>
      <c r="T59" s="33">
        <v>28.552579268362798</v>
      </c>
      <c r="U59" s="15">
        <v>5.5782598798815501E-4</v>
      </c>
      <c r="V59" s="15">
        <v>1.3202434226155799E-3</v>
      </c>
      <c r="W59" s="15">
        <v>1.49237124614456E-3</v>
      </c>
      <c r="X59" s="34">
        <v>1.0734677999901601</v>
      </c>
      <c r="Y59" s="34">
        <v>1.0748179428614399</v>
      </c>
      <c r="Z59" s="34">
        <v>1.0745632242001399</v>
      </c>
      <c r="AA59" s="34">
        <v>1.07507055291633</v>
      </c>
      <c r="AB59" s="33">
        <v>28.845834972362098</v>
      </c>
      <c r="AC59" s="33">
        <v>28.847390378099501</v>
      </c>
      <c r="AD59" s="33">
        <v>28.854562005264501</v>
      </c>
      <c r="AE59" s="15">
        <v>1.25694922431045E-3</v>
      </c>
      <c r="AF59" s="15">
        <v>1.3108690988964801E-3</v>
      </c>
      <c r="AG59" s="15">
        <v>1.55944395315117E-3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3.7107729497802386E-3</v>
      </c>
      <c r="AT59" s="12"/>
      <c r="AU59">
        <f t="shared" si="10"/>
        <v>0</v>
      </c>
      <c r="AV59">
        <f t="shared" si="11"/>
        <v>0</v>
      </c>
      <c r="AW59">
        <f t="shared" si="18"/>
        <v>1</v>
      </c>
      <c r="AX59">
        <f t="shared" si="5"/>
        <v>1</v>
      </c>
      <c r="AY59">
        <f t="shared" si="19"/>
        <v>1</v>
      </c>
      <c r="AZ59" s="28">
        <f t="shared" si="12"/>
        <v>7.5075427697356596E-3</v>
      </c>
      <c r="BA59" s="28">
        <f t="shared" si="13"/>
        <v>-7.6869700666174802E-3</v>
      </c>
      <c r="BB59" s="28">
        <f t="shared" si="20"/>
        <v>-1.7942729688182057E-4</v>
      </c>
      <c r="BC59" s="29">
        <f t="shared" si="21"/>
        <v>2.0768065326453884E-4</v>
      </c>
      <c r="BE59" s="29">
        <f t="shared" si="22"/>
        <v>-1.7942729688182057E-4</v>
      </c>
      <c r="BF59" s="29">
        <f t="shared" si="23"/>
        <v>3.9184536030447779E-3</v>
      </c>
      <c r="BH59" s="29"/>
    </row>
    <row r="60" spans="1:60" x14ac:dyDescent="0.25">
      <c r="A60" s="1">
        <v>46108</v>
      </c>
      <c r="B60" s="33">
        <v>26.41</v>
      </c>
      <c r="C60" s="33">
        <v>28.41</v>
      </c>
      <c r="D60" s="15">
        <v>-4.9103025950205503E-3</v>
      </c>
      <c r="E60" s="15">
        <v>-3.51370705848409E-3</v>
      </c>
      <c r="F60" s="33">
        <v>0</v>
      </c>
      <c r="G60" s="33">
        <v>0.29787999999999998</v>
      </c>
      <c r="H60" s="33">
        <v>0</v>
      </c>
      <c r="I60" s="33">
        <v>0.29959999999999998</v>
      </c>
      <c r="J60" s="33">
        <v>0.29787999999999998</v>
      </c>
      <c r="K60" s="33">
        <v>0.29959999999999998</v>
      </c>
      <c r="L60" s="33">
        <v>26.707879999999999</v>
      </c>
      <c r="M60" s="33">
        <v>28.709599999999998</v>
      </c>
      <c r="N60" s="34">
        <v>1.0757288905717499</v>
      </c>
      <c r="O60" s="34">
        <v>1.0748269802361801</v>
      </c>
      <c r="P60" s="34">
        <v>1.0751771572006401</v>
      </c>
      <c r="Q60" s="34">
        <v>1.0758492298325499</v>
      </c>
      <c r="R60" s="33">
        <v>28.3861805480377</v>
      </c>
      <c r="S60" s="33">
        <v>28.399496988735699</v>
      </c>
      <c r="T60" s="33">
        <v>28.411844463831301</v>
      </c>
      <c r="U60" s="15">
        <v>-8.3876954854827696E-4</v>
      </c>
      <c r="V60" s="15">
        <v>-3.6976252002309001E-4</v>
      </c>
      <c r="W60" s="15">
        <v>6.4920941914196103E-5</v>
      </c>
      <c r="X60" s="34">
        <v>1.0749486668354</v>
      </c>
      <c r="Y60" s="34">
        <v>1.0748179428614399</v>
      </c>
      <c r="Z60" s="34">
        <v>1.07441016011167</v>
      </c>
      <c r="AA60" s="34">
        <v>1.07508060924085</v>
      </c>
      <c r="AB60" s="33">
        <v>28.706108639790202</v>
      </c>
      <c r="AC60" s="33">
        <v>28.6993056443504</v>
      </c>
      <c r="AD60" s="33">
        <v>28.712855318822999</v>
      </c>
      <c r="AE60" s="15">
        <v>-1.2161689881762E-4</v>
      </c>
      <c r="AF60" s="15">
        <v>-3.5863271192196903E-4</v>
      </c>
      <c r="AG60" s="15">
        <v>1.1338138741788401E-4</v>
      </c>
      <c r="AI60" s="12"/>
      <c r="AJ60">
        <f t="shared" si="6"/>
        <v>0</v>
      </c>
      <c r="AK60">
        <f t="shared" si="7"/>
        <v>1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3.7107729497802386E-3</v>
      </c>
      <c r="AT60" s="12"/>
      <c r="AU60">
        <f t="shared" si="10"/>
        <v>0</v>
      </c>
      <c r="AV60">
        <f t="shared" si="11"/>
        <v>1</v>
      </c>
      <c r="AW60">
        <f t="shared" si="18"/>
        <v>1</v>
      </c>
      <c r="AX60">
        <f t="shared" si="5"/>
        <v>1</v>
      </c>
      <c r="AY60">
        <f t="shared" si="19"/>
        <v>1</v>
      </c>
      <c r="AZ60" s="28">
        <f t="shared" si="12"/>
        <v>4.9103025950205503E-3</v>
      </c>
      <c r="BA60" s="28">
        <f t="shared" si="13"/>
        <v>-3.51370705848409E-3</v>
      </c>
      <c r="BB60" s="28">
        <f t="shared" si="20"/>
        <v>1.3965955365364603E-3</v>
      </c>
      <c r="BC60" s="29">
        <f t="shared" si="21"/>
        <v>1.6042761898009991E-3</v>
      </c>
      <c r="BE60" s="29">
        <f t="shared" si="22"/>
        <v>1.3965955365364603E-3</v>
      </c>
      <c r="BF60" s="29">
        <f t="shared" si="23"/>
        <v>5.3150491395812377E-3</v>
      </c>
      <c r="BH60" s="29"/>
    </row>
    <row r="61" spans="1:60" x14ac:dyDescent="0.25">
      <c r="A61" s="1">
        <v>46111</v>
      </c>
      <c r="B61" s="33">
        <v>26.45</v>
      </c>
      <c r="C61" s="33">
        <v>28.42</v>
      </c>
      <c r="D61" s="15">
        <v>1.5134319952674099E-3</v>
      </c>
      <c r="E61" s="15">
        <v>3.5192680285812798E-4</v>
      </c>
      <c r="F61" s="33">
        <v>0</v>
      </c>
      <c r="G61" s="33">
        <v>0.29787999999999998</v>
      </c>
      <c r="H61" s="33">
        <v>0</v>
      </c>
      <c r="I61" s="33">
        <v>0.29959999999999998</v>
      </c>
      <c r="J61" s="33">
        <v>0.29787999999999998</v>
      </c>
      <c r="K61" s="33">
        <v>0.29959999999999998</v>
      </c>
      <c r="L61" s="33">
        <v>26.747879999999999</v>
      </c>
      <c r="M61" s="33">
        <v>28.7196</v>
      </c>
      <c r="N61" s="34">
        <v>1.0744801512287301</v>
      </c>
      <c r="O61" s="34">
        <v>1.0748269802361801</v>
      </c>
      <c r="P61" s="34">
        <v>1.0750392231456301</v>
      </c>
      <c r="Q61" s="34">
        <v>1.0756821157279299</v>
      </c>
      <c r="R61" s="33">
        <v>28.429173627247099</v>
      </c>
      <c r="S61" s="33">
        <v>28.438435807956999</v>
      </c>
      <c r="T61" s="33">
        <v>28.456212129071002</v>
      </c>
      <c r="U61" s="15">
        <v>3.2273564386108998E-4</v>
      </c>
      <c r="V61" s="15">
        <v>6.4848103332844299E-4</v>
      </c>
      <c r="W61" s="15">
        <v>1.2733665836221499E-3</v>
      </c>
      <c r="X61" s="34">
        <v>1.07371500096456</v>
      </c>
      <c r="Y61" s="34">
        <v>1.0748179428614399</v>
      </c>
      <c r="Z61" s="34">
        <v>1.07427286794503</v>
      </c>
      <c r="AA61" s="34">
        <v>1.07491402221085</v>
      </c>
      <c r="AB61" s="33">
        <v>28.7491013575046</v>
      </c>
      <c r="AC61" s="33">
        <v>28.7381940334479</v>
      </c>
      <c r="AD61" s="33">
        <v>28.756127126301301</v>
      </c>
      <c r="AE61" s="15">
        <v>1.0266931181405099E-3</v>
      </c>
      <c r="AF61" s="15">
        <v>6.4722408542902503E-4</v>
      </c>
      <c r="AG61" s="15">
        <v>1.2710454672021599E-3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3.7107729497802386E-3</v>
      </c>
      <c r="AT61" s="12"/>
      <c r="AU61">
        <f t="shared" si="10"/>
        <v>0</v>
      </c>
      <c r="AV61">
        <f t="shared" si="11"/>
        <v>0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1.6042761898009991E-3</v>
      </c>
      <c r="BE61" s="29">
        <f t="shared" si="22"/>
        <v>0</v>
      </c>
      <c r="BF61" s="29">
        <f t="shared" si="23"/>
        <v>5.3150491395812377E-3</v>
      </c>
      <c r="BH61" s="29"/>
    </row>
    <row r="62" spans="1:60" x14ac:dyDescent="0.25">
      <c r="A62" s="1">
        <v>46112</v>
      </c>
      <c r="B62" s="33">
        <v>26.72</v>
      </c>
      <c r="C62" s="33">
        <v>28.72</v>
      </c>
      <c r="D62" s="15">
        <v>1.0156190364136499E-2</v>
      </c>
      <c r="E62" s="15">
        <v>1.0500621511068601E-2</v>
      </c>
      <c r="F62" s="33">
        <v>0</v>
      </c>
      <c r="G62" s="33">
        <v>0.29787999999999998</v>
      </c>
      <c r="H62" s="33">
        <v>0</v>
      </c>
      <c r="I62" s="33">
        <v>0.29959999999999998</v>
      </c>
      <c r="J62" s="33">
        <v>0.29787999999999998</v>
      </c>
      <c r="K62" s="33">
        <v>0.29959999999999998</v>
      </c>
      <c r="L62" s="33">
        <v>27.017879999999899</v>
      </c>
      <c r="M62" s="33">
        <v>29.019600000000001</v>
      </c>
      <c r="N62" s="34">
        <v>1.0748502994011899</v>
      </c>
      <c r="O62" s="34">
        <v>1.0748269802361801</v>
      </c>
      <c r="P62" s="34">
        <v>1.07500937213337</v>
      </c>
      <c r="Q62" s="34">
        <v>1.0755869516675101</v>
      </c>
      <c r="R62" s="33">
        <v>28.719376911910899</v>
      </c>
      <c r="S62" s="33">
        <v>28.725048042451402</v>
      </c>
      <c r="T62" s="33">
        <v>28.742226132250298</v>
      </c>
      <c r="U62" s="15">
        <v>-2.16955030711659E-5</v>
      </c>
      <c r="V62" s="15">
        <v>1.7575204953299001E-4</v>
      </c>
      <c r="W62" s="15">
        <v>7.7359109992066399E-4</v>
      </c>
      <c r="X62" s="34">
        <v>1.0740887145845599</v>
      </c>
      <c r="Y62" s="34">
        <v>1.0748179428614399</v>
      </c>
      <c r="Z62" s="34">
        <v>1.07424289575563</v>
      </c>
      <c r="AA62" s="34">
        <v>1.07481918244193</v>
      </c>
      <c r="AB62" s="33">
        <v>29.039302202077199</v>
      </c>
      <c r="AC62" s="33">
        <v>29.024575433394599</v>
      </c>
      <c r="AD62" s="33">
        <v>29.041898062410201</v>
      </c>
      <c r="AE62" s="15">
        <v>6.7869705028064501E-4</v>
      </c>
      <c r="AF62" s="15">
        <v>1.7143609568797701E-4</v>
      </c>
      <c r="AG62" s="15">
        <v>7.6808433301354397E-4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3.7107729497802386E-3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1.6042761898009991E-3</v>
      </c>
      <c r="BE62" s="29">
        <f t="shared" si="22"/>
        <v>0</v>
      </c>
      <c r="BF62" s="29">
        <f t="shared" si="23"/>
        <v>5.3150491395812377E-3</v>
      </c>
      <c r="BH62" s="29"/>
    </row>
    <row r="63" spans="1:60" x14ac:dyDescent="0.25">
      <c r="A63" s="1">
        <v>46113</v>
      </c>
      <c r="B63" s="33">
        <v>26.73</v>
      </c>
      <c r="C63" s="33">
        <v>28.73</v>
      </c>
      <c r="D63" s="15">
        <v>3.7418148238265201E-4</v>
      </c>
      <c r="E63" s="15">
        <v>3.4812881117485598E-4</v>
      </c>
      <c r="F63" s="33">
        <v>0.14197000000000001</v>
      </c>
      <c r="G63" s="33">
        <v>0.43984999999999902</v>
      </c>
      <c r="H63" s="33">
        <v>0.17449999999999999</v>
      </c>
      <c r="I63" s="33">
        <v>0.47409999999999902</v>
      </c>
      <c r="J63" s="33">
        <v>0.43984999999999902</v>
      </c>
      <c r="K63" s="33">
        <v>0.47409999999999902</v>
      </c>
      <c r="L63" s="33">
        <v>27.16985</v>
      </c>
      <c r="M63" s="33">
        <v>29.2041</v>
      </c>
      <c r="N63" s="34">
        <v>1.07482229704451</v>
      </c>
      <c r="O63" s="34">
        <v>1.0748269802361801</v>
      </c>
      <c r="P63" s="34">
        <v>1.0748136992160999</v>
      </c>
      <c r="Q63" s="34">
        <v>1.07552272440484</v>
      </c>
      <c r="R63" s="33">
        <v>28.730125181713198</v>
      </c>
      <c r="S63" s="33">
        <v>28.735000517125201</v>
      </c>
      <c r="T63" s="33">
        <v>28.750439218072501</v>
      </c>
      <c r="U63" s="15">
        <v>4.3571681368951698E-6</v>
      </c>
      <c r="V63" s="15">
        <v>1.7403696485957001E-4</v>
      </c>
      <c r="W63" s="15">
        <v>7.1117128581704204E-4</v>
      </c>
      <c r="X63" s="34">
        <v>1.07487159480085</v>
      </c>
      <c r="Y63" s="34">
        <v>1.0748179428614399</v>
      </c>
      <c r="Z63" s="34">
        <v>1.07413049556659</v>
      </c>
      <c r="AA63" s="34">
        <v>1.07479533594442</v>
      </c>
      <c r="AB63" s="33">
        <v>29.202642284853901</v>
      </c>
      <c r="AC63" s="33">
        <v>29.187018341246301</v>
      </c>
      <c r="AD63" s="33">
        <v>29.20267596407</v>
      </c>
      <c r="AE63" s="15">
        <v>-4.9915988783662199E-5</v>
      </c>
      <c r="AF63" s="15">
        <v>-5.8507731059802997E-4</v>
      </c>
      <c r="AG63" s="15">
        <v>-4.8762695996571498E-5</v>
      </c>
      <c r="AI63" s="12"/>
      <c r="AJ63">
        <f t="shared" si="6"/>
        <v>0</v>
      </c>
      <c r="AK63">
        <f t="shared" si="7"/>
        <v>0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3.7107729497802386E-3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1.6042761898009991E-3</v>
      </c>
      <c r="BE63" s="29">
        <f t="shared" si="22"/>
        <v>0</v>
      </c>
      <c r="BF63" s="29">
        <f t="shared" si="23"/>
        <v>5.3150491395812377E-3</v>
      </c>
      <c r="BH63" s="29"/>
    </row>
    <row r="64" spans="1:60" x14ac:dyDescent="0.25">
      <c r="A64" s="1">
        <v>46114</v>
      </c>
      <c r="B64" s="33">
        <v>26.79</v>
      </c>
      <c r="C64" s="33">
        <v>28.81</v>
      </c>
      <c r="D64" s="15">
        <v>2.2421534056897199E-3</v>
      </c>
      <c r="E64" s="15">
        <v>2.7806761052388E-3</v>
      </c>
      <c r="F64" s="33">
        <v>0</v>
      </c>
      <c r="G64" s="33">
        <v>0.43984999999999902</v>
      </c>
      <c r="H64" s="33">
        <v>0</v>
      </c>
      <c r="I64" s="33">
        <v>0.47409999999999902</v>
      </c>
      <c r="J64" s="33">
        <v>0.43984999999999902</v>
      </c>
      <c r="K64" s="33">
        <v>0.47409999999999902</v>
      </c>
      <c r="L64" s="33">
        <v>27.229849999999999</v>
      </c>
      <c r="M64" s="33">
        <v>29.284099999999999</v>
      </c>
      <c r="N64" s="34">
        <v>1.0754012691302699</v>
      </c>
      <c r="O64" s="34">
        <v>1.0748269802361801</v>
      </c>
      <c r="P64" s="34">
        <v>1.0748108836347301</v>
      </c>
      <c r="Q64" s="34">
        <v>1.0755414086778301</v>
      </c>
      <c r="R64" s="33">
        <v>28.794614800527398</v>
      </c>
      <c r="S64" s="33">
        <v>28.7942590019995</v>
      </c>
      <c r="T64" s="33">
        <v>28.813253786805699</v>
      </c>
      <c r="U64" s="15">
        <v>-5.3416553141242499E-4</v>
      </c>
      <c r="V64" s="15">
        <v>-5.46522033786965E-4</v>
      </c>
      <c r="W64" s="15">
        <v>1.1293311624806E-4</v>
      </c>
      <c r="X64" s="34">
        <v>1.0754411059921301</v>
      </c>
      <c r="Y64" s="34">
        <v>1.0748179428614399</v>
      </c>
      <c r="Z64" s="34">
        <v>1.0742082904867301</v>
      </c>
      <c r="AA64" s="34">
        <v>1.07485353626503</v>
      </c>
      <c r="AB64" s="33">
        <v>29.267131361425498</v>
      </c>
      <c r="AC64" s="33">
        <v>29.248412274703998</v>
      </c>
      <c r="AD64" s="33">
        <v>29.2665157784662</v>
      </c>
      <c r="AE64" s="15">
        <v>-5.7961681265820801E-4</v>
      </c>
      <c r="AF64" s="15">
        <v>-1.21941561471766E-3</v>
      </c>
      <c r="AG64" s="15">
        <v>-6.00650286203926E-4</v>
      </c>
      <c r="AI64" s="12"/>
      <c r="AJ64">
        <f t="shared" si="6"/>
        <v>0</v>
      </c>
      <c r="AK64">
        <f t="shared" si="7"/>
        <v>0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3.7107729497802386E-3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1.6042761898009991E-3</v>
      </c>
      <c r="BE64" s="29">
        <f t="shared" si="22"/>
        <v>0</v>
      </c>
      <c r="BF64" s="29">
        <f t="shared" si="23"/>
        <v>5.3150491395812377E-3</v>
      </c>
      <c r="BH64" s="29"/>
    </row>
    <row r="65" spans="1:60" x14ac:dyDescent="0.25">
      <c r="A65" s="1">
        <v>46118</v>
      </c>
      <c r="B65" s="33">
        <v>26.84</v>
      </c>
      <c r="C65" s="33">
        <v>28.89</v>
      </c>
      <c r="D65" s="15">
        <v>1.8646285469637099E-3</v>
      </c>
      <c r="E65" s="15">
        <v>2.7729653817069101E-3</v>
      </c>
      <c r="F65" s="33">
        <v>0</v>
      </c>
      <c r="G65" s="33">
        <v>0.43984999999999902</v>
      </c>
      <c r="H65" s="33">
        <v>0</v>
      </c>
      <c r="I65" s="33">
        <v>0.47409999999999902</v>
      </c>
      <c r="J65" s="33">
        <v>0.43984999999999902</v>
      </c>
      <c r="K65" s="33">
        <v>0.47409999999999902</v>
      </c>
      <c r="L65" s="33">
        <v>27.27985</v>
      </c>
      <c r="M65" s="33">
        <v>29.364100000000001</v>
      </c>
      <c r="N65" s="34">
        <v>1.0763785394932901</v>
      </c>
      <c r="O65" s="34">
        <v>1.0748269802361801</v>
      </c>
      <c r="P65" s="34">
        <v>1.07489015859691</v>
      </c>
      <c r="Q65" s="34">
        <v>1.0755241607080901</v>
      </c>
      <c r="R65" s="33">
        <v>28.8483561495392</v>
      </c>
      <c r="S65" s="33">
        <v>28.8479241167563</v>
      </c>
      <c r="T65" s="33">
        <v>28.867531408913099</v>
      </c>
      <c r="U65" s="15">
        <v>-1.4425023661554599E-3</v>
      </c>
      <c r="V65" s="15">
        <v>-1.45747847140755E-3</v>
      </c>
      <c r="W65" s="15">
        <v>-7.7803159768877097E-4</v>
      </c>
      <c r="X65" s="34">
        <v>1.07640254620168</v>
      </c>
      <c r="Y65" s="34">
        <v>1.0748179428614399</v>
      </c>
      <c r="Z65" s="34">
        <v>1.07436768339439</v>
      </c>
      <c r="AA65" s="34">
        <v>1.074876227704</v>
      </c>
      <c r="AB65" s="33">
        <v>29.320872258568599</v>
      </c>
      <c r="AC65" s="33">
        <v>29.3042410332346</v>
      </c>
      <c r="AD65" s="33">
        <v>29.321843241279701</v>
      </c>
      <c r="AE65" s="15">
        <v>-1.47321358725954E-3</v>
      </c>
      <c r="AF65" s="15">
        <v>-2.0405890632757E-3</v>
      </c>
      <c r="AG65" s="15">
        <v>-1.44009838435934E-3</v>
      </c>
      <c r="AI65" s="12"/>
      <c r="AJ65">
        <f t="shared" si="6"/>
        <v>0</v>
      </c>
      <c r="AK65">
        <f t="shared" si="7"/>
        <v>0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3.7107729497802386E-3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1.6042761898009991E-3</v>
      </c>
      <c r="BE65" s="29">
        <f t="shared" si="22"/>
        <v>0</v>
      </c>
      <c r="BF65" s="29">
        <f t="shared" si="23"/>
        <v>5.3150491395812377E-3</v>
      </c>
      <c r="BH65" s="29"/>
    </row>
    <row r="66" spans="1:60" x14ac:dyDescent="0.25">
      <c r="A66" s="1">
        <v>46119</v>
      </c>
      <c r="B66" s="33">
        <v>26.88</v>
      </c>
      <c r="C66" s="33">
        <v>28.94</v>
      </c>
      <c r="D66" s="15">
        <v>1.48920355146761E-3</v>
      </c>
      <c r="E66" s="15">
        <v>1.729206725194E-3</v>
      </c>
      <c r="F66" s="33">
        <v>0</v>
      </c>
      <c r="G66" s="33">
        <v>0.43984999999999902</v>
      </c>
      <c r="H66" s="33">
        <v>0</v>
      </c>
      <c r="I66" s="33">
        <v>0.47409999999999902</v>
      </c>
      <c r="J66" s="33">
        <v>0.43984999999999902</v>
      </c>
      <c r="K66" s="33">
        <v>0.47409999999999902</v>
      </c>
      <c r="L66" s="33">
        <v>27.319849999999999</v>
      </c>
      <c r="M66" s="33">
        <v>29.414100000000001</v>
      </c>
      <c r="N66" s="34">
        <v>1.0766369047619</v>
      </c>
      <c r="O66" s="34">
        <v>1.0748269802361801</v>
      </c>
      <c r="P66" s="34">
        <v>1.0750950784584099</v>
      </c>
      <c r="Q66" s="34">
        <v>1.0755765074211101</v>
      </c>
      <c r="R66" s="33">
        <v>28.891349228748702</v>
      </c>
      <c r="S66" s="33">
        <v>28.893047463085001</v>
      </c>
      <c r="T66" s="33">
        <v>28.910089439833602</v>
      </c>
      <c r="U66" s="15">
        <v>-1.68250553988173E-3</v>
      </c>
      <c r="V66" s="15">
        <v>-1.6237272386768001E-3</v>
      </c>
      <c r="W66" s="15">
        <v>-1.03407144643276E-3</v>
      </c>
      <c r="X66" s="34">
        <v>1.07665671663643</v>
      </c>
      <c r="Y66" s="34">
        <v>1.0748179428614399</v>
      </c>
      <c r="Z66" s="34">
        <v>1.0746505658989101</v>
      </c>
      <c r="AA66" s="34">
        <v>1.07496749051851</v>
      </c>
      <c r="AB66" s="33">
        <v>29.3638649762831</v>
      </c>
      <c r="AC66" s="33">
        <v>29.3515639551823</v>
      </c>
      <c r="AD66" s="33">
        <v>29.365457309439201</v>
      </c>
      <c r="AE66" s="15">
        <v>-1.70931524997028E-3</v>
      </c>
      <c r="AF66" s="15">
        <v>-2.12831998193448E-3</v>
      </c>
      <c r="AG66" s="15">
        <v>-1.65508907828773E-3</v>
      </c>
      <c r="AI66" s="12"/>
      <c r="AJ66">
        <f t="shared" si="6"/>
        <v>1</v>
      </c>
      <c r="AK66">
        <f t="shared" si="7"/>
        <v>0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3.7107729497802386E-3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1.6042761898009991E-3</v>
      </c>
      <c r="BE66" s="29">
        <f t="shared" si="22"/>
        <v>0</v>
      </c>
      <c r="BF66" s="29">
        <f t="shared" si="23"/>
        <v>5.3150491395812377E-3</v>
      </c>
      <c r="BH66" s="29"/>
    </row>
    <row r="67" spans="1:60" x14ac:dyDescent="0.25">
      <c r="A67" s="1">
        <v>46120</v>
      </c>
      <c r="B67" s="33">
        <v>27.08</v>
      </c>
      <c r="C67" s="33">
        <v>29.14</v>
      </c>
      <c r="D67" s="15">
        <v>7.4129323891255301E-3</v>
      </c>
      <c r="E67" s="15">
        <v>6.88707956372099E-3</v>
      </c>
      <c r="F67" s="33">
        <v>0</v>
      </c>
      <c r="G67" s="33">
        <v>0.43984999999999902</v>
      </c>
      <c r="H67" s="33">
        <v>0</v>
      </c>
      <c r="I67" s="33">
        <v>0.47409999999999902</v>
      </c>
      <c r="J67" s="33">
        <v>0.43984999999999902</v>
      </c>
      <c r="K67" s="33">
        <v>0.47409999999999902</v>
      </c>
      <c r="L67" s="33">
        <v>27.519849999999899</v>
      </c>
      <c r="M67" s="33">
        <v>29.614100000000001</v>
      </c>
      <c r="N67" s="34">
        <v>1.07607090103397</v>
      </c>
      <c r="O67" s="34">
        <v>1.0748269802361801</v>
      </c>
      <c r="P67" s="34">
        <v>1.0753017177729201</v>
      </c>
      <c r="Q67" s="34">
        <v>1.07557369622743</v>
      </c>
      <c r="R67" s="33">
        <v>29.1063146247959</v>
      </c>
      <c r="S67" s="33">
        <v>29.113574724653802</v>
      </c>
      <c r="T67" s="33">
        <v>29.126611820963799</v>
      </c>
      <c r="U67" s="15">
        <v>-1.1566527144772601E-3</v>
      </c>
      <c r="V67" s="15">
        <v>-9.0724997680044603E-4</v>
      </c>
      <c r="W67" s="15">
        <v>-4.5954892015604099E-4</v>
      </c>
      <c r="X67" s="34">
        <v>1.07609961536854</v>
      </c>
      <c r="Y67" s="34">
        <v>1.0748179428614399</v>
      </c>
      <c r="Z67" s="34">
        <v>1.0749355820834601</v>
      </c>
      <c r="AA67" s="34">
        <v>1.07500441615986</v>
      </c>
      <c r="AB67" s="33">
        <v>29.578828564855399</v>
      </c>
      <c r="AC67" s="33">
        <v>29.574222375953301</v>
      </c>
      <c r="AD67" s="33">
        <v>29.582944093945802</v>
      </c>
      <c r="AE67" s="15">
        <v>-1.1917450335467499E-3</v>
      </c>
      <c r="AF67" s="15">
        <v>-1.3474830331302E-3</v>
      </c>
      <c r="AG67" s="15">
        <v>-1.05261704896732E-3</v>
      </c>
      <c r="AI67" s="12"/>
      <c r="AJ67">
        <f t="shared" si="6"/>
        <v>0</v>
      </c>
      <c r="AK67">
        <f t="shared" si="7"/>
        <v>0</v>
      </c>
      <c r="AL67">
        <f t="shared" si="14"/>
        <v>1</v>
      </c>
      <c r="AM67">
        <f t="shared" si="4"/>
        <v>1</v>
      </c>
      <c r="AN67">
        <f t="shared" si="15"/>
        <v>1</v>
      </c>
      <c r="AO67" s="28">
        <f t="shared" si="8"/>
        <v>7.4129323891255301E-3</v>
      </c>
      <c r="AP67" s="28">
        <f t="shared" si="9"/>
        <v>-6.88707956372099E-3</v>
      </c>
      <c r="AQ67" s="28">
        <f t="shared" si="16"/>
        <v>5.2585282540454012E-4</v>
      </c>
      <c r="AR67" s="29">
        <f t="shared" si="17"/>
        <v>4.2366257751847783E-3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1.6042761898009991E-3</v>
      </c>
      <c r="BE67" s="29">
        <f t="shared" si="22"/>
        <v>5.2585282540454012E-4</v>
      </c>
      <c r="BF67" s="29">
        <f t="shared" si="23"/>
        <v>5.8409019649857778E-3</v>
      </c>
      <c r="BH67" s="29"/>
    </row>
    <row r="68" spans="1:60" x14ac:dyDescent="0.25">
      <c r="A68" s="1">
        <v>46121</v>
      </c>
      <c r="B68" s="33">
        <v>27.13</v>
      </c>
      <c r="C68" s="33">
        <v>29.19</v>
      </c>
      <c r="D68" s="15">
        <v>1.84467862676609E-3</v>
      </c>
      <c r="E68" s="15">
        <v>1.7143840989647301E-3</v>
      </c>
      <c r="F68" s="33">
        <v>0</v>
      </c>
      <c r="G68" s="33">
        <v>0.43984999999999902</v>
      </c>
      <c r="H68" s="33">
        <v>0</v>
      </c>
      <c r="I68" s="33">
        <v>0.47409999999999902</v>
      </c>
      <c r="J68" s="33">
        <v>0.43984999999999902</v>
      </c>
      <c r="K68" s="33">
        <v>0.47409999999999902</v>
      </c>
      <c r="L68" s="33">
        <v>27.569849999999999</v>
      </c>
      <c r="M68" s="33">
        <v>29.664100000000001</v>
      </c>
      <c r="N68" s="34">
        <v>1.07593070401769</v>
      </c>
      <c r="O68" s="34">
        <v>1.0748269802361801</v>
      </c>
      <c r="P68" s="34">
        <v>1.0754527537693099</v>
      </c>
      <c r="Q68" s="34">
        <v>1.07554975665087</v>
      </c>
      <c r="R68" s="33">
        <v>29.160055973807701</v>
      </c>
      <c r="S68" s="33">
        <v>29.1729356031795</v>
      </c>
      <c r="T68" s="33">
        <v>29.180314378650301</v>
      </c>
      <c r="U68" s="15">
        <v>-1.02635818667573E-3</v>
      </c>
      <c r="V68" s="15">
        <v>-5.8476829961774505E-4</v>
      </c>
      <c r="W68" s="15">
        <v>-3.3186805799014798E-4</v>
      </c>
      <c r="X68" s="34">
        <v>1.07596160298296</v>
      </c>
      <c r="Y68" s="34">
        <v>1.0748179428614399</v>
      </c>
      <c r="Z68" s="34">
        <v>1.0751653364357301</v>
      </c>
      <c r="AA68" s="34">
        <v>1.0750206174541601</v>
      </c>
      <c r="AB68" s="33">
        <v>29.632569461998401</v>
      </c>
      <c r="AC68" s="33">
        <v>29.6358127577037</v>
      </c>
      <c r="AD68" s="33">
        <v>29.637710502864898</v>
      </c>
      <c r="AE68" s="15">
        <v>-1.0634843831650201E-3</v>
      </c>
      <c r="AF68" s="15">
        <v>-9.5404000195990302E-4</v>
      </c>
      <c r="AG68" s="15">
        <v>-8.9000651593098602E-4</v>
      </c>
      <c r="AI68" s="12"/>
      <c r="AJ68">
        <f t="shared" si="6"/>
        <v>0</v>
      </c>
      <c r="AK68">
        <f t="shared" si="7"/>
        <v>0</v>
      </c>
      <c r="AL68">
        <f t="shared" si="14"/>
        <v>1</v>
      </c>
      <c r="AM68">
        <f t="shared" si="4"/>
        <v>1</v>
      </c>
      <c r="AN68">
        <f t="shared" si="15"/>
        <v>1</v>
      </c>
      <c r="AO68" s="28">
        <f t="shared" si="8"/>
        <v>1.84467862676609E-3</v>
      </c>
      <c r="AP68" s="28">
        <f t="shared" si="9"/>
        <v>-1.7143840989647301E-3</v>
      </c>
      <c r="AQ68" s="28">
        <f t="shared" si="16"/>
        <v>1.3029452780135989E-4</v>
      </c>
      <c r="AR68" s="29">
        <f t="shared" si="17"/>
        <v>4.3669203029861377E-3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1.6042761898009991E-3</v>
      </c>
      <c r="BE68" s="29">
        <f t="shared" si="22"/>
        <v>1.3029452780135989E-4</v>
      </c>
      <c r="BF68" s="29">
        <f t="shared" si="23"/>
        <v>5.9711964927871373E-3</v>
      </c>
      <c r="BH68" s="29"/>
    </row>
    <row r="69" spans="1:60" x14ac:dyDescent="0.25">
      <c r="A69" s="1">
        <v>46122</v>
      </c>
      <c r="B69" s="33">
        <v>27.04</v>
      </c>
      <c r="C69" s="33">
        <v>29.13</v>
      </c>
      <c r="D69" s="15">
        <v>-3.3228754960770101E-3</v>
      </c>
      <c r="E69" s="15">
        <v>-2.0576138946802598E-3</v>
      </c>
      <c r="F69" s="33">
        <v>0</v>
      </c>
      <c r="G69" s="33">
        <v>0.43984999999999902</v>
      </c>
      <c r="H69" s="33">
        <v>0</v>
      </c>
      <c r="I69" s="33">
        <v>0.47409999999999902</v>
      </c>
      <c r="J69" s="33">
        <v>0.43984999999999902</v>
      </c>
      <c r="K69" s="33">
        <v>0.47409999999999902</v>
      </c>
      <c r="L69" s="33">
        <v>27.479849999999999</v>
      </c>
      <c r="M69" s="33">
        <v>29.604099999999999</v>
      </c>
      <c r="N69" s="34">
        <v>1.07729289940828</v>
      </c>
      <c r="O69" s="34">
        <v>1.0748269802361801</v>
      </c>
      <c r="P69" s="34">
        <v>1.07575928560916</v>
      </c>
      <c r="Q69" s="34">
        <v>1.0755452427427801</v>
      </c>
      <c r="R69" s="33">
        <v>29.063321545586501</v>
      </c>
      <c r="S69" s="33">
        <v>29.0802424619222</v>
      </c>
      <c r="T69" s="33">
        <v>29.0828654198395</v>
      </c>
      <c r="U69" s="15">
        <v>-2.2916197880724601E-3</v>
      </c>
      <c r="V69" s="15">
        <v>-1.7095805855481901E-3</v>
      </c>
      <c r="W69" s="15">
        <v>-1.6193874024581401E-3</v>
      </c>
      <c r="X69" s="34">
        <v>1.07730209589935</v>
      </c>
      <c r="Y69" s="34">
        <v>1.0748179428614399</v>
      </c>
      <c r="Z69" s="34">
        <v>1.0755487660266501</v>
      </c>
      <c r="AA69" s="34">
        <v>1.07505599511339</v>
      </c>
      <c r="AB69" s="33">
        <v>29.535835847140898</v>
      </c>
      <c r="AC69" s="33">
        <v>29.545382170453401</v>
      </c>
      <c r="AD69" s="33">
        <v>29.541405314547699</v>
      </c>
      <c r="AE69" s="15">
        <v>-2.30856466781202E-3</v>
      </c>
      <c r="AF69" s="15">
        <v>-1.9854053384720498E-3</v>
      </c>
      <c r="AG69" s="15">
        <v>-2.1200160046136499E-3</v>
      </c>
      <c r="AI69" s="12"/>
      <c r="AJ69">
        <f t="shared" si="6"/>
        <v>1</v>
      </c>
      <c r="AK69">
        <f t="shared" si="7"/>
        <v>0</v>
      </c>
      <c r="AL69">
        <f t="shared" si="14"/>
        <v>1</v>
      </c>
      <c r="AM69">
        <f t="shared" si="4"/>
        <v>1</v>
      </c>
      <c r="AN69">
        <f t="shared" si="15"/>
        <v>1</v>
      </c>
      <c r="AO69" s="28">
        <f t="shared" si="8"/>
        <v>-3.3228754960770101E-3</v>
      </c>
      <c r="AP69" s="28">
        <f t="shared" si="9"/>
        <v>2.0576138946802598E-3</v>
      </c>
      <c r="AQ69" s="28">
        <f t="shared" si="16"/>
        <v>-1.2652616013967503E-3</v>
      </c>
      <c r="AR69" s="29">
        <f t="shared" si="17"/>
        <v>3.1016587015893875E-3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1.6042761898009991E-3</v>
      </c>
      <c r="BE69" s="29">
        <f t="shared" si="22"/>
        <v>-1.2652616013967503E-3</v>
      </c>
      <c r="BF69" s="29">
        <f t="shared" si="23"/>
        <v>4.705934891390387E-3</v>
      </c>
      <c r="BH69" s="29"/>
    </row>
    <row r="70" spans="1:60" x14ac:dyDescent="0.25">
      <c r="A70" s="1">
        <v>46125</v>
      </c>
      <c r="B70" s="33">
        <v>27.14</v>
      </c>
      <c r="C70" s="33">
        <v>29.23</v>
      </c>
      <c r="D70" s="15">
        <v>3.6914032319598899E-3</v>
      </c>
      <c r="E70" s="15">
        <v>3.42700815181135E-3</v>
      </c>
      <c r="F70" s="33">
        <v>0</v>
      </c>
      <c r="G70" s="33">
        <v>0.43984999999999902</v>
      </c>
      <c r="H70" s="33">
        <v>0</v>
      </c>
      <c r="I70" s="33">
        <v>0.47409999999999902</v>
      </c>
      <c r="J70" s="33">
        <v>0.43984999999999902</v>
      </c>
      <c r="K70" s="33">
        <v>0.47409999999999902</v>
      </c>
      <c r="L70" s="33">
        <v>27.57985</v>
      </c>
      <c r="M70" s="33">
        <v>29.7041</v>
      </c>
      <c r="N70" s="34">
        <v>1.0770081061164301</v>
      </c>
      <c r="O70" s="34">
        <v>1.0748269802361801</v>
      </c>
      <c r="P70" s="34">
        <v>1.0758872071636301</v>
      </c>
      <c r="Q70" s="34">
        <v>1.07553218218213</v>
      </c>
      <c r="R70" s="33">
        <v>29.1708042436101</v>
      </c>
      <c r="S70" s="33">
        <v>29.196107011432598</v>
      </c>
      <c r="T70" s="33">
        <v>29.190297888039101</v>
      </c>
      <c r="U70" s="15">
        <v>-2.0272247079240898E-3</v>
      </c>
      <c r="V70" s="15">
        <v>-1.16020026330161E-3</v>
      </c>
      <c r="W70" s="15">
        <v>-1.35918916911749E-3</v>
      </c>
      <c r="X70" s="34">
        <v>1.0770218112136201</v>
      </c>
      <c r="Y70" s="34">
        <v>1.0748179428614399</v>
      </c>
      <c r="Z70" s="34">
        <v>1.0757560804644699</v>
      </c>
      <c r="AA70" s="34">
        <v>1.07508312028807</v>
      </c>
      <c r="AB70" s="33">
        <v>29.6433176414271</v>
      </c>
      <c r="AC70" s="33">
        <v>29.6634736347001</v>
      </c>
      <c r="AD70" s="33">
        <v>29.649883086828201</v>
      </c>
      <c r="AE70" s="15">
        <v>-2.0483580327804798E-3</v>
      </c>
      <c r="AF70" s="15">
        <v>-1.3686384386030999E-3</v>
      </c>
      <c r="AG70" s="15">
        <v>-1.8269010917718301E-3</v>
      </c>
      <c r="AI70" s="12"/>
      <c r="AJ70">
        <f t="shared" si="6"/>
        <v>1</v>
      </c>
      <c r="AK70">
        <f t="shared" si="7"/>
        <v>0</v>
      </c>
      <c r="AL70">
        <f t="shared" si="14"/>
        <v>1</v>
      </c>
      <c r="AM70">
        <f t="shared" si="4"/>
        <v>1</v>
      </c>
      <c r="AN70">
        <f t="shared" si="15"/>
        <v>1</v>
      </c>
      <c r="AO70" s="28">
        <f t="shared" si="8"/>
        <v>3.6914032319598899E-3</v>
      </c>
      <c r="AP70" s="28">
        <f t="shared" si="9"/>
        <v>-3.42700815181135E-3</v>
      </c>
      <c r="AQ70" s="28">
        <f t="shared" si="16"/>
        <v>2.6439508014853988E-4</v>
      </c>
      <c r="AR70" s="29">
        <f t="shared" si="17"/>
        <v>3.3660537817379274E-3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1.6042761898009991E-3</v>
      </c>
      <c r="BE70" s="29">
        <f t="shared" si="22"/>
        <v>2.6439508014853988E-4</v>
      </c>
      <c r="BF70" s="29">
        <f t="shared" si="23"/>
        <v>4.9703299715389265E-3</v>
      </c>
      <c r="BH70" s="29"/>
    </row>
    <row r="71" spans="1:60" x14ac:dyDescent="0.25">
      <c r="A71" s="1">
        <v>46126</v>
      </c>
      <c r="B71" s="33">
        <v>27.26</v>
      </c>
      <c r="C71" s="33">
        <v>29.34</v>
      </c>
      <c r="D71" s="15">
        <v>4.41177186166358E-3</v>
      </c>
      <c r="E71" s="15">
        <v>3.7561935916810701E-3</v>
      </c>
      <c r="F71" s="33">
        <v>0</v>
      </c>
      <c r="G71" s="33">
        <v>0.43984999999999902</v>
      </c>
      <c r="H71" s="33">
        <v>0</v>
      </c>
      <c r="I71" s="33">
        <v>0.47409999999999902</v>
      </c>
      <c r="J71" s="33">
        <v>0.43984999999999902</v>
      </c>
      <c r="K71" s="33">
        <v>0.47409999999999902</v>
      </c>
      <c r="L71" s="33">
        <v>27.699850000000001</v>
      </c>
      <c r="M71" s="33">
        <v>29.8141</v>
      </c>
      <c r="N71" s="34">
        <v>1.0763022743947099</v>
      </c>
      <c r="O71" s="34">
        <v>1.0748269802361801</v>
      </c>
      <c r="P71" s="34">
        <v>1.0760694194802201</v>
      </c>
      <c r="Q71" s="34">
        <v>1.0755543213129299</v>
      </c>
      <c r="R71" s="33">
        <v>29.2997834812384</v>
      </c>
      <c r="S71" s="33">
        <v>29.328685267280498</v>
      </c>
      <c r="T71" s="33">
        <v>29.319007286285</v>
      </c>
      <c r="U71" s="15">
        <v>-1.3716464379416201E-3</v>
      </c>
      <c r="V71" s="15">
        <v>-3.8571625759686097E-4</v>
      </c>
      <c r="W71" s="15">
        <v>-7.1575417254191704E-4</v>
      </c>
      <c r="X71" s="34">
        <v>1.07632712812524</v>
      </c>
      <c r="Y71" s="34">
        <v>1.0748179428614399</v>
      </c>
      <c r="Z71" s="34">
        <v>1.0760172931805401</v>
      </c>
      <c r="AA71" s="34">
        <v>1.07514508056278</v>
      </c>
      <c r="AB71" s="33">
        <v>29.7722957945704</v>
      </c>
      <c r="AC71" s="33">
        <v>29.798282065453801</v>
      </c>
      <c r="AD71" s="33">
        <v>29.779641169511599</v>
      </c>
      <c r="AE71" s="15">
        <v>-1.4031461957319099E-3</v>
      </c>
      <c r="AF71" s="15">
        <v>-5.3069293221777599E-4</v>
      </c>
      <c r="AG71" s="15">
        <v>-1.15645816666392E-3</v>
      </c>
      <c r="AI71" s="12"/>
      <c r="AJ71">
        <f t="shared" si="6"/>
        <v>0</v>
      </c>
      <c r="AK71">
        <f t="shared" si="7"/>
        <v>0</v>
      </c>
      <c r="AL71">
        <f t="shared" si="14"/>
        <v>1</v>
      </c>
      <c r="AM71">
        <f t="shared" si="4"/>
        <v>1</v>
      </c>
      <c r="AN71">
        <f t="shared" si="15"/>
        <v>1</v>
      </c>
      <c r="AO71" s="28">
        <f t="shared" si="8"/>
        <v>4.41177186166358E-3</v>
      </c>
      <c r="AP71" s="28">
        <f t="shared" si="9"/>
        <v>-3.7561935916810701E-3</v>
      </c>
      <c r="AQ71" s="28">
        <f t="shared" si="16"/>
        <v>6.5557826998250985E-4</v>
      </c>
      <c r="AR71" s="29">
        <f t="shared" si="17"/>
        <v>4.0216320517204376E-3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1.6042761898009991E-3</v>
      </c>
      <c r="BE71" s="29">
        <f t="shared" si="22"/>
        <v>6.5557826998250985E-4</v>
      </c>
      <c r="BF71" s="29">
        <f t="shared" si="23"/>
        <v>5.6259082415214363E-3</v>
      </c>
      <c r="BH71" s="29"/>
    </row>
    <row r="72" spans="1:60" x14ac:dyDescent="0.25">
      <c r="A72" s="1">
        <v>46127</v>
      </c>
      <c r="B72" s="33">
        <v>27.23</v>
      </c>
      <c r="C72" s="33">
        <v>29.32</v>
      </c>
      <c r="D72" s="15">
        <v>-1.1011195827183701E-3</v>
      </c>
      <c r="E72" s="15">
        <v>-6.8189569638493503E-4</v>
      </c>
      <c r="F72" s="33">
        <v>0</v>
      </c>
      <c r="G72" s="33">
        <v>0.43984999999999902</v>
      </c>
      <c r="H72" s="33">
        <v>0</v>
      </c>
      <c r="I72" s="33">
        <v>0.47409999999999902</v>
      </c>
      <c r="J72" s="33">
        <v>0.43984999999999902</v>
      </c>
      <c r="K72" s="33">
        <v>0.47409999999999902</v>
      </c>
      <c r="L72" s="33">
        <v>27.66985</v>
      </c>
      <c r="M72" s="33">
        <v>29.7941</v>
      </c>
      <c r="N72" s="34">
        <v>1.07675358060962</v>
      </c>
      <c r="O72" s="34">
        <v>1.0748269802361801</v>
      </c>
      <c r="P72" s="34">
        <v>1.07625974760107</v>
      </c>
      <c r="Q72" s="34">
        <v>1.0756345598672199</v>
      </c>
      <c r="R72" s="33">
        <v>29.2675386718313</v>
      </c>
      <c r="S72" s="33">
        <v>29.301370292446599</v>
      </c>
      <c r="T72" s="33">
        <v>29.287344169351201</v>
      </c>
      <c r="U72" s="15">
        <v>-1.7908703242751601E-3</v>
      </c>
      <c r="V72" s="15">
        <v>-6.3559442870734302E-4</v>
      </c>
      <c r="W72" s="15">
        <v>-1.11439392080174E-3</v>
      </c>
      <c r="X72" s="34">
        <v>1.07677128715912</v>
      </c>
      <c r="Y72" s="34">
        <v>1.0748179428614399</v>
      </c>
      <c r="Z72" s="34">
        <v>1.07628555043799</v>
      </c>
      <c r="AA72" s="34">
        <v>1.0752642230968099</v>
      </c>
      <c r="AB72" s="33">
        <v>29.740051256284598</v>
      </c>
      <c r="AC72" s="33">
        <v>29.773237099711601</v>
      </c>
      <c r="AD72" s="33">
        <v>29.7491031074102</v>
      </c>
      <c r="AE72" s="15">
        <v>-1.8157228220793201E-3</v>
      </c>
      <c r="AF72" s="15">
        <v>-7.0048124214607997E-4</v>
      </c>
      <c r="AG72" s="15">
        <v>-1.51140344513592E-3</v>
      </c>
      <c r="AI72" s="12"/>
      <c r="AJ72">
        <f t="shared" si="6"/>
        <v>1</v>
      </c>
      <c r="AK72">
        <f t="shared" si="7"/>
        <v>0</v>
      </c>
      <c r="AL72">
        <f t="shared" si="14"/>
        <v>1</v>
      </c>
      <c r="AM72">
        <f t="shared" si="4"/>
        <v>1</v>
      </c>
      <c r="AN72">
        <f t="shared" si="15"/>
        <v>1</v>
      </c>
      <c r="AO72" s="28">
        <f t="shared" si="8"/>
        <v>-1.1011195827183701E-3</v>
      </c>
      <c r="AP72" s="28">
        <f t="shared" si="9"/>
        <v>6.8189569638493503E-4</v>
      </c>
      <c r="AQ72" s="28">
        <f t="shared" si="16"/>
        <v>-4.1922388633343507E-4</v>
      </c>
      <c r="AR72" s="29">
        <f t="shared" si="17"/>
        <v>3.6024081653870024E-3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1.6042761898009991E-3</v>
      </c>
      <c r="BE72" s="29">
        <f t="shared" si="22"/>
        <v>-4.1922388633343507E-4</v>
      </c>
      <c r="BF72" s="29">
        <f t="shared" si="23"/>
        <v>5.206684355188001E-3</v>
      </c>
      <c r="BH72" s="29"/>
    </row>
    <row r="73" spans="1:60" x14ac:dyDescent="0.25">
      <c r="A73" s="1">
        <v>46128</v>
      </c>
      <c r="B73" s="33">
        <v>27.17</v>
      </c>
      <c r="C73" s="33">
        <v>29.28</v>
      </c>
      <c r="D73" s="15">
        <v>-2.2058832474118298E-3</v>
      </c>
      <c r="E73" s="15">
        <v>-1.36518792533985E-3</v>
      </c>
      <c r="F73" s="33">
        <v>0</v>
      </c>
      <c r="G73" s="33">
        <v>0.43984999999999902</v>
      </c>
      <c r="H73" s="33">
        <v>0</v>
      </c>
      <c r="I73" s="33">
        <v>0.47409999999999902</v>
      </c>
      <c r="J73" s="33">
        <v>0.43984999999999902</v>
      </c>
      <c r="K73" s="33">
        <v>0.47409999999999902</v>
      </c>
      <c r="L73" s="33">
        <v>27.609850000000002</v>
      </c>
      <c r="M73" s="33">
        <v>29.754100000000001</v>
      </c>
      <c r="N73" s="34">
        <v>1.0776591829223401</v>
      </c>
      <c r="O73" s="34">
        <v>1.0748269802361801</v>
      </c>
      <c r="P73" s="34">
        <v>1.07654343618885</v>
      </c>
      <c r="Q73" s="34">
        <v>1.07567856770248</v>
      </c>
      <c r="R73" s="33">
        <v>29.2030490530172</v>
      </c>
      <c r="S73" s="33">
        <v>29.2419773423211</v>
      </c>
      <c r="T73" s="33">
        <v>29.224990991592499</v>
      </c>
      <c r="U73" s="15">
        <v>-2.63156564634699E-3</v>
      </c>
      <c r="V73" s="15">
        <v>-1.2994319315855301E-3</v>
      </c>
      <c r="W73" s="15">
        <v>-1.8804899782253999E-3</v>
      </c>
      <c r="X73" s="34">
        <v>1.07766250088283</v>
      </c>
      <c r="Y73" s="34">
        <v>1.0748179428614399</v>
      </c>
      <c r="Z73" s="34">
        <v>1.07656464104619</v>
      </c>
      <c r="AA73" s="34">
        <v>1.07534756830639</v>
      </c>
      <c r="AB73" s="33">
        <v>29.675562179712902</v>
      </c>
      <c r="AC73" s="33">
        <v>29.716082604760501</v>
      </c>
      <c r="AD73" s="33">
        <v>29.687883910069601</v>
      </c>
      <c r="AE73" s="15">
        <v>-2.6430527493114002E-3</v>
      </c>
      <c r="AF73" s="15">
        <v>-1.27853652883121E-3</v>
      </c>
      <c r="AG73" s="15">
        <v>-2.2279242032009899E-3</v>
      </c>
      <c r="AI73" s="12"/>
      <c r="AJ73">
        <f t="shared" si="6"/>
        <v>1</v>
      </c>
      <c r="AK73">
        <f t="shared" si="7"/>
        <v>0</v>
      </c>
      <c r="AL73">
        <f t="shared" si="14"/>
        <v>1</v>
      </c>
      <c r="AM73">
        <f t="shared" si="4"/>
        <v>1</v>
      </c>
      <c r="AN73">
        <f t="shared" si="15"/>
        <v>1</v>
      </c>
      <c r="AO73" s="28">
        <f t="shared" si="8"/>
        <v>-2.2058832474118298E-3</v>
      </c>
      <c r="AP73" s="28">
        <f t="shared" si="9"/>
        <v>1.36518792533985E-3</v>
      </c>
      <c r="AQ73" s="28">
        <f t="shared" si="16"/>
        <v>-8.4069532207197979E-4</v>
      </c>
      <c r="AR73" s="29">
        <f t="shared" si="17"/>
        <v>2.7617128433150223E-3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1.6042761898009991E-3</v>
      </c>
      <c r="BE73" s="29">
        <f t="shared" si="22"/>
        <v>-8.4069532207197979E-4</v>
      </c>
      <c r="BF73" s="29">
        <f t="shared" si="23"/>
        <v>4.365989033116021E-3</v>
      </c>
      <c r="BH73" s="29"/>
    </row>
    <row r="74" spans="1:60" x14ac:dyDescent="0.25">
      <c r="A74" s="1">
        <v>46129</v>
      </c>
      <c r="B74" s="33">
        <v>27.29</v>
      </c>
      <c r="C74" s="33">
        <v>29.4</v>
      </c>
      <c r="D74" s="15">
        <v>4.4069112819906499E-3</v>
      </c>
      <c r="E74" s="15">
        <v>4.0899852515250603E-3</v>
      </c>
      <c r="F74" s="33">
        <v>0</v>
      </c>
      <c r="G74" s="33">
        <v>0.43984999999999902</v>
      </c>
      <c r="H74" s="33">
        <v>0</v>
      </c>
      <c r="I74" s="33">
        <v>0.47409999999999902</v>
      </c>
      <c r="J74" s="33">
        <v>0.43984999999999902</v>
      </c>
      <c r="K74" s="33">
        <v>0.47409999999999902</v>
      </c>
      <c r="L74" s="33">
        <v>27.729849999999999</v>
      </c>
      <c r="M74" s="33">
        <v>29.874099999999999</v>
      </c>
      <c r="N74" s="34">
        <v>1.07731769879076</v>
      </c>
      <c r="O74" s="34">
        <v>1.0748269802361801</v>
      </c>
      <c r="P74" s="34">
        <v>1.0767350791549</v>
      </c>
      <c r="Q74" s="34">
        <v>1.07577298139481</v>
      </c>
      <c r="R74" s="33">
        <v>29.3320282906455</v>
      </c>
      <c r="S74" s="33">
        <v>29.378870373593799</v>
      </c>
      <c r="T74" s="33">
        <v>29.355268112600601</v>
      </c>
      <c r="U74" s="15">
        <v>-2.3146396158814698E-3</v>
      </c>
      <c r="V74" s="15">
        <v>-7.1895316061827697E-4</v>
      </c>
      <c r="W74" s="15">
        <v>-1.52265141420263E-3</v>
      </c>
      <c r="X74" s="34">
        <v>1.07732641900334</v>
      </c>
      <c r="Y74" s="34">
        <v>1.0748179428614399</v>
      </c>
      <c r="Z74" s="34">
        <v>1.0767531723473101</v>
      </c>
      <c r="AA74" s="34">
        <v>1.0754807314170201</v>
      </c>
      <c r="AB74" s="33">
        <v>29.804540332856298</v>
      </c>
      <c r="AC74" s="33">
        <v>29.852976011514802</v>
      </c>
      <c r="AD74" s="33">
        <v>29.819226767000998</v>
      </c>
      <c r="AE74" s="15">
        <v>-2.3311422061878398E-3</v>
      </c>
      <c r="AF74" s="15">
        <v>-7.0735052765165797E-4</v>
      </c>
      <c r="AG74" s="15">
        <v>-1.8385052878532001E-3</v>
      </c>
      <c r="AI74" s="12"/>
      <c r="AJ74">
        <f t="shared" si="6"/>
        <v>1</v>
      </c>
      <c r="AK74">
        <f t="shared" si="7"/>
        <v>0</v>
      </c>
      <c r="AL74">
        <f t="shared" si="14"/>
        <v>1</v>
      </c>
      <c r="AM74">
        <f t="shared" si="4"/>
        <v>1</v>
      </c>
      <c r="AN74">
        <f t="shared" si="15"/>
        <v>1</v>
      </c>
      <c r="AO74" s="28">
        <f t="shared" si="8"/>
        <v>4.4069112819906499E-3</v>
      </c>
      <c r="AP74" s="28">
        <f t="shared" si="9"/>
        <v>-4.0899852515250603E-3</v>
      </c>
      <c r="AQ74" s="28">
        <f t="shared" si="16"/>
        <v>3.1692603046558961E-4</v>
      </c>
      <c r="AR74" s="29">
        <f t="shared" si="17"/>
        <v>3.078638873780612E-3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1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1.6042761898009991E-3</v>
      </c>
      <c r="BE74" s="29">
        <f t="shared" si="22"/>
        <v>3.1692603046558961E-4</v>
      </c>
      <c r="BF74" s="29">
        <f t="shared" si="23"/>
        <v>4.6829150635816106E-3</v>
      </c>
      <c r="BH74" s="29"/>
    </row>
    <row r="75" spans="1:60" x14ac:dyDescent="0.25">
      <c r="A75" s="1">
        <v>46132</v>
      </c>
      <c r="B75" s="33">
        <v>27.26</v>
      </c>
      <c r="C75" s="33">
        <v>29.36</v>
      </c>
      <c r="D75" s="15">
        <v>-1.0999084518605001E-3</v>
      </c>
      <c r="E75" s="15">
        <v>-1.36147059832107E-3</v>
      </c>
      <c r="F75" s="33">
        <v>0</v>
      </c>
      <c r="G75" s="33">
        <v>0.43984999999999902</v>
      </c>
      <c r="H75" s="33">
        <v>0</v>
      </c>
      <c r="I75" s="33">
        <v>0.47409999999999902</v>
      </c>
      <c r="J75" s="33">
        <v>0.43984999999999902</v>
      </c>
      <c r="K75" s="33">
        <v>0.47409999999999902</v>
      </c>
      <c r="L75" s="33">
        <v>27.699850000000001</v>
      </c>
      <c r="M75" s="33">
        <v>29.834099999999999</v>
      </c>
      <c r="N75" s="34">
        <v>1.0770359501100499</v>
      </c>
      <c r="O75" s="34">
        <v>1.0748269802361801</v>
      </c>
      <c r="P75" s="34">
        <v>1.07680082021657</v>
      </c>
      <c r="Q75" s="34">
        <v>1.07584548940674</v>
      </c>
      <c r="R75" s="33">
        <v>29.2997834812384</v>
      </c>
      <c r="S75" s="33">
        <v>29.351798257762599</v>
      </c>
      <c r="T75" s="33">
        <v>29.325571472822698</v>
      </c>
      <c r="U75" s="15">
        <v>-2.05307746942076E-3</v>
      </c>
      <c r="V75" s="15">
        <v>-2.7938991937158901E-4</v>
      </c>
      <c r="W75" s="15">
        <v>-1.1733218323664999E-3</v>
      </c>
      <c r="X75" s="34">
        <v>1.07704915369577</v>
      </c>
      <c r="Y75" s="34">
        <v>1.0748179428614399</v>
      </c>
      <c r="Z75" s="34">
        <v>1.07681783309672</v>
      </c>
      <c r="AA75" s="34">
        <v>1.07559275824555</v>
      </c>
      <c r="AB75" s="33">
        <v>29.7722957945704</v>
      </c>
      <c r="AC75" s="33">
        <v>29.825901361044799</v>
      </c>
      <c r="AD75" s="33">
        <v>29.790654938141898</v>
      </c>
      <c r="AE75" s="15">
        <v>-2.0737448307118901E-3</v>
      </c>
      <c r="AF75" s="15">
        <v>-2.74845418026748E-4</v>
      </c>
      <c r="AG75" s="15">
        <v>-1.4572829554347E-3</v>
      </c>
      <c r="AI75" s="12"/>
      <c r="AJ75">
        <f t="shared" si="6"/>
        <v>0</v>
      </c>
      <c r="AK75">
        <f t="shared" si="7"/>
        <v>0</v>
      </c>
      <c r="AL75">
        <f t="shared" si="14"/>
        <v>1</v>
      </c>
      <c r="AM75">
        <f t="shared" si="4"/>
        <v>1</v>
      </c>
      <c r="AN75">
        <f t="shared" si="15"/>
        <v>1</v>
      </c>
      <c r="AO75" s="28">
        <f t="shared" si="8"/>
        <v>-1.0999084518605001E-3</v>
      </c>
      <c r="AP75" s="28">
        <f t="shared" si="9"/>
        <v>1.36147059832107E-3</v>
      </c>
      <c r="AQ75" s="28">
        <f t="shared" si="16"/>
        <v>2.6156214646056992E-4</v>
      </c>
      <c r="AR75" s="29">
        <f t="shared" si="17"/>
        <v>3.3402010202411821E-3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1.6042761898009991E-3</v>
      </c>
      <c r="BE75" s="29">
        <f t="shared" si="22"/>
        <v>2.6156214646056992E-4</v>
      </c>
      <c r="BF75" s="29">
        <f t="shared" si="23"/>
        <v>4.9444772100421808E-3</v>
      </c>
      <c r="BH75" s="29"/>
    </row>
    <row r="76" spans="1:60" x14ac:dyDescent="0.25">
      <c r="A76" s="1">
        <v>46133</v>
      </c>
      <c r="B76" s="33">
        <v>27.18</v>
      </c>
      <c r="C76" s="33">
        <v>29.28</v>
      </c>
      <c r="D76" s="15">
        <v>-2.9390175453889601E-3</v>
      </c>
      <c r="E76" s="15">
        <v>-2.7285146532039502E-3</v>
      </c>
      <c r="F76" s="33">
        <v>0</v>
      </c>
      <c r="G76" s="33">
        <v>0.43984999999999902</v>
      </c>
      <c r="H76" s="33">
        <v>0</v>
      </c>
      <c r="I76" s="33">
        <v>0.47409999999999902</v>
      </c>
      <c r="J76" s="33">
        <v>0.43984999999999902</v>
      </c>
      <c r="K76" s="33">
        <v>0.47409999999999902</v>
      </c>
      <c r="L76" s="33">
        <v>27.61985</v>
      </c>
      <c r="M76" s="33">
        <v>29.754100000000001</v>
      </c>
      <c r="N76" s="34">
        <v>1.07726269315673</v>
      </c>
      <c r="O76" s="34">
        <v>1.0748269802361801</v>
      </c>
      <c r="P76" s="34">
        <v>1.0768633990560601</v>
      </c>
      <c r="Q76" s="34">
        <v>1.07597923875723</v>
      </c>
      <c r="R76" s="33">
        <v>29.213797322819499</v>
      </c>
      <c r="S76" s="33">
        <v>29.2674462934866</v>
      </c>
      <c r="T76" s="33">
        <v>29.2414804020753</v>
      </c>
      <c r="U76" s="15">
        <v>-2.26358036160589E-3</v>
      </c>
      <c r="V76" s="15">
        <v>-4.2883874534350102E-4</v>
      </c>
      <c r="W76" s="15">
        <v>-1.31642614721202E-3</v>
      </c>
      <c r="X76" s="34">
        <v>1.07727232407127</v>
      </c>
      <c r="Y76" s="34">
        <v>1.0748179428614399</v>
      </c>
      <c r="Z76" s="34">
        <v>1.0768793938402099</v>
      </c>
      <c r="AA76" s="34">
        <v>1.0757649798695601</v>
      </c>
      <c r="AB76" s="33">
        <v>29.686310359141501</v>
      </c>
      <c r="AC76" s="33">
        <v>29.741547027456601</v>
      </c>
      <c r="AD76" s="33">
        <v>29.707710643828602</v>
      </c>
      <c r="AE76" s="15">
        <v>-2.2809287432321102E-3</v>
      </c>
      <c r="AF76" s="15">
        <v>-4.2197953486790502E-4</v>
      </c>
      <c r="AG76" s="15">
        <v>-1.56030787090308E-3</v>
      </c>
      <c r="AI76" s="12"/>
      <c r="AJ76">
        <f t="shared" si="6"/>
        <v>1</v>
      </c>
      <c r="AK76">
        <f t="shared" si="7"/>
        <v>0</v>
      </c>
      <c r="AL76">
        <f t="shared" si="14"/>
        <v>1</v>
      </c>
      <c r="AM76">
        <f t="shared" si="4"/>
        <v>1</v>
      </c>
      <c r="AN76">
        <f t="shared" si="15"/>
        <v>1</v>
      </c>
      <c r="AO76" s="28">
        <f t="shared" si="8"/>
        <v>-2.9390175453889601E-3</v>
      </c>
      <c r="AP76" s="28">
        <f t="shared" si="9"/>
        <v>2.7285146532039502E-3</v>
      </c>
      <c r="AQ76" s="28">
        <f t="shared" si="16"/>
        <v>-2.105028921850099E-4</v>
      </c>
      <c r="AR76" s="29">
        <f t="shared" si="17"/>
        <v>3.1296981280561722E-3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1.6042761898009991E-3</v>
      </c>
      <c r="BE76" s="29">
        <f t="shared" si="22"/>
        <v>-2.105028921850099E-4</v>
      </c>
      <c r="BF76" s="29">
        <f t="shared" si="23"/>
        <v>4.7339743178571713E-3</v>
      </c>
      <c r="BH76" s="29"/>
    </row>
    <row r="77" spans="1:60" x14ac:dyDescent="0.25">
      <c r="A77" s="1">
        <v>46134</v>
      </c>
      <c r="B77" s="33">
        <v>27.23</v>
      </c>
      <c r="C77" s="33">
        <v>29.33</v>
      </c>
      <c r="D77" s="15">
        <v>1.8378979626706201E-3</v>
      </c>
      <c r="E77" s="15">
        <v>1.7061938962486499E-3</v>
      </c>
      <c r="F77" s="33">
        <v>0</v>
      </c>
      <c r="G77" s="33">
        <v>0.43984999999999902</v>
      </c>
      <c r="H77" s="33">
        <v>0</v>
      </c>
      <c r="I77" s="33">
        <v>0.47409999999999902</v>
      </c>
      <c r="J77" s="33">
        <v>0.43984999999999902</v>
      </c>
      <c r="K77" s="33">
        <v>0.47409999999999902</v>
      </c>
      <c r="L77" s="33">
        <v>27.66985</v>
      </c>
      <c r="M77" s="33">
        <v>29.804099999999998</v>
      </c>
      <c r="N77" s="34">
        <v>1.0771208226221001</v>
      </c>
      <c r="O77" s="34">
        <v>1.0748269802361801</v>
      </c>
      <c r="P77" s="34">
        <v>1.07696839121487</v>
      </c>
      <c r="Q77" s="34">
        <v>1.0761350544938999</v>
      </c>
      <c r="R77" s="33">
        <v>29.2675386718313</v>
      </c>
      <c r="S77" s="33">
        <v>29.322990356296501</v>
      </c>
      <c r="T77" s="33">
        <v>29.298914671359501</v>
      </c>
      <c r="U77" s="15">
        <v>-2.1318762951840898E-3</v>
      </c>
      <c r="V77" s="15">
        <v>-2.39020847674919E-4</v>
      </c>
      <c r="W77" s="15">
        <v>-1.0604095855278101E-3</v>
      </c>
      <c r="X77" s="34">
        <v>1.077132691359</v>
      </c>
      <c r="Y77" s="34">
        <v>1.0748179428614399</v>
      </c>
      <c r="Z77" s="34">
        <v>1.0769827014392499</v>
      </c>
      <c r="AA77" s="34">
        <v>1.0759591417613601</v>
      </c>
      <c r="AB77" s="33">
        <v>29.740051256284598</v>
      </c>
      <c r="AC77" s="33">
        <v>29.797091295649501</v>
      </c>
      <c r="AD77" s="33">
        <v>29.766255628243801</v>
      </c>
      <c r="AE77" s="15">
        <v>-2.1513034300119399E-3</v>
      </c>
      <c r="AF77" s="15">
        <v>-2.3518672128543399E-4</v>
      </c>
      <c r="AG77" s="15">
        <v>-1.27057750279477E-3</v>
      </c>
      <c r="AI77" s="12"/>
      <c r="AJ77">
        <f t="shared" si="6"/>
        <v>0</v>
      </c>
      <c r="AK77">
        <f t="shared" si="7"/>
        <v>0</v>
      </c>
      <c r="AL77">
        <f t="shared" si="14"/>
        <v>1</v>
      </c>
      <c r="AM77">
        <f t="shared" si="4"/>
        <v>1</v>
      </c>
      <c r="AN77">
        <f t="shared" si="15"/>
        <v>1</v>
      </c>
      <c r="AO77" s="28">
        <f t="shared" si="8"/>
        <v>1.8378979626706201E-3</v>
      </c>
      <c r="AP77" s="28">
        <f t="shared" si="9"/>
        <v>-1.7061938962486499E-3</v>
      </c>
      <c r="AQ77" s="28">
        <f t="shared" si="16"/>
        <v>1.317040664219702E-4</v>
      </c>
      <c r="AR77" s="29">
        <f t="shared" si="17"/>
        <v>3.2614021944781424E-3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1.6042761898009991E-3</v>
      </c>
      <c r="BE77" s="29">
        <f t="shared" si="22"/>
        <v>1.317040664219702E-4</v>
      </c>
      <c r="BF77" s="29">
        <f t="shared" si="23"/>
        <v>4.8656783842791415E-3</v>
      </c>
      <c r="BH77" s="29"/>
    </row>
    <row r="78" spans="1:60" x14ac:dyDescent="0.25">
      <c r="A78" s="1">
        <v>46135</v>
      </c>
      <c r="B78" s="33">
        <v>27.18</v>
      </c>
      <c r="C78" s="33">
        <v>29.29</v>
      </c>
      <c r="D78" s="15">
        <v>-1.8378979626706099E-3</v>
      </c>
      <c r="E78" s="15">
        <v>-1.36472214971749E-3</v>
      </c>
      <c r="F78" s="33">
        <v>0</v>
      </c>
      <c r="G78" s="33">
        <v>0.43984999999999902</v>
      </c>
      <c r="H78" s="33">
        <v>0</v>
      </c>
      <c r="I78" s="33">
        <v>0.47409999999999902</v>
      </c>
      <c r="J78" s="33">
        <v>0.43984999999999902</v>
      </c>
      <c r="K78" s="33">
        <v>0.47409999999999902</v>
      </c>
      <c r="L78" s="33">
        <v>27.61985</v>
      </c>
      <c r="M78" s="33">
        <v>29.764099999999999</v>
      </c>
      <c r="N78" s="34">
        <v>1.0776306107431901</v>
      </c>
      <c r="O78" s="34">
        <v>1.0748269802361801</v>
      </c>
      <c r="P78" s="34">
        <v>1.0771383818874201</v>
      </c>
      <c r="Q78" s="34">
        <v>1.0762955678283599</v>
      </c>
      <c r="R78" s="33">
        <v>29.213797322819499</v>
      </c>
      <c r="S78" s="33">
        <v>29.2720008732202</v>
      </c>
      <c r="T78" s="33">
        <v>29.249350781144202</v>
      </c>
      <c r="U78" s="15">
        <v>-2.6050521081370901E-3</v>
      </c>
      <c r="V78" s="15">
        <v>-6.1470329148875097E-4</v>
      </c>
      <c r="W78" s="15">
        <v>-1.38878292453632E-3</v>
      </c>
      <c r="X78" s="34">
        <v>1.0776343825183601</v>
      </c>
      <c r="Y78" s="34">
        <v>1.0748179428614399</v>
      </c>
      <c r="Z78" s="34">
        <v>1.0771499793927899</v>
      </c>
      <c r="AA78" s="34">
        <v>1.07615765791426</v>
      </c>
      <c r="AB78" s="33">
        <v>29.686310359141501</v>
      </c>
      <c r="AC78" s="33">
        <v>29.746100666347001</v>
      </c>
      <c r="AD78" s="33">
        <v>29.717830101577501</v>
      </c>
      <c r="AE78" s="15">
        <v>-2.6169604140183602E-3</v>
      </c>
      <c r="AF78" s="15">
        <v>-6.0491593038743303E-4</v>
      </c>
      <c r="AG78" s="15">
        <v>-1.5557634957749601E-3</v>
      </c>
      <c r="AI78" s="12"/>
      <c r="AJ78">
        <f t="shared" si="6"/>
        <v>1</v>
      </c>
      <c r="AK78">
        <f t="shared" si="7"/>
        <v>0</v>
      </c>
      <c r="AL78">
        <f t="shared" si="14"/>
        <v>1</v>
      </c>
      <c r="AM78">
        <f t="shared" si="4"/>
        <v>1</v>
      </c>
      <c r="AN78">
        <f t="shared" si="15"/>
        <v>1</v>
      </c>
      <c r="AO78" s="28">
        <f t="shared" si="8"/>
        <v>-1.8378979626706099E-3</v>
      </c>
      <c r="AP78" s="28">
        <f t="shared" si="9"/>
        <v>1.36472214971749E-3</v>
      </c>
      <c r="AQ78" s="28">
        <f t="shared" si="16"/>
        <v>-4.7317581295311991E-4</v>
      </c>
      <c r="AR78" s="29">
        <f t="shared" si="17"/>
        <v>2.7882263815250225E-3</v>
      </c>
      <c r="AT78" s="12"/>
      <c r="AU78">
        <f t="shared" si="10"/>
        <v>0</v>
      </c>
      <c r="AV78">
        <f t="shared" si="11"/>
        <v>1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1.6042761898009991E-3</v>
      </c>
      <c r="BE78" s="29">
        <f t="shared" si="22"/>
        <v>-4.7317581295311991E-4</v>
      </c>
      <c r="BF78" s="29">
        <f t="shared" si="23"/>
        <v>4.3925025713260216E-3</v>
      </c>
      <c r="BH78" s="29"/>
    </row>
    <row r="79" spans="1:60" x14ac:dyDescent="0.25">
      <c r="A79" s="1">
        <v>46136</v>
      </c>
      <c r="B79" s="33">
        <v>27.2</v>
      </c>
      <c r="C79" s="33">
        <v>29.29</v>
      </c>
      <c r="D79" s="15">
        <v>7.3556457895390995E-4</v>
      </c>
      <c r="E79" s="15">
        <v>0</v>
      </c>
      <c r="F79" s="33">
        <v>0</v>
      </c>
      <c r="G79" s="33">
        <v>0.43984999999999902</v>
      </c>
      <c r="H79" s="33">
        <v>0</v>
      </c>
      <c r="I79" s="33">
        <v>0.47409999999999902</v>
      </c>
      <c r="J79" s="33">
        <v>0.43984999999999902</v>
      </c>
      <c r="K79" s="33">
        <v>0.47409999999999902</v>
      </c>
      <c r="L79" s="33">
        <v>27.639849999999999</v>
      </c>
      <c r="M79" s="33">
        <v>29.764099999999999</v>
      </c>
      <c r="N79" s="34">
        <v>1.0768382352941099</v>
      </c>
      <c r="O79" s="34">
        <v>1.0748269802361801</v>
      </c>
      <c r="P79" s="34">
        <v>1.0770929154760001</v>
      </c>
      <c r="Q79" s="34">
        <v>1.0764261005425799</v>
      </c>
      <c r="R79" s="33">
        <v>29.2352938624242</v>
      </c>
      <c r="S79" s="33">
        <v>29.298163987337901</v>
      </c>
      <c r="T79" s="33">
        <v>29.2752394449316</v>
      </c>
      <c r="U79" s="15">
        <v>-1.86948752918314E-3</v>
      </c>
      <c r="V79" s="15">
        <v>2.78690671807571E-4</v>
      </c>
      <c r="W79" s="15">
        <v>-5.0407222853666002E-4</v>
      </c>
      <c r="X79" s="34">
        <v>1.07685461389985</v>
      </c>
      <c r="Y79" s="34">
        <v>1.0748179428614399</v>
      </c>
      <c r="Z79" s="34">
        <v>1.07710523119284</v>
      </c>
      <c r="AA79" s="34">
        <v>1.0763269986097399</v>
      </c>
      <c r="AB79" s="33">
        <v>29.7078067179987</v>
      </c>
      <c r="AC79" s="33">
        <v>29.772263857919899</v>
      </c>
      <c r="AD79" s="33">
        <v>29.744836241101499</v>
      </c>
      <c r="AE79" s="15">
        <v>-1.8931055659727101E-3</v>
      </c>
      <c r="AF79" s="15">
        <v>2.74247785459063E-4</v>
      </c>
      <c r="AG79" s="15">
        <v>-6.4742409419828997E-4</v>
      </c>
      <c r="AI79" s="12"/>
      <c r="AJ79">
        <f t="shared" si="6"/>
        <v>0</v>
      </c>
      <c r="AK79">
        <f t="shared" si="7"/>
        <v>0</v>
      </c>
      <c r="AL79">
        <f t="shared" si="14"/>
        <v>1</v>
      </c>
      <c r="AM79">
        <f t="shared" si="4"/>
        <v>1</v>
      </c>
      <c r="AN79">
        <f t="shared" si="15"/>
        <v>1</v>
      </c>
      <c r="AO79" s="28">
        <f t="shared" si="8"/>
        <v>7.3556457895390995E-4</v>
      </c>
      <c r="AP79" s="28">
        <f t="shared" si="9"/>
        <v>0</v>
      </c>
      <c r="AQ79" s="28">
        <f t="shared" si="16"/>
        <v>7.3556457895390995E-4</v>
      </c>
      <c r="AR79" s="29">
        <f t="shared" si="17"/>
        <v>3.5237909604789322E-3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1.6042761898009991E-3</v>
      </c>
      <c r="BE79" s="29">
        <f t="shared" si="22"/>
        <v>7.3556457895390995E-4</v>
      </c>
      <c r="BF79" s="29">
        <f t="shared" si="23"/>
        <v>5.1280671502799318E-3</v>
      </c>
      <c r="BH79" s="29"/>
    </row>
    <row r="80" spans="1:60" x14ac:dyDescent="0.25">
      <c r="A80" s="1">
        <v>46139</v>
      </c>
      <c r="B80" s="33">
        <v>27.22</v>
      </c>
      <c r="C80" s="33">
        <v>29.3</v>
      </c>
      <c r="D80" s="15">
        <v>7.3502392136837603E-4</v>
      </c>
      <c r="E80" s="15">
        <v>3.41355183379657E-4</v>
      </c>
      <c r="F80" s="33">
        <v>0</v>
      </c>
      <c r="G80" s="33">
        <v>0.43984999999999902</v>
      </c>
      <c r="H80" s="33">
        <v>0</v>
      </c>
      <c r="I80" s="33">
        <v>0.47409999999999902</v>
      </c>
      <c r="J80" s="33">
        <v>0.43984999999999902</v>
      </c>
      <c r="K80" s="33">
        <v>0.47409999999999902</v>
      </c>
      <c r="L80" s="33">
        <v>27.659849999999999</v>
      </c>
      <c r="M80" s="33">
        <v>29.774100000000001</v>
      </c>
      <c r="N80" s="34">
        <v>1.0764144011756001</v>
      </c>
      <c r="O80" s="34">
        <v>1.0748269802361801</v>
      </c>
      <c r="P80" s="34">
        <v>1.0770335449819199</v>
      </c>
      <c r="Q80" s="34">
        <v>1.07646037607277</v>
      </c>
      <c r="R80" s="33">
        <v>29.256790402029001</v>
      </c>
      <c r="S80" s="33">
        <v>29.3184691592569</v>
      </c>
      <c r="T80" s="33">
        <v>29.300318456769102</v>
      </c>
      <c r="U80" s="15">
        <v>-1.4758187911943299E-3</v>
      </c>
      <c r="V80" s="15">
        <v>6.3014814726453702E-4</v>
      </c>
      <c r="W80" s="15">
        <v>1.0868772646872901E-5</v>
      </c>
      <c r="X80" s="34">
        <v>1.0764375077955901</v>
      </c>
      <c r="Y80" s="34">
        <v>1.0748179428614399</v>
      </c>
      <c r="Z80" s="34">
        <v>1.0770468008510401</v>
      </c>
      <c r="AA80" s="34">
        <v>1.07640144065775</v>
      </c>
      <c r="AB80" s="33">
        <v>29.729303076855999</v>
      </c>
      <c r="AC80" s="33">
        <v>29.792569129009401</v>
      </c>
      <c r="AD80" s="33">
        <v>29.7710433324958</v>
      </c>
      <c r="AE80" s="15">
        <v>-1.5056930962226401E-3</v>
      </c>
      <c r="AF80" s="15">
        <v>6.2011624525440303E-4</v>
      </c>
      <c r="AG80" s="15">
        <v>-1.02667231473503E-4</v>
      </c>
      <c r="AI80" s="12"/>
      <c r="AJ80">
        <f t="shared" si="6"/>
        <v>0</v>
      </c>
      <c r="AK80">
        <f t="shared" si="7"/>
        <v>0</v>
      </c>
      <c r="AL80">
        <f t="shared" si="14"/>
        <v>1</v>
      </c>
      <c r="AM80">
        <f t="shared" si="4"/>
        <v>1</v>
      </c>
      <c r="AN80">
        <f t="shared" si="15"/>
        <v>1</v>
      </c>
      <c r="AO80" s="28">
        <f t="shared" si="8"/>
        <v>7.3502392136837603E-4</v>
      </c>
      <c r="AP80" s="28">
        <f t="shared" si="9"/>
        <v>-3.41355183379657E-4</v>
      </c>
      <c r="AQ80" s="28">
        <f t="shared" si="16"/>
        <v>3.9366873798871903E-4</v>
      </c>
      <c r="AR80" s="29">
        <f t="shared" si="17"/>
        <v>3.9174596984676516E-3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1.6042761898009991E-3</v>
      </c>
      <c r="BE80" s="29">
        <f t="shared" si="22"/>
        <v>3.9366873798871903E-4</v>
      </c>
      <c r="BF80" s="29">
        <f t="shared" si="23"/>
        <v>5.5217358882686512E-3</v>
      </c>
      <c r="BH80" s="29"/>
    </row>
    <row r="81" spans="1:60" x14ac:dyDescent="0.25">
      <c r="A81" s="1">
        <v>46140</v>
      </c>
      <c r="B81" s="33">
        <v>27.2</v>
      </c>
      <c r="C81" s="33">
        <v>29.27</v>
      </c>
      <c r="D81" s="15">
        <v>-7.3502392136831998E-4</v>
      </c>
      <c r="E81" s="15">
        <v>-1.0244153192272001E-3</v>
      </c>
      <c r="F81" s="33">
        <v>0</v>
      </c>
      <c r="G81" s="33">
        <v>0.43984999999999902</v>
      </c>
      <c r="H81" s="33">
        <v>0</v>
      </c>
      <c r="I81" s="33">
        <v>0.47409999999999902</v>
      </c>
      <c r="J81" s="33">
        <v>0.43984999999999902</v>
      </c>
      <c r="K81" s="33">
        <v>0.47409999999999902</v>
      </c>
      <c r="L81" s="33">
        <v>27.639849999999999</v>
      </c>
      <c r="M81" s="33">
        <v>29.7441</v>
      </c>
      <c r="N81" s="34">
        <v>1.07610294117647</v>
      </c>
      <c r="O81" s="34">
        <v>1.0748269802361801</v>
      </c>
      <c r="P81" s="34">
        <v>1.0770136116600999</v>
      </c>
      <c r="Q81" s="34">
        <v>1.0765415155701601</v>
      </c>
      <c r="R81" s="33">
        <v>29.2352938624242</v>
      </c>
      <c r="S81" s="33">
        <v>29.2953124235083</v>
      </c>
      <c r="T81" s="33">
        <v>29.279722229179502</v>
      </c>
      <c r="U81" s="15">
        <v>-1.1864273933354999E-3</v>
      </c>
      <c r="V81" s="15">
        <v>8.6441697438524904E-4</v>
      </c>
      <c r="W81" s="15">
        <v>3.3210163596902301E-4</v>
      </c>
      <c r="X81" s="34">
        <v>1.07613102097153</v>
      </c>
      <c r="Y81" s="34">
        <v>1.0748179428614399</v>
      </c>
      <c r="Z81" s="34">
        <v>1.0770271901356701</v>
      </c>
      <c r="AA81" s="34">
        <v>1.0765222416581</v>
      </c>
      <c r="AB81" s="33">
        <v>29.7078067179987</v>
      </c>
      <c r="AC81" s="33">
        <v>29.769412018502699</v>
      </c>
      <c r="AD81" s="33">
        <v>29.751574359564302</v>
      </c>
      <c r="AE81" s="15">
        <v>-1.2209292691586001E-3</v>
      </c>
      <c r="AF81" s="15">
        <v>8.5063103051666105E-4</v>
      </c>
      <c r="AG81" s="15">
        <v>2.5125724463603399E-4</v>
      </c>
      <c r="AI81" s="12"/>
      <c r="AJ81">
        <f t="shared" si="6"/>
        <v>0</v>
      </c>
      <c r="AK81">
        <f t="shared" si="7"/>
        <v>1</v>
      </c>
      <c r="AL81">
        <f t="shared" si="14"/>
        <v>1</v>
      </c>
      <c r="AM81">
        <f t="shared" si="4"/>
        <v>1</v>
      </c>
      <c r="AN81">
        <f t="shared" si="15"/>
        <v>1</v>
      </c>
      <c r="AO81" s="28">
        <f t="shared" si="8"/>
        <v>-7.3502392136831998E-4</v>
      </c>
      <c r="AP81" s="28">
        <f t="shared" si="9"/>
        <v>1.0244153192272001E-3</v>
      </c>
      <c r="AQ81" s="28">
        <f t="shared" si="16"/>
        <v>2.8939139785888013E-4</v>
      </c>
      <c r="AR81" s="29">
        <f t="shared" si="17"/>
        <v>4.206851096326532E-3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1.6042761898009991E-3</v>
      </c>
      <c r="BE81" s="29">
        <f t="shared" si="22"/>
        <v>2.8939139785888013E-4</v>
      </c>
      <c r="BF81" s="29">
        <f t="shared" si="23"/>
        <v>5.8111272861275315E-3</v>
      </c>
      <c r="BH81" s="29"/>
    </row>
    <row r="82" spans="1:60" x14ac:dyDescent="0.25">
      <c r="A82" s="1">
        <v>46141</v>
      </c>
      <c r="B82" s="33">
        <v>27.07</v>
      </c>
      <c r="C82" s="33">
        <v>29.17</v>
      </c>
      <c r="D82" s="15">
        <v>-4.7908696757417999E-3</v>
      </c>
      <c r="E82" s="15">
        <v>-3.42231682416432E-3</v>
      </c>
      <c r="F82" s="33">
        <v>0</v>
      </c>
      <c r="G82" s="33">
        <v>0.43984999999999902</v>
      </c>
      <c r="H82" s="33">
        <v>0</v>
      </c>
      <c r="I82" s="33">
        <v>0.47409999999999902</v>
      </c>
      <c r="J82" s="33">
        <v>0.43984999999999902</v>
      </c>
      <c r="K82" s="33">
        <v>0.47409999999999902</v>
      </c>
      <c r="L82" s="33">
        <v>27.50985</v>
      </c>
      <c r="M82" s="33">
        <v>29.644100000000002</v>
      </c>
      <c r="N82" s="34">
        <v>1.0775766531215301</v>
      </c>
      <c r="O82" s="34">
        <v>1.0748269802361801</v>
      </c>
      <c r="P82" s="34">
        <v>1.0770959189112901</v>
      </c>
      <c r="Q82" s="34">
        <v>1.0766778332561799</v>
      </c>
      <c r="R82" s="33">
        <v>29.095566354993501</v>
      </c>
      <c r="S82" s="33">
        <v>29.154758467638899</v>
      </c>
      <c r="T82" s="33">
        <v>29.141978826484301</v>
      </c>
      <c r="U82" s="15">
        <v>-2.5549802449129099E-3</v>
      </c>
      <c r="V82" s="15">
        <v>-5.22643663118654E-4</v>
      </c>
      <c r="W82" s="15">
        <v>-9.6107785180405097E-4</v>
      </c>
      <c r="X82" s="34">
        <v>1.07758130269703</v>
      </c>
      <c r="Y82" s="34">
        <v>1.0748179428614399</v>
      </c>
      <c r="Z82" s="34">
        <v>1.07710819168946</v>
      </c>
      <c r="AA82" s="34">
        <v>1.0766968710637299</v>
      </c>
      <c r="AB82" s="33">
        <v>29.5680803854268</v>
      </c>
      <c r="AC82" s="33">
        <v>29.628856446553801</v>
      </c>
      <c r="AD82" s="33">
        <v>29.614965389678201</v>
      </c>
      <c r="AE82" s="15">
        <v>-2.5677033287894802E-3</v>
      </c>
      <c r="AF82" s="15">
        <v>-5.1435105302963301E-4</v>
      </c>
      <c r="AG82" s="15">
        <v>-9.8329639448726993E-4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4.206851096326532E-3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1.6042761898009991E-3</v>
      </c>
      <c r="BE82" s="29">
        <f t="shared" si="22"/>
        <v>0</v>
      </c>
      <c r="BF82" s="29">
        <f t="shared" si="23"/>
        <v>5.8111272861275315E-3</v>
      </c>
      <c r="BH82" s="29"/>
    </row>
    <row r="83" spans="1:60" x14ac:dyDescent="0.25">
      <c r="A83" s="1">
        <v>46142</v>
      </c>
      <c r="B83" s="33">
        <v>27.14</v>
      </c>
      <c r="C83" s="33">
        <v>29.26</v>
      </c>
      <c r="D83" s="15">
        <v>2.5825507805133101E-3</v>
      </c>
      <c r="E83" s="15">
        <v>3.0806117123481202E-3</v>
      </c>
      <c r="F83" s="33">
        <v>0</v>
      </c>
      <c r="G83" s="33">
        <v>0.43984999999999902</v>
      </c>
      <c r="H83" s="33">
        <v>0</v>
      </c>
      <c r="I83" s="33">
        <v>0.47409999999999902</v>
      </c>
      <c r="J83" s="33">
        <v>0.43984999999999902</v>
      </c>
      <c r="K83" s="33">
        <v>0.47409999999999902</v>
      </c>
      <c r="L83" s="33">
        <v>27.57985</v>
      </c>
      <c r="M83" s="33">
        <v>29.734100000000002</v>
      </c>
      <c r="N83" s="34">
        <v>1.07811348563006</v>
      </c>
      <c r="O83" s="34">
        <v>1.0748269802361801</v>
      </c>
      <c r="P83" s="34">
        <v>1.0771413491820601</v>
      </c>
      <c r="Q83" s="34">
        <v>1.07684239268545</v>
      </c>
      <c r="R83" s="33">
        <v>29.1708042436101</v>
      </c>
      <c r="S83" s="33">
        <v>29.2323832392524</v>
      </c>
      <c r="T83" s="33">
        <v>29.2210363945727</v>
      </c>
      <c r="U83" s="15">
        <v>-3.05304117674774E-3</v>
      </c>
      <c r="V83" s="15">
        <v>-9.4428577774534198E-4</v>
      </c>
      <c r="W83" s="15">
        <v>-1.33252122721285E-3</v>
      </c>
      <c r="X83" s="34">
        <v>1.0781095618721599</v>
      </c>
      <c r="Y83" s="34">
        <v>1.0748179428614399</v>
      </c>
      <c r="Z83" s="34">
        <v>1.07715289778839</v>
      </c>
      <c r="AA83" s="34">
        <v>1.07685876941729</v>
      </c>
      <c r="AB83" s="33">
        <v>29.6433176414271</v>
      </c>
      <c r="AC83" s="33">
        <v>29.7064823605666</v>
      </c>
      <c r="AD83" s="33">
        <v>29.695138199407001</v>
      </c>
      <c r="AE83" s="15">
        <v>-3.05780995250502E-3</v>
      </c>
      <c r="AF83" s="15">
        <v>-9.2925204713402497E-4</v>
      </c>
      <c r="AG83" s="15">
        <v>-1.3111999196191899E-3</v>
      </c>
      <c r="AI83" s="12"/>
      <c r="AJ83">
        <f t="shared" si="6"/>
        <v>0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4.206851096326532E-3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1.6042761898009991E-3</v>
      </c>
      <c r="BE83" s="29">
        <f t="shared" si="22"/>
        <v>0</v>
      </c>
      <c r="BF83" s="29">
        <f t="shared" si="23"/>
        <v>5.8111272861275315E-3</v>
      </c>
      <c r="BH83" s="29"/>
    </row>
    <row r="84" spans="1:60" x14ac:dyDescent="0.25">
      <c r="A84" s="1">
        <v>46143</v>
      </c>
      <c r="B84" s="33">
        <v>27.04</v>
      </c>
      <c r="C84" s="33">
        <v>29.14</v>
      </c>
      <c r="D84" s="15">
        <v>-3.6914032319597901E-3</v>
      </c>
      <c r="E84" s="15">
        <v>-4.1095948249194603E-3</v>
      </c>
      <c r="F84" s="33">
        <v>0.15162999999999999</v>
      </c>
      <c r="G84" s="33">
        <v>0.59148000000000001</v>
      </c>
      <c r="H84" s="33">
        <v>0.15629999999999999</v>
      </c>
      <c r="I84" s="33">
        <v>0.63039999999999996</v>
      </c>
      <c r="J84" s="33">
        <v>0.59148000000000001</v>
      </c>
      <c r="K84" s="33">
        <v>0.63039999999999996</v>
      </c>
      <c r="L84" s="33">
        <v>27.63148</v>
      </c>
      <c r="M84" s="33">
        <v>29.770399999999999</v>
      </c>
      <c r="N84" s="34">
        <v>1.07766272189349</v>
      </c>
      <c r="O84" s="34">
        <v>1.0748269802361801</v>
      </c>
      <c r="P84" s="34">
        <v>1.07717585149233</v>
      </c>
      <c r="Q84" s="34">
        <v>1.07695546532362</v>
      </c>
      <c r="R84" s="33">
        <v>29.063321545586501</v>
      </c>
      <c r="S84" s="33">
        <v>29.125902081883002</v>
      </c>
      <c r="T84" s="33">
        <v>29.1178182982148</v>
      </c>
      <c r="U84" s="15">
        <v>-2.6348495837881002E-3</v>
      </c>
      <c r="V84" s="15">
        <v>-4.83916592324255E-4</v>
      </c>
      <c r="W84" s="15">
        <v>-7.6150132308565896E-4</v>
      </c>
      <c r="X84" s="34">
        <v>1.0774088105305899</v>
      </c>
      <c r="Y84" s="34">
        <v>1.0748179428614399</v>
      </c>
      <c r="Z84" s="34">
        <v>1.07716113694112</v>
      </c>
      <c r="AA84" s="34">
        <v>1.07695715464421</v>
      </c>
      <c r="AB84" s="33">
        <v>29.698810491817</v>
      </c>
      <c r="AC84" s="33">
        <v>29.763328752182101</v>
      </c>
      <c r="AD84" s="33">
        <v>29.755201549978601</v>
      </c>
      <c r="AE84" s="15">
        <v>-2.4076170567033099E-3</v>
      </c>
      <c r="AF84" s="15">
        <v>-2.37554341021818E-4</v>
      </c>
      <c r="AG84" s="15">
        <v>-5.1065255808889801E-4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4.206851096326532E-3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1.6042761898009991E-3</v>
      </c>
      <c r="BE84" s="29">
        <f t="shared" si="22"/>
        <v>0</v>
      </c>
      <c r="BF84" s="29">
        <f t="shared" si="23"/>
        <v>5.8111272861275315E-3</v>
      </c>
      <c r="BH84" s="29"/>
    </row>
    <row r="85" spans="1:60" x14ac:dyDescent="0.25">
      <c r="A85" s="1">
        <v>46146</v>
      </c>
      <c r="B85" s="33">
        <v>26.95</v>
      </c>
      <c r="C85" s="33">
        <v>29.04</v>
      </c>
      <c r="D85" s="15">
        <v>-3.3339538197572102E-3</v>
      </c>
      <c r="E85" s="15">
        <v>-3.43761081046346E-3</v>
      </c>
      <c r="F85" s="33">
        <v>0</v>
      </c>
      <c r="G85" s="33">
        <v>0.59148000000000001</v>
      </c>
      <c r="H85" s="33">
        <v>0</v>
      </c>
      <c r="I85" s="33">
        <v>0.63039999999999996</v>
      </c>
      <c r="J85" s="33">
        <v>0.59148000000000001</v>
      </c>
      <c r="K85" s="33">
        <v>0.63039999999999996</v>
      </c>
      <c r="L85" s="33">
        <v>27.54148</v>
      </c>
      <c r="M85" s="33">
        <v>29.670400000000001</v>
      </c>
      <c r="N85" s="34">
        <v>1.07755102040816</v>
      </c>
      <c r="O85" s="34">
        <v>1.0748269802361801</v>
      </c>
      <c r="P85" s="34">
        <v>1.0772273585221399</v>
      </c>
      <c r="Q85" s="34">
        <v>1.0770140893693601</v>
      </c>
      <c r="R85" s="33">
        <v>28.966587117365201</v>
      </c>
      <c r="S85" s="33">
        <v>29.029889197718401</v>
      </c>
      <c r="T85" s="33">
        <v>29.023949790471502</v>
      </c>
      <c r="U85" s="15">
        <v>-2.5311925930817298E-3</v>
      </c>
      <c r="V85" s="15">
        <v>-3.4822874723441E-4</v>
      </c>
      <c r="W85" s="15">
        <v>-5.5284595674792096E-4</v>
      </c>
      <c r="X85" s="34">
        <v>1.0772986782119101</v>
      </c>
      <c r="Y85" s="34">
        <v>1.0748179428614399</v>
      </c>
      <c r="Z85" s="34">
        <v>1.0771860893927301</v>
      </c>
      <c r="AA85" s="34">
        <v>1.0770019612447299</v>
      </c>
      <c r="AB85" s="33">
        <v>29.602076876959501</v>
      </c>
      <c r="AC85" s="33">
        <v>29.666611909841102</v>
      </c>
      <c r="AD85" s="33">
        <v>29.660993935490598</v>
      </c>
      <c r="AE85" s="15">
        <v>-2.3053922124030598E-3</v>
      </c>
      <c r="AF85" s="15">
        <v>-1.2768051649646899E-4</v>
      </c>
      <c r="AG85" s="15">
        <v>-3.1706872076390602E-4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4.206851096326532E-3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1.6042761898009991E-3</v>
      </c>
      <c r="BE85" s="29">
        <f t="shared" si="22"/>
        <v>0</v>
      </c>
      <c r="BF85" s="29">
        <f t="shared" si="23"/>
        <v>5.8111272861275315E-3</v>
      </c>
      <c r="BH85" s="29"/>
    </row>
    <row r="86" spans="1:60" x14ac:dyDescent="0.25">
      <c r="A86" s="1">
        <v>46147</v>
      </c>
      <c r="B86" s="33">
        <v>27.03</v>
      </c>
      <c r="C86" s="33">
        <v>29.11</v>
      </c>
      <c r="D86" s="15">
        <v>2.9640629333501701E-3</v>
      </c>
      <c r="E86" s="15">
        <v>2.4075678009364402E-3</v>
      </c>
      <c r="F86" s="33">
        <v>0</v>
      </c>
      <c r="G86" s="33">
        <v>0.59148000000000001</v>
      </c>
      <c r="H86" s="33">
        <v>0</v>
      </c>
      <c r="I86" s="33">
        <v>0.63039999999999996</v>
      </c>
      <c r="J86" s="33">
        <v>0.59148000000000001</v>
      </c>
      <c r="K86" s="33">
        <v>0.63039999999999996</v>
      </c>
      <c r="L86" s="33">
        <v>27.621479999999998</v>
      </c>
      <c r="M86" s="33">
        <v>29.740400000000001</v>
      </c>
      <c r="N86" s="34">
        <v>1.0769515353311101</v>
      </c>
      <c r="O86" s="34">
        <v>1.0748269802361801</v>
      </c>
      <c r="P86" s="34">
        <v>1.07719624273958</v>
      </c>
      <c r="Q86" s="34">
        <v>1.07702982089782</v>
      </c>
      <c r="R86" s="33">
        <v>29.052573275784098</v>
      </c>
      <c r="S86" s="33">
        <v>29.117455500853598</v>
      </c>
      <c r="T86" s="33">
        <v>29.111690835653899</v>
      </c>
      <c r="U86" s="15">
        <v>-1.97469746066831E-3</v>
      </c>
      <c r="V86" s="15">
        <v>2.5608197474168398E-4</v>
      </c>
      <c r="W86" s="15">
        <v>5.8082670912138098E-5</v>
      </c>
      <c r="X86" s="34">
        <v>1.07671276122785</v>
      </c>
      <c r="Y86" s="34">
        <v>1.0748179428614399</v>
      </c>
      <c r="Z86" s="34">
        <v>1.07713013310839</v>
      </c>
      <c r="AA86" s="34">
        <v>1.0770047634743001</v>
      </c>
      <c r="AB86" s="33">
        <v>29.6880623123884</v>
      </c>
      <c r="AC86" s="33">
        <v>29.753474024439601</v>
      </c>
      <c r="AD86" s="33">
        <v>29.748388132482098</v>
      </c>
      <c r="AE86" s="15">
        <v>-1.76136817633188E-3</v>
      </c>
      <c r="AF86" s="15">
        <v>4.39508264152933E-4</v>
      </c>
      <c r="AG86" s="15">
        <v>2.6855926237149202E-4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4.206851096326532E-3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1.6042761898009991E-3</v>
      </c>
      <c r="BE86" s="29">
        <f t="shared" si="22"/>
        <v>0</v>
      </c>
      <c r="BF86" s="29">
        <f t="shared" si="23"/>
        <v>5.8111272861275315E-3</v>
      </c>
      <c r="BH86" s="29"/>
    </row>
    <row r="87" spans="1:60" x14ac:dyDescent="0.25">
      <c r="A87" s="1">
        <v>46148</v>
      </c>
      <c r="B87" s="33">
        <v>27.12</v>
      </c>
      <c r="C87" s="33">
        <v>29.21</v>
      </c>
      <c r="D87" s="15">
        <v>3.3241027838386201E-3</v>
      </c>
      <c r="E87" s="15">
        <v>3.4293586421178198E-3</v>
      </c>
      <c r="F87" s="33">
        <v>0</v>
      </c>
      <c r="G87" s="33">
        <v>0.59148000000000001</v>
      </c>
      <c r="H87" s="33">
        <v>0</v>
      </c>
      <c r="I87" s="33">
        <v>0.63039999999999996</v>
      </c>
      <c r="J87" s="33">
        <v>0.59148000000000001</v>
      </c>
      <c r="K87" s="33">
        <v>0.63039999999999996</v>
      </c>
      <c r="L87" s="33">
        <v>27.711480000000002</v>
      </c>
      <c r="M87" s="33">
        <v>29.840399999999999</v>
      </c>
      <c r="N87" s="34">
        <v>1.0770648967551599</v>
      </c>
      <c r="O87" s="34">
        <v>1.0748269802361801</v>
      </c>
      <c r="P87" s="34">
        <v>1.0771906501528901</v>
      </c>
      <c r="Q87" s="34">
        <v>1.0770795206838799</v>
      </c>
      <c r="R87" s="33">
        <v>29.149307704005398</v>
      </c>
      <c r="S87" s="33">
        <v>29.213562103097502</v>
      </c>
      <c r="T87" s="33">
        <v>29.209048742748902</v>
      </c>
      <c r="U87" s="15">
        <v>-2.0799533189474399E-3</v>
      </c>
      <c r="V87" s="15">
        <v>1.21940634010632E-4</v>
      </c>
      <c r="W87" s="15">
        <v>-3.2566680614350001E-5</v>
      </c>
      <c r="X87" s="34">
        <v>1.0768244785193699</v>
      </c>
      <c r="Y87" s="34">
        <v>1.0748179428614399</v>
      </c>
      <c r="Z87" s="34">
        <v>1.0770993118244201</v>
      </c>
      <c r="AA87" s="34">
        <v>1.0770410066318401</v>
      </c>
      <c r="AB87" s="33">
        <v>29.784795927245899</v>
      </c>
      <c r="AC87" s="33">
        <v>29.848870141030499</v>
      </c>
      <c r="AD87" s="33">
        <v>29.845395962922801</v>
      </c>
      <c r="AE87" s="15">
        <v>-1.8651205420249499E-3</v>
      </c>
      <c r="AF87" s="15">
        <v>2.8380782902575502E-4</v>
      </c>
      <c r="AG87" s="15">
        <v>1.6740877302241501E-4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4.206851096326532E-3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1.6042761898009991E-3</v>
      </c>
      <c r="BE87" s="29">
        <f t="shared" ref="BE87:BE150" si="42">AQ87+BB87</f>
        <v>0</v>
      </c>
      <c r="BF87" s="29">
        <f t="shared" ref="BF87:BF150" si="43">BF86+BE87</f>
        <v>5.8111272861275315E-3</v>
      </c>
      <c r="BH87" s="29"/>
    </row>
    <row r="88" spans="1:60" x14ac:dyDescent="0.25">
      <c r="A88" s="1">
        <v>46149</v>
      </c>
      <c r="B88" s="33">
        <v>27.04</v>
      </c>
      <c r="C88" s="33">
        <v>29.08</v>
      </c>
      <c r="D88" s="15">
        <v>-2.9542118974315201E-3</v>
      </c>
      <c r="E88" s="15">
        <v>-4.4604637343311103E-3</v>
      </c>
      <c r="F88" s="33">
        <v>0</v>
      </c>
      <c r="G88" s="33">
        <v>0.59148000000000001</v>
      </c>
      <c r="H88" s="33">
        <v>0</v>
      </c>
      <c r="I88" s="33">
        <v>0.63039999999999996</v>
      </c>
      <c r="J88" s="33">
        <v>0.59148000000000001</v>
      </c>
      <c r="K88" s="33">
        <v>0.63039999999999996</v>
      </c>
      <c r="L88" s="33">
        <v>27.63148</v>
      </c>
      <c r="M88" s="33">
        <v>29.7104</v>
      </c>
      <c r="N88" s="34">
        <v>1.07544378698224</v>
      </c>
      <c r="O88" s="34">
        <v>1.0748269802361801</v>
      </c>
      <c r="P88" s="34">
        <v>1.0769719677767899</v>
      </c>
      <c r="Q88" s="34">
        <v>1.07705517483211</v>
      </c>
      <c r="R88" s="33">
        <v>29.063321545586501</v>
      </c>
      <c r="S88" s="33">
        <v>29.1272351801342</v>
      </c>
      <c r="T88" s="33">
        <v>29.124230239292199</v>
      </c>
      <c r="U88" s="15">
        <v>-5.7370148204787701E-4</v>
      </c>
      <c r="V88" s="15">
        <v>1.6230006581366501E-3</v>
      </c>
      <c r="W88" s="15">
        <v>1.5198293190802801E-3</v>
      </c>
      <c r="X88" s="34">
        <v>1.0752373741833501</v>
      </c>
      <c r="Y88" s="34">
        <v>1.0748179428614399</v>
      </c>
      <c r="Z88" s="34">
        <v>1.0768596109909201</v>
      </c>
      <c r="AA88" s="34">
        <v>1.07700479519186</v>
      </c>
      <c r="AB88" s="33">
        <v>29.698810491817</v>
      </c>
      <c r="AC88" s="33">
        <v>29.7618480926904</v>
      </c>
      <c r="AD88" s="33">
        <v>29.760237033927599</v>
      </c>
      <c r="AE88" s="15">
        <v>-3.9015863816519797E-4</v>
      </c>
      <c r="AF88" s="15">
        <v>1.73015506137238E-3</v>
      </c>
      <c r="AG88" s="15">
        <v>1.67602191869672E-3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4.206851096326532E-3</v>
      </c>
      <c r="AT88" s="12"/>
      <c r="AU88">
        <f t="shared" si="30"/>
        <v>0</v>
      </c>
      <c r="AV88">
        <f t="shared" si="31"/>
        <v>0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1.6042761898009991E-3</v>
      </c>
      <c r="BE88" s="29">
        <f t="shared" si="42"/>
        <v>0</v>
      </c>
      <c r="BF88" s="29">
        <f t="shared" si="43"/>
        <v>5.8111272861275315E-3</v>
      </c>
      <c r="BH88" s="29"/>
    </row>
    <row r="89" spans="1:60" x14ac:dyDescent="0.25">
      <c r="A89" s="1">
        <v>46150</v>
      </c>
      <c r="B89" s="33">
        <v>27.13</v>
      </c>
      <c r="C89" s="33">
        <v>29.17</v>
      </c>
      <c r="D89" s="15">
        <v>3.3228754960769498E-3</v>
      </c>
      <c r="E89" s="15">
        <v>3.0901312143115601E-3</v>
      </c>
      <c r="F89" s="33">
        <v>0</v>
      </c>
      <c r="G89" s="33">
        <v>0.59148000000000001</v>
      </c>
      <c r="H89" s="33">
        <v>0</v>
      </c>
      <c r="I89" s="33">
        <v>0.63039999999999996</v>
      </c>
      <c r="J89" s="33">
        <v>0.59148000000000001</v>
      </c>
      <c r="K89" s="33">
        <v>0.63039999999999996</v>
      </c>
      <c r="L89" s="33">
        <v>27.72148</v>
      </c>
      <c r="M89" s="33">
        <v>29.8004</v>
      </c>
      <c r="N89" s="34">
        <v>1.0751935127165499</v>
      </c>
      <c r="O89" s="34">
        <v>1.0748269802361801</v>
      </c>
      <c r="P89" s="34">
        <v>1.0768074955190401</v>
      </c>
      <c r="Q89" s="34">
        <v>1.07695020549752</v>
      </c>
      <c r="R89" s="33">
        <v>29.160055973807701</v>
      </c>
      <c r="S89" s="33">
        <v>29.218249485784501</v>
      </c>
      <c r="T89" s="33">
        <v>29.2205068931951</v>
      </c>
      <c r="U89" s="15">
        <v>-3.4095720028251997E-4</v>
      </c>
      <c r="V89" s="15">
        <v>1.6527125643282701E-3</v>
      </c>
      <c r="W89" s="15">
        <v>1.7299697666251E-3</v>
      </c>
      <c r="X89" s="34">
        <v>1.07499311003597</v>
      </c>
      <c r="Y89" s="34">
        <v>1.0748179428614399</v>
      </c>
      <c r="Z89" s="34">
        <v>1.0766734606045401</v>
      </c>
      <c r="AA89" s="34">
        <v>1.0768893458986899</v>
      </c>
      <c r="AB89" s="33">
        <v>29.795544106674502</v>
      </c>
      <c r="AC89" s="33">
        <v>29.852142168892801</v>
      </c>
      <c r="AD89" s="33">
        <v>29.856166889815299</v>
      </c>
      <c r="AE89" s="15">
        <v>-1.6296053058542499E-4</v>
      </c>
      <c r="AF89" s="15">
        <v>1.73478547562074E-3</v>
      </c>
      <c r="AG89" s="15">
        <v>1.8695982342485499E-3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4.206851096326532E-3</v>
      </c>
      <c r="AT89" s="12"/>
      <c r="AU89">
        <f t="shared" si="30"/>
        <v>0</v>
      </c>
      <c r="AV89">
        <f t="shared" si="31"/>
        <v>0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1.6042761898009991E-3</v>
      </c>
      <c r="BE89" s="29">
        <f t="shared" si="42"/>
        <v>0</v>
      </c>
      <c r="BF89" s="29">
        <f t="shared" si="43"/>
        <v>5.8111272861275315E-3</v>
      </c>
      <c r="BH89" s="29"/>
    </row>
    <row r="90" spans="1:60" x14ac:dyDescent="0.25">
      <c r="A90" s="1">
        <v>46153</v>
      </c>
      <c r="B90" s="33">
        <v>27.04</v>
      </c>
      <c r="C90" s="33">
        <v>29.09</v>
      </c>
      <c r="D90" s="15">
        <v>-3.3228754960770101E-3</v>
      </c>
      <c r="E90" s="15">
        <v>-2.7463113725198101E-3</v>
      </c>
      <c r="F90" s="33">
        <v>0</v>
      </c>
      <c r="G90" s="33">
        <v>0.59148000000000001</v>
      </c>
      <c r="H90" s="33">
        <v>0</v>
      </c>
      <c r="I90" s="33">
        <v>0.63039999999999996</v>
      </c>
      <c r="J90" s="33">
        <v>0.59148000000000001</v>
      </c>
      <c r="K90" s="33">
        <v>0.63039999999999996</v>
      </c>
      <c r="L90" s="33">
        <v>27.63148</v>
      </c>
      <c r="M90" s="33">
        <v>29.720400000000001</v>
      </c>
      <c r="N90" s="34">
        <v>1.07581360946745</v>
      </c>
      <c r="O90" s="34">
        <v>1.0748269802361801</v>
      </c>
      <c r="P90" s="34">
        <v>1.07674741634822</v>
      </c>
      <c r="Q90" s="34">
        <v>1.0768904806650701</v>
      </c>
      <c r="R90" s="33">
        <v>29.063321545586501</v>
      </c>
      <c r="S90" s="33">
        <v>29.116874678834801</v>
      </c>
      <c r="T90" s="33">
        <v>29.120733556653001</v>
      </c>
      <c r="U90" s="15">
        <v>-9.1752132383957801E-4</v>
      </c>
      <c r="V90" s="15">
        <v>9.2341947210951801E-4</v>
      </c>
      <c r="W90" s="15">
        <v>1.0559413232216399E-3</v>
      </c>
      <c r="X90" s="34">
        <v>1.07559928024123</v>
      </c>
      <c r="Y90" s="34">
        <v>1.0748179428614399</v>
      </c>
      <c r="Z90" s="34">
        <v>1.0765896378491</v>
      </c>
      <c r="AA90" s="34">
        <v>1.0768182193500699</v>
      </c>
      <c r="AB90" s="33">
        <v>29.698810491817</v>
      </c>
      <c r="AC90" s="33">
        <v>29.7500811932251</v>
      </c>
      <c r="AD90" s="33">
        <v>29.756046423412801</v>
      </c>
      <c r="AE90" s="15">
        <v>-7.2668448316061699E-4</v>
      </c>
      <c r="AF90" s="15">
        <v>9.9818246276332594E-4</v>
      </c>
      <c r="AG90" s="15">
        <v>1.1986737548902299E-3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4.206851096326532E-3</v>
      </c>
      <c r="AT90" s="12"/>
      <c r="AU90">
        <f t="shared" si="30"/>
        <v>0</v>
      </c>
      <c r="AV90">
        <f t="shared" si="31"/>
        <v>0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1.6042761898009991E-3</v>
      </c>
      <c r="BE90" s="29">
        <f t="shared" si="42"/>
        <v>0</v>
      </c>
      <c r="BF90" s="29">
        <f t="shared" si="43"/>
        <v>5.8111272861275315E-3</v>
      </c>
      <c r="BH90" s="29"/>
    </row>
    <row r="91" spans="1:60" x14ac:dyDescent="0.25">
      <c r="A91" s="1">
        <v>46154</v>
      </c>
      <c r="B91" s="33">
        <v>26.98</v>
      </c>
      <c r="C91" s="33">
        <v>29.02</v>
      </c>
      <c r="D91" s="15">
        <v>-2.2214003951534999E-3</v>
      </c>
      <c r="E91" s="15">
        <v>-2.4092250510685301E-3</v>
      </c>
      <c r="F91" s="33">
        <v>0</v>
      </c>
      <c r="G91" s="33">
        <v>0.59148000000000001</v>
      </c>
      <c r="H91" s="33">
        <v>0</v>
      </c>
      <c r="I91" s="33">
        <v>0.63039999999999996</v>
      </c>
      <c r="J91" s="33">
        <v>0.59148000000000001</v>
      </c>
      <c r="K91" s="33">
        <v>0.63039999999999996</v>
      </c>
      <c r="L91" s="33">
        <v>27.571480000000001</v>
      </c>
      <c r="M91" s="33">
        <v>29.650400000000001</v>
      </c>
      <c r="N91" s="34">
        <v>1.07561156412157</v>
      </c>
      <c r="O91" s="34">
        <v>1.0748269802361801</v>
      </c>
      <c r="P91" s="34">
        <v>1.0766982786427299</v>
      </c>
      <c r="Q91" s="34">
        <v>1.0768559451514099</v>
      </c>
      <c r="R91" s="33">
        <v>28.998831926772301</v>
      </c>
      <c r="S91" s="33">
        <v>29.0506452930751</v>
      </c>
      <c r="T91" s="33">
        <v>29.054505168343699</v>
      </c>
      <c r="U91" s="15">
        <v>-7.2969666792463005E-4</v>
      </c>
      <c r="V91" s="15">
        <v>1.0554487819206899E-3</v>
      </c>
      <c r="W91" s="15">
        <v>1.18830706534782E-3</v>
      </c>
      <c r="X91" s="34">
        <v>1.07540110287877</v>
      </c>
      <c r="Y91" s="34">
        <v>1.0748179428614399</v>
      </c>
      <c r="Z91" s="34">
        <v>1.0765166460398199</v>
      </c>
      <c r="AA91" s="34">
        <v>1.07677191808775</v>
      </c>
      <c r="AB91" s="33">
        <v>29.634321415245299</v>
      </c>
      <c r="AC91" s="33">
        <v>29.683169668163799</v>
      </c>
      <c r="AD91" s="33">
        <v>29.689471998446098</v>
      </c>
      <c r="AE91" s="15">
        <v>-5.4241918541705501E-4</v>
      </c>
      <c r="AF91" s="15">
        <v>1.1045912686189199E-3</v>
      </c>
      <c r="AG91" s="15">
        <v>1.3168887217598799E-3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4.206851096326532E-3</v>
      </c>
      <c r="AT91" s="12"/>
      <c r="AU91">
        <f t="shared" si="30"/>
        <v>0</v>
      </c>
      <c r="AV91">
        <f t="shared" si="31"/>
        <v>0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1.6042761898009991E-3</v>
      </c>
      <c r="BE91" s="29">
        <f t="shared" si="42"/>
        <v>0</v>
      </c>
      <c r="BF91" s="29">
        <f t="shared" si="43"/>
        <v>5.8111272861275315E-3</v>
      </c>
      <c r="BH91" s="29"/>
    </row>
    <row r="92" spans="1:60" x14ac:dyDescent="0.25">
      <c r="A92" s="1">
        <v>46155</v>
      </c>
      <c r="B92" s="33">
        <v>26.96</v>
      </c>
      <c r="C92" s="33">
        <v>29.01</v>
      </c>
      <c r="D92" s="15">
        <v>-7.4156473550349004E-4</v>
      </c>
      <c r="E92" s="15">
        <v>-3.4464932272903202E-4</v>
      </c>
      <c r="F92" s="33">
        <v>0</v>
      </c>
      <c r="G92" s="33">
        <v>0.59148000000000001</v>
      </c>
      <c r="H92" s="33">
        <v>0</v>
      </c>
      <c r="I92" s="33">
        <v>0.63039999999999996</v>
      </c>
      <c r="J92" s="33">
        <v>0.59148000000000001</v>
      </c>
      <c r="K92" s="33">
        <v>0.63039999999999996</v>
      </c>
      <c r="L92" s="33">
        <v>27.551480000000002</v>
      </c>
      <c r="M92" s="33">
        <v>29.6404</v>
      </c>
      <c r="N92" s="34">
        <v>1.07603857566765</v>
      </c>
      <c r="O92" s="34">
        <v>1.0748269802361801</v>
      </c>
      <c r="P92" s="34">
        <v>1.07654447089734</v>
      </c>
      <c r="Q92" s="34">
        <v>1.0768201949043199</v>
      </c>
      <c r="R92" s="33">
        <v>28.977335387167599</v>
      </c>
      <c r="S92" s="33">
        <v>29.027785592208101</v>
      </c>
      <c r="T92" s="33">
        <v>29.032036281282199</v>
      </c>
      <c r="U92" s="15">
        <v>-1.12661208069897E-3</v>
      </c>
      <c r="V92" s="15">
        <v>6.1289701470940096E-4</v>
      </c>
      <c r="W92" s="15">
        <v>7.5932147639453805E-4</v>
      </c>
      <c r="X92" s="34">
        <v>1.07581879448944</v>
      </c>
      <c r="Y92" s="34">
        <v>1.0748179428614399</v>
      </c>
      <c r="Z92" s="34">
        <v>1.07634039521906</v>
      </c>
      <c r="AA92" s="34">
        <v>1.07672429345426</v>
      </c>
      <c r="AB92" s="33">
        <v>29.6128250563881</v>
      </c>
      <c r="AC92" s="33">
        <v>29.659626843033301</v>
      </c>
      <c r="AD92" s="33">
        <v>29.6666599657562</v>
      </c>
      <c r="AE92" s="15">
        <v>-9.3074918964511897E-4</v>
      </c>
      <c r="AF92" s="15">
        <v>6.4845986522150305E-4</v>
      </c>
      <c r="AG92" s="15">
        <v>8.8555957714216496E-4</v>
      </c>
      <c r="AI92" s="12"/>
      <c r="AJ92">
        <f t="shared" si="26"/>
        <v>0</v>
      </c>
      <c r="AK92">
        <f t="shared" si="27"/>
        <v>1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4.206851096326532E-3</v>
      </c>
      <c r="AT92" s="12"/>
      <c r="AU92">
        <f t="shared" si="30"/>
        <v>0</v>
      </c>
      <c r="AV92">
        <f t="shared" si="31"/>
        <v>0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1.6042761898009991E-3</v>
      </c>
      <c r="BE92" s="29">
        <f t="shared" si="42"/>
        <v>0</v>
      </c>
      <c r="BF92" s="29">
        <f t="shared" si="43"/>
        <v>5.8111272861275315E-3</v>
      </c>
      <c r="BH92" s="29"/>
    </row>
    <row r="93" spans="1:60" x14ac:dyDescent="0.25">
      <c r="A93" s="1">
        <v>46156</v>
      </c>
      <c r="B93" s="33">
        <v>26.96</v>
      </c>
      <c r="C93" s="33">
        <v>29.01</v>
      </c>
      <c r="D93" s="15">
        <v>0</v>
      </c>
      <c r="E93" s="15">
        <v>0</v>
      </c>
      <c r="F93" s="33">
        <v>0</v>
      </c>
      <c r="G93" s="33">
        <v>0.59148000000000001</v>
      </c>
      <c r="H93" s="33">
        <v>0</v>
      </c>
      <c r="I93" s="33">
        <v>0.63039999999999996</v>
      </c>
      <c r="J93" s="33">
        <v>0.59148000000000001</v>
      </c>
      <c r="K93" s="33">
        <v>0.63039999999999996</v>
      </c>
      <c r="L93" s="33">
        <v>27.551480000000002</v>
      </c>
      <c r="M93" s="33">
        <v>29.6404</v>
      </c>
      <c r="N93" s="34">
        <v>1.07603857566765</v>
      </c>
      <c r="O93" s="34">
        <v>1.0748269802361801</v>
      </c>
      <c r="P93" s="34">
        <v>1.0763369799011</v>
      </c>
      <c r="Q93" s="34">
        <v>1.07673916454158</v>
      </c>
      <c r="R93" s="33">
        <v>28.977335387167599</v>
      </c>
      <c r="S93" s="33">
        <v>29.023638935392398</v>
      </c>
      <c r="T93" s="33">
        <v>29.0310724546204</v>
      </c>
      <c r="U93" s="15">
        <v>-1.12661208069897E-3</v>
      </c>
      <c r="V93" s="15">
        <v>4.7003551367118599E-4</v>
      </c>
      <c r="W93" s="15">
        <v>7.2612219778757695E-4</v>
      </c>
      <c r="X93" s="34">
        <v>1.07581879448944</v>
      </c>
      <c r="Y93" s="34">
        <v>1.0748179428614399</v>
      </c>
      <c r="Z93" s="34">
        <v>1.07611131848079</v>
      </c>
      <c r="AA93" s="34">
        <v>1.07663210813459</v>
      </c>
      <c r="AB93" s="33">
        <v>29.6128250563881</v>
      </c>
      <c r="AC93" s="33">
        <v>29.654770872070198</v>
      </c>
      <c r="AD93" s="33">
        <v>29.665347836619301</v>
      </c>
      <c r="AE93" s="15">
        <v>-9.3074918964511897E-4</v>
      </c>
      <c r="AF93" s="15">
        <v>4.8472319550762599E-4</v>
      </c>
      <c r="AG93" s="15">
        <v>8.4132951698545698E-4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4.206851096326532E-3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1.6042761898009991E-3</v>
      </c>
      <c r="BE93" s="29">
        <f t="shared" si="42"/>
        <v>0</v>
      </c>
      <c r="BF93" s="29">
        <f t="shared" si="43"/>
        <v>5.8111272861275315E-3</v>
      </c>
      <c r="BH93" s="29"/>
    </row>
    <row r="94" spans="1:60" x14ac:dyDescent="0.25">
      <c r="A94" s="1">
        <v>46157</v>
      </c>
      <c r="B94" s="33">
        <v>26.8</v>
      </c>
      <c r="C94" s="33">
        <v>28.82</v>
      </c>
      <c r="D94" s="15">
        <v>-5.9523985272952702E-3</v>
      </c>
      <c r="E94" s="15">
        <v>-6.5710075619366598E-3</v>
      </c>
      <c r="F94" s="33">
        <v>0</v>
      </c>
      <c r="G94" s="33">
        <v>0.59148000000000001</v>
      </c>
      <c r="H94" s="33">
        <v>0</v>
      </c>
      <c r="I94" s="33">
        <v>0.63039999999999996</v>
      </c>
      <c r="J94" s="33">
        <v>0.59148000000000001</v>
      </c>
      <c r="K94" s="33">
        <v>0.63039999999999996</v>
      </c>
      <c r="L94" s="33">
        <v>27.391480000000001</v>
      </c>
      <c r="M94" s="33">
        <v>29.450399999999998</v>
      </c>
      <c r="N94" s="34">
        <v>1.0753731343283499</v>
      </c>
      <c r="O94" s="34">
        <v>1.0748269802361801</v>
      </c>
      <c r="P94" s="34">
        <v>1.0761080211445899</v>
      </c>
      <c r="Q94" s="34">
        <v>1.0766419363184601</v>
      </c>
      <c r="R94" s="33">
        <v>28.8053630703298</v>
      </c>
      <c r="S94" s="33">
        <v>28.8458310613496</v>
      </c>
      <c r="T94" s="33">
        <v>28.8566096097145</v>
      </c>
      <c r="U94" s="15">
        <v>-5.0800304605773405E-4</v>
      </c>
      <c r="V94" s="15">
        <v>8.9588800167930596E-4</v>
      </c>
      <c r="W94" s="15">
        <v>1.2694787324992001E-3</v>
      </c>
      <c r="X94" s="34">
        <v>1.07516643861521</v>
      </c>
      <c r="Y94" s="34">
        <v>1.0748179428614399</v>
      </c>
      <c r="Z94" s="34">
        <v>1.07588708128925</v>
      </c>
      <c r="AA94" s="34">
        <v>1.07652410911518</v>
      </c>
      <c r="AB94" s="33">
        <v>29.440854185530199</v>
      </c>
      <c r="AC94" s="33">
        <v>29.476281657940302</v>
      </c>
      <c r="AD94" s="33">
        <v>29.490546857326599</v>
      </c>
      <c r="AE94" s="15">
        <v>-3.2418445439238498E-4</v>
      </c>
      <c r="AF94" s="15">
        <v>8.7843601154759005E-4</v>
      </c>
      <c r="AG94" s="15">
        <v>1.3622741294771301E-3</v>
      </c>
      <c r="AI94" s="12"/>
      <c r="AJ94">
        <f t="shared" si="26"/>
        <v>0</v>
      </c>
      <c r="AK94">
        <f t="shared" si="27"/>
        <v>1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4.206851096326532E-3</v>
      </c>
      <c r="AT94" s="12"/>
      <c r="AU94">
        <f t="shared" si="30"/>
        <v>0</v>
      </c>
      <c r="AV94">
        <f t="shared" si="31"/>
        <v>0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1.6042761898009991E-3</v>
      </c>
      <c r="BE94" s="29">
        <f t="shared" si="42"/>
        <v>0</v>
      </c>
      <c r="BF94" s="29">
        <f t="shared" si="43"/>
        <v>5.8111272861275315E-3</v>
      </c>
      <c r="BH94" s="29"/>
    </row>
    <row r="95" spans="1:60" x14ac:dyDescent="0.25">
      <c r="A95" s="1">
        <v>46160</v>
      </c>
      <c r="B95" s="33">
        <v>26.82</v>
      </c>
      <c r="C95" s="33">
        <v>28.84</v>
      </c>
      <c r="D95" s="15">
        <v>7.4599033672139499E-4</v>
      </c>
      <c r="E95" s="15">
        <v>6.9372184537230797E-4</v>
      </c>
      <c r="F95" s="33">
        <v>0</v>
      </c>
      <c r="G95" s="33">
        <v>0.59148000000000001</v>
      </c>
      <c r="H95" s="33">
        <v>0</v>
      </c>
      <c r="I95" s="33">
        <v>0.63039999999999996</v>
      </c>
      <c r="J95" s="33">
        <v>0.59148000000000001</v>
      </c>
      <c r="K95" s="33">
        <v>0.63039999999999996</v>
      </c>
      <c r="L95" s="33">
        <v>27.411480000000001</v>
      </c>
      <c r="M95" s="33">
        <v>29.470400000000001</v>
      </c>
      <c r="N95" s="34">
        <v>1.07531692766592</v>
      </c>
      <c r="O95" s="34">
        <v>1.0748269802361801</v>
      </c>
      <c r="P95" s="34">
        <v>1.07588461187036</v>
      </c>
      <c r="Q95" s="34">
        <v>1.0765559851962501</v>
      </c>
      <c r="R95" s="33">
        <v>28.826859609934498</v>
      </c>
      <c r="S95" s="33">
        <v>28.861217127097898</v>
      </c>
      <c r="T95" s="33">
        <v>28.8755367320612</v>
      </c>
      <c r="U95" s="15">
        <v>-4.5573455470850597E-4</v>
      </c>
      <c r="V95" s="15">
        <v>7.35413535818688E-4</v>
      </c>
      <c r="W95" s="15">
        <v>1.23144437578535E-3</v>
      </c>
      <c r="X95" s="34">
        <v>1.07511159557966</v>
      </c>
      <c r="Y95" s="34">
        <v>1.0748179428614399</v>
      </c>
      <c r="Z95" s="34">
        <v>1.0756683730260299</v>
      </c>
      <c r="AA95" s="34">
        <v>1.0764272312093801</v>
      </c>
      <c r="AB95" s="33">
        <v>29.462350544387501</v>
      </c>
      <c r="AC95" s="33">
        <v>29.491657211018801</v>
      </c>
      <c r="AD95" s="33">
        <v>29.509119086528798</v>
      </c>
      <c r="AE95" s="15">
        <v>-2.7317427366544799E-4</v>
      </c>
      <c r="AF95" s="15">
        <v>7.2104715966043998E-4</v>
      </c>
      <c r="AG95" s="15">
        <v>1.3129673720906701E-3</v>
      </c>
      <c r="AI95" s="12"/>
      <c r="AJ95">
        <f t="shared" si="26"/>
        <v>0</v>
      </c>
      <c r="AK95">
        <f t="shared" si="27"/>
        <v>1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4.206851096326532E-3</v>
      </c>
      <c r="AT95" s="12"/>
      <c r="AU95">
        <f t="shared" si="30"/>
        <v>0</v>
      </c>
      <c r="AV95">
        <f t="shared" si="31"/>
        <v>0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1.6042761898009991E-3</v>
      </c>
      <c r="BE95" s="29">
        <f t="shared" si="42"/>
        <v>0</v>
      </c>
      <c r="BF95" s="29">
        <f t="shared" si="43"/>
        <v>5.8111272861275315E-3</v>
      </c>
      <c r="BH95" s="29"/>
    </row>
    <row r="96" spans="1:60" x14ac:dyDescent="0.25">
      <c r="A96" s="1">
        <v>46161</v>
      </c>
      <c r="B96" s="33">
        <v>26.73</v>
      </c>
      <c r="C96" s="33">
        <v>28.75</v>
      </c>
      <c r="D96" s="15">
        <v>-3.36134770270477E-3</v>
      </c>
      <c r="E96" s="15">
        <v>-3.1255451733888701E-3</v>
      </c>
      <c r="F96" s="33">
        <v>0</v>
      </c>
      <c r="G96" s="33">
        <v>0.59148000000000001</v>
      </c>
      <c r="H96" s="33">
        <v>0</v>
      </c>
      <c r="I96" s="33">
        <v>0.63039999999999996</v>
      </c>
      <c r="J96" s="33">
        <v>0.59148000000000001</v>
      </c>
      <c r="K96" s="33">
        <v>0.63039999999999996</v>
      </c>
      <c r="L96" s="33">
        <v>27.321480000000001</v>
      </c>
      <c r="M96" s="33">
        <v>29.380400000000002</v>
      </c>
      <c r="N96" s="34">
        <v>1.0755705200149599</v>
      </c>
      <c r="O96" s="34">
        <v>1.0748269802361801</v>
      </c>
      <c r="P96" s="34">
        <v>1.07574651033875</v>
      </c>
      <c r="Q96" s="34">
        <v>1.07647137653917</v>
      </c>
      <c r="R96" s="33">
        <v>28.730125181713198</v>
      </c>
      <c r="S96" s="33">
        <v>28.758395675294899</v>
      </c>
      <c r="T96" s="33">
        <v>28.776341484296001</v>
      </c>
      <c r="U96" s="15">
        <v>-6.9153708402438401E-4</v>
      </c>
      <c r="V96" s="15">
        <v>2.9198085796115498E-4</v>
      </c>
      <c r="W96" s="15">
        <v>9.1580606231471396E-4</v>
      </c>
      <c r="X96" s="34">
        <v>1.0753590215464099</v>
      </c>
      <c r="Y96" s="34">
        <v>1.0748179428614399</v>
      </c>
      <c r="Z96" s="34">
        <v>1.0755329990578799</v>
      </c>
      <c r="AA96" s="34">
        <v>1.0763315660831401</v>
      </c>
      <c r="AB96" s="33">
        <v>29.365616929529899</v>
      </c>
      <c r="AC96" s="33">
        <v>29.388851940263301</v>
      </c>
      <c r="AD96" s="33">
        <v>29.409585068942501</v>
      </c>
      <c r="AE96" s="15">
        <v>-5.0328759479244299E-4</v>
      </c>
      <c r="AF96" s="15">
        <v>2.8763137329576398E-4</v>
      </c>
      <c r="AG96" s="15">
        <v>9.9285860698265891E-4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4.206851096326532E-3</v>
      </c>
      <c r="AT96" s="12"/>
      <c r="AU96">
        <f t="shared" si="30"/>
        <v>0</v>
      </c>
      <c r="AV96">
        <f t="shared" si="31"/>
        <v>0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1.6042761898009991E-3</v>
      </c>
      <c r="BE96" s="29">
        <f t="shared" si="42"/>
        <v>0</v>
      </c>
      <c r="BF96" s="29">
        <f t="shared" si="43"/>
        <v>5.8111272861275315E-3</v>
      </c>
      <c r="BH96" s="29"/>
    </row>
    <row r="97" spans="1:60" x14ac:dyDescent="0.25">
      <c r="A97" s="1">
        <v>46162</v>
      </c>
      <c r="B97" s="33">
        <v>26.93</v>
      </c>
      <c r="C97" s="33">
        <v>28.92</v>
      </c>
      <c r="D97" s="15">
        <v>7.4543766726798697E-3</v>
      </c>
      <c r="E97" s="15">
        <v>5.8956300472044398E-3</v>
      </c>
      <c r="F97" s="33">
        <v>0</v>
      </c>
      <c r="G97" s="33">
        <v>0.59148000000000001</v>
      </c>
      <c r="H97" s="33">
        <v>0</v>
      </c>
      <c r="I97" s="33">
        <v>0.63039999999999996</v>
      </c>
      <c r="J97" s="33">
        <v>0.59148000000000001</v>
      </c>
      <c r="K97" s="33">
        <v>0.63039999999999996</v>
      </c>
      <c r="L97" s="33">
        <v>27.52148</v>
      </c>
      <c r="M97" s="33">
        <v>29.5504</v>
      </c>
      <c r="N97" s="34">
        <v>1.0738952840698099</v>
      </c>
      <c r="O97" s="34">
        <v>1.0748269802361801</v>
      </c>
      <c r="P97" s="34">
        <v>1.0754295490702099</v>
      </c>
      <c r="Q97" s="34">
        <v>1.07631009961155</v>
      </c>
      <c r="R97" s="33">
        <v>28.945090577760499</v>
      </c>
      <c r="S97" s="33">
        <v>28.9698535234226</v>
      </c>
      <c r="T97" s="33">
        <v>28.989374170199799</v>
      </c>
      <c r="U97" s="15">
        <v>8.6720954145089201E-4</v>
      </c>
      <c r="V97" s="15">
        <v>1.72235833095549E-3</v>
      </c>
      <c r="W97" s="15">
        <v>2.3959576279818698E-3</v>
      </c>
      <c r="X97" s="34">
        <v>1.07372132603333</v>
      </c>
      <c r="Y97" s="34">
        <v>1.0748179428614399</v>
      </c>
      <c r="Z97" s="34">
        <v>1.07522268380928</v>
      </c>
      <c r="AA97" s="34">
        <v>1.07616099781685</v>
      </c>
      <c r="AB97" s="33">
        <v>29.580580518102199</v>
      </c>
      <c r="AC97" s="33">
        <v>29.6002599229117</v>
      </c>
      <c r="AD97" s="33">
        <v>29.622237669325798</v>
      </c>
      <c r="AE97" s="15">
        <v>1.02080230899631E-3</v>
      </c>
      <c r="AF97" s="15">
        <v>1.6858623314002701E-3</v>
      </c>
      <c r="AG97" s="15">
        <v>2.4280717388578E-3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4.206851096326532E-3</v>
      </c>
      <c r="AT97" s="12"/>
      <c r="AU97">
        <f t="shared" si="30"/>
        <v>1</v>
      </c>
      <c r="AV97">
        <f t="shared" si="31"/>
        <v>0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1.6042761898009991E-3</v>
      </c>
      <c r="BE97" s="29">
        <f t="shared" si="42"/>
        <v>0</v>
      </c>
      <c r="BF97" s="29">
        <f t="shared" si="43"/>
        <v>5.8111272861275315E-3</v>
      </c>
      <c r="BH97" s="29"/>
    </row>
    <row r="98" spans="1:60" x14ac:dyDescent="0.25">
      <c r="A98" s="1">
        <v>46163</v>
      </c>
      <c r="B98" s="33">
        <v>26.98</v>
      </c>
      <c r="C98" s="33">
        <v>29</v>
      </c>
      <c r="D98" s="15">
        <v>1.8549439561024101E-3</v>
      </c>
      <c r="E98" s="15">
        <v>2.76243269591007E-3</v>
      </c>
      <c r="F98" s="33">
        <v>0</v>
      </c>
      <c r="G98" s="33">
        <v>0.59148000000000001</v>
      </c>
      <c r="H98" s="33">
        <v>0</v>
      </c>
      <c r="I98" s="33">
        <v>0.63039999999999996</v>
      </c>
      <c r="J98" s="33">
        <v>0.59148000000000001</v>
      </c>
      <c r="K98" s="33">
        <v>0.63039999999999996</v>
      </c>
      <c r="L98" s="33">
        <v>27.571480000000001</v>
      </c>
      <c r="M98" s="33">
        <v>29.630400000000002</v>
      </c>
      <c r="N98" s="34">
        <v>1.07487027427724</v>
      </c>
      <c r="O98" s="34">
        <v>1.0748269802361801</v>
      </c>
      <c r="P98" s="34">
        <v>1.0753721977997099</v>
      </c>
      <c r="Q98" s="34">
        <v>1.0761720827882499</v>
      </c>
      <c r="R98" s="33">
        <v>28.998831926772301</v>
      </c>
      <c r="S98" s="33">
        <v>29.015089233914502</v>
      </c>
      <c r="T98" s="33">
        <v>29.038846487519699</v>
      </c>
      <c r="U98" s="15">
        <v>-4.0279198356826703E-5</v>
      </c>
      <c r="V98" s="15">
        <v>5.2018309215815699E-4</v>
      </c>
      <c r="W98" s="15">
        <v>1.33863767706129E-3</v>
      </c>
      <c r="X98" s="34">
        <v>1.07467571563078</v>
      </c>
      <c r="Y98" s="34">
        <v>1.0748179428614399</v>
      </c>
      <c r="Z98" s="34">
        <v>1.07516651795402</v>
      </c>
      <c r="AA98" s="34">
        <v>1.0760130644724699</v>
      </c>
      <c r="AB98" s="33">
        <v>29.634321415245299</v>
      </c>
      <c r="AC98" s="33">
        <v>29.645480722194002</v>
      </c>
      <c r="AD98" s="33">
        <v>29.671351428087501</v>
      </c>
      <c r="AE98" s="15">
        <v>1.32335566840718E-4</v>
      </c>
      <c r="AF98" s="15">
        <v>5.0883166426837995E-4</v>
      </c>
      <c r="AG98" s="15">
        <v>1.38112057775385E-3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4.206851096326532E-3</v>
      </c>
      <c r="AT98" s="12"/>
      <c r="AU98">
        <f t="shared" si="30"/>
        <v>0</v>
      </c>
      <c r="AV98">
        <f t="shared" si="31"/>
        <v>0</v>
      </c>
      <c r="AW98">
        <f t="shared" si="38"/>
        <v>1</v>
      </c>
      <c r="AX98">
        <f t="shared" si="25"/>
        <v>1</v>
      </c>
      <c r="AY98">
        <f t="shared" si="39"/>
        <v>1</v>
      </c>
      <c r="AZ98" s="28">
        <f t="shared" si="32"/>
        <v>-1.8549439561024101E-3</v>
      </c>
      <c r="BA98" s="28">
        <f t="shared" si="33"/>
        <v>2.76243269591007E-3</v>
      </c>
      <c r="BB98" s="28">
        <f t="shared" si="40"/>
        <v>9.0748873980765993E-4</v>
      </c>
      <c r="BC98" s="29">
        <f t="shared" si="41"/>
        <v>2.5117649296086588E-3</v>
      </c>
      <c r="BE98" s="29">
        <f t="shared" si="42"/>
        <v>9.0748873980765993E-4</v>
      </c>
      <c r="BF98" s="29">
        <f t="shared" si="43"/>
        <v>6.7186160259351917E-3</v>
      </c>
      <c r="BH98" s="29"/>
    </row>
    <row r="99" spans="1:60" x14ac:dyDescent="0.25">
      <c r="A99" s="1">
        <v>46164</v>
      </c>
      <c r="B99" s="33">
        <v>27.02</v>
      </c>
      <c r="C99" s="33">
        <v>29.03</v>
      </c>
      <c r="D99" s="15">
        <v>1.4814817524428799E-3</v>
      </c>
      <c r="E99" s="15">
        <v>1.03394805006464E-3</v>
      </c>
      <c r="F99" s="33">
        <v>0</v>
      </c>
      <c r="G99" s="33">
        <v>0.59148000000000001</v>
      </c>
      <c r="H99" s="33">
        <v>0</v>
      </c>
      <c r="I99" s="33">
        <v>0.63039999999999996</v>
      </c>
      <c r="J99" s="33">
        <v>0.59148000000000001</v>
      </c>
      <c r="K99" s="33">
        <v>0.63039999999999996</v>
      </c>
      <c r="L99" s="33">
        <v>27.61148</v>
      </c>
      <c r="M99" s="33">
        <v>29.660399999999999</v>
      </c>
      <c r="N99" s="34">
        <v>1.07438934122871</v>
      </c>
      <c r="O99" s="34">
        <v>1.0748269802361801</v>
      </c>
      <c r="P99" s="34">
        <v>1.0752917806509299</v>
      </c>
      <c r="Q99" s="34">
        <v>1.07604963808498</v>
      </c>
      <c r="R99" s="33">
        <v>29.0418250059817</v>
      </c>
      <c r="S99" s="33">
        <v>29.056556784548299</v>
      </c>
      <c r="T99" s="33">
        <v>29.0781696769387</v>
      </c>
      <c r="U99" s="15">
        <v>4.07254504021431E-4</v>
      </c>
      <c r="V99" s="15">
        <v>9.1438666255406402E-4</v>
      </c>
      <c r="W99" s="15">
        <v>1.6579316898246001E-3</v>
      </c>
      <c r="X99" s="34">
        <v>1.0742053667532401</v>
      </c>
      <c r="Y99" s="34">
        <v>1.0748179428614399</v>
      </c>
      <c r="Z99" s="34">
        <v>1.07508774362575</v>
      </c>
      <c r="AA99" s="34">
        <v>1.0758806021151399</v>
      </c>
      <c r="AB99" s="33">
        <v>29.6773141329598</v>
      </c>
      <c r="AC99" s="33">
        <v>29.686938807157301</v>
      </c>
      <c r="AD99" s="33">
        <v>29.710313209420502</v>
      </c>
      <c r="AE99" s="15">
        <v>5.70097236304475E-4</v>
      </c>
      <c r="AF99" s="15">
        <v>8.9435548281307402E-4</v>
      </c>
      <c r="AG99" s="15">
        <v>1.68140884559618E-3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4.206851096326532E-3</v>
      </c>
      <c r="AT99" s="12"/>
      <c r="AU99">
        <f t="shared" si="30"/>
        <v>0</v>
      </c>
      <c r="AV99">
        <f t="shared" si="31"/>
        <v>0</v>
      </c>
      <c r="AW99">
        <f t="shared" si="38"/>
        <v>1</v>
      </c>
      <c r="AX99">
        <f t="shared" si="25"/>
        <v>1</v>
      </c>
      <c r="AY99">
        <f t="shared" si="39"/>
        <v>1</v>
      </c>
      <c r="AZ99" s="28">
        <f t="shared" si="32"/>
        <v>-1.4814817524428799E-3</v>
      </c>
      <c r="BA99" s="28">
        <f t="shared" si="33"/>
        <v>1.03394805006464E-3</v>
      </c>
      <c r="BB99" s="28">
        <f t="shared" si="40"/>
        <v>-4.4753370237823995E-4</v>
      </c>
      <c r="BC99" s="29">
        <f t="shared" si="41"/>
        <v>2.0642312272304191E-3</v>
      </c>
      <c r="BE99" s="29">
        <f t="shared" si="42"/>
        <v>-4.4753370237823995E-4</v>
      </c>
      <c r="BF99" s="29">
        <f t="shared" si="43"/>
        <v>6.2710823235569519E-3</v>
      </c>
      <c r="BH99" s="29"/>
    </row>
    <row r="100" spans="1:60" x14ac:dyDescent="0.25">
      <c r="A100" s="1">
        <v>46168</v>
      </c>
      <c r="B100" s="33">
        <v>27.06</v>
      </c>
      <c r="C100" s="33">
        <v>29.11</v>
      </c>
      <c r="D100" s="15">
        <v>1.47929021058912E-3</v>
      </c>
      <c r="E100" s="15">
        <v>2.7519797209933201E-3</v>
      </c>
      <c r="F100" s="33">
        <v>0</v>
      </c>
      <c r="G100" s="33">
        <v>0.59148000000000001</v>
      </c>
      <c r="H100" s="33">
        <v>0</v>
      </c>
      <c r="I100" s="33">
        <v>0.63039999999999996</v>
      </c>
      <c r="J100" s="33">
        <v>0.59148000000000001</v>
      </c>
      <c r="K100" s="33">
        <v>0.63039999999999996</v>
      </c>
      <c r="L100" s="33">
        <v>27.651479999999999</v>
      </c>
      <c r="M100" s="33">
        <v>29.740400000000001</v>
      </c>
      <c r="N100" s="34">
        <v>1.0757575757575699</v>
      </c>
      <c r="O100" s="34">
        <v>1.0748269802361801</v>
      </c>
      <c r="P100" s="34">
        <v>1.07528617727994</v>
      </c>
      <c r="Q100" s="34">
        <v>1.0760167968140799</v>
      </c>
      <c r="R100" s="33">
        <v>29.084818085191198</v>
      </c>
      <c r="S100" s="33">
        <v>29.097395584414301</v>
      </c>
      <c r="T100" s="33">
        <v>29.117903206579701</v>
      </c>
      <c r="U100" s="15">
        <v>-8.6543500638252299E-4</v>
      </c>
      <c r="V100" s="15">
        <v>-4.3308640272072998E-4</v>
      </c>
      <c r="W100" s="15">
        <v>2.7145770989806E-4</v>
      </c>
      <c r="X100" s="34">
        <v>1.07554460014436</v>
      </c>
      <c r="Y100" s="34">
        <v>1.0748179428614399</v>
      </c>
      <c r="Z100" s="34">
        <v>1.0750822756160701</v>
      </c>
      <c r="AA100" s="34">
        <v>1.0758359567325799</v>
      </c>
      <c r="AB100" s="33">
        <v>29.720306850674199</v>
      </c>
      <c r="AC100" s="33">
        <v>29.727767241112701</v>
      </c>
      <c r="AD100" s="33">
        <v>29.749690951774902</v>
      </c>
      <c r="AE100" s="15">
        <v>-6.7584632456592103E-4</v>
      </c>
      <c r="AF100" s="15">
        <v>-4.2485785802237299E-4</v>
      </c>
      <c r="AG100" s="15">
        <v>3.12352921364791E-4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4.206851096326532E-3</v>
      </c>
      <c r="AT100" s="12"/>
      <c r="AU100">
        <f t="shared" si="30"/>
        <v>0</v>
      </c>
      <c r="AV100">
        <f t="shared" si="31"/>
        <v>1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-1.47929021058912E-3</v>
      </c>
      <c r="BA100" s="28">
        <f t="shared" si="33"/>
        <v>2.7519797209933201E-3</v>
      </c>
      <c r="BB100" s="28">
        <f t="shared" si="40"/>
        <v>1.2726895104042E-3</v>
      </c>
      <c r="BC100" s="29">
        <f t="shared" si="41"/>
        <v>3.3369207376346193E-3</v>
      </c>
      <c r="BE100" s="29">
        <f t="shared" si="42"/>
        <v>1.2726895104042E-3</v>
      </c>
      <c r="BF100" s="29">
        <f t="shared" si="43"/>
        <v>7.5437718339611522E-3</v>
      </c>
      <c r="BH100" s="29"/>
    </row>
    <row r="101" spans="1:60" x14ac:dyDescent="0.25">
      <c r="A101" s="1">
        <v>46169</v>
      </c>
      <c r="B101" s="33">
        <v>27.08</v>
      </c>
      <c r="C101" s="33">
        <v>29.12</v>
      </c>
      <c r="D101" s="15">
        <v>7.38825301432257E-4</v>
      </c>
      <c r="E101" s="15">
        <v>3.43465570953438E-4</v>
      </c>
      <c r="F101" s="33">
        <v>0</v>
      </c>
      <c r="G101" s="33">
        <v>0.59148000000000001</v>
      </c>
      <c r="H101" s="33">
        <v>0</v>
      </c>
      <c r="I101" s="33">
        <v>0.63039999999999996</v>
      </c>
      <c r="J101" s="33">
        <v>0.59148000000000001</v>
      </c>
      <c r="K101" s="33">
        <v>0.63039999999999996</v>
      </c>
      <c r="L101" s="33">
        <v>27.671479999999999</v>
      </c>
      <c r="M101" s="33">
        <v>29.750399999999999</v>
      </c>
      <c r="N101" s="34">
        <v>1.0753323485967501</v>
      </c>
      <c r="O101" s="34">
        <v>1.0748269802361801</v>
      </c>
      <c r="P101" s="34">
        <v>1.0752582557274599</v>
      </c>
      <c r="Q101" s="34">
        <v>1.0759782671850999</v>
      </c>
      <c r="R101" s="33">
        <v>29.1063146247959</v>
      </c>
      <c r="S101" s="33">
        <v>29.118749680740901</v>
      </c>
      <c r="T101" s="33">
        <v>29.1385348577254</v>
      </c>
      <c r="U101" s="15">
        <v>-4.7007527590373999E-4</v>
      </c>
      <c r="V101" s="15">
        <v>-4.29377095514007E-5</v>
      </c>
      <c r="W101" s="15">
        <v>6.3629675535391305E-4</v>
      </c>
      <c r="X101" s="34">
        <v>1.0751286161781</v>
      </c>
      <c r="Y101" s="34">
        <v>1.0748179428614399</v>
      </c>
      <c r="Z101" s="34">
        <v>1.075055026946</v>
      </c>
      <c r="AA101" s="34">
        <v>1.07578583649291</v>
      </c>
      <c r="AB101" s="33">
        <v>29.741803209531401</v>
      </c>
      <c r="AC101" s="33">
        <v>29.749117688064501</v>
      </c>
      <c r="AD101" s="33">
        <v>29.7699731600066</v>
      </c>
      <c r="AE101" s="15">
        <v>-2.8900561971338602E-4</v>
      </c>
      <c r="AF101" s="15">
        <v>-4.3103271604794703E-5</v>
      </c>
      <c r="AG101" s="15">
        <v>6.5769616932924001E-4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4.206851096326532E-3</v>
      </c>
      <c r="AT101" s="12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3.3369207376346193E-3</v>
      </c>
      <c r="BE101" s="29">
        <f t="shared" si="42"/>
        <v>0</v>
      </c>
      <c r="BF101" s="29">
        <f t="shared" si="43"/>
        <v>7.5437718339611522E-3</v>
      </c>
      <c r="BH101" s="29"/>
    </row>
    <row r="102" spans="1:60" x14ac:dyDescent="0.25">
      <c r="A102" s="1">
        <v>46170</v>
      </c>
      <c r="B102" s="33">
        <v>27.11</v>
      </c>
      <c r="C102" s="33">
        <v>29.14</v>
      </c>
      <c r="D102" s="15">
        <v>1.10721546649993E-3</v>
      </c>
      <c r="E102" s="15">
        <v>6.8657743857355102E-4</v>
      </c>
      <c r="F102" s="33">
        <v>0</v>
      </c>
      <c r="G102" s="33">
        <v>0.59148000000000001</v>
      </c>
      <c r="H102" s="33">
        <v>0</v>
      </c>
      <c r="I102" s="33">
        <v>0.63039999999999996</v>
      </c>
      <c r="J102" s="33">
        <v>0.59148000000000001</v>
      </c>
      <c r="K102" s="33">
        <v>0.63039999999999996</v>
      </c>
      <c r="L102" s="33">
        <v>27.70148</v>
      </c>
      <c r="M102" s="33">
        <v>29.770399999999999</v>
      </c>
      <c r="N102" s="34">
        <v>1.07488011803762</v>
      </c>
      <c r="O102" s="34">
        <v>1.0748269802361801</v>
      </c>
      <c r="P102" s="34">
        <v>1.07514240996446</v>
      </c>
      <c r="Q102" s="34">
        <v>1.0758434404309001</v>
      </c>
      <c r="R102" s="33">
        <v>29.138559434203</v>
      </c>
      <c r="S102" s="33">
        <v>29.150251312771498</v>
      </c>
      <c r="T102" s="33">
        <v>29.169770823387999</v>
      </c>
      <c r="U102" s="15">
        <v>-4.9437247977340798E-5</v>
      </c>
      <c r="V102" s="15">
        <v>3.5173335665569002E-4</v>
      </c>
      <c r="W102" s="15">
        <v>1.02112649576623E-3</v>
      </c>
      <c r="X102" s="34">
        <v>1.07468626225024</v>
      </c>
      <c r="Y102" s="34">
        <v>1.0748179428614399</v>
      </c>
      <c r="Z102" s="34">
        <v>1.0749417737220801</v>
      </c>
      <c r="AA102" s="34">
        <v>1.0756410844705699</v>
      </c>
      <c r="AB102" s="33">
        <v>29.774047747817299</v>
      </c>
      <c r="AC102" s="33">
        <v>29.780615327844099</v>
      </c>
      <c r="AD102" s="33">
        <v>29.8008598338917</v>
      </c>
      <c r="AE102" s="15">
        <v>1.2252184577660601E-4</v>
      </c>
      <c r="AF102" s="15">
        <v>3.4307821245776099E-4</v>
      </c>
      <c r="AG102" s="15">
        <v>1.02263529867352E-3</v>
      </c>
      <c r="AI102" s="12"/>
      <c r="AJ102">
        <f t="shared" si="26"/>
        <v>0</v>
      </c>
      <c r="AK102">
        <f t="shared" si="27"/>
        <v>1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4.206851096326532E-3</v>
      </c>
      <c r="AT102" s="12"/>
      <c r="AU102">
        <f t="shared" si="30"/>
        <v>0</v>
      </c>
      <c r="AV102">
        <f t="shared" si="31"/>
        <v>0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3.3369207376346193E-3</v>
      </c>
      <c r="BE102" s="29">
        <f t="shared" si="42"/>
        <v>0</v>
      </c>
      <c r="BF102" s="29">
        <f t="shared" si="43"/>
        <v>7.5437718339611522E-3</v>
      </c>
      <c r="BH102" s="29"/>
    </row>
    <row r="103" spans="1:60" x14ac:dyDescent="0.25">
      <c r="A103" s="1">
        <v>46171</v>
      </c>
      <c r="B103" s="33">
        <v>27.2</v>
      </c>
      <c r="C103" s="33">
        <v>29.23</v>
      </c>
      <c r="D103" s="15">
        <v>3.3143097913773999E-3</v>
      </c>
      <c r="E103" s="15">
        <v>3.08377835609584E-3</v>
      </c>
      <c r="F103" s="33">
        <v>0</v>
      </c>
      <c r="G103" s="33">
        <v>0.59148000000000001</v>
      </c>
      <c r="H103" s="33">
        <v>0</v>
      </c>
      <c r="I103" s="33">
        <v>0.63039999999999996</v>
      </c>
      <c r="J103" s="33">
        <v>0.59148000000000001</v>
      </c>
      <c r="K103" s="33">
        <v>0.63039999999999996</v>
      </c>
      <c r="L103" s="33">
        <v>27.79148</v>
      </c>
      <c r="M103" s="33">
        <v>29.860399999999998</v>
      </c>
      <c r="N103" s="34">
        <v>1.0746323529411701</v>
      </c>
      <c r="O103" s="34">
        <v>1.0748269802361801</v>
      </c>
      <c r="P103" s="34">
        <v>1.0750017876918101</v>
      </c>
      <c r="Q103" s="34">
        <v>1.0756693837964599</v>
      </c>
      <c r="R103" s="33">
        <v>29.2352938624242</v>
      </c>
      <c r="S103" s="33">
        <v>29.2438735510333</v>
      </c>
      <c r="T103" s="33">
        <v>29.2629415797206</v>
      </c>
      <c r="U103" s="15">
        <v>1.8109418730447201E-4</v>
      </c>
      <c r="V103" s="15">
        <v>4.74521370013105E-4</v>
      </c>
      <c r="W103" s="15">
        <v>1.1263438737587801E-3</v>
      </c>
      <c r="X103" s="34">
        <v>1.07444439806732</v>
      </c>
      <c r="Y103" s="34">
        <v>1.0748179428614399</v>
      </c>
      <c r="Z103" s="34">
        <v>1.0748043340798701</v>
      </c>
      <c r="AA103" s="34">
        <v>1.07545782628033</v>
      </c>
      <c r="AB103" s="33">
        <v>29.870781362674801</v>
      </c>
      <c r="AC103" s="33">
        <v>29.8742228055618</v>
      </c>
      <c r="AD103" s="33">
        <v>29.8936576862423</v>
      </c>
      <c r="AE103" s="15">
        <v>3.47602794472333E-4</v>
      </c>
      <c r="AF103" s="15">
        <v>4.6280716808187798E-4</v>
      </c>
      <c r="AG103" s="15">
        <v>1.11315251095131E-3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4.206851096326532E-3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3.3369207376346193E-3</v>
      </c>
      <c r="BE103" s="29">
        <f t="shared" si="42"/>
        <v>0</v>
      </c>
      <c r="BF103" s="29">
        <f t="shared" si="43"/>
        <v>7.5437718339611522E-3</v>
      </c>
      <c r="BH103" s="29"/>
    </row>
    <row r="104" spans="1:60" x14ac:dyDescent="0.25">
      <c r="A104" s="1">
        <v>46174</v>
      </c>
      <c r="B104" s="33">
        <v>27.04</v>
      </c>
      <c r="C104" s="33">
        <v>29.06</v>
      </c>
      <c r="D104" s="15">
        <v>-5.8997221271882699E-3</v>
      </c>
      <c r="E104" s="15">
        <v>-5.8329209810177697E-3</v>
      </c>
      <c r="F104" s="33">
        <v>0.14907000000000001</v>
      </c>
      <c r="G104" s="33">
        <v>0.74055000000000004</v>
      </c>
      <c r="H104" s="33">
        <v>0.1535</v>
      </c>
      <c r="I104" s="33">
        <v>0.78389999999999904</v>
      </c>
      <c r="J104" s="33">
        <v>0.74055000000000004</v>
      </c>
      <c r="K104" s="33">
        <v>0.78389999999999904</v>
      </c>
      <c r="L104" s="33">
        <v>27.780549999999899</v>
      </c>
      <c r="M104" s="33">
        <v>29.843899999999898</v>
      </c>
      <c r="N104" s="34">
        <v>1.07470414201183</v>
      </c>
      <c r="O104" s="34">
        <v>1.0748269802361801</v>
      </c>
      <c r="P104" s="34">
        <v>1.0749348884601599</v>
      </c>
      <c r="Q104" s="34">
        <v>1.0755214548023699</v>
      </c>
      <c r="R104" s="33">
        <v>29.063321545586501</v>
      </c>
      <c r="S104" s="33">
        <v>29.0680483391866</v>
      </c>
      <c r="T104" s="33">
        <v>29.086100137856199</v>
      </c>
      <c r="U104" s="15">
        <v>1.14293041134022E-4</v>
      </c>
      <c r="V104" s="15">
        <v>2.76917579999356E-4</v>
      </c>
      <c r="W104" s="15">
        <v>8.9774342724080697E-4</v>
      </c>
      <c r="X104" s="34">
        <v>1.07427318753588</v>
      </c>
      <c r="Y104" s="34">
        <v>1.0748179428614399</v>
      </c>
      <c r="Z104" s="34">
        <v>1.07471500897193</v>
      </c>
      <c r="AA104" s="34">
        <v>1.07530104513059</v>
      </c>
      <c r="AB104" s="33">
        <v>29.8590336025593</v>
      </c>
      <c r="AC104" s="33">
        <v>29.858655543122499</v>
      </c>
      <c r="AD104" s="33">
        <v>29.876809915872101</v>
      </c>
      <c r="AE104" s="15">
        <v>5.0696345959355498E-4</v>
      </c>
      <c r="AF104" s="15">
        <v>4.9430190345385898E-4</v>
      </c>
      <c r="AG104" s="15">
        <v>1.10212752828149E-3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4.206851096326532E-3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3.3369207376346193E-3</v>
      </c>
      <c r="BE104" s="29">
        <f t="shared" si="42"/>
        <v>0</v>
      </c>
      <c r="BF104" s="29">
        <f t="shared" si="43"/>
        <v>7.5437718339611522E-3</v>
      </c>
      <c r="BH104" s="29"/>
    </row>
    <row r="105" spans="1:60" x14ac:dyDescent="0.25">
      <c r="A105" s="1">
        <v>46175</v>
      </c>
      <c r="B105" s="33">
        <v>27.04</v>
      </c>
      <c r="C105" s="33">
        <v>29.09</v>
      </c>
      <c r="D105" s="15">
        <v>0</v>
      </c>
      <c r="E105" s="15">
        <v>1.0318143649733901E-3</v>
      </c>
      <c r="F105" s="33">
        <v>0</v>
      </c>
      <c r="G105" s="33">
        <v>0.74055000000000004</v>
      </c>
      <c r="H105" s="33">
        <v>0</v>
      </c>
      <c r="I105" s="33">
        <v>0.78389999999999904</v>
      </c>
      <c r="J105" s="33">
        <v>0.74055000000000004</v>
      </c>
      <c r="K105" s="33">
        <v>0.78389999999999904</v>
      </c>
      <c r="L105" s="33">
        <v>27.780549999999899</v>
      </c>
      <c r="M105" s="33">
        <v>29.873899999999999</v>
      </c>
      <c r="N105" s="34">
        <v>1.07581360946745</v>
      </c>
      <c r="O105" s="34">
        <v>1.0748269802361801</v>
      </c>
      <c r="P105" s="34">
        <v>1.07498455664031</v>
      </c>
      <c r="Q105" s="34">
        <v>1.0754345842553401</v>
      </c>
      <c r="R105" s="33">
        <v>29.063321545586501</v>
      </c>
      <c r="S105" s="33">
        <v>29.066239383962699</v>
      </c>
      <c r="T105" s="33">
        <v>29.082100137856202</v>
      </c>
      <c r="U105" s="15">
        <v>-9.1752132383957801E-4</v>
      </c>
      <c r="V105" s="15">
        <v>-8.1713046135711495E-4</v>
      </c>
      <c r="W105" s="15">
        <v>-2.7160312842576501E-4</v>
      </c>
      <c r="X105" s="34">
        <v>1.0753530797626301</v>
      </c>
      <c r="Y105" s="34">
        <v>1.0748179428614399</v>
      </c>
      <c r="Z105" s="34">
        <v>1.0747391573902301</v>
      </c>
      <c r="AA105" s="34">
        <v>1.0752037652081301</v>
      </c>
      <c r="AB105" s="33">
        <v>29.8590336025593</v>
      </c>
      <c r="AC105" s="33">
        <v>29.856174042495301</v>
      </c>
      <c r="AD105" s="33">
        <v>29.872454449302801</v>
      </c>
      <c r="AE105" s="15">
        <v>-4.9776218414018596E-4</v>
      </c>
      <c r="AF105" s="15">
        <v>-5.9353544455352405E-4</v>
      </c>
      <c r="AG105" s="15">
        <v>-4.8389586637226102E-5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4.206851096326532E-3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3.3369207376346193E-3</v>
      </c>
      <c r="BE105" s="29">
        <f t="shared" si="42"/>
        <v>0</v>
      </c>
      <c r="BF105" s="29">
        <f t="shared" si="43"/>
        <v>7.5437718339611522E-3</v>
      </c>
      <c r="BH105" s="29"/>
    </row>
    <row r="106" spans="1:60" x14ac:dyDescent="0.25">
      <c r="A106" s="1">
        <v>46176</v>
      </c>
      <c r="B106" s="33">
        <v>26.98</v>
      </c>
      <c r="C106" s="33">
        <v>29.03</v>
      </c>
      <c r="D106" s="15">
        <v>-2.2214003951534999E-3</v>
      </c>
      <c r="E106" s="15">
        <v>-2.0646944705717098E-3</v>
      </c>
      <c r="F106" s="33">
        <v>0</v>
      </c>
      <c r="G106" s="33">
        <v>0.74055000000000004</v>
      </c>
      <c r="H106" s="33">
        <v>0</v>
      </c>
      <c r="I106" s="33">
        <v>0.78389999999999904</v>
      </c>
      <c r="J106" s="33">
        <v>0.74055000000000004</v>
      </c>
      <c r="K106" s="33">
        <v>0.78389999999999904</v>
      </c>
      <c r="L106" s="33">
        <v>27.720549999999999</v>
      </c>
      <c r="M106" s="33">
        <v>29.8139</v>
      </c>
      <c r="N106" s="34">
        <v>1.0759822090437301</v>
      </c>
      <c r="O106" s="34">
        <v>1.0748269802361801</v>
      </c>
      <c r="P106" s="34">
        <v>1.0750257255431901</v>
      </c>
      <c r="Q106" s="34">
        <v>1.0753861179409701</v>
      </c>
      <c r="R106" s="33">
        <v>28.998831926772301</v>
      </c>
      <c r="S106" s="33">
        <v>29.003083338155701</v>
      </c>
      <c r="T106" s="33">
        <v>29.015225083209099</v>
      </c>
      <c r="U106" s="15">
        <v>-1.07422724842135E-3</v>
      </c>
      <c r="V106" s="15">
        <v>-9.2763169647907596E-4</v>
      </c>
      <c r="W106" s="15">
        <v>-5.09082946574267E-4</v>
      </c>
      <c r="X106" s="34">
        <v>1.0755161784308001</v>
      </c>
      <c r="Y106" s="34">
        <v>1.0748179428614399</v>
      </c>
      <c r="Z106" s="34">
        <v>1.07475487307867</v>
      </c>
      <c r="AA106" s="34">
        <v>1.07514393606828</v>
      </c>
      <c r="AB106" s="33">
        <v>29.7945445259877</v>
      </c>
      <c r="AC106" s="33">
        <v>29.792360549393798</v>
      </c>
      <c r="AD106" s="33">
        <v>29.805239733640299</v>
      </c>
      <c r="AE106" s="15">
        <v>-6.4942055933420704E-4</v>
      </c>
      <c r="AF106" s="15">
        <v>-7.2272447038733401E-4</v>
      </c>
      <c r="AG106" s="15">
        <v>-2.9051967067140002E-4</v>
      </c>
      <c r="AI106" s="12"/>
      <c r="AJ106">
        <f t="shared" si="26"/>
        <v>0</v>
      </c>
      <c r="AK106">
        <f t="shared" si="27"/>
        <v>0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4.206851096326532E-3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3.3369207376346193E-3</v>
      </c>
      <c r="BE106" s="29">
        <f t="shared" si="42"/>
        <v>0</v>
      </c>
      <c r="BF106" s="29">
        <f t="shared" si="43"/>
        <v>7.5437718339611522E-3</v>
      </c>
      <c r="BH106" s="29"/>
    </row>
    <row r="107" spans="1:60" x14ac:dyDescent="0.25">
      <c r="A107" s="1">
        <v>46177</v>
      </c>
      <c r="B107" s="33">
        <v>27.03</v>
      </c>
      <c r="C107" s="33">
        <v>29.09</v>
      </c>
      <c r="D107" s="15">
        <v>1.8515095087465101E-3</v>
      </c>
      <c r="E107" s="15">
        <v>2.06469447057179E-3</v>
      </c>
      <c r="F107" s="33">
        <v>0</v>
      </c>
      <c r="G107" s="33">
        <v>0.74055000000000004</v>
      </c>
      <c r="H107" s="33">
        <v>0</v>
      </c>
      <c r="I107" s="33">
        <v>0.78389999999999904</v>
      </c>
      <c r="J107" s="33">
        <v>0.74055000000000004</v>
      </c>
      <c r="K107" s="33">
        <v>0.78389999999999904</v>
      </c>
      <c r="L107" s="33">
        <v>27.77055</v>
      </c>
      <c r="M107" s="33">
        <v>29.873899999999999</v>
      </c>
      <c r="N107" s="34">
        <v>1.07621161672216</v>
      </c>
      <c r="O107" s="34">
        <v>1.0748269802361801</v>
      </c>
      <c r="P107" s="34">
        <v>1.07525735880842</v>
      </c>
      <c r="Q107" s="34">
        <v>1.0753434539393201</v>
      </c>
      <c r="R107" s="33">
        <v>29.052573275784098</v>
      </c>
      <c r="S107" s="33">
        <v>29.057945361432399</v>
      </c>
      <c r="T107" s="33">
        <v>29.067686767944501</v>
      </c>
      <c r="U107" s="15">
        <v>-1.2874122102467099E-3</v>
      </c>
      <c r="V107" s="15">
        <v>-1.10252018760988E-3</v>
      </c>
      <c r="W107" s="15">
        <v>-7.6733564866029297E-4</v>
      </c>
      <c r="X107" s="34">
        <v>1.0757403076280401</v>
      </c>
      <c r="Y107" s="34">
        <v>1.0748179428614399</v>
      </c>
      <c r="Z107" s="34">
        <v>1.07495677123814</v>
      </c>
      <c r="AA107" s="34">
        <v>1.0750897275237099</v>
      </c>
      <c r="AB107" s="33">
        <v>29.848285423130701</v>
      </c>
      <c r="AC107" s="33">
        <v>29.846533940574901</v>
      </c>
      <c r="AD107" s="33">
        <v>29.857338433780999</v>
      </c>
      <c r="AE107" s="15">
        <v>-8.5779106234487796E-4</v>
      </c>
      <c r="AF107" s="15">
        <v>-9.1647228711366205E-4</v>
      </c>
      <c r="AG107" s="15">
        <v>-5.5453618835455895E-4</v>
      </c>
      <c r="AI107" s="12"/>
      <c r="AJ107">
        <f t="shared" si="26"/>
        <v>0</v>
      </c>
      <c r="AK107">
        <f t="shared" si="27"/>
        <v>0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4.206851096326532E-3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3.3369207376346193E-3</v>
      </c>
      <c r="BE107" s="29">
        <f t="shared" si="42"/>
        <v>0</v>
      </c>
      <c r="BF107" s="29">
        <f t="shared" si="43"/>
        <v>7.5437718339611522E-3</v>
      </c>
      <c r="BH107" s="29"/>
    </row>
    <row r="108" spans="1:60" x14ac:dyDescent="0.25">
      <c r="A108" s="1">
        <v>46178</v>
      </c>
      <c r="B108" s="33">
        <v>26.89</v>
      </c>
      <c r="C108" s="33">
        <v>28.94</v>
      </c>
      <c r="D108" s="15">
        <v>-5.1928900075829199E-3</v>
      </c>
      <c r="E108" s="15">
        <v>-5.1697513037724397E-3</v>
      </c>
      <c r="F108" s="33">
        <v>0</v>
      </c>
      <c r="G108" s="33">
        <v>0.74055000000000004</v>
      </c>
      <c r="H108" s="33">
        <v>0</v>
      </c>
      <c r="I108" s="33">
        <v>0.78389999999999904</v>
      </c>
      <c r="J108" s="33">
        <v>0.74055000000000004</v>
      </c>
      <c r="K108" s="33">
        <v>0.78389999999999904</v>
      </c>
      <c r="L108" s="33">
        <v>27.630549999999999</v>
      </c>
      <c r="M108" s="33">
        <v>29.7239</v>
      </c>
      <c r="N108" s="34">
        <v>1.0762365191520999</v>
      </c>
      <c r="O108" s="34">
        <v>1.0748269802361801</v>
      </c>
      <c r="P108" s="34">
        <v>1.0753939832959101</v>
      </c>
      <c r="Q108" s="34">
        <v>1.0753830905478099</v>
      </c>
      <c r="R108" s="33">
        <v>28.902097498551001</v>
      </c>
      <c r="S108" s="33">
        <v>28.913670378358599</v>
      </c>
      <c r="T108" s="33">
        <v>28.9159854764284</v>
      </c>
      <c r="U108" s="15">
        <v>-1.3105509140571899E-3</v>
      </c>
      <c r="V108" s="15">
        <v>-9.1021445267033796E-4</v>
      </c>
      <c r="W108" s="15">
        <v>-8.3014833307105897E-4</v>
      </c>
      <c r="X108" s="34">
        <v>1.07576215457166</v>
      </c>
      <c r="Y108" s="34">
        <v>1.0748179428614399</v>
      </c>
      <c r="Z108" s="34">
        <v>1.0750654151322301</v>
      </c>
      <c r="AA108" s="34">
        <v>1.07511596654313</v>
      </c>
      <c r="AB108" s="33">
        <v>29.697810911130102</v>
      </c>
      <c r="AC108" s="33">
        <v>29.701646815534101</v>
      </c>
      <c r="AD108" s="33">
        <v>29.705320470830301</v>
      </c>
      <c r="AE108" s="15">
        <v>-8.7809960858224398E-4</v>
      </c>
      <c r="AF108" s="15">
        <v>-7.4894339887630597E-4</v>
      </c>
      <c r="AG108" s="15">
        <v>-6.2526580788787396E-4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4.206851096326532E-3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3.3369207376346193E-3</v>
      </c>
      <c r="BE108" s="29">
        <f t="shared" si="42"/>
        <v>0</v>
      </c>
      <c r="BF108" s="29">
        <f t="shared" si="43"/>
        <v>7.5437718339611522E-3</v>
      </c>
      <c r="BH108" s="29"/>
    </row>
    <row r="109" spans="1:60" x14ac:dyDescent="0.25">
      <c r="A109" s="1">
        <v>46181</v>
      </c>
      <c r="B109" s="33">
        <v>26.91</v>
      </c>
      <c r="C109" s="33">
        <v>28.95</v>
      </c>
      <c r="D109" s="15">
        <v>7.4349445804120699E-4</v>
      </c>
      <c r="E109" s="15">
        <v>3.4548281566631502E-4</v>
      </c>
      <c r="F109" s="33">
        <v>0</v>
      </c>
      <c r="G109" s="33">
        <v>0.74055000000000004</v>
      </c>
      <c r="H109" s="33">
        <v>0</v>
      </c>
      <c r="I109" s="33">
        <v>0.78389999999999904</v>
      </c>
      <c r="J109" s="33">
        <v>0.74055000000000004</v>
      </c>
      <c r="K109" s="33">
        <v>0.78389999999999904</v>
      </c>
      <c r="L109" s="33">
        <v>27.650549999999999</v>
      </c>
      <c r="M109" s="33">
        <v>29.733899999999998</v>
      </c>
      <c r="N109" s="34">
        <v>1.07580824972129</v>
      </c>
      <c r="O109" s="34">
        <v>1.0748269802361801</v>
      </c>
      <c r="P109" s="34">
        <v>1.0755358741451699</v>
      </c>
      <c r="Q109" s="34">
        <v>1.07541382739805</v>
      </c>
      <c r="R109" s="33">
        <v>28.923594038155802</v>
      </c>
      <c r="S109" s="33">
        <v>28.938852090493</v>
      </c>
      <c r="T109" s="33">
        <v>28.9385589666417</v>
      </c>
      <c r="U109" s="15">
        <v>-9.1253927168243E-4</v>
      </c>
      <c r="V109" s="15">
        <v>-3.8514875462869702E-4</v>
      </c>
      <c r="W109" s="15">
        <v>-3.95277882589023E-4</v>
      </c>
      <c r="X109" s="34">
        <v>1.0753456983676599</v>
      </c>
      <c r="Y109" s="34">
        <v>1.0748179428614399</v>
      </c>
      <c r="Z109" s="34">
        <v>1.0751794482936701</v>
      </c>
      <c r="AA109" s="34">
        <v>1.0751335959597099</v>
      </c>
      <c r="AB109" s="33">
        <v>29.7193072699874</v>
      </c>
      <c r="AC109" s="33">
        <v>29.726150014384501</v>
      </c>
      <c r="AD109" s="33">
        <v>29.727547788699098</v>
      </c>
      <c r="AE109" s="15">
        <v>-4.9089800115814804E-4</v>
      </c>
      <c r="AF109" s="15">
        <v>-2.6067874673728803E-4</v>
      </c>
      <c r="AG109" s="15">
        <v>-2.1365814527672601E-4</v>
      </c>
      <c r="AI109" s="12"/>
      <c r="AJ109">
        <f t="shared" si="26"/>
        <v>0</v>
      </c>
      <c r="AK109">
        <f t="shared" si="27"/>
        <v>0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4.206851096326532E-3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3.3369207376346193E-3</v>
      </c>
      <c r="BE109" s="29">
        <f t="shared" si="42"/>
        <v>0</v>
      </c>
      <c r="BF109" s="29">
        <f t="shared" si="43"/>
        <v>7.5437718339611522E-3</v>
      </c>
      <c r="BH109" s="29"/>
    </row>
    <row r="110" spans="1:60" x14ac:dyDescent="0.25">
      <c r="A110" s="1">
        <v>46182</v>
      </c>
      <c r="B110" s="33">
        <v>26.97</v>
      </c>
      <c r="C110" s="33">
        <v>29</v>
      </c>
      <c r="D110" s="15">
        <v>2.22717241282407E-3</v>
      </c>
      <c r="E110" s="15">
        <v>1.7256259674698501E-3</v>
      </c>
      <c r="F110" s="33">
        <v>0</v>
      </c>
      <c r="G110" s="33">
        <v>0.74055000000000004</v>
      </c>
      <c r="H110" s="33">
        <v>0</v>
      </c>
      <c r="I110" s="33">
        <v>0.78389999999999904</v>
      </c>
      <c r="J110" s="33">
        <v>0.74055000000000004</v>
      </c>
      <c r="K110" s="33">
        <v>0.78389999999999904</v>
      </c>
      <c r="L110" s="33">
        <v>27.710549999999898</v>
      </c>
      <c r="M110" s="33">
        <v>29.783899999999999</v>
      </c>
      <c r="N110" s="34">
        <v>1.0752688172042999</v>
      </c>
      <c r="O110" s="34">
        <v>1.0748269802361801</v>
      </c>
      <c r="P110" s="34">
        <v>1.0754869982898401</v>
      </c>
      <c r="Q110" s="34">
        <v>1.07538658778489</v>
      </c>
      <c r="R110" s="33">
        <v>28.988083656969899</v>
      </c>
      <c r="S110" s="33">
        <v>29.007202525695199</v>
      </c>
      <c r="T110" s="33">
        <v>29.0039109249254</v>
      </c>
      <c r="U110" s="15">
        <v>-4.1099282632809498E-4</v>
      </c>
      <c r="V110" s="15">
        <v>2.4833211803576501E-4</v>
      </c>
      <c r="W110" s="15">
        <v>1.34850387467105E-4</v>
      </c>
      <c r="X110" s="34">
        <v>1.07482168343825</v>
      </c>
      <c r="Y110" s="34">
        <v>1.0748179428614399</v>
      </c>
      <c r="Z110" s="34">
        <v>1.0751071566230599</v>
      </c>
      <c r="AA110" s="34">
        <v>1.0750947161195601</v>
      </c>
      <c r="AB110" s="33">
        <v>29.783796346559001</v>
      </c>
      <c r="AC110" s="33">
        <v>29.793813860914199</v>
      </c>
      <c r="AD110" s="33">
        <v>29.792543267521399</v>
      </c>
      <c r="AE110" s="15">
        <v>-3.4801896754727198E-6</v>
      </c>
      <c r="AF110" s="15">
        <v>3.32804344553919E-4</v>
      </c>
      <c r="AG110" s="15">
        <v>2.9015722013838802E-4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4.206851096326532E-3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3.3369207376346193E-3</v>
      </c>
      <c r="BE110" s="29">
        <f t="shared" si="42"/>
        <v>0</v>
      </c>
      <c r="BF110" s="29">
        <f t="shared" si="43"/>
        <v>7.5437718339611522E-3</v>
      </c>
      <c r="BH110" s="29"/>
    </row>
    <row r="111" spans="1:60" x14ac:dyDescent="0.25">
      <c r="A111" s="1">
        <v>46183</v>
      </c>
      <c r="B111" s="33">
        <v>26.89</v>
      </c>
      <c r="C111" s="33">
        <v>28.92</v>
      </c>
      <c r="D111" s="15">
        <v>-2.9706668708652699E-3</v>
      </c>
      <c r="E111" s="15">
        <v>-2.76243269591007E-3</v>
      </c>
      <c r="F111" s="33">
        <v>0</v>
      </c>
      <c r="G111" s="33">
        <v>0.74055000000000004</v>
      </c>
      <c r="H111" s="33">
        <v>0</v>
      </c>
      <c r="I111" s="33">
        <v>0.78389999999999904</v>
      </c>
      <c r="J111" s="33">
        <v>0.74055000000000004</v>
      </c>
      <c r="K111" s="33">
        <v>0.78389999999999904</v>
      </c>
      <c r="L111" s="33">
        <v>27.630549999999999</v>
      </c>
      <c r="M111" s="33">
        <v>29.703900000000001</v>
      </c>
      <c r="N111" s="34">
        <v>1.0754927482335399</v>
      </c>
      <c r="O111" s="34">
        <v>1.0748269802361801</v>
      </c>
      <c r="P111" s="34">
        <v>1.07550303825352</v>
      </c>
      <c r="Q111" s="34">
        <v>1.0753806469904901</v>
      </c>
      <c r="R111" s="33">
        <v>28.902097498551001</v>
      </c>
      <c r="S111" s="33">
        <v>28.919845384013801</v>
      </c>
      <c r="T111" s="33">
        <v>28.917145345535801</v>
      </c>
      <c r="U111" s="15">
        <v>-6.19227001283293E-4</v>
      </c>
      <c r="V111" s="15">
        <v>-5.3463485279072599E-6</v>
      </c>
      <c r="W111" s="15">
        <v>-9.8713532607035395E-5</v>
      </c>
      <c r="X111" s="34">
        <v>1.0750383180935501</v>
      </c>
      <c r="Y111" s="34">
        <v>1.0748179428614399</v>
      </c>
      <c r="Z111" s="34">
        <v>1.0750981268146</v>
      </c>
      <c r="AA111" s="34">
        <v>1.0750765768802999</v>
      </c>
      <c r="AB111" s="33">
        <v>29.697810911130102</v>
      </c>
      <c r="AC111" s="33">
        <v>29.705802046431302</v>
      </c>
      <c r="AD111" s="33">
        <v>29.7054583084774</v>
      </c>
      <c r="AE111" s="15">
        <v>-2.0501392292421899E-4</v>
      </c>
      <c r="AF111" s="15">
        <v>6.4031508877982501E-5</v>
      </c>
      <c r="AG111" s="15">
        <v>5.2460033981366002E-5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4.206851096326532E-3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3.3369207376346193E-3</v>
      </c>
      <c r="BE111" s="29">
        <f t="shared" si="42"/>
        <v>0</v>
      </c>
      <c r="BF111" s="29">
        <f t="shared" si="43"/>
        <v>7.5437718339611522E-3</v>
      </c>
      <c r="BH111" s="29"/>
    </row>
    <row r="112" spans="1:60" x14ac:dyDescent="0.25">
      <c r="A112" s="1">
        <v>46184</v>
      </c>
      <c r="B112" s="33">
        <v>27.08</v>
      </c>
      <c r="C112" s="33">
        <v>29.11</v>
      </c>
      <c r="D112" s="15">
        <v>7.0409777633007996E-3</v>
      </c>
      <c r="E112" s="15">
        <v>6.5483604669678902E-3</v>
      </c>
      <c r="F112" s="33">
        <v>0</v>
      </c>
      <c r="G112" s="33">
        <v>0.74055000000000004</v>
      </c>
      <c r="H112" s="33">
        <v>0</v>
      </c>
      <c r="I112" s="33">
        <v>0.78389999999999904</v>
      </c>
      <c r="J112" s="33">
        <v>0.74055000000000004</v>
      </c>
      <c r="K112" s="33">
        <v>0.78389999999999904</v>
      </c>
      <c r="L112" s="33">
        <v>27.820549999999901</v>
      </c>
      <c r="M112" s="33">
        <v>29.893899999999999</v>
      </c>
      <c r="N112" s="34">
        <v>1.07496307237813</v>
      </c>
      <c r="O112" s="34">
        <v>1.0748269802361801</v>
      </c>
      <c r="P112" s="34">
        <v>1.0755113336875699</v>
      </c>
      <c r="Q112" s="34">
        <v>1.0753268718260101</v>
      </c>
      <c r="R112" s="33">
        <v>29.1063146247959</v>
      </c>
      <c r="S112" s="33">
        <v>29.124622275905399</v>
      </c>
      <c r="T112" s="33">
        <v>29.121307920502499</v>
      </c>
      <c r="U112" s="15">
        <v>-1.26609704950337E-4</v>
      </c>
      <c r="V112" s="15">
        <v>5.0218497660802104E-4</v>
      </c>
      <c r="W112" s="15">
        <v>3.8837941473530399E-4</v>
      </c>
      <c r="X112" s="34">
        <v>1.0745258451037001</v>
      </c>
      <c r="Y112" s="34">
        <v>1.0748179428614399</v>
      </c>
      <c r="Z112" s="34">
        <v>1.0750820850999501</v>
      </c>
      <c r="AA112" s="34">
        <v>1.0750119294110101</v>
      </c>
      <c r="AB112" s="33">
        <v>29.902026320273801</v>
      </c>
      <c r="AC112" s="33">
        <v>29.909821191952101</v>
      </c>
      <c r="AD112" s="33">
        <v>29.909221660927301</v>
      </c>
      <c r="AE112" s="15">
        <v>2.71801804034234E-4</v>
      </c>
      <c r="AF112" s="15">
        <v>5.3244821596230298E-4</v>
      </c>
      <c r="AG112" s="15">
        <v>5.1240339424082502E-4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4.206851096326532E-3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3.3369207376346193E-3</v>
      </c>
      <c r="BE112" s="29">
        <f t="shared" si="42"/>
        <v>0</v>
      </c>
      <c r="BF112" s="29">
        <f t="shared" si="43"/>
        <v>7.5437718339611522E-3</v>
      </c>
      <c r="BH112" s="29"/>
    </row>
    <row r="113" spans="1:60" x14ac:dyDescent="0.25">
      <c r="A113" s="1">
        <v>46185</v>
      </c>
      <c r="B113" s="33">
        <v>27.09</v>
      </c>
      <c r="C113" s="33">
        <v>29.12</v>
      </c>
      <c r="D113" s="15">
        <v>3.6920805292957998E-4</v>
      </c>
      <c r="E113" s="15">
        <v>3.43465570953438E-4</v>
      </c>
      <c r="F113" s="33">
        <v>0</v>
      </c>
      <c r="G113" s="33">
        <v>0.74055000000000004</v>
      </c>
      <c r="H113" s="33">
        <v>0</v>
      </c>
      <c r="I113" s="33">
        <v>0.78389999999999904</v>
      </c>
      <c r="J113" s="33">
        <v>0.74055000000000004</v>
      </c>
      <c r="K113" s="33">
        <v>0.78389999999999904</v>
      </c>
      <c r="L113" s="33">
        <v>27.830549999999999</v>
      </c>
      <c r="M113" s="33">
        <v>29.9039</v>
      </c>
      <c r="N113" s="34">
        <v>1.0749354005167899</v>
      </c>
      <c r="O113" s="34">
        <v>1.0748269802361801</v>
      </c>
      <c r="P113" s="34">
        <v>1.07554163844513</v>
      </c>
      <c r="Q113" s="34">
        <v>1.0752717130684699</v>
      </c>
      <c r="R113" s="33">
        <v>29.117062894598298</v>
      </c>
      <c r="S113" s="33">
        <v>29.135602029596299</v>
      </c>
      <c r="T113" s="33">
        <v>29.130604957766799</v>
      </c>
      <c r="U113" s="15">
        <v>-1.00867222974174E-4</v>
      </c>
      <c r="V113" s="15">
        <v>5.3564050240153898E-4</v>
      </c>
      <c r="W113" s="15">
        <v>3.6411494410030099E-4</v>
      </c>
      <c r="X113" s="34">
        <v>1.07449906667313</v>
      </c>
      <c r="Y113" s="34">
        <v>1.0748179428614399</v>
      </c>
      <c r="Z113" s="34">
        <v>1.0750875519605301</v>
      </c>
      <c r="AA113" s="34">
        <v>1.0749459430202</v>
      </c>
      <c r="AB113" s="33">
        <v>29.912774499702401</v>
      </c>
      <c r="AC113" s="33">
        <v>29.920125723478499</v>
      </c>
      <c r="AD113" s="33">
        <v>29.918173252069799</v>
      </c>
      <c r="AE113" s="15">
        <v>2.9672327463210101E-4</v>
      </c>
      <c r="AF113" s="15">
        <v>5.4244841199409895E-4</v>
      </c>
      <c r="AG113" s="15">
        <v>4.7719015957657098E-4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4.206851096326532E-3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3.3369207376346193E-3</v>
      </c>
      <c r="BE113" s="29">
        <f t="shared" si="42"/>
        <v>0</v>
      </c>
      <c r="BF113" s="29">
        <f t="shared" si="43"/>
        <v>7.5437718339611522E-3</v>
      </c>
      <c r="BH113" s="29"/>
    </row>
    <row r="114" spans="1:60" x14ac:dyDescent="0.25">
      <c r="A114" s="1">
        <v>46188</v>
      </c>
      <c r="B114" s="33">
        <v>27.15</v>
      </c>
      <c r="C114" s="33">
        <v>29.18</v>
      </c>
      <c r="D114" s="15">
        <v>2.2123902829406399E-3</v>
      </c>
      <c r="E114" s="15">
        <v>2.0583197661543599E-3</v>
      </c>
      <c r="F114" s="33">
        <v>0</v>
      </c>
      <c r="G114" s="33">
        <v>0.74055000000000004</v>
      </c>
      <c r="H114" s="33">
        <v>0</v>
      </c>
      <c r="I114" s="33">
        <v>0.78389999999999904</v>
      </c>
      <c r="J114" s="33">
        <v>0.74055000000000004</v>
      </c>
      <c r="K114" s="33">
        <v>0.78389999999999904</v>
      </c>
      <c r="L114" s="33">
        <v>27.890549999999902</v>
      </c>
      <c r="M114" s="33">
        <v>29.963899999999999</v>
      </c>
      <c r="N114" s="34">
        <v>1.0747697974217301</v>
      </c>
      <c r="O114" s="34">
        <v>1.0748269802361801</v>
      </c>
      <c r="P114" s="34">
        <v>1.0755482039861199</v>
      </c>
      <c r="Q114" s="34">
        <v>1.0752415462231399</v>
      </c>
      <c r="R114" s="33">
        <v>29.181552513412399</v>
      </c>
      <c r="S114" s="33">
        <v>29.2009554837854</v>
      </c>
      <c r="T114" s="33">
        <v>29.193627009809099</v>
      </c>
      <c r="U114" s="15">
        <v>5.3203293812278799E-5</v>
      </c>
      <c r="V114" s="15">
        <v>7.1788769168881902E-4</v>
      </c>
      <c r="W114" s="15">
        <v>4.6688927019562901E-4</v>
      </c>
      <c r="X114" s="34">
        <v>1.07433879934242</v>
      </c>
      <c r="Y114" s="34">
        <v>1.0748179428614399</v>
      </c>
      <c r="Z114" s="34">
        <v>1.07509411314119</v>
      </c>
      <c r="AA114" s="34">
        <v>1.07490456105656</v>
      </c>
      <c r="AB114" s="33">
        <v>29.977263576274101</v>
      </c>
      <c r="AC114" s="33">
        <v>29.9847831223329</v>
      </c>
      <c r="AD114" s="33">
        <v>29.980833571102099</v>
      </c>
      <c r="AE114" s="15">
        <v>4.4588979253158098E-4</v>
      </c>
      <c r="AF114" s="15">
        <v>6.9669998038167304E-4</v>
      </c>
      <c r="AG114" s="15">
        <v>5.6497278555667598E-4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4.206851096326532E-3</v>
      </c>
      <c r="AT114" s="12"/>
      <c r="AU114">
        <f t="shared" si="30"/>
        <v>0</v>
      </c>
      <c r="AV114">
        <f t="shared" si="31"/>
        <v>0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3.3369207376346193E-3</v>
      </c>
      <c r="BE114" s="29">
        <f t="shared" si="42"/>
        <v>0</v>
      </c>
      <c r="BF114" s="29">
        <f t="shared" si="43"/>
        <v>7.5437718339611522E-3</v>
      </c>
      <c r="BH114" s="29"/>
    </row>
    <row r="115" spans="1:60" x14ac:dyDescent="0.25">
      <c r="A115" s="1">
        <v>46189</v>
      </c>
      <c r="B115" s="33">
        <v>27.17</v>
      </c>
      <c r="C115" s="33">
        <v>29.18</v>
      </c>
      <c r="D115" s="15">
        <v>7.3637705831201404E-4</v>
      </c>
      <c r="E115" s="15">
        <v>0</v>
      </c>
      <c r="F115" s="33">
        <v>0</v>
      </c>
      <c r="G115" s="33">
        <v>0.74055000000000004</v>
      </c>
      <c r="H115" s="33">
        <v>0</v>
      </c>
      <c r="I115" s="33">
        <v>0.78389999999999904</v>
      </c>
      <c r="J115" s="33">
        <v>0.74055000000000004</v>
      </c>
      <c r="K115" s="33">
        <v>0.78389999999999904</v>
      </c>
      <c r="L115" s="33">
        <v>27.910550000000001</v>
      </c>
      <c r="M115" s="33">
        <v>29.963899999999999</v>
      </c>
      <c r="N115" s="34">
        <v>1.07397865292602</v>
      </c>
      <c r="O115" s="34">
        <v>1.0748269802361801</v>
      </c>
      <c r="P115" s="34">
        <v>1.0753647083319799</v>
      </c>
      <c r="Q115" s="34">
        <v>1.07517463248614</v>
      </c>
      <c r="R115" s="33">
        <v>29.2030490530172</v>
      </c>
      <c r="S115" s="33">
        <v>29.222644702303</v>
      </c>
      <c r="T115" s="33">
        <v>29.214312810882799</v>
      </c>
      <c r="U115" s="15">
        <v>7.8958035212422595E-4</v>
      </c>
      <c r="V115" s="15">
        <v>1.4603691356569401E-3</v>
      </c>
      <c r="W115" s="15">
        <v>1.1752108443546E-3</v>
      </c>
      <c r="X115" s="34">
        <v>1.07356895510837</v>
      </c>
      <c r="Y115" s="34">
        <v>1.0748179428614399</v>
      </c>
      <c r="Z115" s="34">
        <v>1.0749157006757599</v>
      </c>
      <c r="AA115" s="34">
        <v>1.07482742903299</v>
      </c>
      <c r="AB115" s="33">
        <v>29.9987599351313</v>
      </c>
      <c r="AC115" s="33">
        <v>30.006467999532799</v>
      </c>
      <c r="AD115" s="33">
        <v>30.001177496597201</v>
      </c>
      <c r="AE115" s="15">
        <v>1.16272157027132E-3</v>
      </c>
      <c r="AF115" s="15">
        <v>1.4196346663186499E-3</v>
      </c>
      <c r="AG115" s="15">
        <v>1.24330703654664E-3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4.206851096326532E-3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3.3369207376346193E-3</v>
      </c>
      <c r="BE115" s="29">
        <f t="shared" si="42"/>
        <v>0</v>
      </c>
      <c r="BF115" s="29">
        <f t="shared" si="43"/>
        <v>7.5437718339611522E-3</v>
      </c>
      <c r="BH115" s="29"/>
    </row>
    <row r="116" spans="1:60" x14ac:dyDescent="0.25">
      <c r="A116" s="1">
        <v>46190</v>
      </c>
      <c r="B116" s="33">
        <v>27.1</v>
      </c>
      <c r="C116" s="33">
        <v>29.09</v>
      </c>
      <c r="D116" s="15">
        <v>-2.5796955526012199E-3</v>
      </c>
      <c r="E116" s="15">
        <v>-3.08907058752936E-3</v>
      </c>
      <c r="F116" s="33">
        <v>0</v>
      </c>
      <c r="G116" s="33">
        <v>0.74055000000000004</v>
      </c>
      <c r="H116" s="33">
        <v>0</v>
      </c>
      <c r="I116" s="33">
        <v>0.78389999999999904</v>
      </c>
      <c r="J116" s="33">
        <v>0.74055000000000004</v>
      </c>
      <c r="K116" s="33">
        <v>0.78389999999999904</v>
      </c>
      <c r="L116" s="33">
        <v>27.84055</v>
      </c>
      <c r="M116" s="33">
        <v>29.873899999999999</v>
      </c>
      <c r="N116" s="34">
        <v>1.0734317343173401</v>
      </c>
      <c r="O116" s="34">
        <v>1.0748269802361801</v>
      </c>
      <c r="P116" s="34">
        <v>1.07510966085934</v>
      </c>
      <c r="Q116" s="34">
        <v>1.0750676932012599</v>
      </c>
      <c r="R116" s="33">
        <v>29.127811164400601</v>
      </c>
      <c r="S116" s="33">
        <v>29.142383595796701</v>
      </c>
      <c r="T116" s="33">
        <v>29.137232540374601</v>
      </c>
      <c r="U116" s="15">
        <v>1.2989553870522399E-3</v>
      </c>
      <c r="V116" s="15">
        <v>1.79912298593574E-3</v>
      </c>
      <c r="W116" s="15">
        <v>1.6223525891142E-3</v>
      </c>
      <c r="X116" s="34">
        <v>1.07303555425449</v>
      </c>
      <c r="Y116" s="34">
        <v>1.0748179428614399</v>
      </c>
      <c r="Z116" s="34">
        <v>1.0746676382581299</v>
      </c>
      <c r="AA116" s="34">
        <v>1.0747112556684</v>
      </c>
      <c r="AB116" s="33">
        <v>29.923522679131001</v>
      </c>
      <c r="AC116" s="33">
        <v>29.926244310448599</v>
      </c>
      <c r="AD116" s="33">
        <v>29.923786779364601</v>
      </c>
      <c r="AE116" s="15">
        <v>1.6596932877246801E-3</v>
      </c>
      <c r="AF116" s="15">
        <v>1.75064205682833E-3</v>
      </c>
      <c r="AG116" s="15">
        <v>1.66851908911779E-3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4.206851096326532E-3</v>
      </c>
      <c r="AT116" s="12"/>
      <c r="AU116">
        <f t="shared" si="30"/>
        <v>0</v>
      </c>
      <c r="AV116">
        <f t="shared" si="31"/>
        <v>0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3.3369207376346193E-3</v>
      </c>
      <c r="BE116" s="29">
        <f t="shared" si="42"/>
        <v>0</v>
      </c>
      <c r="BF116" s="29">
        <f t="shared" si="43"/>
        <v>7.5437718339611522E-3</v>
      </c>
      <c r="BH116" s="29"/>
    </row>
    <row r="117" spans="1:60" x14ac:dyDescent="0.25">
      <c r="A117" s="1">
        <v>46191</v>
      </c>
      <c r="B117" s="33">
        <v>27.19</v>
      </c>
      <c r="C117" s="33">
        <v>29.18</v>
      </c>
      <c r="D117" s="15">
        <v>3.3155307587241899E-3</v>
      </c>
      <c r="E117" s="15">
        <v>3.0890705875293301E-3</v>
      </c>
      <c r="F117" s="33">
        <v>0</v>
      </c>
      <c r="G117" s="33">
        <v>0.74055000000000004</v>
      </c>
      <c r="H117" s="33">
        <v>0</v>
      </c>
      <c r="I117" s="33">
        <v>0.78389999999999904</v>
      </c>
      <c r="J117" s="33">
        <v>0.74055000000000004</v>
      </c>
      <c r="K117" s="33">
        <v>0.78389999999999904</v>
      </c>
      <c r="L117" s="33">
        <v>27.93055</v>
      </c>
      <c r="M117" s="33">
        <v>29.963899999999999</v>
      </c>
      <c r="N117" s="34">
        <v>1.07318867230599</v>
      </c>
      <c r="O117" s="34">
        <v>1.0748269802361801</v>
      </c>
      <c r="P117" s="34">
        <v>1.07480736641772</v>
      </c>
      <c r="Q117" s="34">
        <v>1.07503236261307</v>
      </c>
      <c r="R117" s="33">
        <v>29.224545592621901</v>
      </c>
      <c r="S117" s="33">
        <v>29.232231678765501</v>
      </c>
      <c r="T117" s="33">
        <v>29.2310905781424</v>
      </c>
      <c r="U117" s="15">
        <v>1.52541555824721E-3</v>
      </c>
      <c r="V117" s="15">
        <v>1.7883820284037601E-3</v>
      </c>
      <c r="W117" s="15">
        <v>1.7493455665963599E-3</v>
      </c>
      <c r="X117" s="34">
        <v>1.0728002133864101</v>
      </c>
      <c r="Y117" s="34">
        <v>1.0748179428614399</v>
      </c>
      <c r="Z117" s="34">
        <v>1.07437362883396</v>
      </c>
      <c r="AA117" s="34">
        <v>1.0746652000360499</v>
      </c>
      <c r="AB117" s="33">
        <v>30.020256293988599</v>
      </c>
      <c r="AC117" s="33">
        <v>30.0160582037506</v>
      </c>
      <c r="AD117" s="33">
        <v>30.0172764620091</v>
      </c>
      <c r="AE117" s="15">
        <v>1.8790398682698799E-3</v>
      </c>
      <c r="AF117" s="15">
        <v>1.7391881708470999E-3</v>
      </c>
      <c r="AG117" s="15">
        <v>1.7797742307551099E-3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4.206851096326532E-3</v>
      </c>
      <c r="AT117" s="12"/>
      <c r="AU117">
        <f t="shared" si="30"/>
        <v>0</v>
      </c>
      <c r="AV117">
        <f t="shared" si="31"/>
        <v>0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3.3369207376346193E-3</v>
      </c>
      <c r="BE117" s="29">
        <f t="shared" si="42"/>
        <v>0</v>
      </c>
      <c r="BF117" s="29">
        <f t="shared" si="43"/>
        <v>7.5437718339611522E-3</v>
      </c>
      <c r="BH117" s="29"/>
    </row>
    <row r="118" spans="1:60" x14ac:dyDescent="0.25">
      <c r="A118" s="1">
        <v>46195</v>
      </c>
      <c r="B118" s="33">
        <v>27.16</v>
      </c>
      <c r="C118" s="33">
        <v>29.17</v>
      </c>
      <c r="D118" s="15">
        <v>-1.1039559538840299E-3</v>
      </c>
      <c r="E118" s="15">
        <v>-3.4275921500944199E-4</v>
      </c>
      <c r="F118" s="33">
        <v>0</v>
      </c>
      <c r="G118" s="33">
        <v>0.74055000000000004</v>
      </c>
      <c r="H118" s="33">
        <v>0</v>
      </c>
      <c r="I118" s="33">
        <v>0.78389999999999904</v>
      </c>
      <c r="J118" s="33">
        <v>0.74055000000000004</v>
      </c>
      <c r="K118" s="33">
        <v>0.78389999999999904</v>
      </c>
      <c r="L118" s="33">
        <v>27.900549999999999</v>
      </c>
      <c r="M118" s="33">
        <v>29.953900000000001</v>
      </c>
      <c r="N118" s="34">
        <v>1.0740058910162</v>
      </c>
      <c r="O118" s="34">
        <v>1.0748269802361801</v>
      </c>
      <c r="P118" s="34">
        <v>1.07458430360413</v>
      </c>
      <c r="Q118" s="34">
        <v>1.0749891434500201</v>
      </c>
      <c r="R118" s="33">
        <v>29.192300783214801</v>
      </c>
      <c r="S118" s="33">
        <v>29.1917680719054</v>
      </c>
      <c r="T118" s="33">
        <v>29.1978789685711</v>
      </c>
      <c r="U118" s="15">
        <v>7.6421881937267398E-4</v>
      </c>
      <c r="V118" s="15">
        <v>7.4597030330098805E-4</v>
      </c>
      <c r="W118" s="15">
        <v>9.5528469370308601E-4</v>
      </c>
      <c r="X118" s="34">
        <v>1.07359532338968</v>
      </c>
      <c r="Y118" s="34">
        <v>1.0748179428614399</v>
      </c>
      <c r="Z118" s="34">
        <v>1.07415694571577</v>
      </c>
      <c r="AA118" s="34">
        <v>1.0746111804239999</v>
      </c>
      <c r="AB118" s="33">
        <v>29.988011755702701</v>
      </c>
      <c r="AC118" s="33">
        <v>29.975615149963598</v>
      </c>
      <c r="AD118" s="33">
        <v>29.983750146866001</v>
      </c>
      <c r="AE118" s="15">
        <v>1.13816054196526E-3</v>
      </c>
      <c r="AF118" s="15">
        <v>7.2468969120243398E-4</v>
      </c>
      <c r="AG118" s="15">
        <v>9.9604002695224806E-4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4.206851096326532E-3</v>
      </c>
      <c r="AT118" s="12"/>
      <c r="AU118">
        <f t="shared" si="30"/>
        <v>0</v>
      </c>
      <c r="AV118">
        <f t="shared" si="31"/>
        <v>0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3.3369207376346193E-3</v>
      </c>
      <c r="BE118" s="29">
        <f t="shared" si="42"/>
        <v>0</v>
      </c>
      <c r="BF118" s="29">
        <f t="shared" si="43"/>
        <v>7.5437718339611522E-3</v>
      </c>
      <c r="BH118" s="29"/>
    </row>
    <row r="119" spans="1:60" x14ac:dyDescent="0.25">
      <c r="A119" s="1">
        <v>46196</v>
      </c>
      <c r="B119" s="33">
        <v>27.16</v>
      </c>
      <c r="C119" s="33">
        <v>29.15</v>
      </c>
      <c r="D119" s="15">
        <v>0</v>
      </c>
      <c r="E119" s="15">
        <v>-6.8587108312881005E-4</v>
      </c>
      <c r="F119" s="33">
        <v>0</v>
      </c>
      <c r="G119" s="33">
        <v>0.74055000000000004</v>
      </c>
      <c r="H119" s="33">
        <v>0</v>
      </c>
      <c r="I119" s="33">
        <v>0.78389999999999904</v>
      </c>
      <c r="J119" s="33">
        <v>0.74055000000000004</v>
      </c>
      <c r="K119" s="33">
        <v>0.78389999999999904</v>
      </c>
      <c r="L119" s="33">
        <v>27.900549999999999</v>
      </c>
      <c r="M119" s="33">
        <v>29.933899999999898</v>
      </c>
      <c r="N119" s="34">
        <v>1.0732695139911601</v>
      </c>
      <c r="O119" s="34">
        <v>1.0748269802361801</v>
      </c>
      <c r="P119" s="34">
        <v>1.0743304300311201</v>
      </c>
      <c r="Q119" s="34">
        <v>1.07493315208814</v>
      </c>
      <c r="R119" s="33">
        <v>29.192300783214801</v>
      </c>
      <c r="S119" s="33">
        <v>29.185709685888298</v>
      </c>
      <c r="T119" s="33">
        <v>29.196705136102601</v>
      </c>
      <c r="U119" s="15">
        <v>1.4500899025014101E-3</v>
      </c>
      <c r="V119" s="15">
        <v>1.22428236635743E-3</v>
      </c>
      <c r="W119" s="15">
        <v>1.6009523063680001E-3</v>
      </c>
      <c r="X119" s="34">
        <v>1.0728784916426299</v>
      </c>
      <c r="Y119" s="34">
        <v>1.0748179428614399</v>
      </c>
      <c r="Z119" s="34">
        <v>1.0739102250432599</v>
      </c>
      <c r="AA119" s="34">
        <v>1.07454483666847</v>
      </c>
      <c r="AB119" s="33">
        <v>29.988011755702701</v>
      </c>
      <c r="AC119" s="33">
        <v>29.9695695717901</v>
      </c>
      <c r="AD119" s="33">
        <v>29.982242969978799</v>
      </c>
      <c r="AE119" s="15">
        <v>1.80607623576344E-3</v>
      </c>
      <c r="AF119" s="15">
        <v>1.19090183793557E-3</v>
      </c>
      <c r="AG119" s="15">
        <v>1.61368800036061E-3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4.206851096326532E-3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3.3369207376346193E-3</v>
      </c>
      <c r="BE119" s="29">
        <f t="shared" si="42"/>
        <v>0</v>
      </c>
      <c r="BF119" s="29">
        <f t="shared" si="43"/>
        <v>7.5437718339611522E-3</v>
      </c>
      <c r="BH119" s="29"/>
    </row>
    <row r="120" spans="1:60" x14ac:dyDescent="0.25">
      <c r="A120" s="1">
        <v>46197</v>
      </c>
      <c r="B120" s="33">
        <v>27.18</v>
      </c>
      <c r="C120" s="33">
        <v>29.19</v>
      </c>
      <c r="D120" s="15">
        <v>7.3610603250227197E-4</v>
      </c>
      <c r="E120" s="15">
        <v>1.3712720695222E-3</v>
      </c>
      <c r="F120" s="33">
        <v>0</v>
      </c>
      <c r="G120" s="33">
        <v>0.74055000000000004</v>
      </c>
      <c r="H120" s="33">
        <v>0</v>
      </c>
      <c r="I120" s="33">
        <v>0.78389999999999904</v>
      </c>
      <c r="J120" s="33">
        <v>0.74055000000000004</v>
      </c>
      <c r="K120" s="33">
        <v>0.78389999999999904</v>
      </c>
      <c r="L120" s="33">
        <v>27.920549999999999</v>
      </c>
      <c r="M120" s="33">
        <v>29.9739</v>
      </c>
      <c r="N120" s="34">
        <v>1.0739514348785799</v>
      </c>
      <c r="O120" s="34">
        <v>1.0748269802361801</v>
      </c>
      <c r="P120" s="34">
        <v>1.07419869179855</v>
      </c>
      <c r="Q120" s="34">
        <v>1.07484284504419</v>
      </c>
      <c r="R120" s="33">
        <v>29.213797322819499</v>
      </c>
      <c r="S120" s="33">
        <v>29.200301088245901</v>
      </c>
      <c r="T120" s="33">
        <v>29.216683073755799</v>
      </c>
      <c r="U120" s="15">
        <v>8.14923865481585E-4</v>
      </c>
      <c r="V120" s="15">
        <v>3.5283559635131497E-4</v>
      </c>
      <c r="W120" s="15">
        <v>9.1369939903985804E-4</v>
      </c>
      <c r="X120" s="34">
        <v>1.07354260571514</v>
      </c>
      <c r="Y120" s="34">
        <v>1.0748179428614399</v>
      </c>
      <c r="Z120" s="34">
        <v>1.07378231727095</v>
      </c>
      <c r="AA120" s="34">
        <v>1.07444473694701</v>
      </c>
      <c r="AB120" s="33">
        <v>30.0095081145599</v>
      </c>
      <c r="AC120" s="33">
        <v>29.984164133831801</v>
      </c>
      <c r="AD120" s="33">
        <v>30.001882839443802</v>
      </c>
      <c r="AE120" s="15">
        <v>1.18726560767442E-3</v>
      </c>
      <c r="AF120" s="15">
        <v>3.4237709573859602E-4</v>
      </c>
      <c r="AG120" s="15">
        <v>9.33138015031623E-4</v>
      </c>
      <c r="AI120" s="12"/>
      <c r="AJ120">
        <f t="shared" si="26"/>
        <v>0</v>
      </c>
      <c r="AK120">
        <f t="shared" si="27"/>
        <v>1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4.206851096326532E-3</v>
      </c>
      <c r="AT120" s="12"/>
      <c r="AU120">
        <f t="shared" si="30"/>
        <v>0</v>
      </c>
      <c r="AV120">
        <f t="shared" si="31"/>
        <v>0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3.3369207376346193E-3</v>
      </c>
      <c r="BE120" s="29">
        <f t="shared" si="42"/>
        <v>0</v>
      </c>
      <c r="BF120" s="29">
        <f t="shared" si="43"/>
        <v>7.5437718339611522E-3</v>
      </c>
      <c r="BH120" s="29"/>
    </row>
    <row r="121" spans="1:60" x14ac:dyDescent="0.25">
      <c r="A121" s="1">
        <v>46198</v>
      </c>
      <c r="B121" s="33">
        <v>27.22</v>
      </c>
      <c r="C121" s="33">
        <v>29.24</v>
      </c>
      <c r="D121" s="15">
        <v>1.47058850032222E-3</v>
      </c>
      <c r="E121" s="15">
        <v>1.71145001555416E-3</v>
      </c>
      <c r="F121" s="33">
        <v>0</v>
      </c>
      <c r="G121" s="33">
        <v>0.74055000000000004</v>
      </c>
      <c r="H121" s="33">
        <v>0</v>
      </c>
      <c r="I121" s="33">
        <v>0.78389999999999904</v>
      </c>
      <c r="J121" s="33">
        <v>0.74055000000000004</v>
      </c>
      <c r="K121" s="33">
        <v>0.78389999999999904</v>
      </c>
      <c r="L121" s="33">
        <v>27.960549999999898</v>
      </c>
      <c r="M121" s="33">
        <v>30.023899999999902</v>
      </c>
      <c r="N121" s="34">
        <v>1.07421013960323</v>
      </c>
      <c r="O121" s="34">
        <v>1.0748269802361801</v>
      </c>
      <c r="P121" s="34">
        <v>1.07407043093552</v>
      </c>
      <c r="Q121" s="34">
        <v>1.0747867345945199</v>
      </c>
      <c r="R121" s="33">
        <v>29.256790402029001</v>
      </c>
      <c r="S121" s="33">
        <v>29.239688390756498</v>
      </c>
      <c r="T121" s="33">
        <v>29.257222242103001</v>
      </c>
      <c r="U121" s="15">
        <v>5.7406235024965704E-4</v>
      </c>
      <c r="V121" s="15">
        <v>-1.0657007654918799E-5</v>
      </c>
      <c r="W121" s="15">
        <v>5.8882257791257795E-4</v>
      </c>
      <c r="X121" s="34">
        <v>1.0737950433736101</v>
      </c>
      <c r="Y121" s="34">
        <v>1.0748179428614399</v>
      </c>
      <c r="Z121" s="34">
        <v>1.07365798979896</v>
      </c>
      <c r="AA121" s="34">
        <v>1.0743780583067799</v>
      </c>
      <c r="AB121" s="33">
        <v>30.052500832274401</v>
      </c>
      <c r="AC121" s="33">
        <v>30.0235441711704</v>
      </c>
      <c r="AD121" s="33">
        <v>30.042065789643701</v>
      </c>
      <c r="AE121" s="15">
        <v>9.5214873191442999E-4</v>
      </c>
      <c r="AF121" s="15">
        <v>-1.1851589502996601E-5</v>
      </c>
      <c r="AG121" s="15">
        <v>6.0486133732339398E-4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4.206851096326532E-3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3.3369207376346193E-3</v>
      </c>
      <c r="BE121" s="29">
        <f t="shared" si="42"/>
        <v>0</v>
      </c>
      <c r="BF121" s="29">
        <f t="shared" si="43"/>
        <v>7.5437718339611522E-3</v>
      </c>
      <c r="BH121" s="29"/>
    </row>
    <row r="122" spans="1:60" x14ac:dyDescent="0.25">
      <c r="A122" s="1">
        <v>46199</v>
      </c>
      <c r="B122" s="33">
        <v>27.19</v>
      </c>
      <c r="C122" s="33">
        <v>29.22</v>
      </c>
      <c r="D122" s="15">
        <v>-1.1027385789405199E-3</v>
      </c>
      <c r="E122" s="15">
        <v>-6.8422855902435095E-4</v>
      </c>
      <c r="F122" s="33">
        <v>0</v>
      </c>
      <c r="G122" s="33">
        <v>0.74055000000000004</v>
      </c>
      <c r="H122" s="33">
        <v>0</v>
      </c>
      <c r="I122" s="33">
        <v>0.78389999999999904</v>
      </c>
      <c r="J122" s="33">
        <v>0.74055000000000004</v>
      </c>
      <c r="K122" s="33">
        <v>0.78389999999999904</v>
      </c>
      <c r="L122" s="33">
        <v>27.93055</v>
      </c>
      <c r="M122" s="33">
        <v>30.003899999999899</v>
      </c>
      <c r="N122" s="34">
        <v>1.0746598013975699</v>
      </c>
      <c r="O122" s="34">
        <v>1.0748269802361801</v>
      </c>
      <c r="P122" s="34">
        <v>1.0740401038374601</v>
      </c>
      <c r="Q122" s="34">
        <v>1.07477571876251</v>
      </c>
      <c r="R122" s="33">
        <v>29.224545592621901</v>
      </c>
      <c r="S122" s="33">
        <v>29.203975017136798</v>
      </c>
      <c r="T122" s="33">
        <v>29.223451313624999</v>
      </c>
      <c r="U122" s="15">
        <v>1.5555233033331001E-4</v>
      </c>
      <c r="V122" s="15">
        <v>-5.48575589399874E-4</v>
      </c>
      <c r="W122" s="15">
        <v>1.18107796561914E-4</v>
      </c>
      <c r="X122" s="34">
        <v>1.074232336993</v>
      </c>
      <c r="Y122" s="34">
        <v>1.0748179428614399</v>
      </c>
      <c r="Z122" s="34">
        <v>1.07362863898789</v>
      </c>
      <c r="AA122" s="34">
        <v>1.0743553620439199</v>
      </c>
      <c r="AB122" s="33">
        <v>30.020256293988599</v>
      </c>
      <c r="AC122" s="33">
        <v>29.9878581669794</v>
      </c>
      <c r="AD122" s="33">
        <v>30.0079700764406</v>
      </c>
      <c r="AE122" s="15">
        <v>5.4499039731056203E-4</v>
      </c>
      <c r="AF122" s="15">
        <v>-5.3480124247237497E-4</v>
      </c>
      <c r="AG122" s="15">
        <v>1.3564238013769601E-4</v>
      </c>
      <c r="AI122" s="12"/>
      <c r="AJ122">
        <f t="shared" si="26"/>
        <v>0</v>
      </c>
      <c r="AK122">
        <f t="shared" si="27"/>
        <v>1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4.206851096326532E-3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3.3369207376346193E-3</v>
      </c>
      <c r="BE122" s="29">
        <f t="shared" si="42"/>
        <v>0</v>
      </c>
      <c r="BF122" s="29">
        <f t="shared" si="43"/>
        <v>7.5437718339611522E-3</v>
      </c>
      <c r="BH122" s="29"/>
    </row>
    <row r="123" spans="1:60" x14ac:dyDescent="0.25">
      <c r="A123" s="1">
        <v>46202</v>
      </c>
      <c r="B123" s="33">
        <v>27.23</v>
      </c>
      <c r="C123" s="33">
        <v>29.25</v>
      </c>
      <c r="D123" s="15">
        <v>1.4700480412887401E-3</v>
      </c>
      <c r="E123" s="15">
        <v>1.02616735531217E-3</v>
      </c>
      <c r="F123" s="33">
        <v>0</v>
      </c>
      <c r="G123" s="33">
        <v>0.74055000000000004</v>
      </c>
      <c r="H123" s="33">
        <v>0</v>
      </c>
      <c r="I123" s="33">
        <v>0.78389999999999904</v>
      </c>
      <c r="J123" s="33">
        <v>0.74055000000000004</v>
      </c>
      <c r="K123" s="33">
        <v>0.78389999999999904</v>
      </c>
      <c r="L123" s="33">
        <v>27.970549999999999</v>
      </c>
      <c r="M123" s="33">
        <v>30.033899999999999</v>
      </c>
      <c r="N123" s="34">
        <v>1.0741828865222101</v>
      </c>
      <c r="O123" s="34">
        <v>1.0748269802361801</v>
      </c>
      <c r="P123" s="34">
        <v>1.0739648524380001</v>
      </c>
      <c r="Q123" s="34">
        <v>1.07475324544157</v>
      </c>
      <c r="R123" s="33">
        <v>29.2675386718313</v>
      </c>
      <c r="S123" s="33">
        <v>29.2461120274941</v>
      </c>
      <c r="T123" s="33">
        <v>29.266142821903301</v>
      </c>
      <c r="U123" s="15">
        <v>5.9943301630995297E-4</v>
      </c>
      <c r="V123" s="15">
        <v>-1.3293097188220001E-4</v>
      </c>
      <c r="W123" s="15">
        <v>5.5173911110425902E-4</v>
      </c>
      <c r="X123" s="34">
        <v>1.0737686602515799</v>
      </c>
      <c r="Y123" s="34">
        <v>1.0748179428614399</v>
      </c>
      <c r="Z123" s="34">
        <v>1.0735555983457301</v>
      </c>
      <c r="AA123" s="34">
        <v>1.0743215751531301</v>
      </c>
      <c r="AB123" s="33">
        <v>30.063249011703</v>
      </c>
      <c r="AC123" s="33">
        <v>30.029983528242798</v>
      </c>
      <c r="AD123" s="33">
        <v>30.050310371817599</v>
      </c>
      <c r="AE123" s="15">
        <v>9.7671901309500102E-4</v>
      </c>
      <c r="AF123" s="15">
        <v>-1.3041020768812301E-4</v>
      </c>
      <c r="AG123" s="15">
        <v>5.4624574823157598E-4</v>
      </c>
      <c r="AI123" s="12"/>
      <c r="AJ123">
        <f t="shared" si="26"/>
        <v>0</v>
      </c>
      <c r="AK123">
        <f t="shared" si="27"/>
        <v>1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4.206851096326532E-3</v>
      </c>
      <c r="AT123" s="12"/>
      <c r="AU123">
        <f t="shared" si="30"/>
        <v>0</v>
      </c>
      <c r="AV123">
        <f t="shared" si="31"/>
        <v>0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3.3369207376346193E-3</v>
      </c>
      <c r="BE123" s="29">
        <f t="shared" si="42"/>
        <v>0</v>
      </c>
      <c r="BF123" s="29">
        <f t="shared" si="43"/>
        <v>7.5437718339611522E-3</v>
      </c>
      <c r="BH123" s="29"/>
    </row>
    <row r="124" spans="1:60" x14ac:dyDescent="0.25">
      <c r="A124" s="1">
        <v>46203</v>
      </c>
      <c r="B124" s="33">
        <v>27.24</v>
      </c>
      <c r="C124" s="33">
        <v>29.24</v>
      </c>
      <c r="D124" s="15">
        <v>3.6717459564321602E-4</v>
      </c>
      <c r="E124" s="15">
        <v>-3.41938796287833E-4</v>
      </c>
      <c r="F124" s="33">
        <v>0</v>
      </c>
      <c r="G124" s="33">
        <v>0.74055000000000004</v>
      </c>
      <c r="H124" s="33">
        <v>0</v>
      </c>
      <c r="I124" s="33">
        <v>0.78389999999999904</v>
      </c>
      <c r="J124" s="33">
        <v>0.74055000000000004</v>
      </c>
      <c r="K124" s="33">
        <v>0.78389999999999904</v>
      </c>
      <c r="L124" s="33">
        <v>27.980549999999901</v>
      </c>
      <c r="M124" s="33">
        <v>30.023899999999902</v>
      </c>
      <c r="N124" s="34">
        <v>1.0734214390601999</v>
      </c>
      <c r="O124" s="34">
        <v>1.0748269802361801</v>
      </c>
      <c r="P124" s="34">
        <v>1.07383001660185</v>
      </c>
      <c r="Q124" s="34">
        <v>1.07468911029398</v>
      </c>
      <c r="R124" s="33">
        <v>29.278286941633699</v>
      </c>
      <c r="S124" s="33">
        <v>29.254802580411202</v>
      </c>
      <c r="T124" s="33">
        <v>29.2762784058284</v>
      </c>
      <c r="U124" s="15">
        <v>1.3085464082412501E-3</v>
      </c>
      <c r="V124" s="15">
        <v>5.0611610174827596E-4</v>
      </c>
      <c r="W124" s="15">
        <v>1.23994250710358E-3</v>
      </c>
      <c r="X124" s="34">
        <v>1.07302751375509</v>
      </c>
      <c r="Y124" s="34">
        <v>1.0748179428614399</v>
      </c>
      <c r="Z124" s="34">
        <v>1.0734244697869999</v>
      </c>
      <c r="AA124" s="34">
        <v>1.07425929146409</v>
      </c>
      <c r="AB124" s="33">
        <v>30.0739971911316</v>
      </c>
      <c r="AC124" s="33">
        <v>30.0386760972928</v>
      </c>
      <c r="AD124" s="33">
        <v>30.060108549651101</v>
      </c>
      <c r="AE124" s="15">
        <v>1.6671865431883801E-3</v>
      </c>
      <c r="AF124" s="15">
        <v>4.9202343792259496E-4</v>
      </c>
      <c r="AG124" s="15">
        <v>1.20526425943837E-3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4.206851096326532E-3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3.3369207376346193E-3</v>
      </c>
      <c r="BE124" s="29">
        <f t="shared" si="42"/>
        <v>0</v>
      </c>
      <c r="BF124" s="29">
        <f t="shared" si="43"/>
        <v>7.5437718339611522E-3</v>
      </c>
      <c r="BH124" s="29"/>
    </row>
    <row r="125" spans="1:60" x14ac:dyDescent="0.25">
      <c r="A125" s="1">
        <v>46204</v>
      </c>
      <c r="B125" s="33">
        <v>27.12</v>
      </c>
      <c r="C125" s="33">
        <v>29.11</v>
      </c>
      <c r="D125" s="15">
        <v>-4.4150182091167202E-3</v>
      </c>
      <c r="E125" s="15">
        <v>-4.45587712404586E-3</v>
      </c>
      <c r="F125" s="33">
        <v>0.14105000000000001</v>
      </c>
      <c r="G125" s="33">
        <v>0.88160000000000005</v>
      </c>
      <c r="H125" s="33">
        <v>0.17100000000000001</v>
      </c>
      <c r="I125" s="33">
        <v>0.95489999999999997</v>
      </c>
      <c r="J125" s="33">
        <v>0.88160000000000005</v>
      </c>
      <c r="K125" s="33">
        <v>0.95489999999999997</v>
      </c>
      <c r="L125" s="33">
        <v>28.0016</v>
      </c>
      <c r="M125" s="33">
        <v>30.064899999999898</v>
      </c>
      <c r="N125" s="34">
        <v>1.0733775811209401</v>
      </c>
      <c r="O125" s="34">
        <v>1.0748269802361801</v>
      </c>
      <c r="P125" s="34">
        <v>1.07376990942134</v>
      </c>
      <c r="Q125" s="34">
        <v>1.0745673088766601</v>
      </c>
      <c r="R125" s="33">
        <v>29.149307704005398</v>
      </c>
      <c r="S125" s="33">
        <v>29.1222700502422</v>
      </c>
      <c r="T125" s="33">
        <v>29.145568671172999</v>
      </c>
      <c r="U125" s="15">
        <v>1.3494053231702999E-3</v>
      </c>
      <c r="V125" s="15">
        <v>4.2141755467487601E-4</v>
      </c>
      <c r="W125" s="15">
        <v>1.2211253414627101E-3</v>
      </c>
      <c r="X125" s="34">
        <v>1.07368507513856</v>
      </c>
      <c r="Y125" s="34">
        <v>1.0748179428614399</v>
      </c>
      <c r="Z125" s="34">
        <v>1.0734360817900199</v>
      </c>
      <c r="AA125" s="34">
        <v>1.07417589123289</v>
      </c>
      <c r="AB125" s="33">
        <v>30.0966221088289</v>
      </c>
      <c r="AC125" s="33">
        <v>30.057602633187699</v>
      </c>
      <c r="AD125" s="33">
        <v>30.080978975861001</v>
      </c>
      <c r="AE125" s="15">
        <v>1.05456480011916E-3</v>
      </c>
      <c r="AF125" s="15">
        <v>-2.42749936494404E-4</v>
      </c>
      <c r="AG125" s="15">
        <v>5.3466593282520405E-4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4.206851096326532E-3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3.3369207376346193E-3</v>
      </c>
      <c r="BE125" s="29">
        <f t="shared" si="42"/>
        <v>0</v>
      </c>
      <c r="BF125" s="29">
        <f t="shared" si="43"/>
        <v>7.5437718339611522E-3</v>
      </c>
      <c r="BH125" s="29"/>
    </row>
    <row r="126" spans="1:60" x14ac:dyDescent="0.25">
      <c r="A126" s="1">
        <v>46205</v>
      </c>
      <c r="B126" s="33">
        <v>27.17</v>
      </c>
      <c r="C126" s="33">
        <v>29.16</v>
      </c>
      <c r="D126" s="15">
        <v>1.84196036606167E-3</v>
      </c>
      <c r="E126" s="15">
        <v>1.7161493829254699E-3</v>
      </c>
      <c r="F126" s="33">
        <v>0</v>
      </c>
      <c r="G126" s="33">
        <v>0.88160000000000005</v>
      </c>
      <c r="H126" s="33">
        <v>0</v>
      </c>
      <c r="I126" s="33">
        <v>0.95489999999999997</v>
      </c>
      <c r="J126" s="33">
        <v>0.88160000000000005</v>
      </c>
      <c r="K126" s="33">
        <v>0.95489999999999997</v>
      </c>
      <c r="L126" s="33">
        <v>28.051600000000001</v>
      </c>
      <c r="M126" s="33">
        <v>30.114899999999999</v>
      </c>
      <c r="N126" s="34">
        <v>1.0732425469267499</v>
      </c>
      <c r="O126" s="34">
        <v>1.0748269802361801</v>
      </c>
      <c r="P126" s="34">
        <v>1.07375099068228</v>
      </c>
      <c r="Q126" s="34">
        <v>1.0744303257708101</v>
      </c>
      <c r="R126" s="33">
        <v>29.2030490530172</v>
      </c>
      <c r="S126" s="33">
        <v>29.174328438977899</v>
      </c>
      <c r="T126" s="33">
        <v>29.195993782178899</v>
      </c>
      <c r="U126" s="15">
        <v>1.47521630630635E-3</v>
      </c>
      <c r="V126" s="15">
        <v>4.9125239458694598E-4</v>
      </c>
      <c r="W126" s="15">
        <v>1.2335934806556E-3</v>
      </c>
      <c r="X126" s="34">
        <v>1.0735537366852499</v>
      </c>
      <c r="Y126" s="34">
        <v>1.0748179428614399</v>
      </c>
      <c r="Z126" s="34">
        <v>1.0734879000330899</v>
      </c>
      <c r="AA126" s="34">
        <v>1.07407776914561</v>
      </c>
      <c r="AB126" s="33">
        <v>30.150363005971901</v>
      </c>
      <c r="AC126" s="33">
        <v>30.111599591941001</v>
      </c>
      <c r="AD126" s="33">
        <v>30.1323524305086</v>
      </c>
      <c r="AE126" s="15">
        <v>1.1768972139640701E-3</v>
      </c>
      <c r="AF126" s="15">
        <v>-1.09599863337258E-4</v>
      </c>
      <c r="AG126" s="15">
        <v>5.7936022947916604E-4</v>
      </c>
      <c r="AI126" s="12"/>
      <c r="AJ126">
        <f t="shared" si="26"/>
        <v>0</v>
      </c>
      <c r="AK126">
        <f t="shared" si="27"/>
        <v>1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4.206851096326532E-3</v>
      </c>
      <c r="AT126" s="12"/>
      <c r="AU126">
        <f t="shared" si="30"/>
        <v>0</v>
      </c>
      <c r="AV126">
        <f t="shared" si="31"/>
        <v>0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3.3369207376346193E-3</v>
      </c>
      <c r="BE126" s="29">
        <f t="shared" si="42"/>
        <v>0</v>
      </c>
      <c r="BF126" s="29">
        <f t="shared" si="43"/>
        <v>7.5437718339611522E-3</v>
      </c>
      <c r="BH126" s="29"/>
    </row>
    <row r="127" spans="1:60" x14ac:dyDescent="0.25">
      <c r="A127" s="1">
        <v>46209</v>
      </c>
      <c r="B127" s="33">
        <v>27.21</v>
      </c>
      <c r="C127" s="33">
        <v>29.18</v>
      </c>
      <c r="D127" s="15">
        <v>1.4711293568985199E-3</v>
      </c>
      <c r="E127" s="15">
        <v>6.8563595418216598E-4</v>
      </c>
      <c r="F127" s="33">
        <v>0</v>
      </c>
      <c r="G127" s="33">
        <v>0.88160000000000005</v>
      </c>
      <c r="H127" s="33">
        <v>0</v>
      </c>
      <c r="I127" s="33">
        <v>0.95489999999999997</v>
      </c>
      <c r="J127" s="33">
        <v>0.88160000000000005</v>
      </c>
      <c r="K127" s="33">
        <v>0.95489999999999997</v>
      </c>
      <c r="L127" s="33">
        <v>28.0916</v>
      </c>
      <c r="M127" s="33">
        <v>30.134899999999998</v>
      </c>
      <c r="N127" s="34">
        <v>1.0723998529952199</v>
      </c>
      <c r="O127" s="34">
        <v>1.0748269802361801</v>
      </c>
      <c r="P127" s="34">
        <v>1.07367210875121</v>
      </c>
      <c r="Q127" s="34">
        <v>1.0742397375844599</v>
      </c>
      <c r="R127" s="33">
        <v>29.246042132226599</v>
      </c>
      <c r="S127" s="33">
        <v>29.216764456465</v>
      </c>
      <c r="T127" s="33">
        <v>29.235249164223799</v>
      </c>
      <c r="U127" s="15">
        <v>2.2607097090225898E-3</v>
      </c>
      <c r="V127" s="15">
        <v>1.2591266541708999E-3</v>
      </c>
      <c r="W127" s="15">
        <v>1.8916013023495899E-3</v>
      </c>
      <c r="X127" s="34">
        <v>1.0727370459496699</v>
      </c>
      <c r="Y127" s="34">
        <v>1.0748179428614399</v>
      </c>
      <c r="Z127" s="34">
        <v>1.07348158328942</v>
      </c>
      <c r="AA127" s="34">
        <v>1.07392760606169</v>
      </c>
      <c r="AB127" s="33">
        <v>30.193355723686398</v>
      </c>
      <c r="AC127" s="33">
        <v>30.1559926925698</v>
      </c>
      <c r="AD127" s="33">
        <v>30.172563059730901</v>
      </c>
      <c r="AE127" s="15">
        <v>1.9379224968346599E-3</v>
      </c>
      <c r="AF127" s="15">
        <v>6.9969749951811404E-4</v>
      </c>
      <c r="AG127" s="15">
        <v>1.24903495244571E-3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4.206851096326532E-3</v>
      </c>
      <c r="AT127" s="12"/>
      <c r="AU127">
        <f t="shared" si="30"/>
        <v>0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3.3369207376346193E-3</v>
      </c>
      <c r="BE127" s="29">
        <f t="shared" si="42"/>
        <v>0</v>
      </c>
      <c r="BF127" s="29">
        <f t="shared" si="43"/>
        <v>7.5437718339611522E-3</v>
      </c>
      <c r="BH127" s="29"/>
    </row>
    <row r="128" spans="1:60" x14ac:dyDescent="0.25">
      <c r="A128" s="1">
        <v>46210</v>
      </c>
      <c r="B128" s="33">
        <v>27.15</v>
      </c>
      <c r="C128" s="33">
        <v>29.14</v>
      </c>
      <c r="D128" s="15">
        <v>-2.2075064152105601E-3</v>
      </c>
      <c r="E128" s="15">
        <v>-1.37174232758077E-3</v>
      </c>
      <c r="F128" s="33">
        <v>0</v>
      </c>
      <c r="G128" s="33">
        <v>0.88160000000000005</v>
      </c>
      <c r="H128" s="33">
        <v>0</v>
      </c>
      <c r="I128" s="33">
        <v>0.95489999999999997</v>
      </c>
      <c r="J128" s="33">
        <v>0.88160000000000005</v>
      </c>
      <c r="K128" s="33">
        <v>0.95489999999999997</v>
      </c>
      <c r="L128" s="33">
        <v>28.031599999999901</v>
      </c>
      <c r="M128" s="33">
        <v>30.094899999999999</v>
      </c>
      <c r="N128" s="34">
        <v>1.07329650092081</v>
      </c>
      <c r="O128" s="34">
        <v>1.0748269802361801</v>
      </c>
      <c r="P128" s="34">
        <v>1.0736011697416701</v>
      </c>
      <c r="Q128" s="34">
        <v>1.0740927366729001</v>
      </c>
      <c r="R128" s="33">
        <v>29.181552513412399</v>
      </c>
      <c r="S128" s="33">
        <v>29.1501977525953</v>
      </c>
      <c r="T128" s="33">
        <v>29.1656088754183</v>
      </c>
      <c r="U128" s="15">
        <v>1.42494562139299E-3</v>
      </c>
      <c r="V128" s="15">
        <v>3.4989597196712199E-4</v>
      </c>
      <c r="W128" s="15">
        <v>8.7843614221702702E-4</v>
      </c>
      <c r="X128" s="34">
        <v>1.07360621584212</v>
      </c>
      <c r="Y128" s="34">
        <v>1.0748179428614399</v>
      </c>
      <c r="Z128" s="34">
        <v>1.07348267253466</v>
      </c>
      <c r="AA128" s="34">
        <v>1.07381980912522</v>
      </c>
      <c r="AB128" s="33">
        <v>30.128866647114702</v>
      </c>
      <c r="AC128" s="33">
        <v>30.091406350135799</v>
      </c>
      <c r="AD128" s="33">
        <v>30.103909082078999</v>
      </c>
      <c r="AE128" s="15">
        <v>1.1280148223020399E-3</v>
      </c>
      <c r="AF128" s="15">
        <v>-1.1609450986229099E-4</v>
      </c>
      <c r="AG128" s="15">
        <v>2.9931097587176302E-4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4.206851096326532E-3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3.3369207376346193E-3</v>
      </c>
      <c r="BE128" s="29">
        <f t="shared" si="42"/>
        <v>0</v>
      </c>
      <c r="BF128" s="29">
        <f t="shared" si="43"/>
        <v>7.5437718339611522E-3</v>
      </c>
      <c r="BH128" s="29"/>
    </row>
    <row r="129" spans="1:60" x14ac:dyDescent="0.25">
      <c r="A129" s="1">
        <v>46211</v>
      </c>
      <c r="B129" s="33">
        <v>27.1</v>
      </c>
      <c r="C129" s="33">
        <v>29.05</v>
      </c>
      <c r="D129" s="15">
        <v>-1.8433184942891099E-3</v>
      </c>
      <c r="E129" s="15">
        <v>-3.0933174691385799E-3</v>
      </c>
      <c r="F129" s="33">
        <v>0</v>
      </c>
      <c r="G129" s="33">
        <v>0.88160000000000005</v>
      </c>
      <c r="H129" s="33">
        <v>0</v>
      </c>
      <c r="I129" s="33">
        <v>0.95489999999999997</v>
      </c>
      <c r="J129" s="33">
        <v>0.88160000000000005</v>
      </c>
      <c r="K129" s="33">
        <v>0.95489999999999997</v>
      </c>
      <c r="L129" s="33">
        <v>27.9816</v>
      </c>
      <c r="M129" s="33">
        <v>30.004899999999999</v>
      </c>
      <c r="N129" s="34">
        <v>1.07195571955719</v>
      </c>
      <c r="O129" s="34">
        <v>1.0748269802361801</v>
      </c>
      <c r="P129" s="34">
        <v>1.0734697902982699</v>
      </c>
      <c r="Q129" s="34">
        <v>1.0739001101646899</v>
      </c>
      <c r="R129" s="33">
        <v>29.127811164400601</v>
      </c>
      <c r="S129" s="33">
        <v>29.094591699999199</v>
      </c>
      <c r="T129" s="33">
        <v>29.107913163835601</v>
      </c>
      <c r="U129" s="15">
        <v>2.6749445962422598E-3</v>
      </c>
      <c r="V129" s="15">
        <v>1.5338213731588401E-3</v>
      </c>
      <c r="W129" s="15">
        <v>1.9915839419758401E-3</v>
      </c>
      <c r="X129" s="34">
        <v>1.0723082311233001</v>
      </c>
      <c r="Y129" s="34">
        <v>1.0748179428614399</v>
      </c>
      <c r="Z129" s="34">
        <v>1.0734256464827301</v>
      </c>
      <c r="AA129" s="34">
        <v>1.0736679357629999</v>
      </c>
      <c r="AB129" s="33">
        <v>30.075125749971601</v>
      </c>
      <c r="AC129" s="33">
        <v>30.037762749795998</v>
      </c>
      <c r="AD129" s="33">
        <v>30.047196371018199</v>
      </c>
      <c r="AE129" s="15">
        <v>2.3377414066403702E-3</v>
      </c>
      <c r="AF129" s="15">
        <v>1.0946467585732601E-3</v>
      </c>
      <c r="AG129" s="15">
        <v>1.4086561691721499E-3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4.206851096326532E-3</v>
      </c>
      <c r="AT129" s="12"/>
      <c r="AU129">
        <f t="shared" si="30"/>
        <v>0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3.3369207376346193E-3</v>
      </c>
      <c r="BE129" s="29">
        <f t="shared" si="42"/>
        <v>0</v>
      </c>
      <c r="BF129" s="29">
        <f t="shared" si="43"/>
        <v>7.5437718339611522E-3</v>
      </c>
      <c r="BH129" s="29"/>
    </row>
    <row r="130" spans="1:60" x14ac:dyDescent="0.25">
      <c r="A130" s="1">
        <v>46212</v>
      </c>
      <c r="B130" s="33">
        <v>27.12</v>
      </c>
      <c r="C130" s="33">
        <v>29.09</v>
      </c>
      <c r="D130" s="15">
        <v>7.3773518653959399E-4</v>
      </c>
      <c r="E130" s="15">
        <v>1.3759892091899999E-3</v>
      </c>
      <c r="F130" s="33">
        <v>0</v>
      </c>
      <c r="G130" s="33">
        <v>0.88160000000000005</v>
      </c>
      <c r="H130" s="33">
        <v>0</v>
      </c>
      <c r="I130" s="33">
        <v>0.95489999999999997</v>
      </c>
      <c r="J130" s="33">
        <v>0.88160000000000005</v>
      </c>
      <c r="K130" s="33">
        <v>0.95489999999999997</v>
      </c>
      <c r="L130" s="33">
        <v>28.0016</v>
      </c>
      <c r="M130" s="33">
        <v>30.044899999999998</v>
      </c>
      <c r="N130" s="34">
        <v>1.0726401179941001</v>
      </c>
      <c r="O130" s="34">
        <v>1.0748269802361801</v>
      </c>
      <c r="P130" s="34">
        <v>1.0733386586098199</v>
      </c>
      <c r="Q130" s="34">
        <v>1.07376867520418</v>
      </c>
      <c r="R130" s="33">
        <v>29.149307704005398</v>
      </c>
      <c r="S130" s="33">
        <v>29.112500712889201</v>
      </c>
      <c r="T130" s="33">
        <v>29.124170987666599</v>
      </c>
      <c r="U130" s="15">
        <v>2.0366905735919E-3</v>
      </c>
      <c r="V130" s="15">
        <v>7.7318719074100301E-4</v>
      </c>
      <c r="W130" s="15">
        <v>1.1739750308721699E-3</v>
      </c>
      <c r="X130" s="34">
        <v>1.0729708302382699</v>
      </c>
      <c r="Y130" s="34">
        <v>1.0748179428614399</v>
      </c>
      <c r="Z130" s="34">
        <v>1.07336846893504</v>
      </c>
      <c r="AA130" s="34">
        <v>1.0735753931030001</v>
      </c>
      <c r="AB130" s="33">
        <v>30.0966221088289</v>
      </c>
      <c r="AC130" s="33">
        <v>30.057635582550901</v>
      </c>
      <c r="AD130" s="33">
        <v>30.064420070061299</v>
      </c>
      <c r="AE130" s="15">
        <v>1.72001371986384E-3</v>
      </c>
      <c r="AF130" s="15">
        <v>4.2379518994211898E-4</v>
      </c>
      <c r="AG130" s="15">
        <v>6.4948566128314098E-4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4.206851096326532E-3</v>
      </c>
      <c r="AT130" s="12"/>
      <c r="AU130">
        <f t="shared" si="30"/>
        <v>0</v>
      </c>
      <c r="AV130">
        <f t="shared" si="31"/>
        <v>0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3.3369207376346193E-3</v>
      </c>
      <c r="BE130" s="29">
        <f t="shared" si="42"/>
        <v>0</v>
      </c>
      <c r="BF130" s="29">
        <f t="shared" si="43"/>
        <v>7.5437718339611522E-3</v>
      </c>
      <c r="BH130" s="29"/>
    </row>
    <row r="131" spans="1:60" x14ac:dyDescent="0.25">
      <c r="A131" s="1">
        <v>46213</v>
      </c>
      <c r="B131" s="33">
        <v>27.09</v>
      </c>
      <c r="C131" s="33">
        <v>29.03</v>
      </c>
      <c r="D131" s="15">
        <v>-1.1068069751911001E-3</v>
      </c>
      <c r="E131" s="15">
        <v>-2.0646944705717098E-3</v>
      </c>
      <c r="F131" s="33">
        <v>0</v>
      </c>
      <c r="G131" s="33">
        <v>0.88160000000000005</v>
      </c>
      <c r="H131" s="33">
        <v>0</v>
      </c>
      <c r="I131" s="33">
        <v>0.95489999999999997</v>
      </c>
      <c r="J131" s="33">
        <v>0.88160000000000005</v>
      </c>
      <c r="K131" s="33">
        <v>0.95489999999999997</v>
      </c>
      <c r="L131" s="33">
        <v>27.971599999999999</v>
      </c>
      <c r="M131" s="33">
        <v>29.9849</v>
      </c>
      <c r="N131" s="34">
        <v>1.0716131413805801</v>
      </c>
      <c r="O131" s="34">
        <v>1.0748269802361801</v>
      </c>
      <c r="P131" s="34">
        <v>1.07307895878756</v>
      </c>
      <c r="Q131" s="34">
        <v>1.0735746948615399</v>
      </c>
      <c r="R131" s="33">
        <v>29.117062894598298</v>
      </c>
      <c r="S131" s="33">
        <v>29.0767442617401</v>
      </c>
      <c r="T131" s="33">
        <v>29.088393411281402</v>
      </c>
      <c r="U131" s="15">
        <v>2.9945780689725398E-3</v>
      </c>
      <c r="V131" s="15">
        <v>1.60891037409047E-3</v>
      </c>
      <c r="W131" s="15">
        <v>2.0094647323569701E-3</v>
      </c>
      <c r="X131" s="34">
        <v>1.07197657624161</v>
      </c>
      <c r="Y131" s="34">
        <v>1.0748179428614399</v>
      </c>
      <c r="Z131" s="34">
        <v>1.07318662222184</v>
      </c>
      <c r="AA131" s="34">
        <v>1.0734223060104</v>
      </c>
      <c r="AB131" s="33">
        <v>30.064377570543002</v>
      </c>
      <c r="AC131" s="33">
        <v>30.0238334656636</v>
      </c>
      <c r="AD131" s="33">
        <v>30.029621465719899</v>
      </c>
      <c r="AE131" s="15">
        <v>2.6470798706341898E-3</v>
      </c>
      <c r="AF131" s="15">
        <v>1.29759349607799E-3</v>
      </c>
      <c r="AG131" s="15">
        <v>1.4903550975846199E-3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4.206851096326532E-3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3.3369207376346193E-3</v>
      </c>
      <c r="BE131" s="29">
        <f t="shared" si="42"/>
        <v>0</v>
      </c>
      <c r="BF131" s="29">
        <f t="shared" si="43"/>
        <v>7.5437718339611522E-3</v>
      </c>
      <c r="BH131" s="29"/>
    </row>
    <row r="132" spans="1:60" x14ac:dyDescent="0.25">
      <c r="A132" s="1">
        <v>46216</v>
      </c>
      <c r="B132" s="33">
        <v>27</v>
      </c>
      <c r="C132" s="33">
        <v>28.96</v>
      </c>
      <c r="D132" s="15">
        <v>-3.3277900926746901E-3</v>
      </c>
      <c r="E132" s="15">
        <v>-2.4142105190229301E-3</v>
      </c>
      <c r="F132" s="33">
        <v>0</v>
      </c>
      <c r="G132" s="33">
        <v>0.88160000000000005</v>
      </c>
      <c r="H132" s="33">
        <v>0</v>
      </c>
      <c r="I132" s="33">
        <v>0.95489999999999997</v>
      </c>
      <c r="J132" s="33">
        <v>0.88160000000000005</v>
      </c>
      <c r="K132" s="33">
        <v>0.95489999999999997</v>
      </c>
      <c r="L132" s="33">
        <v>27.881599999999999</v>
      </c>
      <c r="M132" s="33">
        <v>29.914899999999999</v>
      </c>
      <c r="N132" s="34">
        <v>1.0725925925925901</v>
      </c>
      <c r="O132" s="34">
        <v>1.0748269802361801</v>
      </c>
      <c r="P132" s="34">
        <v>1.0728722379070601</v>
      </c>
      <c r="Q132" s="34">
        <v>1.0734561708722601</v>
      </c>
      <c r="R132" s="33">
        <v>29.020328466376998</v>
      </c>
      <c r="S132" s="33">
        <v>28.973131887264099</v>
      </c>
      <c r="T132" s="33">
        <v>28.986516761261601</v>
      </c>
      <c r="U132" s="15">
        <v>2.0809984953207902E-3</v>
      </c>
      <c r="V132" s="15">
        <v>4.5334636886574099E-4</v>
      </c>
      <c r="W132" s="15">
        <v>9.1521508434302501E-4</v>
      </c>
      <c r="X132" s="34">
        <v>1.0729262309193099</v>
      </c>
      <c r="Y132" s="34">
        <v>1.0748179428614399</v>
      </c>
      <c r="Z132" s="34">
        <v>1.0730560116144801</v>
      </c>
      <c r="AA132" s="34">
        <v>1.07334232530118</v>
      </c>
      <c r="AB132" s="33">
        <v>29.967643955685499</v>
      </c>
      <c r="AC132" s="33">
        <v>29.9221601261407</v>
      </c>
      <c r="AD132" s="33">
        <v>29.928731367259701</v>
      </c>
      <c r="AE132" s="15">
        <v>1.76158078267409E-3</v>
      </c>
      <c r="AF132" s="15">
        <v>2.4266319772504299E-4</v>
      </c>
      <c r="AG132" s="15">
        <v>4.62250274257435E-4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4.206851096326532E-3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3.3369207376346193E-3</v>
      </c>
      <c r="BE132" s="29">
        <f t="shared" si="42"/>
        <v>0</v>
      </c>
      <c r="BF132" s="29">
        <f t="shared" si="43"/>
        <v>7.5437718339611522E-3</v>
      </c>
      <c r="BH132" s="29"/>
    </row>
    <row r="133" spans="1:60" x14ac:dyDescent="0.25">
      <c r="A133" s="1">
        <v>46217</v>
      </c>
      <c r="B133" s="33">
        <v>27.07</v>
      </c>
      <c r="C133" s="33">
        <v>29.03</v>
      </c>
      <c r="D133" s="15">
        <v>2.5892376218808401E-3</v>
      </c>
      <c r="E133" s="15">
        <v>2.4142105190228802E-3</v>
      </c>
      <c r="F133" s="33">
        <v>0</v>
      </c>
      <c r="G133" s="33">
        <v>0.88160000000000005</v>
      </c>
      <c r="H133" s="33">
        <v>0</v>
      </c>
      <c r="I133" s="33">
        <v>0.95489999999999997</v>
      </c>
      <c r="J133" s="33">
        <v>0.88160000000000005</v>
      </c>
      <c r="K133" s="33">
        <v>0.95489999999999997</v>
      </c>
      <c r="L133" s="33">
        <v>27.951599999999999</v>
      </c>
      <c r="M133" s="33">
        <v>29.9849</v>
      </c>
      <c r="N133" s="34">
        <v>1.07240487624676</v>
      </c>
      <c r="O133" s="34">
        <v>1.0748269802361801</v>
      </c>
      <c r="P133" s="34">
        <v>1.0726944368795099</v>
      </c>
      <c r="Q133" s="34">
        <v>1.0733296446587599</v>
      </c>
      <c r="R133" s="33">
        <v>29.095566354993501</v>
      </c>
      <c r="S133" s="33">
        <v>29.042651480144102</v>
      </c>
      <c r="T133" s="33">
        <v>29.058458545512099</v>
      </c>
      <c r="U133" s="15">
        <v>2.25602559817859E-3</v>
      </c>
      <c r="V133" s="15">
        <v>4.35712164741547E-4</v>
      </c>
      <c r="W133" s="15">
        <v>9.7983484160615495E-4</v>
      </c>
      <c r="X133" s="34">
        <v>1.0727435996508199</v>
      </c>
      <c r="Y133" s="34">
        <v>1.0748179428614399</v>
      </c>
      <c r="Z133" s="34">
        <v>1.0729535055543999</v>
      </c>
      <c r="AA133" s="34">
        <v>1.07325455195007</v>
      </c>
      <c r="AB133" s="33">
        <v>30.042881211685799</v>
      </c>
      <c r="AC133" s="33">
        <v>29.993632414243301</v>
      </c>
      <c r="AD133" s="33">
        <v>30.001635339888601</v>
      </c>
      <c r="AE133" s="15">
        <v>1.9318131887320299E-3</v>
      </c>
      <c r="AF133" s="15">
        <v>2.91184660695128E-4</v>
      </c>
      <c r="AG133" s="15">
        <v>5.5796989201045797E-4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4.206851096326532E-3</v>
      </c>
      <c r="AT133" s="12"/>
      <c r="AU133">
        <f t="shared" si="30"/>
        <v>0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3.3369207376346193E-3</v>
      </c>
      <c r="BE133" s="29">
        <f t="shared" si="42"/>
        <v>0</v>
      </c>
      <c r="BF133" s="29">
        <f t="shared" si="43"/>
        <v>7.5437718339611522E-3</v>
      </c>
      <c r="BH133" s="29"/>
    </row>
    <row r="134" spans="1:60" x14ac:dyDescent="0.25">
      <c r="A134" s="1">
        <v>46218</v>
      </c>
      <c r="B134" s="33">
        <v>27.14</v>
      </c>
      <c r="C134" s="33">
        <v>29.07</v>
      </c>
      <c r="D134" s="15">
        <v>2.5825507805133101E-3</v>
      </c>
      <c r="E134" s="15">
        <v>1.3769365342459099E-3</v>
      </c>
      <c r="F134" s="33">
        <v>0</v>
      </c>
      <c r="G134" s="33">
        <v>0.88160000000000005</v>
      </c>
      <c r="H134" s="33">
        <v>0</v>
      </c>
      <c r="I134" s="33">
        <v>0.95489999999999997</v>
      </c>
      <c r="J134" s="33">
        <v>0.88160000000000005</v>
      </c>
      <c r="K134" s="33">
        <v>0.95489999999999997</v>
      </c>
      <c r="L134" s="33">
        <v>28.021599999999999</v>
      </c>
      <c r="M134" s="33">
        <v>30.024899999999999</v>
      </c>
      <c r="N134" s="34">
        <v>1.07111274871039</v>
      </c>
      <c r="O134" s="34">
        <v>1.0748269802361801</v>
      </c>
      <c r="P134" s="34">
        <v>1.07246356784453</v>
      </c>
      <c r="Q134" s="34">
        <v>1.0731467922231901</v>
      </c>
      <c r="R134" s="33">
        <v>29.1708042436101</v>
      </c>
      <c r="S134" s="33">
        <v>29.112927016910099</v>
      </c>
      <c r="T134" s="33">
        <v>29.130166556038802</v>
      </c>
      <c r="U134" s="15">
        <v>3.4616398444460399E-3</v>
      </c>
      <c r="V134" s="15">
        <v>1.47558835211604E-3</v>
      </c>
      <c r="W134" s="15">
        <v>2.0675740649132601E-3</v>
      </c>
      <c r="X134" s="34">
        <v>1.07149127815685</v>
      </c>
      <c r="Y134" s="34">
        <v>1.0748179428614399</v>
      </c>
      <c r="Z134" s="34">
        <v>1.0727998819945801</v>
      </c>
      <c r="AA134" s="34">
        <v>1.07311217589079</v>
      </c>
      <c r="AB134" s="33">
        <v>30.118118467686099</v>
      </c>
      <c r="AC134" s="33">
        <v>30.065873951243201</v>
      </c>
      <c r="AD134" s="33">
        <v>30.074309752924101</v>
      </c>
      <c r="AE134" s="15">
        <v>3.0998957055556999E-3</v>
      </c>
      <c r="AF134" s="15">
        <v>1.3637353922828E-3</v>
      </c>
      <c r="AG134" s="15">
        <v>1.64427333601913E-3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4.206851096326532E-3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3.3369207376346193E-3</v>
      </c>
      <c r="BE134" s="29">
        <f t="shared" si="42"/>
        <v>0</v>
      </c>
      <c r="BF134" s="29">
        <f t="shared" si="43"/>
        <v>7.5437718339611522E-3</v>
      </c>
      <c r="BH134" s="29"/>
    </row>
    <row r="135" spans="1:60" x14ac:dyDescent="0.25">
      <c r="A135" s="1">
        <v>46219</v>
      </c>
      <c r="B135" s="33">
        <v>27.12</v>
      </c>
      <c r="C135" s="33">
        <v>29.06</v>
      </c>
      <c r="D135" s="15">
        <v>-7.37191334528207E-4</v>
      </c>
      <c r="E135" s="15">
        <v>-3.4405642864772601E-4</v>
      </c>
      <c r="F135" s="33">
        <v>0</v>
      </c>
      <c r="G135" s="33">
        <v>0.88160000000000005</v>
      </c>
      <c r="H135" s="33">
        <v>0</v>
      </c>
      <c r="I135" s="33">
        <v>0.95489999999999997</v>
      </c>
      <c r="J135" s="33">
        <v>0.88160000000000005</v>
      </c>
      <c r="K135" s="33">
        <v>0.95489999999999997</v>
      </c>
      <c r="L135" s="33">
        <v>28.0016</v>
      </c>
      <c r="M135" s="33">
        <v>30.014899999999901</v>
      </c>
      <c r="N135" s="34">
        <v>1.0715339233038299</v>
      </c>
      <c r="O135" s="34">
        <v>1.0748269802361801</v>
      </c>
      <c r="P135" s="34">
        <v>1.07227920206282</v>
      </c>
      <c r="Q135" s="34">
        <v>1.0730245557420801</v>
      </c>
      <c r="R135" s="33">
        <v>29.149307704005398</v>
      </c>
      <c r="S135" s="33">
        <v>29.085211959943798</v>
      </c>
      <c r="T135" s="33">
        <v>29.103741005092999</v>
      </c>
      <c r="U135" s="15">
        <v>3.0685049385654299E-3</v>
      </c>
      <c r="V135" s="15">
        <v>8.6720679739695503E-4</v>
      </c>
      <c r="W135" s="15">
        <v>1.5040646486331199E-3</v>
      </c>
      <c r="X135" s="34">
        <v>1.07189946288783</v>
      </c>
      <c r="Y135" s="34">
        <v>1.0748179428614399</v>
      </c>
      <c r="Z135" s="34">
        <v>1.0726213207694999</v>
      </c>
      <c r="AA135" s="34">
        <v>1.0730287012797599</v>
      </c>
      <c r="AB135" s="33">
        <v>30.0966221088289</v>
      </c>
      <c r="AC135" s="33">
        <v>30.0401131756594</v>
      </c>
      <c r="AD135" s="33">
        <v>30.048857904423599</v>
      </c>
      <c r="AE135" s="15">
        <v>2.7190181286372399E-3</v>
      </c>
      <c r="AF135" s="15">
        <v>8.3966935673004798E-4</v>
      </c>
      <c r="AG135" s="15">
        <v>1.1307287198285101E-3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4.206851096326532E-3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3.3369207376346193E-3</v>
      </c>
      <c r="BE135" s="29">
        <f t="shared" si="42"/>
        <v>0</v>
      </c>
      <c r="BF135" s="29">
        <f t="shared" si="43"/>
        <v>7.5437718339611522E-3</v>
      </c>
      <c r="BH135" s="29"/>
    </row>
    <row r="136" spans="1:60" x14ac:dyDescent="0.25">
      <c r="A136" s="1">
        <v>46220</v>
      </c>
      <c r="B136" s="33">
        <v>27.12</v>
      </c>
      <c r="C136" s="33">
        <v>29.05</v>
      </c>
      <c r="D136" s="15">
        <v>0</v>
      </c>
      <c r="E136" s="15">
        <v>-3.4417484421652702E-4</v>
      </c>
      <c r="F136" s="33">
        <v>0</v>
      </c>
      <c r="G136" s="33">
        <v>0.88160000000000005</v>
      </c>
      <c r="H136" s="33">
        <v>0</v>
      </c>
      <c r="I136" s="33">
        <v>0.95489999999999997</v>
      </c>
      <c r="J136" s="33">
        <v>0.88160000000000005</v>
      </c>
      <c r="K136" s="33">
        <v>0.95489999999999997</v>
      </c>
      <c r="L136" s="33">
        <v>28.0016</v>
      </c>
      <c r="M136" s="33">
        <v>30.004899999999999</v>
      </c>
      <c r="N136" s="34">
        <v>1.0711651917404099</v>
      </c>
      <c r="O136" s="34">
        <v>1.0748269802361801</v>
      </c>
      <c r="P136" s="34">
        <v>1.0720714665441899</v>
      </c>
      <c r="Q136" s="34">
        <v>1.0729112286132301</v>
      </c>
      <c r="R136" s="33">
        <v>29.149307704005398</v>
      </c>
      <c r="S136" s="33">
        <v>29.080211959943799</v>
      </c>
      <c r="T136" s="33">
        <v>29.100425951725299</v>
      </c>
      <c r="U136" s="15">
        <v>3.4126797827818299E-3</v>
      </c>
      <c r="V136" s="15">
        <v>1.0394581972252199E-3</v>
      </c>
      <c r="W136" s="15">
        <v>1.7343282887349999E-3</v>
      </c>
      <c r="X136" s="34">
        <v>1.07154234043768</v>
      </c>
      <c r="Y136" s="34">
        <v>1.0748179428614399</v>
      </c>
      <c r="Z136" s="34">
        <v>1.07242018114475</v>
      </c>
      <c r="AA136" s="34">
        <v>1.07295404058892</v>
      </c>
      <c r="AB136" s="33">
        <v>30.0966221088289</v>
      </c>
      <c r="AC136" s="33">
        <v>30.035113175659401</v>
      </c>
      <c r="AD136" s="33">
        <v>30.046520481755401</v>
      </c>
      <c r="AE136" s="15">
        <v>3.0522415013419599E-3</v>
      </c>
      <c r="AF136" s="15">
        <v>1.0064347628077599E-3</v>
      </c>
      <c r="AG136" s="15">
        <v>1.38616166231803E-3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4.206851096326532E-3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1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3.3369207376346193E-3</v>
      </c>
      <c r="BE136" s="29">
        <f t="shared" si="42"/>
        <v>0</v>
      </c>
      <c r="BF136" s="29">
        <f t="shared" si="43"/>
        <v>7.5437718339611522E-3</v>
      </c>
      <c r="BH136" s="29"/>
    </row>
    <row r="137" spans="1:60" x14ac:dyDescent="0.25">
      <c r="A137" s="1">
        <v>46223</v>
      </c>
      <c r="B137" s="33">
        <v>27.07</v>
      </c>
      <c r="C137" s="33">
        <v>29.03</v>
      </c>
      <c r="D137" s="15">
        <v>-1.84535944598501E-3</v>
      </c>
      <c r="E137" s="15">
        <v>-6.8870526138169999E-4</v>
      </c>
      <c r="F137" s="33">
        <v>0</v>
      </c>
      <c r="G137" s="33">
        <v>0.88160000000000005</v>
      </c>
      <c r="H137" s="33">
        <v>0</v>
      </c>
      <c r="I137" s="33">
        <v>0.95489999999999997</v>
      </c>
      <c r="J137" s="33">
        <v>0.88160000000000005</v>
      </c>
      <c r="K137" s="33">
        <v>0.95489999999999997</v>
      </c>
      <c r="L137" s="33">
        <v>27.951599999999999</v>
      </c>
      <c r="M137" s="33">
        <v>29.9849</v>
      </c>
      <c r="N137" s="34">
        <v>1.07240487624676</v>
      </c>
      <c r="O137" s="34">
        <v>1.0748269802361801</v>
      </c>
      <c r="P137" s="34">
        <v>1.0720719688693401</v>
      </c>
      <c r="Q137" s="34">
        <v>1.0728720388102699</v>
      </c>
      <c r="R137" s="33">
        <v>29.095566354993501</v>
      </c>
      <c r="S137" s="33">
        <v>29.020974599351199</v>
      </c>
      <c r="T137" s="33">
        <v>29.0437069585603</v>
      </c>
      <c r="U137" s="15">
        <v>2.25602559817859E-3</v>
      </c>
      <c r="V137" s="15">
        <v>-3.1094743141732998E-4</v>
      </c>
      <c r="W137" s="15">
        <v>4.7205386164520798E-4</v>
      </c>
      <c r="X137" s="34">
        <v>1.0727435996508199</v>
      </c>
      <c r="Y137" s="34">
        <v>1.0748179428614399</v>
      </c>
      <c r="Z137" s="34">
        <v>1.07242083651486</v>
      </c>
      <c r="AA137" s="34">
        <v>1.0729512099021401</v>
      </c>
      <c r="AB137" s="33">
        <v>30.042881211685799</v>
      </c>
      <c r="AC137" s="33">
        <v>29.975859935285602</v>
      </c>
      <c r="AD137" s="33">
        <v>29.990782160925399</v>
      </c>
      <c r="AE137" s="15">
        <v>1.9318131887320299E-3</v>
      </c>
      <c r="AF137" s="15">
        <v>-3.01532695470225E-4</v>
      </c>
      <c r="AG137" s="15">
        <v>1.96151531164854E-4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4.206851096326532E-3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3.3369207376346193E-3</v>
      </c>
      <c r="BE137" s="29">
        <f t="shared" si="42"/>
        <v>0</v>
      </c>
      <c r="BF137" s="29">
        <f t="shared" si="43"/>
        <v>7.5437718339611522E-3</v>
      </c>
      <c r="BH137" s="29"/>
    </row>
    <row r="138" spans="1:60" x14ac:dyDescent="0.25">
      <c r="A138" s="1">
        <v>46224</v>
      </c>
      <c r="B138" s="33">
        <v>27.04</v>
      </c>
      <c r="C138" s="33">
        <v>28.99</v>
      </c>
      <c r="D138" s="15">
        <v>-1.1088524514465401E-3</v>
      </c>
      <c r="E138" s="15">
        <v>-1.3788351029744999E-3</v>
      </c>
      <c r="F138" s="33">
        <v>0</v>
      </c>
      <c r="G138" s="33">
        <v>0.88160000000000005</v>
      </c>
      <c r="H138" s="33">
        <v>0</v>
      </c>
      <c r="I138" s="33">
        <v>0.95489999999999997</v>
      </c>
      <c r="J138" s="33">
        <v>0.88160000000000005</v>
      </c>
      <c r="K138" s="33">
        <v>0.95489999999999997</v>
      </c>
      <c r="L138" s="33">
        <v>27.921599999999899</v>
      </c>
      <c r="M138" s="33">
        <v>29.944899999999901</v>
      </c>
      <c r="N138" s="34">
        <v>1.0721153846153799</v>
      </c>
      <c r="O138" s="34">
        <v>1.0748269802361801</v>
      </c>
      <c r="P138" s="34">
        <v>1.0719538572388001</v>
      </c>
      <c r="Q138" s="34">
        <v>1.07277751349023</v>
      </c>
      <c r="R138" s="33">
        <v>29.063321545586501</v>
      </c>
      <c r="S138" s="33">
        <v>28.988826038227099</v>
      </c>
      <c r="T138" s="33">
        <v>29.010459929429899</v>
      </c>
      <c r="U138" s="15">
        <v>2.5260082497066999E-3</v>
      </c>
      <c r="V138" s="15">
        <v>-4.0496224338140898E-5</v>
      </c>
      <c r="W138" s="15">
        <v>7.0550924263224697E-4</v>
      </c>
      <c r="X138" s="34">
        <v>1.0724636124004301</v>
      </c>
      <c r="Y138" s="34">
        <v>1.0748179428614399</v>
      </c>
      <c r="Z138" s="34">
        <v>1.07230657617069</v>
      </c>
      <c r="AA138" s="34">
        <v>1.07289462435268</v>
      </c>
      <c r="AB138" s="33">
        <v>30.010636673399901</v>
      </c>
      <c r="AC138" s="33">
        <v>29.943705628833399</v>
      </c>
      <c r="AD138" s="33">
        <v>29.958514502403698</v>
      </c>
      <c r="AE138" s="15">
        <v>2.1928483469269601E-3</v>
      </c>
      <c r="AF138" s="15">
        <v>-3.9886424275023003E-5</v>
      </c>
      <c r="AG138" s="15">
        <v>4.54548467771093E-4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4.206851096326532E-3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3.3369207376346193E-3</v>
      </c>
      <c r="BE138" s="29">
        <f t="shared" si="42"/>
        <v>0</v>
      </c>
      <c r="BF138" s="29">
        <f t="shared" si="43"/>
        <v>7.5437718339611522E-3</v>
      </c>
      <c r="BH138" s="29"/>
    </row>
    <row r="139" spans="1:60" x14ac:dyDescent="0.25">
      <c r="A139" s="1">
        <v>46225</v>
      </c>
      <c r="B139" s="33">
        <v>26.98</v>
      </c>
      <c r="C139" s="33">
        <v>28.94</v>
      </c>
      <c r="D139" s="15">
        <v>-2.2214003951534999E-3</v>
      </c>
      <c r="E139" s="15">
        <v>-1.7262217302262E-3</v>
      </c>
      <c r="F139" s="33">
        <v>0</v>
      </c>
      <c r="G139" s="33">
        <v>0.88160000000000005</v>
      </c>
      <c r="H139" s="33">
        <v>0</v>
      </c>
      <c r="I139" s="33">
        <v>0.95489999999999997</v>
      </c>
      <c r="J139" s="33">
        <v>0.88160000000000005</v>
      </c>
      <c r="K139" s="33">
        <v>0.95489999999999997</v>
      </c>
      <c r="L139" s="33">
        <v>27.861599999999999</v>
      </c>
      <c r="M139" s="33">
        <v>29.8949</v>
      </c>
      <c r="N139" s="34">
        <v>1.0726464047442501</v>
      </c>
      <c r="O139" s="34">
        <v>1.0748269802361801</v>
      </c>
      <c r="P139" s="34">
        <v>1.0720229257575</v>
      </c>
      <c r="Q139" s="34">
        <v>1.07274635802789</v>
      </c>
      <c r="R139" s="33">
        <v>28.998831926772301</v>
      </c>
      <c r="S139" s="33">
        <v>28.921315068302899</v>
      </c>
      <c r="T139" s="33">
        <v>28.943537313966502</v>
      </c>
      <c r="U139" s="15">
        <v>2.0308295847792398E-3</v>
      </c>
      <c r="V139" s="15">
        <v>-6.4585232204083501E-4</v>
      </c>
      <c r="W139" s="15">
        <v>1.22221762357421E-4</v>
      </c>
      <c r="X139" s="34">
        <v>1.07297857983748</v>
      </c>
      <c r="Y139" s="34">
        <v>1.0748179428614399</v>
      </c>
      <c r="Z139" s="34">
        <v>1.07237361104211</v>
      </c>
      <c r="AA139" s="34">
        <v>1.07289962876242</v>
      </c>
      <c r="AB139" s="33">
        <v>29.9461475968283</v>
      </c>
      <c r="AC139" s="33">
        <v>29.8761769026375</v>
      </c>
      <c r="AD139" s="33">
        <v>29.892560865864699</v>
      </c>
      <c r="AE139" s="15">
        <v>1.7127911831406101E-3</v>
      </c>
      <c r="AF139" s="15">
        <v>-6.2649358000977599E-4</v>
      </c>
      <c r="AG139" s="15">
        <v>-7.8248318379722096E-5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4.206851096326532E-3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3.3369207376346193E-3</v>
      </c>
      <c r="BE139" s="29">
        <f t="shared" si="42"/>
        <v>0</v>
      </c>
      <c r="BF139" s="29">
        <f t="shared" si="43"/>
        <v>7.5437718339611522E-3</v>
      </c>
      <c r="BH139" s="29"/>
    </row>
    <row r="140" spans="1:60" x14ac:dyDescent="0.25">
      <c r="A140" s="1">
        <v>46226</v>
      </c>
      <c r="B140" s="33">
        <v>26.86</v>
      </c>
      <c r="C140" s="33">
        <v>28.82</v>
      </c>
      <c r="D140" s="15">
        <v>-4.4576596845183501E-3</v>
      </c>
      <c r="E140" s="15">
        <v>-4.15513063196185E-3</v>
      </c>
      <c r="F140" s="33">
        <v>0</v>
      </c>
      <c r="G140" s="33">
        <v>0.88160000000000005</v>
      </c>
      <c r="H140" s="33">
        <v>0</v>
      </c>
      <c r="I140" s="33">
        <v>0.95489999999999997</v>
      </c>
      <c r="J140" s="33">
        <v>0.88160000000000005</v>
      </c>
      <c r="K140" s="33">
        <v>0.95489999999999997</v>
      </c>
      <c r="L140" s="33">
        <v>27.741599999999998</v>
      </c>
      <c r="M140" s="33">
        <v>29.774899999999999</v>
      </c>
      <c r="N140" s="34">
        <v>1.07297096053611</v>
      </c>
      <c r="O140" s="34">
        <v>1.0748269802361801</v>
      </c>
      <c r="P140" s="34">
        <v>1.07205601001171</v>
      </c>
      <c r="Q140" s="34">
        <v>1.07269733431076</v>
      </c>
      <c r="R140" s="33">
        <v>28.869852689143901</v>
      </c>
      <c r="S140" s="33">
        <v>28.794535785846598</v>
      </c>
      <c r="T140" s="33">
        <v>28.813967176629099</v>
      </c>
      <c r="U140" s="15">
        <v>1.7283005322228501E-3</v>
      </c>
      <c r="V140" s="15">
        <v>-8.8395108852544599E-4</v>
      </c>
      <c r="W140" s="15">
        <v>-2.0934957936773001E-4</v>
      </c>
      <c r="X140" s="34">
        <v>1.0732942584421901</v>
      </c>
      <c r="Y140" s="34">
        <v>1.0748179428614399</v>
      </c>
      <c r="Z140" s="34">
        <v>1.0724059538624999</v>
      </c>
      <c r="AA140" s="34">
        <v>1.07288721139877</v>
      </c>
      <c r="AB140" s="33">
        <v>29.8171694436849</v>
      </c>
      <c r="AC140" s="33">
        <v>29.749359768085899</v>
      </c>
      <c r="AD140" s="33">
        <v>29.763952341275701</v>
      </c>
      <c r="AE140" s="15">
        <v>1.41862671219471E-3</v>
      </c>
      <c r="AF140" s="15">
        <v>-8.5814535387510201E-4</v>
      </c>
      <c r="AG140" s="15">
        <v>-3.6774840015142598E-4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4.206851096326532E-3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3.3369207376346193E-3</v>
      </c>
      <c r="BE140" s="29">
        <f t="shared" si="42"/>
        <v>0</v>
      </c>
      <c r="BF140" s="29">
        <f t="shared" si="43"/>
        <v>7.5437718339611522E-3</v>
      </c>
      <c r="BH140" s="29"/>
    </row>
    <row r="141" spans="1:60" x14ac:dyDescent="0.25">
      <c r="A141" s="1">
        <v>46227</v>
      </c>
      <c r="B141" s="33">
        <v>26.87</v>
      </c>
      <c r="C141" s="33">
        <v>28.82</v>
      </c>
      <c r="D141" s="15">
        <v>3.7223153230846098E-4</v>
      </c>
      <c r="E141" s="15">
        <v>0</v>
      </c>
      <c r="F141" s="33">
        <v>0</v>
      </c>
      <c r="G141" s="33">
        <v>0.88160000000000005</v>
      </c>
      <c r="H141" s="33">
        <v>0</v>
      </c>
      <c r="I141" s="33">
        <v>0.95489999999999997</v>
      </c>
      <c r="J141" s="33">
        <v>0.88160000000000005</v>
      </c>
      <c r="K141" s="33">
        <v>0.95489999999999997</v>
      </c>
      <c r="L141" s="33">
        <v>27.7516</v>
      </c>
      <c r="M141" s="33">
        <v>29.774899999999999</v>
      </c>
      <c r="N141" s="34">
        <v>1.0725716412355699</v>
      </c>
      <c r="O141" s="34">
        <v>1.0748269802361801</v>
      </c>
      <c r="P141" s="34">
        <v>1.0721518599972</v>
      </c>
      <c r="Q141" s="34">
        <v>1.0726154093923801</v>
      </c>
      <c r="R141" s="33">
        <v>28.8806009589463</v>
      </c>
      <c r="S141" s="33">
        <v>28.806144989014602</v>
      </c>
      <c r="T141" s="33">
        <v>28.823377372930299</v>
      </c>
      <c r="U141" s="15">
        <v>2.1005320645312402E-3</v>
      </c>
      <c r="V141" s="15">
        <v>-4.8085851500056901E-4</v>
      </c>
      <c r="W141" s="15">
        <v>1.17181646465763E-4</v>
      </c>
      <c r="X141" s="34">
        <v>1.0729075080355699</v>
      </c>
      <c r="Y141" s="34">
        <v>1.0748179428614399</v>
      </c>
      <c r="Z141" s="34">
        <v>1.0724990470419</v>
      </c>
      <c r="AA141" s="34">
        <v>1.0728428346318699</v>
      </c>
      <c r="AB141" s="33">
        <v>29.8279176231135</v>
      </c>
      <c r="AC141" s="33">
        <v>29.7609810692107</v>
      </c>
      <c r="AD141" s="33">
        <v>29.774336735854298</v>
      </c>
      <c r="AE141" s="15">
        <v>1.7790312341268101E-3</v>
      </c>
      <c r="AF141" s="15">
        <v>-4.6758125664318702E-4</v>
      </c>
      <c r="AG141" s="15">
        <v>-1.8917594130997E-5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4.206851096326532E-3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3.3369207376346193E-3</v>
      </c>
      <c r="BE141" s="29">
        <f t="shared" si="42"/>
        <v>0</v>
      </c>
      <c r="BF141" s="29">
        <f t="shared" si="43"/>
        <v>7.5437718339611522E-3</v>
      </c>
      <c r="BH141" s="29"/>
    </row>
    <row r="142" spans="1:60" x14ac:dyDescent="0.25">
      <c r="A142" s="1">
        <v>46230</v>
      </c>
      <c r="B142" s="33">
        <v>26.89</v>
      </c>
      <c r="C142" s="33">
        <v>28.89</v>
      </c>
      <c r="D142" s="15">
        <v>7.4404765337333001E-4</v>
      </c>
      <c r="E142" s="15">
        <v>2.4259239067677702E-3</v>
      </c>
      <c r="F142" s="33">
        <v>0</v>
      </c>
      <c r="G142" s="33">
        <v>0.88160000000000005</v>
      </c>
      <c r="H142" s="33">
        <v>0</v>
      </c>
      <c r="I142" s="33">
        <v>0.95489999999999997</v>
      </c>
      <c r="J142" s="33">
        <v>0.88160000000000005</v>
      </c>
      <c r="K142" s="33">
        <v>0.95489999999999997</v>
      </c>
      <c r="L142" s="33">
        <v>27.771599999999999</v>
      </c>
      <c r="M142" s="33">
        <v>29.844899999999999</v>
      </c>
      <c r="N142" s="34">
        <v>1.0743770918557001</v>
      </c>
      <c r="O142" s="34">
        <v>1.0748269802361801</v>
      </c>
      <c r="P142" s="34">
        <v>1.07233030992352</v>
      </c>
      <c r="Q142" s="34">
        <v>1.0726012739152899</v>
      </c>
      <c r="R142" s="33">
        <v>28.902097498551001</v>
      </c>
      <c r="S142" s="33">
        <v>28.830163515324902</v>
      </c>
      <c r="T142" s="33">
        <v>28.8426283585612</v>
      </c>
      <c r="U142" s="15">
        <v>4.1865581113684398E-4</v>
      </c>
      <c r="V142" s="15">
        <v>-2.07333113649538E-3</v>
      </c>
      <c r="W142" s="15">
        <v>-1.6410703415742601E-3</v>
      </c>
      <c r="X142" s="34">
        <v>1.0746554033617</v>
      </c>
      <c r="Y142" s="34">
        <v>1.0748179428614399</v>
      </c>
      <c r="Z142" s="34">
        <v>1.07267196428614</v>
      </c>
      <c r="AA142" s="34">
        <v>1.0728639879503099</v>
      </c>
      <c r="AB142" s="33">
        <v>29.849413981970699</v>
      </c>
      <c r="AC142" s="33">
        <v>29.7850145348289</v>
      </c>
      <c r="AD142" s="33">
        <v>29.7945620662626</v>
      </c>
      <c r="AE142" s="15">
        <v>1.5123658111724399E-4</v>
      </c>
      <c r="AF142" s="15">
        <v>-2.0085718978991298E-3</v>
      </c>
      <c r="AG142" s="15">
        <v>-1.6880751082238301E-3</v>
      </c>
      <c r="AI142" s="12"/>
      <c r="AJ142">
        <f t="shared" si="26"/>
        <v>1</v>
      </c>
      <c r="AK142">
        <f t="shared" si="27"/>
        <v>0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4.206851096326532E-3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3.3369207376346193E-3</v>
      </c>
      <c r="BE142" s="29">
        <f t="shared" si="42"/>
        <v>0</v>
      </c>
      <c r="BF142" s="29">
        <f t="shared" si="43"/>
        <v>7.5437718339611522E-3</v>
      </c>
      <c r="BH142" s="29"/>
    </row>
    <row r="143" spans="1:60" x14ac:dyDescent="0.25">
      <c r="A143" s="1">
        <v>46231</v>
      </c>
      <c r="B143" s="33">
        <v>26.95</v>
      </c>
      <c r="C143" s="33">
        <v>28.92</v>
      </c>
      <c r="D143" s="15">
        <v>2.22882707423283E-3</v>
      </c>
      <c r="E143" s="15">
        <v>1.0378828124200201E-3</v>
      </c>
      <c r="F143" s="33">
        <v>0</v>
      </c>
      <c r="G143" s="33">
        <v>0.88160000000000005</v>
      </c>
      <c r="H143" s="33">
        <v>0</v>
      </c>
      <c r="I143" s="33">
        <v>0.95489999999999997</v>
      </c>
      <c r="J143" s="33">
        <v>0.88160000000000005</v>
      </c>
      <c r="K143" s="33">
        <v>0.95489999999999997</v>
      </c>
      <c r="L143" s="33">
        <v>27.831599999999899</v>
      </c>
      <c r="M143" s="33">
        <v>29.8749</v>
      </c>
      <c r="N143" s="34">
        <v>1.0730983302411801</v>
      </c>
      <c r="O143" s="34">
        <v>1.0748269802361801</v>
      </c>
      <c r="P143" s="34">
        <v>1.07239965532296</v>
      </c>
      <c r="Q143" s="34">
        <v>1.0725470461012401</v>
      </c>
      <c r="R143" s="33">
        <v>28.966587117365201</v>
      </c>
      <c r="S143" s="33">
        <v>28.899301852438899</v>
      </c>
      <c r="T143" s="33">
        <v>28.9066043320171</v>
      </c>
      <c r="U143" s="15">
        <v>1.60960007294959E-3</v>
      </c>
      <c r="V143" s="15">
        <v>-7.1595981902649198E-4</v>
      </c>
      <c r="W143" s="15">
        <v>-4.6330468050952801E-4</v>
      </c>
      <c r="X143" s="34">
        <v>1.0734165480964</v>
      </c>
      <c r="Y143" s="34">
        <v>1.0748179428614399</v>
      </c>
      <c r="Z143" s="34">
        <v>1.0727392591306999</v>
      </c>
      <c r="AA143" s="34">
        <v>1.07284638234255</v>
      </c>
      <c r="AB143" s="33">
        <v>29.913903058542399</v>
      </c>
      <c r="AC143" s="33">
        <v>29.854177041226102</v>
      </c>
      <c r="AD143" s="33">
        <v>29.8595213670378</v>
      </c>
      <c r="AE143" s="15">
        <v>1.30469459430246E-3</v>
      </c>
      <c r="AF143" s="15">
        <v>-6.9389853759230301E-4</v>
      </c>
      <c r="AG143" s="15">
        <v>-5.1490021833115501E-4</v>
      </c>
      <c r="AI143" s="12"/>
      <c r="AJ143">
        <f t="shared" si="26"/>
        <v>0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8">
        <f t="shared" si="28"/>
        <v>2.22882707423283E-3</v>
      </c>
      <c r="AP143" s="28">
        <f t="shared" si="29"/>
        <v>-1.0378828124200201E-3</v>
      </c>
      <c r="AQ143" s="28">
        <f t="shared" si="36"/>
        <v>1.1909442618128099E-3</v>
      </c>
      <c r="AR143" s="29">
        <f t="shared" si="37"/>
        <v>5.3977953581393415E-3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3.3369207376346193E-3</v>
      </c>
      <c r="BE143" s="29">
        <f t="shared" si="42"/>
        <v>1.1909442618128099E-3</v>
      </c>
      <c r="BF143" s="29">
        <f t="shared" si="43"/>
        <v>8.7347160957739617E-3</v>
      </c>
      <c r="BH143" s="29"/>
    </row>
    <row r="144" spans="1:60" x14ac:dyDescent="0.25">
      <c r="A144" s="1">
        <v>46232</v>
      </c>
      <c r="B144" s="33">
        <v>26.86</v>
      </c>
      <c r="C144" s="33">
        <v>28.84</v>
      </c>
      <c r="D144" s="15">
        <v>-3.3451062599146098E-3</v>
      </c>
      <c r="E144" s="15">
        <v>-2.7700848738157098E-3</v>
      </c>
      <c r="F144" s="33">
        <v>0</v>
      </c>
      <c r="G144" s="33">
        <v>0.88160000000000005</v>
      </c>
      <c r="H144" s="33">
        <v>0</v>
      </c>
      <c r="I144" s="33">
        <v>0.95489999999999997</v>
      </c>
      <c r="J144" s="33">
        <v>0.88160000000000005</v>
      </c>
      <c r="K144" s="33">
        <v>0.95489999999999997</v>
      </c>
      <c r="L144" s="33">
        <v>27.741599999999998</v>
      </c>
      <c r="M144" s="33">
        <v>29.794899999999998</v>
      </c>
      <c r="N144" s="34">
        <v>1.07371556217423</v>
      </c>
      <c r="O144" s="34">
        <v>1.0748269802361801</v>
      </c>
      <c r="P144" s="34">
        <v>1.0726599366693399</v>
      </c>
      <c r="Q144" s="34">
        <v>1.0725617522569399</v>
      </c>
      <c r="R144" s="33">
        <v>28.869852689143901</v>
      </c>
      <c r="S144" s="33">
        <v>28.804654741974701</v>
      </c>
      <c r="T144" s="33">
        <v>28.808613658279299</v>
      </c>
      <c r="U144" s="15">
        <v>1.03457868685059E-3</v>
      </c>
      <c r="V144" s="15">
        <v>-1.2263153491997301E-3</v>
      </c>
      <c r="W144" s="15">
        <v>-1.0888846350364399E-3</v>
      </c>
      <c r="X144" s="34">
        <v>1.07401519739308</v>
      </c>
      <c r="Y144" s="34">
        <v>1.0748179428614399</v>
      </c>
      <c r="Z144" s="34">
        <v>1.07299165105432</v>
      </c>
      <c r="AA144" s="34">
        <v>1.0728957665244501</v>
      </c>
      <c r="AB144" s="33">
        <v>29.8171694436849</v>
      </c>
      <c r="AC144" s="33">
        <v>29.7595034311002</v>
      </c>
      <c r="AD144" s="33">
        <v>29.7624752003941</v>
      </c>
      <c r="AE144" s="15">
        <v>7.4714550018861996E-4</v>
      </c>
      <c r="AF144" s="15">
        <v>-1.18871388272028E-3</v>
      </c>
      <c r="AG144" s="15">
        <v>-1.08885936293737E-3</v>
      </c>
      <c r="AI144" s="12"/>
      <c r="AJ144">
        <f t="shared" si="26"/>
        <v>0</v>
      </c>
      <c r="AK144">
        <f t="shared" si="27"/>
        <v>0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-3.3451062599146098E-3</v>
      </c>
      <c r="AP144" s="28">
        <f t="shared" si="29"/>
        <v>2.7700848738157098E-3</v>
      </c>
      <c r="AQ144" s="28">
        <f t="shared" si="36"/>
        <v>-5.7502138609890003E-4</v>
      </c>
      <c r="AR144" s="29">
        <f t="shared" si="37"/>
        <v>4.8227739720404419E-3</v>
      </c>
      <c r="AT144" s="12"/>
      <c r="AU144">
        <f t="shared" si="30"/>
        <v>0</v>
      </c>
      <c r="AV144">
        <f t="shared" si="31"/>
        <v>1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3.3369207376346193E-3</v>
      </c>
      <c r="BE144" s="29">
        <f t="shared" si="42"/>
        <v>-5.7502138609890003E-4</v>
      </c>
      <c r="BF144" s="29">
        <f t="shared" si="43"/>
        <v>8.1596947096750621E-3</v>
      </c>
      <c r="BH144" s="29"/>
    </row>
    <row r="145" spans="1:60" x14ac:dyDescent="0.25">
      <c r="A145" s="1">
        <v>46233</v>
      </c>
      <c r="B145" s="33">
        <v>26.95</v>
      </c>
      <c r="C145" s="33">
        <v>28.93</v>
      </c>
      <c r="D145" s="15">
        <v>3.3451062599146098E-3</v>
      </c>
      <c r="E145" s="15">
        <v>3.1158065712952798E-3</v>
      </c>
      <c r="F145" s="33">
        <v>0</v>
      </c>
      <c r="G145" s="33">
        <v>0.88160000000000005</v>
      </c>
      <c r="H145" s="33">
        <v>0</v>
      </c>
      <c r="I145" s="33">
        <v>0.95489999999999997</v>
      </c>
      <c r="J145" s="33">
        <v>0.88160000000000005</v>
      </c>
      <c r="K145" s="33">
        <v>0.95489999999999997</v>
      </c>
      <c r="L145" s="33">
        <v>27.831599999999899</v>
      </c>
      <c r="M145" s="33">
        <v>29.884899999999998</v>
      </c>
      <c r="N145" s="34">
        <v>1.0734693877551</v>
      </c>
      <c r="O145" s="34">
        <v>1.0748269802361801</v>
      </c>
      <c r="P145" s="34">
        <v>1.07285348311447</v>
      </c>
      <c r="Q145" s="34">
        <v>1.07256634258865</v>
      </c>
      <c r="R145" s="33">
        <v>28.966587117365201</v>
      </c>
      <c r="S145" s="33">
        <v>28.908185293238901</v>
      </c>
      <c r="T145" s="33">
        <v>28.905539223324499</v>
      </c>
      <c r="U145" s="15">
        <v>1.2638783754698099E-3</v>
      </c>
      <c r="V145" s="15">
        <v>-7.5433583141981599E-4</v>
      </c>
      <c r="W145" s="15">
        <v>-8.4587360859324895E-4</v>
      </c>
      <c r="X145" s="34">
        <v>1.0737758519093401</v>
      </c>
      <c r="Y145" s="34">
        <v>1.0748179428614399</v>
      </c>
      <c r="Z145" s="34">
        <v>1.0731792899564701</v>
      </c>
      <c r="AA145" s="34">
        <v>1.07290030536299</v>
      </c>
      <c r="AB145" s="33">
        <v>29.913903058542399</v>
      </c>
      <c r="AC145" s="33">
        <v>29.863074435483501</v>
      </c>
      <c r="AD145" s="33">
        <v>29.860405815601901</v>
      </c>
      <c r="AE145" s="15">
        <v>9.7002144970226398E-4</v>
      </c>
      <c r="AF145" s="15">
        <v>-7.3058762890275799E-4</v>
      </c>
      <c r="AG145" s="15">
        <v>-8.1995348206910696E-4</v>
      </c>
      <c r="AI145" s="12"/>
      <c r="AJ145">
        <f t="shared" si="26"/>
        <v>0</v>
      </c>
      <c r="AK145">
        <f t="shared" si="27"/>
        <v>0</v>
      </c>
      <c r="AL145">
        <f t="shared" si="34"/>
        <v>1</v>
      </c>
      <c r="AM145">
        <f t="shared" si="24"/>
        <v>1</v>
      </c>
      <c r="AN145">
        <f t="shared" si="35"/>
        <v>1</v>
      </c>
      <c r="AO145" s="28">
        <f t="shared" si="28"/>
        <v>3.3451062599146098E-3</v>
      </c>
      <c r="AP145" s="28">
        <f t="shared" si="29"/>
        <v>-3.1158065712952798E-3</v>
      </c>
      <c r="AQ145" s="28">
        <f t="shared" si="36"/>
        <v>2.2929968861933004E-4</v>
      </c>
      <c r="AR145" s="29">
        <f t="shared" si="37"/>
        <v>5.0520736606597724E-3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3.3369207376346193E-3</v>
      </c>
      <c r="BE145" s="29">
        <f t="shared" si="42"/>
        <v>2.2929968861933004E-4</v>
      </c>
      <c r="BF145" s="29">
        <f t="shared" si="43"/>
        <v>8.3889943982943926E-3</v>
      </c>
      <c r="BH145" s="29"/>
    </row>
    <row r="146" spans="1:60" x14ac:dyDescent="0.25">
      <c r="A146" s="1">
        <v>46234</v>
      </c>
      <c r="B146" s="33">
        <v>26.92</v>
      </c>
      <c r="C146" s="33">
        <v>28.92</v>
      </c>
      <c r="D146" s="15">
        <v>-1.11379257847905E-3</v>
      </c>
      <c r="E146" s="15">
        <v>-3.4572169747976199E-4</v>
      </c>
      <c r="F146" s="33">
        <v>0</v>
      </c>
      <c r="G146" s="33">
        <v>0.88160000000000005</v>
      </c>
      <c r="H146" s="33">
        <v>0</v>
      </c>
      <c r="I146" s="33">
        <v>0.95489999999999997</v>
      </c>
      <c r="J146" s="33">
        <v>0.88160000000000005</v>
      </c>
      <c r="K146" s="33">
        <v>0.95489999999999997</v>
      </c>
      <c r="L146" s="33">
        <v>27.801600000000001</v>
      </c>
      <c r="M146" s="33">
        <v>29.8749</v>
      </c>
      <c r="N146" s="34">
        <v>1.0742942050519999</v>
      </c>
      <c r="O146" s="34">
        <v>1.0748269802361801</v>
      </c>
      <c r="P146" s="34">
        <v>1.0731663844456301</v>
      </c>
      <c r="Q146" s="34">
        <v>1.0726189254949099</v>
      </c>
      <c r="R146" s="33">
        <v>28.934342307958101</v>
      </c>
      <c r="S146" s="33">
        <v>28.881215765441599</v>
      </c>
      <c r="T146" s="33">
        <v>28.873485942486401</v>
      </c>
      <c r="U146" s="15">
        <v>4.9580749447047598E-4</v>
      </c>
      <c r="V146" s="15">
        <v>-1.34198701066669E-3</v>
      </c>
      <c r="W146" s="15">
        <v>-1.60966471560723E-3</v>
      </c>
      <c r="X146" s="34">
        <v>1.0745748446132499</v>
      </c>
      <c r="Y146" s="34">
        <v>1.0748179428614399</v>
      </c>
      <c r="Z146" s="34">
        <v>1.07348254037403</v>
      </c>
      <c r="AA146" s="34">
        <v>1.0729513607593899</v>
      </c>
      <c r="AB146" s="33">
        <v>29.8816585202566</v>
      </c>
      <c r="AC146" s="33">
        <v>29.836101347653901</v>
      </c>
      <c r="AD146" s="33">
        <v>29.828345129579699</v>
      </c>
      <c r="AE146" s="15">
        <v>2.2620179116100101E-4</v>
      </c>
      <c r="AF146" s="15">
        <v>-1.2995480541530601E-3</v>
      </c>
      <c r="AG146" s="15">
        <v>-1.55954269336674E-3</v>
      </c>
      <c r="AI146" s="12"/>
      <c r="AJ146">
        <f t="shared" si="26"/>
        <v>1</v>
      </c>
      <c r="AK146">
        <f t="shared" si="27"/>
        <v>0</v>
      </c>
      <c r="AL146">
        <f t="shared" si="34"/>
        <v>1</v>
      </c>
      <c r="AM146">
        <f t="shared" si="24"/>
        <v>0</v>
      </c>
      <c r="AN146">
        <f t="shared" si="35"/>
        <v>1</v>
      </c>
      <c r="AO146" s="28">
        <f t="shared" si="28"/>
        <v>-1.11379257847905E-3</v>
      </c>
      <c r="AP146" s="28">
        <f t="shared" si="29"/>
        <v>3.4572169747976199E-4</v>
      </c>
      <c r="AQ146" s="28">
        <f t="shared" si="36"/>
        <v>-7.6807088099928799E-4</v>
      </c>
      <c r="AR146" s="29">
        <f t="shared" si="37"/>
        <v>4.284002779660484E-3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3.3369207376346193E-3</v>
      </c>
      <c r="BE146" s="29">
        <f t="shared" si="42"/>
        <v>-7.6807088099928799E-4</v>
      </c>
      <c r="BF146" s="29">
        <f t="shared" si="43"/>
        <v>7.6209235172951043E-3</v>
      </c>
      <c r="BH146" s="29"/>
    </row>
    <row r="147" spans="1:60" x14ac:dyDescent="0.25">
      <c r="A147" s="1">
        <v>46237</v>
      </c>
      <c r="B147" s="33">
        <v>26.87</v>
      </c>
      <c r="C147" s="33">
        <v>28.85</v>
      </c>
      <c r="D147" s="15">
        <v>-1.8590821491271899E-3</v>
      </c>
      <c r="E147" s="15">
        <v>-2.4234043364553602E-3</v>
      </c>
      <c r="F147" s="33">
        <v>0.14807000000000001</v>
      </c>
      <c r="G147" s="33">
        <v>1.0296700000000001</v>
      </c>
      <c r="H147" s="33">
        <v>0.16839999999999999</v>
      </c>
      <c r="I147" s="33">
        <v>1.1233</v>
      </c>
      <c r="J147" s="33">
        <v>1.0296700000000001</v>
      </c>
      <c r="K147" s="33">
        <v>1.1233</v>
      </c>
      <c r="L147" s="33">
        <v>27.89967</v>
      </c>
      <c r="M147" s="33">
        <v>29.973299999999998</v>
      </c>
      <c r="N147" s="34">
        <v>1.07368812802381</v>
      </c>
      <c r="O147" s="34">
        <v>1.0748269802361801</v>
      </c>
      <c r="P147" s="34">
        <v>1.0732947096233301</v>
      </c>
      <c r="Q147" s="34">
        <v>1.07268333924634</v>
      </c>
      <c r="R147" s="33">
        <v>28.8806009589463</v>
      </c>
      <c r="S147" s="33">
        <v>28.835980750054102</v>
      </c>
      <c r="T147" s="33">
        <v>28.821270528048299</v>
      </c>
      <c r="U147" s="15">
        <v>1.0601296817986301E-3</v>
      </c>
      <c r="V147" s="15">
        <v>-4.8605397843761198E-4</v>
      </c>
      <c r="W147" s="15">
        <v>-9.9631841175595501E-4</v>
      </c>
      <c r="X147" s="34">
        <v>1.0743245350213799</v>
      </c>
      <c r="Y147" s="34">
        <v>1.0748179428614399</v>
      </c>
      <c r="Z147" s="34">
        <v>1.07364063391108</v>
      </c>
      <c r="AA147" s="34">
        <v>1.07303073521297</v>
      </c>
      <c r="AB147" s="33">
        <v>29.987065915913</v>
      </c>
      <c r="AC147" s="33">
        <v>29.9498086271971</v>
      </c>
      <c r="AD147" s="33">
        <v>29.9349888912379</v>
      </c>
      <c r="AE147" s="15">
        <v>4.5916718300923398E-4</v>
      </c>
      <c r="AF147" s="15">
        <v>-7.8405057896489599E-4</v>
      </c>
      <c r="AG147" s="15">
        <v>-1.2789920958714499E-3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4.284002779660484E-3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3.3369207376346193E-3</v>
      </c>
      <c r="BE147" s="29">
        <f t="shared" si="42"/>
        <v>0</v>
      </c>
      <c r="BF147" s="29">
        <f t="shared" si="43"/>
        <v>7.6209235172951043E-3</v>
      </c>
      <c r="BH147" s="29"/>
    </row>
    <row r="148" spans="1:60" x14ac:dyDescent="0.25">
      <c r="A148" s="1">
        <v>46238</v>
      </c>
      <c r="B148" s="33">
        <v>26.98</v>
      </c>
      <c r="C148" s="33">
        <v>28.97</v>
      </c>
      <c r="D148" s="15">
        <v>4.08542815220989E-3</v>
      </c>
      <c r="E148" s="15">
        <v>4.1508188271502898E-3</v>
      </c>
      <c r="F148" s="33">
        <v>0</v>
      </c>
      <c r="G148" s="33">
        <v>1.0296700000000001</v>
      </c>
      <c r="H148" s="33">
        <v>0</v>
      </c>
      <c r="I148" s="33">
        <v>1.1233</v>
      </c>
      <c r="J148" s="33">
        <v>1.0296700000000001</v>
      </c>
      <c r="K148" s="33">
        <v>1.1233</v>
      </c>
      <c r="L148" s="33">
        <v>28.00967</v>
      </c>
      <c r="M148" s="33">
        <v>30.093299999999999</v>
      </c>
      <c r="N148" s="34">
        <v>1.07375833951074</v>
      </c>
      <c r="O148" s="34">
        <v>1.0748269802361801</v>
      </c>
      <c r="P148" s="34">
        <v>1.0734590051128701</v>
      </c>
      <c r="Q148" s="34">
        <v>1.0727064311758301</v>
      </c>
      <c r="R148" s="33">
        <v>28.998831926772301</v>
      </c>
      <c r="S148" s="33">
        <v>28.9574912656376</v>
      </c>
      <c r="T148" s="33">
        <v>28.940996492866301</v>
      </c>
      <c r="U148" s="15">
        <v>9.9473900685818494E-4</v>
      </c>
      <c r="V148" s="15">
        <v>-4.31875583887274E-4</v>
      </c>
      <c r="W148" s="15">
        <v>-1.0016581069276101E-3</v>
      </c>
      <c r="X148" s="34">
        <v>1.0743896661403001</v>
      </c>
      <c r="Y148" s="34">
        <v>1.0748179428614399</v>
      </c>
      <c r="Z148" s="34">
        <v>1.07383323928507</v>
      </c>
      <c r="AA148" s="34">
        <v>1.07306990772788</v>
      </c>
      <c r="AB148" s="33">
        <v>30.105295889627801</v>
      </c>
      <c r="AC148" s="33">
        <v>30.072319854440298</v>
      </c>
      <c r="AD148" s="33">
        <v>30.055236793172799</v>
      </c>
      <c r="AE148" s="15">
        <v>3.9854384007846898E-4</v>
      </c>
      <c r="AF148" s="15">
        <v>-6.9741312266949698E-4</v>
      </c>
      <c r="AG148" s="15">
        <v>-1.2656404939320001E-3</v>
      </c>
      <c r="AI148" s="12"/>
      <c r="AJ148">
        <f t="shared" si="26"/>
        <v>0</v>
      </c>
      <c r="AK148">
        <f t="shared" si="27"/>
        <v>0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4.284002779660484E-3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3.3369207376346193E-3</v>
      </c>
      <c r="BE148" s="29">
        <f t="shared" si="42"/>
        <v>0</v>
      </c>
      <c r="BF148" s="29">
        <f t="shared" si="43"/>
        <v>7.6209235172951043E-3</v>
      </c>
      <c r="BH148" s="29"/>
    </row>
    <row r="149" spans="1:60" x14ac:dyDescent="0.25">
      <c r="A149" s="1">
        <v>46239</v>
      </c>
      <c r="B149" s="33">
        <v>26.98</v>
      </c>
      <c r="C149" s="33">
        <v>28.97</v>
      </c>
      <c r="D149" s="15">
        <v>0</v>
      </c>
      <c r="E149" s="15">
        <v>0</v>
      </c>
      <c r="F149" s="33">
        <v>0</v>
      </c>
      <c r="G149" s="33">
        <v>1.0296700000000001</v>
      </c>
      <c r="H149" s="33">
        <v>0</v>
      </c>
      <c r="I149" s="33">
        <v>1.1233</v>
      </c>
      <c r="J149" s="33">
        <v>1.0296700000000001</v>
      </c>
      <c r="K149" s="33">
        <v>1.1233</v>
      </c>
      <c r="L149" s="33">
        <v>28.00967</v>
      </c>
      <c r="M149" s="33">
        <v>30.093299999999999</v>
      </c>
      <c r="N149" s="34">
        <v>1.07375833951074</v>
      </c>
      <c r="O149" s="34">
        <v>1.0748269802361801</v>
      </c>
      <c r="P149" s="34">
        <v>1.0735701985895201</v>
      </c>
      <c r="Q149" s="34">
        <v>1.07279656217351</v>
      </c>
      <c r="R149" s="33">
        <v>28.998831926772301</v>
      </c>
      <c r="S149" s="33">
        <v>28.961923957945299</v>
      </c>
      <c r="T149" s="33">
        <v>28.941619513124099</v>
      </c>
      <c r="U149" s="15">
        <v>9.9473900685818494E-4</v>
      </c>
      <c r="V149" s="15">
        <v>-2.78811458524946E-4</v>
      </c>
      <c r="W149" s="15">
        <v>-9.8013108203329593E-4</v>
      </c>
      <c r="X149" s="34">
        <v>1.0743896661403001</v>
      </c>
      <c r="Y149" s="34">
        <v>1.0748179428614399</v>
      </c>
      <c r="Z149" s="34">
        <v>1.0739743479153501</v>
      </c>
      <c r="AA149" s="34">
        <v>1.0731739794787301</v>
      </c>
      <c r="AB149" s="33">
        <v>30.105295889627801</v>
      </c>
      <c r="AC149" s="33">
        <v>30.0777146674059</v>
      </c>
      <c r="AD149" s="33">
        <v>30.0563340023885</v>
      </c>
      <c r="AE149" s="15">
        <v>3.9854384007846898E-4</v>
      </c>
      <c r="AF149" s="15">
        <v>-5.1803457291681296E-4</v>
      </c>
      <c r="AG149" s="15">
        <v>-1.2291347363459801E-3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4.284002779660484E-3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3.3369207376346193E-3</v>
      </c>
      <c r="BE149" s="29">
        <f t="shared" si="42"/>
        <v>0</v>
      </c>
      <c r="BF149" s="29">
        <f t="shared" si="43"/>
        <v>7.6209235172951043E-3</v>
      </c>
      <c r="BH149" s="29"/>
    </row>
    <row r="150" spans="1:60" x14ac:dyDescent="0.25">
      <c r="A150" s="1">
        <v>46240</v>
      </c>
      <c r="B150" s="33">
        <v>26.93</v>
      </c>
      <c r="C150" s="33">
        <v>28.95</v>
      </c>
      <c r="D150" s="15">
        <v>-1.85494395610227E-3</v>
      </c>
      <c r="E150" s="15">
        <v>-6.90607762254731E-4</v>
      </c>
      <c r="F150" s="33">
        <v>0</v>
      </c>
      <c r="G150" s="33">
        <v>1.0296700000000001</v>
      </c>
      <c r="H150" s="33">
        <v>0</v>
      </c>
      <c r="I150" s="33">
        <v>1.1233</v>
      </c>
      <c r="J150" s="33">
        <v>1.0296700000000001</v>
      </c>
      <c r="K150" s="33">
        <v>1.1233</v>
      </c>
      <c r="L150" s="33">
        <v>27.959669999999999</v>
      </c>
      <c r="M150" s="33">
        <v>30.0733</v>
      </c>
      <c r="N150" s="34">
        <v>1.0750092833271401</v>
      </c>
      <c r="O150" s="34">
        <v>1.0748269802361801</v>
      </c>
      <c r="P150" s="34">
        <v>1.0737740308686201</v>
      </c>
      <c r="Q150" s="34">
        <v>1.0729150204401601</v>
      </c>
      <c r="R150" s="33">
        <v>28.945090577760499</v>
      </c>
      <c r="S150" s="33">
        <v>28.911245448015901</v>
      </c>
      <c r="T150" s="33">
        <v>28.8904114193328</v>
      </c>
      <c r="U150" s="15">
        <v>-1.6959718698931101E-4</v>
      </c>
      <c r="V150" s="15">
        <v>-1.3395687382552399E-3</v>
      </c>
      <c r="W150" s="15">
        <v>-2.0604487515439502E-3</v>
      </c>
      <c r="X150" s="34">
        <v>1.0755956704782199</v>
      </c>
      <c r="Y150" s="34">
        <v>1.0748179428614399</v>
      </c>
      <c r="Z150" s="34">
        <v>1.0742044891189499</v>
      </c>
      <c r="AA150" s="34">
        <v>1.0733052214907299</v>
      </c>
      <c r="AB150" s="33">
        <v>30.0515549924847</v>
      </c>
      <c r="AC150" s="33">
        <v>30.027968356178501</v>
      </c>
      <c r="AD150" s="33">
        <v>30.0055903188122</v>
      </c>
      <c r="AE150" s="15">
        <v>-7.2332842935161098E-4</v>
      </c>
      <c r="AF150" s="15">
        <v>-1.5085090101332199E-3</v>
      </c>
      <c r="AG150" s="15">
        <v>-2.2540266471583301E-3</v>
      </c>
      <c r="AI150" s="12"/>
      <c r="AJ150">
        <f t="shared" ref="AJ150:AJ176" si="46">IF($AG150&lt;AI$21,1,0)</f>
        <v>1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4.284002779660484E-3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3.3369207376346193E-3</v>
      </c>
      <c r="BE150" s="29">
        <f t="shared" si="42"/>
        <v>0</v>
      </c>
      <c r="BF150" s="29">
        <f t="shared" si="43"/>
        <v>7.6209235172951043E-3</v>
      </c>
      <c r="BH150" s="29"/>
    </row>
    <row r="151" spans="1:60" x14ac:dyDescent="0.25">
      <c r="A151" s="1">
        <v>46241</v>
      </c>
      <c r="B151" s="33">
        <v>26.99</v>
      </c>
      <c r="C151" s="33">
        <v>29.02</v>
      </c>
      <c r="D151" s="15">
        <v>2.2255202064056798E-3</v>
      </c>
      <c r="E151" s="15">
        <v>2.41504343703765E-3</v>
      </c>
      <c r="F151" s="33">
        <v>0</v>
      </c>
      <c r="G151" s="33">
        <v>1.0296700000000001</v>
      </c>
      <c r="H151" s="33">
        <v>0</v>
      </c>
      <c r="I151" s="33">
        <v>1.1233</v>
      </c>
      <c r="J151" s="33">
        <v>1.0296700000000001</v>
      </c>
      <c r="K151" s="33">
        <v>1.1233</v>
      </c>
      <c r="L151" s="33">
        <v>28.019669999999898</v>
      </c>
      <c r="M151" s="33">
        <v>30.1433</v>
      </c>
      <c r="N151" s="34">
        <v>1.07521304186735</v>
      </c>
      <c r="O151" s="34">
        <v>1.0748269802361801</v>
      </c>
      <c r="P151" s="34">
        <v>1.0740381709318001</v>
      </c>
      <c r="Q151" s="34">
        <v>1.0730950154645</v>
      </c>
      <c r="R151" s="33">
        <v>29.0095801965746</v>
      </c>
      <c r="S151" s="33">
        <v>28.981161093144198</v>
      </c>
      <c r="T151" s="33">
        <v>28.957976401680099</v>
      </c>
      <c r="U151" s="15">
        <v>-3.59120417621186E-4</v>
      </c>
      <c r="V151" s="15">
        <v>-1.33924604021007E-3</v>
      </c>
      <c r="W151" s="15">
        <v>-2.13955801253298E-3</v>
      </c>
      <c r="X151" s="34">
        <v>1.0757906856147801</v>
      </c>
      <c r="Y151" s="34">
        <v>1.0748179428614399</v>
      </c>
      <c r="Z151" s="34">
        <v>1.07449280687687</v>
      </c>
      <c r="AA151" s="34">
        <v>1.07349592695939</v>
      </c>
      <c r="AB151" s="33">
        <v>30.1160440690564</v>
      </c>
      <c r="AC151" s="33">
        <v>30.0988552976318</v>
      </c>
      <c r="AD151" s="33">
        <v>30.073658115447198</v>
      </c>
      <c r="AE151" s="15">
        <v>-9.0462095873668897E-4</v>
      </c>
      <c r="AF151" s="15">
        <v>-1.4755352032932499E-3</v>
      </c>
      <c r="AG151" s="15">
        <v>-2.31303333086426E-3</v>
      </c>
      <c r="AI151" s="12"/>
      <c r="AJ151">
        <f t="shared" si="46"/>
        <v>1</v>
      </c>
      <c r="AK151">
        <f t="shared" si="47"/>
        <v>0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2.2255202064056798E-3</v>
      </c>
      <c r="AP151" s="28">
        <f t="shared" si="49"/>
        <v>-2.41504343703765E-3</v>
      </c>
      <c r="AQ151" s="28">
        <f t="shared" ref="AQ151:AQ176" si="56">AO151+AP151</f>
        <v>-1.8952323063197015E-4</v>
      </c>
      <c r="AR151" s="29">
        <f t="shared" ref="AR151:AR176" si="57">AR150+AQ151</f>
        <v>4.0944795490285135E-3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3.3369207376346193E-3</v>
      </c>
      <c r="BE151" s="29">
        <f t="shared" ref="BE151:BE176" si="62">AQ151+BB151</f>
        <v>-1.8952323063197015E-4</v>
      </c>
      <c r="BF151" s="29">
        <f t="shared" ref="BF151:BF176" si="63">BF150+BE151</f>
        <v>7.4314002866631337E-3</v>
      </c>
      <c r="BH151" s="29"/>
    </row>
    <row r="152" spans="1:60" x14ac:dyDescent="0.25">
      <c r="A152" s="1">
        <v>46244</v>
      </c>
      <c r="B152" s="33">
        <v>26.99</v>
      </c>
      <c r="C152" s="33">
        <v>28.96</v>
      </c>
      <c r="D152" s="15">
        <v>0</v>
      </c>
      <c r="E152" s="15">
        <v>-2.0696799385260798E-3</v>
      </c>
      <c r="F152" s="33">
        <v>0</v>
      </c>
      <c r="G152" s="33">
        <v>1.0296700000000001</v>
      </c>
      <c r="H152" s="33">
        <v>0</v>
      </c>
      <c r="I152" s="33">
        <v>1.1233</v>
      </c>
      <c r="J152" s="33">
        <v>1.0296700000000001</v>
      </c>
      <c r="K152" s="33">
        <v>1.1233</v>
      </c>
      <c r="L152" s="33">
        <v>28.019669999999898</v>
      </c>
      <c r="M152" s="33">
        <v>30.083300000000001</v>
      </c>
      <c r="N152" s="34">
        <v>1.0729899962949201</v>
      </c>
      <c r="O152" s="34">
        <v>1.0748269802361801</v>
      </c>
      <c r="P152" s="34">
        <v>1.07389946137572</v>
      </c>
      <c r="Q152" s="34">
        <v>1.07311488564962</v>
      </c>
      <c r="R152" s="33">
        <v>29.0095801965746</v>
      </c>
      <c r="S152" s="33">
        <v>28.988290233449401</v>
      </c>
      <c r="T152" s="33">
        <v>28.962834467387001</v>
      </c>
      <c r="U152" s="15">
        <v>1.71055952090501E-3</v>
      </c>
      <c r="V152" s="15">
        <v>9.7639587235479205E-4</v>
      </c>
      <c r="W152" s="15">
        <v>9.7870465607938703E-5</v>
      </c>
      <c r="X152" s="34">
        <v>1.07364933277229</v>
      </c>
      <c r="Y152" s="34">
        <v>1.0748179428614399</v>
      </c>
      <c r="Z152" s="34">
        <v>1.07439219981793</v>
      </c>
      <c r="AA152" s="34">
        <v>1.07353208205204</v>
      </c>
      <c r="AB152" s="33">
        <v>30.1160440690564</v>
      </c>
      <c r="AC152" s="33">
        <v>30.106933866063802</v>
      </c>
      <c r="AD152" s="33">
        <v>30.079001619746201</v>
      </c>
      <c r="AE152" s="15">
        <v>1.0878547861931599E-3</v>
      </c>
      <c r="AF152" s="15">
        <v>7.8530571358399997E-4</v>
      </c>
      <c r="AG152" s="15">
        <v>-1.4289281311883901E-4</v>
      </c>
      <c r="AI152" s="12"/>
      <c r="AJ152">
        <f t="shared" si="46"/>
        <v>0</v>
      </c>
      <c r="AK152">
        <f t="shared" si="47"/>
        <v>0</v>
      </c>
      <c r="AL152">
        <f t="shared" si="54"/>
        <v>1</v>
      </c>
      <c r="AM152">
        <f t="shared" si="44"/>
        <v>1</v>
      </c>
      <c r="AN152">
        <f t="shared" si="55"/>
        <v>1</v>
      </c>
      <c r="AO152" s="28">
        <f t="shared" si="48"/>
        <v>0</v>
      </c>
      <c r="AP152" s="28">
        <f t="shared" si="49"/>
        <v>2.0696799385260798E-3</v>
      </c>
      <c r="AQ152" s="28">
        <f t="shared" si="56"/>
        <v>2.0696799385260798E-3</v>
      </c>
      <c r="AR152" s="29">
        <f t="shared" si="57"/>
        <v>6.1641594875545928E-3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3.3369207376346193E-3</v>
      </c>
      <c r="BE152" s="29">
        <f t="shared" si="62"/>
        <v>2.0696799385260798E-3</v>
      </c>
      <c r="BF152" s="29">
        <f t="shared" si="63"/>
        <v>9.5010802251892131E-3</v>
      </c>
      <c r="BH152" s="29"/>
    </row>
    <row r="153" spans="1:60" x14ac:dyDescent="0.25">
      <c r="A153" s="1">
        <v>46245</v>
      </c>
      <c r="B153" s="33">
        <v>27</v>
      </c>
      <c r="C153" s="33">
        <v>28.96</v>
      </c>
      <c r="D153" s="15">
        <v>3.7043897441577101E-4</v>
      </c>
      <c r="E153" s="15">
        <v>0</v>
      </c>
      <c r="F153" s="33">
        <v>0</v>
      </c>
      <c r="G153" s="33">
        <v>1.0296700000000001</v>
      </c>
      <c r="H153" s="33">
        <v>0</v>
      </c>
      <c r="I153" s="33">
        <v>1.1233</v>
      </c>
      <c r="J153" s="33">
        <v>1.0296700000000001</v>
      </c>
      <c r="K153" s="33">
        <v>1.1233</v>
      </c>
      <c r="L153" s="33">
        <v>28.029669999999999</v>
      </c>
      <c r="M153" s="33">
        <v>30.083300000000001</v>
      </c>
      <c r="N153" s="34">
        <v>1.0725925925925901</v>
      </c>
      <c r="O153" s="34">
        <v>1.0748269802361801</v>
      </c>
      <c r="P153" s="34">
        <v>1.0738488876108601</v>
      </c>
      <c r="Q153" s="34">
        <v>1.07312427146691</v>
      </c>
      <c r="R153" s="33">
        <v>29.020328466376998</v>
      </c>
      <c r="S153" s="33">
        <v>28.9952854571446</v>
      </c>
      <c r="T153" s="33">
        <v>28.974101912539801</v>
      </c>
      <c r="U153" s="15">
        <v>2.0809984953207902E-3</v>
      </c>
      <c r="V153" s="15">
        <v>1.2176788096632E-3</v>
      </c>
      <c r="W153" s="15">
        <v>4.8682597478282702E-4</v>
      </c>
      <c r="X153" s="34">
        <v>1.0732662924679399</v>
      </c>
      <c r="Y153" s="34">
        <v>1.0748179428614399</v>
      </c>
      <c r="Z153" s="34">
        <v>1.0743771742550901</v>
      </c>
      <c r="AA153" s="34">
        <v>1.0735582166928901</v>
      </c>
      <c r="AB153" s="33">
        <v>30.126792248485</v>
      </c>
      <c r="AC153" s="33">
        <v>30.1148588114708</v>
      </c>
      <c r="AD153" s="33">
        <v>30.090749994331599</v>
      </c>
      <c r="AE153" s="15">
        <v>1.4446832557560099E-3</v>
      </c>
      <c r="AF153" s="15">
        <v>1.04849766122889E-3</v>
      </c>
      <c r="AG153" s="15">
        <v>2.47614856250497E-4</v>
      </c>
      <c r="AI153" s="12"/>
      <c r="AJ153">
        <f t="shared" si="46"/>
        <v>0</v>
      </c>
      <c r="AK153">
        <f t="shared" si="47"/>
        <v>1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3.7043897441577101E-4</v>
      </c>
      <c r="AP153" s="28">
        <f t="shared" si="49"/>
        <v>0</v>
      </c>
      <c r="AQ153" s="28">
        <f t="shared" si="56"/>
        <v>3.7043897441577101E-4</v>
      </c>
      <c r="AR153" s="29">
        <f t="shared" si="57"/>
        <v>6.5345984619703638E-3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3.3369207376346193E-3</v>
      </c>
      <c r="BE153" s="29">
        <f t="shared" si="62"/>
        <v>3.7043897441577101E-4</v>
      </c>
      <c r="BF153" s="29">
        <f t="shared" si="63"/>
        <v>9.8715191996049841E-3</v>
      </c>
      <c r="BH153" s="29"/>
    </row>
    <row r="154" spans="1:60" x14ac:dyDescent="0.25">
      <c r="A154" s="1">
        <v>46246</v>
      </c>
      <c r="B154" s="33">
        <v>27.02</v>
      </c>
      <c r="C154" s="33">
        <v>29.03</v>
      </c>
      <c r="D154" s="15">
        <v>7.4046652772369196E-4</v>
      </c>
      <c r="E154" s="15">
        <v>2.4142105190228802E-3</v>
      </c>
      <c r="F154" s="33">
        <v>0</v>
      </c>
      <c r="G154" s="33">
        <v>1.0296700000000001</v>
      </c>
      <c r="H154" s="33">
        <v>0</v>
      </c>
      <c r="I154" s="33">
        <v>1.1233</v>
      </c>
      <c r="J154" s="33">
        <v>1.0296700000000001</v>
      </c>
      <c r="K154" s="33">
        <v>1.1233</v>
      </c>
      <c r="L154" s="33">
        <v>28.049669999999999</v>
      </c>
      <c r="M154" s="33">
        <v>30.153300000000002</v>
      </c>
      <c r="N154" s="34">
        <v>1.07438934122871</v>
      </c>
      <c r="O154" s="34">
        <v>1.0748269802361801</v>
      </c>
      <c r="P154" s="34">
        <v>1.0739162655163099</v>
      </c>
      <c r="Q154" s="34">
        <v>1.0732881010928299</v>
      </c>
      <c r="R154" s="33">
        <v>29.0418250059817</v>
      </c>
      <c r="S154" s="33">
        <v>29.015396943245602</v>
      </c>
      <c r="T154" s="33">
        <v>28.995817815035998</v>
      </c>
      <c r="U154" s="15">
        <v>4.07254504021431E-4</v>
      </c>
      <c r="V154" s="15">
        <v>-5.0315986560384802E-4</v>
      </c>
      <c r="W154" s="15">
        <v>-1.17817172441706E-3</v>
      </c>
      <c r="X154" s="34">
        <v>1.07499660423812</v>
      </c>
      <c r="Y154" s="34">
        <v>1.0748179428614399</v>
      </c>
      <c r="Z154" s="34">
        <v>1.07447531493959</v>
      </c>
      <c r="AA154" s="34">
        <v>1.07373348299696</v>
      </c>
      <c r="AB154" s="33">
        <v>30.148288607342199</v>
      </c>
      <c r="AC154" s="33">
        <v>30.135925193387799</v>
      </c>
      <c r="AD154" s="33">
        <v>30.1129537040242</v>
      </c>
      <c r="AE154" s="15">
        <v>-1.6621096674277901E-4</v>
      </c>
      <c r="AF154" s="15">
        <v>-5.7638183398245996E-4</v>
      </c>
      <c r="AG154" s="15">
        <v>-1.3389351261644199E-3</v>
      </c>
      <c r="AI154" s="12"/>
      <c r="AJ154">
        <f t="shared" si="46"/>
        <v>0</v>
      </c>
      <c r="AK154">
        <f t="shared" si="47"/>
        <v>0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6.5345984619703638E-3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3.3369207376346193E-3</v>
      </c>
      <c r="BE154" s="29">
        <f t="shared" si="62"/>
        <v>0</v>
      </c>
      <c r="BF154" s="29">
        <f t="shared" si="63"/>
        <v>9.8715191996049841E-3</v>
      </c>
      <c r="BH154" s="29"/>
    </row>
    <row r="155" spans="1:60" x14ac:dyDescent="0.25">
      <c r="A155" s="1">
        <v>46247</v>
      </c>
      <c r="B155" s="33">
        <v>27.12</v>
      </c>
      <c r="C155" s="33">
        <v>29.09</v>
      </c>
      <c r="D155" s="15">
        <v>3.6941305401420898E-3</v>
      </c>
      <c r="E155" s="15">
        <v>2.06469447057179E-3</v>
      </c>
      <c r="F155" s="33">
        <v>0</v>
      </c>
      <c r="G155" s="33">
        <v>1.0296700000000001</v>
      </c>
      <c r="H155" s="33">
        <v>0</v>
      </c>
      <c r="I155" s="33">
        <v>1.1233</v>
      </c>
      <c r="J155" s="33">
        <v>1.0296700000000001</v>
      </c>
      <c r="K155" s="33">
        <v>1.1233</v>
      </c>
      <c r="L155" s="33">
        <v>28.14967</v>
      </c>
      <c r="M155" s="33">
        <v>30.2133</v>
      </c>
      <c r="N155" s="34">
        <v>1.0726401179941001</v>
      </c>
      <c r="O155" s="34">
        <v>1.0748269802361801</v>
      </c>
      <c r="P155" s="34">
        <v>1.0738333385402099</v>
      </c>
      <c r="Q155" s="34">
        <v>1.0733434108273401</v>
      </c>
      <c r="R155" s="33">
        <v>29.149307704005398</v>
      </c>
      <c r="S155" s="33">
        <v>29.1246091208025</v>
      </c>
      <c r="T155" s="33">
        <v>29.107573301637601</v>
      </c>
      <c r="U155" s="15">
        <v>2.0366905735919E-3</v>
      </c>
      <c r="V155" s="15">
        <v>1.1890185437168799E-3</v>
      </c>
      <c r="W155" s="15">
        <v>6.0391872632332695E-4</v>
      </c>
      <c r="X155" s="34">
        <v>1.07330920753245</v>
      </c>
      <c r="Y155" s="34">
        <v>1.0748179428614399</v>
      </c>
      <c r="Z155" s="34">
        <v>1.0744286505019001</v>
      </c>
      <c r="AA155" s="34">
        <v>1.0738039702291899</v>
      </c>
      <c r="AB155" s="33">
        <v>30.2557704016284</v>
      </c>
      <c r="AC155" s="33">
        <v>30.246125538695701</v>
      </c>
      <c r="AD155" s="33">
        <v>30.225243214315</v>
      </c>
      <c r="AE155" s="15">
        <v>1.40469857829125E-3</v>
      </c>
      <c r="AF155" s="15">
        <v>1.08587012293489E-3</v>
      </c>
      <c r="AG155" s="15">
        <v>3.9521847600278799E-4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6.5345984619703638E-3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3.3369207376346193E-3</v>
      </c>
      <c r="BE155" s="29">
        <f t="shared" si="62"/>
        <v>0</v>
      </c>
      <c r="BF155" s="29">
        <f t="shared" si="63"/>
        <v>9.8715191996049841E-3</v>
      </c>
      <c r="BH155" s="29"/>
    </row>
    <row r="156" spans="1:60" x14ac:dyDescent="0.25">
      <c r="A156" s="1">
        <v>46248</v>
      </c>
      <c r="B156" s="33">
        <v>27.07</v>
      </c>
      <c r="C156" s="33">
        <v>29.04</v>
      </c>
      <c r="D156" s="15">
        <v>-1.84535944598501E-3</v>
      </c>
      <c r="E156" s="15">
        <v>-1.72028255051491E-3</v>
      </c>
      <c r="F156" s="33">
        <v>0</v>
      </c>
      <c r="G156" s="33">
        <v>1.0296700000000001</v>
      </c>
      <c r="H156" s="33">
        <v>0</v>
      </c>
      <c r="I156" s="33">
        <v>1.1233</v>
      </c>
      <c r="J156" s="33">
        <v>1.0296700000000001</v>
      </c>
      <c r="K156" s="33">
        <v>1.1233</v>
      </c>
      <c r="L156" s="33">
        <v>28.09967</v>
      </c>
      <c r="M156" s="33">
        <v>30.1633</v>
      </c>
      <c r="N156" s="34">
        <v>1.0727742888806699</v>
      </c>
      <c r="O156" s="34">
        <v>1.0748269802361801</v>
      </c>
      <c r="P156" s="34">
        <v>1.0736813469230799</v>
      </c>
      <c r="Q156" s="34">
        <v>1.07342386568435</v>
      </c>
      <c r="R156" s="33">
        <v>29.095566354993501</v>
      </c>
      <c r="S156" s="33">
        <v>29.068668474283601</v>
      </c>
      <c r="T156" s="33">
        <v>29.055406131096198</v>
      </c>
      <c r="U156" s="15">
        <v>1.91161367812178E-3</v>
      </c>
      <c r="V156" s="15">
        <v>9.8671944693909603E-4</v>
      </c>
      <c r="W156" s="15">
        <v>5.3037348332211096E-4</v>
      </c>
      <c r="X156" s="34">
        <v>1.0734396524941301</v>
      </c>
      <c r="Y156" s="34">
        <v>1.0748179428614399</v>
      </c>
      <c r="Z156" s="34">
        <v>1.0743151312899899</v>
      </c>
      <c r="AA156" s="34">
        <v>1.0738988358320101</v>
      </c>
      <c r="AB156" s="33">
        <v>30.202029504485299</v>
      </c>
      <c r="AC156" s="33">
        <v>30.191090517648899</v>
      </c>
      <c r="AD156" s="33">
        <v>30.17353720813</v>
      </c>
      <c r="AE156" s="15">
        <v>1.2831706583017099E-3</v>
      </c>
      <c r="AF156" s="15">
        <v>9.2091128332598199E-4</v>
      </c>
      <c r="AG156" s="15">
        <v>3.3933526190654502E-4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6.5345984619703638E-3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3.3369207376346193E-3</v>
      </c>
      <c r="BE156" s="29">
        <f t="shared" si="62"/>
        <v>0</v>
      </c>
      <c r="BF156" s="29">
        <f t="shared" si="63"/>
        <v>9.8715191996049841E-3</v>
      </c>
      <c r="BH156" s="29"/>
    </row>
    <row r="157" spans="1:60" x14ac:dyDescent="0.25">
      <c r="A157" s="1">
        <v>46251</v>
      </c>
      <c r="B157" s="33">
        <v>27.02</v>
      </c>
      <c r="C157" s="33">
        <v>29</v>
      </c>
      <c r="D157" s="15">
        <v>-1.84877109415702E-3</v>
      </c>
      <c r="E157" s="15">
        <v>-1.37835997012127E-3</v>
      </c>
      <c r="F157" s="33">
        <v>0</v>
      </c>
      <c r="G157" s="33">
        <v>1.0296700000000001</v>
      </c>
      <c r="H157" s="33">
        <v>0</v>
      </c>
      <c r="I157" s="33">
        <v>1.1233</v>
      </c>
      <c r="J157" s="33">
        <v>1.0296700000000001</v>
      </c>
      <c r="K157" s="33">
        <v>1.1233</v>
      </c>
      <c r="L157" s="33">
        <v>28.049669999999999</v>
      </c>
      <c r="M157" s="33">
        <v>30.1233</v>
      </c>
      <c r="N157" s="34">
        <v>1.07327905255366</v>
      </c>
      <c r="O157" s="34">
        <v>1.0748269802361801</v>
      </c>
      <c r="P157" s="34">
        <v>1.0736404393760599</v>
      </c>
      <c r="Q157" s="34">
        <v>1.0734675744997</v>
      </c>
      <c r="R157" s="33">
        <v>29.0418250059817</v>
      </c>
      <c r="S157" s="33">
        <v>29.0108699938617</v>
      </c>
      <c r="T157" s="33">
        <v>29.003912850791298</v>
      </c>
      <c r="U157" s="15">
        <v>1.4412025540859799E-3</v>
      </c>
      <c r="V157" s="15">
        <v>3.7475714431043798E-4</v>
      </c>
      <c r="W157" s="15">
        <v>1.3491678767836701E-4</v>
      </c>
      <c r="X157" s="34">
        <v>1.0739270729388199</v>
      </c>
      <c r="Y157" s="34">
        <v>1.0748179428614399</v>
      </c>
      <c r="Z157" s="34">
        <v>1.0742753850817399</v>
      </c>
      <c r="AA157" s="34">
        <v>1.0739580094964101</v>
      </c>
      <c r="AB157" s="33">
        <v>30.148288607342199</v>
      </c>
      <c r="AC157" s="33">
        <v>30.134184908691001</v>
      </c>
      <c r="AD157" s="33">
        <v>30.122507958472099</v>
      </c>
      <c r="AE157" s="15">
        <v>8.2920027002594398E-4</v>
      </c>
      <c r="AF157" s="15">
        <v>3.6127989164954602E-4</v>
      </c>
      <c r="AG157" s="15">
        <v>-2.62936643972012E-5</v>
      </c>
      <c r="AI157" s="12"/>
      <c r="AJ157">
        <f t="shared" si="46"/>
        <v>0</v>
      </c>
      <c r="AK157">
        <f t="shared" si="47"/>
        <v>0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6.5345984619703638E-3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3.3369207376346193E-3</v>
      </c>
      <c r="BE157" s="29">
        <f t="shared" si="62"/>
        <v>0</v>
      </c>
      <c r="BF157" s="29">
        <f t="shared" si="63"/>
        <v>9.8715191996049841E-3</v>
      </c>
      <c r="BH157" s="29"/>
    </row>
    <row r="158" spans="1:60" x14ac:dyDescent="0.25">
      <c r="A158" s="1">
        <v>46252</v>
      </c>
      <c r="B158" s="33">
        <v>26.98</v>
      </c>
      <c r="C158" s="33">
        <v>28.99</v>
      </c>
      <c r="D158" s="15">
        <v>-1.48148175244291E-3</v>
      </c>
      <c r="E158" s="15">
        <v>-3.4488705290991201E-4</v>
      </c>
      <c r="F158" s="33">
        <v>0</v>
      </c>
      <c r="G158" s="33">
        <v>1.0296700000000001</v>
      </c>
      <c r="H158" s="33">
        <v>0</v>
      </c>
      <c r="I158" s="33">
        <v>1.1233</v>
      </c>
      <c r="J158" s="33">
        <v>1.0296700000000001</v>
      </c>
      <c r="K158" s="33">
        <v>1.1233</v>
      </c>
      <c r="L158" s="33">
        <v>28.00967</v>
      </c>
      <c r="M158" s="33">
        <v>30.113299999999999</v>
      </c>
      <c r="N158" s="34">
        <v>1.0744996293550699</v>
      </c>
      <c r="O158" s="34">
        <v>1.0748269802361801</v>
      </c>
      <c r="P158" s="34">
        <v>1.0737145683605001</v>
      </c>
      <c r="Q158" s="34">
        <v>1.07358678673668</v>
      </c>
      <c r="R158" s="33">
        <v>28.998831926772301</v>
      </c>
      <c r="S158" s="33">
        <v>28.966819054366301</v>
      </c>
      <c r="T158" s="33">
        <v>28.962155160001998</v>
      </c>
      <c r="U158" s="15">
        <v>3.0460785455302798E-4</v>
      </c>
      <c r="V158" s="15">
        <v>-7.9993854901071399E-4</v>
      </c>
      <c r="W158" s="15">
        <v>-9.60959676611816E-4</v>
      </c>
      <c r="X158" s="34">
        <v>1.0751037052560699</v>
      </c>
      <c r="Y158" s="34">
        <v>1.0748179428614399</v>
      </c>
      <c r="Z158" s="34">
        <v>1.07434678899331</v>
      </c>
      <c r="AA158" s="34">
        <v>1.07409001413919</v>
      </c>
      <c r="AB158" s="33">
        <v>30.105295889627801</v>
      </c>
      <c r="AC158" s="33">
        <v>30.090099025262401</v>
      </c>
      <c r="AD158" s="33">
        <v>30.081209439851399</v>
      </c>
      <c r="AE158" s="15">
        <v>-2.6583517270967698E-4</v>
      </c>
      <c r="AF158" s="15">
        <v>-7.7075302264456797E-4</v>
      </c>
      <c r="AG158" s="15">
        <v>-1.0662289131476801E-3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6.5345984619703638E-3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3.3369207376346193E-3</v>
      </c>
      <c r="BE158" s="29">
        <f t="shared" si="62"/>
        <v>0</v>
      </c>
      <c r="BF158" s="29">
        <f t="shared" si="63"/>
        <v>9.8715191996049841E-3</v>
      </c>
      <c r="BH158" s="29"/>
    </row>
    <row r="159" spans="1:60" x14ac:dyDescent="0.25">
      <c r="A159" s="1">
        <v>46253</v>
      </c>
      <c r="B159" s="33">
        <v>27.07</v>
      </c>
      <c r="C159" s="33">
        <v>29.07</v>
      </c>
      <c r="D159" s="15">
        <v>3.3302528465999899E-3</v>
      </c>
      <c r="E159" s="15">
        <v>2.7557716372204502E-3</v>
      </c>
      <c r="F159" s="33">
        <v>0</v>
      </c>
      <c r="G159" s="33">
        <v>1.0296700000000001</v>
      </c>
      <c r="H159" s="33">
        <v>0</v>
      </c>
      <c r="I159" s="33">
        <v>1.1233</v>
      </c>
      <c r="J159" s="33">
        <v>1.0296700000000001</v>
      </c>
      <c r="K159" s="33">
        <v>1.1233</v>
      </c>
      <c r="L159" s="33">
        <v>28.09967</v>
      </c>
      <c r="M159" s="33">
        <v>30.193300000000001</v>
      </c>
      <c r="N159" s="34">
        <v>1.0738825267824099</v>
      </c>
      <c r="O159" s="34">
        <v>1.0748269802361801</v>
      </c>
      <c r="P159" s="34">
        <v>1.07372698708766</v>
      </c>
      <c r="Q159" s="34">
        <v>1.0736485928385899</v>
      </c>
      <c r="R159" s="33">
        <v>29.095566354993501</v>
      </c>
      <c r="S159" s="33">
        <v>29.0654533655187</v>
      </c>
      <c r="T159" s="33">
        <v>29.0619943169621</v>
      </c>
      <c r="U159" s="15">
        <v>8.79089063932528E-4</v>
      </c>
      <c r="V159" s="15">
        <v>-1.56415207151651E-4</v>
      </c>
      <c r="W159" s="15">
        <v>-2.7543122105199097E-4</v>
      </c>
      <c r="X159" s="34">
        <v>1.0745072806904801</v>
      </c>
      <c r="Y159" s="34">
        <v>1.0748179428614399</v>
      </c>
      <c r="Z159" s="34">
        <v>1.07435855044833</v>
      </c>
      <c r="AA159" s="34">
        <v>1.0741664491818399</v>
      </c>
      <c r="AB159" s="33">
        <v>30.202029504485299</v>
      </c>
      <c r="AC159" s="33">
        <v>30.188790236271799</v>
      </c>
      <c r="AD159" s="33">
        <v>30.181574947606698</v>
      </c>
      <c r="AE159" s="15">
        <v>2.89078795256034E-4</v>
      </c>
      <c r="AF159" s="15">
        <v>-1.49374217383893E-4</v>
      </c>
      <c r="AG159" s="15">
        <v>-3.8840834207444199E-4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6.5345984619703638E-3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3.3369207376346193E-3</v>
      </c>
      <c r="BE159" s="29">
        <f t="shared" si="62"/>
        <v>0</v>
      </c>
      <c r="BF159" s="29">
        <f t="shared" si="63"/>
        <v>9.8715191996049841E-3</v>
      </c>
      <c r="BH159" s="29"/>
    </row>
    <row r="160" spans="1:60" x14ac:dyDescent="0.25">
      <c r="A160" s="1">
        <v>46254</v>
      </c>
      <c r="B160" s="33">
        <v>27</v>
      </c>
      <c r="C160" s="33">
        <v>28.99</v>
      </c>
      <c r="D160" s="15">
        <v>-2.5892376218807898E-3</v>
      </c>
      <c r="E160" s="15">
        <v>-2.7557716372204398E-3</v>
      </c>
      <c r="F160" s="33">
        <v>0</v>
      </c>
      <c r="G160" s="33">
        <v>1.0296700000000001</v>
      </c>
      <c r="H160" s="33">
        <v>0</v>
      </c>
      <c r="I160" s="33">
        <v>1.1233</v>
      </c>
      <c r="J160" s="33">
        <v>1.0296700000000001</v>
      </c>
      <c r="K160" s="33">
        <v>1.1233</v>
      </c>
      <c r="L160" s="33">
        <v>28.029669999999999</v>
      </c>
      <c r="M160" s="33">
        <v>30.113299999999999</v>
      </c>
      <c r="N160" s="34">
        <v>1.0737037037037001</v>
      </c>
      <c r="O160" s="34">
        <v>1.0748269802361801</v>
      </c>
      <c r="P160" s="34">
        <v>1.0735964291253199</v>
      </c>
      <c r="Q160" s="34">
        <v>1.0736852299969699</v>
      </c>
      <c r="R160" s="33">
        <v>29.020328466376998</v>
      </c>
      <c r="S160" s="33">
        <v>28.990628651367</v>
      </c>
      <c r="T160" s="33">
        <v>28.9885120066421</v>
      </c>
      <c r="U160" s="15">
        <v>1.0456230792722501E-3</v>
      </c>
      <c r="V160" s="15">
        <v>2.16848758518287E-5</v>
      </c>
      <c r="W160" s="15">
        <v>-5.1329132353403603E-5</v>
      </c>
      <c r="X160" s="34">
        <v>1.0743365869095101</v>
      </c>
      <c r="Y160" s="34">
        <v>1.0748179428614399</v>
      </c>
      <c r="Z160" s="34">
        <v>1.0742326420914601</v>
      </c>
      <c r="AA160" s="34">
        <v>1.0742185656052099</v>
      </c>
      <c r="AB160" s="33">
        <v>30.126792248485</v>
      </c>
      <c r="AC160" s="33">
        <v>30.113915630745201</v>
      </c>
      <c r="AD160" s="33">
        <v>30.108531095638899</v>
      </c>
      <c r="AE160" s="15">
        <v>4.47949138424001E-4</v>
      </c>
      <c r="AF160" s="15">
        <v>2.0443606392645001E-5</v>
      </c>
      <c r="AG160" s="15">
        <v>-1.58377926552624E-4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6.5345984619703638E-3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3.3369207376346193E-3</v>
      </c>
      <c r="BE160" s="29">
        <f t="shared" si="62"/>
        <v>0</v>
      </c>
      <c r="BF160" s="29">
        <f t="shared" si="63"/>
        <v>9.8715191996049841E-3</v>
      </c>
      <c r="BH160" s="29"/>
    </row>
    <row r="161" spans="1:60" x14ac:dyDescent="0.25">
      <c r="A161" s="1">
        <v>46255</v>
      </c>
      <c r="B161" s="33">
        <v>27</v>
      </c>
      <c r="C161" s="33">
        <v>29</v>
      </c>
      <c r="D161" s="15">
        <v>0</v>
      </c>
      <c r="E161" s="15">
        <v>3.4488705290998601E-4</v>
      </c>
      <c r="F161" s="33">
        <v>0</v>
      </c>
      <c r="G161" s="33">
        <v>1.0296700000000001</v>
      </c>
      <c r="H161" s="33">
        <v>0</v>
      </c>
      <c r="I161" s="33">
        <v>1.1233</v>
      </c>
      <c r="J161" s="33">
        <v>1.0296700000000001</v>
      </c>
      <c r="K161" s="33">
        <v>1.1233</v>
      </c>
      <c r="L161" s="33">
        <v>28.029669999999999</v>
      </c>
      <c r="M161" s="33">
        <v>30.1233</v>
      </c>
      <c r="N161" s="34">
        <v>1.07407407407407</v>
      </c>
      <c r="O161" s="34">
        <v>1.0748269802361801</v>
      </c>
      <c r="P161" s="34">
        <v>1.07348253234599</v>
      </c>
      <c r="Q161" s="34">
        <v>1.0737603516389</v>
      </c>
      <c r="R161" s="33">
        <v>29.020328466376998</v>
      </c>
      <c r="S161" s="33">
        <v>28.9871035863837</v>
      </c>
      <c r="T161" s="33">
        <v>28.989501209918298</v>
      </c>
      <c r="U161" s="15">
        <v>7.0073602636239803E-4</v>
      </c>
      <c r="V161" s="15">
        <v>-4.4480282791442002E-4</v>
      </c>
      <c r="W161" s="15">
        <v>-3.6209279187815197E-4</v>
      </c>
      <c r="X161" s="34">
        <v>1.0746933517233701</v>
      </c>
      <c r="Y161" s="34">
        <v>1.0748179428614399</v>
      </c>
      <c r="Z161" s="34">
        <v>1.0741229087023201</v>
      </c>
      <c r="AA161" s="34">
        <v>1.0743078577895999</v>
      </c>
      <c r="AB161" s="33">
        <v>30.126792248485</v>
      </c>
      <c r="AC161" s="33">
        <v>30.1103864610518</v>
      </c>
      <c r="AD161" s="33">
        <v>30.109991901787399</v>
      </c>
      <c r="AE161" s="15">
        <v>1.15925083551485E-4</v>
      </c>
      <c r="AF161" s="15">
        <v>-4.2878129846269698E-4</v>
      </c>
      <c r="AG161" s="15">
        <v>-4.4188514387758101E-4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6.5345984619703638E-3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3.3369207376346193E-3</v>
      </c>
      <c r="BE161" s="29">
        <f t="shared" si="62"/>
        <v>0</v>
      </c>
      <c r="BF161" s="29">
        <f t="shared" si="63"/>
        <v>9.8715191996049841E-3</v>
      </c>
      <c r="BH161" s="29"/>
    </row>
    <row r="162" spans="1:60" x14ac:dyDescent="0.25">
      <c r="A162" s="1">
        <v>46258</v>
      </c>
      <c r="B162" s="33">
        <v>27.03</v>
      </c>
      <c r="C162" s="33">
        <v>29.03</v>
      </c>
      <c r="D162" s="15">
        <v>1.1104942840271101E-3</v>
      </c>
      <c r="E162" s="15">
        <v>1.03394805006464E-3</v>
      </c>
      <c r="F162" s="33">
        <v>0</v>
      </c>
      <c r="G162" s="33">
        <v>1.0296700000000001</v>
      </c>
      <c r="H162" s="33">
        <v>0</v>
      </c>
      <c r="I162" s="33">
        <v>1.1233</v>
      </c>
      <c r="J162" s="33">
        <v>1.0296700000000001</v>
      </c>
      <c r="K162" s="33">
        <v>1.1233</v>
      </c>
      <c r="L162" s="33">
        <v>28.059670000000001</v>
      </c>
      <c r="M162" s="33">
        <v>30.153300000000002</v>
      </c>
      <c r="N162" s="34">
        <v>1.0739918608953001</v>
      </c>
      <c r="O162" s="34">
        <v>1.0748269802361801</v>
      </c>
      <c r="P162" s="34">
        <v>1.0735827188060301</v>
      </c>
      <c r="Q162" s="34">
        <v>1.0737410900908799</v>
      </c>
      <c r="R162" s="33">
        <v>29.052573275784098</v>
      </c>
      <c r="S162" s="33">
        <v>29.0162328493122</v>
      </c>
      <c r="T162" s="33">
        <v>29.023742304799399</v>
      </c>
      <c r="U162" s="15">
        <v>7.7728226032498901E-4</v>
      </c>
      <c r="V162" s="15">
        <v>-4.7435122901550201E-4</v>
      </c>
      <c r="W162" s="15">
        <v>-2.15582836741227E-4</v>
      </c>
      <c r="X162" s="34">
        <v>1.0746134933161999</v>
      </c>
      <c r="Y162" s="34">
        <v>1.0748179428614399</v>
      </c>
      <c r="Z162" s="34">
        <v>1.07421932475671</v>
      </c>
      <c r="AA162" s="34">
        <v>1.07430576228732</v>
      </c>
      <c r="AB162" s="33">
        <v>30.159036786770798</v>
      </c>
      <c r="AC162" s="33">
        <v>30.139534357627301</v>
      </c>
      <c r="AD162" s="33">
        <v>30.144723967983101</v>
      </c>
      <c r="AE162" s="15">
        <v>1.9023593161253199E-4</v>
      </c>
      <c r="AF162" s="15">
        <v>-4.5662615660805298E-4</v>
      </c>
      <c r="AG162" s="15">
        <v>-2.8445482987064303E-4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6.5345984619703638E-3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3.3369207376346193E-3</v>
      </c>
      <c r="BE162" s="29">
        <f t="shared" si="62"/>
        <v>0</v>
      </c>
      <c r="BF162" s="29">
        <f t="shared" si="63"/>
        <v>9.8715191996049841E-3</v>
      </c>
      <c r="BH162" s="29"/>
    </row>
    <row r="163" spans="1:60" x14ac:dyDescent="0.25">
      <c r="A163" s="1">
        <v>46259</v>
      </c>
      <c r="B163" s="33">
        <v>27.12</v>
      </c>
      <c r="C163" s="33">
        <v>29.11</v>
      </c>
      <c r="D163" s="15">
        <v>3.3241027838386201E-3</v>
      </c>
      <c r="E163" s="15">
        <v>2.7519797209933201E-3</v>
      </c>
      <c r="F163" s="33">
        <v>0</v>
      </c>
      <c r="G163" s="33">
        <v>1.0296700000000001</v>
      </c>
      <c r="H163" s="33">
        <v>0</v>
      </c>
      <c r="I163" s="33">
        <v>1.1233</v>
      </c>
      <c r="J163" s="33">
        <v>1.0296700000000001</v>
      </c>
      <c r="K163" s="33">
        <v>1.1233</v>
      </c>
      <c r="L163" s="33">
        <v>28.14967</v>
      </c>
      <c r="M163" s="33">
        <v>30.2333</v>
      </c>
      <c r="N163" s="34">
        <v>1.0733775811209401</v>
      </c>
      <c r="O163" s="34">
        <v>1.0748269802361801</v>
      </c>
      <c r="P163" s="34">
        <v>1.07366121765886</v>
      </c>
      <c r="Q163" s="34">
        <v>1.07375505263486</v>
      </c>
      <c r="R163" s="33">
        <v>29.149307704005398</v>
      </c>
      <c r="S163" s="33">
        <v>29.115563334019601</v>
      </c>
      <c r="T163" s="33">
        <v>29.119858363264601</v>
      </c>
      <c r="U163" s="15">
        <v>1.3494053231702999E-3</v>
      </c>
      <c r="V163" s="15">
        <v>1.9109592824823499E-4</v>
      </c>
      <c r="W163" s="15">
        <v>3.3860166024649399E-4</v>
      </c>
      <c r="X163" s="34">
        <v>1.07401969543515</v>
      </c>
      <c r="Y163" s="34">
        <v>1.0748179428614399</v>
      </c>
      <c r="Z163" s="34">
        <v>1.07429466505343</v>
      </c>
      <c r="AA163" s="34">
        <v>1.0743359196542599</v>
      </c>
      <c r="AB163" s="33">
        <v>30.2557704016284</v>
      </c>
      <c r="AC163" s="33">
        <v>30.2389194995243</v>
      </c>
      <c r="AD163" s="33">
        <v>30.2413526874866</v>
      </c>
      <c r="AE163" s="15">
        <v>7.4295744711656104E-4</v>
      </c>
      <c r="AF163" s="15">
        <v>1.85853920594115E-4</v>
      </c>
      <c r="AG163" s="15">
        <v>2.6631612341431198E-4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6.5345984619703638E-3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3.3369207376346193E-3</v>
      </c>
      <c r="BE163" s="29">
        <f t="shared" si="62"/>
        <v>0</v>
      </c>
      <c r="BF163" s="29">
        <f t="shared" si="63"/>
        <v>9.8715191996049841E-3</v>
      </c>
      <c r="BH163" s="29"/>
    </row>
    <row r="164" spans="1:60" x14ac:dyDescent="0.25">
      <c r="A164" s="1">
        <v>46260</v>
      </c>
      <c r="B164" s="33">
        <v>27.09</v>
      </c>
      <c r="C164" s="33">
        <v>29.1</v>
      </c>
      <c r="D164" s="15">
        <v>-1.1068069751911001E-3</v>
      </c>
      <c r="E164" s="15">
        <v>-3.4358358008499198E-4</v>
      </c>
      <c r="F164" s="33">
        <v>0</v>
      </c>
      <c r="G164" s="33">
        <v>1.0296700000000001</v>
      </c>
      <c r="H164" s="33">
        <v>0</v>
      </c>
      <c r="I164" s="33">
        <v>1.1233</v>
      </c>
      <c r="J164" s="33">
        <v>1.0296700000000001</v>
      </c>
      <c r="K164" s="33">
        <v>1.1233</v>
      </c>
      <c r="L164" s="33">
        <v>28.119669999999999</v>
      </c>
      <c r="M164" s="33">
        <v>30.223299999999998</v>
      </c>
      <c r="N164" s="34">
        <v>1.07419712070874</v>
      </c>
      <c r="O164" s="34">
        <v>1.0748269802361801</v>
      </c>
      <c r="P164" s="34">
        <v>1.0736419956068699</v>
      </c>
      <c r="Q164" s="34">
        <v>1.07377913056159</v>
      </c>
      <c r="R164" s="33">
        <v>29.117062894598298</v>
      </c>
      <c r="S164" s="33">
        <v>29.0854823863787</v>
      </c>
      <c r="T164" s="33">
        <v>29.088024375878501</v>
      </c>
      <c r="U164" s="15">
        <v>5.8618192806424196E-4</v>
      </c>
      <c r="V164" s="15">
        <v>-4.99011551579724E-4</v>
      </c>
      <c r="W164" s="15">
        <v>-4.11618178103233E-4</v>
      </c>
      <c r="X164" s="34">
        <v>1.0748099106426201</v>
      </c>
      <c r="Y164" s="34">
        <v>1.0748179428614399</v>
      </c>
      <c r="Z164" s="34">
        <v>1.0742759956938801</v>
      </c>
      <c r="AA164" s="34">
        <v>1.0743756553167401</v>
      </c>
      <c r="AB164" s="33">
        <v>30.223525863342498</v>
      </c>
      <c r="AC164" s="33">
        <v>30.2088114640631</v>
      </c>
      <c r="AD164" s="33">
        <v>30.209971529824401</v>
      </c>
      <c r="AE164" s="15">
        <v>7.4731249932908499E-6</v>
      </c>
      <c r="AF164" s="15">
        <v>-4.7949793126467497E-4</v>
      </c>
      <c r="AG164" s="15">
        <v>-4.4109709947190098E-4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6.5345984619703638E-3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3.3369207376346193E-3</v>
      </c>
      <c r="BE164" s="29">
        <f t="shared" si="62"/>
        <v>0</v>
      </c>
      <c r="BF164" s="29">
        <f t="shared" si="63"/>
        <v>9.8715191996049841E-3</v>
      </c>
      <c r="BH164" s="29"/>
    </row>
    <row r="165" spans="1:60" x14ac:dyDescent="0.25">
      <c r="A165" s="1">
        <v>46261</v>
      </c>
      <c r="B165" s="33">
        <v>27.09</v>
      </c>
      <c r="C165" s="33">
        <v>29.1</v>
      </c>
      <c r="D165" s="15">
        <v>0</v>
      </c>
      <c r="E165" s="15">
        <v>0</v>
      </c>
      <c r="F165" s="33">
        <v>0</v>
      </c>
      <c r="G165" s="33">
        <v>1.0296700000000001</v>
      </c>
      <c r="H165" s="33">
        <v>0</v>
      </c>
      <c r="I165" s="33">
        <v>1.1233</v>
      </c>
      <c r="J165" s="33">
        <v>1.0296700000000001</v>
      </c>
      <c r="K165" s="33">
        <v>1.1233</v>
      </c>
      <c r="L165" s="33">
        <v>28.119669999999999</v>
      </c>
      <c r="M165" s="33">
        <v>30.223299999999998</v>
      </c>
      <c r="N165" s="34">
        <v>1.07419712070874</v>
      </c>
      <c r="O165" s="34">
        <v>1.0748269802361801</v>
      </c>
      <c r="P165" s="34">
        <v>1.07379769587833</v>
      </c>
      <c r="Q165" s="34">
        <v>1.07381551720927</v>
      </c>
      <c r="R165" s="33">
        <v>29.117062894598298</v>
      </c>
      <c r="S165" s="33">
        <v>29.0849616609901</v>
      </c>
      <c r="T165" s="33">
        <v>29.088676646913498</v>
      </c>
      <c r="U165" s="15">
        <v>5.8618192806424196E-4</v>
      </c>
      <c r="V165" s="15">
        <v>-5.1691498680875097E-4</v>
      </c>
      <c r="W165" s="15">
        <v>-3.8919438907587199E-4</v>
      </c>
      <c r="X165" s="34">
        <v>1.0748099106426201</v>
      </c>
      <c r="Y165" s="34">
        <v>1.0748179428614399</v>
      </c>
      <c r="Z165" s="34">
        <v>1.0744260660049001</v>
      </c>
      <c r="AA165" s="34">
        <v>1.0744273582534001</v>
      </c>
      <c r="AB165" s="33">
        <v>30.223525863342498</v>
      </c>
      <c r="AC165" s="33">
        <v>30.208286487833401</v>
      </c>
      <c r="AD165" s="33">
        <v>30.211088883540398</v>
      </c>
      <c r="AE165" s="15">
        <v>7.4731249932908499E-6</v>
      </c>
      <c r="AF165" s="15">
        <v>-4.9687633067393901E-4</v>
      </c>
      <c r="AG165" s="15">
        <v>-4.0411152826335501E-4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6.5345984619703638E-3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3.3369207376346193E-3</v>
      </c>
      <c r="BE165" s="29">
        <f t="shared" si="62"/>
        <v>0</v>
      </c>
      <c r="BF165" s="29">
        <f t="shared" si="63"/>
        <v>9.8715191996049841E-3</v>
      </c>
      <c r="BH165" s="29"/>
    </row>
    <row r="166" spans="1:60" x14ac:dyDescent="0.25">
      <c r="A166" s="1">
        <v>46262</v>
      </c>
      <c r="B166" s="33">
        <v>27.03</v>
      </c>
      <c r="C166" s="33">
        <v>29.03</v>
      </c>
      <c r="D166" s="15">
        <v>-2.21729580864744E-3</v>
      </c>
      <c r="E166" s="15">
        <v>-2.40839614090829E-3</v>
      </c>
      <c r="F166" s="33">
        <v>0</v>
      </c>
      <c r="G166" s="33">
        <v>1.0296700000000001</v>
      </c>
      <c r="H166" s="33">
        <v>0</v>
      </c>
      <c r="I166" s="33">
        <v>1.1233</v>
      </c>
      <c r="J166" s="33">
        <v>1.0296700000000001</v>
      </c>
      <c r="K166" s="33">
        <v>1.1233</v>
      </c>
      <c r="L166" s="33">
        <v>28.059670000000001</v>
      </c>
      <c r="M166" s="33">
        <v>30.153300000000002</v>
      </c>
      <c r="N166" s="34">
        <v>1.0739918608953001</v>
      </c>
      <c r="O166" s="34">
        <v>1.0748269802361801</v>
      </c>
      <c r="P166" s="34">
        <v>1.07391945307979</v>
      </c>
      <c r="Q166" s="34">
        <v>1.0738004000014401</v>
      </c>
      <c r="R166" s="33">
        <v>29.052573275784098</v>
      </c>
      <c r="S166" s="33">
        <v>29.0247517195914</v>
      </c>
      <c r="T166" s="33">
        <v>29.025233430166701</v>
      </c>
      <c r="U166" s="15">
        <v>7.7728226032498901E-4</v>
      </c>
      <c r="V166" s="15">
        <v>-1.80804508414118E-4</v>
      </c>
      <c r="W166" s="15">
        <v>-1.64208101917758E-4</v>
      </c>
      <c r="X166" s="34">
        <v>1.0746134933161999</v>
      </c>
      <c r="Y166" s="34">
        <v>1.0748179428614399</v>
      </c>
      <c r="Z166" s="34">
        <v>1.0745434500871001</v>
      </c>
      <c r="AA166" s="34">
        <v>1.07442929068855</v>
      </c>
      <c r="AB166" s="33">
        <v>30.159036786770798</v>
      </c>
      <c r="AC166" s="33">
        <v>30.148040851495701</v>
      </c>
      <c r="AD166" s="33">
        <v>30.148077111562301</v>
      </c>
      <c r="AE166" s="15">
        <v>1.9023593161253199E-4</v>
      </c>
      <c r="AF166" s="15">
        <v>-1.7442890799172699E-4</v>
      </c>
      <c r="AG166" s="15">
        <v>-1.7322617495449399E-4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6.5345984619703638E-3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3.3369207376346193E-3</v>
      </c>
      <c r="BE166" s="29">
        <f t="shared" si="62"/>
        <v>0</v>
      </c>
      <c r="BF166" s="29">
        <f t="shared" si="63"/>
        <v>9.8715191996049841E-3</v>
      </c>
      <c r="BH166" s="29"/>
    </row>
    <row r="167" spans="1:60" x14ac:dyDescent="0.25">
      <c r="A167" s="1">
        <v>46265</v>
      </c>
      <c r="B167" s="33">
        <v>27.01</v>
      </c>
      <c r="C167" s="33">
        <v>29.01</v>
      </c>
      <c r="D167" s="15">
        <v>-7.40192483831966E-4</v>
      </c>
      <c r="E167" s="15">
        <v>-6.8917990322581797E-4</v>
      </c>
      <c r="F167" s="33">
        <v>0</v>
      </c>
      <c r="G167" s="33">
        <v>1.0296700000000001</v>
      </c>
      <c r="H167" s="33">
        <v>0</v>
      </c>
      <c r="I167" s="33">
        <v>1.1233</v>
      </c>
      <c r="J167" s="33">
        <v>1.0296700000000001</v>
      </c>
      <c r="K167" s="33">
        <v>1.1233</v>
      </c>
      <c r="L167" s="33">
        <v>28.039670000000001</v>
      </c>
      <c r="M167" s="33">
        <v>30.133299999999998</v>
      </c>
      <c r="N167" s="34">
        <v>1.0740466493891101</v>
      </c>
      <c r="O167" s="34">
        <v>1.0748269802361801</v>
      </c>
      <c r="P167" s="34">
        <v>1.07399621276334</v>
      </c>
      <c r="Q167" s="34">
        <v>1.0738183260697001</v>
      </c>
      <c r="R167" s="33">
        <v>29.031076736179401</v>
      </c>
      <c r="S167" s="33">
        <v>29.006564427685301</v>
      </c>
      <c r="T167" s="33">
        <v>29.0033488040389</v>
      </c>
      <c r="U167" s="15">
        <v>7.2626967971886397E-4</v>
      </c>
      <c r="V167" s="15">
        <v>-1.18434186945219E-4</v>
      </c>
      <c r="W167" s="15">
        <v>-2.2929881233696599E-4</v>
      </c>
      <c r="X167" s="34">
        <v>1.07466671326731</v>
      </c>
      <c r="Y167" s="34">
        <v>1.0748179428614399</v>
      </c>
      <c r="Z167" s="34">
        <v>1.07461741411995</v>
      </c>
      <c r="AA167" s="34">
        <v>1.07444639960084</v>
      </c>
      <c r="AB167" s="33">
        <v>30.137540427913599</v>
      </c>
      <c r="AC167" s="33">
        <v>30.129843741103901</v>
      </c>
      <c r="AD167" s="33">
        <v>30.126642749241</v>
      </c>
      <c r="AE167" s="15">
        <v>1.40712420485192E-4</v>
      </c>
      <c r="AF167" s="15">
        <v>-1.14705562479646E-4</v>
      </c>
      <c r="AG167" s="15">
        <v>-2.20951115526787E-4</v>
      </c>
      <c r="AI167" s="12"/>
      <c r="AJ167">
        <f t="shared" si="46"/>
        <v>0</v>
      </c>
      <c r="AK167">
        <f t="shared" si="47"/>
        <v>0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6.5345984619703638E-3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3.3369207376346193E-3</v>
      </c>
      <c r="BE167" s="29">
        <f t="shared" si="62"/>
        <v>0</v>
      </c>
      <c r="BF167" s="29">
        <f t="shared" si="63"/>
        <v>9.8715191996049841E-3</v>
      </c>
      <c r="BH167" s="29"/>
    </row>
    <row r="168" spans="1:60" x14ac:dyDescent="0.25">
      <c r="A168" s="1">
        <v>46266</v>
      </c>
      <c r="B168" s="33">
        <v>26.77</v>
      </c>
      <c r="C168" s="33">
        <v>28.72</v>
      </c>
      <c r="D168" s="15">
        <v>-8.9253102722630998E-3</v>
      </c>
      <c r="E168" s="15">
        <v>-1.00468539532893E-2</v>
      </c>
      <c r="F168" s="33">
        <v>0.14246</v>
      </c>
      <c r="G168" s="33">
        <v>1.1721299999999999</v>
      </c>
      <c r="H168" s="33">
        <v>0.159</v>
      </c>
      <c r="I168" s="33">
        <v>1.2823</v>
      </c>
      <c r="J168" s="33">
        <v>1.1721299999999999</v>
      </c>
      <c r="K168" s="33">
        <v>1.2823</v>
      </c>
      <c r="L168" s="33">
        <v>27.942129999999999</v>
      </c>
      <c r="M168" s="33">
        <v>30.002299999999899</v>
      </c>
      <c r="N168" s="34">
        <v>1.07284273440418</v>
      </c>
      <c r="O168" s="34">
        <v>1.0748269802361801</v>
      </c>
      <c r="P168" s="34">
        <v>1.0738305232682499</v>
      </c>
      <c r="Q168" s="34">
        <v>1.0737725458143701</v>
      </c>
      <c r="R168" s="33">
        <v>28.773118260922701</v>
      </c>
      <c r="S168" s="33">
        <v>28.750878615674601</v>
      </c>
      <c r="T168" s="33">
        <v>28.746116588886</v>
      </c>
      <c r="U168" s="15">
        <v>1.8478133607450101E-3</v>
      </c>
      <c r="V168" s="15">
        <v>1.07458314157878E-3</v>
      </c>
      <c r="W168" s="15">
        <v>9.0893877068192396E-4</v>
      </c>
      <c r="X168" s="34">
        <v>1.0737298838706999</v>
      </c>
      <c r="Y168" s="34">
        <v>1.0748179428614399</v>
      </c>
      <c r="Z168" s="34">
        <v>1.0744800319814101</v>
      </c>
      <c r="AA168" s="34">
        <v>1.0744134104873599</v>
      </c>
      <c r="AB168" s="33">
        <v>30.0327026857669</v>
      </c>
      <c r="AC168" s="33">
        <v>30.0270994856036</v>
      </c>
      <c r="AD168" s="33">
        <v>30.022320975678799</v>
      </c>
      <c r="AE168" s="15">
        <v>1.01283208148001E-3</v>
      </c>
      <c r="AF168" s="15">
        <v>8.2624471432370702E-4</v>
      </c>
      <c r="AG168" s="15">
        <v>6.6709213972132402E-4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6.5345984619703638E-3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3.3369207376346193E-3</v>
      </c>
      <c r="BE168" s="29">
        <f t="shared" si="62"/>
        <v>0</v>
      </c>
      <c r="BF168" s="29">
        <f t="shared" si="63"/>
        <v>9.8715191996049841E-3</v>
      </c>
      <c r="BH168" s="29"/>
    </row>
    <row r="169" spans="1:60" x14ac:dyDescent="0.25">
      <c r="A169" s="1">
        <v>46267</v>
      </c>
      <c r="B169" s="33">
        <v>26.8</v>
      </c>
      <c r="C169" s="33">
        <v>28.77</v>
      </c>
      <c r="D169" s="15">
        <v>1.1200299845499E-3</v>
      </c>
      <c r="E169" s="15">
        <v>1.73943338343319E-3</v>
      </c>
      <c r="F169" s="33">
        <v>0</v>
      </c>
      <c r="G169" s="33">
        <v>1.1721299999999999</v>
      </c>
      <c r="H169" s="33">
        <v>0</v>
      </c>
      <c r="I169" s="33">
        <v>1.2823</v>
      </c>
      <c r="J169" s="33">
        <v>1.1721299999999999</v>
      </c>
      <c r="K169" s="33">
        <v>1.2823</v>
      </c>
      <c r="L169" s="33">
        <v>27.97213</v>
      </c>
      <c r="M169" s="33">
        <v>30.052299999999999</v>
      </c>
      <c r="N169" s="34">
        <v>1.0735074626865599</v>
      </c>
      <c r="O169" s="34">
        <v>1.0748269802361801</v>
      </c>
      <c r="P169" s="34">
        <v>1.07379301685866</v>
      </c>
      <c r="Q169" s="34">
        <v>1.0737600019731599</v>
      </c>
      <c r="R169" s="33">
        <v>28.8053630703298</v>
      </c>
      <c r="S169" s="33">
        <v>28.778658023589099</v>
      </c>
      <c r="T169" s="33">
        <v>28.777104227825301</v>
      </c>
      <c r="U169" s="15">
        <v>1.22840996186173E-3</v>
      </c>
      <c r="V169" s="15">
        <v>3.0089402435654798E-4</v>
      </c>
      <c r="W169" s="15">
        <v>2.4690131525195101E-4</v>
      </c>
      <c r="X169" s="34">
        <v>1.07436580625072</v>
      </c>
      <c r="Y169" s="34">
        <v>1.0748179428614399</v>
      </c>
      <c r="Z169" s="34">
        <v>1.07446588453744</v>
      </c>
      <c r="AA169" s="34">
        <v>1.0744122174928801</v>
      </c>
      <c r="AB169" s="33">
        <v>30.064947224052698</v>
      </c>
      <c r="AC169" s="33">
        <v>30.055495136988402</v>
      </c>
      <c r="AD169" s="33">
        <v>30.053631591896</v>
      </c>
      <c r="AE169" s="15">
        <v>4.2075194135995897E-4</v>
      </c>
      <c r="AF169" s="15">
        <v>1.06313564958782E-4</v>
      </c>
      <c r="AG169" s="15">
        <v>4.4308169293147802E-5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6.5345984619703638E-3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3.3369207376346193E-3</v>
      </c>
      <c r="BE169" s="29">
        <f t="shared" si="62"/>
        <v>0</v>
      </c>
      <c r="BF169" s="29">
        <f t="shared" si="63"/>
        <v>9.8715191996049841E-3</v>
      </c>
      <c r="BH169" s="29"/>
    </row>
    <row r="170" spans="1:60" x14ac:dyDescent="0.25">
      <c r="A170" s="1">
        <v>46268</v>
      </c>
      <c r="B170" s="33">
        <v>26.82</v>
      </c>
      <c r="C170" s="33">
        <v>28.81</v>
      </c>
      <c r="D170" s="15">
        <v>7.4599033672139499E-4</v>
      </c>
      <c r="E170" s="15">
        <v>1.38937153298056E-3</v>
      </c>
      <c r="F170" s="33">
        <v>0</v>
      </c>
      <c r="G170" s="33">
        <v>1.1721299999999999</v>
      </c>
      <c r="H170" s="33">
        <v>0</v>
      </c>
      <c r="I170" s="33">
        <v>1.2823</v>
      </c>
      <c r="J170" s="33">
        <v>1.1721299999999999</v>
      </c>
      <c r="K170" s="33">
        <v>1.2823</v>
      </c>
      <c r="L170" s="33">
        <v>27.99213</v>
      </c>
      <c r="M170" s="33">
        <v>30.092299999999899</v>
      </c>
      <c r="N170" s="34">
        <v>1.07419835943325</v>
      </c>
      <c r="O170" s="34">
        <v>1.0748269802361801</v>
      </c>
      <c r="P170" s="34">
        <v>1.0738424824316199</v>
      </c>
      <c r="Q170" s="34">
        <v>1.0737194557784699</v>
      </c>
      <c r="R170" s="33">
        <v>28.826859609934498</v>
      </c>
      <c r="S170" s="33">
        <v>28.7991287121495</v>
      </c>
      <c r="T170" s="33">
        <v>28.798243252920301</v>
      </c>
      <c r="U170" s="15">
        <v>5.85028765602712E-4</v>
      </c>
      <c r="V170" s="15">
        <v>-3.7741546253421799E-4</v>
      </c>
      <c r="W170" s="15">
        <v>-4.0816197748762099E-4</v>
      </c>
      <c r="X170" s="34">
        <v>1.07502715941945</v>
      </c>
      <c r="Y170" s="34">
        <v>1.0748179428614399</v>
      </c>
      <c r="Z170" s="34">
        <v>1.07453494178843</v>
      </c>
      <c r="AA170" s="34">
        <v>1.0743837919399499</v>
      </c>
      <c r="AB170" s="33">
        <v>30.08644358291</v>
      </c>
      <c r="AC170" s="33">
        <v>30.076588720537</v>
      </c>
      <c r="AD170" s="33">
        <v>30.0750864656492</v>
      </c>
      <c r="AE170" s="15">
        <v>-1.9463407707734901E-4</v>
      </c>
      <c r="AF170" s="15">
        <v>-5.22239321818889E-4</v>
      </c>
      <c r="AG170" s="15">
        <v>-5.7218821795540498E-4</v>
      </c>
      <c r="AI170" s="12"/>
      <c r="AJ170">
        <f t="shared" si="46"/>
        <v>0</v>
      </c>
      <c r="AK170">
        <f t="shared" si="47"/>
        <v>0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6.5345984619703638E-3</v>
      </c>
      <c r="AT170" s="12"/>
      <c r="AU170">
        <f t="shared" si="50"/>
        <v>0</v>
      </c>
      <c r="AV170">
        <f t="shared" si="51"/>
        <v>1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3.3369207376346193E-3</v>
      </c>
      <c r="BE170" s="29">
        <f t="shared" si="62"/>
        <v>0</v>
      </c>
      <c r="BF170" s="29">
        <f t="shared" si="63"/>
        <v>9.8715191996049841E-3</v>
      </c>
      <c r="BH170" s="29"/>
    </row>
    <row r="171" spans="1:60" x14ac:dyDescent="0.25">
      <c r="A171" s="1">
        <v>46269</v>
      </c>
      <c r="B171" s="33">
        <v>26.81</v>
      </c>
      <c r="C171" s="33">
        <v>28.8</v>
      </c>
      <c r="D171" s="15">
        <v>-3.7292560566457998E-4</v>
      </c>
      <c r="E171" s="15">
        <v>-3.47161954536748E-4</v>
      </c>
      <c r="F171" s="33">
        <v>0</v>
      </c>
      <c r="G171" s="33">
        <v>1.1721299999999999</v>
      </c>
      <c r="H171" s="33">
        <v>0</v>
      </c>
      <c r="I171" s="33">
        <v>1.2823</v>
      </c>
      <c r="J171" s="33">
        <v>1.1721299999999999</v>
      </c>
      <c r="K171" s="33">
        <v>1.2823</v>
      </c>
      <c r="L171" s="33">
        <v>27.982129999999898</v>
      </c>
      <c r="M171" s="33">
        <v>30.0823</v>
      </c>
      <c r="N171" s="34">
        <v>1.07422603506154</v>
      </c>
      <c r="O171" s="34">
        <v>1.0748269802361801</v>
      </c>
      <c r="P171" s="34">
        <v>1.07385767853037</v>
      </c>
      <c r="Q171" s="34">
        <v>1.0736701054381801</v>
      </c>
      <c r="R171" s="33">
        <v>28.8161113401321</v>
      </c>
      <c r="S171" s="33">
        <v>28.7897169539918</v>
      </c>
      <c r="T171" s="33">
        <v>28.786418609420799</v>
      </c>
      <c r="U171" s="15">
        <v>5.5926511447496605E-4</v>
      </c>
      <c r="V171" s="15">
        <v>-3.57113966218948E-4</v>
      </c>
      <c r="W171" s="15">
        <v>-4.7168728873543398E-4</v>
      </c>
      <c r="X171" s="34">
        <v>1.07505397194566</v>
      </c>
      <c r="Y171" s="34">
        <v>1.0748179428614399</v>
      </c>
      <c r="Z171" s="34">
        <v>1.07457100381066</v>
      </c>
      <c r="AA171" s="34">
        <v>1.07434695625649</v>
      </c>
      <c r="AB171" s="33">
        <v>30.075695403481401</v>
      </c>
      <c r="AC171" s="33">
        <v>30.067776430666399</v>
      </c>
      <c r="AD171" s="33">
        <v>30.063546935956602</v>
      </c>
      <c r="AE171" s="15">
        <v>-2.1957502077118201E-4</v>
      </c>
      <c r="AF171" s="15">
        <v>-4.8291109430371402E-4</v>
      </c>
      <c r="AG171" s="15">
        <v>-6.2358635238835198E-4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6.5345984619703638E-3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3.3369207376346193E-3</v>
      </c>
      <c r="BE171" s="29">
        <f t="shared" si="62"/>
        <v>0</v>
      </c>
      <c r="BF171" s="29">
        <f t="shared" si="63"/>
        <v>9.8715191996049841E-3</v>
      </c>
      <c r="BH171" s="29"/>
    </row>
    <row r="172" spans="1:60" x14ac:dyDescent="0.25">
      <c r="A172" s="1">
        <v>46273</v>
      </c>
      <c r="B172" s="33">
        <v>26.76</v>
      </c>
      <c r="C172" s="33">
        <v>28.79</v>
      </c>
      <c r="D172" s="15">
        <v>-1.8667169878401201E-3</v>
      </c>
      <c r="E172" s="15">
        <v>-3.4728251781579602E-4</v>
      </c>
      <c r="F172" s="33">
        <v>0</v>
      </c>
      <c r="G172" s="33">
        <v>1.1721299999999999</v>
      </c>
      <c r="H172" s="33">
        <v>0</v>
      </c>
      <c r="I172" s="33">
        <v>1.2823</v>
      </c>
      <c r="J172" s="33">
        <v>1.1721299999999999</v>
      </c>
      <c r="K172" s="33">
        <v>1.2823</v>
      </c>
      <c r="L172" s="33">
        <v>27.932130000000001</v>
      </c>
      <c r="M172" s="33">
        <v>30.072299999999998</v>
      </c>
      <c r="N172" s="34">
        <v>1.07585949177877</v>
      </c>
      <c r="O172" s="34">
        <v>1.0748269802361801</v>
      </c>
      <c r="P172" s="34">
        <v>1.07404444161871</v>
      </c>
      <c r="Q172" s="34">
        <v>1.0738135802123701</v>
      </c>
      <c r="R172" s="33">
        <v>28.762369991120298</v>
      </c>
      <c r="S172" s="33">
        <v>28.736431477472699</v>
      </c>
      <c r="T172" s="33">
        <v>28.731412021525699</v>
      </c>
      <c r="U172" s="15">
        <v>-9.6016935554937496E-4</v>
      </c>
      <c r="V172" s="15">
        <v>-1.86239739316626E-3</v>
      </c>
      <c r="W172" s="15">
        <v>-2.03708485850703E-3</v>
      </c>
      <c r="X172" s="34">
        <v>1.07662036514938</v>
      </c>
      <c r="Y172" s="34">
        <v>1.0748179428614399</v>
      </c>
      <c r="Z172" s="34">
        <v>1.07477169099398</v>
      </c>
      <c r="AA172" s="34">
        <v>1.07449550787534</v>
      </c>
      <c r="AB172" s="33">
        <v>30.0219545063383</v>
      </c>
      <c r="AC172" s="33">
        <v>30.015056972669999</v>
      </c>
      <c r="AD172" s="33">
        <v>30.008798847260699</v>
      </c>
      <c r="AE172" s="15">
        <v>-1.67555137687874E-3</v>
      </c>
      <c r="AF172" s="15">
        <v>-1.90532742764302E-3</v>
      </c>
      <c r="AG172" s="15">
        <v>-2.1138487012760799E-3</v>
      </c>
      <c r="AI172" s="12"/>
      <c r="AJ172">
        <f t="shared" si="46"/>
        <v>1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6.5345984619703638E-3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3.3369207376346193E-3</v>
      </c>
      <c r="BE172" s="29">
        <f t="shared" si="62"/>
        <v>0</v>
      </c>
      <c r="BF172" s="29">
        <f t="shared" si="63"/>
        <v>9.8715191996049841E-3</v>
      </c>
      <c r="BH172" s="29"/>
    </row>
    <row r="173" spans="1:60" x14ac:dyDescent="0.25">
      <c r="A173" s="1">
        <v>46274</v>
      </c>
      <c r="B173" s="33">
        <v>26.7</v>
      </c>
      <c r="C173" s="33">
        <v>28.73</v>
      </c>
      <c r="D173" s="15">
        <v>-2.2446698538239702E-3</v>
      </c>
      <c r="E173" s="15">
        <v>-2.0862316328862699E-3</v>
      </c>
      <c r="F173" s="33">
        <v>0</v>
      </c>
      <c r="G173" s="33">
        <v>1.1721299999999999</v>
      </c>
      <c r="H173" s="33">
        <v>0</v>
      </c>
      <c r="I173" s="33">
        <v>1.2823</v>
      </c>
      <c r="J173" s="33">
        <v>1.1721299999999999</v>
      </c>
      <c r="K173" s="33">
        <v>1.2823</v>
      </c>
      <c r="L173" s="33">
        <v>27.872129999999999</v>
      </c>
      <c r="M173" s="33">
        <v>30.0123</v>
      </c>
      <c r="N173" s="34">
        <v>1.0760299625468099</v>
      </c>
      <c r="O173" s="34">
        <v>1.0748269802361801</v>
      </c>
      <c r="P173" s="34">
        <v>1.0743096797613001</v>
      </c>
      <c r="Q173" s="34">
        <v>1.0739854487100799</v>
      </c>
      <c r="R173" s="33">
        <v>28.697880372306201</v>
      </c>
      <c r="S173" s="33">
        <v>28.676986591219698</v>
      </c>
      <c r="T173" s="33">
        <v>28.670822591670401</v>
      </c>
      <c r="U173" s="15">
        <v>-1.11860757648709E-3</v>
      </c>
      <c r="V173" s="15">
        <v>-1.8469328211731099E-3</v>
      </c>
      <c r="W173" s="15">
        <v>-2.06190178549512E-3</v>
      </c>
      <c r="X173" s="34">
        <v>1.07678530489058</v>
      </c>
      <c r="Y173" s="34">
        <v>1.0748179428614399</v>
      </c>
      <c r="Z173" s="34">
        <v>1.0750482519395199</v>
      </c>
      <c r="AA173" s="34">
        <v>1.07467145849648</v>
      </c>
      <c r="AB173" s="33">
        <v>29.9574654297666</v>
      </c>
      <c r="AC173" s="33">
        <v>29.9561762917041</v>
      </c>
      <c r="AD173" s="33">
        <v>29.9484784799177</v>
      </c>
      <c r="AE173" s="15">
        <v>-1.8287410371643101E-3</v>
      </c>
      <c r="AF173" s="15">
        <v>-1.87177424381526E-3</v>
      </c>
      <c r="AG173" s="15">
        <v>-2.1287763702147501E-3</v>
      </c>
      <c r="AI173" s="12"/>
      <c r="AJ173">
        <f t="shared" si="46"/>
        <v>1</v>
      </c>
      <c r="AK173">
        <f t="shared" si="47"/>
        <v>0</v>
      </c>
      <c r="AL173">
        <f t="shared" si="54"/>
        <v>1</v>
      </c>
      <c r="AM173">
        <f t="shared" si="44"/>
        <v>1</v>
      </c>
      <c r="AN173">
        <f t="shared" si="55"/>
        <v>1</v>
      </c>
      <c r="AO173" s="28">
        <f t="shared" si="48"/>
        <v>-2.2446698538239702E-3</v>
      </c>
      <c r="AP173" s="28">
        <f t="shared" si="49"/>
        <v>2.0862316328862699E-3</v>
      </c>
      <c r="AQ173" s="28">
        <f t="shared" si="56"/>
        <v>-1.5843822093770032E-4</v>
      </c>
      <c r="AR173" s="29">
        <f t="shared" si="57"/>
        <v>6.3761602410326631E-3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3.3369207376346193E-3</v>
      </c>
      <c r="BE173" s="29">
        <f t="shared" si="62"/>
        <v>-1.5843822093770032E-4</v>
      </c>
      <c r="BF173" s="29">
        <f t="shared" si="63"/>
        <v>9.7130809786672833E-3</v>
      </c>
      <c r="BH173" s="29"/>
    </row>
    <row r="174" spans="1:60" x14ac:dyDescent="0.25">
      <c r="A174" s="1">
        <v>46275</v>
      </c>
      <c r="B174" s="33">
        <v>26.52</v>
      </c>
      <c r="C174" s="33">
        <v>28.55</v>
      </c>
      <c r="D174" s="15">
        <v>-6.7644000885420299E-3</v>
      </c>
      <c r="E174" s="15">
        <v>-6.2849368891789402E-3</v>
      </c>
      <c r="F174" s="33">
        <v>0</v>
      </c>
      <c r="G174" s="33">
        <v>1.1721299999999999</v>
      </c>
      <c r="H174" s="33">
        <v>0</v>
      </c>
      <c r="I174" s="33">
        <v>1.2823</v>
      </c>
      <c r="J174" s="33">
        <v>1.1721299999999999</v>
      </c>
      <c r="K174" s="33">
        <v>1.2823</v>
      </c>
      <c r="L174" s="33">
        <v>27.692129999999999</v>
      </c>
      <c r="M174" s="33">
        <v>29.8323</v>
      </c>
      <c r="N174" s="34">
        <v>1.0765460030165901</v>
      </c>
      <c r="O174" s="34">
        <v>1.0748269802361801</v>
      </c>
      <c r="P174" s="34">
        <v>1.07454456799209</v>
      </c>
      <c r="Q174" s="34">
        <v>1.0740932817994799</v>
      </c>
      <c r="R174" s="33">
        <v>28.504411515863598</v>
      </c>
      <c r="S174" s="33">
        <v>28.490692707269801</v>
      </c>
      <c r="T174" s="33">
        <v>28.4820940997915</v>
      </c>
      <c r="U174" s="15">
        <v>-1.59807077585014E-3</v>
      </c>
      <c r="V174" s="15">
        <v>-2.0794738382989902E-3</v>
      </c>
      <c r="W174" s="15">
        <v>-2.3813234765388399E-3</v>
      </c>
      <c r="X174" s="34">
        <v>1.0772844125749801</v>
      </c>
      <c r="Y174" s="34">
        <v>1.0748179428614399</v>
      </c>
      <c r="Z174" s="34">
        <v>1.07529570213276</v>
      </c>
      <c r="AA174" s="34">
        <v>1.07478584891332</v>
      </c>
      <c r="AB174" s="33">
        <v>29.7639982000515</v>
      </c>
      <c r="AC174" s="33">
        <v>29.7703759489821</v>
      </c>
      <c r="AD174" s="33">
        <v>29.759941735974099</v>
      </c>
      <c r="AE174" s="15">
        <v>-2.2921500803176802E-3</v>
      </c>
      <c r="AF174" s="15">
        <v>-2.0778957425138999E-3</v>
      </c>
      <c r="AG174" s="15">
        <v>-2.4284469749142499E-3</v>
      </c>
      <c r="AI174" s="12"/>
      <c r="AJ174">
        <f t="shared" si="46"/>
        <v>1</v>
      </c>
      <c r="AK174">
        <f t="shared" si="47"/>
        <v>0</v>
      </c>
      <c r="AL174">
        <f t="shared" si="54"/>
        <v>1</v>
      </c>
      <c r="AM174">
        <f t="shared" si="44"/>
        <v>1</v>
      </c>
      <c r="AN174">
        <f t="shared" si="55"/>
        <v>1</v>
      </c>
      <c r="AO174" s="28">
        <f t="shared" si="48"/>
        <v>-6.7644000885420299E-3</v>
      </c>
      <c r="AP174" s="28">
        <f t="shared" si="49"/>
        <v>6.2849368891789402E-3</v>
      </c>
      <c r="AQ174" s="28">
        <f t="shared" si="56"/>
        <v>-4.7946319936308969E-4</v>
      </c>
      <c r="AR174" s="29">
        <f t="shared" si="57"/>
        <v>5.8966970416695734E-3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3.3369207376346193E-3</v>
      </c>
      <c r="BE174" s="29">
        <f t="shared" si="62"/>
        <v>-4.7946319936308969E-4</v>
      </c>
      <c r="BF174" s="29">
        <f t="shared" si="63"/>
        <v>9.2336177793041936E-3</v>
      </c>
      <c r="BH174" s="29"/>
    </row>
    <row r="175" spans="1:60" x14ac:dyDescent="0.25">
      <c r="A175" s="1">
        <v>46276</v>
      </c>
      <c r="B175" s="33">
        <v>26.52</v>
      </c>
      <c r="C175" s="33">
        <v>28.51</v>
      </c>
      <c r="D175" s="15">
        <v>0</v>
      </c>
      <c r="E175" s="15">
        <v>-1.4020331774385799E-3</v>
      </c>
      <c r="F175" s="33">
        <v>0</v>
      </c>
      <c r="G175" s="33">
        <v>1.1721299999999999</v>
      </c>
      <c r="H175" s="33">
        <v>0</v>
      </c>
      <c r="I175" s="33">
        <v>1.2823</v>
      </c>
      <c r="J175" s="33">
        <v>1.1721299999999999</v>
      </c>
      <c r="K175" s="33">
        <v>1.2823</v>
      </c>
      <c r="L175" s="33">
        <v>27.692129999999999</v>
      </c>
      <c r="M175" s="33">
        <v>29.792300000000001</v>
      </c>
      <c r="N175" s="34">
        <v>1.0750377073906401</v>
      </c>
      <c r="O175" s="34">
        <v>1.0748269802361801</v>
      </c>
      <c r="P175" s="34">
        <v>1.07462862666028</v>
      </c>
      <c r="Q175" s="34">
        <v>1.0742131612693</v>
      </c>
      <c r="R175" s="33">
        <v>28.504411515863598</v>
      </c>
      <c r="S175" s="33">
        <v>28.496921943150198</v>
      </c>
      <c r="T175" s="33">
        <v>28.484953833322201</v>
      </c>
      <c r="U175" s="15">
        <v>-1.9603759841158101E-4</v>
      </c>
      <c r="V175" s="15">
        <v>-4.5882347733996001E-4</v>
      </c>
      <c r="W175" s="15">
        <v>-8.7889072998524999E-4</v>
      </c>
      <c r="X175" s="34">
        <v>1.0758399588619501</v>
      </c>
      <c r="Y175" s="34">
        <v>1.0748179428614399</v>
      </c>
      <c r="Z175" s="34">
        <v>1.07539870695469</v>
      </c>
      <c r="AA175" s="34">
        <v>1.07491238647979</v>
      </c>
      <c r="AB175" s="33">
        <v>29.7639982000515</v>
      </c>
      <c r="AC175" s="33">
        <v>29.7772283719017</v>
      </c>
      <c r="AD175" s="33">
        <v>29.7631094502681</v>
      </c>
      <c r="AE175" s="15">
        <v>-9.5042180035338005E-4</v>
      </c>
      <c r="AF175" s="15">
        <v>-5.0601805425615405E-4</v>
      </c>
      <c r="AG175" s="15">
        <v>-9.8028213856302896E-4</v>
      </c>
      <c r="AI175" s="12"/>
      <c r="AJ175">
        <f t="shared" si="46"/>
        <v>0</v>
      </c>
      <c r="AK175">
        <f t="shared" si="47"/>
        <v>0</v>
      </c>
      <c r="AL175">
        <f t="shared" si="54"/>
        <v>1</v>
      </c>
      <c r="AM175">
        <f t="shared" si="44"/>
        <v>1</v>
      </c>
      <c r="AN175">
        <f t="shared" si="55"/>
        <v>1</v>
      </c>
      <c r="AO175" s="28">
        <f t="shared" si="48"/>
        <v>0</v>
      </c>
      <c r="AP175" s="28">
        <f t="shared" si="49"/>
        <v>1.4020331774385799E-3</v>
      </c>
      <c r="AQ175" s="28">
        <f t="shared" si="56"/>
        <v>1.4020331774385799E-3</v>
      </c>
      <c r="AR175" s="29">
        <f t="shared" si="57"/>
        <v>7.2987302191081533E-3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3.3369207376346193E-3</v>
      </c>
      <c r="BE175" s="29">
        <f t="shared" si="62"/>
        <v>1.4020331774385799E-3</v>
      </c>
      <c r="BF175" s="29">
        <f t="shared" si="63"/>
        <v>1.0635650956742774E-2</v>
      </c>
      <c r="BH175" s="29"/>
    </row>
    <row r="176" spans="1:60" x14ac:dyDescent="0.25">
      <c r="A176" s="1">
        <v>46279</v>
      </c>
      <c r="B176" s="33">
        <v>26.46</v>
      </c>
      <c r="C176" s="33">
        <v>28.47</v>
      </c>
      <c r="D176" s="15">
        <v>-2.2650066308521201E-3</v>
      </c>
      <c r="E176" s="15">
        <v>-1.40400163463456E-3</v>
      </c>
      <c r="F176" s="33">
        <v>0</v>
      </c>
      <c r="G176" s="33">
        <v>1.1721299999999999</v>
      </c>
      <c r="H176" s="33">
        <v>0</v>
      </c>
      <c r="I176" s="33">
        <v>1.2823</v>
      </c>
      <c r="J176" s="33">
        <v>1.1721299999999999</v>
      </c>
      <c r="K176" s="33">
        <v>1.2823</v>
      </c>
      <c r="L176" s="33">
        <v>27.63213</v>
      </c>
      <c r="M176" s="33">
        <v>29.752299999999899</v>
      </c>
      <c r="N176" s="34">
        <v>1.0759637188208599</v>
      </c>
      <c r="O176" s="34">
        <v>1.0748269802361801</v>
      </c>
      <c r="P176" s="34">
        <v>1.07482581245283</v>
      </c>
      <c r="Q176" s="34">
        <v>1.0743726327663099</v>
      </c>
      <c r="R176" s="33">
        <v>28.439921897049501</v>
      </c>
      <c r="S176" s="33">
        <v>28.434673461431</v>
      </c>
      <c r="T176" s="33">
        <v>28.4236802471858</v>
      </c>
      <c r="U176" s="15">
        <v>-1.05704259462912E-3</v>
      </c>
      <c r="V176" s="15">
        <v>-1.2416042816290999E-3</v>
      </c>
      <c r="W176" s="15">
        <v>-1.62829202986916E-3</v>
      </c>
      <c r="X176" s="34">
        <v>1.0767284317206001</v>
      </c>
      <c r="Y176" s="34">
        <v>1.0748179428614399</v>
      </c>
      <c r="Z176" s="34">
        <v>1.07561020079513</v>
      </c>
      <c r="AA176" s="34">
        <v>1.07507682544112</v>
      </c>
      <c r="AB176" s="33">
        <v>29.699509123479899</v>
      </c>
      <c r="AC176" s="33">
        <v>29.715556872404001</v>
      </c>
      <c r="AD176" s="33">
        <v>29.702118801819999</v>
      </c>
      <c r="AE176" s="15">
        <v>-1.7759220845647E-3</v>
      </c>
      <c r="AF176" s="15">
        <v>-1.23573083692672E-3</v>
      </c>
      <c r="AG176" s="15">
        <v>-1.6880565349842E-3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-2.2650066308521201E-3</v>
      </c>
      <c r="AP176" s="28">
        <f t="shared" si="49"/>
        <v>1.40400163463456E-3</v>
      </c>
      <c r="AQ176" s="28">
        <f t="shared" si="56"/>
        <v>-8.6100499621756012E-4</v>
      </c>
      <c r="AR176" s="29">
        <f t="shared" si="57"/>
        <v>6.4377252228905932E-3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3.3369207376346193E-3</v>
      </c>
      <c r="BE176" s="29">
        <f t="shared" si="62"/>
        <v>-8.6100499621756012E-4</v>
      </c>
      <c r="BF176" s="29">
        <f t="shared" si="63"/>
        <v>9.7746459605252134E-3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2026-09-22T14:51:10Z</dcterms:created>
  <dcterms:modified xsi:type="dcterms:W3CDTF">2026-09-22T15:00:34Z</dcterms:modified>
</cp:coreProperties>
</file>